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a8218af57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70a1ba639d4172"/>
    <x:sheet xmlns:r="http://schemas.openxmlformats.org/officeDocument/2006/relationships" name="Controls" sheetId="2" r:id="R9d98c7936298488b"/>
    <x:sheet xmlns:r="http://schemas.openxmlformats.org/officeDocument/2006/relationships" name="Calendar" sheetId="3" r:id="R0c43d0466f344b03"/>
    <x:sheet xmlns:r="http://schemas.openxmlformats.org/officeDocument/2006/relationships" name="Attrition" sheetId="4" r:id="R99499ae26ff74283"/>
    <x:sheet xmlns:r="http://schemas.openxmlformats.org/officeDocument/2006/relationships" name="Capacity" sheetId="5" r:id="R757d1e033a094011"/>
    <x:sheet xmlns:r="http://schemas.openxmlformats.org/officeDocument/2006/relationships" name="Package Bank" sheetId="6" r:id="R66fb5990ac6b47eb"/>
    <x:sheet xmlns:r="http://schemas.openxmlformats.org/officeDocument/2006/relationships" name="Attempt Register" sheetId="7" r:id="Re30458b1a9414d07"/>
    <x:sheet xmlns:r="http://schemas.openxmlformats.org/officeDocument/2006/relationships" name="Cell Ledger" sheetId="8" r:id="Re805b15ac04c452a"/>
    <x:sheet xmlns:r="http://schemas.openxmlformats.org/officeDocument/2006/relationships" name="Event Standard" sheetId="9" r:id="Rbf029b5425214e0a"/>
    <x:sheet xmlns:r="http://schemas.openxmlformats.org/officeDocument/2006/relationships" name="Return Ledger" sheetId="10" r:id="R5ee1ed4ae30548b6"/>
    <x:sheet xmlns:r="http://schemas.openxmlformats.org/officeDocument/2006/relationships" name="Evidence" sheetId="11" r:id="R4c4de3bb05fa415d"/>
    <x:sheet xmlns:r="http://schemas.openxmlformats.org/officeDocument/2006/relationships" name="Inference" sheetId="12" r:id="R8d81c781ee104803"/>
    <x:sheet xmlns:r="http://schemas.openxmlformats.org/officeDocument/2006/relationships" name="Class Budgets" sheetId="13" r:id="Ra75ba89984144282"/>
    <x:sheet xmlns:r="http://schemas.openxmlformats.org/officeDocument/2006/relationships" name="Decisions" sheetId="14" r:id="R6f4574c318df4296"/>
    <x:sheet xmlns:r="http://schemas.openxmlformats.org/officeDocument/2006/relationships" name="Technology" sheetId="15" r:id="R08ce1b1b317140fc"/>
    <x:sheet xmlns:r="http://schemas.openxmlformats.org/officeDocument/2006/relationships" name="Finance" sheetId="16" r:id="R7959d1c418b64ef0"/>
    <x:sheet xmlns:r="http://schemas.openxmlformats.org/officeDocument/2006/relationships" name="Executable Tests" sheetId="17" r:id="Ra1e6b2e701d14855"/>
    <x:sheet xmlns:r="http://schemas.openxmlformats.org/officeDocument/2006/relationships" name="Audit" sheetId="18" r:id="Rc7845bea590e48d9"/>
    <x:sheet xmlns:r="http://schemas.openxmlformats.org/officeDocument/2006/relationships" name="Sources" sheetId="19" r:id="Rac1d9228c629462b"/>
    <x:sheet xmlns:r="http://schemas.openxmlformats.org/officeDocument/2006/relationships" name="ReadMe" sheetId="20" r:id="R04bb6eb5a05a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0"/>
    <x:numFmt numFmtId="201" formatCode="#,##0"/>
    <x:numFmt numFmtId="202" formatCode="0.000"/>
    <x:numFmt numFmtId="203" formatCode="0.0%"/>
    <x:numFmt numFmtId="204" formatCode="0.0000%"/>
    <x:numFmt numFmtId="205" formatCode="#,##0.0"/>
    <x:numFmt numFmtId="206" formatCode="#,##0.0;(#,##0.0);-"/>
    <x:numFmt numFmtId="207" formatCode="#,##0.000000"/>
  </x:numFmts>
  <x:fonts count="10">
    <x:font>
      <x:sz val="11"/>
      <x:name val="Carlito"/>
    </x:font>
    <x:font>
      <x:b/>
      <x:sz val="15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  <x:font>
      <x:b/>
      <x:sz val="10"/>
      <x:color rgb="FFC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2F75B5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top style="thin">
        <x:color rgb="FFB7C9D6"/>
      </x:top>
    </x:border>
  </x:borders>
  <x:cellStyleXfs count="1">
    <x:xf numFmtId="0" fontId="0" fillId="0" borderId="0"/>
  </x:cellStyleXfs>
  <x:cellXfs count="16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200" fontId="5" fillId="3" borderId="5" xfId="0" applyNumberFormat="1" applyFont="1" applyFill="1" applyBorder="1"/>
    <x:xf numFmtId="200" fontId="5" fillId="3" borderId="6" xfId="0" applyNumberFormat="1" applyFont="1" applyFill="1" applyBorder="1"/>
    <x:xf numFmtId="200" fontId="5" fillId="3" borderId="7" xfId="0" applyNumberFormat="1" applyFont="1" applyFill="1" applyBorder="1"/>
    <x:xf numFmtId="201" fontId="4" fillId="0" borderId="5" xfId="0" applyNumberFormat="1" applyFont="1" applyFill="1" applyBorder="1"/>
    <x:xf numFmtId="201" fontId="4" fillId="0" borderId="6" xfId="0" applyNumberFormat="1" applyFont="1" applyFill="1" applyBorder="1"/>
    <x:xf numFmtId="201" fontId="4" fillId="0" borderId="7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201" fontId="6" fillId="0" borderId="5" xfId="0" applyNumberFormat="1" applyFont="1" applyFill="1" applyBorder="1"/>
    <x:xf numFmtId="201" fontId="6" fillId="0" borderId="6" xfId="0" applyNumberFormat="1" applyFont="1" applyFill="1" applyBorder="1"/>
    <x:xf numFmtId="201" fontId="6" fillId="0" borderId="7" xfId="0" applyNumberFormat="1" applyFont="1" applyFill="1" applyBorder="1"/>
    <x:xf numFmtId="202" fontId="6" fillId="0" borderId="5" xfId="0" applyNumberFormat="1" applyFont="1" applyFill="1" applyBorder="1"/>
    <x:xf numFmtId="202" fontId="6" fillId="0" borderId="6" xfId="0" applyNumberFormat="1" applyFont="1" applyFill="1" applyBorder="1"/>
    <x:xf numFmtId="202" fontId="6" fillId="0" borderId="7" xfId="0" applyNumberFormat="1" applyFont="1" applyFill="1" applyBorder="1"/>
    <x:xf numFmtId="203" fontId="6" fillId="0" borderId="5" xfId="0" applyNumberFormat="1" applyFont="1" applyFill="1" applyBorder="1"/>
    <x:xf numFmtId="203" fontId="6" fillId="0" borderId="6" xfId="0" applyNumberFormat="1" applyFont="1" applyFill="1" applyBorder="1"/>
    <x:xf numFmtId="203" fontId="6" fillId="0" borderId="7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0" fontId="4" fillId="0" borderId="5" xfId="0" applyNumberFormat="1" applyFont="1" applyFill="1" applyBorder="1" applyAlignment="1">
      <x:alignment wrapText="0"/>
    </x:xf>
    <x:xf numFmtId="0" fontId="4" fillId="0" borderId="6" xfId="0" applyNumberFormat="1" applyFont="1" applyFill="1" applyBorder="1" applyAlignment="1">
      <x:alignment wrapText="0"/>
    </x:xf>
    <x:xf numFmtId="0" fontId="4" fillId="0" borderId="7" xfId="0" applyNumberFormat="1" applyFont="1" applyFill="1" applyBorder="1" applyAlignment="1">
      <x:alignment wrapText="0"/>
    </x:xf>
    <x:xf numFmtId="204" fontId="4" fillId="0" borderId="5" xfId="0" applyNumberFormat="1" applyFont="1" applyFill="1" applyBorder="1"/>
    <x:xf numFmtId="204" fontId="4" fillId="0" borderId="6" xfId="0" applyNumberFormat="1" applyFont="1" applyFill="1" applyBorder="1"/>
    <x:xf numFmtId="204" fontId="4" fillId="0" borderId="7" xfId="0" applyNumberFormat="1" applyFont="1" applyFill="1" applyBorder="1"/>
    <x:xf numFmtId="0" fontId="7" fillId="0" borderId="7" xfId="0" applyNumberFormat="1" applyFont="1" applyFill="1" applyBorder="1"/>
    <x:xf numFmtId="0" fontId="8" fillId="0" borderId="7" xfId="0" applyNumberFormat="1" applyFont="1" applyFill="1" applyBorder="1"/>
    <x:xf numFmtId="202" fontId="4" fillId="0" borderId="5" xfId="0" applyNumberFormat="1" applyFont="1" applyFill="1" applyBorder="1"/>
    <x:xf numFmtId="202" fontId="4" fillId="0" borderId="6" xfId="0" applyNumberFormat="1" applyFont="1" applyFill="1" applyBorder="1"/>
    <x:xf numFmtId="202" fontId="7" fillId="0" borderId="7" xfId="0" applyNumberFormat="1" applyFont="1" applyFill="1" applyBorder="1"/>
    <x:xf numFmtId="202" fontId="8" fillId="0" borderId="7" xfId="0" applyNumberFormat="1" applyFont="1" applyFill="1" applyBorder="1"/>
    <x:xf numFmtId="203" fontId="4" fillId="0" borderId="7" xfId="0" applyNumberFormat="1" applyFont="1" applyFill="1" applyBorder="1"/>
    <x:xf numFmtId="200" fontId="4" fillId="0" borderId="5" xfId="0" applyNumberFormat="1" applyFont="1" applyFill="1" applyBorder="1"/>
    <x:xf numFmtId="200" fontId="4" fillId="0" borderId="6" xfId="0" applyNumberFormat="1" applyFont="1" applyFill="1" applyBorder="1"/>
    <x:xf numFmtId="200" fontId="4" fillId="0" borderId="7" xfId="0" applyNumberFormat="1" applyFont="1" applyFill="1" applyBorder="1"/>
    <x:xf numFmtId="201" fontId="5" fillId="3" borderId="5" xfId="0" applyNumberFormat="1" applyFont="1" applyFill="1" applyBorder="1"/>
    <x:xf numFmtId="201" fontId="5" fillId="3" borderId="6" xfId="0" applyNumberFormat="1" applyFont="1" applyFill="1" applyBorder="1"/>
    <x:xf numFmtId="201" fontId="5" fillId="3" borderId="7" xfId="0" applyNumberFormat="1" applyFont="1" applyFill="1" applyBorder="1"/>
    <x:xf numFmtId="202" fontId="5" fillId="3" borderId="5" xfId="0" applyNumberFormat="1" applyFont="1" applyFill="1" applyBorder="1"/>
    <x:xf numFmtId="202" fontId="5" fillId="3" borderId="6" xfId="0" applyNumberFormat="1" applyFont="1" applyFill="1" applyBorder="1"/>
    <x:xf numFmtId="202" fontId="5" fillId="3" borderId="7" xfId="0" applyNumberFormat="1" applyFont="1" applyFill="1" applyBorder="1"/>
    <x:xf numFmtId="200" fontId="6" fillId="0" borderId="5" xfId="0" applyNumberFormat="1" applyFont="1" applyFill="1" applyBorder="1"/>
    <x:xf numFmtId="200" fontId="6" fillId="0" borderId="7" xfId="0" applyNumberFormat="1" applyFont="1" applyFill="1" applyBorder="1"/>
    <x:xf numFmtId="200" fontId="6" fillId="0" borderId="6" xfId="0" applyNumberFormat="1" applyFont="1" applyFill="1" applyBorder="1"/>
    <x:xf numFmtId="202" fontId="4" fillId="0" borderId="7" xfId="0" applyNumberFormat="1" applyFont="1" applyFill="1" applyBorder="1"/>
    <x:xf numFmtId="0" fontId="7" fillId="0" borderId="0" xfId="0" applyNumberFormat="1" applyFont="1" applyFill="1" applyBorder="1"/>
    <x:xf numFmtId="205" fontId="4" fillId="0" borderId="5" xfId="0" applyNumberFormat="1" applyFont="1" applyFill="1" applyBorder="1"/>
    <x:xf numFmtId="205" fontId="4" fillId="0" borderId="6" xfId="0" applyNumberFormat="1" applyFont="1" applyFill="1" applyBorder="1"/>
    <x:xf numFmtId="205" fontId="4" fillId="0" borderId="7" xfId="0" applyNumberFormat="1" applyFont="1" applyFill="1" applyBorder="1"/>
    <x:xf numFmtId="205" fontId="7" fillId="0" borderId="0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7" fillId="0" borderId="6" xfId="0" applyNumberFormat="1" applyFont="1" applyFill="1" applyBorder="1"/>
    <x:xf numFmtId="206" fontId="4" fillId="0" borderId="5" xfId="0" applyNumberFormat="1" applyFont="1" applyFill="1" applyBorder="1"/>
    <x:xf numFmtId="206" fontId="4" fillId="0" borderId="6" xfId="0" applyNumberFormat="1" applyFont="1" applyFill="1" applyBorder="1"/>
    <x:xf numFmtId="206" fontId="7" fillId="0" borderId="6" xfId="0" applyNumberFormat="1" applyFont="1" applyFill="1" applyBorder="1"/>
    <x:xf numFmtId="206" fontId="4" fillId="0" borderId="7" xfId="0" applyNumberFormat="1" applyFont="1" applyFill="1" applyBorder="1"/>
    <x:xf numFmtId="206" fontId="0" fillId="0" borderId="0" xfId="0" applyNumberFormat="1" applyFont="1" applyFill="1" applyBorder="1"/>
    <x:xf numFmtId="206" fontId="7" fillId="4" borderId="0" xfId="0" applyNumberFormat="1" applyFont="1" applyFill="1" applyBorder="1"/>
    <x:xf numFmtId="206" fontId="3" fillId="2" borderId="4" xfId="0" applyNumberFormat="1" applyFont="1" applyFill="1" applyBorder="1" applyAlignment="1">
      <x:alignment horizontal="center" vertical="center" wrapText="1"/>
    </x:xf>
    <x:xf numFmtId="206" fontId="3" fillId="2" borderId="3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207" fontId="4" fillId="0" borderId="5" xfId="0" applyNumberFormat="1" applyFont="1" applyFill="1" applyBorder="1"/>
    <x:xf numFmtId="207" fontId="4" fillId="0" borderId="6" xfId="0" applyNumberFormat="1" applyFont="1" applyFill="1" applyBorder="1"/>
    <x:xf numFmtId="207" fontId="4" fillId="0" borderId="7" xfId="0" applyNumberFormat="1" applyFont="1" applyFill="1" applyBorder="1"/>
    <x:xf numFmtId="0" fontId="9" fillId="0" borderId="7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3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0" fontId="4" fillId="0" borderId="7" xfId="0" applyNumberFormat="1" applyFont="1" applyFill="1" applyBorder="1" applyAlignment="1">
      <x:alignment vertical="center" wrapText="0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202" fontId="7" fillId="0" borderId="7" xfId="0" applyNumberFormat="1" applyFont="1" applyFill="1" applyBorder="1" applyAlignment="1">
      <x:alignment vertical="center"/>
    </x:xf>
    <x:xf numFmtId="202" fontId="8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202" fontId="5" fillId="3" borderId="6" xfId="0" applyNumberFormat="1" applyFont="1" applyFill="1" applyBorder="1" applyAlignment="1">
      <x:alignment vertical="center"/>
    </x:xf>
    <x:xf numFmtId="201" fontId="5" fillId="3" borderId="7" xfId="0" applyNumberFormat="1" applyFont="1" applyFill="1" applyBorder="1" applyAlignment="1">
      <x:alignment vertical="center"/>
    </x:xf>
    <x:xf numFmtId="202" fontId="5" fillId="3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5" fontId="4" fillId="0" borderId="7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206" fontId="7" fillId="0" borderId="6" xfId="0" applyNumberFormat="1" applyFont="1" applyFill="1" applyBorder="1" applyAlignment="1">
      <x:alignment vertical="center"/>
    </x:xf>
    <x:xf numFmtId="206" fontId="4" fillId="0" borderId="7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6" fontId="7" fillId="4" borderId="0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7" fontId="4" fillId="0" borderId="5" xfId="0" applyNumberFormat="1" applyFont="1" applyFill="1" applyBorder="1" applyAlignment="1">
      <x:alignment vertical="center"/>
    </x:xf>
    <x:xf numFmtId="207" fontId="4" fillId="0" borderId="6" xfId="0" applyNumberFormat="1" applyFont="1" applyFill="1" applyBorder="1" applyAlignment="1">
      <x:alignment vertical="center"/>
    </x:xf>
    <x:xf numFmtId="207" fontId="4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45ba01c78436a" /><Relationship Type="http://schemas.openxmlformats.org/officeDocument/2006/relationships/theme" Target="/xl/theme/theme1.xml" Id="R5516e6eafee54ec9" /><Relationship Type="http://schemas.openxmlformats.org/officeDocument/2006/relationships/sharedStrings" Target="/xl/sharedStrings.xml" Id="R625c666bb26e46a5" /><Relationship Type="http://schemas.openxmlformats.org/officeDocument/2006/relationships/worksheet" Target="/xl/worksheets/sheet1.xml" Id="Rec70a1ba639d4172" /><Relationship Type="http://schemas.openxmlformats.org/officeDocument/2006/relationships/worksheet" Target="/xl/worksheets/sheet2.xml" Id="R9d98c7936298488b" /><Relationship Type="http://schemas.openxmlformats.org/officeDocument/2006/relationships/worksheet" Target="/xl/worksheets/sheet3.xml" Id="R0c43d0466f344b03" /><Relationship Type="http://schemas.openxmlformats.org/officeDocument/2006/relationships/worksheet" Target="/xl/worksheets/sheet4.xml" Id="R99499ae26ff74283" /><Relationship Type="http://schemas.openxmlformats.org/officeDocument/2006/relationships/worksheet" Target="/xl/worksheets/sheet5.xml" Id="R757d1e033a094011" /><Relationship Type="http://schemas.openxmlformats.org/officeDocument/2006/relationships/worksheet" Target="/xl/worksheets/sheet6.xml" Id="R66fb5990ac6b47eb" /><Relationship Type="http://schemas.openxmlformats.org/officeDocument/2006/relationships/worksheet" Target="/xl/worksheets/sheet7.xml" Id="Re30458b1a9414d07" /><Relationship Type="http://schemas.openxmlformats.org/officeDocument/2006/relationships/worksheet" Target="/xl/worksheets/sheet8.xml" Id="Re805b15ac04c452a" /><Relationship Type="http://schemas.openxmlformats.org/officeDocument/2006/relationships/worksheet" Target="/xl/worksheets/sheet9.xml" Id="Rbf029b5425214e0a" /><Relationship Type="http://schemas.openxmlformats.org/officeDocument/2006/relationships/worksheet" Target="/xl/worksheets/sheet10.xml" Id="R5ee1ed4ae30548b6" /><Relationship Type="http://schemas.openxmlformats.org/officeDocument/2006/relationships/worksheet" Target="/xl/worksheets/sheet11.xml" Id="R4c4de3bb05fa415d" /><Relationship Type="http://schemas.openxmlformats.org/officeDocument/2006/relationships/worksheet" Target="/xl/worksheets/sheet12.xml" Id="R8d81c781ee104803" /><Relationship Type="http://schemas.openxmlformats.org/officeDocument/2006/relationships/worksheet" Target="/xl/worksheets/sheet13.xml" Id="Ra75ba89984144282" /><Relationship Type="http://schemas.openxmlformats.org/officeDocument/2006/relationships/worksheet" Target="/xl/worksheets/sheet14.xml" Id="R6f4574c318df4296" /><Relationship Type="http://schemas.openxmlformats.org/officeDocument/2006/relationships/worksheet" Target="/xl/worksheets/sheet15.xml" Id="R08ce1b1b317140fc" /><Relationship Type="http://schemas.openxmlformats.org/officeDocument/2006/relationships/worksheet" Target="/xl/worksheets/sheet16.xml" Id="R7959d1c418b64ef0" /><Relationship Type="http://schemas.openxmlformats.org/officeDocument/2006/relationships/worksheet" Target="/xl/worksheets/sheet17.xml" Id="Ra1e6b2e701d14855" /><Relationship Type="http://schemas.openxmlformats.org/officeDocument/2006/relationships/worksheet" Target="/xl/worksheets/sheet18.xml" Id="Rc7845bea590e48d9" /><Relationship Type="http://schemas.openxmlformats.org/officeDocument/2006/relationships/worksheet" Target="/xl/worksheets/sheet19.xml" Id="Rac1d9228c629462b" /><Relationship Type="http://schemas.openxmlformats.org/officeDocument/2006/relationships/worksheet" Target="/xl/worksheets/sheet20.xml" Id="R04bb6eb5a05a43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80ef58811b4e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Class review day by attrition pattern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Class review day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'Summary'!$J$23:$J$26</c:f>
              <c:strCache>
                <c:ptCount val="0"/>
              </c:strCache>
            </c:strRef>
          </c:cat>
          <c:val>
            <c:numRef>
              <c:f>'Summary'!$K$23:$K$26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80ef58811b4ef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c3bddbf82b47f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1.670000076293945" hidden="0" customWidth="1"/>
    <x:col min="2" max="2" width="21.110000610351562" hidden="0" customWidth="1"/>
    <x:col min="3" max="3" width="16.670000076293945" hidden="0" customWidth="1"/>
    <x:col min="4" max="4" width="41.11000061035156" hidden="0" customWidth="1"/>
    <x:col min="5" max="5" width="2.7799999713897705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20" hidden="0" customWidth="1"/>
    <x:col min="11" max="11" width="13.329999923706055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2">
      <x:c r="A2" s="94" t="str">
        <x:v>RBD-1 QE-03 class execution and source-transfer qualification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</x:row>
    <x:row r="4">
      <x:c r="A4" s="97" t="str">
        <x:v>The class is paced by exact-cell return under concentrated invalidity, not by average national throughput.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  <x:c r="N4" s="95"/>
    </x:row>
    <x:row r="5">
      <x:c r="A5" s="9" t="str">
        <x:v>Headline</x:v>
      </x:c>
      <x:c r="B5" s="10" t="str">
        <x:v>Value</x:v>
      </x:c>
      <x:c r="C5" s="10" t="str">
        <x:v>Unit</x:v>
      </x:c>
      <x:c r="D5" s="11" t="str">
        <x:v>Interpretation</x:v>
      </x:c>
      <x:c r="E5" s="95"/>
      <x:c r="F5" s="95"/>
      <x:c r="G5" s="95"/>
      <x:c r="H5" s="95"/>
      <x:c r="I5" s="95"/>
      <x:c r="J5" s="95"/>
      <x:c r="K5" s="95"/>
      <x:c r="L5" s="95"/>
      <x:c r="M5" s="95"/>
      <x:c r="N5" s="95"/>
    </x:row>
    <x:row r="6" ht="32" customHeight="1">
      <x:c r="A6" s="98" t="str">
        <x:v>Required exact cells</x:v>
      </x:c>
      <x:c r="B6" s="99" t="n">
        <x:f>Controls!B6</x:f>
        <x:v>12</x:v>
      </x:c>
      <x:c r="C6" s="98" t="str">
        <x:v>cells</x:v>
      </x:c>
      <x:c r="D6" s="100" t="str">
        <x:v>Six rigs crossed with two primary roots</x:v>
      </x:c>
      <x:c r="E6" s="95"/>
      <x:c r="F6" s="95"/>
      <x:c r="G6" s="95"/>
      <x:c r="H6" s="95"/>
      <x:c r="I6" s="95"/>
      <x:c r="J6" s="95"/>
      <x:c r="K6" s="95"/>
      <x:c r="L6" s="95"/>
      <x:c r="M6" s="95"/>
      <x:c r="N6" s="95"/>
    </x:row>
    <x:row r="7" ht="32" customHeight="1">
      <x:c r="A7" s="101" t="str">
        <x:v>Maximum attempt tokens</x:v>
      </x:c>
      <x:c r="B7" s="102" t="n">
        <x:f>Controls!B15+Controls!B16*Controls!B8</x:f>
        <x:v>26</x:v>
      </x:c>
      <x:c r="C7" s="101" t="str">
        <x:v>attempts</x:v>
      </x:c>
      <x:c r="D7" s="103" t="str">
        <x:v>Twelve primary and fourteen family-bound reserves</x:v>
      </x:c>
      <x:c r="E7" s="95"/>
      <x:c r="F7" s="95"/>
      <x:c r="G7" s="95"/>
      <x:c r="H7" s="95"/>
      <x:c r="I7" s="95"/>
      <x:c r="J7" s="95"/>
      <x:c r="K7" s="95"/>
      <x:c r="L7" s="95"/>
      <x:c r="M7" s="95"/>
      <x:c r="N7" s="95"/>
    </x:row>
    <x:row r="8" ht="32" customHeight="1">
      <x:c r="A8" s="101" t="str">
        <x:v>Installed national start rate</x:v>
      </x:c>
      <x:c r="B8" s="102" t="n">
        <x:f>Capacity!D11</x:f>
        <x:v>2</x:v>
      </x:c>
      <x:c r="C8" s="101" t="str">
        <x:v>attempts per 7 days</x:v>
      </x:c>
      <x:c r="D8" s="103" t="str">
        <x:v>Event, rig, return, source and evidence chains align</x:v>
      </x:c>
      <x:c r="E8" s="95"/>
      <x:c r="F8" s="95"/>
      <x:c r="G8" s="95"/>
      <x:c r="H8" s="95"/>
      <x:c r="I8" s="95"/>
      <x:c r="J8" s="95"/>
      <x:c r="K8" s="95"/>
      <x:c r="L8" s="95"/>
      <x:c r="M8" s="95"/>
      <x:c r="N8" s="95"/>
    </x:row>
    <x:row r="9" ht="32" customHeight="1">
      <x:c r="A9" s="101" t="str">
        <x:v>Maximum authorized class review</x:v>
      </x:c>
      <x:c r="B9" s="102" t="n">
        <x:f>Attrition!G9</x:f>
        <x:v>357</x:v>
      </x:c>
      <x:c r="C9" s="101" t="str">
        <x:v>day</x:v>
      </x:c>
      <x:c r="D9" s="103" t="str">
        <x:v>Both root-family reserve queues concentrated on one non-seed rig</x:v>
      </x:c>
      <x:c r="E9" s="95"/>
      <x:c r="F9" s="95"/>
      <x:c r="G9" s="95"/>
      <x:c r="H9" s="95"/>
      <x:c r="I9" s="95"/>
      <x:c r="J9" s="95"/>
      <x:c r="K9" s="95"/>
      <x:c r="L9" s="95"/>
      <x:c r="M9" s="95"/>
      <x:c r="N9" s="95"/>
    </x:row>
    <x:row r="10" ht="32" customHeight="1">
      <x:c r="A10" s="101" t="str">
        <x:v>Stage slack after maximum case</x:v>
      </x:c>
      <x:c r="B10" s="102" t="n">
        <x:f>Attrition!H9</x:f>
        <x:v>8</x:v>
      </x:c>
      <x:c r="C10" s="101" t="str">
        <x:v>days</x:v>
      </x:c>
      <x:c r="D10" s="103" t="str">
        <x:v>Common-cause delay is outside the envelope</x:v>
      </x:c>
      <x:c r="E10" s="95"/>
      <x:c r="F10" s="95"/>
      <x:c r="G10" s="95"/>
      <x:c r="H10" s="95"/>
      <x:c r="I10" s="95"/>
      <x:c r="J10" s="95"/>
      <x:c r="K10" s="95"/>
      <x:c r="L10" s="95"/>
      <x:c r="M10" s="95"/>
      <x:c r="N10" s="95"/>
    </x:row>
    <x:row r="11" ht="32" customHeight="1">
      <x:c r="A11" s="101" t="str">
        <x:v>Maximum governed evidence</x:v>
      </x:c>
      <x:c r="B11" s="102" t="n">
        <x:f>Evidence!D7</x:f>
        <x:v>6491.6810719488</x:v>
      </x:c>
      <x:c r="C11" s="101" t="str">
        <x:v>GB</x:v>
      </x:c>
      <x:c r="D11" s="103" t="str">
        <x:v>All issued packets coexist</x:v>
      </x:c>
      <x:c r="E11" s="95"/>
      <x:c r="F11" s="95"/>
      <x:c r="G11" s="95"/>
      <x:c r="H11" s="95"/>
      <x:c r="I11" s="95"/>
      <x:c r="J11" s="95"/>
      <x:c r="K11" s="95"/>
      <x:c r="L11" s="95"/>
      <x:c r="M11" s="95"/>
      <x:c r="N11" s="95"/>
    </x:row>
    <x:row r="12" ht="32" customHeight="1">
      <x:c r="A12" s="101" t="str">
        <x:v>Public establishment</x:v>
      </x:c>
      <x:c r="B12" s="102" t="n">
        <x:f>Controls!B34</x:f>
        <x:v>384</x:v>
      </x:c>
      <x:c r="C12" s="101" t="str">
        <x:v>positions</x:v>
      </x:c>
      <x:c r="D12" s="103" t="str">
        <x:v>Two event units plus return, source, evidence and command formations</x:v>
      </x:c>
      <x:c r="E12" s="95"/>
      <x:c r="F12" s="95"/>
      <x:c r="G12" s="95"/>
      <x:c r="H12" s="95"/>
      <x:c r="I12" s="95"/>
      <x:c r="J12" s="95"/>
      <x:c r="K12" s="95"/>
      <x:c r="L12" s="95"/>
      <x:c r="M12" s="95"/>
      <x:c r="N12" s="95"/>
    </x:row>
    <x:row r="13" ht="32" customHeight="1">
      <x:c r="A13" s="101" t="str">
        <x:v>Stage exposure</x:v>
      </x:c>
      <x:c r="B13" s="102" t="n">
        <x:f>Finance!B41</x:f>
        <x:v>66</x:v>
      </x:c>
      <x:c r="C13" s="101" t="str">
        <x:v>USD M</x:v>
      </x:c>
      <x:c r="D13" s="103" t="str">
        <x:v>Capital plus twelve months of support</x:v>
      </x:c>
      <x:c r="E13" s="95"/>
      <x:c r="F13" s="95"/>
      <x:c r="G13" s="95"/>
      <x:c r="H13" s="95"/>
      <x:c r="I13" s="95"/>
      <x:c r="J13" s="95"/>
      <x:c r="K13" s="95"/>
      <x:c r="L13" s="95"/>
      <x:c r="M13" s="95"/>
      <x:c r="N13" s="95"/>
    </x:row>
    <x:row r="14" ht="32" customHeight="1">
      <x:c r="A14" s="104" t="str">
        <x:v>Physical class state</x:v>
      </x:c>
      <x:c r="B14" s="105" t="str">
        <x:f>Decisions!E12</x:f>
        <x:v>BLOCKED</x:v>
      </x:c>
      <x:c r="C14" s="104" t="str"/>
      <x:c r="D14" s="106" t="str">
        <x:v>No physical result is inferred from planning checks</x:v>
      </x:c>
      <x:c r="E14" s="95"/>
      <x:c r="F14" s="95"/>
      <x:c r="G14" s="95"/>
      <x:c r="H14" s="95"/>
      <x:c r="I14" s="95"/>
      <x:c r="J14" s="95"/>
      <x:c r="K14" s="95"/>
      <x:c r="L14" s="95"/>
      <x:c r="M14" s="95"/>
      <x:c r="N14" s="95"/>
    </x:row>
    <x:row r="15">
      <x:c r="A15" s="95"/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</x:row>
    <x:row r="16">
      <x:c r="A16" s="95"/>
      <x:c r="B16" s="95"/>
      <x:c r="C16" s="95"/>
      <x:c r="D16" s="95"/>
      <x:c r="E16" s="95"/>
      <x:c r="F16" s="95"/>
      <x:c r="G16" s="95"/>
      <x:c r="H16" s="95"/>
      <x:c r="I16" s="95"/>
      <x:c r="J16" s="95"/>
      <x:c r="K16" s="95"/>
      <x:c r="L16" s="95"/>
      <x:c r="M16" s="95"/>
      <x:c r="N16" s="95"/>
    </x:row>
    <x:row r="17">
      <x:c r="A17" s="107" t="str">
        <x:v>Research conclusions</x:v>
      </x:c>
      <x:c r="B17" s="107"/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</x:row>
    <x:row r="18" ht="42" customHeight="1">
      <x:c r="A18" s="98" t="str">
        <x:v>1</x:v>
      </x:c>
      <x:c r="B18" s="98" t="str">
        <x:v>Balanced national pace</x:v>
      </x:c>
      <x:c r="C18" s="98" t="str">
        <x:v>Capacity</x:v>
      </x:c>
      <x:c r="D18" s="100" t="str">
        <x:v>Two event units, six rigs, six return lanes and two preparation lines each support two starts per week.</x:v>
      </x:c>
      <x:c r="E18" s="95"/>
      <x:c r="F18" s="95"/>
      <x:c r="G18" s="95"/>
      <x:c r="H18" s="95"/>
      <x:c r="I18" s="95"/>
      <x:c r="J18" s="95"/>
      <x:c r="K18" s="95"/>
      <x:c r="L18" s="95"/>
      <x:c r="M18" s="95"/>
      <x:c r="N18" s="95"/>
    </x:row>
    <x:row r="19" ht="42" customHeight="1">
      <x:c r="A19" s="101" t="str">
        <x:v>2</x:v>
      </x:c>
      <x:c r="B19" s="101" t="str">
        <x:v>Exact-cell concentration</x:v>
      </x:c>
      <x:c r="C19" s="101" t="str">
        <x:v>Schedule</x:v>
      </x:c>
      <x:c r="D19" s="103" t="str">
        <x:v>Fourteen reserves can extend the class to day 357 even though the bank still contains only twenty-six attempts.</x:v>
      </x:c>
      <x:c r="E19" s="95"/>
      <x:c r="F19" s="95"/>
      <x:c r="G19" s="95"/>
      <x:c r="H19" s="95"/>
      <x:c r="I19" s="95"/>
      <x:c r="J19" s="95"/>
      <x:c r="K19" s="95"/>
      <x:c r="L19" s="95"/>
      <x:c r="M19" s="95"/>
      <x:c r="N19" s="95"/>
    </x:row>
    <x:row r="20" ht="42" customHeight="1">
      <x:c r="A20" s="101" t="str">
        <x:v>3</x:v>
      </x:c>
      <x:c r="B20" s="101" t="str">
        <x:v>Fixed source allowance</x:v>
      </x:c>
      <x:c r="C20" s="101" t="str">
        <x:v>Custody</x:v>
      </x:c>
      <x:c r="D20" s="103" t="str">
        <x:v>Environmental and unaccounted-source budgets remain 3.000 kg and 22.500 kg across every issued attempt.</x:v>
      </x:c>
      <x:c r="E20" s="95"/>
      <x:c r="F20" s="95"/>
      <x:c r="G20" s="95"/>
      <x:c r="H20" s="95"/>
      <x:c r="I20" s="95"/>
      <x:c r="J20" s="95"/>
      <x:c r="K20" s="95"/>
      <x:c r="L20" s="95"/>
      <x:c r="M20" s="95"/>
      <x:c r="N20" s="95"/>
    </x:row>
    <x:row r="21" ht="42" customHeight="1">
      <x:c r="A21" s="101" t="str">
        <x:v>4</x:v>
      </x:c>
      <x:c r="B21" s="101" t="str">
        <x:v>Technology response</x:v>
      </x:c>
      <x:c r="C21" s="101" t="str">
        <x:v>Innovation</x:v>
      </x:c>
      <x:c r="D21" s="103" t="str">
        <x:v>Removable wetted boundaries, residue tomography and robotic return are research programs, not assumed benefits.</x:v>
      </x:c>
      <x:c r="E21" s="95"/>
      <x:c r="F21" s="95"/>
      <x:c r="G21" s="95"/>
      <x:c r="H21" s="95"/>
      <x:c r="I21" s="95"/>
      <x:c r="J21" s="95"/>
      <x:c r="K21" s="95"/>
      <x:c r="L21" s="95"/>
      <x:c r="M21" s="95"/>
      <x:c r="N21" s="95"/>
    </x:row>
    <x:row r="22" ht="42" customHeight="1">
      <x:c r="A22" s="104" t="str">
        <x:v>5</x:v>
      </x:c>
      <x:c r="B22" s="104" t="str">
        <x:v>Next scale</x:v>
      </x:c>
      <x:c r="C22" s="104" t="str">
        <x:v>Next object</x:v>
      </x:c>
      <x:c r="D22" s="106" t="str">
        <x:v>A 500 kg event needs a new receiver and hydraulic architecture because the current receiver is too small and the same-schedule surge exceeds design.</x:v>
      </x:c>
      <x:c r="E22" s="95"/>
      <x:c r="F22" s="95"/>
      <x:c r="G22" s="95"/>
      <x:c r="H22" s="95"/>
      <x:c r="I22" s="95"/>
      <x:c r="J22" s="95" t="str">
        <x:v>Case</x:v>
      </x:c>
      <x:c r="K22" s="95" t="str">
        <x:v>Class review day</x:v>
      </x:c>
      <x:c r="L22" s="95"/>
      <x:c r="M22" s="95"/>
      <x:c r="N22" s="95"/>
    </x:row>
    <x:row r="23">
      <x:c r="A23" s="95"/>
      <x:c r="B23" s="95"/>
      <x:c r="C23" s="95"/>
      <x:c r="D23" s="95"/>
      <x:c r="E23" s="95"/>
      <x:c r="F23" s="95"/>
      <x:c r="G23" s="95"/>
      <x:c r="H23" s="95"/>
      <x:c r="I23" s="95"/>
      <x:c r="J23" s="95" t="str">
        <x:f>Attrition!A6</x:f>
        <x:v>Primary only</x:v>
      </x:c>
      <x:c r="K23" s="95" t="n">
        <x:f>Attrition!G6</x:f>
        <x:v>77</x:v>
      </x:c>
      <x:c r="L23" s="95"/>
      <x:c r="M23" s="95"/>
      <x:c r="N23" s="95"/>
    </x:row>
    <x:row r="24">
      <x:c r="A24" s="95"/>
      <x:c r="B24" s="95"/>
      <x:c r="C24" s="95"/>
      <x:c r="D24" s="95"/>
      <x:c r="E24" s="95"/>
      <x:c r="F24" s="95"/>
      <x:c r="G24" s="95"/>
      <x:c r="H24" s="95"/>
      <x:c r="I24" s="95"/>
      <x:c r="J24" s="95" t="str">
        <x:f>Attrition!A7</x:f>
        <x:v>All reserves, distributed</x:v>
      </x:c>
      <x:c r="K24" s="95" t="n">
        <x:f>Attrition!G7</x:f>
        <x:v>126</x:v>
      </x:c>
      <x:c r="L24" s="95"/>
      <x:c r="M24" s="95"/>
      <x:c r="N24" s="95"/>
    </x:row>
    <x:row r="25">
      <x:c r="A25" s="95"/>
      <x:c r="B25" s="95"/>
      <x:c r="C25" s="95"/>
      <x:c r="D25" s="95"/>
      <x:c r="E25" s="95"/>
      <x:c r="F25" s="95"/>
      <x:c r="G25" s="95"/>
      <x:c r="H25" s="95"/>
      <x:c r="I25" s="95"/>
      <x:c r="J25" s="95" t="str">
        <x:f>Attrition!A8</x:f>
        <x:v>One family in one cell</x:v>
      </x:c>
      <x:c r="K25" s="95" t="n">
        <x:f>Attrition!G8</x:f>
        <x:v>210</x:v>
      </x:c>
      <x:c r="L25" s="95"/>
      <x:c r="M25" s="95"/>
      <x:c r="N25" s="95"/>
    </x:row>
    <x:row r="26">
      <x:c r="A26" s="95"/>
      <x:c r="B26" s="95"/>
      <x:c r="C26" s="95"/>
      <x:c r="D26" s="95"/>
      <x:c r="E26" s="95"/>
      <x:c r="F26" s="95"/>
      <x:c r="G26" s="95"/>
      <x:c r="H26" s="95"/>
      <x:c r="I26" s="95"/>
      <x:c r="J26" s="95" t="str">
        <x:f>Attrition!A9</x:f>
        <x:v>Both families on one non-seed rig</x:v>
      </x:c>
      <x:c r="K26" s="95" t="n">
        <x:f>Attrition!G9</x:f>
        <x:v>357</x:v>
      </x:c>
      <x:c r="L26" s="95"/>
      <x:c r="M26" s="95"/>
      <x:c r="N26" s="95"/>
    </x:row>
  </x:sheetData>
  <x:pageMargins left="0.7" right="0.7" top="0.75" bottom="0.75" header="0.3" footer="0.3"/>
  <x:drawing xmlns:r="http://schemas.openxmlformats.org/officeDocument/2006/relationships" r:id="R34c3bddbf82b47f4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13.329999923706055" hidden="0" customWidth="1"/>
    <x:col min="3" max="3" width="12.220000267028809" hidden="0" customWidth="1"/>
    <x:col min="4" max="4" width="40" hidden="0" customWidth="1"/>
  </x:cols>
  <x:sheetData>
    <x:row r="2">
      <x:c r="A2" s="94" t="str">
        <x:v>RBD-1 governing controls</x:v>
      </x:c>
      <x:c r="B2" s="95"/>
      <x:c r="C2" s="95"/>
      <x:c r="D2" s="95"/>
      <x:c r="E2" s="95"/>
      <x:c r="F2" s="95"/>
      <x:c r="G2" s="95"/>
    </x:row>
    <x:row r="3">
      <x:c r="A3" s="96"/>
      <x:c r="B3" s="96"/>
      <x:c r="C3" s="96"/>
      <x:c r="D3" s="96"/>
      <x:c r="E3" s="96"/>
      <x:c r="F3" s="96"/>
      <x:c r="G3" s="96"/>
    </x:row>
    <x:row r="4">
      <x:c r="A4" s="97" t="str">
        <x:v>Blue cells are declared planning inputs. Physical observations remain in the execution registers.</x:v>
      </x:c>
      <x:c r="B4" s="95"/>
      <x:c r="C4" s="95"/>
      <x:c r="D4" s="95"/>
      <x:c r="E4" s="95"/>
      <x:c r="F4" s="95"/>
      <x:c r="G4" s="95"/>
    </x:row>
    <x:row r="5">
      <x:c r="A5" s="9" t="str">
        <x:v>Control</x:v>
      </x:c>
      <x:c r="B5" s="10" t="str">
        <x:v>Value</x:v>
      </x:c>
      <x:c r="C5" s="10" t="str">
        <x:v>Unit</x:v>
      </x:c>
      <x:c r="D5" s="11" t="str">
        <x:v>Basis</x:v>
      </x:c>
      <x:c r="E5" s="95"/>
      <x:c r="F5" s="95"/>
      <x:c r="G5" s="95"/>
    </x:row>
    <x:row r="6">
      <x:c r="A6" s="98" t="str">
        <x:v>Required exact cells</x:v>
      </x:c>
      <x:c r="B6" s="108" t="n">
        <x:v>12</x:v>
      </x:c>
      <x:c r="C6" s="98" t="str">
        <x:v>cells</x:v>
      </x:c>
      <x:c r="D6" s="98" t="str">
        <x:v>Six rigs crossed with two primary roots</x:v>
      </x:c>
      <x:c r="E6" s="95"/>
      <x:c r="F6" s="95"/>
      <x:c r="G6" s="95"/>
    </x:row>
    <x:row r="7">
      <x:c r="A7" s="101" t="str">
        <x:v>Public rigs</x:v>
      </x:c>
      <x:c r="B7" s="109" t="n">
        <x:v>6</x:v>
      </x:c>
      <x:c r="C7" s="101" t="str">
        <x:v>rigs</x:v>
      </x:c>
      <x:c r="D7" s="101" t="str">
        <x:v>Inherited accepted pool</x:v>
      </x:c>
      <x:c r="E7" s="95"/>
      <x:c r="F7" s="95"/>
      <x:c r="G7" s="95"/>
    </x:row>
    <x:row r="8">
      <x:c r="A8" s="101" t="str">
        <x:v>Root families</x:v>
      </x:c>
      <x:c r="B8" s="109" t="n">
        <x:v>2</x:v>
      </x:c>
      <x:c r="C8" s="101" t="str">
        <x:v>families</x:v>
      </x:c>
      <x:c r="D8" s="101" t="str">
        <x:v>TR-A and TR-B</x:v>
      </x:c>
      <x:c r="E8" s="95"/>
      <x:c r="F8" s="95"/>
      <x:c r="G8" s="95"/>
    </x:row>
    <x:row r="9">
      <x:c r="A9" s="101" t="str">
        <x:v>Complete event units</x:v>
      </x:c>
      <x:c r="B9" s="109" t="n">
        <x:v>2</x:v>
      </x:c>
      <x:c r="C9" s="101" t="str">
        <x:v>units</x:v>
      </x:c>
      <x:c r="D9" s="101" t="str">
        <x:v>64 positions each</x:v>
      </x:c>
      <x:c r="E9" s="95"/>
      <x:c r="F9" s="95"/>
      <x:c r="G9" s="95"/>
    </x:row>
    <x:row r="10">
      <x:c r="A10" s="101" t="str">
        <x:v>Event-unit start cycle</x:v>
      </x:c>
      <x:c r="B10" s="109" t="n">
        <x:v>7</x:v>
      </x:c>
      <x:c r="C10" s="101" t="str">
        <x:v>days</x:v>
      </x:c>
      <x:c r="D10" s="101" t="str">
        <x:v>One start per unit per cycle</x:v>
      </x:c>
      <x:c r="E10" s="95"/>
      <x:c r="F10" s="95"/>
      <x:c r="G10" s="95"/>
    </x:row>
    <x:row r="11">
      <x:c r="A11" s="101" t="str">
        <x:v>Independent return lanes</x:v>
      </x:c>
      <x:c r="B11" s="109" t="n">
        <x:v>6</x:v>
      </x:c>
      <x:c r="C11" s="101" t="str">
        <x:v>lanes</x:v>
      </x:c>
      <x:c r="D11" s="101" t="str">
        <x:v>One source-exposed lane per rig</x:v>
      </x:c>
      <x:c r="E11" s="95"/>
      <x:c r="F11" s="95"/>
      <x:c r="G11" s="95"/>
    </x:row>
    <x:row r="12">
      <x:c r="A12" s="101" t="str">
        <x:v>Minimum same-rig interval</x:v>
      </x:c>
      <x:c r="B12" s="109" t="n">
        <x:v>21</x:v>
      </x:c>
      <x:c r="C12" s="101" t="str">
        <x:v>days</x:v>
      </x:c>
      <x:c r="D12" s="101" t="str">
        <x:v>504 hours from prior T0</x:v>
      </x:c>
      <x:c r="E12" s="95"/>
      <x:c r="F12" s="95"/>
      <x:c r="G12" s="95"/>
    </x:row>
    <x:row r="13">
      <x:c r="A13" s="101" t="str">
        <x:v>Source-preparation lines</x:v>
      </x:c>
      <x:c r="B13" s="109" t="n">
        <x:v>2</x:v>
      </x:c>
      <x:c r="C13" s="101" t="str">
        <x:v>lines</x:v>
      </x:c>
      <x:c r="D13" s="101" t="str">
        <x:v>Family-correct package preparation</x:v>
      </x:c>
      <x:c r="E13" s="95"/>
      <x:c r="F13" s="95"/>
      <x:c r="G13" s="95"/>
    </x:row>
    <x:row r="14">
      <x:c r="A14" s="101" t="str">
        <x:v>Package preparation cycle</x:v>
      </x:c>
      <x:c r="B14" s="109" t="n">
        <x:v>7</x:v>
      </x:c>
      <x:c r="C14" s="101" t="str">
        <x:v>days</x:v>
      </x:c>
      <x:c r="D14" s="101" t="str">
        <x:v>One accepted package per line</x:v>
      </x:c>
      <x:c r="E14" s="95"/>
      <x:c r="F14" s="95"/>
      <x:c r="G14" s="95"/>
    </x:row>
    <x:row r="15">
      <x:c r="A15" s="101" t="str">
        <x:v>Active packages</x:v>
      </x:c>
      <x:c r="B15" s="109" t="n">
        <x:v>12</x:v>
      </x:c>
      <x:c r="C15" s="101" t="str">
        <x:v>packages</x:v>
      </x:c>
      <x:c r="D15" s="101" t="str">
        <x:v>One per required cell</x:v>
      </x:c>
      <x:c r="E15" s="95"/>
      <x:c r="F15" s="95"/>
      <x:c r="G15" s="95"/>
    </x:row>
    <x:row r="16">
      <x:c r="A16" s="101" t="str">
        <x:v>Reserves per root family</x:v>
      </x:c>
      <x:c r="B16" s="109" t="n">
        <x:v>7</x:v>
      </x:c>
      <x:c r="C16" s="101" t="str">
        <x:v>packages</x:v>
      </x:c>
      <x:c r="D16" s="101" t="str">
        <x:v>Dormant ordered family queue</x:v>
      </x:c>
      <x:c r="E16" s="95"/>
      <x:c r="F16" s="95"/>
      <x:c r="G16" s="95"/>
    </x:row>
    <x:row r="17">
      <x:c r="A17" s="101" t="str">
        <x:v>Forensic reference packages</x:v>
      </x:c>
      <x:c r="B17" s="109" t="n">
        <x:v>2</x:v>
      </x:c>
      <x:c r="C17" s="101" t="str">
        <x:v>packages</x:v>
      </x:c>
      <x:c r="D17" s="101" t="str">
        <x:v>No event token</x:v>
      </x:c>
      <x:c r="E17" s="95"/>
      <x:c r="F17" s="95"/>
      <x:c r="G17" s="95"/>
    </x:row>
    <x:row r="18">
      <x:c r="A18" s="101" t="str">
        <x:v>Gross package mass</x:v>
      </x:c>
      <x:c r="B18" s="109" t="n">
        <x:v>300</x:v>
      </x:c>
      <x:c r="C18" s="101" t="str">
        <x:v>kg</x:v>
      </x:c>
      <x:c r="D18" s="101" t="str">
        <x:v>Complete custody object</x:v>
      </x:c>
      <x:c r="E18" s="95"/>
      <x:c r="F18" s="95"/>
      <x:c r="G18" s="95"/>
    </x:row>
    <x:row r="19">
      <x:c r="A19" s="101" t="str">
        <x:v>Event aliquot</x:v>
      </x:c>
      <x:c r="B19" s="109" t="n">
        <x:v>250</x:v>
      </x:c>
      <x:c r="C19" s="101" t="str">
        <x:v>kg</x:v>
      </x:c>
      <x:c r="D19" s="101" t="str">
        <x:v>Exact attempt source</x:v>
      </x:c>
      <x:c r="E19" s="95"/>
      <x:c r="F19" s="95"/>
      <x:c r="G19" s="95"/>
    </x:row>
    <x:row r="20">
      <x:c r="A20" s="101" t="str">
        <x:v>Environmental source per credit</x:v>
      </x:c>
      <x:c r="B20" s="109" t="n">
        <x:v>0.25</x:v>
      </x:c>
      <x:c r="C20" s="101" t="str">
        <x:v>kg</x:v>
      </x:c>
      <x:c r="D20" s="101" t="str">
        <x:v>Fixed twelve-credit budget</x:v>
      </x:c>
      <x:c r="E20" s="95"/>
      <x:c r="F20" s="95"/>
      <x:c r="G20" s="95"/>
    </x:row>
    <x:row r="21">
      <x:c r="A21" s="101" t="str">
        <x:v>Unaccounted source per credit</x:v>
      </x:c>
      <x:c r="B21" s="109" t="n">
        <x:v>1.875</x:v>
      </x:c>
      <x:c r="C21" s="101" t="str">
        <x:v>kg</x:v>
      </x:c>
      <x:c r="D21" s="101" t="str">
        <x:v>Fixed twelve-credit budget</x:v>
      </x:c>
      <x:c r="E21" s="95"/>
      <x:c r="F21" s="95"/>
      <x:c r="G21" s="95"/>
    </x:row>
    <x:row r="22">
      <x:c r="A22" s="101" t="str">
        <x:v>Event gates per attempt</x:v>
      </x:c>
      <x:c r="B22" s="109" t="n">
        <x:v>42</x:v>
      </x:c>
      <x:c r="C22" s="101" t="str">
        <x:v>decisions</x:v>
      </x:c>
      <x:c r="D22" s="101" t="str">
        <x:v>Inherited RBC-1 event</x:v>
      </x:c>
      <x:c r="E22" s="95"/>
      <x:c r="F22" s="95"/>
      <x:c r="G22" s="95"/>
    </x:row>
    <x:row r="23">
      <x:c r="A23" s="101" t="str">
        <x:v>Dossier bindings per attempt</x:v>
      </x:c>
      <x:c r="B23" s="109" t="n">
        <x:v>217</x:v>
      </x:c>
      <x:c r="C23" s="101" t="str">
        <x:v>objects</x:v>
      </x:c>
      <x:c r="D23" s="101" t="str">
        <x:v>Inherited RBC-1 event</x:v>
      </x:c>
      <x:c r="E23" s="95"/>
      <x:c r="F23" s="95"/>
      <x:c r="G23" s="95"/>
    </x:row>
    <x:row r="24">
      <x:c r="A24" s="101" t="str">
        <x:v>Safeing paths per attempt</x:v>
      </x:c>
      <x:c r="B24" s="109" t="n">
        <x:v>36</x:v>
      </x:c>
      <x:c r="C24" s="101" t="str">
        <x:v>paths</x:v>
      </x:c>
      <x:c r="D24" s="101" t="str">
        <x:v>Twelve elements by three paths</x:v>
      </x:c>
      <x:c r="E24" s="95"/>
      <x:c r="F24" s="95"/>
      <x:c r="G24" s="95"/>
    </x:row>
    <x:row r="25">
      <x:c r="A25" s="101" t="str">
        <x:v>Root measurements per attempt</x:v>
      </x:c>
      <x:c r="B25" s="109" t="n">
        <x:v>60</x:v>
      </x:c>
      <x:c r="C25" s="101" t="str">
        <x:v>records</x:v>
      </x:c>
      <x:c r="D25" s="101" t="str">
        <x:v>Both roots retained</x:v>
      </x:c>
      <x:c r="E25" s="95"/>
      <x:c r="F25" s="95"/>
      <x:c r="G25" s="95"/>
    </x:row>
    <x:row r="26">
      <x:c r="A26" s="101" t="str">
        <x:v>Samples per attempt</x:v>
      </x:c>
      <x:c r="B26" s="109" t="n">
        <x:v>10</x:v>
      </x:c>
      <x:c r="C26" s="101" t="str">
        <x:v>samples</x:v>
      </x:c>
      <x:c r="D26" s="101" t="str">
        <x:v>Physical custody</x:v>
      </x:c>
      <x:c r="E26" s="95"/>
      <x:c r="F26" s="95"/>
      <x:c r="G26" s="95"/>
    </x:row>
    <x:row r="27">
      <x:c r="A27" s="101" t="str">
        <x:v>Return work packages per attempt</x:v>
      </x:c>
      <x:c r="B27" s="109" t="n">
        <x:v>20</x:v>
      </x:c>
      <x:c r="C27" s="101" t="str">
        <x:v>packages</x:v>
      </x:c>
      <x:c r="D27" s="101" t="str">
        <x:v>Source-exposed return</x:v>
      </x:c>
      <x:c r="E27" s="95"/>
      <x:c r="F27" s="95"/>
      <x:c r="G27" s="95"/>
    </x:row>
    <x:row r="28">
      <x:c r="A28" s="101" t="str">
        <x:v>Return decisions per attempt</x:v>
      </x:c>
      <x:c r="B28" s="109" t="n">
        <x:v>14</x:v>
      </x:c>
      <x:c r="C28" s="101" t="str">
        <x:v>decisions</x:v>
      </x:c>
      <x:c r="D28" s="101" t="str">
        <x:v>New-baseline authority</x:v>
      </x:c>
      <x:c r="E28" s="95"/>
      <x:c r="F28" s="95"/>
      <x:c r="G28" s="95"/>
    </x:row>
    <x:row r="29">
      <x:c r="A29" s="101" t="str">
        <x:v>Replay decisions per attempt</x:v>
      </x:c>
      <x:c r="B29" s="109" t="n">
        <x:v>24</x:v>
      </x:c>
      <x:c r="C29" s="101" t="str">
        <x:v>decisions</x:v>
      </x:c>
      <x:c r="D29" s="101" t="str">
        <x:v>Twelve packet classes at two campuses</x:v>
      </x:c>
      <x:c r="E29" s="95"/>
      <x:c r="F29" s="95"/>
      <x:c r="G29" s="95"/>
    </x:row>
    <x:row r="30">
      <x:c r="A30" s="101" t="str">
        <x:v>Native evidence per attempt</x:v>
      </x:c>
      <x:c r="B30" s="109" t="n">
        <x:v>192.061570176</x:v>
      </x:c>
      <x:c r="C30" s="101" t="str">
        <x:v>GB</x:v>
      </x:c>
      <x:c r="D30" s="101" t="str">
        <x:v>Two native originals included</x:v>
      </x:c>
      <x:c r="E30" s="95"/>
      <x:c r="F30" s="95"/>
      <x:c r="G30" s="95"/>
    </x:row>
    <x:row r="31">
      <x:c r="A31" s="101" t="str">
        <x:v>Governed evidence per attempt</x:v>
      </x:c>
      <x:c r="B31" s="109" t="n">
        <x:v>249.6800412288</x:v>
      </x:c>
      <x:c r="C31" s="101" t="str">
        <x:v>GB</x:v>
      </x:c>
      <x:c r="D31" s="101" t="str">
        <x:v>Includes 1.30 capacity allowance</x:v>
      </x:c>
      <x:c r="E31" s="95"/>
      <x:c r="F31" s="95"/>
      <x:c r="G31" s="95"/>
    </x:row>
    <x:row r="32">
      <x:c r="A32" s="101" t="str">
        <x:v>Replay and class-review tail</x:v>
      </x:c>
      <x:c r="B32" s="109" t="n">
        <x:v>14</x:v>
      </x:c>
      <x:c r="C32" s="101" t="str">
        <x:v>days</x:v>
      </x:c>
      <x:c r="D32" s="101" t="str">
        <x:v>Two replay windows and final board</x:v>
      </x:c>
      <x:c r="E32" s="95"/>
      <x:c r="F32" s="95"/>
      <x:c r="G32" s="95"/>
    </x:row>
    <x:row r="33">
      <x:c r="A33" s="101" t="str">
        <x:v>Campaign envelope</x:v>
      </x:c>
      <x:c r="B33" s="109" t="n">
        <x:v>365</x:v>
      </x:c>
      <x:c r="C33" s="101" t="str">
        <x:v>days</x:v>
      </x:c>
      <x:c r="D33" s="101" t="str">
        <x:v>Twelve-month stage</x:v>
      </x:c>
      <x:c r="E33" s="95"/>
      <x:c r="F33" s="95"/>
      <x:c r="G33" s="95"/>
    </x:row>
    <x:row r="34">
      <x:c r="A34" s="101" t="str">
        <x:v>Public establishment</x:v>
      </x:c>
      <x:c r="B34" s="109" t="n">
        <x:v>384</x:v>
      </x:c>
      <x:c r="C34" s="101" t="str">
        <x:v>positions</x:v>
      </x:c>
      <x:c r="D34" s="101" t="str">
        <x:v>Existing RAS-1 formation</x:v>
      </x:c>
      <x:c r="E34" s="95"/>
      <x:c r="F34" s="95"/>
      <x:c r="G34" s="95"/>
    </x:row>
    <x:row r="35">
      <x:c r="A35" s="101" t="str">
        <x:v>RBD-1 capital</x:v>
      </x:c>
      <x:c r="B35" s="109" t="n">
        <x:v>52</x:v>
      </x:c>
      <x:c r="C35" s="101" t="str">
        <x:v>USD M</x:v>
      </x:c>
      <x:c r="D35" s="101" t="str">
        <x:v>Stage allocation</x:v>
      </x:c>
      <x:c r="E35" s="95"/>
      <x:c r="F35" s="95"/>
      <x:c r="G35" s="95"/>
    </x:row>
    <x:row r="36">
      <x:c r="A36" s="101" t="str">
        <x:v>RBD-1 annual support</x:v>
      </x:c>
      <x:c r="B36" s="109" t="n">
        <x:v>14</x:v>
      </x:c>
      <x:c r="C36" s="101" t="str">
        <x:v>USD M/year</x:v>
      </x:c>
      <x:c r="D36" s="101" t="str">
        <x:v>Twelve-month rate</x:v>
      </x:c>
      <x:c r="E36" s="95"/>
      <x:c r="F36" s="95"/>
      <x:c r="G36" s="95"/>
    </x:row>
    <x:row r="37">
      <x:c r="A37" s="101" t="str">
        <x:v>RBD-1 technology</x:v>
      </x:c>
      <x:c r="B37" s="109" t="n">
        <x:v>120</x:v>
      </x:c>
      <x:c r="C37" s="101" t="str">
        <x:v>USD M</x:v>
      </x:c>
      <x:c r="D37" s="101" t="str">
        <x:v>Cross-classified</x:v>
      </x:c>
      <x:c r="E37" s="95"/>
      <x:c r="F37" s="95"/>
      <x:c r="G37" s="95"/>
    </x:row>
    <x:row r="38">
      <x:c r="A38" s="101" t="str">
        <x:v>RAS-1 parent capital</x:v>
      </x:c>
      <x:c r="B38" s="109" t="n">
        <x:v>620</x:v>
      </x:c>
      <x:c r="C38" s="101" t="str">
        <x:v>USD M</x:v>
      </x:c>
      <x:c r="D38" s="101" t="str">
        <x:v>Parent authority</x:v>
      </x:c>
      <x:c r="E38" s="95"/>
      <x:c r="F38" s="95"/>
      <x:c r="G38" s="95"/>
    </x:row>
    <x:row r="39">
      <x:c r="A39" s="101" t="str">
        <x:v>Capital through RBC-1</x:v>
      </x:c>
      <x:c r="B39" s="109" t="n">
        <x:v>498</x:v>
      </x:c>
      <x:c r="C39" s="101" t="str">
        <x:v>USD M</x:v>
      </x:c>
      <x:c r="D39" s="101" t="str">
        <x:v>Accepted planning boundary</x:v>
      </x:c>
      <x:c r="E39" s="95"/>
      <x:c r="F39" s="95"/>
      <x:c r="G39" s="95"/>
    </x:row>
    <x:row r="40">
      <x:c r="A40" s="101" t="str">
        <x:v>RAS-1 parent annual support</x:v>
      </x:c>
      <x:c r="B40" s="109" t="n">
        <x:v>235</x:v>
      </x:c>
      <x:c r="C40" s="101" t="str">
        <x:v>USD M/year</x:v>
      </x:c>
      <x:c r="D40" s="101" t="str">
        <x:v>Parent authority</x:v>
      </x:c>
      <x:c r="E40" s="95"/>
      <x:c r="F40" s="95"/>
      <x:c r="G40" s="95"/>
    </x:row>
    <x:row r="41">
      <x:c r="A41" s="101" t="str">
        <x:v>Annual support through RBC-1</x:v>
      </x:c>
      <x:c r="B41" s="109" t="n">
        <x:v>212</x:v>
      </x:c>
      <x:c r="C41" s="101" t="str">
        <x:v>USD M/year</x:v>
      </x:c>
      <x:c r="D41" s="101" t="str">
        <x:v>Accepted planning boundary</x:v>
      </x:c>
      <x:c r="E41" s="95"/>
      <x:c r="F41" s="95"/>
      <x:c r="G41" s="95"/>
    </x:row>
    <x:row r="42">
      <x:c r="A42" s="101" t="str">
        <x:v>RAS-1 parent technology</x:v>
      </x:c>
      <x:c r="B42" s="109" t="n">
        <x:v>1005</x:v>
      </x:c>
      <x:c r="C42" s="101" t="str">
        <x:v>USD M</x:v>
      </x:c>
      <x:c r="D42" s="101" t="str">
        <x:v>Parent authority</x:v>
      </x:c>
      <x:c r="E42" s="95"/>
      <x:c r="F42" s="95"/>
      <x:c r="G42" s="95"/>
    </x:row>
    <x:row r="43">
      <x:c r="A43" s="101" t="str">
        <x:v>Technology through RBC-1</x:v>
      </x:c>
      <x:c r="B43" s="109" t="n">
        <x:v>795</x:v>
      </x:c>
      <x:c r="C43" s="101" t="str">
        <x:v>USD M</x:v>
      </x:c>
      <x:c r="D43" s="101" t="str">
        <x:v>Accepted planning boundary</x:v>
      </x:c>
      <x:c r="E43" s="95"/>
      <x:c r="F43" s="95"/>
      <x:c r="G43" s="95"/>
    </x:row>
    <x:row r="44">
      <x:c r="A44" s="101" t="str">
        <x:v>RAS-1 gross exposure</x:v>
      </x:c>
      <x:c r="B44" s="109" t="n">
        <x:v>1207.5</x:v>
      </x:c>
      <x:c r="C44" s="101" t="str">
        <x:v>USD M</x:v>
      </x:c>
      <x:c r="D44" s="101" t="str">
        <x:v>Parent gross boundary</x:v>
      </x:c>
      <x:c r="E44" s="95"/>
      <x:c r="F44" s="95"/>
      <x:c r="G44" s="95"/>
    </x:row>
    <x:row r="45">
      <x:c r="A45" s="101" t="str">
        <x:v>Cumulative exposure through RBC-1</x:v>
      </x:c>
      <x:c r="B45" s="109" t="n">
        <x:v>791</x:v>
      </x:c>
      <x:c r="C45" s="101" t="str">
        <x:v>USD M</x:v>
      </x:c>
      <x:c r="D45" s="101" t="str">
        <x:v>Child-stage total</x:v>
      </x:c>
      <x:c r="E45" s="95"/>
      <x:c r="F45" s="95"/>
      <x:c r="G45" s="95"/>
    </x:row>
    <x:row r="46">
      <x:c r="A46" s="101" t="str">
        <x:v>Prior release-aware month</x:v>
      </x:c>
      <x:c r="B46" s="109" t="n">
        <x:v>99</x:v>
      </x:c>
      <x:c r="C46" s="101" t="str">
        <x:v>month</x:v>
      </x:c>
      <x:c r="D46" s="101" t="str">
        <x:v>Through RBC-1</x:v>
      </x:c>
      <x:c r="E46" s="95"/>
      <x:c r="F46" s="95"/>
      <x:c r="G46" s="95"/>
    </x:row>
    <x:row r="47">
      <x:c r="A47" s="101" t="str">
        <x:v>Prior sequential month</x:v>
      </x:c>
      <x:c r="B47" s="109" t="n">
        <x:v>123</x:v>
      </x:c>
      <x:c r="C47" s="101" t="str">
        <x:v>month</x:v>
      </x:c>
      <x:c r="D47" s="101" t="str">
        <x:v>Through RBC-1</x:v>
      </x:c>
      <x:c r="E47" s="95"/>
      <x:c r="F47" s="95"/>
      <x:c r="G47" s="95"/>
    </x:row>
    <x:row r="48">
      <x:c r="A48" s="101" t="str">
        <x:v>Stage duration</x:v>
      </x:c>
      <x:c r="B48" s="109" t="n">
        <x:v>12</x:v>
      </x:c>
      <x:c r="C48" s="101" t="str">
        <x:v>months</x:v>
      </x:c>
      <x:c r="D48" s="101" t="str">
        <x:v>Planning envelope</x:v>
      </x:c>
      <x:c r="E48" s="95"/>
      <x:c r="F48" s="95"/>
      <x:c r="G48" s="95"/>
    </x:row>
    <x:row r="49">
      <x:c r="A49" s="101" t="str">
        <x:v>Route design boundary</x:v>
      </x:c>
      <x:c r="B49" s="109" t="n">
        <x:v>2</x:v>
      </x:c>
      <x:c r="C49" s="101" t="str">
        <x:v>MPa</x:v>
      </x:c>
      <x:c r="D49" s="101" t="str">
        <x:v>40 mm route</x:v>
      </x:c>
      <x:c r="E49" s="95"/>
      <x:c r="F49" s="95"/>
      <x:c r="G49" s="95"/>
    </x:row>
    <x:row r="50">
      <x:c r="A50" s="101" t="str">
        <x:v>QE-03 surge screen</x:v>
      </x:c>
      <x:c r="B50" s="109" t="n">
        <x:v>1.657864</x:v>
      </x:c>
      <x:c r="C50" s="101" t="str">
        <x:v>MPa</x:v>
      </x:c>
      <x:c r="D50" s="101" t="str">
        <x:v>250 kg over 120 seconds</x:v>
      </x:c>
      <x:c r="E50" s="95"/>
      <x:c r="F50" s="95"/>
      <x:c r="G50" s="95"/>
    </x:row>
    <x:row r="51">
      <x:c r="A51" s="101" t="str">
        <x:v>QE-04 same-schedule surge screen</x:v>
      </x:c>
      <x:c r="B51" s="109" t="n">
        <x:v>3.315728</x:v>
      </x:c>
      <x:c r="C51" s="101" t="str">
        <x:v>MPa</x:v>
      </x:c>
      <x:c r="D51" s="101" t="str">
        <x:v>500 kg over 120 seconds</x:v>
      </x:c>
      <x:c r="E51" s="95"/>
      <x:c r="F51" s="95"/>
      <x:c r="G51" s="95"/>
    </x:row>
    <x:row r="52">
      <x:c r="A52" s="101" t="str">
        <x:v>QE-04 nominal source volume</x:v>
      </x:c>
      <x:c r="B52" s="109" t="n">
        <x:v>0.625</x:v>
      </x:c>
      <x:c r="C52" s="101" t="str">
        <x:v>m3</x:v>
      </x:c>
      <x:c r="D52" s="101" t="str">
        <x:v>500 kg at 800 kg/m3</x:v>
      </x:c>
      <x:c r="E52" s="95"/>
      <x:c r="F52" s="95"/>
      <x:c r="G52" s="95"/>
    </x:row>
    <x:row r="53">
      <x:c r="A53" s="101" t="str">
        <x:v>Current usable receiver</x:v>
      </x:c>
      <x:c r="B53" s="109" t="n">
        <x:v>0.4</x:v>
      </x:c>
      <x:c r="C53" s="101" t="str">
        <x:v>m3</x:v>
      </x:c>
      <x:c r="D53" s="101" t="str">
        <x:v>REA-250 receiver</x:v>
      </x:c>
      <x:c r="E53" s="95"/>
      <x:c r="F53" s="95"/>
      <x:c r="G53" s="95"/>
    </x:row>
    <x:row r="54">
      <x:c r="A54" s="101" t="str">
        <x:v>Provisioned evidence capacity</x:v>
      </x:c>
      <x:c r="B54" s="109" t="n">
        <x:v>8</x:v>
      </x:c>
      <x:c r="C54" s="101" t="str">
        <x:v>TB</x:v>
      </x:c>
      <x:c r="D54" s="101" t="str">
        <x:v>Class storage floor</x:v>
      </x:c>
      <x:c r="E54" s="95"/>
      <x:c r="F54" s="95"/>
      <x:c r="G54" s="95"/>
    </x:row>
    <x:row r="55">
      <x:c r="A55" s="104" t="str">
        <x:v>Simultaneous evidence ingests</x:v>
      </x:c>
      <x:c r="B55" s="110" t="n">
        <x:v>2</x:v>
      </x:c>
      <x:c r="C55" s="104" t="str">
        <x:v>streams</x:v>
      </x:c>
      <x:c r="D55" s="104" t="str">
        <x:v>One per event unit</x:v>
      </x:c>
      <x:c r="E55" s="95"/>
      <x:c r="F55" s="95"/>
      <x:c r="G55" s="9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.670000076293945" hidden="0" customWidth="1"/>
    <x:col min="2" max="2" width="8.329999923706055" hidden="0" customWidth="1"/>
    <x:col min="3" max="3" width="8.329999923706055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3.890000343322754" hidden="0" customWidth="1"/>
    <x:col min="11" max="11" width="13.329999923706055" hidden="0" customWidth="1"/>
  </x:cols>
  <x:sheetData>
    <x:row r="2">
      <x:c r="A2" s="94" t="str">
        <x:v>Seed-normalized primary calendar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  <x:c r="K3" s="96"/>
    </x:row>
    <x:row r="4">
      <x:c r="A4" s="97" t="str">
        <x:v>S0 is the accepted seed rig; RS is its selected primary root. The labels preserve the physical draw without inventing a rig identity.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</x:row>
    <x:row r="5">
      <x:c r="A5" s="9" t="str">
        <x:v>Order</x:v>
      </x:c>
      <x:c r="B5" s="10" t="str">
        <x:v>Token</x:v>
      </x:c>
      <x:c r="C5" s="10" t="str">
        <x:v>Rig role</x:v>
      </x:c>
      <x:c r="D5" s="10" t="str">
        <x:v>Primary root</x:v>
      </x:c>
      <x:c r="E5" s="10" t="str">
        <x:v>Campus</x:v>
      </x:c>
      <x:c r="F5" s="10" t="str">
        <x:v>Start day</x:v>
      </x:c>
      <x:c r="G5" s="10" t="str">
        <x:v>Earliest return day</x:v>
      </x:c>
      <x:c r="H5" s="10" t="str">
        <x:v>Prior same-rig day</x:v>
      </x:c>
      <x:c r="I5" s="10" t="str">
        <x:v>Interval days</x:v>
      </x:c>
      <x:c r="J5" s="10" t="str">
        <x:v>Interval status</x:v>
      </x:c>
      <x:c r="K5" s="11" t="str">
        <x:v>Active return lanes</x:v>
      </x:c>
    </x:row>
    <x:row r="6">
      <x:c r="A6" s="98" t="n">
        <x:v>1</x:v>
      </x:c>
      <x:c r="B6" s="98" t="str">
        <x:v>P01</x:v>
      </x:c>
      <x:c r="C6" s="98" t="str">
        <x:v>S0</x:v>
      </x:c>
      <x:c r="D6" s="98" t="str">
        <x:v>RS</x:v>
      </x:c>
      <x:c r="E6" s="98" t="str">
        <x:v>C1</x:v>
      </x:c>
      <x:c r="F6" s="111" t="n">
        <x:v>0</x:v>
      </x:c>
      <x:c r="G6" s="111" t="n">
        <x:f>F6+Controls!$B$12</x:f>
        <x:v>21</x:v>
      </x:c>
      <x:c r="H6" s="111"/>
      <x:c r="I6" s="111" t="str">
        <x:f>IF(H6="","n.a.",F6-H6)</x:f>
        <x:v>n.a.</x:v>
      </x:c>
      <x:c r="J6" s="98" t="str">
        <x:f>IF(H6="","FIRST ON RIG",IF(I6&gt;=Controls!$B$12,"ELIGIBLE","BLOCKED"))</x:f>
        <x:v>FIRST ON RIG</x:v>
      </x:c>
      <x:c r="K6" s="111" t="n">
        <x:f>COUNTIFS($F$6:$F$17,"&lt;="&amp;F6,$G$6:$G$17,"&gt;"&amp;F6)</x:f>
        <x:v>1</x:v>
      </x:c>
    </x:row>
    <x:row r="7">
      <x:c r="A7" s="101" t="n">
        <x:v>2</x:v>
      </x:c>
      <x:c r="B7" s="101" t="str">
        <x:v>P02</x:v>
      </x:c>
      <x:c r="C7" s="101" t="str">
        <x:v>S1</x:v>
      </x:c>
      <x:c r="D7" s="101" t="str">
        <x:v>RO</x:v>
      </x:c>
      <x:c r="E7" s="101" t="str">
        <x:v>C1</x:v>
      </x:c>
      <x:c r="F7" s="112" t="n">
        <x:v>7</x:v>
      </x:c>
      <x:c r="G7" s="112" t="n">
        <x:f>F7+Controls!$B$12</x:f>
        <x:v>28</x:v>
      </x:c>
      <x:c r="H7" s="112"/>
      <x:c r="I7" s="112" t="str">
        <x:f>IF(H7="","n.a.",F7-H7)</x:f>
        <x:v>n.a.</x:v>
      </x:c>
      <x:c r="J7" s="101" t="str">
        <x:f>IF(H7="","FIRST ON RIG",IF(I7&gt;=Controls!$B$12,"ELIGIBLE","BLOCKED"))</x:f>
        <x:v>FIRST ON RIG</x:v>
      </x:c>
      <x:c r="K7" s="112" t="n">
        <x:f>COUNTIFS($F$6:$F$17,"&lt;="&amp;F7,$G$6:$G$17,"&gt;"&amp;F7)</x:f>
        <x:v>3</x:v>
      </x:c>
    </x:row>
    <x:row r="8">
      <x:c r="A8" s="101" t="n">
        <x:v>3</x:v>
      </x:c>
      <x:c r="B8" s="101" t="str">
        <x:v>P03</x:v>
      </x:c>
      <x:c r="C8" s="101" t="str">
        <x:v>S2</x:v>
      </x:c>
      <x:c r="D8" s="101" t="str">
        <x:v>RS</x:v>
      </x:c>
      <x:c r="E8" s="101" t="str">
        <x:v>C2</x:v>
      </x:c>
      <x:c r="F8" s="112" t="n">
        <x:v>7</x:v>
      </x:c>
      <x:c r="G8" s="112" t="n">
        <x:f>F8+Controls!$B$12</x:f>
        <x:v>28</x:v>
      </x:c>
      <x:c r="H8" s="112"/>
      <x:c r="I8" s="112" t="str">
        <x:f>IF(H8="","n.a.",F8-H8)</x:f>
        <x:v>n.a.</x:v>
      </x:c>
      <x:c r="J8" s="101" t="str">
        <x:f>IF(H8="","FIRST ON RIG",IF(I8&gt;=Controls!$B$12,"ELIGIBLE","BLOCKED"))</x:f>
        <x:v>FIRST ON RIG</x:v>
      </x:c>
      <x:c r="K8" s="112" t="n">
        <x:f>COUNTIFS($F$6:$F$17,"&lt;="&amp;F8,$G$6:$G$17,"&gt;"&amp;F8)</x:f>
        <x:v>3</x:v>
      </x:c>
    </x:row>
    <x:row r="9">
      <x:c r="A9" s="101" t="n">
        <x:v>4</x:v>
      </x:c>
      <x:c r="B9" s="101" t="str">
        <x:v>P04</x:v>
      </x:c>
      <x:c r="C9" s="101" t="str">
        <x:v>S3</x:v>
      </x:c>
      <x:c r="D9" s="101" t="str">
        <x:v>RO</x:v>
      </x:c>
      <x:c r="E9" s="101" t="str">
        <x:v>C2</x:v>
      </x:c>
      <x:c r="F9" s="112" t="n">
        <x:v>14</x:v>
      </x:c>
      <x:c r="G9" s="112" t="n">
        <x:f>F9+Controls!$B$12</x:f>
        <x:v>35</x:v>
      </x:c>
      <x:c r="H9" s="112"/>
      <x:c r="I9" s="112" t="str">
        <x:f>IF(H9="","n.a.",F9-H9)</x:f>
        <x:v>n.a.</x:v>
      </x:c>
      <x:c r="J9" s="101" t="str">
        <x:f>IF(H9="","FIRST ON RIG",IF(I9&gt;=Controls!$B$12,"ELIGIBLE","BLOCKED"))</x:f>
        <x:v>FIRST ON RIG</x:v>
      </x:c>
      <x:c r="K9" s="112" t="n">
        <x:f>COUNTIFS($F$6:$F$17,"&lt;="&amp;F9,$G$6:$G$17,"&gt;"&amp;F9)</x:f>
        <x:v>5</x:v>
      </x:c>
    </x:row>
    <x:row r="10">
      <x:c r="A10" s="101" t="n">
        <x:v>5</x:v>
      </x:c>
      <x:c r="B10" s="101" t="str">
        <x:v>P05</x:v>
      </x:c>
      <x:c r="C10" s="101" t="str">
        <x:v>S4</x:v>
      </x:c>
      <x:c r="D10" s="101" t="str">
        <x:v>RS</x:v>
      </x:c>
      <x:c r="E10" s="101" t="str">
        <x:v>C3</x:v>
      </x:c>
      <x:c r="F10" s="112" t="n">
        <x:v>14</x:v>
      </x:c>
      <x:c r="G10" s="112" t="n">
        <x:f>F10+Controls!$B$12</x:f>
        <x:v>35</x:v>
      </x:c>
      <x:c r="H10" s="112"/>
      <x:c r="I10" s="112" t="str">
        <x:f>IF(H10="","n.a.",F10-H10)</x:f>
        <x:v>n.a.</x:v>
      </x:c>
      <x:c r="J10" s="101" t="str">
        <x:f>IF(H10="","FIRST ON RIG",IF(I10&gt;=Controls!$B$12,"ELIGIBLE","BLOCKED"))</x:f>
        <x:v>FIRST ON RIG</x:v>
      </x:c>
      <x:c r="K10" s="112" t="n">
        <x:f>COUNTIFS($F$6:$F$17,"&lt;="&amp;F10,$G$6:$G$17,"&gt;"&amp;F10)</x:f>
        <x:v>5</x:v>
      </x:c>
    </x:row>
    <x:row r="11">
      <x:c r="A11" s="101" t="n">
        <x:v>6</x:v>
      </x:c>
      <x:c r="B11" s="101" t="str">
        <x:v>P06</x:v>
      </x:c>
      <x:c r="C11" s="101" t="str">
        <x:v>S5</x:v>
      </x:c>
      <x:c r="D11" s="101" t="str">
        <x:v>RO</x:v>
      </x:c>
      <x:c r="E11" s="101" t="str">
        <x:v>C3</x:v>
      </x:c>
      <x:c r="F11" s="112" t="n">
        <x:v>21</x:v>
      </x:c>
      <x:c r="G11" s="112" t="n">
        <x:f>F11+Controls!$B$12</x:f>
        <x:v>42</x:v>
      </x:c>
      <x:c r="H11" s="112"/>
      <x:c r="I11" s="112" t="str">
        <x:f>IF(H11="","n.a.",F11-H11)</x:f>
        <x:v>n.a.</x:v>
      </x:c>
      <x:c r="J11" s="101" t="str">
        <x:f>IF(H11="","FIRST ON RIG",IF(I11&gt;=Controls!$B$12,"ELIGIBLE","BLOCKED"))</x:f>
        <x:v>FIRST ON RIG</x:v>
      </x:c>
      <x:c r="K11" s="112" t="n">
        <x:f>COUNTIFS($F$6:$F$17,"&lt;="&amp;F11,$G$6:$G$17,"&gt;"&amp;F11)</x:f>
        <x:v>6</x:v>
      </x:c>
    </x:row>
    <x:row r="12">
      <x:c r="A12" s="101" t="n">
        <x:v>7</x:v>
      </x:c>
      <x:c r="B12" s="101" t="str">
        <x:v>P07</x:v>
      </x:c>
      <x:c r="C12" s="101" t="str">
        <x:v>S0</x:v>
      </x:c>
      <x:c r="D12" s="101" t="str">
        <x:v>RO</x:v>
      </x:c>
      <x:c r="E12" s="101" t="str">
        <x:v>C1</x:v>
      </x:c>
      <x:c r="F12" s="112" t="n">
        <x:v>21</x:v>
      </x:c>
      <x:c r="G12" s="112" t="n">
        <x:f>F12+Controls!$B$12</x:f>
        <x:v>42</x:v>
      </x:c>
      <x:c r="H12" s="112" t="n">
        <x:v>0</x:v>
      </x:c>
      <x:c r="I12" s="112" t="str">
        <x:f>IF(H12="","n.a.",F12-H12)</x:f>
        <x:v>n.a.</x:v>
      </x:c>
      <x:c r="J12" s="101" t="str">
        <x:f>IF(H12="","FIRST ON RIG",IF(I12&gt;=Controls!$B$12,"ELIGIBLE","BLOCKED"))</x:f>
        <x:v>FIRST ON RIG</x:v>
      </x:c>
      <x:c r="K12" s="112" t="n">
        <x:f>COUNTIFS($F$6:$F$17,"&lt;="&amp;F12,$G$6:$G$17,"&gt;"&amp;F12)</x:f>
        <x:v>6</x:v>
      </x:c>
    </x:row>
    <x:row r="13">
      <x:c r="A13" s="101" t="n">
        <x:v>8</x:v>
      </x:c>
      <x:c r="B13" s="101" t="str">
        <x:v>P08</x:v>
      </x:c>
      <x:c r="C13" s="101" t="str">
        <x:v>S1</x:v>
      </x:c>
      <x:c r="D13" s="101" t="str">
        <x:v>RS</x:v>
      </x:c>
      <x:c r="E13" s="101" t="str">
        <x:v>C1</x:v>
      </x:c>
      <x:c r="F13" s="112" t="n">
        <x:v>28</x:v>
      </x:c>
      <x:c r="G13" s="112" t="n">
        <x:f>F13+Controls!$B$12</x:f>
        <x:v>49</x:v>
      </x:c>
      <x:c r="H13" s="112" t="n">
        <x:v>7</x:v>
      </x:c>
      <x:c r="I13" s="112" t="n">
        <x:f>IF(H13="","n.a.",F13-H13)</x:f>
        <x:v>21</x:v>
      </x:c>
      <x:c r="J13" s="101" t="str">
        <x:f>IF(H13="","FIRST ON RIG",IF(I13&gt;=Controls!$B$12,"ELIGIBLE","BLOCKED"))</x:f>
        <x:v>ELIGIBLE</x:v>
      </x:c>
      <x:c r="K13" s="112" t="n">
        <x:f>COUNTIFS($F$6:$F$17,"&lt;="&amp;F13,$G$6:$G$17,"&gt;"&amp;F13)</x:f>
        <x:v>6</x:v>
      </x:c>
    </x:row>
    <x:row r="14">
      <x:c r="A14" s="101" t="n">
        <x:v>9</x:v>
      </x:c>
      <x:c r="B14" s="101" t="str">
        <x:v>P09</x:v>
      </x:c>
      <x:c r="C14" s="101" t="str">
        <x:v>S2</x:v>
      </x:c>
      <x:c r="D14" s="101" t="str">
        <x:v>RO</x:v>
      </x:c>
      <x:c r="E14" s="101" t="str">
        <x:v>C2</x:v>
      </x:c>
      <x:c r="F14" s="112" t="n">
        <x:v>28</x:v>
      </x:c>
      <x:c r="G14" s="112" t="n">
        <x:f>F14+Controls!$B$12</x:f>
        <x:v>49</x:v>
      </x:c>
      <x:c r="H14" s="112" t="n">
        <x:v>7</x:v>
      </x:c>
      <x:c r="I14" s="112" t="n">
        <x:f>IF(H14="","n.a.",F14-H14)</x:f>
        <x:v>21</x:v>
      </x:c>
      <x:c r="J14" s="101" t="str">
        <x:f>IF(H14="","FIRST ON RIG",IF(I14&gt;=Controls!$B$12,"ELIGIBLE","BLOCKED"))</x:f>
        <x:v>ELIGIBLE</x:v>
      </x:c>
      <x:c r="K14" s="112" t="n">
        <x:f>COUNTIFS($F$6:$F$17,"&lt;="&amp;F14,$G$6:$G$17,"&gt;"&amp;F14)</x:f>
        <x:v>6</x:v>
      </x:c>
    </x:row>
    <x:row r="15">
      <x:c r="A15" s="101" t="n">
        <x:v>10</x:v>
      </x:c>
      <x:c r="B15" s="101" t="str">
        <x:v>P10</x:v>
      </x:c>
      <x:c r="C15" s="101" t="str">
        <x:v>S3</x:v>
      </x:c>
      <x:c r="D15" s="101" t="str">
        <x:v>RS</x:v>
      </x:c>
      <x:c r="E15" s="101" t="str">
        <x:v>C2</x:v>
      </x:c>
      <x:c r="F15" s="112" t="n">
        <x:v>35</x:v>
      </x:c>
      <x:c r="G15" s="112" t="n">
        <x:f>F15+Controls!$B$12</x:f>
        <x:v>56</x:v>
      </x:c>
      <x:c r="H15" s="112" t="n">
        <x:v>14</x:v>
      </x:c>
      <x:c r="I15" s="112" t="n">
        <x:f>IF(H15="","n.a.",F15-H15)</x:f>
        <x:v>21</x:v>
      </x:c>
      <x:c r="J15" s="101" t="str">
        <x:f>IF(H15="","FIRST ON RIG",IF(I15&gt;=Controls!$B$12,"ELIGIBLE","BLOCKED"))</x:f>
        <x:v>ELIGIBLE</x:v>
      </x:c>
      <x:c r="K15" s="112" t="n">
        <x:f>COUNTIFS($F$6:$F$17,"&lt;="&amp;F15,$G$6:$G$17,"&gt;"&amp;F15)</x:f>
        <x:v>6</x:v>
      </x:c>
    </x:row>
    <x:row r="16">
      <x:c r="A16" s="101" t="n">
        <x:v>11</x:v>
      </x:c>
      <x:c r="B16" s="101" t="str">
        <x:v>P11</x:v>
      </x:c>
      <x:c r="C16" s="101" t="str">
        <x:v>S4</x:v>
      </x:c>
      <x:c r="D16" s="101" t="str">
        <x:v>RO</x:v>
      </x:c>
      <x:c r="E16" s="101" t="str">
        <x:v>C3</x:v>
      </x:c>
      <x:c r="F16" s="112" t="n">
        <x:v>35</x:v>
      </x:c>
      <x:c r="G16" s="112" t="n">
        <x:f>F16+Controls!$B$12</x:f>
        <x:v>56</x:v>
      </x:c>
      <x:c r="H16" s="112" t="n">
        <x:v>14</x:v>
      </x:c>
      <x:c r="I16" s="112" t="n">
        <x:f>IF(H16="","n.a.",F16-H16)</x:f>
        <x:v>21</x:v>
      </x:c>
      <x:c r="J16" s="101" t="str">
        <x:f>IF(H16="","FIRST ON RIG",IF(I16&gt;=Controls!$B$12,"ELIGIBLE","BLOCKED"))</x:f>
        <x:v>ELIGIBLE</x:v>
      </x:c>
      <x:c r="K16" s="112" t="n">
        <x:f>COUNTIFS($F$6:$F$17,"&lt;="&amp;F16,$G$6:$G$17,"&gt;"&amp;F16)</x:f>
        <x:v>6</x:v>
      </x:c>
    </x:row>
    <x:row r="17">
      <x:c r="A17" s="104" t="n">
        <x:v>12</x:v>
      </x:c>
      <x:c r="B17" s="104" t="str">
        <x:v>P12</x:v>
      </x:c>
      <x:c r="C17" s="104" t="str">
        <x:v>S5</x:v>
      </x:c>
      <x:c r="D17" s="104" t="str">
        <x:v>RS</x:v>
      </x:c>
      <x:c r="E17" s="104" t="str">
        <x:v>C3</x:v>
      </x:c>
      <x:c r="F17" s="113" t="n">
        <x:v>42</x:v>
      </x:c>
      <x:c r="G17" s="113" t="n">
        <x:f>F17+Controls!$B$12</x:f>
        <x:v>63</x:v>
      </x:c>
      <x:c r="H17" s="113" t="n">
        <x:v>21</x:v>
      </x:c>
      <x:c r="I17" s="113" t="n">
        <x:f>IF(H17="","n.a.",F17-H17)</x:f>
        <x:v>21</x:v>
      </x:c>
      <x:c r="J17" s="104" t="str">
        <x:f>IF(H17="","FIRST ON RIG",IF(I17&gt;=Controls!$B$12,"ELIGIBLE","BLOCKED"))</x:f>
        <x:v>ELIGIBLE</x:v>
      </x:c>
      <x:c r="K17" s="113" t="n">
        <x:f>COUNTIFS($F$6:$F$17,"&lt;="&amp;F17,$G$6:$G$17,"&gt;"&amp;F17)</x:f>
        <x:v>5</x:v>
      </x:c>
    </x:row>
  </x:sheetData>
  <x:conditionalFormatting sqref="J6:J17">
    <x:cfRule type="containsText" dxfId="0" priority="1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5.5600004196167" hidden="0" customWidth="1"/>
    <x:col min="10" max="10" width="15.5600004196167" hidden="0" customWidth="1"/>
  </x:cols>
  <x:sheetData>
    <x:row r="2">
      <x:c r="A2" s="94" t="str">
        <x:v>Attrition calendars and local concentration</x:v>
      </x:c>
      <x:c r="B2" s="95"/>
      <x:c r="C2" s="95"/>
      <x:c r="D2" s="95"/>
      <x:c r="E2" s="95"/>
      <x:c r="F2" s="95"/>
      <x:c r="G2" s="95"/>
      <x:c r="H2" s="95"/>
      <x:c r="I2" s="95"/>
      <x:c r="J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>
      <x:c r="A4" s="97" t="str">
        <x:v>The balanced queue sizes national capacity. Concentrated cases preserve exact-cell continuity and determine the maximum authorized calendar.</x:v>
      </x:c>
      <x:c r="B4" s="95"/>
      <x:c r="C4" s="95"/>
      <x:c r="D4" s="95"/>
      <x:c r="E4" s="95"/>
      <x:c r="F4" s="95"/>
      <x:c r="G4" s="95"/>
      <x:c r="H4" s="95"/>
      <x:c r="I4" s="95"/>
      <x:c r="J4" s="95"/>
    </x:row>
    <x:row r="5">
      <x:c r="A5" s="9" t="str">
        <x:v>Case</x:v>
      </x:c>
      <x:c r="B5" s="10" t="str">
        <x:v>Total attempts</x:v>
      </x:c>
      <x:c r="C5" s="10" t="str">
        <x:v>Reserve attempts</x:v>
      </x:c>
      <x:c r="D5" s="10" t="str">
        <x:v>Attempts on limiting rig</x:v>
      </x:c>
      <x:c r="E5" s="10" t="str">
        <x:v>Last event day</x:v>
      </x:c>
      <x:c r="F5" s="10" t="str">
        <x:v>Last return day</x:v>
      </x:c>
      <x:c r="G5" s="10" t="str">
        <x:v>Class review day</x:v>
      </x:c>
      <x:c r="H5" s="10" t="str">
        <x:v>Stage slack days</x:v>
      </x:c>
      <x:c r="I5" s="10" t="str">
        <x:v>Attempts per week through review</x:v>
      </x:c>
      <x:c r="J5" s="11" t="str">
        <x:v>Share of installed start capacity</x:v>
      </x:c>
    </x:row>
    <x:row r="6">
      <x:c r="A6" s="98" t="str">
        <x:v>Primary only</x:v>
      </x:c>
      <x:c r="B6" s="111" t="n">
        <x:v>12</x:v>
      </x:c>
      <x:c r="C6" s="111" t="n">
        <x:v>0</x:v>
      </x:c>
      <x:c r="D6" s="111" t="n">
        <x:v>2</x:v>
      </x:c>
      <x:c r="E6" s="114" t="n">
        <x:f>MAX(Calendar!$F$6:$F$17)</x:f>
        <x:v>42</x:v>
      </x:c>
      <x:c r="F6" s="114" t="n">
        <x:f>E6+Controls!$B$12</x:f>
        <x:v>63</x:v>
      </x:c>
      <x:c r="G6" s="114" t="n">
        <x:f>F6+Controls!$B$32</x:f>
        <x:v>77</x:v>
      </x:c>
      <x:c r="H6" s="114" t="n">
        <x:f>Controls!$B$33-G6</x:f>
        <x:v>288</x:v>
      </x:c>
      <x:c r="I6" s="115" t="n">
        <x:f>B6/(G6/7)</x:f>
        <x:v>1.0909090909090908</x:v>
      </x:c>
      <x:c r="J6" s="116" t="n">
        <x:f>I6/Capacity!$D$11</x:f>
        <x:v>0.5454545454545454</x:v>
      </x:c>
    </x:row>
    <x:row r="7">
      <x:c r="A7" s="101" t="str">
        <x:v>All reserves, distributed</x:v>
      </x:c>
      <x:c r="B7" s="112" t="n">
        <x:v>26</x:v>
      </x:c>
      <x:c r="C7" s="112" t="n">
        <x:v>14</x:v>
      </x:c>
      <x:c r="D7" s="112" t="n">
        <x:v>5</x:v>
      </x:c>
      <x:c r="E7" s="117" t="n">
        <x:f>ROUNDUP((B7-1)/2,0)*Controls!$B$10</x:f>
        <x:v>91</x:v>
      </x:c>
      <x:c r="F7" s="117" t="n">
        <x:f>E7+Controls!$B$12</x:f>
        <x:v>112</x:v>
      </x:c>
      <x:c r="G7" s="117" t="n">
        <x:f>F7+Controls!$B$32</x:f>
        <x:v>126</x:v>
      </x:c>
      <x:c r="H7" s="117" t="n">
        <x:f>Controls!$B$33-G7</x:f>
        <x:v>239</x:v>
      </x:c>
      <x:c r="I7" s="118" t="n">
        <x:f>B7/(G7/7)</x:f>
        <x:v>1.4444444444444444</x:v>
      </x:c>
      <x:c r="J7" s="119" t="n">
        <x:f>I7/Capacity!$D$11</x:f>
        <x:v>0.7222222222222222</x:v>
      </x:c>
    </x:row>
    <x:row r="8">
      <x:c r="A8" s="101" t="str">
        <x:v>One family in one cell</x:v>
      </x:c>
      <x:c r="B8" s="112" t="n">
        <x:v>19</x:v>
      </x:c>
      <x:c r="C8" s="112" t="n">
        <x:v>7</x:v>
      </x:c>
      <x:c r="D8" s="112" t="n">
        <x:v>9</x:v>
      </x:c>
      <x:c r="E8" s="117" t="n">
        <x:f>Calendar!$F$7+(D8-1)*Controls!$B$12</x:f>
        <x:v>175</x:v>
      </x:c>
      <x:c r="F8" s="117" t="n">
        <x:f>E8+Controls!$B$12</x:f>
        <x:v>196</x:v>
      </x:c>
      <x:c r="G8" s="117" t="n">
        <x:f>F8+Controls!$B$32</x:f>
        <x:v>210</x:v>
      </x:c>
      <x:c r="H8" s="117" t="n">
        <x:f>Controls!$B$33-G8</x:f>
        <x:v>155</x:v>
      </x:c>
      <x:c r="I8" s="118" t="n">
        <x:f>B8/(G8/7)</x:f>
        <x:v>0.6333333333333333</x:v>
      </x:c>
      <x:c r="J8" s="119" t="n">
        <x:f>I8/Capacity!$D$11</x:f>
        <x:v>0.31666666666666665</x:v>
      </x:c>
    </x:row>
    <x:row r="9">
      <x:c r="A9" s="104" t="str">
        <x:v>Both families on one non-seed rig</x:v>
      </x:c>
      <x:c r="B9" s="113" t="n">
        <x:v>26</x:v>
      </x:c>
      <x:c r="C9" s="113" t="n">
        <x:v>14</x:v>
      </x:c>
      <x:c r="D9" s="113" t="n">
        <x:v>16</x:v>
      </x:c>
      <x:c r="E9" s="120" t="n">
        <x:f>Calendar!$F$7+(D9-1)*Controls!$B$12</x:f>
        <x:v>322</x:v>
      </x:c>
      <x:c r="F9" s="120" t="n">
        <x:f>E9+Controls!$B$12</x:f>
        <x:v>343</x:v>
      </x:c>
      <x:c r="G9" s="120" t="n">
        <x:f>F9+Controls!$B$32</x:f>
        <x:v>357</x:v>
      </x:c>
      <x:c r="H9" s="120" t="n">
        <x:f>Controls!$B$33-G9</x:f>
        <x:v>8</x:v>
      </x:c>
      <x:c r="I9" s="121" t="n">
        <x:f>B9/(G9/7)</x:f>
        <x:v>0.5098039215686274</x:v>
      </x:c>
      <x:c r="J9" s="122" t="n">
        <x:f>I9/Capacity!$D$11</x:f>
        <x:v>0.2549019607843137</x:v>
      </x:c>
    </x:row>
    <x:row r="10">
      <x:c r="A10" s="95"/>
      <x:c r="B10" s="95"/>
      <x:c r="C10" s="95"/>
      <x:c r="D10" s="95"/>
      <x:c r="E10" s="95"/>
      <x:c r="F10" s="95"/>
      <x:c r="G10" s="95"/>
      <x:c r="H10" s="95"/>
      <x:c r="I10" s="95"/>
      <x:c r="J10" s="95"/>
    </x:row>
    <x:row r="11">
      <x:c r="A11" s="95"/>
      <x:c r="B11" s="95"/>
      <x:c r="C11" s="95"/>
      <x:c r="D11" s="95"/>
      <x:c r="E11" s="95"/>
      <x:c r="F11" s="95"/>
      <x:c r="G11" s="95"/>
      <x:c r="H11" s="95"/>
      <x:c r="I11" s="95"/>
      <x:c r="J11" s="95"/>
    </x:row>
    <x:row r="12">
      <x:c r="A12" s="107" t="str">
        <x:v>Interpretation</x:v>
      </x:c>
      <x:c r="B12" s="107"/>
      <x:c r="C12" s="107"/>
      <x:c r="D12" s="107"/>
      <x:c r="E12" s="107"/>
      <x:c r="F12" s="107"/>
      <x:c r="G12" s="107"/>
      <x:c r="H12" s="107"/>
      <x:c r="I12" s="107"/>
      <x:c r="J12" s="107"/>
    </x:row>
    <x:row r="13">
      <x:c r="A13" s="98" t="str">
        <x:v>National balance</x:v>
      </x:c>
      <x:c r="B13" s="123" t="str">
        <x:v>Two event starts per week when invalidity is distributed.</x:v>
      </x:c>
      <x:c r="C13" s="95"/>
      <x:c r="D13" s="95"/>
      <x:c r="E13" s="95"/>
      <x:c r="F13" s="95"/>
      <x:c r="G13" s="95"/>
      <x:c r="H13" s="95"/>
      <x:c r="I13" s="95"/>
      <x:c r="J13" s="95"/>
    </x:row>
    <x:row r="14">
      <x:c r="A14" s="101" t="str">
        <x:v>Local constraint</x:v>
      </x:c>
      <x:c r="B14" s="124" t="str">
        <x:v>A replacement must wait for the exact rig's 504-hour return.</x:v>
      </x:c>
      <x:c r="C14" s="95"/>
      <x:c r="D14" s="95"/>
      <x:c r="E14" s="95"/>
      <x:c r="F14" s="95"/>
      <x:c r="G14" s="95"/>
      <x:c r="H14" s="95"/>
      <x:c r="I14" s="95"/>
      <x:c r="J14" s="95"/>
    </x:row>
    <x:row r="15">
      <x:c r="A15" s="101" t="str">
        <x:v>Maximum authorized calendar</x:v>
      </x:c>
      <x:c r="B15" s="124" t="str">
        <x:v>Day 357 when both root-family reserve queues concentrate on one non-seed rig.</x:v>
      </x:c>
      <x:c r="C15" s="95"/>
      <x:c r="D15" s="95"/>
      <x:c r="E15" s="95"/>
      <x:c r="F15" s="95"/>
      <x:c r="G15" s="95"/>
      <x:c r="H15" s="95"/>
      <x:c r="I15" s="95"/>
      <x:c r="J15" s="95"/>
    </x:row>
    <x:row r="16">
      <x:c r="A16" s="104" t="str">
        <x:v>Excluded delay</x:v>
      </x:c>
      <x:c r="B16" s="125" t="str">
        <x:v>Common-cause investigation, facility loss and reconstruction require amendment.</x:v>
      </x:c>
      <x:c r="C16" s="95"/>
      <x:c r="D16" s="95"/>
      <x:c r="E16" s="95"/>
      <x:c r="F16" s="95"/>
      <x:c r="G16" s="95"/>
      <x:c r="H16" s="95"/>
      <x:c r="I16" s="95"/>
      <x:c r="J16" s="95"/>
    </x:row>
    <x:row r="17">
      <x:c r="A17" s="95"/>
      <x:c r="B17" s="95"/>
      <x:c r="C17" s="95"/>
      <x:c r="D17" s="95"/>
      <x:c r="E17" s="95"/>
      <x:c r="F17" s="95"/>
      <x:c r="G17" s="95"/>
      <x:c r="H17" s="95"/>
      <x:c r="I17" s="95"/>
      <x:c r="J17" s="95"/>
    </x:row>
    <x:row r="18">
      <x:c r="A18" s="95"/>
      <x:c r="B18" s="95"/>
      <x:c r="C18" s="95"/>
      <x:c r="D18" s="95"/>
      <x:c r="E18" s="95"/>
      <x:c r="F18" s="95"/>
      <x:c r="G18" s="95"/>
      <x:c r="H18" s="95"/>
      <x:c r="I18" s="95"/>
      <x:c r="J18" s="95"/>
    </x:row>
    <x:row r="19">
      <x:c r="A19" s="107" t="str">
        <x:v>Reserve-capacity probability</x:v>
      </x:c>
      <x:c r="B19" s="107"/>
      <x:c r="C19" s="107"/>
      <x:c r="D19" s="107"/>
      <x:c r="E19" s="107"/>
      <x:c r="F19" s="107"/>
      <x:c r="G19" s="107"/>
      <x:c r="H19" s="107"/>
      <x:c r="I19" s="107"/>
      <x:c r="J19" s="107"/>
    </x:row>
    <x:row r="20">
      <x:c r="A20" s="9" t="str">
        <x:v>Attempt-validity hypothesis</x:v>
      </x:c>
      <x:c r="B20" s="10" t="str">
        <x:v>Five-credit family</x:v>
      </x:c>
      <x:c r="C20" s="10" t="str">
        <x:v>Six-credit family</x:v>
      </x:c>
      <x:c r="D20" s="11" t="str">
        <x:v>Conditional class capacity</x:v>
      </x:c>
      <x:c r="E20" s="95"/>
      <x:c r="F20" s="95"/>
      <x:c r="G20" s="95"/>
      <x:c r="H20" s="95"/>
      <x:c r="I20" s="95"/>
      <x:c r="J20" s="95"/>
    </x:row>
    <x:row r="21">
      <x:c r="A21" s="126" t="n">
        <x:v>0.6</x:v>
      </x:c>
      <x:c r="B21" s="126" t="n">
        <x:f>A21^5*(1+5*(1-A21)+15*(1-A21)^2+35*(1-A21)^3+70*(1-A21)^4+126*(1-A21)^5+210*(1-A21)^6+330*(1-A21)^7)</x:f>
        <x:v>0.94269007872</x:v>
      </x:c>
      <x:c r="C21" s="126" t="n">
        <x:f>A21^6*(1+6*(1-A21)+21*(1-A21)^2+56*(1-A21)^3+126*(1-A21)^4+252*(1-A21)^5+462*(1-A21)^6+792*(1-A21)^7)</x:f>
        <x:v>0.9023291301888</x:v>
      </x:c>
      <x:c r="D21" s="126" t="n">
        <x:f>B21*C21</x:f>
        <x:v>0.850616718769029</x:v>
      </x:c>
      <x:c r="E21" s="95"/>
      <x:c r="F21" s="95"/>
      <x:c r="G21" s="95"/>
      <x:c r="H21" s="95"/>
      <x:c r="I21" s="95"/>
      <x:c r="J21" s="95"/>
    </x:row>
    <x:row r="22">
      <x:c r="A22" s="127" t="n">
        <x:v>0.65</x:v>
      </x:c>
      <x:c r="B22" s="127" t="n">
        <x:f>A22^5*(1+5*(1-A22)+15*(1-A22)^2+35*(1-A22)^3+70*(1-A22)^4+126*(1-A22)^5+210*(1-A22)^6+330*(1-A22)^7)</x:f>
        <x:v>0.9744925430010913</x:v>
      </x:c>
      <x:c r="C22" s="127" t="n">
        <x:f>A22^6*(1+6*(1-A22)+21*(1-A22)^2+56*(1-A22)^3+126*(1-A22)^4+252*(1-A22)^5+462*(1-A22)^6+792*(1-A22)^7)</x:f>
        <x:v>0.953798930158161</x:v>
      </x:c>
      <x:c r="D22" s="127" t="n">
        <x:f>B22*C22</x:f>
        <x:v>0.9294699449615466</x:v>
      </x:c>
      <x:c r="E22" s="95"/>
      <x:c r="F22" s="95"/>
      <x:c r="G22" s="95"/>
      <x:c r="H22" s="95"/>
      <x:c r="I22" s="95"/>
      <x:c r="J22" s="95"/>
    </x:row>
    <x:row r="23">
      <x:c r="A23" s="127" t="n">
        <x:v>0.7</x:v>
      </x:c>
      <x:c r="B23" s="127" t="n">
        <x:f>A23^5*(1+5*(1-A23)+15*(1-A23)^2+35*(1-A23)^3+70*(1-A23)^4+126*(1-A23)^5+210*(1-A23)^6+330*(1-A23)^7)</x:f>
        <x:v>0.9905106288699999</x:v>
      </x:c>
      <x:c r="C23" s="127" t="n">
        <x:f>A23^6*(1+6*(1-A23)+21*(1-A23)^2+56*(1-A23)^3+126*(1-A23)^4+252*(1-A23)^5+462*(1-A23)^6+792*(1-A23)^7)</x:f>
        <x:v>0.9817771872916002</x:v>
      </x:c>
      <x:c r="D23" s="127" t="n">
        <x:f>B23*C23</x:f>
        <x:v>0.9724607391944226</x:v>
      </x:c>
      <x:c r="E23" s="95"/>
      <x:c r="F23" s="95"/>
      <x:c r="G23" s="95"/>
      <x:c r="H23" s="95"/>
      <x:c r="I23" s="95"/>
      <x:c r="J23" s="95"/>
    </x:row>
    <x:row r="24">
      <x:c r="A24" s="127" t="n">
        <x:v>0.75</x:v>
      </x:c>
      <x:c r="B24" s="127" t="n">
        <x:f>A24^5*(1+5*(1-A24)+15*(1-A24)^2+35*(1-A24)^3+70*(1-A24)^4+126*(1-A24)^5+210*(1-A24)^6+330*(1-A24)^7)</x:f>
        <x:v>0.9972184896469116</x:v>
      </x:c>
      <x:c r="C24" s="127" t="n">
        <x:f>A24^6*(1+6*(1-A24)+21*(1-A24)^2+56*(1-A24)^3+126*(1-A24)^4+252*(1-A24)^5+462*(1-A24)^6+792*(1-A24)^7)</x:f>
        <x:v>0.9943506717681885</x:v>
      </x:c>
      <x:c r="D24" s="127" t="n">
        <x:f>B24*C24</x:f>
        <x:v>0.9915848750800649</x:v>
      </x:c>
      <x:c r="E24" s="95"/>
      <x:c r="F24" s="95"/>
      <x:c r="G24" s="95"/>
      <x:c r="H24" s="95"/>
      <x:c r="I24" s="95"/>
      <x:c r="J24" s="95"/>
    </x:row>
    <x:row r="25">
      <x:c r="A25" s="127" t="n">
        <x:v>0.8</x:v>
      </x:c>
      <x:c r="B25" s="127" t="n">
        <x:f>A25^5*(1+5*(1-A25)+15*(1-A25)^2+35*(1-A25)^3+70*(1-A25)^4+126*(1-A25)^5+210*(1-A25)^6+330*(1-A25)^7)</x:f>
        <x:v>0.9994187571200001</x:v>
      </x:c>
      <x:c r="C25" s="127" t="n">
        <x:f>A25^6*(1+6*(1-A25)+21*(1-A25)^2+56*(1-A25)^3+126*(1-A25)^4+252*(1-A25)^5+462*(1-A25)^6+792*(1-A25)^7)</x:f>
        <x:v>0.9987543793664</x:v>
      </x:c>
      <x:c r="D25" s="127" t="n">
        <x:f>B25*C25</x:f>
        <x:v>0.9981738604945245</x:v>
      </x:c>
      <x:c r="E25" s="95"/>
      <x:c r="F25" s="95"/>
      <x:c r="G25" s="95"/>
      <x:c r="H25" s="95"/>
      <x:c r="I25" s="95"/>
      <x:c r="J25" s="95"/>
    </x:row>
    <x:row r="26">
      <x:c r="A26" s="128" t="n">
        <x:v>0.9</x:v>
      </x:c>
      <x:c r="B26" s="128" t="n">
        <x:f>A26^5*(1+5*(1-A26)+15*(1-A26)^2+35*(1-A26)^3+70*(1-A26)^4+126*(1-A26)^5+210*(1-A26)^6+330*(1-A26)^7)</x:f>
        <x:v>0.99999658647</x:v>
      </x:c>
      <x:c r="C26" s="128" t="n">
        <x:f>A26^6*(1+6*(1-A26)+21*(1-A26)^2+56*(1-A26)^3+126*(1-A26)^4+252*(1-A26)^5+462*(1-A26)^6+792*(1-A26)^7)</x:f>
        <x:v>0.9999919097892</x:v>
      </x:c>
      <x:c r="D26" s="128" t="n">
        <x:f>B26*C26</x:f>
        <x:v>0.9999884962868162</x:v>
      </x:c>
      <x:c r="E26" s="95"/>
      <x:c r="F26" s="95"/>
      <x:c r="G26" s="95"/>
      <x:c r="H26" s="95"/>
      <x:c r="I26" s="95"/>
      <x:c r="J26" s="9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24.440000534057617" hidden="0" customWidth="1"/>
  </x:cols>
  <x:sheetData>
    <x:row r="2">
      <x:c r="A2" s="94" t="str">
        <x:v>National start capacity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Each independent chain is sized to the same two-attempt weekly rate. Exact-cell concentration can still reduce realized use.</x:v>
      </x:c>
      <x:c r="B4" s="95"/>
      <x:c r="C4" s="95"/>
      <x:c r="D4" s="95"/>
      <x:c r="E4" s="95"/>
      <x:c r="F4" s="95"/>
      <x:c r="G4" s="95"/>
      <x:c r="H4" s="95"/>
    </x:row>
    <x:row r="5">
      <x:c r="A5" s="9" t="str">
        <x:v>Capacity chain</x:v>
      </x:c>
      <x:c r="B5" s="10" t="str">
        <x:v>Installed quantity</x:v>
      </x:c>
      <x:c r="C5" s="10" t="str">
        <x:v>Cycle days</x:v>
      </x:c>
      <x:c r="D5" s="10" t="str">
        <x:v>Starts per 7 days</x:v>
      </x:c>
      <x:c r="E5" s="11" t="str">
        <x:v>Role</x:v>
      </x:c>
      <x:c r="F5" s="95"/>
      <x:c r="G5" s="95"/>
      <x:c r="H5" s="95"/>
    </x:row>
    <x:row r="6">
      <x:c r="A6" s="98" t="str">
        <x:v>Event units</x:v>
      </x:c>
      <x:c r="B6" s="129" t="n">
        <x:v>2</x:v>
      </x:c>
      <x:c r="C6" s="129" t="n">
        <x:v>7</x:v>
      </x:c>
      <x:c r="D6" s="129" t="n">
        <x:f>B6*7/C6</x:f>
        <x:v>2</x:v>
      </x:c>
      <x:c r="E6" s="98" t="str">
        <x:v>Complete event start</x:v>
      </x:c>
      <x:c r="F6" s="95"/>
      <x:c r="G6" s="95"/>
      <x:c r="H6" s="95"/>
    </x:row>
    <x:row r="7">
      <x:c r="A7" s="101" t="str">
        <x:v>Public rigs</x:v>
      </x:c>
      <x:c r="B7" s="130" t="n">
        <x:v>6</x:v>
      </x:c>
      <x:c r="C7" s="130" t="n">
        <x:v>21</x:v>
      </x:c>
      <x:c r="D7" s="130" t="n">
        <x:f>B7*7/C7</x:f>
        <x:v>2</x:v>
      </x:c>
      <x:c r="E7" s="101" t="str">
        <x:v>Same-rig credential</x:v>
      </x:c>
      <x:c r="F7" s="95"/>
      <x:c r="G7" s="95"/>
      <x:c r="H7" s="95"/>
    </x:row>
    <x:row r="8">
      <x:c r="A8" s="101" t="str">
        <x:v>Return lanes</x:v>
      </x:c>
      <x:c r="B8" s="130" t="n">
        <x:v>6</x:v>
      </x:c>
      <x:c r="C8" s="130" t="n">
        <x:v>21</x:v>
      </x:c>
      <x:c r="D8" s="130" t="n">
        <x:f>B8*7/C8</x:f>
        <x:v>2</x:v>
      </x:c>
      <x:c r="E8" s="101" t="str">
        <x:v>Source-exposed return</x:v>
      </x:c>
      <x:c r="F8" s="95"/>
      <x:c r="G8" s="95"/>
      <x:c r="H8" s="95"/>
    </x:row>
    <x:row r="9">
      <x:c r="A9" s="101" t="str">
        <x:v>Source-preparation lines</x:v>
      </x:c>
      <x:c r="B9" s="130" t="n">
        <x:v>2</x:v>
      </x:c>
      <x:c r="C9" s="130" t="n">
        <x:v>7</x:v>
      </x:c>
      <x:c r="D9" s="130" t="n">
        <x:f>B9*7/C9</x:f>
        <x:v>2</x:v>
      </x:c>
      <x:c r="E9" s="101" t="str">
        <x:v>Accepted package</x:v>
      </x:c>
      <x:c r="F9" s="95"/>
      <x:c r="G9" s="95"/>
      <x:c r="H9" s="95"/>
    </x:row>
    <x:row r="10">
      <x:c r="A10" s="101" t="str">
        <x:v>Evidence ingest paths</x:v>
      </x:c>
      <x:c r="B10" s="130" t="n">
        <x:v>2</x:v>
      </x:c>
      <x:c r="C10" s="130" t="n">
        <x:v>7</x:v>
      </x:c>
      <x:c r="D10" s="130" t="n">
        <x:f>B10*7/C10</x:f>
        <x:v>2</x:v>
      </x:c>
      <x:c r="E10" s="101" t="str">
        <x:v>Live full-rate capture</x:v>
      </x:c>
      <x:c r="F10" s="95"/>
      <x:c r="G10" s="95"/>
      <x:c r="H10" s="95"/>
    </x:row>
    <x:row r="11">
      <x:c r="A11" s="131" t="str">
        <x:v>Governing national rate</x:v>
      </x:c>
      <x:c r="B11" s="132"/>
      <x:c r="C11" s="132"/>
      <x:c r="D11" s="133" t="n">
        <x:f>MIN(D6:D10)</x:f>
        <x:v>2</x:v>
      </x:c>
      <x:c r="E11" s="131" t="str">
        <x:v>Attempts per 7 days</x:v>
      </x:c>
      <x:c r="F11" s="95"/>
      <x:c r="G11" s="95"/>
      <x:c r="H11" s="95"/>
    </x:row>
    <x:row r="12">
      <x:c r="A12" s="95"/>
      <x:c r="B12" s="95"/>
      <x:c r="C12" s="95"/>
      <x:c r="D12" s="95"/>
      <x:c r="E12" s="95"/>
      <x:c r="F12" s="95"/>
      <x:c r="G12" s="95"/>
      <x:c r="H12" s="95"/>
    </x:row>
    <x:row r="13">
      <x:c r="A13" s="95"/>
      <x:c r="B13" s="95"/>
      <x:c r="C13" s="95"/>
      <x:c r="D13" s="95"/>
      <x:c r="E13" s="95"/>
      <x:c r="F13" s="95"/>
      <x:c r="G13" s="95"/>
      <x:c r="H13" s="95"/>
    </x:row>
    <x:row r="14">
      <x:c r="A14" s="107" t="str">
        <x:v>Concentrated-case utilization</x:v>
      </x:c>
      <x:c r="B14" s="107"/>
      <x:c r="C14" s="107"/>
      <x:c r="D14" s="107"/>
      <x:c r="E14" s="107"/>
      <x:c r="F14" s="107"/>
      <x:c r="G14" s="107"/>
      <x:c r="H14" s="107"/>
    </x:row>
    <x:row r="15">
      <x:c r="A15" s="9" t="str">
        <x:v>Metric</x:v>
      </x:c>
      <x:c r="B15" s="11" t="str">
        <x:v>Value</x:v>
      </x:c>
      <x:c r="C15" s="95"/>
      <x:c r="D15" s="95"/>
      <x:c r="E15" s="95"/>
      <x:c r="F15" s="95"/>
      <x:c r="G15" s="95"/>
      <x:c r="H15" s="95"/>
    </x:row>
    <x:row r="16">
      <x:c r="A16" s="98" t="str">
        <x:v>Maximum attempts</x:v>
      </x:c>
      <x:c r="B16" s="129" t="n">
        <x:v>26</x:v>
      </x:c>
      <x:c r="C16" s="95"/>
      <x:c r="D16" s="95"/>
      <x:c r="E16" s="95"/>
      <x:c r="F16" s="95"/>
      <x:c r="G16" s="95"/>
      <x:c r="H16" s="95"/>
    </x:row>
    <x:row r="17">
      <x:c r="A17" s="101" t="str">
        <x:v>Class review day</x:v>
      </x:c>
      <x:c r="B17" s="118" t="n">
        <x:f>Attrition!G9</x:f>
        <x:v>357</x:v>
      </x:c>
      <x:c r="C17" s="95"/>
      <x:c r="D17" s="95"/>
      <x:c r="E17" s="95"/>
      <x:c r="F17" s="95"/>
      <x:c r="G17" s="95"/>
      <x:c r="H17" s="95"/>
    </x:row>
    <x:row r="18">
      <x:c r="A18" s="101" t="str">
        <x:v>Average attempts per week</x:v>
      </x:c>
      <x:c r="B18" s="118" t="n">
        <x:f>B16/(B17/7)</x:f>
        <x:v>0.5098039215686274</x:v>
      </x:c>
      <x:c r="C18" s="95"/>
      <x:c r="D18" s="95"/>
      <x:c r="E18" s="95"/>
      <x:c r="F18" s="95"/>
      <x:c r="G18" s="95"/>
      <x:c r="H18" s="95"/>
    </x:row>
    <x:row r="19">
      <x:c r="A19" s="104" t="str">
        <x:v>Installed-capacity share</x:v>
      </x:c>
      <x:c r="B19" s="122" t="n">
        <x:f>B18/D11</x:f>
        <x:v>0.2549019607843137</x:v>
      </x:c>
      <x:c r="C19" s="95"/>
      <x:c r="D19" s="95"/>
      <x:c r="E19" s="95"/>
      <x:c r="F19" s="95"/>
      <x:c r="G19" s="95"/>
      <x:c r="H19" s="9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670000076293945" hidden="0" customWidth="1"/>
    <x:col min="2" max="2" width="11.670000076293945" hidden="0" customWidth="1"/>
    <x:col min="3" max="3" width="10.5600004196167" hidden="0" customWidth="1"/>
    <x:col min="4" max="4" width="10.5600004196167" hidden="0" customWidth="1"/>
    <x:col min="5" max="5" width="10.5600004196167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1.670000076293945" hidden="0" customWidth="1"/>
    <x:col min="10" max="10" width="16.670000076293945" hidden="0" customWidth="1"/>
  </x:cols>
  <x:sheetData>
    <x:row r="2">
      <x:c r="A2" s="94" t="str">
        <x:v>Source-package bank</x:v>
      </x:c>
      <x:c r="B2" s="95"/>
      <x:c r="C2" s="95"/>
      <x:c r="D2" s="95"/>
      <x:c r="E2" s="95"/>
      <x:c r="F2" s="95"/>
      <x:c r="G2" s="95"/>
      <x:c r="H2" s="95"/>
      <x:c r="I2" s="95"/>
      <x:c r="J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>
      <x:c r="A4" s="97" t="str">
        <x:v>Reserve order is frozen within each root family. The two forensic packages never receive event tokens.</x:v>
      </x:c>
      <x:c r="B4" s="95"/>
      <x:c r="C4" s="95"/>
      <x:c r="D4" s="95"/>
      <x:c r="E4" s="95"/>
      <x:c r="F4" s="95"/>
      <x:c r="G4" s="95"/>
      <x:c r="H4" s="95"/>
      <x:c r="I4" s="95"/>
      <x:c r="J4" s="95"/>
    </x:row>
    <x:row r="5">
      <x:c r="A5" s="9" t="str">
        <x:v>Package ID</x:v>
      </x:c>
      <x:c r="B5" s="10" t="str">
        <x:v>Role</x:v>
      </x:c>
      <x:c r="C5" s="10" t="str">
        <x:v>Normalized root family</x:v>
      </x:c>
      <x:c r="D5" s="10" t="str">
        <x:v>Gross kg</x:v>
      </x:c>
      <x:c r="E5" s="10" t="str">
        <x:v>Event kg</x:v>
      </x:c>
      <x:c r="F5" s="10" t="str">
        <x:v>Assay kg</x:v>
      </x:c>
      <x:c r="G5" s="10" t="str">
        <x:v>Conditioning kg</x:v>
      </x:c>
      <x:c r="H5" s="10" t="str">
        <x:v>Quarantine kg</x:v>
      </x:c>
      <x:c r="I5" s="10" t="str">
        <x:v>Token state</x:v>
      </x:c>
      <x:c r="J5" s="11" t="str">
        <x:v>Issue record</x:v>
      </x:c>
    </x:row>
    <x:row r="6">
      <x:c r="A6" s="98" t="str">
        <x:v>PK-01</x:v>
      </x:c>
      <x:c r="B6" s="98" t="str">
        <x:v>ACTIVE</x:v>
      </x:c>
      <x:c r="C6" s="98" t="str">
        <x:v>RS</x:v>
      </x:c>
      <x:c r="D6" s="134" t="n">
        <x:v>300</x:v>
      </x:c>
      <x:c r="E6" s="134" t="n">
        <x:v>250</x:v>
      </x:c>
      <x:c r="F6" s="134" t="n">
        <x:v>15</x:v>
      </x:c>
      <x:c r="G6" s="134" t="n">
        <x:v>20</x:v>
      </x:c>
      <x:c r="H6" s="134" t="n">
        <x:v>15</x:v>
      </x:c>
      <x:c r="I6" s="98" t="str">
        <x:v>PRIMARY</x:v>
      </x:c>
      <x:c r="J6" s="135" t="str"/>
    </x:row>
    <x:row r="7">
      <x:c r="A7" s="101" t="str">
        <x:v>PK-02</x:v>
      </x:c>
      <x:c r="B7" s="101" t="str">
        <x:v>ACTIVE</x:v>
      </x:c>
      <x:c r="C7" s="101" t="str">
        <x:v>RO</x:v>
      </x:c>
      <x:c r="D7" s="136" t="n">
        <x:v>300</x:v>
      </x:c>
      <x:c r="E7" s="136" t="n">
        <x:v>250</x:v>
      </x:c>
      <x:c r="F7" s="136" t="n">
        <x:v>15</x:v>
      </x:c>
      <x:c r="G7" s="136" t="n">
        <x:v>20</x:v>
      </x:c>
      <x:c r="H7" s="136" t="n">
        <x:v>15</x:v>
      </x:c>
      <x:c r="I7" s="101" t="str">
        <x:v>PRIMARY</x:v>
      </x:c>
      <x:c r="J7" s="137" t="str"/>
    </x:row>
    <x:row r="8">
      <x:c r="A8" s="101" t="str">
        <x:v>PK-03</x:v>
      </x:c>
      <x:c r="B8" s="101" t="str">
        <x:v>ACTIVE</x:v>
      </x:c>
      <x:c r="C8" s="101" t="str">
        <x:v>RS</x:v>
      </x:c>
      <x:c r="D8" s="136" t="n">
        <x:v>300</x:v>
      </x:c>
      <x:c r="E8" s="136" t="n">
        <x:v>250</x:v>
      </x:c>
      <x:c r="F8" s="136" t="n">
        <x:v>15</x:v>
      </x:c>
      <x:c r="G8" s="136" t="n">
        <x:v>20</x:v>
      </x:c>
      <x:c r="H8" s="136" t="n">
        <x:v>15</x:v>
      </x:c>
      <x:c r="I8" s="101" t="str">
        <x:v>PRIMARY</x:v>
      </x:c>
      <x:c r="J8" s="137" t="str"/>
    </x:row>
    <x:row r="9">
      <x:c r="A9" s="101" t="str">
        <x:v>PK-04</x:v>
      </x:c>
      <x:c r="B9" s="101" t="str">
        <x:v>ACTIVE</x:v>
      </x:c>
      <x:c r="C9" s="101" t="str">
        <x:v>RO</x:v>
      </x:c>
      <x:c r="D9" s="136" t="n">
        <x:v>300</x:v>
      </x:c>
      <x:c r="E9" s="136" t="n">
        <x:v>250</x:v>
      </x:c>
      <x:c r="F9" s="136" t="n">
        <x:v>15</x:v>
      </x:c>
      <x:c r="G9" s="136" t="n">
        <x:v>20</x:v>
      </x:c>
      <x:c r="H9" s="136" t="n">
        <x:v>15</x:v>
      </x:c>
      <x:c r="I9" s="101" t="str">
        <x:v>PRIMARY</x:v>
      </x:c>
      <x:c r="J9" s="137" t="str"/>
    </x:row>
    <x:row r="10">
      <x:c r="A10" s="101" t="str">
        <x:v>PK-05</x:v>
      </x:c>
      <x:c r="B10" s="101" t="str">
        <x:v>ACTIVE</x:v>
      </x:c>
      <x:c r="C10" s="101" t="str">
        <x:v>RS</x:v>
      </x:c>
      <x:c r="D10" s="136" t="n">
        <x:v>300</x:v>
      </x:c>
      <x:c r="E10" s="136" t="n">
        <x:v>250</x:v>
      </x:c>
      <x:c r="F10" s="136" t="n">
        <x:v>15</x:v>
      </x:c>
      <x:c r="G10" s="136" t="n">
        <x:v>20</x:v>
      </x:c>
      <x:c r="H10" s="136" t="n">
        <x:v>15</x:v>
      </x:c>
      <x:c r="I10" s="101" t="str">
        <x:v>PRIMARY</x:v>
      </x:c>
      <x:c r="J10" s="137" t="str"/>
    </x:row>
    <x:row r="11">
      <x:c r="A11" s="101" t="str">
        <x:v>PK-06</x:v>
      </x:c>
      <x:c r="B11" s="101" t="str">
        <x:v>ACTIVE</x:v>
      </x:c>
      <x:c r="C11" s="101" t="str">
        <x:v>RO</x:v>
      </x:c>
      <x:c r="D11" s="136" t="n">
        <x:v>300</x:v>
      </x:c>
      <x:c r="E11" s="136" t="n">
        <x:v>250</x:v>
      </x:c>
      <x:c r="F11" s="136" t="n">
        <x:v>15</x:v>
      </x:c>
      <x:c r="G11" s="136" t="n">
        <x:v>20</x:v>
      </x:c>
      <x:c r="H11" s="136" t="n">
        <x:v>15</x:v>
      </x:c>
      <x:c r="I11" s="101" t="str">
        <x:v>PRIMARY</x:v>
      </x:c>
      <x:c r="J11" s="137" t="str"/>
    </x:row>
    <x:row r="12">
      <x:c r="A12" s="101" t="str">
        <x:v>PK-07</x:v>
      </x:c>
      <x:c r="B12" s="101" t="str">
        <x:v>ACTIVE</x:v>
      </x:c>
      <x:c r="C12" s="101" t="str">
        <x:v>RS</x:v>
      </x:c>
      <x:c r="D12" s="136" t="n">
        <x:v>300</x:v>
      </x:c>
      <x:c r="E12" s="136" t="n">
        <x:v>250</x:v>
      </x:c>
      <x:c r="F12" s="136" t="n">
        <x:v>15</x:v>
      </x:c>
      <x:c r="G12" s="136" t="n">
        <x:v>20</x:v>
      </x:c>
      <x:c r="H12" s="136" t="n">
        <x:v>15</x:v>
      </x:c>
      <x:c r="I12" s="101" t="str">
        <x:v>PRIMARY</x:v>
      </x:c>
      <x:c r="J12" s="137" t="str"/>
    </x:row>
    <x:row r="13">
      <x:c r="A13" s="101" t="str">
        <x:v>PK-08</x:v>
      </x:c>
      <x:c r="B13" s="101" t="str">
        <x:v>ACTIVE</x:v>
      </x:c>
      <x:c r="C13" s="101" t="str">
        <x:v>RO</x:v>
      </x:c>
      <x:c r="D13" s="136" t="n">
        <x:v>300</x:v>
      </x:c>
      <x:c r="E13" s="136" t="n">
        <x:v>250</x:v>
      </x:c>
      <x:c r="F13" s="136" t="n">
        <x:v>15</x:v>
      </x:c>
      <x:c r="G13" s="136" t="n">
        <x:v>20</x:v>
      </x:c>
      <x:c r="H13" s="136" t="n">
        <x:v>15</x:v>
      </x:c>
      <x:c r="I13" s="101" t="str">
        <x:v>PRIMARY</x:v>
      </x:c>
      <x:c r="J13" s="137" t="str"/>
    </x:row>
    <x:row r="14">
      <x:c r="A14" s="101" t="str">
        <x:v>PK-09</x:v>
      </x:c>
      <x:c r="B14" s="101" t="str">
        <x:v>ACTIVE</x:v>
      </x:c>
      <x:c r="C14" s="101" t="str">
        <x:v>RS</x:v>
      </x:c>
      <x:c r="D14" s="136" t="n">
        <x:v>300</x:v>
      </x:c>
      <x:c r="E14" s="136" t="n">
        <x:v>250</x:v>
      </x:c>
      <x:c r="F14" s="136" t="n">
        <x:v>15</x:v>
      </x:c>
      <x:c r="G14" s="136" t="n">
        <x:v>20</x:v>
      </x:c>
      <x:c r="H14" s="136" t="n">
        <x:v>15</x:v>
      </x:c>
      <x:c r="I14" s="101" t="str">
        <x:v>PRIMARY</x:v>
      </x:c>
      <x:c r="J14" s="137" t="str"/>
    </x:row>
    <x:row r="15">
      <x:c r="A15" s="101" t="str">
        <x:v>PK-10</x:v>
      </x:c>
      <x:c r="B15" s="101" t="str">
        <x:v>ACTIVE</x:v>
      </x:c>
      <x:c r="C15" s="101" t="str">
        <x:v>RO</x:v>
      </x:c>
      <x:c r="D15" s="136" t="n">
        <x:v>300</x:v>
      </x:c>
      <x:c r="E15" s="136" t="n">
        <x:v>250</x:v>
      </x:c>
      <x:c r="F15" s="136" t="n">
        <x:v>15</x:v>
      </x:c>
      <x:c r="G15" s="136" t="n">
        <x:v>20</x:v>
      </x:c>
      <x:c r="H15" s="136" t="n">
        <x:v>15</x:v>
      </x:c>
      <x:c r="I15" s="101" t="str">
        <x:v>PRIMARY</x:v>
      </x:c>
      <x:c r="J15" s="137" t="str"/>
    </x:row>
    <x:row r="16">
      <x:c r="A16" s="101" t="str">
        <x:v>PK-11</x:v>
      </x:c>
      <x:c r="B16" s="101" t="str">
        <x:v>ACTIVE</x:v>
      </x:c>
      <x:c r="C16" s="101" t="str">
        <x:v>RS</x:v>
      </x:c>
      <x:c r="D16" s="136" t="n">
        <x:v>300</x:v>
      </x:c>
      <x:c r="E16" s="136" t="n">
        <x:v>250</x:v>
      </x:c>
      <x:c r="F16" s="136" t="n">
        <x:v>15</x:v>
      </x:c>
      <x:c r="G16" s="136" t="n">
        <x:v>20</x:v>
      </x:c>
      <x:c r="H16" s="136" t="n">
        <x:v>15</x:v>
      </x:c>
      <x:c r="I16" s="101" t="str">
        <x:v>PRIMARY</x:v>
      </x:c>
      <x:c r="J16" s="137" t="str"/>
    </x:row>
    <x:row r="17">
      <x:c r="A17" s="101" t="str">
        <x:v>PK-12</x:v>
      </x:c>
      <x:c r="B17" s="101" t="str">
        <x:v>ACTIVE</x:v>
      </x:c>
      <x:c r="C17" s="101" t="str">
        <x:v>RO</x:v>
      </x:c>
      <x:c r="D17" s="136" t="n">
        <x:v>300</x:v>
      </x:c>
      <x:c r="E17" s="136" t="n">
        <x:v>250</x:v>
      </x:c>
      <x:c r="F17" s="136" t="n">
        <x:v>15</x:v>
      </x:c>
      <x:c r="G17" s="136" t="n">
        <x:v>20</x:v>
      </x:c>
      <x:c r="H17" s="136" t="n">
        <x:v>15</x:v>
      </x:c>
      <x:c r="I17" s="101" t="str">
        <x:v>PRIMARY</x:v>
      </x:c>
      <x:c r="J17" s="137" t="str"/>
    </x:row>
    <x:row r="18">
      <x:c r="A18" s="101" t="str">
        <x:v>RS-S01</x:v>
      </x:c>
      <x:c r="B18" s="101" t="str">
        <x:v>RESERVE</x:v>
      </x:c>
      <x:c r="C18" s="101" t="str">
        <x:v>RS</x:v>
      </x:c>
      <x:c r="D18" s="136" t="n">
        <x:v>300</x:v>
      </x:c>
      <x:c r="E18" s="136" t="n">
        <x:v>250</x:v>
      </x:c>
      <x:c r="F18" s="136" t="n">
        <x:v>15</x:v>
      </x:c>
      <x:c r="G18" s="136" t="n">
        <x:v>20</x:v>
      </x:c>
      <x:c r="H18" s="136" t="n">
        <x:v>15</x:v>
      </x:c>
      <x:c r="I18" s="101" t="str">
        <x:v>DORMANT</x:v>
      </x:c>
      <x:c r="J18" s="137" t="str"/>
    </x:row>
    <x:row r="19">
      <x:c r="A19" s="101" t="str">
        <x:v>RS-S02</x:v>
      </x:c>
      <x:c r="B19" s="101" t="str">
        <x:v>RESERVE</x:v>
      </x:c>
      <x:c r="C19" s="101" t="str">
        <x:v>RS</x:v>
      </x:c>
      <x:c r="D19" s="136" t="n">
        <x:v>300</x:v>
      </x:c>
      <x:c r="E19" s="136" t="n">
        <x:v>250</x:v>
      </x:c>
      <x:c r="F19" s="136" t="n">
        <x:v>15</x:v>
      </x:c>
      <x:c r="G19" s="136" t="n">
        <x:v>20</x:v>
      </x:c>
      <x:c r="H19" s="136" t="n">
        <x:v>15</x:v>
      </x:c>
      <x:c r="I19" s="101" t="str">
        <x:v>DORMANT</x:v>
      </x:c>
      <x:c r="J19" s="137" t="str"/>
    </x:row>
    <x:row r="20">
      <x:c r="A20" s="101" t="str">
        <x:v>RS-S03</x:v>
      </x:c>
      <x:c r="B20" s="101" t="str">
        <x:v>RESERVE</x:v>
      </x:c>
      <x:c r="C20" s="101" t="str">
        <x:v>RS</x:v>
      </x:c>
      <x:c r="D20" s="136" t="n">
        <x:v>300</x:v>
      </x:c>
      <x:c r="E20" s="136" t="n">
        <x:v>250</x:v>
      </x:c>
      <x:c r="F20" s="136" t="n">
        <x:v>15</x:v>
      </x:c>
      <x:c r="G20" s="136" t="n">
        <x:v>20</x:v>
      </x:c>
      <x:c r="H20" s="136" t="n">
        <x:v>15</x:v>
      </x:c>
      <x:c r="I20" s="101" t="str">
        <x:v>DORMANT</x:v>
      </x:c>
      <x:c r="J20" s="137" t="str"/>
    </x:row>
    <x:row r="21">
      <x:c r="A21" s="101" t="str">
        <x:v>RS-S04</x:v>
      </x:c>
      <x:c r="B21" s="101" t="str">
        <x:v>RESERVE</x:v>
      </x:c>
      <x:c r="C21" s="101" t="str">
        <x:v>RS</x:v>
      </x:c>
      <x:c r="D21" s="136" t="n">
        <x:v>300</x:v>
      </x:c>
      <x:c r="E21" s="136" t="n">
        <x:v>250</x:v>
      </x:c>
      <x:c r="F21" s="136" t="n">
        <x:v>15</x:v>
      </x:c>
      <x:c r="G21" s="136" t="n">
        <x:v>20</x:v>
      </x:c>
      <x:c r="H21" s="136" t="n">
        <x:v>15</x:v>
      </x:c>
      <x:c r="I21" s="101" t="str">
        <x:v>DORMANT</x:v>
      </x:c>
      <x:c r="J21" s="137" t="str"/>
    </x:row>
    <x:row r="22">
      <x:c r="A22" s="101" t="str">
        <x:v>RS-S05</x:v>
      </x:c>
      <x:c r="B22" s="101" t="str">
        <x:v>RESERVE</x:v>
      </x:c>
      <x:c r="C22" s="101" t="str">
        <x:v>RS</x:v>
      </x:c>
      <x:c r="D22" s="136" t="n">
        <x:v>300</x:v>
      </x:c>
      <x:c r="E22" s="136" t="n">
        <x:v>250</x:v>
      </x:c>
      <x:c r="F22" s="136" t="n">
        <x:v>15</x:v>
      </x:c>
      <x:c r="G22" s="136" t="n">
        <x:v>20</x:v>
      </x:c>
      <x:c r="H22" s="136" t="n">
        <x:v>15</x:v>
      </x:c>
      <x:c r="I22" s="101" t="str">
        <x:v>DORMANT</x:v>
      </x:c>
      <x:c r="J22" s="137" t="str"/>
    </x:row>
    <x:row r="23">
      <x:c r="A23" s="101" t="str">
        <x:v>RS-S06</x:v>
      </x:c>
      <x:c r="B23" s="101" t="str">
        <x:v>RESERVE</x:v>
      </x:c>
      <x:c r="C23" s="101" t="str">
        <x:v>RS</x:v>
      </x:c>
      <x:c r="D23" s="136" t="n">
        <x:v>300</x:v>
      </x:c>
      <x:c r="E23" s="136" t="n">
        <x:v>250</x:v>
      </x:c>
      <x:c r="F23" s="136" t="n">
        <x:v>15</x:v>
      </x:c>
      <x:c r="G23" s="136" t="n">
        <x:v>20</x:v>
      </x:c>
      <x:c r="H23" s="136" t="n">
        <x:v>15</x:v>
      </x:c>
      <x:c r="I23" s="101" t="str">
        <x:v>DORMANT</x:v>
      </x:c>
      <x:c r="J23" s="137" t="str"/>
    </x:row>
    <x:row r="24">
      <x:c r="A24" s="101" t="str">
        <x:v>RS-S07</x:v>
      </x:c>
      <x:c r="B24" s="101" t="str">
        <x:v>RESERVE</x:v>
      </x:c>
      <x:c r="C24" s="101" t="str">
        <x:v>RS</x:v>
      </x:c>
      <x:c r="D24" s="136" t="n">
        <x:v>300</x:v>
      </x:c>
      <x:c r="E24" s="136" t="n">
        <x:v>250</x:v>
      </x:c>
      <x:c r="F24" s="136" t="n">
        <x:v>15</x:v>
      </x:c>
      <x:c r="G24" s="136" t="n">
        <x:v>20</x:v>
      </x:c>
      <x:c r="H24" s="136" t="n">
        <x:v>15</x:v>
      </x:c>
      <x:c r="I24" s="101" t="str">
        <x:v>DORMANT</x:v>
      </x:c>
      <x:c r="J24" s="137" t="str"/>
    </x:row>
    <x:row r="25">
      <x:c r="A25" s="101" t="str">
        <x:v>RS-O01</x:v>
      </x:c>
      <x:c r="B25" s="101" t="str">
        <x:v>RESERVE</x:v>
      </x:c>
      <x:c r="C25" s="101" t="str">
        <x:v>RO</x:v>
      </x:c>
      <x:c r="D25" s="136" t="n">
        <x:v>300</x:v>
      </x:c>
      <x:c r="E25" s="136" t="n">
        <x:v>250</x:v>
      </x:c>
      <x:c r="F25" s="136" t="n">
        <x:v>15</x:v>
      </x:c>
      <x:c r="G25" s="136" t="n">
        <x:v>20</x:v>
      </x:c>
      <x:c r="H25" s="136" t="n">
        <x:v>15</x:v>
      </x:c>
      <x:c r="I25" s="101" t="str">
        <x:v>DORMANT</x:v>
      </x:c>
      <x:c r="J25" s="137" t="str"/>
    </x:row>
    <x:row r="26">
      <x:c r="A26" s="101" t="str">
        <x:v>RS-O02</x:v>
      </x:c>
      <x:c r="B26" s="101" t="str">
        <x:v>RESERVE</x:v>
      </x:c>
      <x:c r="C26" s="101" t="str">
        <x:v>RO</x:v>
      </x:c>
      <x:c r="D26" s="136" t="n">
        <x:v>300</x:v>
      </x:c>
      <x:c r="E26" s="136" t="n">
        <x:v>250</x:v>
      </x:c>
      <x:c r="F26" s="136" t="n">
        <x:v>15</x:v>
      </x:c>
      <x:c r="G26" s="136" t="n">
        <x:v>20</x:v>
      </x:c>
      <x:c r="H26" s="136" t="n">
        <x:v>15</x:v>
      </x:c>
      <x:c r="I26" s="101" t="str">
        <x:v>DORMANT</x:v>
      </x:c>
      <x:c r="J26" s="137" t="str"/>
    </x:row>
    <x:row r="27">
      <x:c r="A27" s="101" t="str">
        <x:v>RS-O03</x:v>
      </x:c>
      <x:c r="B27" s="101" t="str">
        <x:v>RESERVE</x:v>
      </x:c>
      <x:c r="C27" s="101" t="str">
        <x:v>RO</x:v>
      </x:c>
      <x:c r="D27" s="136" t="n">
        <x:v>300</x:v>
      </x:c>
      <x:c r="E27" s="136" t="n">
        <x:v>250</x:v>
      </x:c>
      <x:c r="F27" s="136" t="n">
        <x:v>15</x:v>
      </x:c>
      <x:c r="G27" s="136" t="n">
        <x:v>20</x:v>
      </x:c>
      <x:c r="H27" s="136" t="n">
        <x:v>15</x:v>
      </x:c>
      <x:c r="I27" s="101" t="str">
        <x:v>DORMANT</x:v>
      </x:c>
      <x:c r="J27" s="137" t="str"/>
    </x:row>
    <x:row r="28">
      <x:c r="A28" s="101" t="str">
        <x:v>RS-O04</x:v>
      </x:c>
      <x:c r="B28" s="101" t="str">
        <x:v>RESERVE</x:v>
      </x:c>
      <x:c r="C28" s="101" t="str">
        <x:v>RO</x:v>
      </x:c>
      <x:c r="D28" s="136" t="n">
        <x:v>300</x:v>
      </x:c>
      <x:c r="E28" s="136" t="n">
        <x:v>250</x:v>
      </x:c>
      <x:c r="F28" s="136" t="n">
        <x:v>15</x:v>
      </x:c>
      <x:c r="G28" s="136" t="n">
        <x:v>20</x:v>
      </x:c>
      <x:c r="H28" s="136" t="n">
        <x:v>15</x:v>
      </x:c>
      <x:c r="I28" s="101" t="str">
        <x:v>DORMANT</x:v>
      </x:c>
      <x:c r="J28" s="137" t="str"/>
    </x:row>
    <x:row r="29">
      <x:c r="A29" s="101" t="str">
        <x:v>RS-O05</x:v>
      </x:c>
      <x:c r="B29" s="101" t="str">
        <x:v>RESERVE</x:v>
      </x:c>
      <x:c r="C29" s="101" t="str">
        <x:v>RO</x:v>
      </x:c>
      <x:c r="D29" s="136" t="n">
        <x:v>300</x:v>
      </x:c>
      <x:c r="E29" s="136" t="n">
        <x:v>250</x:v>
      </x:c>
      <x:c r="F29" s="136" t="n">
        <x:v>15</x:v>
      </x:c>
      <x:c r="G29" s="136" t="n">
        <x:v>20</x:v>
      </x:c>
      <x:c r="H29" s="136" t="n">
        <x:v>15</x:v>
      </x:c>
      <x:c r="I29" s="101" t="str">
        <x:v>DORMANT</x:v>
      </x:c>
      <x:c r="J29" s="137" t="str"/>
    </x:row>
    <x:row r="30">
      <x:c r="A30" s="101" t="str">
        <x:v>RS-O06</x:v>
      </x:c>
      <x:c r="B30" s="101" t="str">
        <x:v>RESERVE</x:v>
      </x:c>
      <x:c r="C30" s="101" t="str">
        <x:v>RO</x:v>
      </x:c>
      <x:c r="D30" s="136" t="n">
        <x:v>300</x:v>
      </x:c>
      <x:c r="E30" s="136" t="n">
        <x:v>250</x:v>
      </x:c>
      <x:c r="F30" s="136" t="n">
        <x:v>15</x:v>
      </x:c>
      <x:c r="G30" s="136" t="n">
        <x:v>20</x:v>
      </x:c>
      <x:c r="H30" s="136" t="n">
        <x:v>15</x:v>
      </x:c>
      <x:c r="I30" s="101" t="str">
        <x:v>DORMANT</x:v>
      </x:c>
      <x:c r="J30" s="137" t="str"/>
    </x:row>
    <x:row r="31">
      <x:c r="A31" s="101" t="str">
        <x:v>RS-O07</x:v>
      </x:c>
      <x:c r="B31" s="101" t="str">
        <x:v>RESERVE</x:v>
      </x:c>
      <x:c r="C31" s="101" t="str">
        <x:v>RO</x:v>
      </x:c>
      <x:c r="D31" s="136" t="n">
        <x:v>300</x:v>
      </x:c>
      <x:c r="E31" s="136" t="n">
        <x:v>250</x:v>
      </x:c>
      <x:c r="F31" s="136" t="n">
        <x:v>15</x:v>
      </x:c>
      <x:c r="G31" s="136" t="n">
        <x:v>20</x:v>
      </x:c>
      <x:c r="H31" s="136" t="n">
        <x:v>15</x:v>
      </x:c>
      <x:c r="I31" s="101" t="str">
        <x:v>DORMANT</x:v>
      </x:c>
      <x:c r="J31" s="137" t="str"/>
    </x:row>
    <x:row r="32">
      <x:c r="A32" s="101" t="str">
        <x:v>FR-S</x:v>
      </x:c>
      <x:c r="B32" s="101" t="str">
        <x:v>FORENSIC</x:v>
      </x:c>
      <x:c r="C32" s="101" t="str">
        <x:v>RS</x:v>
      </x:c>
      <x:c r="D32" s="136" t="n">
        <x:v>300</x:v>
      </x:c>
      <x:c r="E32" s="136" t="n">
        <x:v>0</x:v>
      </x:c>
      <x:c r="F32" s="136" t="n">
        <x:v>0</x:v>
      </x:c>
      <x:c r="G32" s="136" t="n">
        <x:v>0</x:v>
      </x:c>
      <x:c r="H32" s="136" t="n">
        <x:v>300</x:v>
      </x:c>
      <x:c r="I32" s="101" t="str">
        <x:v>PROHIBITED</x:v>
      </x:c>
      <x:c r="J32" s="137" t="str"/>
    </x:row>
    <x:row r="33">
      <x:c r="A33" s="104" t="str">
        <x:v>FR-O</x:v>
      </x:c>
      <x:c r="B33" s="104" t="str">
        <x:v>FORENSIC</x:v>
      </x:c>
      <x:c r="C33" s="104" t="str">
        <x:v>RO</x:v>
      </x:c>
      <x:c r="D33" s="138" t="n">
        <x:v>300</x:v>
      </x:c>
      <x:c r="E33" s="138" t="n">
        <x:v>0</x:v>
      </x:c>
      <x:c r="F33" s="138" t="n">
        <x:v>0</x:v>
      </x:c>
      <x:c r="G33" s="138" t="n">
        <x:v>0</x:v>
      </x:c>
      <x:c r="H33" s="138" t="n">
        <x:v>300</x:v>
      </x:c>
      <x:c r="I33" s="104" t="str">
        <x:v>PROHIBITED</x:v>
      </x:c>
      <x:c r="J33" s="139" t="str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</x:row>
    <x:row r="35">
      <x:c r="A35" s="9" t="str">
        <x:v>Bank control</x:v>
      </x:c>
      <x:c r="B35" s="10" t="str">
        <x:v>Calculated</x:v>
      </x:c>
      <x:c r="C35" s="11" t="str">
        <x:v>Expected</x:v>
      </x:c>
      <x:c r="D35" s="95"/>
      <x:c r="E35" s="95"/>
      <x:c r="F35" s="95"/>
      <x:c r="G35" s="95"/>
      <x:c r="H35" s="95"/>
      <x:c r="I35" s="95"/>
      <x:c r="J35" s="95"/>
    </x:row>
    <x:row r="36">
      <x:c r="A36" s="98" t="str">
        <x:v>Total packages</x:v>
      </x:c>
      <x:c r="B36" s="134" t="n">
        <x:f>COUNTA(A6:A33)</x:f>
        <x:v>28</x:v>
      </x:c>
      <x:c r="C36" s="134" t="n">
        <x:v>28</x:v>
      </x:c>
      <x:c r="D36" s="95"/>
      <x:c r="E36" s="95"/>
      <x:c r="F36" s="95"/>
      <x:c r="G36" s="95"/>
      <x:c r="H36" s="95"/>
      <x:c r="I36" s="95"/>
      <x:c r="J36" s="95"/>
    </x:row>
    <x:row r="37">
      <x:c r="A37" s="101" t="str">
        <x:v>Active packages</x:v>
      </x:c>
      <x:c r="B37" s="136" t="n">
        <x:f>COUNTIFS(B6:B33,"ACTIVE")</x:f>
        <x:v>12</x:v>
      </x:c>
      <x:c r="C37" s="136" t="n">
        <x:v>12</x:v>
      </x:c>
      <x:c r="D37" s="95"/>
      <x:c r="E37" s="95"/>
      <x:c r="F37" s="95"/>
      <x:c r="G37" s="95"/>
      <x:c r="H37" s="95"/>
      <x:c r="I37" s="95"/>
      <x:c r="J37" s="95"/>
    </x:row>
    <x:row r="38">
      <x:c r="A38" s="101" t="str">
        <x:v>Operational reserves</x:v>
      </x:c>
      <x:c r="B38" s="136" t="n">
        <x:f>COUNTIFS(B6:B33,"RESERVE")</x:f>
        <x:v>14</x:v>
      </x:c>
      <x:c r="C38" s="136" t="n">
        <x:v>14</x:v>
      </x:c>
      <x:c r="D38" s="95"/>
      <x:c r="E38" s="95"/>
      <x:c r="F38" s="95"/>
      <x:c r="G38" s="95"/>
      <x:c r="H38" s="95"/>
      <x:c r="I38" s="95"/>
      <x:c r="J38" s="95"/>
    </x:row>
    <x:row r="39">
      <x:c r="A39" s="101" t="str">
        <x:v>Forensic references</x:v>
      </x:c>
      <x:c r="B39" s="136" t="n">
        <x:f>COUNTIFS(B6:B33,"FORENSIC")</x:f>
        <x:v>2</x:v>
      </x:c>
      <x:c r="C39" s="136" t="n">
        <x:v>2</x:v>
      </x:c>
      <x:c r="D39" s="95"/>
      <x:c r="E39" s="95"/>
      <x:c r="F39" s="95"/>
      <x:c r="G39" s="95"/>
      <x:c r="H39" s="95"/>
      <x:c r="I39" s="95"/>
      <x:c r="J39" s="95"/>
    </x:row>
    <x:row r="40">
      <x:c r="A40" s="101" t="str">
        <x:v>Gross bank mass kg</x:v>
      </x:c>
      <x:c r="B40" s="136" t="n">
        <x:f>SUM(D6:D33)</x:f>
        <x:v>8400</x:v>
      </x:c>
      <x:c r="C40" s="136" t="n">
        <x:v>8400</x:v>
      </x:c>
      <x:c r="D40" s="95"/>
      <x:c r="E40" s="95"/>
      <x:c r="F40" s="95"/>
      <x:c r="G40" s="95"/>
      <x:c r="H40" s="95"/>
      <x:c r="I40" s="95"/>
      <x:c r="J40" s="95"/>
    </x:row>
    <x:row r="41">
      <x:c r="A41" s="104" t="str">
        <x:v>Maximum event mass kg</x:v>
      </x:c>
      <x:c r="B41" s="138" t="n">
        <x:f>SUM(E6:E31)</x:f>
        <x:v>6500</x:v>
      </x:c>
      <x:c r="C41" s="138" t="n">
        <x:v>6500</x:v>
      </x:c>
      <x:c r="D41" s="95"/>
      <x:c r="E41" s="95"/>
      <x:c r="F41" s="95"/>
      <x:c r="G41" s="95"/>
      <x:c r="H41" s="95"/>
      <x:c r="I41" s="95"/>
      <x:c r="J41" s="9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329999923706055" hidden="0" customWidth="1"/>
    <x:col min="2" max="2" width="10.5600004196167" hidden="0" customWidth="1"/>
    <x:col min="3" max="3" width="10.5600004196167" hidden="0" customWidth="1"/>
    <x:col min="4" max="4" width="10" hidden="0" customWidth="1"/>
    <x:col min="5" max="5" width="10.5600004196167" hidden="0" customWidth="1"/>
    <x:col min="6" max="6" width="8.329999923706055" hidden="0" customWidth="1"/>
    <x:col min="7" max="7" width="8.329999923706055" hidden="0" customWidth="1"/>
    <x:col min="8" max="8" width="14.4399995803833" hidden="0" customWidth="1"/>
    <x:col min="9" max="9" width="15" hidden="0" customWidth="1"/>
    <x:col min="10" max="10" width="15" hidden="0" customWidth="1"/>
    <x:col min="11" max="11" width="13.329999923706055" hidden="0" customWidth="1"/>
    <x:col min="12" max="12" width="17.780000686645508" hidden="0" customWidth="1"/>
  </x:cols>
  <x:sheetData>
    <x:row r="2">
      <x:c r="A2" s="94" t="str">
        <x:v>Attempt-token and issue register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</x:row>
    <x:row r="4">
      <x:c r="A4" s="97" t="str">
        <x:v>Yellow fields are physical execution inputs. Blank issue fields mean no attempt is asserted.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</x:row>
    <x:row r="5">
      <x:c r="A5" s="9" t="str">
        <x:v>Token</x:v>
      </x:c>
      <x:c r="B5" s="10" t="str">
        <x:v>Kind</x:v>
      </x:c>
      <x:c r="C5" s="10" t="str">
        <x:v>Root family</x:v>
      </x:c>
      <x:c r="D5" s="10" t="str">
        <x:v>Package ID</x:v>
      </x:c>
      <x:c r="E5" s="10" t="str">
        <x:v>Assigned cell</x:v>
      </x:c>
      <x:c r="F5" s="10" t="str">
        <x:v>Issued Y/N</x:v>
      </x:c>
      <x:c r="G5" s="10" t="str">
        <x:v>T0 day</x:v>
      </x:c>
      <x:c r="H5" s="10" t="str">
        <x:v>Disposition</x:v>
      </x:c>
      <x:c r="I5" s="10" t="str">
        <x:v>Environmental source kg</x:v>
      </x:c>
      <x:c r="J5" s="10" t="str">
        <x:v>Unaccounted source kg</x:v>
      </x:c>
      <x:c r="K5" s="10" t="str">
        <x:v>Packet ID</x:v>
      </x:c>
      <x:c r="L5" s="11" t="str">
        <x:v>Identity status</x:v>
      </x:c>
    </x:row>
    <x:row r="6">
      <x:c r="A6" s="98" t="str">
        <x:v>P01</x:v>
      </x:c>
      <x:c r="B6" s="98" t="str">
        <x:v>PRIMARY</x:v>
      </x:c>
      <x:c r="C6" s="98" t="str">
        <x:v>RS</x:v>
      </x:c>
      <x:c r="D6" s="98" t="str">
        <x:v>PK-01</x:v>
      </x:c>
      <x:c r="E6" s="135" t="str">
        <x:v>S0-RS</x:v>
      </x:c>
      <x:c r="F6" s="135" t="str"/>
      <x:c r="G6" s="140"/>
      <x:c r="H6" s="135" t="str"/>
      <x:c r="I6" s="141"/>
      <x:c r="J6" s="141"/>
      <x:c r="K6" s="135" t="str"/>
      <x:c r="L6" s="98" t="str">
        <x:f>IF(F6="","OPEN",IF(F6&lt;&gt;"Y","INVALID ISSUE FLAG",IF(OR(E6="",G6="",H6="",K6=""),"MISSING ISSUE RECORD",IF(RIGHT(E6,2)&lt;&gt;C6,"ROOT MISMATCH","PRIMARY ISSUED"))))</x:f>
        <x:v>OPEN</x:v>
      </x:c>
    </x:row>
    <x:row r="7">
      <x:c r="A7" s="101" t="str">
        <x:v>P02</x:v>
      </x:c>
      <x:c r="B7" s="101" t="str">
        <x:v>PRIMARY</x:v>
      </x:c>
      <x:c r="C7" s="101" t="str">
        <x:v>RO</x:v>
      </x:c>
      <x:c r="D7" s="101" t="str">
        <x:v>PK-02</x:v>
      </x:c>
      <x:c r="E7" s="137" t="str">
        <x:v>S1-RO</x:v>
      </x:c>
      <x:c r="F7" s="137" t="str"/>
      <x:c r="G7" s="142"/>
      <x:c r="H7" s="137" t="str"/>
      <x:c r="I7" s="143"/>
      <x:c r="J7" s="143"/>
      <x:c r="K7" s="137" t="str"/>
      <x:c r="L7" s="101" t="str">
        <x:f>IF(F7="","OPEN",IF(F7&lt;&gt;"Y","INVALID ISSUE FLAG",IF(OR(E7="",G7="",H7="",K7=""),"MISSING ISSUE RECORD",IF(RIGHT(E7,2)&lt;&gt;C7,"ROOT MISMATCH","PRIMARY ISSUED"))))</x:f>
        <x:v>OPEN</x:v>
      </x:c>
    </x:row>
    <x:row r="8">
      <x:c r="A8" s="101" t="str">
        <x:v>P03</x:v>
      </x:c>
      <x:c r="B8" s="101" t="str">
        <x:v>PRIMARY</x:v>
      </x:c>
      <x:c r="C8" s="101" t="str">
        <x:v>RS</x:v>
      </x:c>
      <x:c r="D8" s="101" t="str">
        <x:v>PK-03</x:v>
      </x:c>
      <x:c r="E8" s="137" t="str">
        <x:v>S2-RS</x:v>
      </x:c>
      <x:c r="F8" s="137" t="str"/>
      <x:c r="G8" s="142"/>
      <x:c r="H8" s="137" t="str"/>
      <x:c r="I8" s="143"/>
      <x:c r="J8" s="143"/>
      <x:c r="K8" s="137" t="str"/>
      <x:c r="L8" s="101" t="str">
        <x:f>IF(F8="","OPEN",IF(F8&lt;&gt;"Y","INVALID ISSUE FLAG",IF(OR(E8="",G8="",H8="",K8=""),"MISSING ISSUE RECORD",IF(RIGHT(E8,2)&lt;&gt;C8,"ROOT MISMATCH","PRIMARY ISSUED"))))</x:f>
        <x:v>OPEN</x:v>
      </x:c>
    </x:row>
    <x:row r="9">
      <x:c r="A9" s="101" t="str">
        <x:v>P04</x:v>
      </x:c>
      <x:c r="B9" s="101" t="str">
        <x:v>PRIMARY</x:v>
      </x:c>
      <x:c r="C9" s="101" t="str">
        <x:v>RO</x:v>
      </x:c>
      <x:c r="D9" s="101" t="str">
        <x:v>PK-04</x:v>
      </x:c>
      <x:c r="E9" s="137" t="str">
        <x:v>S3-RO</x:v>
      </x:c>
      <x:c r="F9" s="137" t="str"/>
      <x:c r="G9" s="142"/>
      <x:c r="H9" s="137" t="str"/>
      <x:c r="I9" s="143"/>
      <x:c r="J9" s="143"/>
      <x:c r="K9" s="137" t="str"/>
      <x:c r="L9" s="101" t="str">
        <x:f>IF(F9="","OPEN",IF(F9&lt;&gt;"Y","INVALID ISSUE FLAG",IF(OR(E9="",G9="",H9="",K9=""),"MISSING ISSUE RECORD",IF(RIGHT(E9,2)&lt;&gt;C9,"ROOT MISMATCH","PRIMARY ISSUED"))))</x:f>
        <x:v>OPEN</x:v>
      </x:c>
    </x:row>
    <x:row r="10">
      <x:c r="A10" s="101" t="str">
        <x:v>P05</x:v>
      </x:c>
      <x:c r="B10" s="101" t="str">
        <x:v>PRIMARY</x:v>
      </x:c>
      <x:c r="C10" s="101" t="str">
        <x:v>RS</x:v>
      </x:c>
      <x:c r="D10" s="101" t="str">
        <x:v>PK-05</x:v>
      </x:c>
      <x:c r="E10" s="137" t="str">
        <x:v>S4-RS</x:v>
      </x:c>
      <x:c r="F10" s="137" t="str"/>
      <x:c r="G10" s="142"/>
      <x:c r="H10" s="137" t="str"/>
      <x:c r="I10" s="143"/>
      <x:c r="J10" s="143"/>
      <x:c r="K10" s="137" t="str"/>
      <x:c r="L10" s="101" t="str">
        <x:f>IF(F10="","OPEN",IF(F10&lt;&gt;"Y","INVALID ISSUE FLAG",IF(OR(E10="",G10="",H10="",K10=""),"MISSING ISSUE RECORD",IF(RIGHT(E10,2)&lt;&gt;C10,"ROOT MISMATCH","PRIMARY ISSUED"))))</x:f>
        <x:v>OPEN</x:v>
      </x:c>
    </x:row>
    <x:row r="11">
      <x:c r="A11" s="101" t="str">
        <x:v>P06</x:v>
      </x:c>
      <x:c r="B11" s="101" t="str">
        <x:v>PRIMARY</x:v>
      </x:c>
      <x:c r="C11" s="101" t="str">
        <x:v>RO</x:v>
      </x:c>
      <x:c r="D11" s="101" t="str">
        <x:v>PK-06</x:v>
      </x:c>
      <x:c r="E11" s="137" t="str">
        <x:v>S5-RO</x:v>
      </x:c>
      <x:c r="F11" s="137" t="str"/>
      <x:c r="G11" s="142"/>
      <x:c r="H11" s="137" t="str"/>
      <x:c r="I11" s="143"/>
      <x:c r="J11" s="143"/>
      <x:c r="K11" s="137" t="str"/>
      <x:c r="L11" s="101" t="str">
        <x:f>IF(F11="","OPEN",IF(F11&lt;&gt;"Y","INVALID ISSUE FLAG",IF(OR(E11="",G11="",H11="",K11=""),"MISSING ISSUE RECORD",IF(RIGHT(E11,2)&lt;&gt;C11,"ROOT MISMATCH","PRIMARY ISSUED"))))</x:f>
        <x:v>OPEN</x:v>
      </x:c>
    </x:row>
    <x:row r="12">
      <x:c r="A12" s="101" t="str">
        <x:v>P07</x:v>
      </x:c>
      <x:c r="B12" s="101" t="str">
        <x:v>PRIMARY</x:v>
      </x:c>
      <x:c r="C12" s="101" t="str">
        <x:v>RO</x:v>
      </x:c>
      <x:c r="D12" s="101" t="str">
        <x:v>PK-07</x:v>
      </x:c>
      <x:c r="E12" s="137" t="str">
        <x:v>S0-RO</x:v>
      </x:c>
      <x:c r="F12" s="137" t="str"/>
      <x:c r="G12" s="142"/>
      <x:c r="H12" s="137" t="str"/>
      <x:c r="I12" s="143"/>
      <x:c r="J12" s="143"/>
      <x:c r="K12" s="137" t="str"/>
      <x:c r="L12" s="101" t="str">
        <x:f>IF(F12="","OPEN",IF(F12&lt;&gt;"Y","INVALID ISSUE FLAG",IF(OR(E12="",G12="",H12="",K12=""),"MISSING ISSUE RECORD",IF(RIGHT(E12,2)&lt;&gt;C12,"ROOT MISMATCH","PRIMARY ISSUED"))))</x:f>
        <x:v>OPEN</x:v>
      </x:c>
    </x:row>
    <x:row r="13">
      <x:c r="A13" s="101" t="str">
        <x:v>P08</x:v>
      </x:c>
      <x:c r="B13" s="101" t="str">
        <x:v>PRIMARY</x:v>
      </x:c>
      <x:c r="C13" s="101" t="str">
        <x:v>RS</x:v>
      </x:c>
      <x:c r="D13" s="101" t="str">
        <x:v>PK-08</x:v>
      </x:c>
      <x:c r="E13" s="137" t="str">
        <x:v>S1-RS</x:v>
      </x:c>
      <x:c r="F13" s="137" t="str"/>
      <x:c r="G13" s="142"/>
      <x:c r="H13" s="137" t="str"/>
      <x:c r="I13" s="143"/>
      <x:c r="J13" s="143"/>
      <x:c r="K13" s="137" t="str"/>
      <x:c r="L13" s="101" t="str">
        <x:f>IF(F13="","OPEN",IF(F13&lt;&gt;"Y","INVALID ISSUE FLAG",IF(OR(E13="",G13="",H13="",K13=""),"MISSING ISSUE RECORD",IF(RIGHT(E13,2)&lt;&gt;C13,"ROOT MISMATCH","PRIMARY ISSUED"))))</x:f>
        <x:v>OPEN</x:v>
      </x:c>
    </x:row>
    <x:row r="14">
      <x:c r="A14" s="101" t="str">
        <x:v>P09</x:v>
      </x:c>
      <x:c r="B14" s="101" t="str">
        <x:v>PRIMARY</x:v>
      </x:c>
      <x:c r="C14" s="101" t="str">
        <x:v>RO</x:v>
      </x:c>
      <x:c r="D14" s="101" t="str">
        <x:v>PK-09</x:v>
      </x:c>
      <x:c r="E14" s="137" t="str">
        <x:v>S2-RO</x:v>
      </x:c>
      <x:c r="F14" s="137" t="str"/>
      <x:c r="G14" s="142"/>
      <x:c r="H14" s="137" t="str"/>
      <x:c r="I14" s="143"/>
      <x:c r="J14" s="143"/>
      <x:c r="K14" s="137" t="str"/>
      <x:c r="L14" s="101" t="str">
        <x:f>IF(F14="","OPEN",IF(F14&lt;&gt;"Y","INVALID ISSUE FLAG",IF(OR(E14="",G14="",H14="",K14=""),"MISSING ISSUE RECORD",IF(RIGHT(E14,2)&lt;&gt;C14,"ROOT MISMATCH","PRIMARY ISSUED"))))</x:f>
        <x:v>OPEN</x:v>
      </x:c>
    </x:row>
    <x:row r="15">
      <x:c r="A15" s="101" t="str">
        <x:v>P10</x:v>
      </x:c>
      <x:c r="B15" s="101" t="str">
        <x:v>PRIMARY</x:v>
      </x:c>
      <x:c r="C15" s="101" t="str">
        <x:v>RS</x:v>
      </x:c>
      <x:c r="D15" s="101" t="str">
        <x:v>PK-10</x:v>
      </x:c>
      <x:c r="E15" s="137" t="str">
        <x:v>S3-RS</x:v>
      </x:c>
      <x:c r="F15" s="137" t="str"/>
      <x:c r="G15" s="142"/>
      <x:c r="H15" s="137" t="str"/>
      <x:c r="I15" s="143"/>
      <x:c r="J15" s="143"/>
      <x:c r="K15" s="137" t="str"/>
      <x:c r="L15" s="101" t="str">
        <x:f>IF(F15="","OPEN",IF(F15&lt;&gt;"Y","INVALID ISSUE FLAG",IF(OR(E15="",G15="",H15="",K15=""),"MISSING ISSUE RECORD",IF(RIGHT(E15,2)&lt;&gt;C15,"ROOT MISMATCH","PRIMARY ISSUED"))))</x:f>
        <x:v>OPEN</x:v>
      </x:c>
    </x:row>
    <x:row r="16">
      <x:c r="A16" s="101" t="str">
        <x:v>P11</x:v>
      </x:c>
      <x:c r="B16" s="101" t="str">
        <x:v>PRIMARY</x:v>
      </x:c>
      <x:c r="C16" s="101" t="str">
        <x:v>RO</x:v>
      </x:c>
      <x:c r="D16" s="101" t="str">
        <x:v>PK-11</x:v>
      </x:c>
      <x:c r="E16" s="137" t="str">
        <x:v>S4-RO</x:v>
      </x:c>
      <x:c r="F16" s="137" t="str"/>
      <x:c r="G16" s="142"/>
      <x:c r="H16" s="137" t="str"/>
      <x:c r="I16" s="143"/>
      <x:c r="J16" s="143"/>
      <x:c r="K16" s="137" t="str"/>
      <x:c r="L16" s="101" t="str">
        <x:f>IF(F16="","OPEN",IF(F16&lt;&gt;"Y","INVALID ISSUE FLAG",IF(OR(E16="",G16="",H16="",K16=""),"MISSING ISSUE RECORD",IF(RIGHT(E16,2)&lt;&gt;C16,"ROOT MISMATCH","PRIMARY ISSUED"))))</x:f>
        <x:v>OPEN</x:v>
      </x:c>
    </x:row>
    <x:row r="17">
      <x:c r="A17" s="101" t="str">
        <x:v>P12</x:v>
      </x:c>
      <x:c r="B17" s="101" t="str">
        <x:v>PRIMARY</x:v>
      </x:c>
      <x:c r="C17" s="101" t="str">
        <x:v>RS</x:v>
      </x:c>
      <x:c r="D17" s="101" t="str">
        <x:v>PK-12</x:v>
      </x:c>
      <x:c r="E17" s="137" t="str">
        <x:v>S5-RS</x:v>
      </x:c>
      <x:c r="F17" s="137" t="str"/>
      <x:c r="G17" s="142"/>
      <x:c r="H17" s="137" t="str"/>
      <x:c r="I17" s="143"/>
      <x:c r="J17" s="143"/>
      <x:c r="K17" s="137" t="str"/>
      <x:c r="L17" s="101" t="str">
        <x:f>IF(F17="","OPEN",IF(F17&lt;&gt;"Y","INVALID ISSUE FLAG",IF(OR(E17="",G17="",H17="",K17=""),"MISSING ISSUE RECORD",IF(RIGHT(E17,2)&lt;&gt;C17,"ROOT MISMATCH","PRIMARY ISSUED"))))</x:f>
        <x:v>OPEN</x:v>
      </x:c>
    </x:row>
    <x:row r="18">
      <x:c r="A18" s="101" t="str">
        <x:v>RS01</x:v>
      </x:c>
      <x:c r="B18" s="101" t="str">
        <x:v>RESERVE</x:v>
      </x:c>
      <x:c r="C18" s="101" t="str">
        <x:v>RS</x:v>
      </x:c>
      <x:c r="D18" s="101" t="str">
        <x:v>RS-S01</x:v>
      </x:c>
      <x:c r="E18" s="137" t="str"/>
      <x:c r="F18" s="137" t="str"/>
      <x:c r="G18" s="142"/>
      <x:c r="H18" s="137" t="str"/>
      <x:c r="I18" s="143"/>
      <x:c r="J18" s="143"/>
      <x:c r="K18" s="137" t="str"/>
      <x:c r="L18" s="101" t="str">
        <x:f>IF(F18="","OPEN",IF(F18&lt;&gt;"Y","INVALID ISSUE FLAG",IF(OR(E18="",G18="",H18="",K18=""),"MISSING ISSUE RECORD",IF(RIGHT(E18,2)&lt;&gt;C18,"ROOT MISMATCH",IF(COUNTIFS($E$6:E17,E18,$H$6:H17,"VALID ADVERSE")&gt;0,"VALID ADVERSE BLOCK",IF(COUNTIFS($E$6:E17,E18,$H$6:H17,"INVALID")=0,"NO PRIOR INVALIDITY",IF(1=1,"RESERVE ISSUED","QUEUE ORDER ERROR")))))))</x:f>
        <x:v>OPEN</x:v>
      </x:c>
    </x:row>
    <x:row r="19">
      <x:c r="A19" s="101" t="str">
        <x:v>RS02</x:v>
      </x:c>
      <x:c r="B19" s="101" t="str">
        <x:v>RESERVE</x:v>
      </x:c>
      <x:c r="C19" s="101" t="str">
        <x:v>RS</x:v>
      </x:c>
      <x:c r="D19" s="101" t="str">
        <x:v>RS-S02</x:v>
      </x:c>
      <x:c r="E19" s="137" t="str"/>
      <x:c r="F19" s="137" t="str"/>
      <x:c r="G19" s="142"/>
      <x:c r="H19" s="137" t="str"/>
      <x:c r="I19" s="143"/>
      <x:c r="J19" s="143"/>
      <x:c r="K19" s="137" t="str"/>
      <x:c r="L19" s="101" t="str">
        <x:f>IF(F19="","OPEN",IF(F19&lt;&gt;"Y","INVALID ISSUE FLAG",IF(OR(E19="",G19="",H19="",K19=""),"MISSING ISSUE RECORD",IF(RIGHT(E19,2)&lt;&gt;C19,"ROOT MISMATCH",IF(COUNTIFS($E$6:E18,E19,$H$6:H18,"VALID ADVERSE")&gt;0,"VALID ADVERSE BLOCK",IF(COUNTIFS($E$6:E18,E19,$H$6:H18,"INVALID")=0,"NO PRIOR INVALIDITY",IF(COUNTIFS($C$18:$C$18,C19,$F$18:$F$18,"Y")=VALUE(RIGHT(A19,2))-1,"RESERVE ISSUED","QUEUE ORDER ERROR")))))))</x:f>
        <x:v>OPEN</x:v>
      </x:c>
    </x:row>
    <x:row r="20">
      <x:c r="A20" s="101" t="str">
        <x:v>RS03</x:v>
      </x:c>
      <x:c r="B20" s="101" t="str">
        <x:v>RESERVE</x:v>
      </x:c>
      <x:c r="C20" s="101" t="str">
        <x:v>RS</x:v>
      </x:c>
      <x:c r="D20" s="101" t="str">
        <x:v>RS-S03</x:v>
      </x:c>
      <x:c r="E20" s="137" t="str"/>
      <x:c r="F20" s="137" t="str"/>
      <x:c r="G20" s="142"/>
      <x:c r="H20" s="137" t="str"/>
      <x:c r="I20" s="143"/>
      <x:c r="J20" s="143"/>
      <x:c r="K20" s="137" t="str"/>
      <x:c r="L20" s="101" t="str">
        <x:f>IF(F20="","OPEN",IF(F20&lt;&gt;"Y","INVALID ISSUE FLAG",IF(OR(E20="",G20="",H20="",K20=""),"MISSING ISSUE RECORD",IF(RIGHT(E20,2)&lt;&gt;C20,"ROOT MISMATCH",IF(COUNTIFS($E$6:E19,E20,$H$6:H19,"VALID ADVERSE")&gt;0,"VALID ADVERSE BLOCK",IF(COUNTIFS($E$6:E19,E20,$H$6:H19,"INVALID")=0,"NO PRIOR INVALIDITY",IF(COUNTIFS($C$18:$C$19,C20,$F$18:$F$19,"Y")=VALUE(RIGHT(A20,2))-1,"RESERVE ISSUED","QUEUE ORDER ERROR")))))))</x:f>
        <x:v>OPEN</x:v>
      </x:c>
    </x:row>
    <x:row r="21">
      <x:c r="A21" s="101" t="str">
        <x:v>RS04</x:v>
      </x:c>
      <x:c r="B21" s="101" t="str">
        <x:v>RESERVE</x:v>
      </x:c>
      <x:c r="C21" s="101" t="str">
        <x:v>RS</x:v>
      </x:c>
      <x:c r="D21" s="101" t="str">
        <x:v>RS-S04</x:v>
      </x:c>
      <x:c r="E21" s="137" t="str"/>
      <x:c r="F21" s="137" t="str"/>
      <x:c r="G21" s="142"/>
      <x:c r="H21" s="137" t="str"/>
      <x:c r="I21" s="143"/>
      <x:c r="J21" s="143"/>
      <x:c r="K21" s="137" t="str"/>
      <x:c r="L21" s="101" t="str">
        <x:f>IF(F21="","OPEN",IF(F21&lt;&gt;"Y","INVALID ISSUE FLAG",IF(OR(E21="",G21="",H21="",K21=""),"MISSING ISSUE RECORD",IF(RIGHT(E21,2)&lt;&gt;C21,"ROOT MISMATCH",IF(COUNTIFS($E$6:E20,E21,$H$6:H20,"VALID ADVERSE")&gt;0,"VALID ADVERSE BLOCK",IF(COUNTIFS($E$6:E20,E21,$H$6:H20,"INVALID")=0,"NO PRIOR INVALIDITY",IF(COUNTIFS($C$18:$C$20,C21,$F$18:$F$20,"Y")=VALUE(RIGHT(A21,2))-1,"RESERVE ISSUED","QUEUE ORDER ERROR")))))))</x:f>
        <x:v>OPEN</x:v>
      </x:c>
    </x:row>
    <x:row r="22">
      <x:c r="A22" s="101" t="str">
        <x:v>RS05</x:v>
      </x:c>
      <x:c r="B22" s="101" t="str">
        <x:v>RESERVE</x:v>
      </x:c>
      <x:c r="C22" s="101" t="str">
        <x:v>RS</x:v>
      </x:c>
      <x:c r="D22" s="101" t="str">
        <x:v>RS-S05</x:v>
      </x:c>
      <x:c r="E22" s="137" t="str"/>
      <x:c r="F22" s="137" t="str"/>
      <x:c r="G22" s="142"/>
      <x:c r="H22" s="137" t="str"/>
      <x:c r="I22" s="143"/>
      <x:c r="J22" s="143"/>
      <x:c r="K22" s="137" t="str"/>
      <x:c r="L22" s="101" t="str">
        <x:f>IF(F22="","OPEN",IF(F22&lt;&gt;"Y","INVALID ISSUE FLAG",IF(OR(E22="",G22="",H22="",K22=""),"MISSING ISSUE RECORD",IF(RIGHT(E22,2)&lt;&gt;C22,"ROOT MISMATCH",IF(COUNTIFS($E$6:E21,E22,$H$6:H21,"VALID ADVERSE")&gt;0,"VALID ADVERSE BLOCK",IF(COUNTIFS($E$6:E21,E22,$H$6:H21,"INVALID")=0,"NO PRIOR INVALIDITY",IF(COUNTIFS($C$18:$C$21,C22,$F$18:$F$21,"Y")=VALUE(RIGHT(A22,2))-1,"RESERVE ISSUED","QUEUE ORDER ERROR")))))))</x:f>
        <x:v>OPEN</x:v>
      </x:c>
    </x:row>
    <x:row r="23">
      <x:c r="A23" s="101" t="str">
        <x:v>RS06</x:v>
      </x:c>
      <x:c r="B23" s="101" t="str">
        <x:v>RESERVE</x:v>
      </x:c>
      <x:c r="C23" s="101" t="str">
        <x:v>RS</x:v>
      </x:c>
      <x:c r="D23" s="101" t="str">
        <x:v>RS-S06</x:v>
      </x:c>
      <x:c r="E23" s="137" t="str"/>
      <x:c r="F23" s="137" t="str"/>
      <x:c r="G23" s="142"/>
      <x:c r="H23" s="137" t="str"/>
      <x:c r="I23" s="143"/>
      <x:c r="J23" s="143"/>
      <x:c r="K23" s="137" t="str"/>
      <x:c r="L23" s="101" t="str">
        <x:f>IF(F23="","OPEN",IF(F23&lt;&gt;"Y","INVALID ISSUE FLAG",IF(OR(E23="",G23="",H23="",K23=""),"MISSING ISSUE RECORD",IF(RIGHT(E23,2)&lt;&gt;C23,"ROOT MISMATCH",IF(COUNTIFS($E$6:E22,E23,$H$6:H22,"VALID ADVERSE")&gt;0,"VALID ADVERSE BLOCK",IF(COUNTIFS($E$6:E22,E23,$H$6:H22,"INVALID")=0,"NO PRIOR INVALIDITY",IF(COUNTIFS($C$18:$C$22,C23,$F$18:$F$22,"Y")=VALUE(RIGHT(A23,2))-1,"RESERVE ISSUED","QUEUE ORDER ERROR")))))))</x:f>
        <x:v>OPEN</x:v>
      </x:c>
    </x:row>
    <x:row r="24">
      <x:c r="A24" s="101" t="str">
        <x:v>RS07</x:v>
      </x:c>
      <x:c r="B24" s="101" t="str">
        <x:v>RESERVE</x:v>
      </x:c>
      <x:c r="C24" s="101" t="str">
        <x:v>RS</x:v>
      </x:c>
      <x:c r="D24" s="101" t="str">
        <x:v>RS-S07</x:v>
      </x:c>
      <x:c r="E24" s="137" t="str"/>
      <x:c r="F24" s="137" t="str"/>
      <x:c r="G24" s="142"/>
      <x:c r="H24" s="137" t="str"/>
      <x:c r="I24" s="143"/>
      <x:c r="J24" s="143"/>
      <x:c r="K24" s="137" t="str"/>
      <x:c r="L24" s="101" t="str">
        <x:f>IF(F24="","OPEN",IF(F24&lt;&gt;"Y","INVALID ISSUE FLAG",IF(OR(E24="",G24="",H24="",K24=""),"MISSING ISSUE RECORD",IF(RIGHT(E24,2)&lt;&gt;C24,"ROOT MISMATCH",IF(COUNTIFS($E$6:E23,E24,$H$6:H23,"VALID ADVERSE")&gt;0,"VALID ADVERSE BLOCK",IF(COUNTIFS($E$6:E23,E24,$H$6:H23,"INVALID")=0,"NO PRIOR INVALIDITY",IF(COUNTIFS($C$18:$C$23,C24,$F$18:$F$23,"Y")=VALUE(RIGHT(A24,2))-1,"RESERVE ISSUED","QUEUE ORDER ERROR")))))))</x:f>
        <x:v>OPEN</x:v>
      </x:c>
    </x:row>
    <x:row r="25">
      <x:c r="A25" s="101" t="str">
        <x:v>RO01</x:v>
      </x:c>
      <x:c r="B25" s="101" t="str">
        <x:v>RESERVE</x:v>
      </x:c>
      <x:c r="C25" s="101" t="str">
        <x:v>RO</x:v>
      </x:c>
      <x:c r="D25" s="101" t="str">
        <x:v>RS-O01</x:v>
      </x:c>
      <x:c r="E25" s="137" t="str"/>
      <x:c r="F25" s="137" t="str"/>
      <x:c r="G25" s="142"/>
      <x:c r="H25" s="137" t="str"/>
      <x:c r="I25" s="143"/>
      <x:c r="J25" s="143"/>
      <x:c r="K25" s="137" t="str"/>
      <x:c r="L25" s="101" t="str">
        <x:f>IF(F25="","OPEN",IF(F25&lt;&gt;"Y","INVALID ISSUE FLAG",IF(OR(E25="",G25="",H25="",K25=""),"MISSING ISSUE RECORD",IF(RIGHT(E25,2)&lt;&gt;C25,"ROOT MISMATCH",IF(COUNTIFS($E$6:E24,E25,$H$6:H24,"VALID ADVERSE")&gt;0,"VALID ADVERSE BLOCK",IF(COUNTIFS($E$6:E24,E25,$H$6:H24,"INVALID")=0,"NO PRIOR INVALIDITY",IF(1=1,"RESERVE ISSUED","QUEUE ORDER ERROR")))))))</x:f>
        <x:v>OPEN</x:v>
      </x:c>
    </x:row>
    <x:row r="26">
      <x:c r="A26" s="101" t="str">
        <x:v>RO02</x:v>
      </x:c>
      <x:c r="B26" s="101" t="str">
        <x:v>RESERVE</x:v>
      </x:c>
      <x:c r="C26" s="101" t="str">
        <x:v>RO</x:v>
      </x:c>
      <x:c r="D26" s="101" t="str">
        <x:v>RS-O02</x:v>
      </x:c>
      <x:c r="E26" s="137" t="str"/>
      <x:c r="F26" s="137" t="str"/>
      <x:c r="G26" s="142"/>
      <x:c r="H26" s="137" t="str"/>
      <x:c r="I26" s="143"/>
      <x:c r="J26" s="143"/>
      <x:c r="K26" s="137" t="str"/>
      <x:c r="L26" s="101" t="str">
        <x:f>IF(F26="","OPEN",IF(F26&lt;&gt;"Y","INVALID ISSUE FLAG",IF(OR(E26="",G26="",H26="",K26=""),"MISSING ISSUE RECORD",IF(RIGHT(E26,2)&lt;&gt;C26,"ROOT MISMATCH",IF(COUNTIFS($E$6:E25,E26,$H$6:H25,"VALID ADVERSE")&gt;0,"VALID ADVERSE BLOCK",IF(COUNTIFS($E$6:E25,E26,$H$6:H25,"INVALID")=0,"NO PRIOR INVALIDITY",IF(COUNTIFS($C$25:$C$25,C26,$F$25:$F$25,"Y")=VALUE(RIGHT(A26,2))-1,"RESERVE ISSUED","QUEUE ORDER ERROR")))))))</x:f>
        <x:v>OPEN</x:v>
      </x:c>
    </x:row>
    <x:row r="27">
      <x:c r="A27" s="101" t="str">
        <x:v>RO03</x:v>
      </x:c>
      <x:c r="B27" s="101" t="str">
        <x:v>RESERVE</x:v>
      </x:c>
      <x:c r="C27" s="101" t="str">
        <x:v>RO</x:v>
      </x:c>
      <x:c r="D27" s="101" t="str">
        <x:v>RS-O03</x:v>
      </x:c>
      <x:c r="E27" s="137" t="str"/>
      <x:c r="F27" s="137" t="str"/>
      <x:c r="G27" s="142"/>
      <x:c r="H27" s="137" t="str"/>
      <x:c r="I27" s="143"/>
      <x:c r="J27" s="143"/>
      <x:c r="K27" s="137" t="str"/>
      <x:c r="L27" s="101" t="str">
        <x:f>IF(F27="","OPEN",IF(F27&lt;&gt;"Y","INVALID ISSUE FLAG",IF(OR(E27="",G27="",H27="",K27=""),"MISSING ISSUE RECORD",IF(RIGHT(E27,2)&lt;&gt;C27,"ROOT MISMATCH",IF(COUNTIFS($E$6:E26,E27,$H$6:H26,"VALID ADVERSE")&gt;0,"VALID ADVERSE BLOCK",IF(COUNTIFS($E$6:E26,E27,$H$6:H26,"INVALID")=0,"NO PRIOR INVALIDITY",IF(COUNTIFS($C$25:$C$26,C27,$F$25:$F$26,"Y")=VALUE(RIGHT(A27,2))-1,"RESERVE ISSUED","QUEUE ORDER ERROR")))))))</x:f>
        <x:v>OPEN</x:v>
      </x:c>
    </x:row>
    <x:row r="28">
      <x:c r="A28" s="101" t="str">
        <x:v>RO04</x:v>
      </x:c>
      <x:c r="B28" s="101" t="str">
        <x:v>RESERVE</x:v>
      </x:c>
      <x:c r="C28" s="101" t="str">
        <x:v>RO</x:v>
      </x:c>
      <x:c r="D28" s="101" t="str">
        <x:v>RS-O04</x:v>
      </x:c>
      <x:c r="E28" s="137" t="str"/>
      <x:c r="F28" s="137" t="str"/>
      <x:c r="G28" s="142"/>
      <x:c r="H28" s="137" t="str"/>
      <x:c r="I28" s="143"/>
      <x:c r="J28" s="143"/>
      <x:c r="K28" s="137" t="str"/>
      <x:c r="L28" s="101" t="str">
        <x:f>IF(F28="","OPEN",IF(F28&lt;&gt;"Y","INVALID ISSUE FLAG",IF(OR(E28="",G28="",H28="",K28=""),"MISSING ISSUE RECORD",IF(RIGHT(E28,2)&lt;&gt;C28,"ROOT MISMATCH",IF(COUNTIFS($E$6:E27,E28,$H$6:H27,"VALID ADVERSE")&gt;0,"VALID ADVERSE BLOCK",IF(COUNTIFS($E$6:E27,E28,$H$6:H27,"INVALID")=0,"NO PRIOR INVALIDITY",IF(COUNTIFS($C$25:$C$27,C28,$F$25:$F$27,"Y")=VALUE(RIGHT(A28,2))-1,"RESERVE ISSUED","QUEUE ORDER ERROR")))))))</x:f>
        <x:v>OPEN</x:v>
      </x:c>
    </x:row>
    <x:row r="29">
      <x:c r="A29" s="101" t="str">
        <x:v>RO05</x:v>
      </x:c>
      <x:c r="B29" s="101" t="str">
        <x:v>RESERVE</x:v>
      </x:c>
      <x:c r="C29" s="101" t="str">
        <x:v>RO</x:v>
      </x:c>
      <x:c r="D29" s="101" t="str">
        <x:v>RS-O05</x:v>
      </x:c>
      <x:c r="E29" s="137" t="str"/>
      <x:c r="F29" s="137" t="str"/>
      <x:c r="G29" s="142"/>
      <x:c r="H29" s="137" t="str"/>
      <x:c r="I29" s="143"/>
      <x:c r="J29" s="143"/>
      <x:c r="K29" s="137" t="str"/>
      <x:c r="L29" s="101" t="str">
        <x:f>IF(F29="","OPEN",IF(F29&lt;&gt;"Y","INVALID ISSUE FLAG",IF(OR(E29="",G29="",H29="",K29=""),"MISSING ISSUE RECORD",IF(RIGHT(E29,2)&lt;&gt;C29,"ROOT MISMATCH",IF(COUNTIFS($E$6:E28,E29,$H$6:H28,"VALID ADVERSE")&gt;0,"VALID ADVERSE BLOCK",IF(COUNTIFS($E$6:E28,E29,$H$6:H28,"INVALID")=0,"NO PRIOR INVALIDITY",IF(COUNTIFS($C$25:$C$28,C29,$F$25:$F$28,"Y")=VALUE(RIGHT(A29,2))-1,"RESERVE ISSUED","QUEUE ORDER ERROR")))))))</x:f>
        <x:v>OPEN</x:v>
      </x:c>
    </x:row>
    <x:row r="30">
      <x:c r="A30" s="101" t="str">
        <x:v>RO06</x:v>
      </x:c>
      <x:c r="B30" s="101" t="str">
        <x:v>RESERVE</x:v>
      </x:c>
      <x:c r="C30" s="101" t="str">
        <x:v>RO</x:v>
      </x:c>
      <x:c r="D30" s="101" t="str">
        <x:v>RS-O06</x:v>
      </x:c>
      <x:c r="E30" s="137" t="str"/>
      <x:c r="F30" s="137" t="str"/>
      <x:c r="G30" s="142"/>
      <x:c r="H30" s="137" t="str"/>
      <x:c r="I30" s="143"/>
      <x:c r="J30" s="143"/>
      <x:c r="K30" s="137" t="str"/>
      <x:c r="L30" s="101" t="str">
        <x:f>IF(F30="","OPEN",IF(F30&lt;&gt;"Y","INVALID ISSUE FLAG",IF(OR(E30="",G30="",H30="",K30=""),"MISSING ISSUE RECORD",IF(RIGHT(E30,2)&lt;&gt;C30,"ROOT MISMATCH",IF(COUNTIFS($E$6:E29,E30,$H$6:H29,"VALID ADVERSE")&gt;0,"VALID ADVERSE BLOCK",IF(COUNTIFS($E$6:E29,E30,$H$6:H29,"INVALID")=0,"NO PRIOR INVALIDITY",IF(COUNTIFS($C$25:$C$29,C30,$F$25:$F$29,"Y")=VALUE(RIGHT(A30,2))-1,"RESERVE ISSUED","QUEUE ORDER ERROR")))))))</x:f>
        <x:v>OPEN</x:v>
      </x:c>
    </x:row>
    <x:row r="31">
      <x:c r="A31" s="104" t="str">
        <x:v>RO07</x:v>
      </x:c>
      <x:c r="B31" s="104" t="str">
        <x:v>RESERVE</x:v>
      </x:c>
      <x:c r="C31" s="104" t="str">
        <x:v>RO</x:v>
      </x:c>
      <x:c r="D31" s="104" t="str">
        <x:v>RS-O07</x:v>
      </x:c>
      <x:c r="E31" s="139" t="str"/>
      <x:c r="F31" s="139" t="str"/>
      <x:c r="G31" s="144"/>
      <x:c r="H31" s="139" t="str"/>
      <x:c r="I31" s="145"/>
      <x:c r="J31" s="145"/>
      <x:c r="K31" s="139" t="str"/>
      <x:c r="L31" s="104" t="str">
        <x:f>IF(F31="","OPEN",IF(F31&lt;&gt;"Y","INVALID ISSUE FLAG",IF(OR(E31="",G31="",H31="",K31=""),"MISSING ISSUE RECORD",IF(RIGHT(E31,2)&lt;&gt;C31,"ROOT MISMATCH",IF(COUNTIFS($E$6:E30,E31,$H$6:H30,"VALID ADVERSE")&gt;0,"VALID ADVERSE BLOCK",IF(COUNTIFS($E$6:E30,E31,$H$6:H30,"INVALID")=0,"NO PRIOR INVALIDITY",IF(COUNTIFS($C$25:$C$30,C31,$F$25:$F$30,"Y")=VALUE(RIGHT(A31,2))-1,"RESERVE ISSUED","QUEUE ORDER ERROR")))))))</x:f>
        <x:v>OPEN</x:v>
      </x:c>
    </x:row>
  </x:sheetData>
  <x:conditionalFormatting sqref="L6:L31">
    <x:cfRule type="containsText" dxfId="1" priority="1" operator="containsText" text="MISSING"/>
    <x:cfRule type="containsText" dxfId="2" priority="2" operator="containsText" text="MISMATCH"/>
    <x:cfRule type="containsText" dxfId="3" priority="3" operator="containsText" text="BLOCK"/>
    <x:cfRule type="containsText" dxfId="4" priority="4" operator="containsText" text="ERROR"/>
  </x:conditionalFormatting>
  <x:dataValidations count="2">
    <x:dataValidation type="list" sqref="F6:F31">
      <x:formula1>"Y"</x:formula1>
    </x:dataValidation>
    <x:dataValidation type="list" sqref="H6:H31">
      <x:formula1>"VALID CONTAINED,VALID ADVERSE,INVALID"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5600004196167" hidden="0" customWidth="1"/>
    <x:col min="2" max="2" width="8.329999923706055" hidden="0" customWidth="1"/>
    <x:col min="3" max="3" width="10.5600004196167" hidden="0" customWidth="1"/>
    <x:col min="4" max="4" width="8.329999923706055" hidden="0" customWidth="1"/>
    <x:col min="5" max="5" width="12.779999732971191" hidden="0" customWidth="1"/>
    <x:col min="6" max="6" width="9.4399995803833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20" hidden="0" customWidth="1"/>
  </x:cols>
  <x:sheetData>
    <x:row r="2">
      <x:c r="A2" s="94" t="str">
        <x:v>Exact-cell credit ledger</x:v>
      </x:c>
      <x:c r="B2" s="95"/>
      <x:c r="C2" s="95"/>
      <x:c r="D2" s="95"/>
      <x:c r="E2" s="95"/>
      <x:c r="F2" s="95"/>
      <x:c r="G2" s="95"/>
      <x:c r="H2" s="95"/>
      <x:c r="I2" s="95"/>
      <x:c r="J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</x:row>
    <x:row r="4">
      <x:c r="A4" s="97" t="str">
        <x:v>A cell closes only with one issued valid-contained attempt and complete return. A valid adverse result blocks the cell.</x:v>
      </x:c>
      <x:c r="B4" s="95"/>
      <x:c r="C4" s="95"/>
      <x:c r="D4" s="95"/>
      <x:c r="E4" s="95"/>
      <x:c r="F4" s="95"/>
      <x:c r="G4" s="95"/>
      <x:c r="H4" s="95"/>
      <x:c r="I4" s="95"/>
      <x:c r="J4" s="95"/>
    </x:row>
    <x:row r="5">
      <x:c r="A5" s="9" t="str">
        <x:v>Cell</x:v>
      </x:c>
      <x:c r="B5" s="10" t="str">
        <x:v>Rig role</x:v>
      </x:c>
      <x:c r="C5" s="10" t="str">
        <x:v>Primary root</x:v>
      </x:c>
      <x:c r="D5" s="10" t="str">
        <x:v>Campus</x:v>
      </x:c>
      <x:c r="E5" s="10" t="str">
        <x:v>Planned primary day</x:v>
      </x:c>
      <x:c r="F5" s="10" t="str">
        <x:v>Primary token</x:v>
      </x:c>
      <x:c r="G5" s="10" t="str">
        <x:v>Issued attempts</x:v>
      </x:c>
      <x:c r="H5" s="10" t="str">
        <x:v>Valid-contained attempts</x:v>
      </x:c>
      <x:c r="I5" s="10" t="str">
        <x:v>Valid-adverse attempts</x:v>
      </x:c>
      <x:c r="J5" s="11" t="str">
        <x:v>Cell state</x:v>
      </x:c>
    </x:row>
    <x:row r="6">
      <x:c r="A6" s="98" t="str">
        <x:v>S0-RS</x:v>
      </x:c>
      <x:c r="B6" s="98" t="str">
        <x:v>S0</x:v>
      </x:c>
      <x:c r="C6" s="98" t="str">
        <x:v>RS</x:v>
      </x:c>
      <x:c r="D6" s="98" t="str">
        <x:v>C1</x:v>
      </x:c>
      <x:c r="E6" s="98" t="n">
        <x:v>0</x:v>
      </x:c>
      <x:c r="F6" s="98" t="str">
        <x:v>P01</x:v>
      </x:c>
      <x:c r="G6" s="114" t="n">
        <x:f>COUNTIFS('Attempt Register'!$E$6:$E$31,A6,'Attempt Register'!$F$6:$F$31,"Y")</x:f>
        <x:v>0</x:v>
      </x:c>
      <x:c r="H6" s="114" t="n">
        <x:f>COUNTIFS('Attempt Register'!$E$6:$E$31,A6,'Attempt Register'!$F$6:$F$31,"Y",'Attempt Register'!$H$6:$H$31,"VALID CONTAINED")</x:f>
        <x:v>0</x:v>
      </x:c>
      <x:c r="I6" s="114" t="n">
        <x:f>COUNTIFS('Attempt Register'!$E$6:$E$31,A6,'Attempt Register'!$F$6:$F$31,"Y",'Attempt Register'!$H$6:$H$31,"VALID ADVERSE")</x:f>
        <x:v>0</x:v>
      </x:c>
      <x:c r="J6" s="146" t="str">
        <x:f>IF(I6&gt;0,"BLOCKED: VALID ADVERSE",IF(H6=1,IF(COUNTIFS('Attempt Register'!$E$6:$E$31,A6,'Attempt Register'!$H$6:$H$31,"VALID CONTAINED",'Return Ledger'!$M$6:$M$31,"RETURNED")=1,"CREDITED","PENDING RETURN"),IF(H6&gt;1,"ERROR: MULTIPLE CREDITS","OPEN")))</x:f>
        <x:v>OPEN</x:v>
      </x:c>
    </x:row>
    <x:row r="7">
      <x:c r="A7" s="101" t="str">
        <x:v>S1-RO</x:v>
      </x:c>
      <x:c r="B7" s="101" t="str">
        <x:v>S1</x:v>
      </x:c>
      <x:c r="C7" s="101" t="str">
        <x:v>RO</x:v>
      </x:c>
      <x:c r="D7" s="101" t="str">
        <x:v>C1</x:v>
      </x:c>
      <x:c r="E7" s="101" t="n">
        <x:v>7</x:v>
      </x:c>
      <x:c r="F7" s="101" t="str">
        <x:v>P02</x:v>
      </x:c>
      <x:c r="G7" s="117" t="n">
        <x:f>COUNTIFS('Attempt Register'!$E$6:$E$31,A7,'Attempt Register'!$F$6:$F$31,"Y")</x:f>
        <x:v>0</x:v>
      </x:c>
      <x:c r="H7" s="117" t="n">
        <x:f>COUNTIFS('Attempt Register'!$E$6:$E$31,A7,'Attempt Register'!$F$6:$F$31,"Y",'Attempt Register'!$H$6:$H$31,"VALID CONTAINED")</x:f>
        <x:v>0</x:v>
      </x:c>
      <x:c r="I7" s="117" t="n">
        <x:f>COUNTIFS('Attempt Register'!$E$6:$E$31,A7,'Attempt Register'!$F$6:$F$31,"Y",'Attempt Register'!$H$6:$H$31,"VALID ADVERSE")</x:f>
        <x:v>0</x:v>
      </x:c>
      <x:c r="J7" s="147" t="str">
        <x:f>IF(I7&gt;0,"BLOCKED: VALID ADVERSE",IF(H7=1,IF(COUNTIFS('Attempt Register'!$E$6:$E$31,A7,'Attempt Register'!$H$6:$H$31,"VALID CONTAINED",'Return Ledger'!$M$6:$M$31,"RETURNED")=1,"CREDITED","PENDING RETURN"),IF(H7&gt;1,"ERROR: MULTIPLE CREDITS","OPEN")))</x:f>
        <x:v>OPEN</x:v>
      </x:c>
    </x:row>
    <x:row r="8">
      <x:c r="A8" s="101" t="str">
        <x:v>S2-RS</x:v>
      </x:c>
      <x:c r="B8" s="101" t="str">
        <x:v>S2</x:v>
      </x:c>
      <x:c r="C8" s="101" t="str">
        <x:v>RS</x:v>
      </x:c>
      <x:c r="D8" s="101" t="str">
        <x:v>C2</x:v>
      </x:c>
      <x:c r="E8" s="101" t="n">
        <x:v>7</x:v>
      </x:c>
      <x:c r="F8" s="101" t="str">
        <x:v>P03</x:v>
      </x:c>
      <x:c r="G8" s="117" t="n">
        <x:f>COUNTIFS('Attempt Register'!$E$6:$E$31,A8,'Attempt Register'!$F$6:$F$31,"Y")</x:f>
        <x:v>0</x:v>
      </x:c>
      <x:c r="H8" s="117" t="n">
        <x:f>COUNTIFS('Attempt Register'!$E$6:$E$31,A8,'Attempt Register'!$F$6:$F$31,"Y",'Attempt Register'!$H$6:$H$31,"VALID CONTAINED")</x:f>
        <x:v>0</x:v>
      </x:c>
      <x:c r="I8" s="117" t="n">
        <x:f>COUNTIFS('Attempt Register'!$E$6:$E$31,A8,'Attempt Register'!$F$6:$F$31,"Y",'Attempt Register'!$H$6:$H$31,"VALID ADVERSE")</x:f>
        <x:v>0</x:v>
      </x:c>
      <x:c r="J8" s="147" t="str">
        <x:f>IF(I8&gt;0,"BLOCKED: VALID ADVERSE",IF(H8=1,IF(COUNTIFS('Attempt Register'!$E$6:$E$31,A8,'Attempt Register'!$H$6:$H$31,"VALID CONTAINED",'Return Ledger'!$M$6:$M$31,"RETURNED")=1,"CREDITED","PENDING RETURN"),IF(H8&gt;1,"ERROR: MULTIPLE CREDITS","OPEN")))</x:f>
        <x:v>OPEN</x:v>
      </x:c>
    </x:row>
    <x:row r="9">
      <x:c r="A9" s="101" t="str">
        <x:v>S3-RO</x:v>
      </x:c>
      <x:c r="B9" s="101" t="str">
        <x:v>S3</x:v>
      </x:c>
      <x:c r="C9" s="101" t="str">
        <x:v>RO</x:v>
      </x:c>
      <x:c r="D9" s="101" t="str">
        <x:v>C2</x:v>
      </x:c>
      <x:c r="E9" s="101" t="n">
        <x:v>14</x:v>
      </x:c>
      <x:c r="F9" s="101" t="str">
        <x:v>P04</x:v>
      </x:c>
      <x:c r="G9" s="117" t="n">
        <x:f>COUNTIFS('Attempt Register'!$E$6:$E$31,A9,'Attempt Register'!$F$6:$F$31,"Y")</x:f>
        <x:v>0</x:v>
      </x:c>
      <x:c r="H9" s="117" t="n">
        <x:f>COUNTIFS('Attempt Register'!$E$6:$E$31,A9,'Attempt Register'!$F$6:$F$31,"Y",'Attempt Register'!$H$6:$H$31,"VALID CONTAINED")</x:f>
        <x:v>0</x:v>
      </x:c>
      <x:c r="I9" s="117" t="n">
        <x:f>COUNTIFS('Attempt Register'!$E$6:$E$31,A9,'Attempt Register'!$F$6:$F$31,"Y",'Attempt Register'!$H$6:$H$31,"VALID ADVERSE")</x:f>
        <x:v>0</x:v>
      </x:c>
      <x:c r="J9" s="147" t="str">
        <x:f>IF(I9&gt;0,"BLOCKED: VALID ADVERSE",IF(H9=1,IF(COUNTIFS('Attempt Register'!$E$6:$E$31,A9,'Attempt Register'!$H$6:$H$31,"VALID CONTAINED",'Return Ledger'!$M$6:$M$31,"RETURNED")=1,"CREDITED","PENDING RETURN"),IF(H9&gt;1,"ERROR: MULTIPLE CREDITS","OPEN")))</x:f>
        <x:v>OPEN</x:v>
      </x:c>
    </x:row>
    <x:row r="10">
      <x:c r="A10" s="101" t="str">
        <x:v>S4-RS</x:v>
      </x:c>
      <x:c r="B10" s="101" t="str">
        <x:v>S4</x:v>
      </x:c>
      <x:c r="C10" s="101" t="str">
        <x:v>RS</x:v>
      </x:c>
      <x:c r="D10" s="101" t="str">
        <x:v>C3</x:v>
      </x:c>
      <x:c r="E10" s="101" t="n">
        <x:v>14</x:v>
      </x:c>
      <x:c r="F10" s="101" t="str">
        <x:v>P05</x:v>
      </x:c>
      <x:c r="G10" s="117" t="n">
        <x:f>COUNTIFS('Attempt Register'!$E$6:$E$31,A10,'Attempt Register'!$F$6:$F$31,"Y")</x:f>
        <x:v>0</x:v>
      </x:c>
      <x:c r="H10" s="117" t="n">
        <x:f>COUNTIFS('Attempt Register'!$E$6:$E$31,A10,'Attempt Register'!$F$6:$F$31,"Y",'Attempt Register'!$H$6:$H$31,"VALID CONTAINED")</x:f>
        <x:v>0</x:v>
      </x:c>
      <x:c r="I10" s="117" t="n">
        <x:f>COUNTIFS('Attempt Register'!$E$6:$E$31,A10,'Attempt Register'!$F$6:$F$31,"Y",'Attempt Register'!$H$6:$H$31,"VALID ADVERSE")</x:f>
        <x:v>0</x:v>
      </x:c>
      <x:c r="J10" s="147" t="str">
        <x:f>IF(I10&gt;0,"BLOCKED: VALID ADVERSE",IF(H10=1,IF(COUNTIFS('Attempt Register'!$E$6:$E$31,A10,'Attempt Register'!$H$6:$H$31,"VALID CONTAINED",'Return Ledger'!$M$6:$M$31,"RETURNED")=1,"CREDITED","PENDING RETURN"),IF(H10&gt;1,"ERROR: MULTIPLE CREDITS","OPEN")))</x:f>
        <x:v>OPEN</x:v>
      </x:c>
    </x:row>
    <x:row r="11">
      <x:c r="A11" s="101" t="str">
        <x:v>S5-RO</x:v>
      </x:c>
      <x:c r="B11" s="101" t="str">
        <x:v>S5</x:v>
      </x:c>
      <x:c r="C11" s="101" t="str">
        <x:v>RO</x:v>
      </x:c>
      <x:c r="D11" s="101" t="str">
        <x:v>C3</x:v>
      </x:c>
      <x:c r="E11" s="101" t="n">
        <x:v>21</x:v>
      </x:c>
      <x:c r="F11" s="101" t="str">
        <x:v>P06</x:v>
      </x:c>
      <x:c r="G11" s="117" t="n">
        <x:f>COUNTIFS('Attempt Register'!$E$6:$E$31,A11,'Attempt Register'!$F$6:$F$31,"Y")</x:f>
        <x:v>0</x:v>
      </x:c>
      <x:c r="H11" s="117" t="n">
        <x:f>COUNTIFS('Attempt Register'!$E$6:$E$31,A11,'Attempt Register'!$F$6:$F$31,"Y",'Attempt Register'!$H$6:$H$31,"VALID CONTAINED")</x:f>
        <x:v>0</x:v>
      </x:c>
      <x:c r="I11" s="117" t="n">
        <x:f>COUNTIFS('Attempt Register'!$E$6:$E$31,A11,'Attempt Register'!$F$6:$F$31,"Y",'Attempt Register'!$H$6:$H$31,"VALID ADVERSE")</x:f>
        <x:v>0</x:v>
      </x:c>
      <x:c r="J11" s="147" t="str">
        <x:f>IF(I11&gt;0,"BLOCKED: VALID ADVERSE",IF(H11=1,IF(COUNTIFS('Attempt Register'!$E$6:$E$31,A11,'Attempt Register'!$H$6:$H$31,"VALID CONTAINED",'Return Ledger'!$M$6:$M$31,"RETURNED")=1,"CREDITED","PENDING RETURN"),IF(H11&gt;1,"ERROR: MULTIPLE CREDITS","OPEN")))</x:f>
        <x:v>OPEN</x:v>
      </x:c>
    </x:row>
    <x:row r="12">
      <x:c r="A12" s="101" t="str">
        <x:v>S0-RO</x:v>
      </x:c>
      <x:c r="B12" s="101" t="str">
        <x:v>S0</x:v>
      </x:c>
      <x:c r="C12" s="101" t="str">
        <x:v>RO</x:v>
      </x:c>
      <x:c r="D12" s="101" t="str">
        <x:v>C1</x:v>
      </x:c>
      <x:c r="E12" s="101" t="n">
        <x:v>21</x:v>
      </x:c>
      <x:c r="F12" s="101" t="str">
        <x:v>P07</x:v>
      </x:c>
      <x:c r="G12" s="117" t="n">
        <x:f>COUNTIFS('Attempt Register'!$E$6:$E$31,A12,'Attempt Register'!$F$6:$F$31,"Y")</x:f>
        <x:v>0</x:v>
      </x:c>
      <x:c r="H12" s="117" t="n">
        <x:f>COUNTIFS('Attempt Register'!$E$6:$E$31,A12,'Attempt Register'!$F$6:$F$31,"Y",'Attempt Register'!$H$6:$H$31,"VALID CONTAINED")</x:f>
        <x:v>0</x:v>
      </x:c>
      <x:c r="I12" s="117" t="n">
        <x:f>COUNTIFS('Attempt Register'!$E$6:$E$31,A12,'Attempt Register'!$F$6:$F$31,"Y",'Attempt Register'!$H$6:$H$31,"VALID ADVERSE")</x:f>
        <x:v>0</x:v>
      </x:c>
      <x:c r="J12" s="147" t="str">
        <x:f>IF(I12&gt;0,"BLOCKED: VALID ADVERSE",IF(H12=1,IF(COUNTIFS('Attempt Register'!$E$6:$E$31,A12,'Attempt Register'!$H$6:$H$31,"VALID CONTAINED",'Return Ledger'!$M$6:$M$31,"RETURNED")=1,"CREDITED","PENDING RETURN"),IF(H12&gt;1,"ERROR: MULTIPLE CREDITS","OPEN")))</x:f>
        <x:v>OPEN</x:v>
      </x:c>
    </x:row>
    <x:row r="13">
      <x:c r="A13" s="101" t="str">
        <x:v>S1-RS</x:v>
      </x:c>
      <x:c r="B13" s="101" t="str">
        <x:v>S1</x:v>
      </x:c>
      <x:c r="C13" s="101" t="str">
        <x:v>RS</x:v>
      </x:c>
      <x:c r="D13" s="101" t="str">
        <x:v>C1</x:v>
      </x:c>
      <x:c r="E13" s="101" t="n">
        <x:v>28</x:v>
      </x:c>
      <x:c r="F13" s="101" t="str">
        <x:v>P08</x:v>
      </x:c>
      <x:c r="G13" s="117" t="n">
        <x:f>COUNTIFS('Attempt Register'!$E$6:$E$31,A13,'Attempt Register'!$F$6:$F$31,"Y")</x:f>
        <x:v>0</x:v>
      </x:c>
      <x:c r="H13" s="117" t="n">
        <x:f>COUNTIFS('Attempt Register'!$E$6:$E$31,A13,'Attempt Register'!$F$6:$F$31,"Y",'Attempt Register'!$H$6:$H$31,"VALID CONTAINED")</x:f>
        <x:v>0</x:v>
      </x:c>
      <x:c r="I13" s="117" t="n">
        <x:f>COUNTIFS('Attempt Register'!$E$6:$E$31,A13,'Attempt Register'!$F$6:$F$31,"Y",'Attempt Register'!$H$6:$H$31,"VALID ADVERSE")</x:f>
        <x:v>0</x:v>
      </x:c>
      <x:c r="J13" s="147" t="str">
        <x:f>IF(I13&gt;0,"BLOCKED: VALID ADVERSE",IF(H13=1,IF(COUNTIFS('Attempt Register'!$E$6:$E$31,A13,'Attempt Register'!$H$6:$H$31,"VALID CONTAINED",'Return Ledger'!$M$6:$M$31,"RETURNED")=1,"CREDITED","PENDING RETURN"),IF(H13&gt;1,"ERROR: MULTIPLE CREDITS","OPEN")))</x:f>
        <x:v>OPEN</x:v>
      </x:c>
    </x:row>
    <x:row r="14">
      <x:c r="A14" s="101" t="str">
        <x:v>S2-RO</x:v>
      </x:c>
      <x:c r="B14" s="101" t="str">
        <x:v>S2</x:v>
      </x:c>
      <x:c r="C14" s="101" t="str">
        <x:v>RO</x:v>
      </x:c>
      <x:c r="D14" s="101" t="str">
        <x:v>C2</x:v>
      </x:c>
      <x:c r="E14" s="101" t="n">
        <x:v>28</x:v>
      </x:c>
      <x:c r="F14" s="101" t="str">
        <x:v>P09</x:v>
      </x:c>
      <x:c r="G14" s="117" t="n">
        <x:f>COUNTIFS('Attempt Register'!$E$6:$E$31,A14,'Attempt Register'!$F$6:$F$31,"Y")</x:f>
        <x:v>0</x:v>
      </x:c>
      <x:c r="H14" s="117" t="n">
        <x:f>COUNTIFS('Attempt Register'!$E$6:$E$31,A14,'Attempt Register'!$F$6:$F$31,"Y",'Attempt Register'!$H$6:$H$31,"VALID CONTAINED")</x:f>
        <x:v>0</x:v>
      </x:c>
      <x:c r="I14" s="117" t="n">
        <x:f>COUNTIFS('Attempt Register'!$E$6:$E$31,A14,'Attempt Register'!$F$6:$F$31,"Y",'Attempt Register'!$H$6:$H$31,"VALID ADVERSE")</x:f>
        <x:v>0</x:v>
      </x:c>
      <x:c r="J14" s="147" t="str">
        <x:f>IF(I14&gt;0,"BLOCKED: VALID ADVERSE",IF(H14=1,IF(COUNTIFS('Attempt Register'!$E$6:$E$31,A14,'Attempt Register'!$H$6:$H$31,"VALID CONTAINED",'Return Ledger'!$M$6:$M$31,"RETURNED")=1,"CREDITED","PENDING RETURN"),IF(H14&gt;1,"ERROR: MULTIPLE CREDITS","OPEN")))</x:f>
        <x:v>OPEN</x:v>
      </x:c>
    </x:row>
    <x:row r="15">
      <x:c r="A15" s="101" t="str">
        <x:v>S3-RS</x:v>
      </x:c>
      <x:c r="B15" s="101" t="str">
        <x:v>S3</x:v>
      </x:c>
      <x:c r="C15" s="101" t="str">
        <x:v>RS</x:v>
      </x:c>
      <x:c r="D15" s="101" t="str">
        <x:v>C2</x:v>
      </x:c>
      <x:c r="E15" s="101" t="n">
        <x:v>35</x:v>
      </x:c>
      <x:c r="F15" s="101" t="str">
        <x:v>P10</x:v>
      </x:c>
      <x:c r="G15" s="117" t="n">
        <x:f>COUNTIFS('Attempt Register'!$E$6:$E$31,A15,'Attempt Register'!$F$6:$F$31,"Y")</x:f>
        <x:v>0</x:v>
      </x:c>
      <x:c r="H15" s="117" t="n">
        <x:f>COUNTIFS('Attempt Register'!$E$6:$E$31,A15,'Attempt Register'!$F$6:$F$31,"Y",'Attempt Register'!$H$6:$H$31,"VALID CONTAINED")</x:f>
        <x:v>0</x:v>
      </x:c>
      <x:c r="I15" s="117" t="n">
        <x:f>COUNTIFS('Attempt Register'!$E$6:$E$31,A15,'Attempt Register'!$F$6:$F$31,"Y",'Attempt Register'!$H$6:$H$31,"VALID ADVERSE")</x:f>
        <x:v>0</x:v>
      </x:c>
      <x:c r="J15" s="147" t="str">
        <x:f>IF(I15&gt;0,"BLOCKED: VALID ADVERSE",IF(H15=1,IF(COUNTIFS('Attempt Register'!$E$6:$E$31,A15,'Attempt Register'!$H$6:$H$31,"VALID CONTAINED",'Return Ledger'!$M$6:$M$31,"RETURNED")=1,"CREDITED","PENDING RETURN"),IF(H15&gt;1,"ERROR: MULTIPLE CREDITS","OPEN")))</x:f>
        <x:v>OPEN</x:v>
      </x:c>
    </x:row>
    <x:row r="16">
      <x:c r="A16" s="101" t="str">
        <x:v>S4-RO</x:v>
      </x:c>
      <x:c r="B16" s="101" t="str">
        <x:v>S4</x:v>
      </x:c>
      <x:c r="C16" s="101" t="str">
        <x:v>RO</x:v>
      </x:c>
      <x:c r="D16" s="101" t="str">
        <x:v>C3</x:v>
      </x:c>
      <x:c r="E16" s="101" t="n">
        <x:v>35</x:v>
      </x:c>
      <x:c r="F16" s="101" t="str">
        <x:v>P11</x:v>
      </x:c>
      <x:c r="G16" s="117" t="n">
        <x:f>COUNTIFS('Attempt Register'!$E$6:$E$31,A16,'Attempt Register'!$F$6:$F$31,"Y")</x:f>
        <x:v>0</x:v>
      </x:c>
      <x:c r="H16" s="117" t="n">
        <x:f>COUNTIFS('Attempt Register'!$E$6:$E$31,A16,'Attempt Register'!$F$6:$F$31,"Y",'Attempt Register'!$H$6:$H$31,"VALID CONTAINED")</x:f>
        <x:v>0</x:v>
      </x:c>
      <x:c r="I16" s="117" t="n">
        <x:f>COUNTIFS('Attempt Register'!$E$6:$E$31,A16,'Attempt Register'!$F$6:$F$31,"Y",'Attempt Register'!$H$6:$H$31,"VALID ADVERSE")</x:f>
        <x:v>0</x:v>
      </x:c>
      <x:c r="J16" s="147" t="str">
        <x:f>IF(I16&gt;0,"BLOCKED: VALID ADVERSE",IF(H16=1,IF(COUNTIFS('Attempt Register'!$E$6:$E$31,A16,'Attempt Register'!$H$6:$H$31,"VALID CONTAINED",'Return Ledger'!$M$6:$M$31,"RETURNED")=1,"CREDITED","PENDING RETURN"),IF(H16&gt;1,"ERROR: MULTIPLE CREDITS","OPEN")))</x:f>
        <x:v>OPEN</x:v>
      </x:c>
    </x:row>
    <x:row r="17">
      <x:c r="A17" s="104" t="str">
        <x:v>S5-RS</x:v>
      </x:c>
      <x:c r="B17" s="104" t="str">
        <x:v>S5</x:v>
      </x:c>
      <x:c r="C17" s="104" t="str">
        <x:v>RS</x:v>
      </x:c>
      <x:c r="D17" s="104" t="str">
        <x:v>C3</x:v>
      </x:c>
      <x:c r="E17" s="104" t="n">
        <x:v>42</x:v>
      </x:c>
      <x:c r="F17" s="104" t="str">
        <x:v>P12</x:v>
      </x:c>
      <x:c r="G17" s="120" t="n">
        <x:f>COUNTIFS('Attempt Register'!$E$6:$E$31,A17,'Attempt Register'!$F$6:$F$31,"Y")</x:f>
        <x:v>0</x:v>
      </x:c>
      <x:c r="H17" s="120" t="n">
        <x:f>COUNTIFS('Attempt Register'!$E$6:$E$31,A17,'Attempt Register'!$F$6:$F$31,"Y",'Attempt Register'!$H$6:$H$31,"VALID CONTAINED")</x:f>
        <x:v>0</x:v>
      </x:c>
      <x:c r="I17" s="120" t="n">
        <x:f>COUNTIFS('Attempt Register'!$E$6:$E$31,A17,'Attempt Register'!$F$6:$F$31,"Y",'Attempt Register'!$H$6:$H$31,"VALID ADVERSE")</x:f>
        <x:v>0</x:v>
      </x:c>
      <x:c r="J17" s="148" t="str">
        <x:f>IF(I17&gt;0,"BLOCKED: VALID ADVERSE",IF(H17=1,IF(COUNTIFS('Attempt Register'!$E$6:$E$31,A17,'Attempt Register'!$H$6:$H$31,"VALID CONTAINED",'Return Ledger'!$M$6:$M$31,"RETURNED")=1,"CREDITED","PENDING RETURN"),IF(H17&gt;1,"ERROR: MULTIPLE CREDITS","OPEN")))</x:f>
        <x:v>OPEN</x:v>
      </x:c>
    </x:row>
  </x:sheetData>
  <x:conditionalFormatting sqref="J6:J17">
    <x:cfRule type="containsText" dxfId="5" priority="1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3.329999923706055" hidden="0" customWidth="1"/>
  </x:cols>
  <x:sheetData>
    <x:row r="2">
      <x:c r="A2" s="94" t="str">
        <x:v>RBC-1 event obligations carried into the class</x:v>
      </x:c>
      <x:c r="B2" s="95"/>
      <x:c r="C2" s="95"/>
      <x:c r="D2" s="95"/>
      <x:c r="E2" s="95"/>
      <x:c r="F2" s="95"/>
      <x:c r="G2" s="95"/>
    </x:row>
    <x:row r="3">
      <x:c r="A3" s="96"/>
      <x:c r="B3" s="96"/>
      <x:c r="C3" s="96"/>
      <x:c r="D3" s="96"/>
      <x:c r="E3" s="96"/>
      <x:c r="F3" s="96"/>
      <x:c r="G3" s="96"/>
    </x:row>
    <x:row r="4">
      <x:c r="A4" s="97" t="str">
        <x:v>Class administration reads accepted event packets; it does not reduce their lower-level requirements.</x:v>
      </x:c>
      <x:c r="B4" s="95"/>
      <x:c r="C4" s="95"/>
      <x:c r="D4" s="95"/>
      <x:c r="E4" s="95"/>
      <x:c r="F4" s="95"/>
      <x:c r="G4" s="95"/>
    </x:row>
    <x:row r="5">
      <x:c r="A5" s="9" t="str">
        <x:v>Attempt object</x:v>
      </x:c>
      <x:c r="B5" s="10" t="str">
        <x:v>Per attempt</x:v>
      </x:c>
      <x:c r="C5" s="10" t="str">
        <x:v>Required class</x:v>
      </x:c>
      <x:c r="D5" s="10" t="str">
        <x:v>Maximum capacity</x:v>
      </x:c>
      <x:c r="E5" s="11" t="str">
        <x:v>Authority</x:v>
      </x:c>
      <x:c r="F5" s="95"/>
      <x:c r="G5" s="95"/>
    </x:row>
    <x:row r="6">
      <x:c r="A6" s="98" t="str">
        <x:v>Event gates</x:v>
      </x:c>
      <x:c r="B6" s="111" t="n">
        <x:v>42</x:v>
      </x:c>
      <x:c r="C6" s="114" t="n">
        <x:f>B6*Controls!$B$6</x:f>
        <x:v>504</x:v>
      </x:c>
      <x:c r="D6" s="114" t="n">
        <x:f>B6*(Controls!$B$15+Controls!$B$16*Controls!$B$8)</x:f>
        <x:v>1092</x:v>
      </x:c>
      <x:c r="E6" s="98" t="str">
        <x:v>RBC-1</x:v>
      </x:c>
      <x:c r="F6" s="95"/>
      <x:c r="G6" s="95"/>
    </x:row>
    <x:row r="7">
      <x:c r="A7" s="101" t="str">
        <x:v>Dossier bindings</x:v>
      </x:c>
      <x:c r="B7" s="112" t="n">
        <x:v>217</x:v>
      </x:c>
      <x:c r="C7" s="117" t="n">
        <x:f>B7*Controls!$B$6</x:f>
        <x:v>2604</x:v>
      </x:c>
      <x:c r="D7" s="117" t="n">
        <x:f>B7*(Controls!$B$15+Controls!$B$16*Controls!$B$8)</x:f>
        <x:v>5642</x:v>
      </x:c>
      <x:c r="E7" s="101" t="str">
        <x:v>RBC-1</x:v>
      </x:c>
      <x:c r="F7" s="95"/>
      <x:c r="G7" s="95"/>
    </x:row>
    <x:row r="8">
      <x:c r="A8" s="101" t="str">
        <x:v>Safeing paths</x:v>
      </x:c>
      <x:c r="B8" s="112" t="n">
        <x:v>36</x:v>
      </x:c>
      <x:c r="C8" s="117" t="n">
        <x:f>B8*Controls!$B$6</x:f>
        <x:v>432</x:v>
      </x:c>
      <x:c r="D8" s="117" t="n">
        <x:f>B8*(Controls!$B$15+Controls!$B$16*Controls!$B$8)</x:f>
        <x:v>936</x:v>
      </x:c>
      <x:c r="E8" s="101" t="str">
        <x:v>RBC-1</x:v>
      </x:c>
      <x:c r="F8" s="95"/>
      <x:c r="G8" s="95"/>
    </x:row>
    <x:row r="9">
      <x:c r="A9" s="101" t="str">
        <x:v>Root-specific measurements</x:v>
      </x:c>
      <x:c r="B9" s="112" t="n">
        <x:v>60</x:v>
      </x:c>
      <x:c r="C9" s="117" t="n">
        <x:f>B9*Controls!$B$6</x:f>
        <x:v>720</x:v>
      </x:c>
      <x:c r="D9" s="117" t="n">
        <x:f>B9*(Controls!$B$15+Controls!$B$16*Controls!$B$8)</x:f>
        <x:v>1560</x:v>
      </x:c>
      <x:c r="E9" s="101" t="str">
        <x:v>RBC-1</x:v>
      </x:c>
      <x:c r="F9" s="95"/>
      <x:c r="G9" s="95"/>
    </x:row>
    <x:row r="10">
      <x:c r="A10" s="101" t="str">
        <x:v>Physical samples</x:v>
      </x:c>
      <x:c r="B10" s="112" t="n">
        <x:v>10</x:v>
      </x:c>
      <x:c r="C10" s="117" t="n">
        <x:f>B10*Controls!$B$6</x:f>
        <x:v>120</x:v>
      </x:c>
      <x:c r="D10" s="117" t="n">
        <x:f>B10*(Controls!$B$15+Controls!$B$16*Controls!$B$8)</x:f>
        <x:v>260</x:v>
      </x:c>
      <x:c r="E10" s="101" t="str">
        <x:v>RBC-1</x:v>
      </x:c>
      <x:c r="F10" s="95"/>
      <x:c r="G10" s="95"/>
    </x:row>
    <x:row r="11">
      <x:c r="A11" s="101" t="str">
        <x:v>Return work packages</x:v>
      </x:c>
      <x:c r="B11" s="112" t="n">
        <x:v>20</x:v>
      </x:c>
      <x:c r="C11" s="117" t="n">
        <x:f>B11*Controls!$B$6</x:f>
        <x:v>240</x:v>
      </x:c>
      <x:c r="D11" s="117" t="n">
        <x:f>B11*(Controls!$B$15+Controls!$B$16*Controls!$B$8)</x:f>
        <x:v>520</x:v>
      </x:c>
      <x:c r="E11" s="101" t="str">
        <x:v>RBC-1</x:v>
      </x:c>
      <x:c r="F11" s="95"/>
      <x:c r="G11" s="95"/>
    </x:row>
    <x:row r="12">
      <x:c r="A12" s="101" t="str">
        <x:v>Return decisions</x:v>
      </x:c>
      <x:c r="B12" s="112" t="n">
        <x:v>14</x:v>
      </x:c>
      <x:c r="C12" s="117" t="n">
        <x:f>B12*Controls!$B$6</x:f>
        <x:v>168</x:v>
      </x:c>
      <x:c r="D12" s="117" t="n">
        <x:f>B12*(Controls!$B$15+Controls!$B$16*Controls!$B$8)</x:f>
        <x:v>364</x:v>
      </x:c>
      <x:c r="E12" s="101" t="str">
        <x:v>RBC-1</x:v>
      </x:c>
      <x:c r="F12" s="95"/>
      <x:c r="G12" s="95"/>
    </x:row>
    <x:row r="13">
      <x:c r="A13" s="104" t="str">
        <x:v>Outside-origin replay decisions</x:v>
      </x:c>
      <x:c r="B13" s="113" t="n">
        <x:v>24</x:v>
      </x:c>
      <x:c r="C13" s="120" t="n">
        <x:f>B13*Controls!$B$6</x:f>
        <x:v>288</x:v>
      </x:c>
      <x:c r="D13" s="120" t="n">
        <x:f>B13*(Controls!$B$15+Controls!$B$16*Controls!$B$8)</x:f>
        <x:v>624</x:v>
      </x:c>
      <x:c r="E13" s="104" t="str">
        <x:v>RBC-1</x:v>
      </x:c>
      <x:c r="F13" s="95"/>
      <x:c r="G13" s="9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329999923706055" hidden="0" customWidth="1"/>
    <x:col min="2" max="2" width="8.329999923706055" hidden="0" customWidth="1"/>
    <x:col min="3" max="3" width="11.67000007629394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</x:cols>
  <x:sheetData>
    <x:row r="2">
      <x:c r="A2" s="94" t="str">
        <x:v>Source-exposed return ledger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</x:row>
    <x:row r="4">
      <x:c r="A4" s="97" t="str">
        <x:v>Earliest return is calculated from T0. The 72-hour, 336-hour, work-package, decision, replay and baseline fields must all close.</x:v>
      </x:c>
      <x:c r="B4" s="95"/>
      <x:c r="C4" s="95"/>
      <x:c r="D4" s="95"/>
      <x:c r="E4" s="95"/>
      <x:c r="F4" s="95"/>
      <x:c r="G4" s="95"/>
      <x:c r="H4" s="95"/>
      <x:c r="I4" s="95"/>
      <x:c r="J4" s="95"/>
      <x:c r="K4" s="95"/>
      <x:c r="L4" s="95"/>
      <x:c r="M4" s="95"/>
    </x:row>
    <x:row r="5">
      <x:c r="A5" s="9" t="str">
        <x:v>Token</x:v>
      </x:c>
      <x:c r="B5" s="10" t="str">
        <x:v>Issued</x:v>
      </x:c>
      <x:c r="C5" s="10" t="str">
        <x:v>T0 day</x:v>
      </x:c>
      <x:c r="D5" s="10" t="str">
        <x:v>Earliest return day</x:v>
      </x:c>
      <x:c r="E5" s="10" t="str">
        <x:v>Accepted return day</x:v>
      </x:c>
      <x:c r="F5" s="10" t="str">
        <x:v>72-hour residue</x:v>
      </x:c>
      <x:c r="G5" s="10" t="str">
        <x:v>336-hour residue</x:v>
      </x:c>
      <x:c r="H5" s="10" t="str">
        <x:v>Work packages closed</x:v>
      </x:c>
      <x:c r="I5" s="10" t="str">
        <x:v>Return decisions closed</x:v>
      </x:c>
      <x:c r="J5" s="10" t="str">
        <x:v>Replay decisions closed</x:v>
      </x:c>
      <x:c r="K5" s="10" t="str">
        <x:v>New baseline</x:v>
      </x:c>
      <x:c r="L5" s="10" t="str">
        <x:v>Return authority</x:v>
      </x:c>
      <x:c r="M5" s="11" t="str">
        <x:v>Return state</x:v>
      </x:c>
    </x:row>
    <x:row r="6">
      <x:c r="A6" s="146" t="str">
        <x:f>'Attempt Register'!A6</x:f>
        <x:v>P01</x:v>
      </x:c>
      <x:c r="B6" s="146" t="str">
        <x:f>IF('Attempt Register'!F6="","",'Attempt Register'!F6)</x:f>
      </x:c>
      <x:c r="C6" s="114" t="str">
        <x:f>IF('Attempt Register'!G6="","",'Attempt Register'!G6)</x:f>
      </x:c>
      <x:c r="D6" s="114" t="str">
        <x:f>IF(B6="Y",C6+Controls!$B$12,"")</x:f>
      </x:c>
      <x:c r="E6" s="140"/>
      <x:c r="F6" s="135"/>
      <x:c r="G6" s="135"/>
      <x:c r="H6" s="140"/>
      <x:c r="I6" s="140"/>
      <x:c r="J6" s="140"/>
      <x:c r="K6" s="135"/>
      <x:c r="L6" s="135"/>
      <x:c r="M6" s="98" t="str">
        <x:f>IF(B6&lt;&gt;"Y","NOT ISSUED",IF(OR(E6="",F6="",G6="",H6="",I6="",J6="",K6="",L6=""),"OPEN",IF(AND(E6&gt;=D6,F6="ACCEPTED",G6="ACCEPTED",H6=Controls!$B$27,I6=Controls!$B$28,J6=Controls!$B$29,L6="ACCEPTED"),"RETURNED","BLOCKED")))</x:f>
        <x:v>NOT ISSUED</x:v>
      </x:c>
    </x:row>
    <x:row r="7">
      <x:c r="A7" s="147" t="str">
        <x:f>'Attempt Register'!A7</x:f>
        <x:v>P02</x:v>
      </x:c>
      <x:c r="B7" s="147" t="str">
        <x:f>IF('Attempt Register'!F7="","",'Attempt Register'!F7)</x:f>
      </x:c>
      <x:c r="C7" s="117" t="str">
        <x:f>IF('Attempt Register'!G7="","",'Attempt Register'!G7)</x:f>
      </x:c>
      <x:c r="D7" s="117" t="str">
        <x:f>IF(B7="Y",C7+Controls!$B$12,"")</x:f>
      </x:c>
      <x:c r="E7" s="142"/>
      <x:c r="F7" s="137"/>
      <x:c r="G7" s="137"/>
      <x:c r="H7" s="142"/>
      <x:c r="I7" s="142"/>
      <x:c r="J7" s="142"/>
      <x:c r="K7" s="137"/>
      <x:c r="L7" s="137"/>
      <x:c r="M7" s="101" t="str">
        <x:f>IF(B7&lt;&gt;"Y","NOT ISSUED",IF(OR(E7="",F7="",G7="",H7="",I7="",J7="",K7="",L7=""),"OPEN",IF(AND(E7&gt;=D7,F7="ACCEPTED",G7="ACCEPTED",H7=Controls!$B$27,I7=Controls!$B$28,J7=Controls!$B$29,L7="ACCEPTED"),"RETURNED","BLOCKED")))</x:f>
        <x:v>NOT ISSUED</x:v>
      </x:c>
    </x:row>
    <x:row r="8">
      <x:c r="A8" s="147" t="str">
        <x:f>'Attempt Register'!A8</x:f>
        <x:v>P03</x:v>
      </x:c>
      <x:c r="B8" s="147" t="str">
        <x:f>IF('Attempt Register'!F8="","",'Attempt Register'!F8)</x:f>
      </x:c>
      <x:c r="C8" s="117" t="str">
        <x:f>IF('Attempt Register'!G8="","",'Attempt Register'!G8)</x:f>
      </x:c>
      <x:c r="D8" s="117" t="str">
        <x:f>IF(B8="Y",C8+Controls!$B$12,"")</x:f>
      </x:c>
      <x:c r="E8" s="142"/>
      <x:c r="F8" s="137"/>
      <x:c r="G8" s="137"/>
      <x:c r="H8" s="142"/>
      <x:c r="I8" s="142"/>
      <x:c r="J8" s="142"/>
      <x:c r="K8" s="137"/>
      <x:c r="L8" s="137"/>
      <x:c r="M8" s="101" t="str">
        <x:f>IF(B8&lt;&gt;"Y","NOT ISSUED",IF(OR(E8="",F8="",G8="",H8="",I8="",J8="",K8="",L8=""),"OPEN",IF(AND(E8&gt;=D8,F8="ACCEPTED",G8="ACCEPTED",H8=Controls!$B$27,I8=Controls!$B$28,J8=Controls!$B$29,L8="ACCEPTED"),"RETURNED","BLOCKED")))</x:f>
        <x:v>NOT ISSUED</x:v>
      </x:c>
    </x:row>
    <x:row r="9">
      <x:c r="A9" s="147" t="str">
        <x:f>'Attempt Register'!A9</x:f>
        <x:v>P04</x:v>
      </x:c>
      <x:c r="B9" s="147" t="str">
        <x:f>IF('Attempt Register'!F9="","",'Attempt Register'!F9)</x:f>
      </x:c>
      <x:c r="C9" s="117" t="str">
        <x:f>IF('Attempt Register'!G9="","",'Attempt Register'!G9)</x:f>
      </x:c>
      <x:c r="D9" s="117" t="str">
        <x:f>IF(B9="Y",C9+Controls!$B$12,"")</x:f>
      </x:c>
      <x:c r="E9" s="142"/>
      <x:c r="F9" s="137"/>
      <x:c r="G9" s="137"/>
      <x:c r="H9" s="142"/>
      <x:c r="I9" s="142"/>
      <x:c r="J9" s="142"/>
      <x:c r="K9" s="137"/>
      <x:c r="L9" s="137"/>
      <x:c r="M9" s="101" t="str">
        <x:f>IF(B9&lt;&gt;"Y","NOT ISSUED",IF(OR(E9="",F9="",G9="",H9="",I9="",J9="",K9="",L9=""),"OPEN",IF(AND(E9&gt;=D9,F9="ACCEPTED",G9="ACCEPTED",H9=Controls!$B$27,I9=Controls!$B$28,J9=Controls!$B$29,L9="ACCEPTED"),"RETURNED","BLOCKED")))</x:f>
        <x:v>NOT ISSUED</x:v>
      </x:c>
    </x:row>
    <x:row r="10">
      <x:c r="A10" s="147" t="str">
        <x:f>'Attempt Register'!A10</x:f>
        <x:v>P05</x:v>
      </x:c>
      <x:c r="B10" s="147" t="str">
        <x:f>IF('Attempt Register'!F10="","",'Attempt Register'!F10)</x:f>
      </x:c>
      <x:c r="C10" s="117" t="str">
        <x:f>IF('Attempt Register'!G10="","",'Attempt Register'!G10)</x:f>
      </x:c>
      <x:c r="D10" s="117" t="str">
        <x:f>IF(B10="Y",C10+Controls!$B$12,"")</x:f>
      </x:c>
      <x:c r="E10" s="142"/>
      <x:c r="F10" s="137"/>
      <x:c r="G10" s="137"/>
      <x:c r="H10" s="142"/>
      <x:c r="I10" s="142"/>
      <x:c r="J10" s="142"/>
      <x:c r="K10" s="137"/>
      <x:c r="L10" s="137"/>
      <x:c r="M10" s="101" t="str">
        <x:f>IF(B10&lt;&gt;"Y","NOT ISSUED",IF(OR(E10="",F10="",G10="",H10="",I10="",J10="",K10="",L10=""),"OPEN",IF(AND(E10&gt;=D10,F10="ACCEPTED",G10="ACCEPTED",H10=Controls!$B$27,I10=Controls!$B$28,J10=Controls!$B$29,L10="ACCEPTED"),"RETURNED","BLOCKED")))</x:f>
        <x:v>NOT ISSUED</x:v>
      </x:c>
    </x:row>
    <x:row r="11">
      <x:c r="A11" s="147" t="str">
        <x:f>'Attempt Register'!A11</x:f>
        <x:v>P06</x:v>
      </x:c>
      <x:c r="B11" s="147" t="str">
        <x:f>IF('Attempt Register'!F11="","",'Attempt Register'!F11)</x:f>
      </x:c>
      <x:c r="C11" s="117" t="str">
        <x:f>IF('Attempt Register'!G11="","",'Attempt Register'!G11)</x:f>
      </x:c>
      <x:c r="D11" s="117" t="str">
        <x:f>IF(B11="Y",C11+Controls!$B$12,"")</x:f>
      </x:c>
      <x:c r="E11" s="142"/>
      <x:c r="F11" s="137"/>
      <x:c r="G11" s="137"/>
      <x:c r="H11" s="142"/>
      <x:c r="I11" s="142"/>
      <x:c r="J11" s="142"/>
      <x:c r="K11" s="137"/>
      <x:c r="L11" s="137"/>
      <x:c r="M11" s="101" t="str">
        <x:f>IF(B11&lt;&gt;"Y","NOT ISSUED",IF(OR(E11="",F11="",G11="",H11="",I11="",J11="",K11="",L11=""),"OPEN",IF(AND(E11&gt;=D11,F11="ACCEPTED",G11="ACCEPTED",H11=Controls!$B$27,I11=Controls!$B$28,J11=Controls!$B$29,L11="ACCEPTED"),"RETURNED","BLOCKED")))</x:f>
        <x:v>NOT ISSUED</x:v>
      </x:c>
    </x:row>
    <x:row r="12">
      <x:c r="A12" s="147" t="str">
        <x:f>'Attempt Register'!A12</x:f>
        <x:v>P07</x:v>
      </x:c>
      <x:c r="B12" s="147" t="str">
        <x:f>IF('Attempt Register'!F12="","",'Attempt Register'!F12)</x:f>
      </x:c>
      <x:c r="C12" s="117" t="str">
        <x:f>IF('Attempt Register'!G12="","",'Attempt Register'!G12)</x:f>
      </x:c>
      <x:c r="D12" s="117" t="str">
        <x:f>IF(B12="Y",C12+Controls!$B$12,"")</x:f>
      </x:c>
      <x:c r="E12" s="142"/>
      <x:c r="F12" s="137"/>
      <x:c r="G12" s="137"/>
      <x:c r="H12" s="142"/>
      <x:c r="I12" s="142"/>
      <x:c r="J12" s="142"/>
      <x:c r="K12" s="137"/>
      <x:c r="L12" s="137"/>
      <x:c r="M12" s="101" t="str">
        <x:f>IF(B12&lt;&gt;"Y","NOT ISSUED",IF(OR(E12="",F12="",G12="",H12="",I12="",J12="",K12="",L12=""),"OPEN",IF(AND(E12&gt;=D12,F12="ACCEPTED",G12="ACCEPTED",H12=Controls!$B$27,I12=Controls!$B$28,J12=Controls!$B$29,L12="ACCEPTED"),"RETURNED","BLOCKED")))</x:f>
        <x:v>NOT ISSUED</x:v>
      </x:c>
    </x:row>
    <x:row r="13">
      <x:c r="A13" s="147" t="str">
        <x:f>'Attempt Register'!A13</x:f>
        <x:v>P08</x:v>
      </x:c>
      <x:c r="B13" s="147" t="str">
        <x:f>IF('Attempt Register'!F13="","",'Attempt Register'!F13)</x:f>
      </x:c>
      <x:c r="C13" s="117" t="str">
        <x:f>IF('Attempt Register'!G13="","",'Attempt Register'!G13)</x:f>
      </x:c>
      <x:c r="D13" s="117" t="str">
        <x:f>IF(B13="Y",C13+Controls!$B$12,"")</x:f>
      </x:c>
      <x:c r="E13" s="142"/>
      <x:c r="F13" s="137"/>
      <x:c r="G13" s="137"/>
      <x:c r="H13" s="142"/>
      <x:c r="I13" s="142"/>
      <x:c r="J13" s="142"/>
      <x:c r="K13" s="137"/>
      <x:c r="L13" s="137"/>
      <x:c r="M13" s="101" t="str">
        <x:f>IF(B13&lt;&gt;"Y","NOT ISSUED",IF(OR(E13="",F13="",G13="",H13="",I13="",J13="",K13="",L13=""),"OPEN",IF(AND(E13&gt;=D13,F13="ACCEPTED",G13="ACCEPTED",H13=Controls!$B$27,I13=Controls!$B$28,J13=Controls!$B$29,L13="ACCEPTED"),"RETURNED","BLOCKED")))</x:f>
        <x:v>NOT ISSUED</x:v>
      </x:c>
    </x:row>
    <x:row r="14">
      <x:c r="A14" s="147" t="str">
        <x:f>'Attempt Register'!A14</x:f>
        <x:v>P09</x:v>
      </x:c>
      <x:c r="B14" s="147" t="str">
        <x:f>IF('Attempt Register'!F14="","",'Attempt Register'!F14)</x:f>
      </x:c>
      <x:c r="C14" s="117" t="str">
        <x:f>IF('Attempt Register'!G14="","",'Attempt Register'!G14)</x:f>
      </x:c>
      <x:c r="D14" s="117" t="str">
        <x:f>IF(B14="Y",C14+Controls!$B$12,"")</x:f>
      </x:c>
      <x:c r="E14" s="142"/>
      <x:c r="F14" s="137"/>
      <x:c r="G14" s="137"/>
      <x:c r="H14" s="142"/>
      <x:c r="I14" s="142"/>
      <x:c r="J14" s="142"/>
      <x:c r="K14" s="137"/>
      <x:c r="L14" s="137"/>
      <x:c r="M14" s="101" t="str">
        <x:f>IF(B14&lt;&gt;"Y","NOT ISSUED",IF(OR(E14="",F14="",G14="",H14="",I14="",J14="",K14="",L14=""),"OPEN",IF(AND(E14&gt;=D14,F14="ACCEPTED",G14="ACCEPTED",H14=Controls!$B$27,I14=Controls!$B$28,J14=Controls!$B$29,L14="ACCEPTED"),"RETURNED","BLOCKED")))</x:f>
        <x:v>NOT ISSUED</x:v>
      </x:c>
    </x:row>
    <x:row r="15">
      <x:c r="A15" s="147" t="str">
        <x:f>'Attempt Register'!A15</x:f>
        <x:v>P10</x:v>
      </x:c>
      <x:c r="B15" s="147" t="str">
        <x:f>IF('Attempt Register'!F15="","",'Attempt Register'!F15)</x:f>
      </x:c>
      <x:c r="C15" s="117" t="str">
        <x:f>IF('Attempt Register'!G15="","",'Attempt Register'!G15)</x:f>
      </x:c>
      <x:c r="D15" s="117" t="str">
        <x:f>IF(B15="Y",C15+Controls!$B$12,"")</x:f>
      </x:c>
      <x:c r="E15" s="142"/>
      <x:c r="F15" s="137"/>
      <x:c r="G15" s="137"/>
      <x:c r="H15" s="142"/>
      <x:c r="I15" s="142"/>
      <x:c r="J15" s="142"/>
      <x:c r="K15" s="137"/>
      <x:c r="L15" s="137"/>
      <x:c r="M15" s="101" t="str">
        <x:f>IF(B15&lt;&gt;"Y","NOT ISSUED",IF(OR(E15="",F15="",G15="",H15="",I15="",J15="",K15="",L15=""),"OPEN",IF(AND(E15&gt;=D15,F15="ACCEPTED",G15="ACCEPTED",H15=Controls!$B$27,I15=Controls!$B$28,J15=Controls!$B$29,L15="ACCEPTED"),"RETURNED","BLOCKED")))</x:f>
        <x:v>NOT ISSUED</x:v>
      </x:c>
    </x:row>
    <x:row r="16">
      <x:c r="A16" s="147" t="str">
        <x:f>'Attempt Register'!A16</x:f>
        <x:v>P11</x:v>
      </x:c>
      <x:c r="B16" s="147" t="str">
        <x:f>IF('Attempt Register'!F16="","",'Attempt Register'!F16)</x:f>
      </x:c>
      <x:c r="C16" s="117" t="str">
        <x:f>IF('Attempt Register'!G16="","",'Attempt Register'!G16)</x:f>
      </x:c>
      <x:c r="D16" s="117" t="str">
        <x:f>IF(B16="Y",C16+Controls!$B$12,"")</x:f>
      </x:c>
      <x:c r="E16" s="142"/>
      <x:c r="F16" s="137"/>
      <x:c r="G16" s="137"/>
      <x:c r="H16" s="142"/>
      <x:c r="I16" s="142"/>
      <x:c r="J16" s="142"/>
      <x:c r="K16" s="137"/>
      <x:c r="L16" s="137"/>
      <x:c r="M16" s="101" t="str">
        <x:f>IF(B16&lt;&gt;"Y","NOT ISSUED",IF(OR(E16="",F16="",G16="",H16="",I16="",J16="",K16="",L16=""),"OPEN",IF(AND(E16&gt;=D16,F16="ACCEPTED",G16="ACCEPTED",H16=Controls!$B$27,I16=Controls!$B$28,J16=Controls!$B$29,L16="ACCEPTED"),"RETURNED","BLOCKED")))</x:f>
        <x:v>NOT ISSUED</x:v>
      </x:c>
    </x:row>
    <x:row r="17">
      <x:c r="A17" s="147" t="str">
        <x:f>'Attempt Register'!A17</x:f>
        <x:v>P12</x:v>
      </x:c>
      <x:c r="B17" s="147" t="str">
        <x:f>IF('Attempt Register'!F17="","",'Attempt Register'!F17)</x:f>
      </x:c>
      <x:c r="C17" s="117" t="str">
        <x:f>IF('Attempt Register'!G17="","",'Attempt Register'!G17)</x:f>
      </x:c>
      <x:c r="D17" s="117" t="str">
        <x:f>IF(B17="Y",C17+Controls!$B$12,"")</x:f>
      </x:c>
      <x:c r="E17" s="142"/>
      <x:c r="F17" s="137"/>
      <x:c r="G17" s="137"/>
      <x:c r="H17" s="142"/>
      <x:c r="I17" s="142"/>
      <x:c r="J17" s="142"/>
      <x:c r="K17" s="137"/>
      <x:c r="L17" s="137"/>
      <x:c r="M17" s="101" t="str">
        <x:f>IF(B17&lt;&gt;"Y","NOT ISSUED",IF(OR(E17="",F17="",G17="",H17="",I17="",J17="",K17="",L17=""),"OPEN",IF(AND(E17&gt;=D17,F17="ACCEPTED",G17="ACCEPTED",H17=Controls!$B$27,I17=Controls!$B$28,J17=Controls!$B$29,L17="ACCEPTED"),"RETURNED","BLOCKED")))</x:f>
        <x:v>NOT ISSUED</x:v>
      </x:c>
    </x:row>
    <x:row r="18">
      <x:c r="A18" s="147" t="str">
        <x:f>'Attempt Register'!A18</x:f>
        <x:v>RS01</x:v>
      </x:c>
      <x:c r="B18" s="147" t="str">
        <x:f>IF('Attempt Register'!F18="","",'Attempt Register'!F18)</x:f>
      </x:c>
      <x:c r="C18" s="117" t="str">
        <x:f>IF('Attempt Register'!G18="","",'Attempt Register'!G18)</x:f>
      </x:c>
      <x:c r="D18" s="117" t="str">
        <x:f>IF(B18="Y",C18+Controls!$B$12,"")</x:f>
      </x:c>
      <x:c r="E18" s="142"/>
      <x:c r="F18" s="137"/>
      <x:c r="G18" s="137"/>
      <x:c r="H18" s="142"/>
      <x:c r="I18" s="142"/>
      <x:c r="J18" s="142"/>
      <x:c r="K18" s="137"/>
      <x:c r="L18" s="137"/>
      <x:c r="M18" s="101" t="str">
        <x:f>IF(B18&lt;&gt;"Y","NOT ISSUED",IF(OR(E18="",F18="",G18="",H18="",I18="",J18="",K18="",L18=""),"OPEN",IF(AND(E18&gt;=D18,F18="ACCEPTED",G18="ACCEPTED",H18=Controls!$B$27,I18=Controls!$B$28,J18=Controls!$B$29,L18="ACCEPTED"),"RETURNED","BLOCKED")))</x:f>
        <x:v>NOT ISSUED</x:v>
      </x:c>
    </x:row>
    <x:row r="19">
      <x:c r="A19" s="147" t="str">
        <x:f>'Attempt Register'!A19</x:f>
        <x:v>RS02</x:v>
      </x:c>
      <x:c r="B19" s="147" t="str">
        <x:f>IF('Attempt Register'!F19="","",'Attempt Register'!F19)</x:f>
      </x:c>
      <x:c r="C19" s="117" t="str">
        <x:f>IF('Attempt Register'!G19="","",'Attempt Register'!G19)</x:f>
      </x:c>
      <x:c r="D19" s="117" t="str">
        <x:f>IF(B19="Y",C19+Controls!$B$12,"")</x:f>
      </x:c>
      <x:c r="E19" s="142"/>
      <x:c r="F19" s="137"/>
      <x:c r="G19" s="137"/>
      <x:c r="H19" s="142"/>
      <x:c r="I19" s="142"/>
      <x:c r="J19" s="142"/>
      <x:c r="K19" s="137"/>
      <x:c r="L19" s="137"/>
      <x:c r="M19" s="101" t="str">
        <x:f>IF(B19&lt;&gt;"Y","NOT ISSUED",IF(OR(E19="",F19="",G19="",H19="",I19="",J19="",K19="",L19=""),"OPEN",IF(AND(E19&gt;=D19,F19="ACCEPTED",G19="ACCEPTED",H19=Controls!$B$27,I19=Controls!$B$28,J19=Controls!$B$29,L19="ACCEPTED"),"RETURNED","BLOCKED")))</x:f>
        <x:v>NOT ISSUED</x:v>
      </x:c>
    </x:row>
    <x:row r="20">
      <x:c r="A20" s="147" t="str">
        <x:f>'Attempt Register'!A20</x:f>
        <x:v>RS03</x:v>
      </x:c>
      <x:c r="B20" s="147" t="str">
        <x:f>IF('Attempt Register'!F20="","",'Attempt Register'!F20)</x:f>
      </x:c>
      <x:c r="C20" s="117" t="str">
        <x:f>IF('Attempt Register'!G20="","",'Attempt Register'!G20)</x:f>
      </x:c>
      <x:c r="D20" s="117" t="str">
        <x:f>IF(B20="Y",C20+Controls!$B$12,"")</x:f>
      </x:c>
      <x:c r="E20" s="142"/>
      <x:c r="F20" s="137"/>
      <x:c r="G20" s="137"/>
      <x:c r="H20" s="142"/>
      <x:c r="I20" s="142"/>
      <x:c r="J20" s="142"/>
      <x:c r="K20" s="137"/>
      <x:c r="L20" s="137"/>
      <x:c r="M20" s="101" t="str">
        <x:f>IF(B20&lt;&gt;"Y","NOT ISSUED",IF(OR(E20="",F20="",G20="",H20="",I20="",J20="",K20="",L20=""),"OPEN",IF(AND(E20&gt;=D20,F20="ACCEPTED",G20="ACCEPTED",H20=Controls!$B$27,I20=Controls!$B$28,J20=Controls!$B$29,L20="ACCEPTED"),"RETURNED","BLOCKED")))</x:f>
        <x:v>NOT ISSUED</x:v>
      </x:c>
    </x:row>
    <x:row r="21">
      <x:c r="A21" s="147" t="str">
        <x:f>'Attempt Register'!A21</x:f>
        <x:v>RS04</x:v>
      </x:c>
      <x:c r="B21" s="147" t="str">
        <x:f>IF('Attempt Register'!F21="","",'Attempt Register'!F21)</x:f>
      </x:c>
      <x:c r="C21" s="117" t="str">
        <x:f>IF('Attempt Register'!G21="","",'Attempt Register'!G21)</x:f>
      </x:c>
      <x:c r="D21" s="117" t="str">
        <x:f>IF(B21="Y",C21+Controls!$B$12,"")</x:f>
      </x:c>
      <x:c r="E21" s="142"/>
      <x:c r="F21" s="137"/>
      <x:c r="G21" s="137"/>
      <x:c r="H21" s="142"/>
      <x:c r="I21" s="142"/>
      <x:c r="J21" s="142"/>
      <x:c r="K21" s="137"/>
      <x:c r="L21" s="137"/>
      <x:c r="M21" s="101" t="str">
        <x:f>IF(B21&lt;&gt;"Y","NOT ISSUED",IF(OR(E21="",F21="",G21="",H21="",I21="",J21="",K21="",L21=""),"OPEN",IF(AND(E21&gt;=D21,F21="ACCEPTED",G21="ACCEPTED",H21=Controls!$B$27,I21=Controls!$B$28,J21=Controls!$B$29,L21="ACCEPTED"),"RETURNED","BLOCKED")))</x:f>
        <x:v>NOT ISSUED</x:v>
      </x:c>
    </x:row>
    <x:row r="22">
      <x:c r="A22" s="147" t="str">
        <x:f>'Attempt Register'!A22</x:f>
        <x:v>RS05</x:v>
      </x:c>
      <x:c r="B22" s="147" t="str">
        <x:f>IF('Attempt Register'!F22="","",'Attempt Register'!F22)</x:f>
      </x:c>
      <x:c r="C22" s="117" t="str">
        <x:f>IF('Attempt Register'!G22="","",'Attempt Register'!G22)</x:f>
      </x:c>
      <x:c r="D22" s="117" t="str">
        <x:f>IF(B22="Y",C22+Controls!$B$12,"")</x:f>
      </x:c>
      <x:c r="E22" s="142"/>
      <x:c r="F22" s="137"/>
      <x:c r="G22" s="137"/>
      <x:c r="H22" s="142"/>
      <x:c r="I22" s="142"/>
      <x:c r="J22" s="142"/>
      <x:c r="K22" s="137"/>
      <x:c r="L22" s="137"/>
      <x:c r="M22" s="101" t="str">
        <x:f>IF(B22&lt;&gt;"Y","NOT ISSUED",IF(OR(E22="",F22="",G22="",H22="",I22="",J22="",K22="",L22=""),"OPEN",IF(AND(E22&gt;=D22,F22="ACCEPTED",G22="ACCEPTED",H22=Controls!$B$27,I22=Controls!$B$28,J22=Controls!$B$29,L22="ACCEPTED"),"RETURNED","BLOCKED")))</x:f>
        <x:v>NOT ISSUED</x:v>
      </x:c>
    </x:row>
    <x:row r="23">
      <x:c r="A23" s="147" t="str">
        <x:f>'Attempt Register'!A23</x:f>
        <x:v>RS06</x:v>
      </x:c>
      <x:c r="B23" s="147" t="str">
        <x:f>IF('Attempt Register'!F23="","",'Attempt Register'!F23)</x:f>
      </x:c>
      <x:c r="C23" s="117" t="str">
        <x:f>IF('Attempt Register'!G23="","",'Attempt Register'!G23)</x:f>
      </x:c>
      <x:c r="D23" s="117" t="str">
        <x:f>IF(B23="Y",C23+Controls!$B$12,"")</x:f>
      </x:c>
      <x:c r="E23" s="142"/>
      <x:c r="F23" s="137"/>
      <x:c r="G23" s="137"/>
      <x:c r="H23" s="142"/>
      <x:c r="I23" s="142"/>
      <x:c r="J23" s="142"/>
      <x:c r="K23" s="137"/>
      <x:c r="L23" s="137"/>
      <x:c r="M23" s="101" t="str">
        <x:f>IF(B23&lt;&gt;"Y","NOT ISSUED",IF(OR(E23="",F23="",G23="",H23="",I23="",J23="",K23="",L23=""),"OPEN",IF(AND(E23&gt;=D23,F23="ACCEPTED",G23="ACCEPTED",H23=Controls!$B$27,I23=Controls!$B$28,J23=Controls!$B$29,L23="ACCEPTED"),"RETURNED","BLOCKED")))</x:f>
        <x:v>NOT ISSUED</x:v>
      </x:c>
    </x:row>
    <x:row r="24">
      <x:c r="A24" s="147" t="str">
        <x:f>'Attempt Register'!A24</x:f>
        <x:v>RS07</x:v>
      </x:c>
      <x:c r="B24" s="147" t="str">
        <x:f>IF('Attempt Register'!F24="","",'Attempt Register'!F24)</x:f>
      </x:c>
      <x:c r="C24" s="117" t="str">
        <x:f>IF('Attempt Register'!G24="","",'Attempt Register'!G24)</x:f>
      </x:c>
      <x:c r="D24" s="117" t="str">
        <x:f>IF(B24="Y",C24+Controls!$B$12,"")</x:f>
      </x:c>
      <x:c r="E24" s="142"/>
      <x:c r="F24" s="137"/>
      <x:c r="G24" s="137"/>
      <x:c r="H24" s="142"/>
      <x:c r="I24" s="142"/>
      <x:c r="J24" s="142"/>
      <x:c r="K24" s="137"/>
      <x:c r="L24" s="137"/>
      <x:c r="M24" s="101" t="str">
        <x:f>IF(B24&lt;&gt;"Y","NOT ISSUED",IF(OR(E24="",F24="",G24="",H24="",I24="",J24="",K24="",L24=""),"OPEN",IF(AND(E24&gt;=D24,F24="ACCEPTED",G24="ACCEPTED",H24=Controls!$B$27,I24=Controls!$B$28,J24=Controls!$B$29,L24="ACCEPTED"),"RETURNED","BLOCKED")))</x:f>
        <x:v>NOT ISSUED</x:v>
      </x:c>
    </x:row>
    <x:row r="25">
      <x:c r="A25" s="147" t="str">
        <x:f>'Attempt Register'!A25</x:f>
        <x:v>RO01</x:v>
      </x:c>
      <x:c r="B25" s="147" t="str">
        <x:f>IF('Attempt Register'!F25="","",'Attempt Register'!F25)</x:f>
      </x:c>
      <x:c r="C25" s="117" t="str">
        <x:f>IF('Attempt Register'!G25="","",'Attempt Register'!G25)</x:f>
      </x:c>
      <x:c r="D25" s="117" t="str">
        <x:f>IF(B25="Y",C25+Controls!$B$12,"")</x:f>
      </x:c>
      <x:c r="E25" s="142"/>
      <x:c r="F25" s="137"/>
      <x:c r="G25" s="137"/>
      <x:c r="H25" s="142"/>
      <x:c r="I25" s="142"/>
      <x:c r="J25" s="142"/>
      <x:c r="K25" s="137"/>
      <x:c r="L25" s="137"/>
      <x:c r="M25" s="101" t="str">
        <x:f>IF(B25&lt;&gt;"Y","NOT ISSUED",IF(OR(E25="",F25="",G25="",H25="",I25="",J25="",K25="",L25=""),"OPEN",IF(AND(E25&gt;=D25,F25="ACCEPTED",G25="ACCEPTED",H25=Controls!$B$27,I25=Controls!$B$28,J25=Controls!$B$29,L25="ACCEPTED"),"RETURNED","BLOCKED")))</x:f>
        <x:v>NOT ISSUED</x:v>
      </x:c>
    </x:row>
    <x:row r="26">
      <x:c r="A26" s="147" t="str">
        <x:f>'Attempt Register'!A26</x:f>
        <x:v>RO02</x:v>
      </x:c>
      <x:c r="B26" s="147" t="str">
        <x:f>IF('Attempt Register'!F26="","",'Attempt Register'!F26)</x:f>
      </x:c>
      <x:c r="C26" s="117" t="str">
        <x:f>IF('Attempt Register'!G26="","",'Attempt Register'!G26)</x:f>
      </x:c>
      <x:c r="D26" s="117" t="str">
        <x:f>IF(B26="Y",C26+Controls!$B$12,"")</x:f>
      </x:c>
      <x:c r="E26" s="142"/>
      <x:c r="F26" s="137"/>
      <x:c r="G26" s="137"/>
      <x:c r="H26" s="142"/>
      <x:c r="I26" s="142"/>
      <x:c r="J26" s="142"/>
      <x:c r="K26" s="137"/>
      <x:c r="L26" s="137"/>
      <x:c r="M26" s="101" t="str">
        <x:f>IF(B26&lt;&gt;"Y","NOT ISSUED",IF(OR(E26="",F26="",G26="",H26="",I26="",J26="",K26="",L26=""),"OPEN",IF(AND(E26&gt;=D26,F26="ACCEPTED",G26="ACCEPTED",H26=Controls!$B$27,I26=Controls!$B$28,J26=Controls!$B$29,L26="ACCEPTED"),"RETURNED","BLOCKED")))</x:f>
        <x:v>NOT ISSUED</x:v>
      </x:c>
    </x:row>
    <x:row r="27">
      <x:c r="A27" s="147" t="str">
        <x:f>'Attempt Register'!A27</x:f>
        <x:v>RO03</x:v>
      </x:c>
      <x:c r="B27" s="147" t="str">
        <x:f>IF('Attempt Register'!F27="","",'Attempt Register'!F27)</x:f>
      </x:c>
      <x:c r="C27" s="117" t="str">
        <x:f>IF('Attempt Register'!G27="","",'Attempt Register'!G27)</x:f>
      </x:c>
      <x:c r="D27" s="117" t="str">
        <x:f>IF(B27="Y",C27+Controls!$B$12,"")</x:f>
      </x:c>
      <x:c r="E27" s="142"/>
      <x:c r="F27" s="137"/>
      <x:c r="G27" s="137"/>
      <x:c r="H27" s="142"/>
      <x:c r="I27" s="142"/>
      <x:c r="J27" s="142"/>
      <x:c r="K27" s="137"/>
      <x:c r="L27" s="137"/>
      <x:c r="M27" s="101" t="str">
        <x:f>IF(B27&lt;&gt;"Y","NOT ISSUED",IF(OR(E27="",F27="",G27="",H27="",I27="",J27="",K27="",L27=""),"OPEN",IF(AND(E27&gt;=D27,F27="ACCEPTED",G27="ACCEPTED",H27=Controls!$B$27,I27=Controls!$B$28,J27=Controls!$B$29,L27="ACCEPTED"),"RETURNED","BLOCKED")))</x:f>
        <x:v>NOT ISSUED</x:v>
      </x:c>
    </x:row>
    <x:row r="28">
      <x:c r="A28" s="147" t="str">
        <x:f>'Attempt Register'!A28</x:f>
        <x:v>RO04</x:v>
      </x:c>
      <x:c r="B28" s="147" t="str">
        <x:f>IF('Attempt Register'!F28="","",'Attempt Register'!F28)</x:f>
      </x:c>
      <x:c r="C28" s="117" t="str">
        <x:f>IF('Attempt Register'!G28="","",'Attempt Register'!G28)</x:f>
      </x:c>
      <x:c r="D28" s="117" t="str">
        <x:f>IF(B28="Y",C28+Controls!$B$12,"")</x:f>
      </x:c>
      <x:c r="E28" s="142"/>
      <x:c r="F28" s="137"/>
      <x:c r="G28" s="137"/>
      <x:c r="H28" s="142"/>
      <x:c r="I28" s="142"/>
      <x:c r="J28" s="142"/>
      <x:c r="K28" s="137"/>
      <x:c r="L28" s="137"/>
      <x:c r="M28" s="101" t="str">
        <x:f>IF(B28&lt;&gt;"Y","NOT ISSUED",IF(OR(E28="",F28="",G28="",H28="",I28="",J28="",K28="",L28=""),"OPEN",IF(AND(E28&gt;=D28,F28="ACCEPTED",G28="ACCEPTED",H28=Controls!$B$27,I28=Controls!$B$28,J28=Controls!$B$29,L28="ACCEPTED"),"RETURNED","BLOCKED")))</x:f>
        <x:v>NOT ISSUED</x:v>
      </x:c>
    </x:row>
    <x:row r="29">
      <x:c r="A29" s="147" t="str">
        <x:f>'Attempt Register'!A29</x:f>
        <x:v>RO05</x:v>
      </x:c>
      <x:c r="B29" s="147" t="str">
        <x:f>IF('Attempt Register'!F29="","",'Attempt Register'!F29)</x:f>
      </x:c>
      <x:c r="C29" s="117" t="str">
        <x:f>IF('Attempt Register'!G29="","",'Attempt Register'!G29)</x:f>
      </x:c>
      <x:c r="D29" s="117" t="str">
        <x:f>IF(B29="Y",C29+Controls!$B$12,"")</x:f>
      </x:c>
      <x:c r="E29" s="142"/>
      <x:c r="F29" s="137"/>
      <x:c r="G29" s="137"/>
      <x:c r="H29" s="142"/>
      <x:c r="I29" s="142"/>
      <x:c r="J29" s="142"/>
      <x:c r="K29" s="137"/>
      <x:c r="L29" s="137"/>
      <x:c r="M29" s="101" t="str">
        <x:f>IF(B29&lt;&gt;"Y","NOT ISSUED",IF(OR(E29="",F29="",G29="",H29="",I29="",J29="",K29="",L29=""),"OPEN",IF(AND(E29&gt;=D29,F29="ACCEPTED",G29="ACCEPTED",H29=Controls!$B$27,I29=Controls!$B$28,J29=Controls!$B$29,L29="ACCEPTED"),"RETURNED","BLOCKED")))</x:f>
        <x:v>NOT ISSUED</x:v>
      </x:c>
    </x:row>
    <x:row r="30">
      <x:c r="A30" s="147" t="str">
        <x:f>'Attempt Register'!A30</x:f>
        <x:v>RO06</x:v>
      </x:c>
      <x:c r="B30" s="147" t="str">
        <x:f>IF('Attempt Register'!F30="","",'Attempt Register'!F30)</x:f>
      </x:c>
      <x:c r="C30" s="117" t="str">
        <x:f>IF('Attempt Register'!G30="","",'Attempt Register'!G30)</x:f>
      </x:c>
      <x:c r="D30" s="117" t="str">
        <x:f>IF(B30="Y",C30+Controls!$B$12,"")</x:f>
      </x:c>
      <x:c r="E30" s="142"/>
      <x:c r="F30" s="137"/>
      <x:c r="G30" s="137"/>
      <x:c r="H30" s="142"/>
      <x:c r="I30" s="142"/>
      <x:c r="J30" s="142"/>
      <x:c r="K30" s="137"/>
      <x:c r="L30" s="137"/>
      <x:c r="M30" s="101" t="str">
        <x:f>IF(B30&lt;&gt;"Y","NOT ISSUED",IF(OR(E30="",F30="",G30="",H30="",I30="",J30="",K30="",L30=""),"OPEN",IF(AND(E30&gt;=D30,F30="ACCEPTED",G30="ACCEPTED",H30=Controls!$B$27,I30=Controls!$B$28,J30=Controls!$B$29,L30="ACCEPTED"),"RETURNED","BLOCKED")))</x:f>
        <x:v>NOT ISSUED</x:v>
      </x:c>
    </x:row>
    <x:row r="31">
      <x:c r="A31" s="148" t="str">
        <x:f>'Attempt Register'!A31</x:f>
        <x:v>RO07</x:v>
      </x:c>
      <x:c r="B31" s="148" t="str">
        <x:f>IF('Attempt Register'!F31="","",'Attempt Register'!F31)</x:f>
      </x:c>
      <x:c r="C31" s="120" t="str">
        <x:f>IF('Attempt Register'!G31="","",'Attempt Register'!G31)</x:f>
      </x:c>
      <x:c r="D31" s="120" t="str">
        <x:f>IF(B31="Y",C31+Controls!$B$12,"")</x:f>
      </x:c>
      <x:c r="E31" s="144"/>
      <x:c r="F31" s="139"/>
      <x:c r="G31" s="139"/>
      <x:c r="H31" s="144"/>
      <x:c r="I31" s="144"/>
      <x:c r="J31" s="144"/>
      <x:c r="K31" s="139"/>
      <x:c r="L31" s="139"/>
      <x:c r="M31" s="104" t="str">
        <x:f>IF(B31&lt;&gt;"Y","NOT ISSUED",IF(OR(E31="",F31="",G31="",H31="",I31="",J31="",K31="",L31=""),"OPEN",IF(AND(E31&gt;=D31,F31="ACCEPTED",G31="ACCEPTED",H31=Controls!$B$27,I31=Controls!$B$28,J31=Controls!$B$29,L31="ACCEPTED"),"RETURNED","BLOCKED")))</x:f>
        <x:v>NOT ISSUED</x:v>
      </x:c>
    </x:row>
  </x:sheetData>
  <x:conditionalFormatting sqref="M6:M31">
    <x:cfRule type="containsText" dxfId="6" priority="1" operator="containsText" text="BLOCKED"/>
  </x:conditionalFormatting>
  <x:dataValidations count="2">
    <x:dataValidation type="list" sqref="F6:G31">
      <x:formula1>"ACCEPTED,ADVERSE"</x:formula1>
    </x:dataValidation>
    <x:dataValidation type="list" sqref="L6:L31">
      <x:formula1>"ACCEPTED,QUARANTINED"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7.780000686645508" hidden="0" customWidth="1"/>
  </x:cols>
  <x:sheetData>
    <x:row r="2">
      <x:c r="A2" s="94" t="str">
        <x:v>Evidence, storage and replay capacity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Digital storage does not replace physical samples, retained assay, quarantine material or waste custody.</x:v>
      </x:c>
      <x:c r="B4" s="95"/>
      <x:c r="C4" s="95"/>
      <x:c r="D4" s="95"/>
      <x:c r="E4" s="95"/>
      <x:c r="F4" s="95"/>
      <x:c r="G4" s="95"/>
      <x:c r="H4" s="95"/>
    </x:row>
    <x:row r="5">
      <x:c r="A5" s="9" t="str">
        <x:v>Case</x:v>
      </x:c>
      <x:c r="B5" s="10" t="str">
        <x:v>Attempts</x:v>
      </x:c>
      <x:c r="C5" s="10" t="str">
        <x:v>Native GB</x:v>
      </x:c>
      <x:c r="D5" s="10" t="str">
        <x:v>Governed GB</x:v>
      </x:c>
      <x:c r="E5" s="11" t="str">
        <x:v>Provisioned-capacity share</x:v>
      </x:c>
      <x:c r="F5" s="95"/>
      <x:c r="G5" s="95"/>
      <x:c r="H5" s="95"/>
    </x:row>
    <x:row r="6">
      <x:c r="A6" s="98" t="str">
        <x:v>Required class</x:v>
      </x:c>
      <x:c r="B6" s="134" t="n">
        <x:v>12</x:v>
      </x:c>
      <x:c r="C6" s="99" t="n">
        <x:f>B6*Controls!$B$30</x:f>
        <x:v>2304.738842112</x:v>
      </x:c>
      <x:c r="D6" s="99" t="n">
        <x:f>B6*Controls!$B$31</x:f>
        <x:v>2996.1604947456</x:v>
      </x:c>
      <x:c r="E6" s="116" t="n">
        <x:f>D6/(Controls!$B$54*1000)</x:f>
        <x:v>0.37452006184319997</x:v>
      </x:c>
      <x:c r="F6" s="95"/>
      <x:c r="G6" s="95"/>
      <x:c r="H6" s="95"/>
    </x:row>
    <x:row r="7">
      <x:c r="A7" s="104" t="str">
        <x:v>Maximum source-bank capacity</x:v>
      </x:c>
      <x:c r="B7" s="138" t="n">
        <x:v>26</x:v>
      </x:c>
      <x:c r="C7" s="149" t="n">
        <x:f>B7*Controls!$B$30</x:f>
        <x:v>4993.600824576</x:v>
      </x:c>
      <x:c r="D7" s="149" t="n">
        <x:f>B7*Controls!$B$31</x:f>
        <x:v>6491.6810719488</x:v>
      </x:c>
      <x:c r="E7" s="122" t="n">
        <x:f>D7/(Controls!$B$54*1000)</x:f>
        <x:v>0.8114601339936001</x:v>
      </x:c>
      <x:c r="F7" s="95"/>
      <x:c r="G7" s="95"/>
      <x:c r="H7" s="95"/>
    </x:row>
    <x:row r="8">
      <x:c r="A8" s="95"/>
      <x:c r="B8" s="95"/>
      <x:c r="C8" s="95"/>
      <x:c r="D8" s="95"/>
      <x:c r="E8" s="95"/>
      <x:c r="F8" s="95"/>
      <x:c r="G8" s="95"/>
      <x:c r="H8" s="95"/>
    </x:row>
    <x:row r="9">
      <x:c r="A9" s="95"/>
      <x:c r="B9" s="95"/>
      <x:c r="C9" s="95"/>
      <x:c r="D9" s="95"/>
      <x:c r="E9" s="95"/>
      <x:c r="F9" s="95"/>
      <x:c r="G9" s="95"/>
      <x:c r="H9" s="95"/>
    </x:row>
    <x:row r="10">
      <x:c r="A10" s="107" t="str">
        <x:v>Live capture and replay</x:v>
      </x:c>
      <x:c r="B10" s="107"/>
      <x:c r="C10" s="107"/>
      <x:c r="D10" s="107"/>
      <x:c r="E10" s="107"/>
      <x:c r="F10" s="107"/>
      <x:c r="G10" s="107"/>
      <x:c r="H10" s="107"/>
    </x:row>
    <x:row r="11">
      <x:c r="A11" s="9" t="str">
        <x:v>Requirement</x:v>
      </x:c>
      <x:c r="B11" s="10" t="str">
        <x:v>Per attempt</x:v>
      </x:c>
      <x:c r="C11" s="10" t="str">
        <x:v>Required class</x:v>
      </x:c>
      <x:c r="D11" s="11" t="str">
        <x:v>Maximum capacity</x:v>
      </x:c>
      <x:c r="E11" s="95"/>
      <x:c r="F11" s="95"/>
      <x:c r="G11" s="95"/>
      <x:c r="H11" s="95"/>
    </x:row>
    <x:row r="12">
      <x:c r="A12" s="98" t="str">
        <x:v>Full-rate ingest streams</x:v>
      </x:c>
      <x:c r="B12" s="134" t="n">
        <x:v>1</x:v>
      </x:c>
      <x:c r="C12" s="99" t="n">
        <x:f>B12*Controls!$B$6</x:f>
        <x:v>12</x:v>
      </x:c>
      <x:c r="D12" s="99" t="n">
        <x:f>Controls!$B$55</x:f>
        <x:v>2</x:v>
      </x:c>
      <x:c r="E12" s="95"/>
      <x:c r="F12" s="95"/>
      <x:c r="G12" s="95"/>
      <x:c r="H12" s="95"/>
    </x:row>
    <x:row r="13">
      <x:c r="A13" s="101" t="str">
        <x:v>Native originals</x:v>
      </x:c>
      <x:c r="B13" s="136" t="n">
        <x:v>2</x:v>
      </x:c>
      <x:c r="C13" s="102" t="n">
        <x:f>B13*Controls!$B$6</x:f>
        <x:v>24</x:v>
      </x:c>
      <x:c r="D13" s="102" t="n">
        <x:f>B13*(Controls!$B$15+Controls!$B$16*Controls!$B$8)</x:f>
        <x:v>52</x:v>
      </x:c>
      <x:c r="E13" s="95"/>
      <x:c r="F13" s="95"/>
      <x:c r="G13" s="95"/>
      <x:c r="H13" s="95"/>
    </x:row>
    <x:row r="14">
      <x:c r="A14" s="101" t="str">
        <x:v>Non-origin campuses</x:v>
      </x:c>
      <x:c r="B14" s="136" t="n">
        <x:v>2</x:v>
      </x:c>
      <x:c r="C14" s="102" t="n">
        <x:f>B14*Controls!$B$6</x:f>
        <x:v>24</x:v>
      </x:c>
      <x:c r="D14" s="102" t="n">
        <x:f>B14*(Controls!$B$15+Controls!$B$16*Controls!$B$8)</x:f>
        <x:v>52</x:v>
      </x:c>
      <x:c r="E14" s="95"/>
      <x:c r="F14" s="95"/>
      <x:c r="G14" s="95"/>
      <x:c r="H14" s="95"/>
    </x:row>
    <x:row r="15">
      <x:c r="A15" s="104" t="str">
        <x:v>Replay decisions</x:v>
      </x:c>
      <x:c r="B15" s="138" t="n">
        <x:v>24</x:v>
      </x:c>
      <x:c r="C15" s="149" t="n">
        <x:f>B15*Controls!$B$6</x:f>
        <x:v>288</x:v>
      </x:c>
      <x:c r="D15" s="149" t="n">
        <x:f>B15*(Controls!$B$15+Controls!$B$16*Controls!$B$8)</x:f>
        <x:v>624</x:v>
      </x:c>
      <x:c r="E15" s="95"/>
      <x:c r="F15" s="95"/>
      <x:c r="G15" s="95"/>
      <x:c r="H15" s="9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.779999732971191" hidden="0" customWidth="1"/>
    <x:col min="3" max="3" width="13.32999992370605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3.329999923706055" hidden="0" customWidth="1"/>
    <x:col min="9" max="9" width="13.329999923706055" hidden="0" customWidth="1"/>
  </x:cols>
  <x:sheetData>
    <x:row r="2">
      <x:c r="A2" s="94" t="str">
        <x:v>Root, rig, campus and treatment decisions</x:v>
      </x:c>
      <x:c r="B2" s="95"/>
      <x:c r="C2" s="95"/>
      <x:c r="D2" s="95"/>
      <x:c r="E2" s="95"/>
      <x:c r="F2" s="95"/>
      <x:c r="G2" s="95"/>
      <x:c r="H2" s="95"/>
      <x:c r="I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</x:row>
    <x:row r="4">
      <x:c r="A4" s="97" t="str">
        <x:v>All decision inputs begin blank. National qualification cannot replace a missing exact decision with an average.</x:v>
      </x:c>
      <x:c r="B4" s="95"/>
      <x:c r="C4" s="95"/>
      <x:c r="D4" s="95"/>
      <x:c r="E4" s="95"/>
      <x:c r="F4" s="95"/>
      <x:c r="G4" s="95"/>
      <x:c r="H4" s="95"/>
      <x:c r="I4" s="95"/>
    </x:row>
    <x:row r="5">
      <x:c r="A5" s="9" t="str">
        <x:v>Decision ID</x:v>
      </x:c>
      <x:c r="B5" s="10" t="str">
        <x:v>Level</x:v>
      </x:c>
      <x:c r="C5" s="10" t="str">
        <x:v>Subject</x:v>
      </x:c>
      <x:c r="D5" s="10" t="str">
        <x:v>Required credits</x:v>
      </x:c>
      <x:c r="E5" s="10" t="str">
        <x:v>Required returns</x:v>
      </x:c>
      <x:c r="F5" s="10" t="str">
        <x:v>Required contrasts</x:v>
      </x:c>
      <x:c r="G5" s="10" t="str">
        <x:v>Observed credits</x:v>
      </x:c>
      <x:c r="H5" s="10" t="str">
        <x:v>Decision input</x:v>
      </x:c>
      <x:c r="I5" s="11" t="str">
        <x:v>State</x:v>
      </x:c>
    </x:row>
    <x:row r="6">
      <x:c r="A6" s="98" t="str">
        <x:v>RC-1</x:v>
      </x:c>
      <x:c r="B6" s="98" t="str">
        <x:v>ROOT CONTRAST</x:v>
      </x:c>
      <x:c r="C6" s="98" t="str">
        <x:v>S0</x:v>
      </x:c>
      <x:c r="D6" s="111" t="n">
        <x:v>2</x:v>
      </x:c>
      <x:c r="E6" s="111" t="n">
        <x:v>2</x:v>
      </x:c>
      <x:c r="F6" s="111" t="n">
        <x:v>1</x:v>
      </x:c>
      <x:c r="G6" s="114" t="n">
        <x:f>COUNTIFS('Cell Ledger'!$B$6:$B$17,C6,'Cell Ledger'!$J$6:$J$17,"CREDITED")</x:f>
        <x:v>0</x:v>
      </x:c>
      <x:c r="H6" s="135" t="str"/>
      <x:c r="I6" s="98" t="str">
        <x:f>IF(H6="","OPEN",IF(AND(H6="ACCEPTED",G6=D6),"ACCEPTED",IF(H6="ADVERSE","ADVERSE","INCOMPLETE")))</x:f>
        <x:v>OPEN</x:v>
      </x:c>
    </x:row>
    <x:row r="7">
      <x:c r="A7" s="101" t="str">
        <x:v>RC-2</x:v>
      </x:c>
      <x:c r="B7" s="101" t="str">
        <x:v>ROOT CONTRAST</x:v>
      </x:c>
      <x:c r="C7" s="101" t="str">
        <x:v>S1</x:v>
      </x:c>
      <x:c r="D7" s="112" t="n">
        <x:v>2</x:v>
      </x:c>
      <x:c r="E7" s="112" t="n">
        <x:v>2</x:v>
      </x:c>
      <x:c r="F7" s="112" t="n">
        <x:v>1</x:v>
      </x:c>
      <x:c r="G7" s="117" t="n">
        <x:f>COUNTIFS('Cell Ledger'!$B$6:$B$17,C7,'Cell Ledger'!$J$6:$J$17,"CREDITED")</x:f>
        <x:v>0</x:v>
      </x:c>
      <x:c r="H7" s="137" t="str"/>
      <x:c r="I7" s="101" t="str">
        <x:f>IF(H7="","OPEN",IF(AND(H7="ACCEPTED",G7=D7),"ACCEPTED",IF(H7="ADVERSE","ADVERSE","INCOMPLETE")))</x:f>
        <x:v>OPEN</x:v>
      </x:c>
    </x:row>
    <x:row r="8">
      <x:c r="A8" s="101" t="str">
        <x:v>RC-3</x:v>
      </x:c>
      <x:c r="B8" s="101" t="str">
        <x:v>ROOT CONTRAST</x:v>
      </x:c>
      <x:c r="C8" s="101" t="str">
        <x:v>S2</x:v>
      </x:c>
      <x:c r="D8" s="112" t="n">
        <x:v>2</x:v>
      </x:c>
      <x:c r="E8" s="112" t="n">
        <x:v>2</x:v>
      </x:c>
      <x:c r="F8" s="112" t="n">
        <x:v>1</x:v>
      </x:c>
      <x:c r="G8" s="117" t="n">
        <x:f>COUNTIFS('Cell Ledger'!$B$6:$B$17,C8,'Cell Ledger'!$J$6:$J$17,"CREDITED")</x:f>
        <x:v>0</x:v>
      </x:c>
      <x:c r="H8" s="137" t="str"/>
      <x:c r="I8" s="101" t="str">
        <x:f>IF(H8="","OPEN",IF(AND(H8="ACCEPTED",G8=D8),"ACCEPTED",IF(H8="ADVERSE","ADVERSE","INCOMPLETE")))</x:f>
        <x:v>OPEN</x:v>
      </x:c>
    </x:row>
    <x:row r="9">
      <x:c r="A9" s="101" t="str">
        <x:v>RC-4</x:v>
      </x:c>
      <x:c r="B9" s="101" t="str">
        <x:v>ROOT CONTRAST</x:v>
      </x:c>
      <x:c r="C9" s="101" t="str">
        <x:v>S3</x:v>
      </x:c>
      <x:c r="D9" s="112" t="n">
        <x:v>2</x:v>
      </x:c>
      <x:c r="E9" s="112" t="n">
        <x:v>2</x:v>
      </x:c>
      <x:c r="F9" s="112" t="n">
        <x:v>1</x:v>
      </x:c>
      <x:c r="G9" s="117" t="n">
        <x:f>COUNTIFS('Cell Ledger'!$B$6:$B$17,C9,'Cell Ledger'!$J$6:$J$17,"CREDITED")</x:f>
        <x:v>0</x:v>
      </x:c>
      <x:c r="H9" s="137" t="str"/>
      <x:c r="I9" s="101" t="str">
        <x:f>IF(H9="","OPEN",IF(AND(H9="ACCEPTED",G9=D9),"ACCEPTED",IF(H9="ADVERSE","ADVERSE","INCOMPLETE")))</x:f>
        <x:v>OPEN</x:v>
      </x:c>
    </x:row>
    <x:row r="10">
      <x:c r="A10" s="101" t="str">
        <x:v>RC-5</x:v>
      </x:c>
      <x:c r="B10" s="101" t="str">
        <x:v>ROOT CONTRAST</x:v>
      </x:c>
      <x:c r="C10" s="101" t="str">
        <x:v>S4</x:v>
      </x:c>
      <x:c r="D10" s="112" t="n">
        <x:v>2</x:v>
      </x:c>
      <x:c r="E10" s="112" t="n">
        <x:v>2</x:v>
      </x:c>
      <x:c r="F10" s="112" t="n">
        <x:v>1</x:v>
      </x:c>
      <x:c r="G10" s="117" t="n">
        <x:f>COUNTIFS('Cell Ledger'!$B$6:$B$17,C10,'Cell Ledger'!$J$6:$J$17,"CREDITED")</x:f>
        <x:v>0</x:v>
      </x:c>
      <x:c r="H10" s="137" t="str"/>
      <x:c r="I10" s="101" t="str">
        <x:f>IF(H10="","OPEN",IF(AND(H10="ACCEPTED",G10=D10),"ACCEPTED",IF(H10="ADVERSE","ADVERSE","INCOMPLETE")))</x:f>
        <x:v>OPEN</x:v>
      </x:c>
    </x:row>
    <x:row r="11">
      <x:c r="A11" s="101" t="str">
        <x:v>RC-6</x:v>
      </x:c>
      <x:c r="B11" s="101" t="str">
        <x:v>ROOT CONTRAST</x:v>
      </x:c>
      <x:c r="C11" s="101" t="str">
        <x:v>S5</x:v>
      </x:c>
      <x:c r="D11" s="112" t="n">
        <x:v>2</x:v>
      </x:c>
      <x:c r="E11" s="112" t="n">
        <x:v>2</x:v>
      </x:c>
      <x:c r="F11" s="112" t="n">
        <x:v>1</x:v>
      </x:c>
      <x:c r="G11" s="117" t="n">
        <x:f>COUNTIFS('Cell Ledger'!$B$6:$B$17,C11,'Cell Ledger'!$J$6:$J$17,"CREDITED")</x:f>
        <x:v>0</x:v>
      </x:c>
      <x:c r="H11" s="137" t="str"/>
      <x:c r="I11" s="101" t="str">
        <x:f>IF(H11="","OPEN",IF(AND(H11="ACCEPTED",G11=D11),"ACCEPTED",IF(H11="ADVERSE","ADVERSE","INCOMPLETE")))</x:f>
        <x:v>OPEN</x:v>
      </x:c>
    </x:row>
    <x:row r="12">
      <x:c r="A12" s="101" t="str">
        <x:v>RG-1</x:v>
      </x:c>
      <x:c r="B12" s="101" t="str">
        <x:v>RIG</x:v>
      </x:c>
      <x:c r="C12" s="101" t="str">
        <x:v>S0</x:v>
      </x:c>
      <x:c r="D12" s="112" t="n">
        <x:v>2</x:v>
      </x:c>
      <x:c r="E12" s="112" t="n">
        <x:v>2</x:v>
      </x:c>
      <x:c r="F12" s="112" t="n">
        <x:v>1</x:v>
      </x:c>
      <x:c r="G12" s="117" t="n">
        <x:f>COUNTIFS('Cell Ledger'!$B$6:$B$17,C12,'Cell Ledger'!$J$6:$J$17,"CREDITED")</x:f>
        <x:v>0</x:v>
      </x:c>
      <x:c r="H12" s="137" t="str"/>
      <x:c r="I12" s="101" t="str">
        <x:f>IF(H12="","OPEN",IF(AND(H12="ACCEPTED",G12=D12),"ACCEPTED",IF(H12="ADVERSE","ADVERSE","INCOMPLETE")))</x:f>
        <x:v>OPEN</x:v>
      </x:c>
    </x:row>
    <x:row r="13">
      <x:c r="A13" s="101" t="str">
        <x:v>RG-2</x:v>
      </x:c>
      <x:c r="B13" s="101" t="str">
        <x:v>RIG</x:v>
      </x:c>
      <x:c r="C13" s="101" t="str">
        <x:v>S1</x:v>
      </x:c>
      <x:c r="D13" s="112" t="n">
        <x:v>2</x:v>
      </x:c>
      <x:c r="E13" s="112" t="n">
        <x:v>2</x:v>
      </x:c>
      <x:c r="F13" s="112" t="n">
        <x:v>1</x:v>
      </x:c>
      <x:c r="G13" s="117" t="n">
        <x:f>COUNTIFS('Cell Ledger'!$B$6:$B$17,C13,'Cell Ledger'!$J$6:$J$17,"CREDITED")</x:f>
        <x:v>0</x:v>
      </x:c>
      <x:c r="H13" s="137" t="str"/>
      <x:c r="I13" s="101" t="str">
        <x:f>IF(H13="","OPEN",IF(AND(H13="ACCEPTED",G13=D13),"ACCEPTED",IF(H13="ADVERSE","ADVERSE","INCOMPLETE")))</x:f>
        <x:v>OPEN</x:v>
      </x:c>
    </x:row>
    <x:row r="14">
      <x:c r="A14" s="101" t="str">
        <x:v>RG-3</x:v>
      </x:c>
      <x:c r="B14" s="101" t="str">
        <x:v>RIG</x:v>
      </x:c>
      <x:c r="C14" s="101" t="str">
        <x:v>S2</x:v>
      </x:c>
      <x:c r="D14" s="112" t="n">
        <x:v>2</x:v>
      </x:c>
      <x:c r="E14" s="112" t="n">
        <x:v>2</x:v>
      </x:c>
      <x:c r="F14" s="112" t="n">
        <x:v>1</x:v>
      </x:c>
      <x:c r="G14" s="117" t="n">
        <x:f>COUNTIFS('Cell Ledger'!$B$6:$B$17,C14,'Cell Ledger'!$J$6:$J$17,"CREDITED")</x:f>
        <x:v>0</x:v>
      </x:c>
      <x:c r="H14" s="137" t="str"/>
      <x:c r="I14" s="101" t="str">
        <x:f>IF(H14="","OPEN",IF(AND(H14="ACCEPTED",G14=D14),"ACCEPTED",IF(H14="ADVERSE","ADVERSE","INCOMPLETE")))</x:f>
        <x:v>OPEN</x:v>
      </x:c>
    </x:row>
    <x:row r="15">
      <x:c r="A15" s="101" t="str">
        <x:v>RG-4</x:v>
      </x:c>
      <x:c r="B15" s="101" t="str">
        <x:v>RIG</x:v>
      </x:c>
      <x:c r="C15" s="101" t="str">
        <x:v>S3</x:v>
      </x:c>
      <x:c r="D15" s="112" t="n">
        <x:v>2</x:v>
      </x:c>
      <x:c r="E15" s="112" t="n">
        <x:v>2</x:v>
      </x:c>
      <x:c r="F15" s="112" t="n">
        <x:v>1</x:v>
      </x:c>
      <x:c r="G15" s="117" t="n">
        <x:f>COUNTIFS('Cell Ledger'!$B$6:$B$17,C15,'Cell Ledger'!$J$6:$J$17,"CREDITED")</x:f>
        <x:v>0</x:v>
      </x:c>
      <x:c r="H15" s="137" t="str"/>
      <x:c r="I15" s="101" t="str">
        <x:f>IF(H15="","OPEN",IF(AND(H15="ACCEPTED",G15=D15),"ACCEPTED",IF(H15="ADVERSE","ADVERSE","INCOMPLETE")))</x:f>
        <x:v>OPEN</x:v>
      </x:c>
    </x:row>
    <x:row r="16">
      <x:c r="A16" s="101" t="str">
        <x:v>RG-5</x:v>
      </x:c>
      <x:c r="B16" s="101" t="str">
        <x:v>RIG</x:v>
      </x:c>
      <x:c r="C16" s="101" t="str">
        <x:v>S4</x:v>
      </x:c>
      <x:c r="D16" s="112" t="n">
        <x:v>2</x:v>
      </x:c>
      <x:c r="E16" s="112" t="n">
        <x:v>2</x:v>
      </x:c>
      <x:c r="F16" s="112" t="n">
        <x:v>1</x:v>
      </x:c>
      <x:c r="G16" s="117" t="n">
        <x:f>COUNTIFS('Cell Ledger'!$B$6:$B$17,C16,'Cell Ledger'!$J$6:$J$17,"CREDITED")</x:f>
        <x:v>0</x:v>
      </x:c>
      <x:c r="H16" s="137" t="str"/>
      <x:c r="I16" s="101" t="str">
        <x:f>IF(H16="","OPEN",IF(AND(H16="ACCEPTED",G16=D16),"ACCEPTED",IF(H16="ADVERSE","ADVERSE","INCOMPLETE")))</x:f>
        <x:v>OPEN</x:v>
      </x:c>
    </x:row>
    <x:row r="17">
      <x:c r="A17" s="101" t="str">
        <x:v>RG-6</x:v>
      </x:c>
      <x:c r="B17" s="101" t="str">
        <x:v>RIG</x:v>
      </x:c>
      <x:c r="C17" s="101" t="str">
        <x:v>S5</x:v>
      </x:c>
      <x:c r="D17" s="112" t="n">
        <x:v>2</x:v>
      </x:c>
      <x:c r="E17" s="112" t="n">
        <x:v>2</x:v>
      </x:c>
      <x:c r="F17" s="112" t="n">
        <x:v>1</x:v>
      </x:c>
      <x:c r="G17" s="117" t="n">
        <x:f>COUNTIFS('Cell Ledger'!$B$6:$B$17,C17,'Cell Ledger'!$J$6:$J$17,"CREDITED")</x:f>
        <x:v>0</x:v>
      </x:c>
      <x:c r="H17" s="137" t="str"/>
      <x:c r="I17" s="101" t="str">
        <x:f>IF(H17="","OPEN",IF(AND(H17="ACCEPTED",G17=D17),"ACCEPTED",IF(H17="ADVERSE","ADVERSE","INCOMPLETE")))</x:f>
        <x:v>OPEN</x:v>
      </x:c>
    </x:row>
    <x:row r="18">
      <x:c r="A18" s="101" t="str">
        <x:v>CP-1</x:v>
      </x:c>
      <x:c r="B18" s="101" t="str">
        <x:v>CAMPUS</x:v>
      </x:c>
      <x:c r="C18" s="101" t="str">
        <x:v>C1</x:v>
      </x:c>
      <x:c r="D18" s="112" t="n">
        <x:v>4</x:v>
      </x:c>
      <x:c r="E18" s="112" t="n">
        <x:v>4</x:v>
      </x:c>
      <x:c r="F18" s="112" t="n">
        <x:v>2</x:v>
      </x:c>
      <x:c r="G18" s="117" t="n">
        <x:f>COUNTIFS('Cell Ledger'!$D$6:$D$17,C18,'Cell Ledger'!$J$6:$J$17,"CREDITED")</x:f>
        <x:v>0</x:v>
      </x:c>
      <x:c r="H18" s="137" t="str"/>
      <x:c r="I18" s="101" t="str">
        <x:f>IF(H18="","OPEN",IF(AND(H18="ACCEPTED",G18=D18),"ACCEPTED",IF(H18="ADVERSE","ADVERSE","INCOMPLETE")))</x:f>
        <x:v>OPEN</x:v>
      </x:c>
    </x:row>
    <x:row r="19">
      <x:c r="A19" s="101" t="str">
        <x:v>CP-2</x:v>
      </x:c>
      <x:c r="B19" s="101" t="str">
        <x:v>CAMPUS</x:v>
      </x:c>
      <x:c r="C19" s="101" t="str">
        <x:v>C2</x:v>
      </x:c>
      <x:c r="D19" s="112" t="n">
        <x:v>4</x:v>
      </x:c>
      <x:c r="E19" s="112" t="n">
        <x:v>4</x:v>
      </x:c>
      <x:c r="F19" s="112" t="n">
        <x:v>2</x:v>
      </x:c>
      <x:c r="G19" s="117" t="n">
        <x:f>COUNTIFS('Cell Ledger'!$D$6:$D$17,C19,'Cell Ledger'!$J$6:$J$17,"CREDITED")</x:f>
        <x:v>0</x:v>
      </x:c>
      <x:c r="H19" s="137" t="str"/>
      <x:c r="I19" s="101" t="str">
        <x:f>IF(H19="","OPEN",IF(AND(H19="ACCEPTED",G19=D19),"ACCEPTED",IF(H19="ADVERSE","ADVERSE","INCOMPLETE")))</x:f>
        <x:v>OPEN</x:v>
      </x:c>
    </x:row>
    <x:row r="20">
      <x:c r="A20" s="101" t="str">
        <x:v>CP-3</x:v>
      </x:c>
      <x:c r="B20" s="101" t="str">
        <x:v>CAMPUS</x:v>
      </x:c>
      <x:c r="C20" s="101" t="str">
        <x:v>C3</x:v>
      </x:c>
      <x:c r="D20" s="112" t="n">
        <x:v>4</x:v>
      </x:c>
      <x:c r="E20" s="112" t="n">
        <x:v>4</x:v>
      </x:c>
      <x:c r="F20" s="112" t="n">
        <x:v>2</x:v>
      </x:c>
      <x:c r="G20" s="117" t="n">
        <x:f>COUNTIFS('Cell Ledger'!$D$6:$D$17,C20,'Cell Ledger'!$J$6:$J$17,"CREDITED")</x:f>
        <x:v>0</x:v>
      </x:c>
      <x:c r="H20" s="137" t="str"/>
      <x:c r="I20" s="101" t="str">
        <x:f>IF(H20="","OPEN",IF(AND(H20="ACCEPTED",G20=D20),"ACCEPTED",IF(H20="ADVERSE","ADVERSE","INCOMPLETE")))</x:f>
        <x:v>OPEN</x:v>
      </x:c>
    </x:row>
    <x:row r="21">
      <x:c r="A21" s="104" t="str">
        <x:v>TR-AM05</x:v>
      </x:c>
      <x:c r="B21" s="104" t="str">
        <x:v>TREATMENT</x:v>
      </x:c>
      <x:c r="C21" s="104" t="str">
        <x:v>AM-05 QE-03</x:v>
      </x:c>
      <x:c r="D21" s="113" t="n">
        <x:v>12</x:v>
      </x:c>
      <x:c r="E21" s="113" t="n">
        <x:v>12</x:v>
      </x:c>
      <x:c r="F21" s="113" t="n">
        <x:v>6</x:v>
      </x:c>
      <x:c r="G21" s="120" t="n">
        <x:f>COUNTIFS('Cell Ledger'!$J$6:$J$17,"CREDITED")</x:f>
        <x:v>0</x:v>
      </x:c>
      <x:c r="H21" s="139" t="str"/>
      <x:c r="I21" s="104" t="str">
        <x:f>IF(H21="","OPEN",IF(AND(H21="ACCEPTED",G21=D21),"ACCEPTED",IF(H21="ADVERSE","ADVERSE","INCOMPLETE")))</x:f>
        <x:v>OPEN</x:v>
      </x:c>
    </x:row>
  </x:sheetData>
  <x:dataValidations count="1">
    <x:dataValidation type="list" sqref="H6:H21">
      <x:formula1>"ACCEPTED,ADVERSE"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4.4399995803833" hidden="0" customWidth="1"/>
  </x:cols>
  <x:sheetData>
    <x:row r="2">
      <x:c r="A2" s="94" t="str">
        <x:v>Fixed class source accounts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Invalid attempts remain in class sums. Twelve credits define the limits; reserve activation creates no new allowance.</x:v>
      </x:c>
      <x:c r="B4" s="95"/>
      <x:c r="C4" s="95"/>
      <x:c r="D4" s="95"/>
      <x:c r="E4" s="95"/>
      <x:c r="F4" s="95"/>
      <x:c r="G4" s="95"/>
      <x:c r="H4" s="95"/>
    </x:row>
    <x:row r="5">
      <x:c r="A5" s="9" t="str">
        <x:v>Account</x:v>
      </x:c>
      <x:c r="B5" s="10" t="str">
        <x:v>Per-credit limit</x:v>
      </x:c>
      <x:c r="C5" s="10" t="str">
        <x:v>Class limit</x:v>
      </x:c>
      <x:c r="D5" s="10" t="str">
        <x:v>Observed across issued attempts</x:v>
      </x:c>
      <x:c r="E5" s="11" t="str">
        <x:v>State</x:v>
      </x:c>
      <x:c r="F5" s="95"/>
      <x:c r="G5" s="95"/>
      <x:c r="H5" s="95"/>
    </x:row>
    <x:row r="6">
      <x:c r="A6" s="98" t="str">
        <x:v>Environmental source kg</x:v>
      </x:c>
      <x:c r="B6" s="129" t="n">
        <x:v>0.25</x:v>
      </x:c>
      <x:c r="C6" s="115" t="n">
        <x:f>B6*Controls!$B$6</x:f>
        <x:v>3</x:v>
      </x:c>
      <x:c r="D6" s="115" t="str">
        <x:f>IF(COUNTIFS('Attempt Register'!$F$6:$F$31,"Y")=0,"n.a.",SUM('Attempt Register'!$I$6:$I$31))</x:f>
        <x:v>n.a.</x:v>
      </x:c>
      <x:c r="E6" s="146" t="str">
        <x:f>IF(D6="n.a.","OPEN",IF(D6&lt;=C6,"WITHIN LIMIT","EXCEEDED"))</x:f>
        <x:v>OPEN</x:v>
      </x:c>
      <x:c r="F6" s="95"/>
      <x:c r="G6" s="95"/>
      <x:c r="H6" s="95"/>
    </x:row>
    <x:row r="7">
      <x:c r="A7" s="104" t="str">
        <x:v>Unaccounted source kg</x:v>
      </x:c>
      <x:c r="B7" s="150" t="n">
        <x:v>1.875</x:v>
      </x:c>
      <x:c r="C7" s="121" t="n">
        <x:f>B7*Controls!$B$6</x:f>
        <x:v>22.5</x:v>
      </x:c>
      <x:c r="D7" s="121" t="str">
        <x:f>IF(COUNTIFS('Attempt Register'!$F$6:$F$31,"Y")=0,"n.a.",SUM('Attempt Register'!$J$6:$J$31))</x:f>
        <x:v>n.a.</x:v>
      </x:c>
      <x:c r="E7" s="148" t="str">
        <x:f>IF(D7="n.a.","OPEN",IF(D7&lt;=C7,"WITHIN LIMIT","EXCEEDED"))</x:f>
        <x:v>OPEN</x:v>
      </x:c>
      <x:c r="F7" s="95"/>
      <x:c r="G7" s="95"/>
      <x:c r="H7" s="95"/>
    </x:row>
    <x:row r="8">
      <x:c r="A8" s="95"/>
      <x:c r="B8" s="95"/>
      <x:c r="C8" s="95"/>
      <x:c r="D8" s="95"/>
      <x:c r="E8" s="95"/>
      <x:c r="F8" s="95"/>
      <x:c r="G8" s="95"/>
      <x:c r="H8" s="95"/>
    </x:row>
    <x:row r="9">
      <x:c r="A9" s="95"/>
      <x:c r="B9" s="95"/>
      <x:c r="C9" s="95"/>
      <x:c r="D9" s="95"/>
      <x:c r="E9" s="95"/>
      <x:c r="F9" s="95"/>
      <x:c r="G9" s="95"/>
      <x:c r="H9" s="95"/>
    </x:row>
    <x:row r="10">
      <x:c r="A10" s="107" t="str">
        <x:v>Per-credit physical boundaries</x:v>
      </x:c>
      <x:c r="B10" s="107"/>
      <x:c r="C10" s="107"/>
      <x:c r="D10" s="107"/>
      <x:c r="E10" s="107"/>
      <x:c r="F10" s="107"/>
      <x:c r="G10" s="107"/>
      <x:c r="H10" s="107"/>
    </x:row>
    <x:row r="11">
      <x:c r="A11" s="9" t="str">
        <x:v>Boundary</x:v>
      </x:c>
      <x:c r="B11" s="10" t="str">
        <x:v>Limit</x:v>
      </x:c>
      <x:c r="C11" s="10" t="str">
        <x:v>Comparison</x:v>
      </x:c>
      <x:c r="D11" s="11" t="str">
        <x:v>Aggregation rule</x:v>
      </x:c>
      <x:c r="E11" s="95"/>
      <x:c r="F11" s="95"/>
      <x:c r="G11" s="95"/>
      <x:c r="H11" s="95"/>
    </x:row>
    <x:row r="12">
      <x:c r="A12" s="98" t="str">
        <x:v>Ancestry recovery</x:v>
      </x:c>
      <x:c r="B12" s="129" t="n">
        <x:v>0.995</x:v>
      </x:c>
      <x:c r="C12" s="98" t="str">
        <x:v>at least</x:v>
      </x:c>
      <x:c r="D12" s="98" t="str">
        <x:v>Every valid credit</x:v>
      </x:c>
      <x:c r="E12" s="95"/>
      <x:c r="F12" s="95"/>
      <x:c r="G12" s="95"/>
      <x:c r="H12" s="95"/>
    </x:row>
    <x:row r="13">
      <x:c r="A13" s="101" t="str">
        <x:v>Ancestry cross-talk</x:v>
      </x:c>
      <x:c r="B13" s="130" t="n">
        <x:v>0.005</x:v>
      </x:c>
      <x:c r="C13" s="101" t="str">
        <x:v>at most</x:v>
      </x:c>
      <x:c r="D13" s="101" t="str">
        <x:v>Every valid credit</x:v>
      </x:c>
      <x:c r="E13" s="95"/>
      <x:c r="F13" s="95"/>
      <x:c r="G13" s="95"/>
      <x:c r="H13" s="95"/>
    </x:row>
    <x:row r="14">
      <x:c r="A14" s="101" t="str">
        <x:v>Capture area m2</x:v>
      </x:c>
      <x:c r="B14" s="130" t="n">
        <x:v>5</x:v>
      </x:c>
      <x:c r="C14" s="101" t="str">
        <x:v>at most</x:v>
      </x:c>
      <x:c r="D14" s="101" t="str">
        <x:v>Every valid credit</x:v>
      </x:c>
      <x:c r="E14" s="95"/>
      <x:c r="F14" s="95"/>
      <x:c r="G14" s="95"/>
      <x:c r="H14" s="95"/>
    </x:row>
    <x:row r="15">
      <x:c r="A15" s="104" t="str">
        <x:v>Expanded mass uncertainty kg</x:v>
      </x:c>
      <x:c r="B15" s="150" t="n">
        <x:v>2.5</x:v>
      </x:c>
      <x:c r="C15" s="104" t="str">
        <x:v>at most</x:v>
      </x:c>
      <x:c r="D15" s="104" t="str">
        <x:v>Every valid credit</x:v>
      </x:c>
      <x:c r="E15" s="95"/>
      <x:c r="F15" s="95"/>
      <x:c r="G15" s="95"/>
      <x:c r="H15" s="95"/>
    </x:row>
  </x:sheetData>
  <x:conditionalFormatting sqref="E6:E7">
    <x:cfRule type="containsText" dxfId="7" priority="1" operator="containsText" text="EXCEED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3.329999923706055" hidden="0" customWidth="1"/>
    <x:col min="3" max="3" width="13.329999923706055" hidden="0" customWidth="1"/>
    <x:col min="4" max="4" width="30" hidden="0" customWidth="1"/>
    <x:col min="5" max="5" width="15.5600004196167" hidden="0" customWidth="1"/>
    <x:col min="6" max="6" width="31.110000610351562" hidden="0" customWidth="1"/>
  </x:cols>
  <x:sheetData>
    <x:row r="2">
      <x:c r="A2" s="94" t="str">
        <x:v>Class release and downstream boundary</x:v>
      </x:c>
      <x:c r="B2" s="95"/>
      <x:c r="C2" s="95"/>
      <x:c r="D2" s="95"/>
      <x:c r="E2" s="95"/>
      <x:c r="F2" s="95"/>
      <x:c r="G2" s="95"/>
      <x:c r="H2" s="95"/>
      <x:c r="I2" s="95"/>
    </x:row>
    <x:row r="3">
      <x:c r="A3" s="96"/>
      <x:c r="B3" s="96"/>
      <x:c r="C3" s="96"/>
      <x:c r="D3" s="96"/>
      <x:c r="E3" s="96"/>
      <x:c r="F3" s="96"/>
      <x:c r="G3" s="96"/>
      <x:c r="H3" s="96"/>
      <x:c r="I3" s="96"/>
    </x:row>
    <x:row r="4">
      <x:c r="A4" s="97" t="str">
        <x:v>Every state begins open or blocked. Planning checks cannot assert physical acceptance.</x:v>
      </x:c>
      <x:c r="B4" s="95"/>
      <x:c r="C4" s="95"/>
      <x:c r="D4" s="95"/>
      <x:c r="E4" s="95"/>
      <x:c r="F4" s="95"/>
      <x:c r="G4" s="95"/>
      <x:c r="H4" s="95"/>
      <x:c r="I4" s="95"/>
    </x:row>
    <x:row r="5">
      <x:c r="A5" s="9" t="str">
        <x:v>Decision</x:v>
      </x:c>
      <x:c r="B5" s="10" t="str">
        <x:v>Required count</x:v>
      </x:c>
      <x:c r="C5" s="10" t="str">
        <x:v>Observed count</x:v>
      </x:c>
      <x:c r="D5" s="10" t="str">
        <x:v>Additional condition</x:v>
      </x:c>
      <x:c r="E5" s="10" t="str">
        <x:v>State</x:v>
      </x:c>
      <x:c r="F5" s="11" t="str">
        <x:v>Maximum release</x:v>
      </x:c>
      <x:c r="G5" s="95"/>
      <x:c r="H5" s="95"/>
      <x:c r="I5" s="95"/>
    </x:row>
    <x:row r="6">
      <x:c r="A6" s="98" t="str">
        <x:v>Exact cell credits</x:v>
      </x:c>
      <x:c r="B6" s="98" t="n">
        <x:v>12</x:v>
      </x:c>
      <x:c r="C6" s="146" t="n">
        <x:f>COUNTIFS('Cell Ledger'!$J$6:$J$17,"CREDITED")</x:f>
        <x:v>0</x:v>
      </x:c>
      <x:c r="D6" s="98" t="str">
        <x:v>Complete return required before credit</x:v>
      </x:c>
      <x:c r="E6" s="98" t="str">
        <x:f>IF(C6=B6,"READY FOR BOARD","OPEN")</x:f>
        <x:v>OPEN</x:v>
      </x:c>
      <x:c r="F6" s="98" t="str">
        <x:v>Exact-cell record</x:v>
      </x:c>
      <x:c r="G6" s="95"/>
      <x:c r="H6" s="95"/>
      <x:c r="I6" s="95"/>
    </x:row>
    <x:row r="7">
      <x:c r="A7" s="101" t="str">
        <x:v>Returned issued attempts</x:v>
      </x:c>
      <x:c r="B7" s="101" t="n">
        <x:f>COUNTIFS('Attempt Register'!$F$6:$F$31,"Y")</x:f>
        <x:v>0</x:v>
      </x:c>
      <x:c r="C7" s="147" t="n">
        <x:f>COUNTIFS('Return Ledger'!$M$6:$M$31,"RETURNED")</x:f>
        <x:v>0</x:v>
      </x:c>
      <x:c r="D7" s="101" t="str">
        <x:v>Every issued attempt, not only twelve</x:v>
      </x:c>
      <x:c r="E7" s="101" t="str">
        <x:f>IF(B7=0,"OPEN",IF(C7=B7,"READY FOR BOARD","OPEN"))</x:f>
        <x:v>OPEN</x:v>
      </x:c>
      <x:c r="F7" s="101" t="str">
        <x:v>Pair availability</x:v>
      </x:c>
      <x:c r="G7" s="95"/>
      <x:c r="H7" s="95"/>
      <x:c r="I7" s="95"/>
    </x:row>
    <x:row r="8">
      <x:c r="A8" s="101" t="str">
        <x:v>Unlike-root contrasts</x:v>
      </x:c>
      <x:c r="B8" s="101" t="n">
        <x:v>6</x:v>
      </x:c>
      <x:c r="C8" s="147" t="n">
        <x:f>COUNTIFS(Inference!$B$6:$B$21,"ROOT CONTRAST",Inference!$I$6:$I$21,"ACCEPTED")</x:f>
        <x:v>0</x:v>
      </x:c>
      <x:c r="D8" s="101" t="str">
        <x:v>One per rig</x:v>
      </x:c>
      <x:c r="E8" s="101" t="str">
        <x:f>IF(C8=B8,"READY FOR BOARD","OPEN")</x:f>
        <x:v>OPEN</x:v>
      </x:c>
      <x:c r="F8" s="101" t="str">
        <x:v>Root decision</x:v>
      </x:c>
      <x:c r="G8" s="95"/>
      <x:c r="H8" s="95"/>
      <x:c r="I8" s="95"/>
    </x:row>
    <x:row r="9">
      <x:c r="A9" s="101" t="str">
        <x:v>Rig decisions</x:v>
      </x:c>
      <x:c r="B9" s="101" t="n">
        <x:v>6</x:v>
      </x:c>
      <x:c r="C9" s="147" t="n">
        <x:f>COUNTIFS(Inference!$B$6:$B$21,"RIG",Inference!$I$6:$I$21,"ACCEPTED")</x:f>
        <x:v>0</x:v>
      </x:c>
      <x:c r="D9" s="101" t="str">
        <x:v>Two cells, return and contrast</x:v>
      </x:c>
      <x:c r="E9" s="101" t="str">
        <x:f>IF(C9=B9,"READY FOR BOARD","OPEN")</x:f>
        <x:v>OPEN</x:v>
      </x:c>
      <x:c r="F9" s="101" t="str">
        <x:v>Rig decision</x:v>
      </x:c>
      <x:c r="G9" s="95"/>
      <x:c r="H9" s="95"/>
      <x:c r="I9" s="95"/>
    </x:row>
    <x:row r="10">
      <x:c r="A10" s="101" t="str">
        <x:v>Campus decisions</x:v>
      </x:c>
      <x:c r="B10" s="101" t="n">
        <x:v>3</x:v>
      </x:c>
      <x:c r="C10" s="147" t="n">
        <x:f>COUNTIFS(Inference!$B$6:$B$21,"CAMPUS",Inference!$I$6:$I$21,"ACCEPTED")</x:f>
        <x:v>0</x:v>
      </x:c>
      <x:c r="D10" s="101" t="str">
        <x:v>Four cells and all local packets</x:v>
      </x:c>
      <x:c r="E10" s="101" t="str">
        <x:f>IF(C10=B10,"READY FOR BOARD","OPEN")</x:f>
        <x:v>OPEN</x:v>
      </x:c>
      <x:c r="F10" s="101" t="str">
        <x:v>Campus decision</x:v>
      </x:c>
      <x:c r="G10" s="95"/>
      <x:c r="H10" s="95"/>
      <x:c r="I10" s="95"/>
    </x:row>
    <x:row r="11">
      <x:c r="A11" s="101" t="str">
        <x:v>AM-05 treatment decision</x:v>
      </x:c>
      <x:c r="B11" s="101" t="n">
        <x:v>1</x:v>
      </x:c>
      <x:c r="C11" s="147" t="n">
        <x:f>COUNTIFS(Inference!$B$6:$B$21,"TREATMENT",Inference!$I$6:$I$21,"ACCEPTED")</x:f>
        <x:v>0</x:v>
      </x:c>
      <x:c r="D11" s="101" t="str">
        <x:v>All twelve cells</x:v>
      </x:c>
      <x:c r="E11" s="101" t="str">
        <x:f>IF(C11=B11,"READY FOR BOARD","OPEN")</x:f>
        <x:v>OPEN</x:v>
      </x:c>
      <x:c r="F11" s="101" t="str">
        <x:v>Treatment decision</x:v>
      </x:c>
      <x:c r="G11" s="95"/>
      <x:c r="H11" s="95"/>
      <x:c r="I11" s="95"/>
    </x:row>
    <x:row r="12">
      <x:c r="A12" s="104" t="str">
        <x:v>QE-03 source-transfer class</x:v>
      </x:c>
      <x:c r="B12" s="104" t="n">
        <x:v>1</x:v>
      </x:c>
      <x:c r="C12" s="148" t="n">
        <x:f>IF(AND(C6=B6,C7=B7,B7&gt;=B6,C8=B8,C9=B9,C10=B10,C11=B11,'Class Budgets'!E6="WITHIN LIMIT",'Class Budgets'!E7="WITHIN LIMIT"),1,0)</x:f>
        <x:v>0</x:v>
      </x:c>
      <x:c r="D12" s="104" t="str">
        <x:v>Immutable class record and four authorities</x:v>
      </x:c>
      <x:c r="E12" s="104" t="str">
        <x:f>IF(C12=1,"READY FOR BOARD","BLOCKED")</x:f>
        <x:v>BLOCKED</x:v>
      </x:c>
      <x:c r="F12" s="104" t="str">
        <x:v>Constitute first AM-05 QE-04 event only</x:v>
      </x:c>
      <x:c r="G12" s="95"/>
      <x:c r="H12" s="95"/>
      <x:c r="I12" s="95"/>
    </x:row>
    <x:row r="13">
      <x:c r="A13" s="95"/>
      <x:c r="B13" s="95"/>
      <x:c r="C13" s="95"/>
      <x:c r="D13" s="95"/>
      <x:c r="E13" s="95"/>
      <x:c r="F13" s="95"/>
      <x:c r="G13" s="95"/>
      <x:c r="H13" s="95"/>
      <x:c r="I13" s="95"/>
    </x:row>
    <x:row r="14">
      <x:c r="A14" s="95"/>
      <x:c r="B14" s="95"/>
      <x:c r="C14" s="95"/>
      <x:c r="D14" s="95"/>
      <x:c r="E14" s="95"/>
      <x:c r="F14" s="95"/>
      <x:c r="G14" s="95"/>
      <x:c r="H14" s="95"/>
      <x:c r="I14" s="95"/>
    </x:row>
    <x:row r="15">
      <x:c r="A15" s="107" t="str">
        <x:v>Still prohibited</x:v>
      </x:c>
      <x:c r="B15" s="107"/>
      <x:c r="C15" s="107"/>
      <x:c r="D15" s="107"/>
      <x:c r="E15" s="107"/>
      <x:c r="F15" s="107"/>
      <x:c r="G15" s="107"/>
      <x:c r="H15" s="107"/>
      <x:c r="I15" s="107"/>
    </x:row>
    <x:row r="16">
      <x:c r="A16" s="95" t="str">
        <x:v>AM-06 QE-03</x:v>
      </x:c>
      <x:c r="B16" s="95" t="str">
        <x:v>No flame-state authority</x:v>
      </x:c>
      <x:c r="C16" s="95"/>
      <x:c r="D16" s="95"/>
      <x:c r="E16" s="95"/>
      <x:c r="F16" s="95"/>
      <x:c r="G16" s="95"/>
      <x:c r="H16" s="95"/>
      <x:c r="I16" s="95"/>
    </x:row>
    <x:row r="17">
      <x:c r="A17" s="95" t="str">
        <x:v>500 kg source issue</x:v>
      </x:c>
      <x:c r="B17" s="95" t="str">
        <x:v>RBE-1 must first constitute a new event</x:v>
      </x:c>
      <x:c r="C17" s="95"/>
      <x:c r="D17" s="95"/>
      <x:c r="E17" s="95"/>
      <x:c r="F17" s="95"/>
      <x:c r="G17" s="95"/>
      <x:c r="H17" s="95"/>
      <x:c r="I17" s="95"/>
    </x:row>
    <x:row r="18">
      <x:c r="A18" s="95" t="str">
        <x:v>150 mm route</x:v>
      </x:c>
      <x:c r="B18" s="95" t="str">
        <x:v>No transferred hydraulic authority</x:v>
      </x:c>
      <x:c r="C18" s="95"/>
      <x:c r="D18" s="95"/>
      <x:c r="E18" s="95"/>
      <x:c r="F18" s="95"/>
      <x:c r="G18" s="95"/>
      <x:c r="H18" s="95"/>
      <x:c r="I18" s="95"/>
    </x:row>
    <x:row r="19">
      <x:c r="A19" s="95" t="str">
        <x:v>Candidate comparison</x:v>
      </x:c>
      <x:c r="B19" s="95" t="str">
        <x:v>Reference-class evidence only</x:v>
      </x:c>
      <x:c r="C19" s="95"/>
      <x:c r="D19" s="95"/>
      <x:c r="E19" s="95"/>
      <x:c r="F19" s="95"/>
      <x:c r="G19" s="95"/>
      <x:c r="H19" s="95"/>
      <x:c r="I19" s="95"/>
    </x:row>
    <x:row r="20">
      <x:c r="A20" s="95" t="str">
        <x:v>Production or fleet procurement</x:v>
      </x:c>
      <x:c r="B20" s="95" t="str">
        <x:v>No production admission</x:v>
      </x:c>
      <x:c r="C20" s="95"/>
      <x:c r="D20" s="95"/>
      <x:c r="E20" s="95"/>
      <x:c r="F20" s="95"/>
      <x:c r="G20" s="95"/>
      <x:c r="H20" s="95"/>
      <x:c r="I20" s="95"/>
    </x:row>
    <x:row r="21">
      <x:c r="A21" s="95" t="str">
        <x:v>Exterior rendering</x:v>
      </x:c>
      <x:c r="B21" s="95" t="str">
        <x:v>First-principles research remains incomplete</x:v>
      </x:c>
      <x:c r="C21" s="95"/>
      <x:c r="D21" s="95"/>
      <x:c r="E21" s="95"/>
      <x:c r="F21" s="95"/>
      <x:c r="G21" s="95"/>
      <x:c r="H21" s="95"/>
      <x:c r="I21" s="95"/>
    </x:row>
  </x:sheetData>
  <x:conditionalFormatting sqref="E12:E12">
    <x:cfRule type="containsText" dxfId="8" priority="1" operator="containsText" text="BLOCK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10000610351562" hidden="0" customWidth="1"/>
    <x:col min="2" max="2" width="10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</x:cols>
  <x:sheetData>
    <x:row r="2">
      <x:c r="A2" s="94" t="str">
        <x:v>Mission-led technology portfolio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Novel capability is an explicit research program. No projected improvement changes the current 504-hour rule.</x:v>
      </x:c>
      <x:c r="B4" s="95"/>
      <x:c r="C4" s="95"/>
      <x:c r="D4" s="95"/>
      <x:c r="E4" s="95"/>
      <x:c r="F4" s="95"/>
      <x:c r="G4" s="95"/>
      <x:c r="H4" s="95"/>
    </x:row>
    <x:row r="5">
      <x:c r="A5" s="9" t="str">
        <x:v>Program</x:v>
      </x:c>
      <x:c r="B5" s="10" t="str">
        <x:v>USD M</x:v>
      </x:c>
      <x:c r="C5" s="10" t="str">
        <x:v>Required advance</x:v>
      </x:c>
      <x:c r="D5" s="10" t="str">
        <x:v>Current-class use</x:v>
      </x:c>
      <x:c r="E5" s="11" t="str">
        <x:v>Wider application</x:v>
      </x:c>
      <x:c r="F5" s="95"/>
      <x:c r="G5" s="95"/>
      <x:c r="H5" s="95"/>
    </x:row>
    <x:row r="6" ht="44" customHeight="1">
      <x:c r="A6" s="98" t="str">
        <x:v>Removable wetted-boundary cassette</x:v>
      </x:c>
      <x:c r="B6" s="151" t="n">
        <x:v>18</x:v>
      </x:c>
      <x:c r="C6" s="100" t="str">
        <x:v>Traceable exchange of route, receiver interface and contact surfaces</x:v>
      </x:c>
      <x:c r="D6" s="100" t="str">
        <x:v>Research only</x:v>
      </x:c>
      <x:c r="E6" s="100" t="str">
        <x:v>Rapid conveyance and chemical logistics</x:v>
      </x:c>
      <x:c r="F6" s="95"/>
      <x:c r="G6" s="95"/>
      <x:c r="H6" s="95"/>
    </x:row>
    <x:row r="7" ht="44" customHeight="1">
      <x:c r="A7" s="101" t="str">
        <x:v>Delayed-residue tomography</x:v>
      </x:c>
      <x:c r="B7" s="152" t="n">
        <x:v>14</x:v>
      </x:c>
      <x:c r="C7" s="103" t="str">
        <x:v>Observe retained ancestry through day fourteen</x:v>
      </x:c>
      <x:c r="D7" s="103" t="str">
        <x:v>Return evidence</x:v>
      </x:c>
      <x:c r="E7" s="103" t="str">
        <x:v>Floodwater and contaminated-port recovery</x:v>
      </x:c>
      <x:c r="F7" s="95"/>
      <x:c r="G7" s="95"/>
      <x:c r="H7" s="95"/>
    </x:row>
    <x:row r="8" ht="44" customHeight="1">
      <x:c r="A8" s="101" t="str">
        <x:v>Robotic recovery and cleanout</x:v>
      </x:c>
      <x:c r="B8" s="152" t="n">
        <x:v>12</x:v>
      </x:c>
      <x:c r="C8" s="103" t="str">
        <x:v>Recover source without erasing custody</x:v>
      </x:c>
      <x:c r="D8" s="103" t="str">
        <x:v>Work packages</x:v>
      </x:c>
      <x:c r="E8" s="103" t="str">
        <x:v>Hazardous infrastructure restoration</x:v>
      </x:c>
      <x:c r="F8" s="95"/>
      <x:c r="G8" s="95"/>
      <x:c r="H8" s="95"/>
    </x:row>
    <x:row r="9" ht="44" customHeight="1">
      <x:c r="A9" s="101" t="str">
        <x:v>Automated mass reconciliation</x:v>
      </x:c>
      <x:c r="B9" s="152" t="n">
        <x:v>12</x:v>
      </x:c>
      <x:c r="C9" s="103" t="str">
        <x:v>Bind causal terminal bins and uncertainty</x:v>
      </x:c>
      <x:c r="D9" s="103" t="str">
        <x:v>Event packet</x:v>
      </x:c>
      <x:c r="E9" s="103" t="str">
        <x:v>Fuel, water and waste systems</x:v>
      </x:c>
      <x:c r="F9" s="95"/>
      <x:c r="G9" s="95"/>
      <x:c r="H9" s="95"/>
    </x:row>
    <x:row r="10" ht="44" customHeight="1">
      <x:c r="A10" s="101" t="str">
        <x:v>Decontamination endpoint metrology</x:v>
      </x:c>
      <x:c r="B10" s="152" t="n">
        <x:v>12</x:v>
      </x:c>
      <x:c r="C10" s="103" t="str">
        <x:v>Separate clean state from measurement blindness</x:v>
      </x:c>
      <x:c r="D10" s="103" t="str">
        <x:v>New baseline</x:v>
      </x:c>
      <x:c r="E10" s="103" t="str">
        <x:v>Reusable response equipment</x:v>
      </x:c>
      <x:c r="F10" s="95"/>
      <x:c r="G10" s="95"/>
      <x:c r="H10" s="95"/>
    </x:row>
    <x:row r="11" ht="44" customHeight="1">
      <x:c r="A11" s="101" t="str">
        <x:v>Source-bank property stabilization</x:v>
      </x:c>
      <x:c r="B11" s="152" t="n">
        <x:v>12</x:v>
      </x:c>
      <x:c r="C11" s="103" t="str">
        <x:v>Preserve fluid properties and ancestry in storage</x:v>
      </x:c>
      <x:c r="D11" s="103" t="str">
        <x:v>Reserve bank</x:v>
      </x:c>
      <x:c r="E11" s="103" t="str">
        <x:v>National emergency stockpiles</x:v>
      </x:c>
      <x:c r="F11" s="95"/>
      <x:c r="G11" s="95"/>
      <x:c r="H11" s="95"/>
    </x:row>
    <x:row r="12" ht="44" customHeight="1">
      <x:c r="A12" s="101" t="str">
        <x:v>Distributed pressure-and-time originals</x:v>
      </x:c>
      <x:c r="B12" s="152" t="n">
        <x:v>10</x:v>
      </x:c>
      <x:c r="C12" s="103" t="str">
        <x:v>Retain transient state without networks</x:v>
      </x:c>
      <x:c r="D12" s="103" t="str">
        <x:v>Root contrast</x:v>
      </x:c>
      <x:c r="E12" s="103" t="str">
        <x:v>Damaged utility systems</x:v>
      </x:c>
      <x:c r="F12" s="95"/>
      <x:c r="G12" s="95"/>
      <x:c r="H12" s="95"/>
    </x:row>
    <x:row r="13" ht="44" customHeight="1">
      <x:c r="A13" s="101" t="str">
        <x:v>Contamination-aware schedule compiler</x:v>
      </x:c>
      <x:c r="B13" s="152" t="n">
        <x:v>10</x:v>
      </x:c>
      <x:c r="C13" s="103" t="str">
        <x:v>Join cell, rig, package and return history</x:v>
      </x:c>
      <x:c r="D13" s="103" t="str">
        <x:v>Actual sequence</x:v>
      </x:c>
      <x:c r="E13" s="103" t="str">
        <x:v>Fleet regeneration</x:v>
      </x:c>
      <x:c r="F13" s="95"/>
      <x:c r="G13" s="95"/>
      <x:c r="H13" s="95"/>
    </x:row>
    <x:row r="14" ht="44" customHeight="1">
      <x:c r="A14" s="101" t="str">
        <x:v>Portable outside-origin replay</x:v>
      </x:c>
      <x:c r="B14" s="152" t="n">
        <x:v>8</x:v>
      </x:c>
      <x:c r="C14" s="103" t="str">
        <x:v>Reproduce packets without origin services</x:v>
      </x:c>
      <x:c r="D14" s="103" t="str">
        <x:v>Transfer decision</x:v>
      </x:c>
      <x:c r="E14" s="103" t="str">
        <x:v>Interstate and allied assurance</x:v>
      </x:c>
      <x:c r="F14" s="95"/>
      <x:c r="G14" s="95"/>
      <x:c r="H14" s="95"/>
    </x:row>
    <x:row r="15" ht="44" customHeight="1">
      <x:c r="A15" s="101" t="str">
        <x:v>Robotic waste characterization</x:v>
      </x:c>
      <x:c r="B15" s="152" t="n">
        <x:v>6</x:v>
      </x:c>
      <x:c r="C15" s="103" t="str">
        <x:v>Assign residue ancestry and destination</x:v>
      </x:c>
      <x:c r="D15" s="103" t="str">
        <x:v>Custody</x:v>
      </x:c>
      <x:c r="E15" s="103" t="str">
        <x:v>Fire and flood debris systems</x:v>
      </x:c>
      <x:c r="F15" s="95"/>
      <x:c r="G15" s="95"/>
      <x:c r="H15" s="95"/>
    </x:row>
    <x:row r="16" ht="44" customHeight="1">
      <x:c r="A16" s="104" t="str">
        <x:v>Executable class safety case</x:v>
      </x:c>
      <x:c r="B16" s="153" t="n">
        <x:v>6</x:v>
      </x:c>
      <x:c r="C16" s="106" t="str">
        <x:v>Compile attempts, transitions and authority</x:v>
      </x:c>
      <x:c r="D16" s="106" t="str">
        <x:v>Final decision</x:v>
      </x:c>
      <x:c r="E16" s="106" t="str">
        <x:v>Public qualification systems</x:v>
      </x:c>
      <x:c r="F16" s="95"/>
      <x:c r="G16" s="95"/>
      <x:c r="H16" s="95"/>
    </x:row>
    <x:row r="17">
      <x:c r="A17" s="154" t="str">
        <x:v>Total</x:v>
      </x:c>
      <x:c r="B17" s="155" t="n">
        <x:f>SUM(B6:B16)</x:f>
        <x:v>120</x:v>
      </x:c>
      <x:c r="C17" s="95"/>
      <x:c r="D17" s="95"/>
      <x:c r="E17" s="95"/>
      <x:c r="F17" s="95"/>
      <x:c r="G17" s="95"/>
      <x:c r="H17" s="9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13.890000343322754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</x:cols>
  <x:sheetData>
    <x:row r="2">
      <x:c r="A2" s="94" t="str">
        <x:v>RBD-1 finance and parent reconciliation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USD millions. Technology is cross-classified and is not added to stage exposure.</x:v>
      </x:c>
      <x:c r="B4" s="95"/>
      <x:c r="C4" s="95"/>
      <x:c r="D4" s="95"/>
      <x:c r="E4" s="95"/>
      <x:c r="F4" s="95"/>
      <x:c r="G4" s="95"/>
      <x:c r="H4" s="95"/>
    </x:row>
    <x:row r="5">
      <x:c r="A5" s="9" t="str">
        <x:v>Capital object</x:v>
      </x:c>
      <x:c r="B5" s="11" t="str">
        <x:v>USD M</x:v>
      </x:c>
      <x:c r="C5" s="95"/>
      <x:c r="D5" s="95"/>
      <x:c r="E5" s="95"/>
      <x:c r="F5" s="95"/>
      <x:c r="G5" s="95"/>
      <x:c r="H5" s="95"/>
    </x:row>
    <x:row r="6">
      <x:c r="A6" s="98" t="str">
        <x:v>Six certified return lanes</x:v>
      </x:c>
      <x:c r="B6" s="156" t="n">
        <x:v>12</x:v>
      </x:c>
      <x:c r="C6" s="95"/>
      <x:c r="D6" s="95"/>
      <x:c r="E6" s="95"/>
      <x:c r="F6" s="95"/>
      <x:c r="G6" s="95"/>
      <x:c r="H6" s="95"/>
    </x:row>
    <x:row r="7">
      <x:c r="A7" s="101" t="str">
        <x:v>Source bank and preparation laboratories</x:v>
      </x:c>
      <x:c r="B7" s="157" t="n">
        <x:v>8</x:v>
      </x:c>
      <x:c r="C7" s="95"/>
      <x:c r="D7" s="95"/>
      <x:c r="E7" s="95"/>
      <x:c r="F7" s="95"/>
      <x:c r="G7" s="95"/>
      <x:c r="H7" s="95"/>
    </x:row>
    <x:row r="8">
      <x:c r="A8" s="101" t="str">
        <x:v>Evidence storage, ingest and replay</x:v>
      </x:c>
      <x:c r="B8" s="157" t="n">
        <x:v>7</x:v>
      </x:c>
      <x:c r="C8" s="95"/>
      <x:c r="D8" s="95"/>
      <x:c r="E8" s="95"/>
      <x:c r="F8" s="95"/>
      <x:c r="G8" s="95"/>
      <x:c r="H8" s="95"/>
    </x:row>
    <x:row r="9">
      <x:c r="A9" s="101" t="str">
        <x:v>Wet-boundary spares and fixtures</x:v>
      </x:c>
      <x:c r="B9" s="157" t="n">
        <x:v>6</x:v>
      </x:c>
      <x:c r="C9" s="95"/>
      <x:c r="D9" s="95"/>
      <x:c r="E9" s="95"/>
      <x:c r="F9" s="95"/>
      <x:c r="G9" s="95"/>
      <x:c r="H9" s="95"/>
    </x:row>
    <x:row r="10">
      <x:c r="A10" s="101" t="str">
        <x:v>Environment, waste and robotic recovery</x:v>
      </x:c>
      <x:c r="B10" s="157" t="n">
        <x:v>6</x:v>
      </x:c>
      <x:c r="C10" s="95"/>
      <x:c r="D10" s="95"/>
      <x:c r="E10" s="95"/>
      <x:c r="F10" s="95"/>
      <x:c r="G10" s="95"/>
      <x:c r="H10" s="95"/>
    </x:row>
    <x:row r="11">
      <x:c r="A11" s="101" t="str">
        <x:v>Schedule, identity and causal-time systems</x:v>
      </x:c>
      <x:c r="B11" s="157" t="n">
        <x:v>4</x:v>
      </x:c>
      <x:c r="C11" s="95"/>
      <x:c r="D11" s="95"/>
      <x:c r="E11" s="95"/>
      <x:c r="F11" s="95"/>
      <x:c r="G11" s="95"/>
      <x:c r="H11" s="95"/>
    </x:row>
    <x:row r="12">
      <x:c r="A12" s="101" t="str">
        <x:v>Training and relief facilities</x:v>
      </x:c>
      <x:c r="B12" s="157" t="n">
        <x:v>3</x:v>
      </x:c>
      <x:c r="C12" s="95"/>
      <x:c r="D12" s="95"/>
      <x:c r="E12" s="95"/>
      <x:c r="F12" s="95"/>
      <x:c r="G12" s="95"/>
      <x:c r="H12" s="95"/>
    </x:row>
    <x:row r="13">
      <x:c r="A13" s="101" t="str">
        <x:v>Independent board facilities</x:v>
      </x:c>
      <x:c r="B13" s="157" t="n">
        <x:v>2</x:v>
      </x:c>
      <x:c r="C13" s="95"/>
      <x:c r="D13" s="95"/>
      <x:c r="E13" s="95"/>
      <x:c r="F13" s="95"/>
      <x:c r="G13" s="95"/>
      <x:c r="H13" s="95"/>
    </x:row>
    <x:row r="14">
      <x:c r="A14" s="101" t="str">
        <x:v>Reserve metrology hardware</x:v>
      </x:c>
      <x:c r="B14" s="157" t="n">
        <x:v>2</x:v>
      </x:c>
      <x:c r="C14" s="95"/>
      <x:c r="D14" s="95"/>
      <x:c r="E14" s="95"/>
      <x:c r="F14" s="95"/>
      <x:c r="G14" s="95"/>
      <x:c r="H14" s="95"/>
    </x:row>
    <x:row r="15">
      <x:c r="A15" s="158" t="str">
        <x:v>Controlled contingency</x:v>
      </x:c>
      <x:c r="B15" s="159" t="n">
        <x:v>2</x:v>
      </x:c>
      <x:c r="C15" s="95"/>
      <x:c r="D15" s="95"/>
      <x:c r="E15" s="95"/>
      <x:c r="F15" s="95"/>
      <x:c r="G15" s="95"/>
      <x:c r="H15" s="95"/>
    </x:row>
    <x:row r="16">
      <x:c r="A16" s="104" t="str">
        <x:v>Capital total</x:v>
      </x:c>
      <x:c r="B16" s="160" t="n">
        <x:f>SUM(B6:B15)</x:f>
        <x:v>52</x:v>
      </x:c>
      <x:c r="C16" s="95"/>
      <x:c r="D16" s="95"/>
      <x:c r="E16" s="95"/>
      <x:c r="F16" s="95"/>
      <x:c r="G16" s="95"/>
      <x:c r="H16" s="95"/>
    </x:row>
    <x:row r="17">
      <x:c r="A17" s="95"/>
      <x:c r="B17" s="161"/>
      <x:c r="C17" s="95"/>
      <x:c r="D17" s="95"/>
      <x:c r="E17" s="95"/>
      <x:c r="F17" s="95"/>
      <x:c r="G17" s="95"/>
      <x:c r="H17" s="95"/>
    </x:row>
    <x:row r="18">
      <x:c r="A18" s="107" t="str">
        <x:v>Annual support</x:v>
      </x:c>
      <x:c r="B18" s="162"/>
      <x:c r="C18" s="107"/>
      <x:c r="D18" s="107"/>
      <x:c r="E18" s="107"/>
      <x:c r="F18" s="107"/>
      <x:c r="G18" s="107"/>
      <x:c r="H18" s="107"/>
    </x:row>
    <x:row r="19">
      <x:c r="A19" s="9" t="str">
        <x:v>Support object</x:v>
      </x:c>
      <x:c r="B19" s="85" t="str">
        <x:v>USD M/year</x:v>
      </x:c>
      <x:c r="C19" s="95"/>
      <x:c r="D19" s="95"/>
      <x:c r="E19" s="95"/>
      <x:c r="F19" s="95"/>
      <x:c r="G19" s="95"/>
      <x:c r="H19" s="95"/>
    </x:row>
    <x:row r="20">
      <x:c r="A20" s="98" t="str">
        <x:v>Two event units</x:v>
      </x:c>
      <x:c r="B20" s="156" t="n">
        <x:v>4</x:v>
      </x:c>
      <x:c r="C20" s="95"/>
      <x:c r="D20" s="95"/>
      <x:c r="E20" s="95"/>
      <x:c r="F20" s="95"/>
      <x:c r="G20" s="95"/>
      <x:c r="H20" s="95"/>
    </x:row>
    <x:row r="21">
      <x:c r="A21" s="101" t="str">
        <x:v>Regeneration, environment and waste</x:v>
      </x:c>
      <x:c r="B21" s="157" t="n">
        <x:v>3</x:v>
      </x:c>
      <x:c r="C21" s="95"/>
      <x:c r="D21" s="95"/>
      <x:c r="E21" s="95"/>
      <x:c r="F21" s="95"/>
      <x:c r="G21" s="95"/>
      <x:c r="H21" s="95"/>
    </x:row>
    <x:row r="22">
      <x:c r="A22" s="101" t="str">
        <x:v>Source custody and laboratories</x:v>
      </x:c>
      <x:c r="B22" s="157" t="n">
        <x:v>2</x:v>
      </x:c>
      <x:c r="C22" s="95"/>
      <x:c r="D22" s="95"/>
      <x:c r="E22" s="95"/>
      <x:c r="F22" s="95"/>
      <x:c r="G22" s="95"/>
      <x:c r="H22" s="95"/>
    </x:row>
    <x:row r="23">
      <x:c r="A23" s="101" t="str">
        <x:v>Evidence and replay</x:v>
      </x:c>
      <x:c r="B23" s="157" t="n">
        <x:v>2</x:v>
      </x:c>
      <x:c r="C23" s="95"/>
      <x:c r="D23" s="95"/>
      <x:c r="E23" s="95"/>
      <x:c r="F23" s="95"/>
      <x:c r="G23" s="95"/>
      <x:c r="H23" s="95"/>
    </x:row>
    <x:row r="24">
      <x:c r="A24" s="101" t="str">
        <x:v>Schedule, safety and records</x:v>
      </x:c>
      <x:c r="B24" s="157" t="n">
        <x:v>1.5</x:v>
      </x:c>
      <x:c r="C24" s="95"/>
      <x:c r="D24" s="95"/>
      <x:c r="E24" s="95"/>
      <x:c r="F24" s="95"/>
      <x:c r="G24" s="95"/>
      <x:c r="H24" s="95"/>
    </x:row>
    <x:row r="25">
      <x:c r="A25" s="101" t="str">
        <x:v>Training and relief</x:v>
      </x:c>
      <x:c r="B25" s="157" t="n">
        <x:v>1</x:v>
      </x:c>
      <x:c r="C25" s="95"/>
      <x:c r="D25" s="95"/>
      <x:c r="E25" s="95"/>
      <x:c r="F25" s="95"/>
      <x:c r="G25" s="95"/>
      <x:c r="H25" s="95"/>
    </x:row>
    <x:row r="26">
      <x:c r="A26" s="101" t="str">
        <x:v>Independent boards</x:v>
      </x:c>
      <x:c r="B26" s="157" t="n">
        <x:v>0.5</x:v>
      </x:c>
      <x:c r="C26" s="95"/>
      <x:c r="D26" s="95"/>
      <x:c r="E26" s="95"/>
      <x:c r="F26" s="95"/>
      <x:c r="G26" s="95"/>
      <x:c r="H26" s="95"/>
    </x:row>
    <x:row r="27">
      <x:c r="A27" s="104" t="str">
        <x:v>Annual support total</x:v>
      </x:c>
      <x:c r="B27" s="160" t="n">
        <x:f>SUM(B20:B26)</x:f>
        <x:v>14</x:v>
      </x:c>
      <x:c r="C27" s="95"/>
      <x:c r="D27" s="95"/>
      <x:c r="E27" s="95"/>
      <x:c r="F27" s="95"/>
      <x:c r="G27" s="95"/>
      <x:c r="H27" s="95"/>
    </x:row>
    <x:row r="28">
      <x:c r="A28" s="95"/>
      <x:c r="B28" s="161"/>
      <x:c r="C28" s="95"/>
      <x:c r="D28" s="95"/>
      <x:c r="E28" s="95"/>
      <x:c r="F28" s="95"/>
      <x:c r="G28" s="95"/>
      <x:c r="H28" s="95"/>
    </x:row>
    <x:row r="29">
      <x:c r="A29" s="95"/>
      <x:c r="B29" s="161"/>
      <x:c r="C29" s="95"/>
      <x:c r="D29" s="95"/>
      <x:c r="E29" s="95"/>
      <x:c r="F29" s="95"/>
      <x:c r="G29" s="95"/>
      <x:c r="H29" s="95"/>
    </x:row>
    <x:row r="30">
      <x:c r="A30" s="107" t="str">
        <x:v>Parent authority</x:v>
      </x:c>
      <x:c r="B30" s="162"/>
      <x:c r="C30" s="107"/>
      <x:c r="D30" s="107"/>
      <x:c r="E30" s="107"/>
      <x:c r="F30" s="107"/>
      <x:c r="G30" s="107"/>
      <x:c r="H30" s="107"/>
    </x:row>
    <x:row r="31">
      <x:c r="A31" s="9" t="str">
        <x:v>Account</x:v>
      </x:c>
      <x:c r="B31" s="86" t="str">
        <x:v>RAS-1 parent</x:v>
      </x:c>
      <x:c r="C31" s="10" t="str">
        <x:v>Through RBC-1</x:v>
      </x:c>
      <x:c r="D31" s="10" t="str">
        <x:v>RBD-1</x:v>
      </x:c>
      <x:c r="E31" s="11" t="str">
        <x:v>Remaining</x:v>
      </x:c>
      <x:c r="F31" s="95"/>
      <x:c r="G31" s="95"/>
      <x:c r="H31" s="95"/>
    </x:row>
    <x:row r="32">
      <x:c r="A32" s="98" t="str">
        <x:v>Capital</x:v>
      </x:c>
      <x:c r="B32" s="156" t="n">
        <x:v>620</x:v>
      </x:c>
      <x:c r="C32" s="98" t="n">
        <x:v>498</x:v>
      </x:c>
      <x:c r="D32" s="163" t="n">
        <x:v>52</x:v>
      </x:c>
      <x:c r="E32" s="146" t="n">
        <x:f>B32-C32-D32</x:f>
        <x:v>70</x:v>
      </x:c>
      <x:c r="F32" s="95"/>
      <x:c r="G32" s="95"/>
      <x:c r="H32" s="95"/>
    </x:row>
    <x:row r="33">
      <x:c r="A33" s="101" t="str">
        <x:v>Annual support</x:v>
      </x:c>
      <x:c r="B33" s="157" t="n">
        <x:v>235</x:v>
      </x:c>
      <x:c r="C33" s="101" t="n">
        <x:v>212</x:v>
      </x:c>
      <x:c r="D33" s="164" t="n">
        <x:v>14</x:v>
      </x:c>
      <x:c r="E33" s="147" t="n">
        <x:f>B33-C33-D33</x:f>
        <x:v>9</x:v>
      </x:c>
      <x:c r="F33" s="95"/>
      <x:c r="G33" s="95"/>
      <x:c r="H33" s="95"/>
    </x:row>
    <x:row r="34">
      <x:c r="A34" s="104" t="str">
        <x:v>Technology</x:v>
      </x:c>
      <x:c r="B34" s="160" t="n">
        <x:v>1005</x:v>
      </x:c>
      <x:c r="C34" s="104" t="n">
        <x:v>795</x:v>
      </x:c>
      <x:c r="D34" s="165" t="n">
        <x:v>120</x:v>
      </x:c>
      <x:c r="E34" s="148" t="n">
        <x:f>B34-C34-D34</x:f>
        <x:v>90</x:v>
      </x:c>
      <x:c r="F34" s="95"/>
      <x:c r="G34" s="95"/>
      <x:c r="H34" s="95"/>
    </x:row>
    <x:row r="35">
      <x:c r="A35" s="95"/>
      <x:c r="B35" s="161"/>
      <x:c r="C35" s="95"/>
      <x:c r="D35" s="95"/>
      <x:c r="E35" s="95"/>
      <x:c r="F35" s="95"/>
      <x:c r="G35" s="95"/>
      <x:c r="H35" s="95"/>
    </x:row>
    <x:row r="36">
      <x:c r="A36" s="95"/>
      <x:c r="B36" s="161"/>
      <x:c r="C36" s="95"/>
      <x:c r="D36" s="95"/>
      <x:c r="E36" s="95"/>
      <x:c r="F36" s="95"/>
      <x:c r="G36" s="95"/>
      <x:c r="H36" s="95"/>
    </x:row>
    <x:row r="37">
      <x:c r="A37" s="107" t="str">
        <x:v>Exposure and schedule</x:v>
      </x:c>
      <x:c r="B37" s="162"/>
      <x:c r="C37" s="107"/>
      <x:c r="D37" s="107"/>
      <x:c r="E37" s="107"/>
      <x:c r="F37" s="107"/>
      <x:c r="G37" s="107"/>
      <x:c r="H37" s="107"/>
    </x:row>
    <x:row r="38">
      <x:c r="A38" s="98" t="str">
        <x:v>Stage months</x:v>
      </x:c>
      <x:c r="B38" s="156" t="n">
        <x:v>12</x:v>
      </x:c>
      <x:c r="C38" s="95"/>
      <x:c r="D38" s="95"/>
      <x:c r="E38" s="95"/>
      <x:c r="F38" s="95"/>
      <x:c r="G38" s="95"/>
      <x:c r="H38" s="95"/>
    </x:row>
    <x:row r="39">
      <x:c r="A39" s="101" t="str">
        <x:v>Capital USD M</x:v>
      </x:c>
      <x:c r="B39" s="157" t="n">
        <x:f>B16</x:f>
        <x:v>52</x:v>
      </x:c>
      <x:c r="C39" s="95"/>
      <x:c r="D39" s="95"/>
      <x:c r="E39" s="95"/>
      <x:c r="F39" s="95"/>
      <x:c r="G39" s="95"/>
      <x:c r="H39" s="95"/>
    </x:row>
    <x:row r="40">
      <x:c r="A40" s="101" t="str">
        <x:v>Support during stage USD M</x:v>
      </x:c>
      <x:c r="B40" s="157" t="n">
        <x:f>B27*B38/12</x:f>
        <x:v>14</x:v>
      </x:c>
      <x:c r="C40" s="95"/>
      <x:c r="D40" s="95"/>
      <x:c r="E40" s="95"/>
      <x:c r="F40" s="95"/>
      <x:c r="G40" s="95"/>
      <x:c r="H40" s="95"/>
    </x:row>
    <x:row r="41">
      <x:c r="A41" s="101" t="str">
        <x:v>Stage exposure USD M</x:v>
      </x:c>
      <x:c r="B41" s="157" t="n">
        <x:f>B39+B40</x:f>
        <x:v>66</x:v>
      </x:c>
      <x:c r="C41" s="95"/>
      <x:c r="D41" s="95"/>
      <x:c r="E41" s="95"/>
      <x:c r="F41" s="95"/>
      <x:c r="G41" s="95"/>
      <x:c r="H41" s="95"/>
    </x:row>
    <x:row r="42">
      <x:c r="A42" s="101" t="str">
        <x:v>Cumulative child exposure USD M</x:v>
      </x:c>
      <x:c r="B42" s="157" t="n">
        <x:f>Controls!$B$45+B41</x:f>
        <x:v>857</x:v>
      </x:c>
      <x:c r="C42" s="95"/>
      <x:c r="D42" s="95"/>
      <x:c r="E42" s="95"/>
      <x:c r="F42" s="95"/>
      <x:c r="G42" s="95"/>
      <x:c r="H42" s="95"/>
    </x:row>
    <x:row r="43">
      <x:c r="A43" s="101" t="str">
        <x:v>Difference from parent gross exposure USD M</x:v>
      </x:c>
      <x:c r="B43" s="157" t="n">
        <x:f>Controls!$B$44-B42</x:f>
        <x:v>350.5</x:v>
      </x:c>
      <x:c r="C43" s="95"/>
      <x:c r="D43" s="95"/>
      <x:c r="E43" s="95"/>
      <x:c r="F43" s="95"/>
      <x:c r="G43" s="95"/>
      <x:c r="H43" s="95"/>
    </x:row>
    <x:row r="44">
      <x:c r="A44" s="101" t="str">
        <x:v>Release-aware completion month</x:v>
      </x:c>
      <x:c r="B44" s="157" t="n">
        <x:f>Controls!$B$46+B38</x:f>
        <x:v>111</x:v>
      </x:c>
      <x:c r="C44" s="95"/>
      <x:c r="D44" s="95"/>
      <x:c r="E44" s="95"/>
      <x:c r="F44" s="95"/>
      <x:c r="G44" s="95"/>
      <x:c r="H44" s="95"/>
    </x:row>
    <x:row r="45">
      <x:c r="A45" s="101" t="str">
        <x:v>Sequential completion month</x:v>
      </x:c>
      <x:c r="B45" s="157" t="n">
        <x:f>Controls!$B$47+B38</x:f>
        <x:v>135</x:v>
      </x:c>
      <x:c r="C45" s="95"/>
      <x:c r="D45" s="95"/>
      <x:c r="E45" s="95"/>
      <x:c r="F45" s="95"/>
      <x:c r="G45" s="95"/>
      <x:c r="H45" s="95"/>
    </x:row>
    <x:row r="46">
      <x:c r="A46" s="101" t="str">
        <x:v>Conditional preparation time retained months</x:v>
      </x:c>
      <x:c r="B46" s="157" t="n">
        <x:f>B45-B44</x:f>
        <x:v>24</x:v>
      </x:c>
      <x:c r="C46" s="95"/>
      <x:c r="D46" s="95"/>
      <x:c r="E46" s="95"/>
      <x:c r="F46" s="95"/>
      <x:c r="G46" s="95"/>
      <x:c r="H46" s="9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.67000007629394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8.890000343322754" hidden="0" customWidth="1"/>
  </x:cols>
  <x:sheetData>
    <x:row r="2">
      <x:c r="A2" s="94" t="str">
        <x:v>Synthetic boundary cases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These cases validate planning rules only. They do not create physical evidence or class authority.</x:v>
      </x:c>
      <x:c r="B4" s="95"/>
      <x:c r="C4" s="95"/>
      <x:c r="D4" s="95"/>
      <x:c r="E4" s="95"/>
      <x:c r="F4" s="95"/>
      <x:c r="G4" s="95"/>
      <x:c r="H4" s="95"/>
    </x:row>
    <x:row r="5">
      <x:c r="A5" s="9" t="str">
        <x:v>Test ID</x:v>
      </x:c>
      <x:c r="B5" s="10" t="str">
        <x:v>Domain</x:v>
      </x:c>
      <x:c r="C5" s="10" t="str">
        <x:v>Input 1</x:v>
      </x:c>
      <x:c r="D5" s="10" t="str">
        <x:v>Input 2</x:v>
      </x:c>
      <x:c r="E5" s="10" t="str">
        <x:v>Input 3</x:v>
      </x:c>
      <x:c r="F5" s="10" t="str">
        <x:v>Expected</x:v>
      </x:c>
      <x:c r="G5" s="10" t="str">
        <x:v>Actual</x:v>
      </x:c>
      <x:c r="H5" s="11" t="str">
        <x:v>Status</x:v>
      </x:c>
    </x:row>
    <x:row r="6">
      <x:c r="A6" s="98" t="str">
        <x:v>SCH-01</x:v>
      </x:c>
      <x:c r="B6" s="98" t="str">
        <x:v>SAME-RIG INTERVAL</x:v>
      </x:c>
      <x:c r="C6" s="166" t="n">
        <x:v>503</x:v>
      </x:c>
      <x:c r="D6" s="166" t="n">
        <x:v>504</x:v>
      </x:c>
      <x:c r="E6" s="166" t="str">
        <x:v>hours</x:v>
      </x:c>
      <x:c r="F6" s="166" t="n">
        <x:v>0</x:v>
      </x:c>
      <x:c r="G6" s="166" t="n">
        <x:f>IF(C6&gt;=D6,1,0)</x:f>
        <x:v>0</x:v>
      </x:c>
      <x:c r="H6" s="98" t="str">
        <x:f>IF(ABS(G6-F6)&lt;=0.000001,"PASS","FAIL")</x:f>
        <x:v>PASS</x:v>
      </x:c>
    </x:row>
    <x:row r="7">
      <x:c r="A7" s="101" t="str">
        <x:v>SCH-02</x:v>
      </x:c>
      <x:c r="B7" s="101" t="str">
        <x:v>SAME-RIG INTERVAL</x:v>
      </x:c>
      <x:c r="C7" s="167" t="n">
        <x:v>504</x:v>
      </x:c>
      <x:c r="D7" s="167" t="n">
        <x:v>504</x:v>
      </x:c>
      <x:c r="E7" s="167" t="str">
        <x:v>hours</x:v>
      </x:c>
      <x:c r="F7" s="167" t="n">
        <x:v>1</x:v>
      </x:c>
      <x:c r="G7" s="167" t="n">
        <x:f>IF(C7&gt;=D7,1,0)</x:f>
        <x:v>1</x:v>
      </x:c>
      <x:c r="H7" s="101" t="str">
        <x:f>IF(ABS(G7-F7)&lt;=0.000001,"PASS","FAIL")</x:f>
        <x:v>PASS</x:v>
      </x:c>
    </x:row>
    <x:row r="8">
      <x:c r="A8" s="101" t="str">
        <x:v>SCH-03</x:v>
      </x:c>
      <x:c r="B8" s="101" t="str">
        <x:v>SAME-RIG INTERVAL</x:v>
      </x:c>
      <x:c r="C8" s="167" t="n">
        <x:v>672</x:v>
      </x:c>
      <x:c r="D8" s="167" t="n">
        <x:v>504</x:v>
      </x:c>
      <x:c r="E8" s="167" t="str">
        <x:v>hours</x:v>
      </x:c>
      <x:c r="F8" s="167" t="n">
        <x:v>1</x:v>
      </x:c>
      <x:c r="G8" s="167" t="n">
        <x:f>IF(C8&gt;=D8,1,0)</x:f>
        <x:v>1</x:v>
      </x:c>
      <x:c r="H8" s="101" t="str">
        <x:f>IF(ABS(G8-F8)&lt;=0.000001,"PASS","FAIL")</x:f>
        <x:v>PASS</x:v>
      </x:c>
    </x:row>
    <x:row r="9">
      <x:c r="A9" s="101" t="str">
        <x:v>SCH-04</x:v>
      </x:c>
      <x:c r="B9" s="101" t="str">
        <x:v>SAME-RIG INTERVAL</x:v>
      </x:c>
      <x:c r="C9" s="167" t="n">
        <x:v>336</x:v>
      </x:c>
      <x:c r="D9" s="167" t="n">
        <x:v>504</x:v>
      </x:c>
      <x:c r="E9" s="167" t="str">
        <x:v>hours</x:v>
      </x:c>
      <x:c r="F9" s="167" t="n">
        <x:v>0</x:v>
      </x:c>
      <x:c r="G9" s="167" t="n">
        <x:f>IF(C9&gt;=D9,1,0)</x:f>
        <x:v>0</x:v>
      </x:c>
      <x:c r="H9" s="101" t="str">
        <x:f>IF(ABS(G9-F9)&lt;=0.000001,"PASS","FAIL")</x:f>
        <x:v>PASS</x:v>
      </x:c>
    </x:row>
    <x:row r="10">
      <x:c r="A10" s="101" t="str">
        <x:v>SCH-05</x:v>
      </x:c>
      <x:c r="B10" s="101" t="str">
        <x:v>SAME-RIG INTERVAL</x:v>
      </x:c>
      <x:c r="C10" s="167" t="n">
        <x:v>503</x:v>
      </x:c>
      <x:c r="D10" s="167" t="n">
        <x:v>504</x:v>
      </x:c>
      <x:c r="E10" s="167" t="str">
        <x:v>hours</x:v>
      </x:c>
      <x:c r="F10" s="167" t="n">
        <x:v>0</x:v>
      </x:c>
      <x:c r="G10" s="167" t="n">
        <x:f>IF(C10&gt;=D10,1,0)</x:f>
        <x:v>0</x:v>
      </x:c>
      <x:c r="H10" s="101" t="str">
        <x:f>IF(ABS(G10-F10)&lt;=0.000001,"PASS","FAIL")</x:f>
        <x:v>PASS</x:v>
      </x:c>
    </x:row>
    <x:row r="11">
      <x:c r="A11" s="101" t="str">
        <x:v>SCH-06</x:v>
      </x:c>
      <x:c r="B11" s="101" t="str">
        <x:v>SAME-RIG INTERVAL</x:v>
      </x:c>
      <x:c r="C11" s="167" t="n">
        <x:v>504</x:v>
      </x:c>
      <x:c r="D11" s="167" t="n">
        <x:v>504</x:v>
      </x:c>
      <x:c r="E11" s="167" t="str">
        <x:v>hours</x:v>
      </x:c>
      <x:c r="F11" s="167" t="n">
        <x:v>1</x:v>
      </x:c>
      <x:c r="G11" s="167" t="n">
        <x:f>IF(C11&gt;=D11,1,0)</x:f>
        <x:v>1</x:v>
      </x:c>
      <x:c r="H11" s="101" t="str">
        <x:f>IF(ABS(G11-F11)&lt;=0.000001,"PASS","FAIL")</x:f>
        <x:v>PASS</x:v>
      </x:c>
    </x:row>
    <x:row r="12">
      <x:c r="A12" s="101" t="str">
        <x:v>SCH-07</x:v>
      </x:c>
      <x:c r="B12" s="101" t="str">
        <x:v>SAME-RIG INTERVAL</x:v>
      </x:c>
      <x:c r="C12" s="167" t="n">
        <x:v>672</x:v>
      </x:c>
      <x:c r="D12" s="167" t="n">
        <x:v>504</x:v>
      </x:c>
      <x:c r="E12" s="167" t="str">
        <x:v>hours</x:v>
      </x:c>
      <x:c r="F12" s="167" t="n">
        <x:v>1</x:v>
      </x:c>
      <x:c r="G12" s="167" t="n">
        <x:f>IF(C12&gt;=D12,1,0)</x:f>
        <x:v>1</x:v>
      </x:c>
      <x:c r="H12" s="101" t="str">
        <x:f>IF(ABS(G12-F12)&lt;=0.000001,"PASS","FAIL")</x:f>
        <x:v>PASS</x:v>
      </x:c>
    </x:row>
    <x:row r="13">
      <x:c r="A13" s="101" t="str">
        <x:v>SCH-08</x:v>
      </x:c>
      <x:c r="B13" s="101" t="str">
        <x:v>SAME-RIG INTERVAL</x:v>
      </x:c>
      <x:c r="C13" s="167" t="n">
        <x:v>336</x:v>
      </x:c>
      <x:c r="D13" s="167" t="n">
        <x:v>504</x:v>
      </x:c>
      <x:c r="E13" s="167" t="str">
        <x:v>hours</x:v>
      </x:c>
      <x:c r="F13" s="167" t="n">
        <x:v>0</x:v>
      </x:c>
      <x:c r="G13" s="167" t="n">
        <x:f>IF(C13&gt;=D13,1,0)</x:f>
        <x:v>0</x:v>
      </x:c>
      <x:c r="H13" s="101" t="str">
        <x:f>IF(ABS(G13-F13)&lt;=0.000001,"PASS","FAIL")</x:f>
        <x:v>PASS</x:v>
      </x:c>
    </x:row>
    <x:row r="14">
      <x:c r="A14" s="101" t="str">
        <x:v>SCH-09</x:v>
      </x:c>
      <x:c r="B14" s="101" t="str">
        <x:v>SAME-RIG INTERVAL</x:v>
      </x:c>
      <x:c r="C14" s="167" t="n">
        <x:v>503</x:v>
      </x:c>
      <x:c r="D14" s="167" t="n">
        <x:v>504</x:v>
      </x:c>
      <x:c r="E14" s="167" t="str">
        <x:v>hours</x:v>
      </x:c>
      <x:c r="F14" s="167" t="n">
        <x:v>0</x:v>
      </x:c>
      <x:c r="G14" s="167" t="n">
        <x:f>IF(C14&gt;=D14,1,0)</x:f>
        <x:v>0</x:v>
      </x:c>
      <x:c r="H14" s="101" t="str">
        <x:f>IF(ABS(G14-F14)&lt;=0.000001,"PASS","FAIL")</x:f>
        <x:v>PASS</x:v>
      </x:c>
    </x:row>
    <x:row r="15">
      <x:c r="A15" s="101" t="str">
        <x:v>SCH-10</x:v>
      </x:c>
      <x:c r="B15" s="101" t="str">
        <x:v>SAME-RIG INTERVAL</x:v>
      </x:c>
      <x:c r="C15" s="167" t="n">
        <x:v>504</x:v>
      </x:c>
      <x:c r="D15" s="167" t="n">
        <x:v>504</x:v>
      </x:c>
      <x:c r="E15" s="167" t="str">
        <x:v>hours</x:v>
      </x:c>
      <x:c r="F15" s="167" t="n">
        <x:v>1</x:v>
      </x:c>
      <x:c r="G15" s="167" t="n">
        <x:f>IF(C15&gt;=D15,1,0)</x:f>
        <x:v>1</x:v>
      </x:c>
      <x:c r="H15" s="101" t="str">
        <x:f>IF(ABS(G15-F15)&lt;=0.000001,"PASS","FAIL")</x:f>
        <x:v>PASS</x:v>
      </x:c>
    </x:row>
    <x:row r="16">
      <x:c r="A16" s="101" t="str">
        <x:v>SCH-11</x:v>
      </x:c>
      <x:c r="B16" s="101" t="str">
        <x:v>SAME-RIG INTERVAL</x:v>
      </x:c>
      <x:c r="C16" s="167" t="n">
        <x:v>672</x:v>
      </x:c>
      <x:c r="D16" s="167" t="n">
        <x:v>504</x:v>
      </x:c>
      <x:c r="E16" s="167" t="str">
        <x:v>hours</x:v>
      </x:c>
      <x:c r="F16" s="167" t="n">
        <x:v>1</x:v>
      </x:c>
      <x:c r="G16" s="167" t="n">
        <x:f>IF(C16&gt;=D16,1,0)</x:f>
        <x:v>1</x:v>
      </x:c>
      <x:c r="H16" s="101" t="str">
        <x:f>IF(ABS(G16-F16)&lt;=0.000001,"PASS","FAIL")</x:f>
        <x:v>PASS</x:v>
      </x:c>
    </x:row>
    <x:row r="17">
      <x:c r="A17" s="101" t="str">
        <x:v>SCH-12</x:v>
      </x:c>
      <x:c r="B17" s="101" t="str">
        <x:v>SAME-RIG INTERVAL</x:v>
      </x:c>
      <x:c r="C17" s="167" t="n">
        <x:v>336</x:v>
      </x:c>
      <x:c r="D17" s="167" t="n">
        <x:v>504</x:v>
      </x:c>
      <x:c r="E17" s="167" t="str">
        <x:v>hours</x:v>
      </x:c>
      <x:c r="F17" s="167" t="n">
        <x:v>0</x:v>
      </x:c>
      <x:c r="G17" s="167" t="n">
        <x:f>IF(C17&gt;=D17,1,0)</x:f>
        <x:v>0</x:v>
      </x:c>
      <x:c r="H17" s="101" t="str">
        <x:f>IF(ABS(G17-F17)&lt;=0.000001,"PASS","FAIL")</x:f>
        <x:v>PASS</x:v>
      </x:c>
    </x:row>
    <x:row r="18">
      <x:c r="A18" s="101" t="str">
        <x:v>SCH-13</x:v>
      </x:c>
      <x:c r="B18" s="101" t="str">
        <x:v>SAME-RIG INTERVAL</x:v>
      </x:c>
      <x:c r="C18" s="167" t="n">
        <x:v>503</x:v>
      </x:c>
      <x:c r="D18" s="167" t="n">
        <x:v>504</x:v>
      </x:c>
      <x:c r="E18" s="167" t="str">
        <x:v>hours</x:v>
      </x:c>
      <x:c r="F18" s="167" t="n">
        <x:v>0</x:v>
      </x:c>
      <x:c r="G18" s="167" t="n">
        <x:f>IF(C18&gt;=D18,1,0)</x:f>
        <x:v>0</x:v>
      </x:c>
      <x:c r="H18" s="101" t="str">
        <x:f>IF(ABS(G18-F18)&lt;=0.000001,"PASS","FAIL")</x:f>
        <x:v>PASS</x:v>
      </x:c>
    </x:row>
    <x:row r="19">
      <x:c r="A19" s="101" t="str">
        <x:v>SCH-14</x:v>
      </x:c>
      <x:c r="B19" s="101" t="str">
        <x:v>SAME-RIG INTERVAL</x:v>
      </x:c>
      <x:c r="C19" s="167" t="n">
        <x:v>504</x:v>
      </x:c>
      <x:c r="D19" s="167" t="n">
        <x:v>504</x:v>
      </x:c>
      <x:c r="E19" s="167" t="str">
        <x:v>hours</x:v>
      </x:c>
      <x:c r="F19" s="167" t="n">
        <x:v>1</x:v>
      </x:c>
      <x:c r="G19" s="167" t="n">
        <x:f>IF(C19&gt;=D19,1,0)</x:f>
        <x:v>1</x:v>
      </x:c>
      <x:c r="H19" s="101" t="str">
        <x:f>IF(ABS(G19-F19)&lt;=0.000001,"PASS","FAIL")</x:f>
        <x:v>PASS</x:v>
      </x:c>
    </x:row>
    <x:row r="20">
      <x:c r="A20" s="101" t="str">
        <x:v>SCH-15</x:v>
      </x:c>
      <x:c r="B20" s="101" t="str">
        <x:v>SAME-RIG INTERVAL</x:v>
      </x:c>
      <x:c r="C20" s="167" t="n">
        <x:v>672</x:v>
      </x:c>
      <x:c r="D20" s="167" t="n">
        <x:v>504</x:v>
      </x:c>
      <x:c r="E20" s="167" t="str">
        <x:v>hours</x:v>
      </x:c>
      <x:c r="F20" s="167" t="n">
        <x:v>1</x:v>
      </x:c>
      <x:c r="G20" s="167" t="n">
        <x:f>IF(C20&gt;=D20,1,0)</x:f>
        <x:v>1</x:v>
      </x:c>
      <x:c r="H20" s="101" t="str">
        <x:f>IF(ABS(G20-F20)&lt;=0.000001,"PASS","FAIL")</x:f>
        <x:v>PASS</x:v>
      </x:c>
    </x:row>
    <x:row r="21">
      <x:c r="A21" s="101" t="str">
        <x:v>SCH-16</x:v>
      </x:c>
      <x:c r="B21" s="101" t="str">
        <x:v>SAME-RIG INTERVAL</x:v>
      </x:c>
      <x:c r="C21" s="167" t="n">
        <x:v>336</x:v>
      </x:c>
      <x:c r="D21" s="167" t="n">
        <x:v>504</x:v>
      </x:c>
      <x:c r="E21" s="167" t="str">
        <x:v>hours</x:v>
      </x:c>
      <x:c r="F21" s="167" t="n">
        <x:v>0</x:v>
      </x:c>
      <x:c r="G21" s="167" t="n">
        <x:f>IF(C21&gt;=D21,1,0)</x:f>
        <x:v>0</x:v>
      </x:c>
      <x:c r="H21" s="101" t="str">
        <x:f>IF(ABS(G21-F21)&lt;=0.000001,"PASS","FAIL")</x:f>
        <x:v>PASS</x:v>
      </x:c>
    </x:row>
    <x:row r="22">
      <x:c r="A22" s="101" t="str">
        <x:v>SCH-17</x:v>
      </x:c>
      <x:c r="B22" s="101" t="str">
        <x:v>SAME-RIG INTERVAL</x:v>
      </x:c>
      <x:c r="C22" s="167" t="n">
        <x:v>503</x:v>
      </x:c>
      <x:c r="D22" s="167" t="n">
        <x:v>504</x:v>
      </x:c>
      <x:c r="E22" s="167" t="str">
        <x:v>hours</x:v>
      </x:c>
      <x:c r="F22" s="167" t="n">
        <x:v>0</x:v>
      </x:c>
      <x:c r="G22" s="167" t="n">
        <x:f>IF(C22&gt;=D22,1,0)</x:f>
        <x:v>0</x:v>
      </x:c>
      <x:c r="H22" s="101" t="str">
        <x:f>IF(ABS(G22-F22)&lt;=0.000001,"PASS","FAIL")</x:f>
        <x:v>PASS</x:v>
      </x:c>
    </x:row>
    <x:row r="23">
      <x:c r="A23" s="101" t="str">
        <x:v>SCH-18</x:v>
      </x:c>
      <x:c r="B23" s="101" t="str">
        <x:v>SAME-RIG INTERVAL</x:v>
      </x:c>
      <x:c r="C23" s="167" t="n">
        <x:v>504</x:v>
      </x:c>
      <x:c r="D23" s="167" t="n">
        <x:v>504</x:v>
      </x:c>
      <x:c r="E23" s="167" t="str">
        <x:v>hours</x:v>
      </x:c>
      <x:c r="F23" s="167" t="n">
        <x:v>1</x:v>
      </x:c>
      <x:c r="G23" s="167" t="n">
        <x:f>IF(C23&gt;=D23,1,0)</x:f>
        <x:v>1</x:v>
      </x:c>
      <x:c r="H23" s="101" t="str">
        <x:f>IF(ABS(G23-F23)&lt;=0.000001,"PASS","FAIL")</x:f>
        <x:v>PASS</x:v>
      </x:c>
    </x:row>
    <x:row r="24">
      <x:c r="A24" s="101" t="str">
        <x:v>SCH-19</x:v>
      </x:c>
      <x:c r="B24" s="101" t="str">
        <x:v>SAME-RIG INTERVAL</x:v>
      </x:c>
      <x:c r="C24" s="167" t="n">
        <x:v>672</x:v>
      </x:c>
      <x:c r="D24" s="167" t="n">
        <x:v>504</x:v>
      </x:c>
      <x:c r="E24" s="167" t="str">
        <x:v>hours</x:v>
      </x:c>
      <x:c r="F24" s="167" t="n">
        <x:v>1</x:v>
      </x:c>
      <x:c r="G24" s="167" t="n">
        <x:f>IF(C24&gt;=D24,1,0)</x:f>
        <x:v>1</x:v>
      </x:c>
      <x:c r="H24" s="101" t="str">
        <x:f>IF(ABS(G24-F24)&lt;=0.000001,"PASS","FAIL")</x:f>
        <x:v>PASS</x:v>
      </x:c>
    </x:row>
    <x:row r="25">
      <x:c r="A25" s="101" t="str">
        <x:v>SCH-20</x:v>
      </x:c>
      <x:c r="B25" s="101" t="str">
        <x:v>SAME-RIG INTERVAL</x:v>
      </x:c>
      <x:c r="C25" s="167" t="n">
        <x:v>336</x:v>
      </x:c>
      <x:c r="D25" s="167" t="n">
        <x:v>504</x:v>
      </x:c>
      <x:c r="E25" s="167" t="str">
        <x:v>hours</x:v>
      </x:c>
      <x:c r="F25" s="167" t="n">
        <x:v>0</x:v>
      </x:c>
      <x:c r="G25" s="167" t="n">
        <x:f>IF(C25&gt;=D25,1,0)</x:f>
        <x:v>0</x:v>
      </x:c>
      <x:c r="H25" s="101" t="str">
        <x:f>IF(ABS(G25-F25)&lt;=0.000001,"PASS","FAIL")</x:f>
        <x:v>PASS</x:v>
      </x:c>
    </x:row>
    <x:row r="26">
      <x:c r="A26" s="101" t="str">
        <x:v>SCH-21</x:v>
      </x:c>
      <x:c r="B26" s="101" t="str">
        <x:v>SAME-RIG INTERVAL</x:v>
      </x:c>
      <x:c r="C26" s="167" t="n">
        <x:v>503</x:v>
      </x:c>
      <x:c r="D26" s="167" t="n">
        <x:v>504</x:v>
      </x:c>
      <x:c r="E26" s="167" t="str">
        <x:v>hours</x:v>
      </x:c>
      <x:c r="F26" s="167" t="n">
        <x:v>0</x:v>
      </x:c>
      <x:c r="G26" s="167" t="n">
        <x:f>IF(C26&gt;=D26,1,0)</x:f>
        <x:v>0</x:v>
      </x:c>
      <x:c r="H26" s="101" t="str">
        <x:f>IF(ABS(G26-F26)&lt;=0.000001,"PASS","FAIL")</x:f>
        <x:v>PASS</x:v>
      </x:c>
    </x:row>
    <x:row r="27">
      <x:c r="A27" s="101" t="str">
        <x:v>SCH-22</x:v>
      </x:c>
      <x:c r="B27" s="101" t="str">
        <x:v>SAME-RIG INTERVAL</x:v>
      </x:c>
      <x:c r="C27" s="167" t="n">
        <x:v>504</x:v>
      </x:c>
      <x:c r="D27" s="167" t="n">
        <x:v>504</x:v>
      </x:c>
      <x:c r="E27" s="167" t="str">
        <x:v>hours</x:v>
      </x:c>
      <x:c r="F27" s="167" t="n">
        <x:v>1</x:v>
      </x:c>
      <x:c r="G27" s="167" t="n">
        <x:f>IF(C27&gt;=D27,1,0)</x:f>
        <x:v>1</x:v>
      </x:c>
      <x:c r="H27" s="101" t="str">
        <x:f>IF(ABS(G27-F27)&lt;=0.000001,"PASS","FAIL")</x:f>
        <x:v>PASS</x:v>
      </x:c>
    </x:row>
    <x:row r="28">
      <x:c r="A28" s="101" t="str">
        <x:v>SCH-23</x:v>
      </x:c>
      <x:c r="B28" s="101" t="str">
        <x:v>SAME-RIG INTERVAL</x:v>
      </x:c>
      <x:c r="C28" s="167" t="n">
        <x:v>672</x:v>
      </x:c>
      <x:c r="D28" s="167" t="n">
        <x:v>504</x:v>
      </x:c>
      <x:c r="E28" s="167" t="str">
        <x:v>hours</x:v>
      </x:c>
      <x:c r="F28" s="167" t="n">
        <x:v>1</x:v>
      </x:c>
      <x:c r="G28" s="167" t="n">
        <x:f>IF(C28&gt;=D28,1,0)</x:f>
        <x:v>1</x:v>
      </x:c>
      <x:c r="H28" s="101" t="str">
        <x:f>IF(ABS(G28-F28)&lt;=0.000001,"PASS","FAIL")</x:f>
        <x:v>PASS</x:v>
      </x:c>
    </x:row>
    <x:row r="29">
      <x:c r="A29" s="101" t="str">
        <x:v>SCH-24</x:v>
      </x:c>
      <x:c r="B29" s="101" t="str">
        <x:v>SAME-RIG INTERVAL</x:v>
      </x:c>
      <x:c r="C29" s="167" t="n">
        <x:v>336</x:v>
      </x:c>
      <x:c r="D29" s="167" t="n">
        <x:v>504</x:v>
      </x:c>
      <x:c r="E29" s="167" t="str">
        <x:v>hours</x:v>
      </x:c>
      <x:c r="F29" s="167" t="n">
        <x:v>0</x:v>
      </x:c>
      <x:c r="G29" s="167" t="n">
        <x:f>IF(C29&gt;=D29,1,0)</x:f>
        <x:v>0</x:v>
      </x:c>
      <x:c r="H29" s="101" t="str">
        <x:f>IF(ABS(G29-F29)&lt;=0.000001,"PASS","FAIL")</x:f>
        <x:v>PASS</x:v>
      </x:c>
    </x:row>
    <x:row r="30">
      <x:c r="A30" s="101" t="str">
        <x:v>RID-01</x:v>
      </x:c>
      <x:c r="B30" s="101" t="str">
        <x:v>RESERVE IDENTITY</x:v>
      </x:c>
      <x:c r="C30" s="167" t="str">
        <x:v>RS</x:v>
      </x:c>
      <x:c r="D30" s="167" t="str">
        <x:v>RS</x:v>
      </x:c>
      <x:c r="E30" s="167" t="n">
        <x:v>0</x:v>
      </x:c>
      <x:c r="F30" s="167" t="n">
        <x:v>0</x:v>
      </x:c>
      <x:c r="G30" s="167" t="n">
        <x:f>IF(AND(C30=D30,E30=1),1,0)</x:f>
        <x:v>0</x:v>
      </x:c>
      <x:c r="H30" s="101" t="str">
        <x:f>IF(ABS(G30-F30)&lt;=0.000001,"PASS","FAIL")</x:f>
        <x:v>PASS</x:v>
      </x:c>
    </x:row>
    <x:row r="31">
      <x:c r="A31" s="101" t="str">
        <x:v>RID-02</x:v>
      </x:c>
      <x:c r="B31" s="101" t="str">
        <x:v>RESERVE IDENTITY</x:v>
      </x:c>
      <x:c r="C31" s="167" t="str">
        <x:v>RO</x:v>
      </x:c>
      <x:c r="D31" s="167" t="str">
        <x:v>RO</x:v>
      </x:c>
      <x:c r="E31" s="167" t="n">
        <x:v>1</x:v>
      </x:c>
      <x:c r="F31" s="167" t="n">
        <x:v>1</x:v>
      </x:c>
      <x:c r="G31" s="167" t="n">
        <x:f>IF(AND(C31=D31,E31=1),1,0)</x:f>
        <x:v>1</x:v>
      </x:c>
      <x:c r="H31" s="101" t="str">
        <x:f>IF(ABS(G31-F31)&lt;=0.000001,"PASS","FAIL")</x:f>
        <x:v>PASS</x:v>
      </x:c>
    </x:row>
    <x:row r="32">
      <x:c r="A32" s="101" t="str">
        <x:v>RID-03</x:v>
      </x:c>
      <x:c r="B32" s="101" t="str">
        <x:v>RESERVE IDENTITY</x:v>
      </x:c>
      <x:c r="C32" s="167" t="str">
        <x:v>RS</x:v>
      </x:c>
      <x:c r="D32" s="167" t="str">
        <x:v>RO</x:v>
      </x:c>
      <x:c r="E32" s="167" t="n">
        <x:v>1</x:v>
      </x:c>
      <x:c r="F32" s="167" t="n">
        <x:v>0</x:v>
      </x:c>
      <x:c r="G32" s="167" t="n">
        <x:f>IF(AND(C32=D32,E32=1),1,0)</x:f>
        <x:v>0</x:v>
      </x:c>
      <x:c r="H32" s="101" t="str">
        <x:f>IF(ABS(G32-F32)&lt;=0.000001,"PASS","FAIL")</x:f>
        <x:v>PASS</x:v>
      </x:c>
    </x:row>
    <x:row r="33">
      <x:c r="A33" s="101" t="str">
        <x:v>RID-04</x:v>
      </x:c>
      <x:c r="B33" s="101" t="str">
        <x:v>RESERVE IDENTITY</x:v>
      </x:c>
      <x:c r="C33" s="167" t="str">
        <x:v>RS</x:v>
      </x:c>
      <x:c r="D33" s="167" t="str">
        <x:v>RS</x:v>
      </x:c>
      <x:c r="E33" s="167" t="n">
        <x:v>1</x:v>
      </x:c>
      <x:c r="F33" s="167" t="n">
        <x:v>1</x:v>
      </x:c>
      <x:c r="G33" s="167" t="n">
        <x:f>IF(AND(C33=D33,E33=1),1,0)</x:f>
        <x:v>1</x:v>
      </x:c>
      <x:c r="H33" s="101" t="str">
        <x:f>IF(ABS(G33-F33)&lt;=0.000001,"PASS","FAIL")</x:f>
        <x:v>PASS</x:v>
      </x:c>
    </x:row>
    <x:row r="34">
      <x:c r="A34" s="101" t="str">
        <x:v>RID-05</x:v>
      </x:c>
      <x:c r="B34" s="101" t="str">
        <x:v>RESERVE IDENTITY</x:v>
      </x:c>
      <x:c r="C34" s="167" t="str">
        <x:v>RO</x:v>
      </x:c>
      <x:c r="D34" s="167" t="str">
        <x:v>RO</x:v>
      </x:c>
      <x:c r="E34" s="167" t="n">
        <x:v>1</x:v>
      </x:c>
      <x:c r="F34" s="167" t="n">
        <x:v>1</x:v>
      </x:c>
      <x:c r="G34" s="167" t="n">
        <x:f>IF(AND(C34=D34,E34=1),1,0)</x:f>
        <x:v>1</x:v>
      </x:c>
      <x:c r="H34" s="101" t="str">
        <x:f>IF(ABS(G34-F34)&lt;=0.000001,"PASS","FAIL")</x:f>
        <x:v>PASS</x:v>
      </x:c>
    </x:row>
    <x:row r="35">
      <x:c r="A35" s="101" t="str">
        <x:v>RID-06</x:v>
      </x:c>
      <x:c r="B35" s="101" t="str">
        <x:v>RESERVE IDENTITY</x:v>
      </x:c>
      <x:c r="C35" s="167" t="str">
        <x:v>RS</x:v>
      </x:c>
      <x:c r="D35" s="167" t="str">
        <x:v>RO</x:v>
      </x:c>
      <x:c r="E35" s="167" t="n">
        <x:v>0</x:v>
      </x:c>
      <x:c r="F35" s="167" t="n">
        <x:v>0</x:v>
      </x:c>
      <x:c r="G35" s="167" t="n">
        <x:f>IF(AND(C35=D35,E35=1),1,0)</x:f>
        <x:v>0</x:v>
      </x:c>
      <x:c r="H35" s="101" t="str">
        <x:f>IF(ABS(G35-F35)&lt;=0.000001,"PASS","FAIL")</x:f>
        <x:v>PASS</x:v>
      </x:c>
    </x:row>
    <x:row r="36">
      <x:c r="A36" s="101" t="str">
        <x:v>RID-07</x:v>
      </x:c>
      <x:c r="B36" s="101" t="str">
        <x:v>RESERVE IDENTITY</x:v>
      </x:c>
      <x:c r="C36" s="167" t="str">
        <x:v>RS</x:v>
      </x:c>
      <x:c r="D36" s="167" t="str">
        <x:v>RS</x:v>
      </x:c>
      <x:c r="E36" s="167" t="n">
        <x:v>1</x:v>
      </x:c>
      <x:c r="F36" s="167" t="n">
        <x:v>1</x:v>
      </x:c>
      <x:c r="G36" s="167" t="n">
        <x:f>IF(AND(C36=D36,E36=1),1,0)</x:f>
        <x:v>1</x:v>
      </x:c>
      <x:c r="H36" s="101" t="str">
        <x:f>IF(ABS(G36-F36)&lt;=0.000001,"PASS","FAIL")</x:f>
        <x:v>PASS</x:v>
      </x:c>
    </x:row>
    <x:row r="37">
      <x:c r="A37" s="101" t="str">
        <x:v>RID-08</x:v>
      </x:c>
      <x:c r="B37" s="101" t="str">
        <x:v>RESERVE IDENTITY</x:v>
      </x:c>
      <x:c r="C37" s="167" t="str">
        <x:v>RO</x:v>
      </x:c>
      <x:c r="D37" s="167" t="str">
        <x:v>RO</x:v>
      </x:c>
      <x:c r="E37" s="167" t="n">
        <x:v>1</x:v>
      </x:c>
      <x:c r="F37" s="167" t="n">
        <x:v>1</x:v>
      </x:c>
      <x:c r="G37" s="167" t="n">
        <x:f>IF(AND(C37=D37,E37=1),1,0)</x:f>
        <x:v>1</x:v>
      </x:c>
      <x:c r="H37" s="101" t="str">
        <x:f>IF(ABS(G37-F37)&lt;=0.000001,"PASS","FAIL")</x:f>
        <x:v>PASS</x:v>
      </x:c>
    </x:row>
    <x:row r="38">
      <x:c r="A38" s="101" t="str">
        <x:v>RID-09</x:v>
      </x:c>
      <x:c r="B38" s="101" t="str">
        <x:v>RESERVE IDENTITY</x:v>
      </x:c>
      <x:c r="C38" s="167" t="str">
        <x:v>RS</x:v>
      </x:c>
      <x:c r="D38" s="167" t="str">
        <x:v>RO</x:v>
      </x:c>
      <x:c r="E38" s="167" t="n">
        <x:v>1</x:v>
      </x:c>
      <x:c r="F38" s="167" t="n">
        <x:v>0</x:v>
      </x:c>
      <x:c r="G38" s="167" t="n">
        <x:f>IF(AND(C38=D38,E38=1),1,0)</x:f>
        <x:v>0</x:v>
      </x:c>
      <x:c r="H38" s="101" t="str">
        <x:f>IF(ABS(G38-F38)&lt;=0.000001,"PASS","FAIL")</x:f>
        <x:v>PASS</x:v>
      </x:c>
    </x:row>
    <x:row r="39">
      <x:c r="A39" s="101" t="str">
        <x:v>RID-10</x:v>
      </x:c>
      <x:c r="B39" s="101" t="str">
        <x:v>RESERVE IDENTITY</x:v>
      </x:c>
      <x:c r="C39" s="167" t="str">
        <x:v>RS</x:v>
      </x:c>
      <x:c r="D39" s="167" t="str">
        <x:v>RS</x:v>
      </x:c>
      <x:c r="E39" s="167" t="n">
        <x:v>1</x:v>
      </x:c>
      <x:c r="F39" s="167" t="n">
        <x:v>1</x:v>
      </x:c>
      <x:c r="G39" s="167" t="n">
        <x:f>IF(AND(C39=D39,E39=1),1,0)</x:f>
        <x:v>1</x:v>
      </x:c>
      <x:c r="H39" s="101" t="str">
        <x:f>IF(ABS(G39-F39)&lt;=0.000001,"PASS","FAIL")</x:f>
        <x:v>PASS</x:v>
      </x:c>
    </x:row>
    <x:row r="40">
      <x:c r="A40" s="101" t="str">
        <x:v>RID-11</x:v>
      </x:c>
      <x:c r="B40" s="101" t="str">
        <x:v>RESERVE IDENTITY</x:v>
      </x:c>
      <x:c r="C40" s="167" t="str">
        <x:v>RO</x:v>
      </x:c>
      <x:c r="D40" s="167" t="str">
        <x:v>RO</x:v>
      </x:c>
      <x:c r="E40" s="167" t="n">
        <x:v>0</x:v>
      </x:c>
      <x:c r="F40" s="167" t="n">
        <x:v>0</x:v>
      </x:c>
      <x:c r="G40" s="167" t="n">
        <x:f>IF(AND(C40=D40,E40=1),1,0)</x:f>
        <x:v>0</x:v>
      </x:c>
      <x:c r="H40" s="101" t="str">
        <x:f>IF(ABS(G40-F40)&lt;=0.000001,"PASS","FAIL")</x:f>
        <x:v>PASS</x:v>
      </x:c>
    </x:row>
    <x:row r="41">
      <x:c r="A41" s="101" t="str">
        <x:v>RID-12</x:v>
      </x:c>
      <x:c r="B41" s="101" t="str">
        <x:v>RESERVE IDENTITY</x:v>
      </x:c>
      <x:c r="C41" s="167" t="str">
        <x:v>RS</x:v>
      </x:c>
      <x:c r="D41" s="167" t="str">
        <x:v>RO</x:v>
      </x:c>
      <x:c r="E41" s="167" t="n">
        <x:v>1</x:v>
      </x:c>
      <x:c r="F41" s="167" t="n">
        <x:v>0</x:v>
      </x:c>
      <x:c r="G41" s="167" t="n">
        <x:f>IF(AND(C41=D41,E41=1),1,0)</x:f>
        <x:v>0</x:v>
      </x:c>
      <x:c r="H41" s="101" t="str">
        <x:f>IF(ABS(G41-F41)&lt;=0.000001,"PASS","FAIL")</x:f>
        <x:v>PASS</x:v>
      </x:c>
    </x:row>
    <x:row r="42">
      <x:c r="A42" s="101" t="str">
        <x:v>RID-13</x:v>
      </x:c>
      <x:c r="B42" s="101" t="str">
        <x:v>RESERVE IDENTITY</x:v>
      </x:c>
      <x:c r="C42" s="167" t="str">
        <x:v>RS</x:v>
      </x:c>
      <x:c r="D42" s="167" t="str">
        <x:v>RS</x:v>
      </x:c>
      <x:c r="E42" s="167" t="n">
        <x:v>1</x:v>
      </x:c>
      <x:c r="F42" s="167" t="n">
        <x:v>1</x:v>
      </x:c>
      <x:c r="G42" s="167" t="n">
        <x:f>IF(AND(C42=D42,E42=1),1,0)</x:f>
        <x:v>1</x:v>
      </x:c>
      <x:c r="H42" s="101" t="str">
        <x:f>IF(ABS(G42-F42)&lt;=0.000001,"PASS","FAIL")</x:f>
        <x:v>PASS</x:v>
      </x:c>
    </x:row>
    <x:row r="43">
      <x:c r="A43" s="101" t="str">
        <x:v>RID-14</x:v>
      </x:c>
      <x:c r="B43" s="101" t="str">
        <x:v>RESERVE IDENTITY</x:v>
      </x:c>
      <x:c r="C43" s="167" t="str">
        <x:v>RO</x:v>
      </x:c>
      <x:c r="D43" s="167" t="str">
        <x:v>RO</x:v>
      </x:c>
      <x:c r="E43" s="167" t="n">
        <x:v>1</x:v>
      </x:c>
      <x:c r="F43" s="167" t="n">
        <x:v>1</x:v>
      </x:c>
      <x:c r="G43" s="167" t="n">
        <x:f>IF(AND(C43=D43,E43=1),1,0)</x:f>
        <x:v>1</x:v>
      </x:c>
      <x:c r="H43" s="101" t="str">
        <x:f>IF(ABS(G43-F43)&lt;=0.000001,"PASS","FAIL")</x:f>
        <x:v>PASS</x:v>
      </x:c>
    </x:row>
    <x:row r="44">
      <x:c r="A44" s="101" t="str">
        <x:v>RID-15</x:v>
      </x:c>
      <x:c r="B44" s="101" t="str">
        <x:v>RESERVE IDENTITY</x:v>
      </x:c>
      <x:c r="C44" s="167" t="str">
        <x:v>RS</x:v>
      </x:c>
      <x:c r="D44" s="167" t="str">
        <x:v>RO</x:v>
      </x:c>
      <x:c r="E44" s="167" t="n">
        <x:v>1</x:v>
      </x:c>
      <x:c r="F44" s="167" t="n">
        <x:v>0</x:v>
      </x:c>
      <x:c r="G44" s="167" t="n">
        <x:f>IF(AND(C44=D44,E44=1),1,0)</x:f>
        <x:v>0</x:v>
      </x:c>
      <x:c r="H44" s="101" t="str">
        <x:f>IF(ABS(G44-F44)&lt;=0.000001,"PASS","FAIL")</x:f>
        <x:v>PASS</x:v>
      </x:c>
    </x:row>
    <x:row r="45">
      <x:c r="A45" s="101" t="str">
        <x:v>RID-16</x:v>
      </x:c>
      <x:c r="B45" s="101" t="str">
        <x:v>RESERVE IDENTITY</x:v>
      </x:c>
      <x:c r="C45" s="167" t="str">
        <x:v>RS</x:v>
      </x:c>
      <x:c r="D45" s="167" t="str">
        <x:v>RS</x:v>
      </x:c>
      <x:c r="E45" s="167" t="n">
        <x:v>0</x:v>
      </x:c>
      <x:c r="F45" s="167" t="n">
        <x:v>0</x:v>
      </x:c>
      <x:c r="G45" s="167" t="n">
        <x:f>IF(AND(C45=D45,E45=1),1,0)</x:f>
        <x:v>0</x:v>
      </x:c>
      <x:c r="H45" s="101" t="str">
        <x:f>IF(ABS(G45-F45)&lt;=0.000001,"PASS","FAIL")</x:f>
        <x:v>PASS</x:v>
      </x:c>
    </x:row>
    <x:row r="46">
      <x:c r="A46" s="101" t="str">
        <x:v>RID-17</x:v>
      </x:c>
      <x:c r="B46" s="101" t="str">
        <x:v>RESERVE IDENTITY</x:v>
      </x:c>
      <x:c r="C46" s="167" t="str">
        <x:v>RO</x:v>
      </x:c>
      <x:c r="D46" s="167" t="str">
        <x:v>RO</x:v>
      </x:c>
      <x:c r="E46" s="167" t="n">
        <x:v>1</x:v>
      </x:c>
      <x:c r="F46" s="167" t="n">
        <x:v>1</x:v>
      </x:c>
      <x:c r="G46" s="167" t="n">
        <x:f>IF(AND(C46=D46,E46=1),1,0)</x:f>
        <x:v>1</x:v>
      </x:c>
      <x:c r="H46" s="101" t="str">
        <x:f>IF(ABS(G46-F46)&lt;=0.000001,"PASS","FAIL")</x:f>
        <x:v>PASS</x:v>
      </x:c>
    </x:row>
    <x:row r="47">
      <x:c r="A47" s="101" t="str">
        <x:v>RID-18</x:v>
      </x:c>
      <x:c r="B47" s="101" t="str">
        <x:v>RESERVE IDENTITY</x:v>
      </x:c>
      <x:c r="C47" s="167" t="str">
        <x:v>RS</x:v>
      </x:c>
      <x:c r="D47" s="167" t="str">
        <x:v>RO</x:v>
      </x:c>
      <x:c r="E47" s="167" t="n">
        <x:v>1</x:v>
      </x:c>
      <x:c r="F47" s="167" t="n">
        <x:v>0</x:v>
      </x:c>
      <x:c r="G47" s="167" t="n">
        <x:f>IF(AND(C47=D47,E47=1),1,0)</x:f>
        <x:v>0</x:v>
      </x:c>
      <x:c r="H47" s="101" t="str">
        <x:f>IF(ABS(G47-F47)&lt;=0.000001,"PASS","FAIL")</x:f>
        <x:v>PASS</x:v>
      </x:c>
    </x:row>
    <x:row r="48">
      <x:c r="A48" s="101" t="str">
        <x:v>RID-19</x:v>
      </x:c>
      <x:c r="B48" s="101" t="str">
        <x:v>RESERVE IDENTITY</x:v>
      </x:c>
      <x:c r="C48" s="167" t="str">
        <x:v>RS</x:v>
      </x:c>
      <x:c r="D48" s="167" t="str">
        <x:v>RS</x:v>
      </x:c>
      <x:c r="E48" s="167" t="n">
        <x:v>1</x:v>
      </x:c>
      <x:c r="F48" s="167" t="n">
        <x:v>1</x:v>
      </x:c>
      <x:c r="G48" s="167" t="n">
        <x:f>IF(AND(C48=D48,E48=1),1,0)</x:f>
        <x:v>1</x:v>
      </x:c>
      <x:c r="H48" s="101" t="str">
        <x:f>IF(ABS(G48-F48)&lt;=0.000001,"PASS","FAIL")</x:f>
        <x:v>PASS</x:v>
      </x:c>
    </x:row>
    <x:row r="49">
      <x:c r="A49" s="101" t="str">
        <x:v>RID-20</x:v>
      </x:c>
      <x:c r="B49" s="101" t="str">
        <x:v>RESERVE IDENTITY</x:v>
      </x:c>
      <x:c r="C49" s="167" t="str">
        <x:v>RO</x:v>
      </x:c>
      <x:c r="D49" s="167" t="str">
        <x:v>RO</x:v>
      </x:c>
      <x:c r="E49" s="167" t="n">
        <x:v>1</x:v>
      </x:c>
      <x:c r="F49" s="167" t="n">
        <x:v>1</x:v>
      </x:c>
      <x:c r="G49" s="167" t="n">
        <x:f>IF(AND(C49=D49,E49=1),1,0)</x:f>
        <x:v>1</x:v>
      </x:c>
      <x:c r="H49" s="101" t="str">
        <x:f>IF(ABS(G49-F49)&lt;=0.000001,"PASS","FAIL")</x:f>
        <x:v>PASS</x:v>
      </x:c>
    </x:row>
    <x:row r="50">
      <x:c r="A50" s="101" t="str">
        <x:v>RID-21</x:v>
      </x:c>
      <x:c r="B50" s="101" t="str">
        <x:v>RESERVE IDENTITY</x:v>
      </x:c>
      <x:c r="C50" s="167" t="str">
        <x:v>RS</x:v>
      </x:c>
      <x:c r="D50" s="167" t="str">
        <x:v>RO</x:v>
      </x:c>
      <x:c r="E50" s="167" t="n">
        <x:v>0</x:v>
      </x:c>
      <x:c r="F50" s="167" t="n">
        <x:v>0</x:v>
      </x:c>
      <x:c r="G50" s="167" t="n">
        <x:f>IF(AND(C50=D50,E50=1),1,0)</x:f>
        <x:v>0</x:v>
      </x:c>
      <x:c r="H50" s="101" t="str">
        <x:f>IF(ABS(G50-F50)&lt;=0.000001,"PASS","FAIL")</x:f>
        <x:v>PASS</x:v>
      </x:c>
    </x:row>
    <x:row r="51">
      <x:c r="A51" s="101" t="str">
        <x:v>RID-22</x:v>
      </x:c>
      <x:c r="B51" s="101" t="str">
        <x:v>RESERVE IDENTITY</x:v>
      </x:c>
      <x:c r="C51" s="167" t="str">
        <x:v>RS</x:v>
      </x:c>
      <x:c r="D51" s="167" t="str">
        <x:v>RS</x:v>
      </x:c>
      <x:c r="E51" s="167" t="n">
        <x:v>1</x:v>
      </x:c>
      <x:c r="F51" s="167" t="n">
        <x:v>1</x:v>
      </x:c>
      <x:c r="G51" s="167" t="n">
        <x:f>IF(AND(C51=D51,E51=1),1,0)</x:f>
        <x:v>1</x:v>
      </x:c>
      <x:c r="H51" s="101" t="str">
        <x:f>IF(ABS(G51-F51)&lt;=0.000001,"PASS","FAIL")</x:f>
        <x:v>PASS</x:v>
      </x:c>
    </x:row>
    <x:row r="52">
      <x:c r="A52" s="101" t="str">
        <x:v>RID-23</x:v>
      </x:c>
      <x:c r="B52" s="101" t="str">
        <x:v>RESERVE IDENTITY</x:v>
      </x:c>
      <x:c r="C52" s="167" t="str">
        <x:v>RO</x:v>
      </x:c>
      <x:c r="D52" s="167" t="str">
        <x:v>RO</x:v>
      </x:c>
      <x:c r="E52" s="167" t="n">
        <x:v>1</x:v>
      </x:c>
      <x:c r="F52" s="167" t="n">
        <x:v>1</x:v>
      </x:c>
      <x:c r="G52" s="167" t="n">
        <x:f>IF(AND(C52=D52,E52=1),1,0)</x:f>
        <x:v>1</x:v>
      </x:c>
      <x:c r="H52" s="101" t="str">
        <x:f>IF(ABS(G52-F52)&lt;=0.000001,"PASS","FAIL")</x:f>
        <x:v>PASS</x:v>
      </x:c>
    </x:row>
    <x:row r="53">
      <x:c r="A53" s="101" t="str">
        <x:v>RID-24</x:v>
      </x:c>
      <x:c r="B53" s="101" t="str">
        <x:v>RESERVE IDENTITY</x:v>
      </x:c>
      <x:c r="C53" s="167" t="str">
        <x:v>RS</x:v>
      </x:c>
      <x:c r="D53" s="167" t="str">
        <x:v>RO</x:v>
      </x:c>
      <x:c r="E53" s="167" t="n">
        <x:v>1</x:v>
      </x:c>
      <x:c r="F53" s="167" t="n">
        <x:v>0</x:v>
      </x:c>
      <x:c r="G53" s="167" t="n">
        <x:f>IF(AND(C53=D53,E53=1),1,0)</x:f>
        <x:v>0</x:v>
      </x:c>
      <x:c r="H53" s="101" t="str">
        <x:f>IF(ABS(G53-F53)&lt;=0.000001,"PASS","FAIL")</x:f>
        <x:v>PASS</x:v>
      </x:c>
    </x:row>
    <x:row r="54">
      <x:c r="A54" s="101" t="str">
        <x:v>BUD-01</x:v>
      </x:c>
      <x:c r="B54" s="101" t="str">
        <x:v>CLASS BUDGET</x:v>
      </x:c>
      <x:c r="C54" s="167" t="n">
        <x:v>3.001</x:v>
      </x:c>
      <x:c r="D54" s="167" t="n">
        <x:v>3</x:v>
      </x:c>
      <x:c r="E54" s="167" t="str">
        <x:v>kg</x:v>
      </x:c>
      <x:c r="F54" s="167" t="n">
        <x:v>0</x:v>
      </x:c>
      <x:c r="G54" s="167" t="n">
        <x:f>IF(C54&lt;=D54,1,0)</x:f>
        <x:v>0</x:v>
      </x:c>
      <x:c r="H54" s="101" t="str">
        <x:f>IF(ABS(G54-F54)&lt;=0.000001,"PASS","FAIL")</x:f>
        <x:v>PASS</x:v>
      </x:c>
    </x:row>
    <x:row r="55">
      <x:c r="A55" s="101" t="str">
        <x:v>BUD-02</x:v>
      </x:c>
      <x:c r="B55" s="101" t="str">
        <x:v>CLASS BUDGET</x:v>
      </x:c>
      <x:c r="C55" s="167" t="n">
        <x:v>3</x:v>
      </x:c>
      <x:c r="D55" s="167" t="n">
        <x:v>3</x:v>
      </x:c>
      <x:c r="E55" s="167" t="str">
        <x:v>kg</x:v>
      </x:c>
      <x:c r="F55" s="167" t="n">
        <x:v>1</x:v>
      </x:c>
      <x:c r="G55" s="167" t="n">
        <x:f>IF(C55&lt;=D55,1,0)</x:f>
        <x:v>1</x:v>
      </x:c>
      <x:c r="H55" s="101" t="str">
        <x:f>IF(ABS(G55-F55)&lt;=0.000001,"PASS","FAIL")</x:f>
        <x:v>PASS</x:v>
      </x:c>
    </x:row>
    <x:row r="56">
      <x:c r="A56" s="101" t="str">
        <x:v>BUD-03</x:v>
      </x:c>
      <x:c r="B56" s="101" t="str">
        <x:v>CLASS BUDGET</x:v>
      </x:c>
      <x:c r="C56" s="167" t="n">
        <x:v>2.5</x:v>
      </x:c>
      <x:c r="D56" s="167" t="n">
        <x:v>3</x:v>
      </x:c>
      <x:c r="E56" s="167" t="str">
        <x:v>kg</x:v>
      </x:c>
      <x:c r="F56" s="167" t="n">
        <x:v>1</x:v>
      </x:c>
      <x:c r="G56" s="167" t="n">
        <x:f>IF(C56&lt;=D56,1,0)</x:f>
        <x:v>1</x:v>
      </x:c>
      <x:c r="H56" s="101" t="str">
        <x:f>IF(ABS(G56-F56)&lt;=0.000001,"PASS","FAIL")</x:f>
        <x:v>PASS</x:v>
      </x:c>
    </x:row>
    <x:row r="57">
      <x:c r="A57" s="101" t="str">
        <x:v>BUD-04</x:v>
      </x:c>
      <x:c r="B57" s="101" t="str">
        <x:v>CLASS BUDGET</x:v>
      </x:c>
      <x:c r="C57" s="167" t="n">
        <x:v>0</x:v>
      </x:c>
      <x:c r="D57" s="167" t="n">
        <x:v>3</x:v>
      </x:c>
      <x:c r="E57" s="167" t="str">
        <x:v>kg</x:v>
      </x:c>
      <x:c r="F57" s="167" t="n">
        <x:v>1</x:v>
      </x:c>
      <x:c r="G57" s="167" t="n">
        <x:f>IF(C57&lt;=D57,1,0)</x:f>
        <x:v>1</x:v>
      </x:c>
      <x:c r="H57" s="101" t="str">
        <x:f>IF(ABS(G57-F57)&lt;=0.000001,"PASS","FAIL")</x:f>
        <x:v>PASS</x:v>
      </x:c>
    </x:row>
    <x:row r="58">
      <x:c r="A58" s="101" t="str">
        <x:v>BUD-05</x:v>
      </x:c>
      <x:c r="B58" s="101" t="str">
        <x:v>CLASS BUDGET</x:v>
      </x:c>
      <x:c r="C58" s="167" t="n">
        <x:v>3.001</x:v>
      </x:c>
      <x:c r="D58" s="167" t="n">
        <x:v>3</x:v>
      </x:c>
      <x:c r="E58" s="167" t="str">
        <x:v>kg</x:v>
      </x:c>
      <x:c r="F58" s="167" t="n">
        <x:v>0</x:v>
      </x:c>
      <x:c r="G58" s="167" t="n">
        <x:f>IF(C58&lt;=D58,1,0)</x:f>
        <x:v>0</x:v>
      </x:c>
      <x:c r="H58" s="101" t="str">
        <x:f>IF(ABS(G58-F58)&lt;=0.000001,"PASS","FAIL")</x:f>
        <x:v>PASS</x:v>
      </x:c>
    </x:row>
    <x:row r="59">
      <x:c r="A59" s="101" t="str">
        <x:v>BUD-06</x:v>
      </x:c>
      <x:c r="B59" s="101" t="str">
        <x:v>CLASS BUDGET</x:v>
      </x:c>
      <x:c r="C59" s="167" t="n">
        <x:v>3</x:v>
      </x:c>
      <x:c r="D59" s="167" t="n">
        <x:v>3</x:v>
      </x:c>
      <x:c r="E59" s="167" t="str">
        <x:v>kg</x:v>
      </x:c>
      <x:c r="F59" s="167" t="n">
        <x:v>1</x:v>
      </x:c>
      <x:c r="G59" s="167" t="n">
        <x:f>IF(C59&lt;=D59,1,0)</x:f>
        <x:v>1</x:v>
      </x:c>
      <x:c r="H59" s="101" t="str">
        <x:f>IF(ABS(G59-F59)&lt;=0.000001,"PASS","FAIL")</x:f>
        <x:v>PASS</x:v>
      </x:c>
    </x:row>
    <x:row r="60">
      <x:c r="A60" s="101" t="str">
        <x:v>BUD-07</x:v>
      </x:c>
      <x:c r="B60" s="101" t="str">
        <x:v>CLASS BUDGET</x:v>
      </x:c>
      <x:c r="C60" s="167" t="n">
        <x:v>2.5</x:v>
      </x:c>
      <x:c r="D60" s="167" t="n">
        <x:v>3</x:v>
      </x:c>
      <x:c r="E60" s="167" t="str">
        <x:v>kg</x:v>
      </x:c>
      <x:c r="F60" s="167" t="n">
        <x:v>1</x:v>
      </x:c>
      <x:c r="G60" s="167" t="n">
        <x:f>IF(C60&lt;=D60,1,0)</x:f>
        <x:v>1</x:v>
      </x:c>
      <x:c r="H60" s="101" t="str">
        <x:f>IF(ABS(G60-F60)&lt;=0.000001,"PASS","FAIL")</x:f>
        <x:v>PASS</x:v>
      </x:c>
    </x:row>
    <x:row r="61">
      <x:c r="A61" s="101" t="str">
        <x:v>BUD-08</x:v>
      </x:c>
      <x:c r="B61" s="101" t="str">
        <x:v>CLASS BUDGET</x:v>
      </x:c>
      <x:c r="C61" s="167" t="n">
        <x:v>0</x:v>
      </x:c>
      <x:c r="D61" s="167" t="n">
        <x:v>3</x:v>
      </x:c>
      <x:c r="E61" s="167" t="str">
        <x:v>kg</x:v>
      </x:c>
      <x:c r="F61" s="167" t="n">
        <x:v>1</x:v>
      </x:c>
      <x:c r="G61" s="167" t="n">
        <x:f>IF(C61&lt;=D61,1,0)</x:f>
        <x:v>1</x:v>
      </x:c>
      <x:c r="H61" s="101" t="str">
        <x:f>IF(ABS(G61-F61)&lt;=0.000001,"PASS","FAIL")</x:f>
        <x:v>PASS</x:v>
      </x:c>
    </x:row>
    <x:row r="62">
      <x:c r="A62" s="101" t="str">
        <x:v>BUD-09</x:v>
      </x:c>
      <x:c r="B62" s="101" t="str">
        <x:v>CLASS BUDGET</x:v>
      </x:c>
      <x:c r="C62" s="167" t="n">
        <x:v>3.001</x:v>
      </x:c>
      <x:c r="D62" s="167" t="n">
        <x:v>3</x:v>
      </x:c>
      <x:c r="E62" s="167" t="str">
        <x:v>kg</x:v>
      </x:c>
      <x:c r="F62" s="167" t="n">
        <x:v>0</x:v>
      </x:c>
      <x:c r="G62" s="167" t="n">
        <x:f>IF(C62&lt;=D62,1,0)</x:f>
        <x:v>0</x:v>
      </x:c>
      <x:c r="H62" s="101" t="str">
        <x:f>IF(ABS(G62-F62)&lt;=0.000001,"PASS","FAIL")</x:f>
        <x:v>PASS</x:v>
      </x:c>
    </x:row>
    <x:row r="63">
      <x:c r="A63" s="101" t="str">
        <x:v>BUD-10</x:v>
      </x:c>
      <x:c r="B63" s="101" t="str">
        <x:v>CLASS BUDGET</x:v>
      </x:c>
      <x:c r="C63" s="167" t="n">
        <x:v>3</x:v>
      </x:c>
      <x:c r="D63" s="167" t="n">
        <x:v>3</x:v>
      </x:c>
      <x:c r="E63" s="167" t="str">
        <x:v>kg</x:v>
      </x:c>
      <x:c r="F63" s="167" t="n">
        <x:v>1</x:v>
      </x:c>
      <x:c r="G63" s="167" t="n">
        <x:f>IF(C63&lt;=D63,1,0)</x:f>
        <x:v>1</x:v>
      </x:c>
      <x:c r="H63" s="101" t="str">
        <x:f>IF(ABS(G63-F63)&lt;=0.000001,"PASS","FAIL")</x:f>
        <x:v>PASS</x:v>
      </x:c>
    </x:row>
    <x:row r="64">
      <x:c r="A64" s="101" t="str">
        <x:v>BUD-11</x:v>
      </x:c>
      <x:c r="B64" s="101" t="str">
        <x:v>CLASS BUDGET</x:v>
      </x:c>
      <x:c r="C64" s="167" t="n">
        <x:v>2.5</x:v>
      </x:c>
      <x:c r="D64" s="167" t="n">
        <x:v>3</x:v>
      </x:c>
      <x:c r="E64" s="167" t="str">
        <x:v>kg</x:v>
      </x:c>
      <x:c r="F64" s="167" t="n">
        <x:v>1</x:v>
      </x:c>
      <x:c r="G64" s="167" t="n">
        <x:f>IF(C64&lt;=D64,1,0)</x:f>
        <x:v>1</x:v>
      </x:c>
      <x:c r="H64" s="101" t="str">
        <x:f>IF(ABS(G64-F64)&lt;=0.000001,"PASS","FAIL")</x:f>
        <x:v>PASS</x:v>
      </x:c>
    </x:row>
    <x:row r="65">
      <x:c r="A65" s="101" t="str">
        <x:v>BUD-12</x:v>
      </x:c>
      <x:c r="B65" s="101" t="str">
        <x:v>CLASS BUDGET</x:v>
      </x:c>
      <x:c r="C65" s="167" t="n">
        <x:v>0</x:v>
      </x:c>
      <x:c r="D65" s="167" t="n">
        <x:v>3</x:v>
      </x:c>
      <x:c r="E65" s="167" t="str">
        <x:v>kg</x:v>
      </x:c>
      <x:c r="F65" s="167" t="n">
        <x:v>1</x:v>
      </x:c>
      <x:c r="G65" s="167" t="n">
        <x:f>IF(C65&lt;=D65,1,0)</x:f>
        <x:v>1</x:v>
      </x:c>
      <x:c r="H65" s="101" t="str">
        <x:f>IF(ABS(G65-F65)&lt;=0.000001,"PASS","FAIL")</x:f>
        <x:v>PASS</x:v>
      </x:c>
    </x:row>
    <x:row r="66">
      <x:c r="A66" s="101" t="str">
        <x:v>BUD-13</x:v>
      </x:c>
      <x:c r="B66" s="101" t="str">
        <x:v>CLASS BUDGET</x:v>
      </x:c>
      <x:c r="C66" s="167" t="n">
        <x:v>3.001</x:v>
      </x:c>
      <x:c r="D66" s="167" t="n">
        <x:v>3</x:v>
      </x:c>
      <x:c r="E66" s="167" t="str">
        <x:v>kg</x:v>
      </x:c>
      <x:c r="F66" s="167" t="n">
        <x:v>0</x:v>
      </x:c>
      <x:c r="G66" s="167" t="n">
        <x:f>IF(C66&lt;=D66,1,0)</x:f>
        <x:v>0</x:v>
      </x:c>
      <x:c r="H66" s="101" t="str">
        <x:f>IF(ABS(G66-F66)&lt;=0.000001,"PASS","FAIL")</x:f>
        <x:v>PASS</x:v>
      </x:c>
    </x:row>
    <x:row r="67">
      <x:c r="A67" s="101" t="str">
        <x:v>BUD-14</x:v>
      </x:c>
      <x:c r="B67" s="101" t="str">
        <x:v>CLASS BUDGET</x:v>
      </x:c>
      <x:c r="C67" s="167" t="n">
        <x:v>3</x:v>
      </x:c>
      <x:c r="D67" s="167" t="n">
        <x:v>3</x:v>
      </x:c>
      <x:c r="E67" s="167" t="str">
        <x:v>kg</x:v>
      </x:c>
      <x:c r="F67" s="167" t="n">
        <x:v>1</x:v>
      </x:c>
      <x:c r="G67" s="167" t="n">
        <x:f>IF(C67&lt;=D67,1,0)</x:f>
        <x:v>1</x:v>
      </x:c>
      <x:c r="H67" s="101" t="str">
        <x:f>IF(ABS(G67-F67)&lt;=0.000001,"PASS","FAIL")</x:f>
        <x:v>PASS</x:v>
      </x:c>
    </x:row>
    <x:row r="68">
      <x:c r="A68" s="101" t="str">
        <x:v>BUD-15</x:v>
      </x:c>
      <x:c r="B68" s="101" t="str">
        <x:v>CLASS BUDGET</x:v>
      </x:c>
      <x:c r="C68" s="167" t="n">
        <x:v>2.5</x:v>
      </x:c>
      <x:c r="D68" s="167" t="n">
        <x:v>3</x:v>
      </x:c>
      <x:c r="E68" s="167" t="str">
        <x:v>kg</x:v>
      </x:c>
      <x:c r="F68" s="167" t="n">
        <x:v>1</x:v>
      </x:c>
      <x:c r="G68" s="167" t="n">
        <x:f>IF(C68&lt;=D68,1,0)</x:f>
        <x:v>1</x:v>
      </x:c>
      <x:c r="H68" s="101" t="str">
        <x:f>IF(ABS(G68-F68)&lt;=0.000001,"PASS","FAIL")</x:f>
        <x:v>PASS</x:v>
      </x:c>
    </x:row>
    <x:row r="69">
      <x:c r="A69" s="101" t="str">
        <x:v>BUD-16</x:v>
      </x:c>
      <x:c r="B69" s="101" t="str">
        <x:v>CLASS BUDGET</x:v>
      </x:c>
      <x:c r="C69" s="167" t="n">
        <x:v>0</x:v>
      </x:c>
      <x:c r="D69" s="167" t="n">
        <x:v>3</x:v>
      </x:c>
      <x:c r="E69" s="167" t="str">
        <x:v>kg</x:v>
      </x:c>
      <x:c r="F69" s="167" t="n">
        <x:v>1</x:v>
      </x:c>
      <x:c r="G69" s="167" t="n">
        <x:f>IF(C69&lt;=D69,1,0)</x:f>
        <x:v>1</x:v>
      </x:c>
      <x:c r="H69" s="101" t="str">
        <x:f>IF(ABS(G69-F69)&lt;=0.000001,"PASS","FAIL")</x:f>
        <x:v>PASS</x:v>
      </x:c>
    </x:row>
    <x:row r="70">
      <x:c r="A70" s="101" t="str">
        <x:v>BUD-17</x:v>
      </x:c>
      <x:c r="B70" s="101" t="str">
        <x:v>CLASS BUDGET</x:v>
      </x:c>
      <x:c r="C70" s="167" t="n">
        <x:v>3.001</x:v>
      </x:c>
      <x:c r="D70" s="167" t="n">
        <x:v>3</x:v>
      </x:c>
      <x:c r="E70" s="167" t="str">
        <x:v>kg</x:v>
      </x:c>
      <x:c r="F70" s="167" t="n">
        <x:v>0</x:v>
      </x:c>
      <x:c r="G70" s="167" t="n">
        <x:f>IF(C70&lt;=D70,1,0)</x:f>
        <x:v>0</x:v>
      </x:c>
      <x:c r="H70" s="101" t="str">
        <x:f>IF(ABS(G70-F70)&lt;=0.000001,"PASS","FAIL")</x:f>
        <x:v>PASS</x:v>
      </x:c>
    </x:row>
    <x:row r="71">
      <x:c r="A71" s="101" t="str">
        <x:v>BUD-18</x:v>
      </x:c>
      <x:c r="B71" s="101" t="str">
        <x:v>CLASS BUDGET</x:v>
      </x:c>
      <x:c r="C71" s="167" t="n">
        <x:v>3</x:v>
      </x:c>
      <x:c r="D71" s="167" t="n">
        <x:v>3</x:v>
      </x:c>
      <x:c r="E71" s="167" t="str">
        <x:v>kg</x:v>
      </x:c>
      <x:c r="F71" s="167" t="n">
        <x:v>1</x:v>
      </x:c>
      <x:c r="G71" s="167" t="n">
        <x:f>IF(C71&lt;=D71,1,0)</x:f>
        <x:v>1</x:v>
      </x:c>
      <x:c r="H71" s="101" t="str">
        <x:f>IF(ABS(G71-F71)&lt;=0.000001,"PASS","FAIL")</x:f>
        <x:v>PASS</x:v>
      </x:c>
    </x:row>
    <x:row r="72">
      <x:c r="A72" s="101" t="str">
        <x:v>BUD-19</x:v>
      </x:c>
      <x:c r="B72" s="101" t="str">
        <x:v>CLASS BUDGET</x:v>
      </x:c>
      <x:c r="C72" s="167" t="n">
        <x:v>2.5</x:v>
      </x:c>
      <x:c r="D72" s="167" t="n">
        <x:v>3</x:v>
      </x:c>
      <x:c r="E72" s="167" t="str">
        <x:v>kg</x:v>
      </x:c>
      <x:c r="F72" s="167" t="n">
        <x:v>1</x:v>
      </x:c>
      <x:c r="G72" s="167" t="n">
        <x:f>IF(C72&lt;=D72,1,0)</x:f>
        <x:v>1</x:v>
      </x:c>
      <x:c r="H72" s="101" t="str">
        <x:f>IF(ABS(G72-F72)&lt;=0.000001,"PASS","FAIL")</x:f>
        <x:v>PASS</x:v>
      </x:c>
    </x:row>
    <x:row r="73">
      <x:c r="A73" s="101" t="str">
        <x:v>BUD-20</x:v>
      </x:c>
      <x:c r="B73" s="101" t="str">
        <x:v>CLASS BUDGET</x:v>
      </x:c>
      <x:c r="C73" s="167" t="n">
        <x:v>0</x:v>
      </x:c>
      <x:c r="D73" s="167" t="n">
        <x:v>3</x:v>
      </x:c>
      <x:c r="E73" s="167" t="str">
        <x:v>kg</x:v>
      </x:c>
      <x:c r="F73" s="167" t="n">
        <x:v>1</x:v>
      </x:c>
      <x:c r="G73" s="167" t="n">
        <x:f>IF(C73&lt;=D73,1,0)</x:f>
        <x:v>1</x:v>
      </x:c>
      <x:c r="H73" s="101" t="str">
        <x:f>IF(ABS(G73-F73)&lt;=0.000001,"PASS","FAIL")</x:f>
        <x:v>PASS</x:v>
      </x:c>
    </x:row>
    <x:row r="74">
      <x:c r="A74" s="101" t="str">
        <x:v>BUD-21</x:v>
      </x:c>
      <x:c r="B74" s="101" t="str">
        <x:v>CLASS BUDGET</x:v>
      </x:c>
      <x:c r="C74" s="167" t="n">
        <x:v>3.001</x:v>
      </x:c>
      <x:c r="D74" s="167" t="n">
        <x:v>3</x:v>
      </x:c>
      <x:c r="E74" s="167" t="str">
        <x:v>kg</x:v>
      </x:c>
      <x:c r="F74" s="167" t="n">
        <x:v>0</x:v>
      </x:c>
      <x:c r="G74" s="167" t="n">
        <x:f>IF(C74&lt;=D74,1,0)</x:f>
        <x:v>0</x:v>
      </x:c>
      <x:c r="H74" s="101" t="str">
        <x:f>IF(ABS(G74-F74)&lt;=0.000001,"PASS","FAIL")</x:f>
        <x:v>PASS</x:v>
      </x:c>
    </x:row>
    <x:row r="75">
      <x:c r="A75" s="101" t="str">
        <x:v>BUD-22</x:v>
      </x:c>
      <x:c r="B75" s="101" t="str">
        <x:v>CLASS BUDGET</x:v>
      </x:c>
      <x:c r="C75" s="167" t="n">
        <x:v>3</x:v>
      </x:c>
      <x:c r="D75" s="167" t="n">
        <x:v>3</x:v>
      </x:c>
      <x:c r="E75" s="167" t="str">
        <x:v>kg</x:v>
      </x:c>
      <x:c r="F75" s="167" t="n">
        <x:v>1</x:v>
      </x:c>
      <x:c r="G75" s="167" t="n">
        <x:f>IF(C75&lt;=D75,1,0)</x:f>
        <x:v>1</x:v>
      </x:c>
      <x:c r="H75" s="101" t="str">
        <x:f>IF(ABS(G75-F75)&lt;=0.000001,"PASS","FAIL")</x:f>
        <x:v>PASS</x:v>
      </x:c>
    </x:row>
    <x:row r="76">
      <x:c r="A76" s="101" t="str">
        <x:v>BUD-23</x:v>
      </x:c>
      <x:c r="B76" s="101" t="str">
        <x:v>CLASS BUDGET</x:v>
      </x:c>
      <x:c r="C76" s="167" t="n">
        <x:v>2.5</x:v>
      </x:c>
      <x:c r="D76" s="167" t="n">
        <x:v>3</x:v>
      </x:c>
      <x:c r="E76" s="167" t="str">
        <x:v>kg</x:v>
      </x:c>
      <x:c r="F76" s="167" t="n">
        <x:v>1</x:v>
      </x:c>
      <x:c r="G76" s="167" t="n">
        <x:f>IF(C76&lt;=D76,1,0)</x:f>
        <x:v>1</x:v>
      </x:c>
      <x:c r="H76" s="101" t="str">
        <x:f>IF(ABS(G76-F76)&lt;=0.000001,"PASS","FAIL")</x:f>
        <x:v>PASS</x:v>
      </x:c>
    </x:row>
    <x:row r="77">
      <x:c r="A77" s="101" t="str">
        <x:v>BUD-24</x:v>
      </x:c>
      <x:c r="B77" s="101" t="str">
        <x:v>CLASS BUDGET</x:v>
      </x:c>
      <x:c r="C77" s="167" t="n">
        <x:v>0</x:v>
      </x:c>
      <x:c r="D77" s="167" t="n">
        <x:v>3</x:v>
      </x:c>
      <x:c r="E77" s="167" t="str">
        <x:v>kg</x:v>
      </x:c>
      <x:c r="F77" s="167" t="n">
        <x:v>1</x:v>
      </x:c>
      <x:c r="G77" s="167" t="n">
        <x:f>IF(C77&lt;=D77,1,0)</x:f>
        <x:v>1</x:v>
      </x:c>
      <x:c r="H77" s="101" t="str">
        <x:f>IF(ABS(G77-F77)&lt;=0.000001,"PASS","FAIL")</x:f>
        <x:v>PASS</x:v>
      </x:c>
    </x:row>
    <x:row r="78">
      <x:c r="A78" s="101" t="str">
        <x:v>PKG-01</x:v>
      </x:c>
      <x:c r="B78" s="101" t="str">
        <x:v>PACKAGE CAPACITY</x:v>
      </x:c>
      <x:c r="C78" s="167" t="n">
        <x:v>15</x:v>
      </x:c>
      <x:c r="D78" s="167" t="n">
        <x:v>26</x:v>
      </x:c>
      <x:c r="E78" s="167" t="str">
        <x:v>attempts</x:v>
      </x:c>
      <x:c r="F78" s="167" t="n">
        <x:v>1</x:v>
      </x:c>
      <x:c r="G78" s="167" t="n">
        <x:f>IF(C78&lt;=D78,1,0)</x:f>
        <x:v>1</x:v>
      </x:c>
      <x:c r="H78" s="101" t="str">
        <x:f>IF(ABS(G78-F78)&lt;=0.000001,"PASS","FAIL")</x:f>
        <x:v>PASS</x:v>
      </x:c>
    </x:row>
    <x:row r="79">
      <x:c r="A79" s="101" t="str">
        <x:v>PKG-02</x:v>
      </x:c>
      <x:c r="B79" s="101" t="str">
        <x:v>PACKAGE CAPACITY</x:v>
      </x:c>
      <x:c r="C79" s="167" t="n">
        <x:v>16</x:v>
      </x:c>
      <x:c r="D79" s="167" t="n">
        <x:v>26</x:v>
      </x:c>
      <x:c r="E79" s="167" t="str">
        <x:v>attempts</x:v>
      </x:c>
      <x:c r="F79" s="167" t="n">
        <x:v>1</x:v>
      </x:c>
      <x:c r="G79" s="167" t="n">
        <x:f>IF(C79&lt;=D79,1,0)</x:f>
        <x:v>1</x:v>
      </x:c>
      <x:c r="H79" s="101" t="str">
        <x:f>IF(ABS(G79-F79)&lt;=0.000001,"PASS","FAIL")</x:f>
        <x:v>PASS</x:v>
      </x:c>
    </x:row>
    <x:row r="80">
      <x:c r="A80" s="101" t="str">
        <x:v>PKG-03</x:v>
      </x:c>
      <x:c r="B80" s="101" t="str">
        <x:v>PACKAGE CAPACITY</x:v>
      </x:c>
      <x:c r="C80" s="167" t="n">
        <x:v>17</x:v>
      </x:c>
      <x:c r="D80" s="167" t="n">
        <x:v>26</x:v>
      </x:c>
      <x:c r="E80" s="167" t="str">
        <x:v>attempts</x:v>
      </x:c>
      <x:c r="F80" s="167" t="n">
        <x:v>1</x:v>
      </x:c>
      <x:c r="G80" s="167" t="n">
        <x:f>IF(C80&lt;=D80,1,0)</x:f>
        <x:v>1</x:v>
      </x:c>
      <x:c r="H80" s="101" t="str">
        <x:f>IF(ABS(G80-F80)&lt;=0.000001,"PASS","FAIL")</x:f>
        <x:v>PASS</x:v>
      </x:c>
    </x:row>
    <x:row r="81">
      <x:c r="A81" s="101" t="str">
        <x:v>PKG-04</x:v>
      </x:c>
      <x:c r="B81" s="101" t="str">
        <x:v>PACKAGE CAPACITY</x:v>
      </x:c>
      <x:c r="C81" s="167" t="n">
        <x:v>18</x:v>
      </x:c>
      <x:c r="D81" s="167" t="n">
        <x:v>26</x:v>
      </x:c>
      <x:c r="E81" s="167" t="str">
        <x:v>attempts</x:v>
      </x:c>
      <x:c r="F81" s="167" t="n">
        <x:v>1</x:v>
      </x:c>
      <x:c r="G81" s="167" t="n">
        <x:f>IF(C81&lt;=D81,1,0)</x:f>
        <x:v>1</x:v>
      </x:c>
      <x:c r="H81" s="101" t="str">
        <x:f>IF(ABS(G81-F81)&lt;=0.000001,"PASS","FAIL")</x:f>
        <x:v>PASS</x:v>
      </x:c>
    </x:row>
    <x:row r="82">
      <x:c r="A82" s="101" t="str">
        <x:v>PKG-05</x:v>
      </x:c>
      <x:c r="B82" s="101" t="str">
        <x:v>PACKAGE CAPACITY</x:v>
      </x:c>
      <x:c r="C82" s="167" t="n">
        <x:v>19</x:v>
      </x:c>
      <x:c r="D82" s="167" t="n">
        <x:v>26</x:v>
      </x:c>
      <x:c r="E82" s="167" t="str">
        <x:v>attempts</x:v>
      </x:c>
      <x:c r="F82" s="167" t="n">
        <x:v>1</x:v>
      </x:c>
      <x:c r="G82" s="167" t="n">
        <x:f>IF(C82&lt;=D82,1,0)</x:f>
        <x:v>1</x:v>
      </x:c>
      <x:c r="H82" s="101" t="str">
        <x:f>IF(ABS(G82-F82)&lt;=0.000001,"PASS","FAIL")</x:f>
        <x:v>PASS</x:v>
      </x:c>
    </x:row>
    <x:row r="83">
      <x:c r="A83" s="101" t="str">
        <x:v>PKG-06</x:v>
      </x:c>
      <x:c r="B83" s="101" t="str">
        <x:v>PACKAGE CAPACITY</x:v>
      </x:c>
      <x:c r="C83" s="167" t="n">
        <x:v>20</x:v>
      </x:c>
      <x:c r="D83" s="167" t="n">
        <x:v>26</x:v>
      </x:c>
      <x:c r="E83" s="167" t="str">
        <x:v>attempts</x:v>
      </x:c>
      <x:c r="F83" s="167" t="n">
        <x:v>1</x:v>
      </x:c>
      <x:c r="G83" s="167" t="n">
        <x:f>IF(C83&lt;=D83,1,0)</x:f>
        <x:v>1</x:v>
      </x:c>
      <x:c r="H83" s="101" t="str">
        <x:f>IF(ABS(G83-F83)&lt;=0.000001,"PASS","FAIL")</x:f>
        <x:v>PASS</x:v>
      </x:c>
    </x:row>
    <x:row r="84">
      <x:c r="A84" s="101" t="str">
        <x:v>PKG-07</x:v>
      </x:c>
      <x:c r="B84" s="101" t="str">
        <x:v>PACKAGE CAPACITY</x:v>
      </x:c>
      <x:c r="C84" s="167" t="n">
        <x:v>21</x:v>
      </x:c>
      <x:c r="D84" s="167" t="n">
        <x:v>26</x:v>
      </x:c>
      <x:c r="E84" s="167" t="str">
        <x:v>attempts</x:v>
      </x:c>
      <x:c r="F84" s="167" t="n">
        <x:v>1</x:v>
      </x:c>
      <x:c r="G84" s="167" t="n">
        <x:f>IF(C84&lt;=D84,1,0)</x:f>
        <x:v>1</x:v>
      </x:c>
      <x:c r="H84" s="101" t="str">
        <x:f>IF(ABS(G84-F84)&lt;=0.000001,"PASS","FAIL")</x:f>
        <x:v>PASS</x:v>
      </x:c>
    </x:row>
    <x:row r="85">
      <x:c r="A85" s="101" t="str">
        <x:v>PKG-08</x:v>
      </x:c>
      <x:c r="B85" s="101" t="str">
        <x:v>PACKAGE CAPACITY</x:v>
      </x:c>
      <x:c r="C85" s="167" t="n">
        <x:v>22</x:v>
      </x:c>
      <x:c r="D85" s="167" t="n">
        <x:v>26</x:v>
      </x:c>
      <x:c r="E85" s="167" t="str">
        <x:v>attempts</x:v>
      </x:c>
      <x:c r="F85" s="167" t="n">
        <x:v>1</x:v>
      </x:c>
      <x:c r="G85" s="167" t="n">
        <x:f>IF(C85&lt;=D85,1,0)</x:f>
        <x:v>1</x:v>
      </x:c>
      <x:c r="H85" s="101" t="str">
        <x:f>IF(ABS(G85-F85)&lt;=0.000001,"PASS","FAIL")</x:f>
        <x:v>PASS</x:v>
      </x:c>
    </x:row>
    <x:row r="86">
      <x:c r="A86" s="101" t="str">
        <x:v>PKG-09</x:v>
      </x:c>
      <x:c r="B86" s="101" t="str">
        <x:v>PACKAGE CAPACITY</x:v>
      </x:c>
      <x:c r="C86" s="167" t="n">
        <x:v>23</x:v>
      </x:c>
      <x:c r="D86" s="167" t="n">
        <x:v>26</x:v>
      </x:c>
      <x:c r="E86" s="167" t="str">
        <x:v>attempts</x:v>
      </x:c>
      <x:c r="F86" s="167" t="n">
        <x:v>1</x:v>
      </x:c>
      <x:c r="G86" s="167" t="n">
        <x:f>IF(C86&lt;=D86,1,0)</x:f>
        <x:v>1</x:v>
      </x:c>
      <x:c r="H86" s="101" t="str">
        <x:f>IF(ABS(G86-F86)&lt;=0.000001,"PASS","FAIL")</x:f>
        <x:v>PASS</x:v>
      </x:c>
    </x:row>
    <x:row r="87">
      <x:c r="A87" s="101" t="str">
        <x:v>PKG-10</x:v>
      </x:c>
      <x:c r="B87" s="101" t="str">
        <x:v>PACKAGE CAPACITY</x:v>
      </x:c>
      <x:c r="C87" s="167" t="n">
        <x:v>24</x:v>
      </x:c>
      <x:c r="D87" s="167" t="n">
        <x:v>26</x:v>
      </x:c>
      <x:c r="E87" s="167" t="str">
        <x:v>attempts</x:v>
      </x:c>
      <x:c r="F87" s="167" t="n">
        <x:v>1</x:v>
      </x:c>
      <x:c r="G87" s="167" t="n">
        <x:f>IF(C87&lt;=D87,1,0)</x:f>
        <x:v>1</x:v>
      </x:c>
      <x:c r="H87" s="101" t="str">
        <x:f>IF(ABS(G87-F87)&lt;=0.000001,"PASS","FAIL")</x:f>
        <x:v>PASS</x:v>
      </x:c>
    </x:row>
    <x:row r="88">
      <x:c r="A88" s="101" t="str">
        <x:v>PKG-11</x:v>
      </x:c>
      <x:c r="B88" s="101" t="str">
        <x:v>PACKAGE CAPACITY</x:v>
      </x:c>
      <x:c r="C88" s="167" t="n">
        <x:v>25</x:v>
      </x:c>
      <x:c r="D88" s="167" t="n">
        <x:v>26</x:v>
      </x:c>
      <x:c r="E88" s="167" t="str">
        <x:v>attempts</x:v>
      </x:c>
      <x:c r="F88" s="167" t="n">
        <x:v>1</x:v>
      </x:c>
      <x:c r="G88" s="167" t="n">
        <x:f>IF(C88&lt;=D88,1,0)</x:f>
        <x:v>1</x:v>
      </x:c>
      <x:c r="H88" s="101" t="str">
        <x:f>IF(ABS(G88-F88)&lt;=0.000001,"PASS","FAIL")</x:f>
        <x:v>PASS</x:v>
      </x:c>
    </x:row>
    <x:row r="89">
      <x:c r="A89" s="101" t="str">
        <x:v>PKG-12</x:v>
      </x:c>
      <x:c r="B89" s="101" t="str">
        <x:v>PACKAGE CAPACITY</x:v>
      </x:c>
      <x:c r="C89" s="167" t="n">
        <x:v>26</x:v>
      </x:c>
      <x:c r="D89" s="167" t="n">
        <x:v>26</x:v>
      </x:c>
      <x:c r="E89" s="167" t="str">
        <x:v>attempts</x:v>
      </x:c>
      <x:c r="F89" s="167" t="n">
        <x:v>1</x:v>
      </x:c>
      <x:c r="G89" s="167" t="n">
        <x:f>IF(C89&lt;=D89,1,0)</x:f>
        <x:v>1</x:v>
      </x:c>
      <x:c r="H89" s="101" t="str">
        <x:f>IF(ABS(G89-F89)&lt;=0.000001,"PASS","FAIL")</x:f>
        <x:v>PASS</x:v>
      </x:c>
    </x:row>
    <x:row r="90">
      <x:c r="A90" s="101" t="str">
        <x:v>PKG-13</x:v>
      </x:c>
      <x:c r="B90" s="101" t="str">
        <x:v>PACKAGE CAPACITY</x:v>
      </x:c>
      <x:c r="C90" s="167" t="n">
        <x:v>27</x:v>
      </x:c>
      <x:c r="D90" s="167" t="n">
        <x:v>26</x:v>
      </x:c>
      <x:c r="E90" s="167" t="str">
        <x:v>attempts</x:v>
      </x:c>
      <x:c r="F90" s="167" t="n">
        <x:v>0</x:v>
      </x:c>
      <x:c r="G90" s="167" t="n">
        <x:f>IF(C90&lt;=D90,1,0)</x:f>
        <x:v>0</x:v>
      </x:c>
      <x:c r="H90" s="101" t="str">
        <x:f>IF(ABS(G90-F90)&lt;=0.000001,"PASS","FAIL")</x:f>
        <x:v>PASS</x:v>
      </x:c>
    </x:row>
    <x:row r="91">
      <x:c r="A91" s="101" t="str">
        <x:v>PKG-14</x:v>
      </x:c>
      <x:c r="B91" s="101" t="str">
        <x:v>PACKAGE CAPACITY</x:v>
      </x:c>
      <x:c r="C91" s="167" t="n">
        <x:v>28</x:v>
      </x:c>
      <x:c r="D91" s="167" t="n">
        <x:v>26</x:v>
      </x:c>
      <x:c r="E91" s="167" t="str">
        <x:v>attempts</x:v>
      </x:c>
      <x:c r="F91" s="167" t="n">
        <x:v>0</x:v>
      </x:c>
      <x:c r="G91" s="167" t="n">
        <x:f>IF(C91&lt;=D91,1,0)</x:f>
        <x:v>0</x:v>
      </x:c>
      <x:c r="H91" s="101" t="str">
        <x:f>IF(ABS(G91-F91)&lt;=0.000001,"PASS","FAIL")</x:f>
        <x:v>PASS</x:v>
      </x:c>
    </x:row>
    <x:row r="92">
      <x:c r="A92" s="101" t="str">
        <x:v>PKG-15</x:v>
      </x:c>
      <x:c r="B92" s="101" t="str">
        <x:v>PACKAGE CAPACITY</x:v>
      </x:c>
      <x:c r="C92" s="167" t="n">
        <x:v>29</x:v>
      </x:c>
      <x:c r="D92" s="167" t="n">
        <x:v>26</x:v>
      </x:c>
      <x:c r="E92" s="167" t="str">
        <x:v>attempts</x:v>
      </x:c>
      <x:c r="F92" s="167" t="n">
        <x:v>0</x:v>
      </x:c>
      <x:c r="G92" s="167" t="n">
        <x:f>IF(C92&lt;=D92,1,0)</x:f>
        <x:v>0</x:v>
      </x:c>
      <x:c r="H92" s="101" t="str">
        <x:f>IF(ABS(G92-F92)&lt;=0.000001,"PASS","FAIL")</x:f>
        <x:v>PASS</x:v>
      </x:c>
    </x:row>
    <x:row r="93">
      <x:c r="A93" s="101" t="str">
        <x:v>PKG-16</x:v>
      </x:c>
      <x:c r="B93" s="101" t="str">
        <x:v>PACKAGE CAPACITY</x:v>
      </x:c>
      <x:c r="C93" s="167" t="n">
        <x:v>30</x:v>
      </x:c>
      <x:c r="D93" s="167" t="n">
        <x:v>26</x:v>
      </x:c>
      <x:c r="E93" s="167" t="str">
        <x:v>attempts</x:v>
      </x:c>
      <x:c r="F93" s="167" t="n">
        <x:v>0</x:v>
      </x:c>
      <x:c r="G93" s="167" t="n">
        <x:f>IF(C93&lt;=D93,1,0)</x:f>
        <x:v>0</x:v>
      </x:c>
      <x:c r="H93" s="101" t="str">
        <x:f>IF(ABS(G93-F93)&lt;=0.000001,"PASS","FAIL")</x:f>
        <x:v>PASS</x:v>
      </x:c>
    </x:row>
    <x:row r="94">
      <x:c r="A94" s="101" t="str">
        <x:v>PKG-17</x:v>
      </x:c>
      <x:c r="B94" s="101" t="str">
        <x:v>PACKAGE CAPACITY</x:v>
      </x:c>
      <x:c r="C94" s="167" t="n">
        <x:v>31</x:v>
      </x:c>
      <x:c r="D94" s="167" t="n">
        <x:v>26</x:v>
      </x:c>
      <x:c r="E94" s="167" t="str">
        <x:v>attempts</x:v>
      </x:c>
      <x:c r="F94" s="167" t="n">
        <x:v>0</x:v>
      </x:c>
      <x:c r="G94" s="167" t="n">
        <x:f>IF(C94&lt;=D94,1,0)</x:f>
        <x:v>0</x:v>
      </x:c>
      <x:c r="H94" s="101" t="str">
        <x:f>IF(ABS(G94-F94)&lt;=0.000001,"PASS","FAIL")</x:f>
        <x:v>PASS</x:v>
      </x:c>
    </x:row>
    <x:row r="95">
      <x:c r="A95" s="101" t="str">
        <x:v>PKG-18</x:v>
      </x:c>
      <x:c r="B95" s="101" t="str">
        <x:v>PACKAGE CAPACITY</x:v>
      </x:c>
      <x:c r="C95" s="167" t="n">
        <x:v>32</x:v>
      </x:c>
      <x:c r="D95" s="167" t="n">
        <x:v>26</x:v>
      </x:c>
      <x:c r="E95" s="167" t="str">
        <x:v>attempts</x:v>
      </x:c>
      <x:c r="F95" s="167" t="n">
        <x:v>0</x:v>
      </x:c>
      <x:c r="G95" s="167" t="n">
        <x:f>IF(C95&lt;=D95,1,0)</x:f>
        <x:v>0</x:v>
      </x:c>
      <x:c r="H95" s="101" t="str">
        <x:f>IF(ABS(G95-F95)&lt;=0.000001,"PASS","FAIL")</x:f>
        <x:v>PASS</x:v>
      </x:c>
    </x:row>
    <x:row r="96">
      <x:c r="A96" s="101" t="str">
        <x:v>PKG-19</x:v>
      </x:c>
      <x:c r="B96" s="101" t="str">
        <x:v>PACKAGE CAPACITY</x:v>
      </x:c>
      <x:c r="C96" s="167" t="n">
        <x:v>33</x:v>
      </x:c>
      <x:c r="D96" s="167" t="n">
        <x:v>26</x:v>
      </x:c>
      <x:c r="E96" s="167" t="str">
        <x:v>attempts</x:v>
      </x:c>
      <x:c r="F96" s="167" t="n">
        <x:v>0</x:v>
      </x:c>
      <x:c r="G96" s="167" t="n">
        <x:f>IF(C96&lt;=D96,1,0)</x:f>
        <x:v>0</x:v>
      </x:c>
      <x:c r="H96" s="101" t="str">
        <x:f>IF(ABS(G96-F96)&lt;=0.000001,"PASS","FAIL")</x:f>
        <x:v>PASS</x:v>
      </x:c>
    </x:row>
    <x:row r="97">
      <x:c r="A97" s="101" t="str">
        <x:v>PKG-20</x:v>
      </x:c>
      <x:c r="B97" s="101" t="str">
        <x:v>PACKAGE CAPACITY</x:v>
      </x:c>
      <x:c r="C97" s="167" t="n">
        <x:v>34</x:v>
      </x:c>
      <x:c r="D97" s="167" t="n">
        <x:v>26</x:v>
      </x:c>
      <x:c r="E97" s="167" t="str">
        <x:v>attempts</x:v>
      </x:c>
      <x:c r="F97" s="167" t="n">
        <x:v>0</x:v>
      </x:c>
      <x:c r="G97" s="167" t="n">
        <x:f>IF(C97&lt;=D97,1,0)</x:f>
        <x:v>0</x:v>
      </x:c>
      <x:c r="H97" s="101" t="str">
        <x:f>IF(ABS(G97-F97)&lt;=0.000001,"PASS","FAIL")</x:f>
        <x:v>PASS</x:v>
      </x:c>
    </x:row>
    <x:row r="98">
      <x:c r="A98" s="101" t="str">
        <x:v>PKG-21</x:v>
      </x:c>
      <x:c r="B98" s="101" t="str">
        <x:v>PACKAGE CAPACITY</x:v>
      </x:c>
      <x:c r="C98" s="167" t="n">
        <x:v>35</x:v>
      </x:c>
      <x:c r="D98" s="167" t="n">
        <x:v>26</x:v>
      </x:c>
      <x:c r="E98" s="167" t="str">
        <x:v>attempts</x:v>
      </x:c>
      <x:c r="F98" s="167" t="n">
        <x:v>0</x:v>
      </x:c>
      <x:c r="G98" s="167" t="n">
        <x:f>IF(C98&lt;=D98,1,0)</x:f>
        <x:v>0</x:v>
      </x:c>
      <x:c r="H98" s="101" t="str">
        <x:f>IF(ABS(G98-F98)&lt;=0.000001,"PASS","FAIL")</x:f>
        <x:v>PASS</x:v>
      </x:c>
    </x:row>
    <x:row r="99">
      <x:c r="A99" s="101" t="str">
        <x:v>PKG-22</x:v>
      </x:c>
      <x:c r="B99" s="101" t="str">
        <x:v>PACKAGE CAPACITY</x:v>
      </x:c>
      <x:c r="C99" s="167" t="n">
        <x:v>36</x:v>
      </x:c>
      <x:c r="D99" s="167" t="n">
        <x:v>26</x:v>
      </x:c>
      <x:c r="E99" s="167" t="str">
        <x:v>attempts</x:v>
      </x:c>
      <x:c r="F99" s="167" t="n">
        <x:v>0</x:v>
      </x:c>
      <x:c r="G99" s="167" t="n">
        <x:f>IF(C99&lt;=D99,1,0)</x:f>
        <x:v>0</x:v>
      </x:c>
      <x:c r="H99" s="101" t="str">
        <x:f>IF(ABS(G99-F99)&lt;=0.000001,"PASS","FAIL")</x:f>
        <x:v>PASS</x:v>
      </x:c>
    </x:row>
    <x:row r="100">
      <x:c r="A100" s="101" t="str">
        <x:v>PKG-23</x:v>
      </x:c>
      <x:c r="B100" s="101" t="str">
        <x:v>PACKAGE CAPACITY</x:v>
      </x:c>
      <x:c r="C100" s="167" t="n">
        <x:v>37</x:v>
      </x:c>
      <x:c r="D100" s="167" t="n">
        <x:v>26</x:v>
      </x:c>
      <x:c r="E100" s="167" t="str">
        <x:v>attempts</x:v>
      </x:c>
      <x:c r="F100" s="167" t="n">
        <x:v>0</x:v>
      </x:c>
      <x:c r="G100" s="167" t="n">
        <x:f>IF(C100&lt;=D100,1,0)</x:f>
        <x:v>0</x:v>
      </x:c>
      <x:c r="H100" s="101" t="str">
        <x:f>IF(ABS(G100-F100)&lt;=0.000001,"PASS","FAIL")</x:f>
        <x:v>PASS</x:v>
      </x:c>
    </x:row>
    <x:row r="101">
      <x:c r="A101" s="101" t="str">
        <x:v>PKG-24</x:v>
      </x:c>
      <x:c r="B101" s="101" t="str">
        <x:v>PACKAGE CAPACITY</x:v>
      </x:c>
      <x:c r="C101" s="167" t="n">
        <x:v>38</x:v>
      </x:c>
      <x:c r="D101" s="167" t="n">
        <x:v>26</x:v>
      </x:c>
      <x:c r="E101" s="167" t="str">
        <x:v>attempts</x:v>
      </x:c>
      <x:c r="F101" s="167" t="n">
        <x:v>0</x:v>
      </x:c>
      <x:c r="G101" s="167" t="n">
        <x:f>IF(C101&lt;=D101,1,0)</x:f>
        <x:v>0</x:v>
      </x:c>
      <x:c r="H101" s="101" t="str">
        <x:f>IF(ABS(G101-F101)&lt;=0.000001,"PASS","FAIL")</x:f>
        <x:v>PASS</x:v>
      </x:c>
    </x:row>
    <x:row r="102">
      <x:c r="A102" s="101" t="str">
        <x:v>EVD-01</x:v>
      </x:c>
      <x:c r="B102" s="101" t="str">
        <x:v>EVIDENCE SCALE</x:v>
      </x:c>
      <x:c r="C102" s="167" t="n">
        <x:v>1</x:v>
      </x:c>
      <x:c r="D102" s="167" t="n">
        <x:v>249.6800412288</x:v>
      </x:c>
      <x:c r="E102" s="167" t="str">
        <x:v>GB per attempt</x:v>
      </x:c>
      <x:c r="F102" s="167" t="n">
        <x:v>249.6800412288</x:v>
      </x:c>
      <x:c r="G102" s="167" t="n">
        <x:f>C102*D102</x:f>
        <x:v>249.6800412288</x:v>
      </x:c>
      <x:c r="H102" s="101" t="str">
        <x:f>IF(ABS(G102-F102)&lt;=0.000001,"PASS","FAIL")</x:f>
        <x:v>PASS</x:v>
      </x:c>
    </x:row>
    <x:row r="103">
      <x:c r="A103" s="101" t="str">
        <x:v>EVD-02</x:v>
      </x:c>
      <x:c r="B103" s="101" t="str">
        <x:v>EVIDENCE SCALE</x:v>
      </x:c>
      <x:c r="C103" s="167" t="n">
        <x:v>2</x:v>
      </x:c>
      <x:c r="D103" s="167" t="n">
        <x:v>249.6800412288</x:v>
      </x:c>
      <x:c r="E103" s="167" t="str">
        <x:v>GB per attempt</x:v>
      </x:c>
      <x:c r="F103" s="167" t="n">
        <x:v>499.3600824576</x:v>
      </x:c>
      <x:c r="G103" s="167" t="n">
        <x:f>C103*D103</x:f>
        <x:v>499.3600824576</x:v>
      </x:c>
      <x:c r="H103" s="101" t="str">
        <x:f>IF(ABS(G103-F103)&lt;=0.000001,"PASS","FAIL")</x:f>
        <x:v>PASS</x:v>
      </x:c>
    </x:row>
    <x:row r="104">
      <x:c r="A104" s="101" t="str">
        <x:v>EVD-03</x:v>
      </x:c>
      <x:c r="B104" s="101" t="str">
        <x:v>EVIDENCE SCALE</x:v>
      </x:c>
      <x:c r="C104" s="167" t="n">
        <x:v>3</x:v>
      </x:c>
      <x:c r="D104" s="167" t="n">
        <x:v>249.6800412288</x:v>
      </x:c>
      <x:c r="E104" s="167" t="str">
        <x:v>GB per attempt</x:v>
      </x:c>
      <x:c r="F104" s="167" t="n">
        <x:v>749.0401236864</x:v>
      </x:c>
      <x:c r="G104" s="167" t="n">
        <x:f>C104*D104</x:f>
        <x:v>749.0401236864</x:v>
      </x:c>
      <x:c r="H104" s="101" t="str">
        <x:f>IF(ABS(G104-F104)&lt;=0.000001,"PASS","FAIL")</x:f>
        <x:v>PASS</x:v>
      </x:c>
    </x:row>
    <x:row r="105">
      <x:c r="A105" s="101" t="str">
        <x:v>EVD-04</x:v>
      </x:c>
      <x:c r="B105" s="101" t="str">
        <x:v>EVIDENCE SCALE</x:v>
      </x:c>
      <x:c r="C105" s="167" t="n">
        <x:v>4</x:v>
      </x:c>
      <x:c r="D105" s="167" t="n">
        <x:v>249.6800412288</x:v>
      </x:c>
      <x:c r="E105" s="167" t="str">
        <x:v>GB per attempt</x:v>
      </x:c>
      <x:c r="F105" s="167" t="n">
        <x:v>998.7201649152</x:v>
      </x:c>
      <x:c r="G105" s="167" t="n">
        <x:f>C105*D105</x:f>
        <x:v>998.7201649152</x:v>
      </x:c>
      <x:c r="H105" s="101" t="str">
        <x:f>IF(ABS(G105-F105)&lt;=0.000001,"PASS","FAIL")</x:f>
        <x:v>PASS</x:v>
      </x:c>
    </x:row>
    <x:row r="106">
      <x:c r="A106" s="101" t="str">
        <x:v>EVD-05</x:v>
      </x:c>
      <x:c r="B106" s="101" t="str">
        <x:v>EVIDENCE SCALE</x:v>
      </x:c>
      <x:c r="C106" s="167" t="n">
        <x:v>5</x:v>
      </x:c>
      <x:c r="D106" s="167" t="n">
        <x:v>249.6800412288</x:v>
      </x:c>
      <x:c r="E106" s="167" t="str">
        <x:v>GB per attempt</x:v>
      </x:c>
      <x:c r="F106" s="167" t="n">
        <x:v>1248.400206144</x:v>
      </x:c>
      <x:c r="G106" s="167" t="n">
        <x:f>C106*D106</x:f>
        <x:v>1248.400206144</x:v>
      </x:c>
      <x:c r="H106" s="101" t="str">
        <x:f>IF(ABS(G106-F106)&lt;=0.000001,"PASS","FAIL")</x:f>
        <x:v>PASS</x:v>
      </x:c>
    </x:row>
    <x:row r="107">
      <x:c r="A107" s="101" t="str">
        <x:v>EVD-06</x:v>
      </x:c>
      <x:c r="B107" s="101" t="str">
        <x:v>EVIDENCE SCALE</x:v>
      </x:c>
      <x:c r="C107" s="167" t="n">
        <x:v>6</x:v>
      </x:c>
      <x:c r="D107" s="167" t="n">
        <x:v>249.6800412288</x:v>
      </x:c>
      <x:c r="E107" s="167" t="str">
        <x:v>GB per attempt</x:v>
      </x:c>
      <x:c r="F107" s="167" t="n">
        <x:v>1498.0802473728</x:v>
      </x:c>
      <x:c r="G107" s="167" t="n">
        <x:f>C107*D107</x:f>
        <x:v>1498.0802473728</x:v>
      </x:c>
      <x:c r="H107" s="101" t="str">
        <x:f>IF(ABS(G107-F107)&lt;=0.000001,"PASS","FAIL")</x:f>
        <x:v>PASS</x:v>
      </x:c>
    </x:row>
    <x:row r="108">
      <x:c r="A108" s="101" t="str">
        <x:v>EVD-07</x:v>
      </x:c>
      <x:c r="B108" s="101" t="str">
        <x:v>EVIDENCE SCALE</x:v>
      </x:c>
      <x:c r="C108" s="167" t="n">
        <x:v>7</x:v>
      </x:c>
      <x:c r="D108" s="167" t="n">
        <x:v>249.6800412288</x:v>
      </x:c>
      <x:c r="E108" s="167" t="str">
        <x:v>GB per attempt</x:v>
      </x:c>
      <x:c r="F108" s="167" t="n">
        <x:v>1747.7602886016</x:v>
      </x:c>
      <x:c r="G108" s="167" t="n">
        <x:f>C108*D108</x:f>
        <x:v>1747.7602886016</x:v>
      </x:c>
      <x:c r="H108" s="101" t="str">
        <x:f>IF(ABS(G108-F108)&lt;=0.000001,"PASS","FAIL")</x:f>
        <x:v>PASS</x:v>
      </x:c>
    </x:row>
    <x:row r="109">
      <x:c r="A109" s="101" t="str">
        <x:v>EVD-08</x:v>
      </x:c>
      <x:c r="B109" s="101" t="str">
        <x:v>EVIDENCE SCALE</x:v>
      </x:c>
      <x:c r="C109" s="167" t="n">
        <x:v>8</x:v>
      </x:c>
      <x:c r="D109" s="167" t="n">
        <x:v>249.6800412288</x:v>
      </x:c>
      <x:c r="E109" s="167" t="str">
        <x:v>GB per attempt</x:v>
      </x:c>
      <x:c r="F109" s="167" t="n">
        <x:v>1997.4403298304</x:v>
      </x:c>
      <x:c r="G109" s="167" t="n">
        <x:f>C109*D109</x:f>
        <x:v>1997.4403298304</x:v>
      </x:c>
      <x:c r="H109" s="101" t="str">
        <x:f>IF(ABS(G109-F109)&lt;=0.000001,"PASS","FAIL")</x:f>
        <x:v>PASS</x:v>
      </x:c>
    </x:row>
    <x:row r="110">
      <x:c r="A110" s="101" t="str">
        <x:v>EVD-09</x:v>
      </x:c>
      <x:c r="B110" s="101" t="str">
        <x:v>EVIDENCE SCALE</x:v>
      </x:c>
      <x:c r="C110" s="167" t="n">
        <x:v>9</x:v>
      </x:c>
      <x:c r="D110" s="167" t="n">
        <x:v>249.6800412288</x:v>
      </x:c>
      <x:c r="E110" s="167" t="str">
        <x:v>GB per attempt</x:v>
      </x:c>
      <x:c r="F110" s="167" t="n">
        <x:v>2247.1203710592</x:v>
      </x:c>
      <x:c r="G110" s="167" t="n">
        <x:f>C110*D110</x:f>
        <x:v>2247.1203710592</x:v>
      </x:c>
      <x:c r="H110" s="101" t="str">
        <x:f>IF(ABS(G110-F110)&lt;=0.000001,"PASS","FAIL")</x:f>
        <x:v>PASS</x:v>
      </x:c>
    </x:row>
    <x:row r="111">
      <x:c r="A111" s="101" t="str">
        <x:v>EVD-10</x:v>
      </x:c>
      <x:c r="B111" s="101" t="str">
        <x:v>EVIDENCE SCALE</x:v>
      </x:c>
      <x:c r="C111" s="167" t="n">
        <x:v>10</x:v>
      </x:c>
      <x:c r="D111" s="167" t="n">
        <x:v>249.6800412288</x:v>
      </x:c>
      <x:c r="E111" s="167" t="str">
        <x:v>GB per attempt</x:v>
      </x:c>
      <x:c r="F111" s="167" t="n">
        <x:v>2496.800412288</x:v>
      </x:c>
      <x:c r="G111" s="167" t="n">
        <x:f>C111*D111</x:f>
        <x:v>2496.800412288</x:v>
      </x:c>
      <x:c r="H111" s="101" t="str">
        <x:f>IF(ABS(G111-F111)&lt;=0.000001,"PASS","FAIL")</x:f>
        <x:v>PASS</x:v>
      </x:c>
    </x:row>
    <x:row r="112">
      <x:c r="A112" s="101" t="str">
        <x:v>EVD-11</x:v>
      </x:c>
      <x:c r="B112" s="101" t="str">
        <x:v>EVIDENCE SCALE</x:v>
      </x:c>
      <x:c r="C112" s="167" t="n">
        <x:v>11</x:v>
      </x:c>
      <x:c r="D112" s="167" t="n">
        <x:v>249.6800412288</x:v>
      </x:c>
      <x:c r="E112" s="167" t="str">
        <x:v>GB per attempt</x:v>
      </x:c>
      <x:c r="F112" s="167" t="n">
        <x:v>2746.4804535168</x:v>
      </x:c>
      <x:c r="G112" s="167" t="n">
        <x:f>C112*D112</x:f>
        <x:v>2746.4804535168</x:v>
      </x:c>
      <x:c r="H112" s="101" t="str">
        <x:f>IF(ABS(G112-F112)&lt;=0.000001,"PASS","FAIL")</x:f>
        <x:v>PASS</x:v>
      </x:c>
    </x:row>
    <x:row r="113">
      <x:c r="A113" s="101" t="str">
        <x:v>EVD-12</x:v>
      </x:c>
      <x:c r="B113" s="101" t="str">
        <x:v>EVIDENCE SCALE</x:v>
      </x:c>
      <x:c r="C113" s="167" t="n">
        <x:v>12</x:v>
      </x:c>
      <x:c r="D113" s="167" t="n">
        <x:v>249.6800412288</x:v>
      </x:c>
      <x:c r="E113" s="167" t="str">
        <x:v>GB per attempt</x:v>
      </x:c>
      <x:c r="F113" s="167" t="n">
        <x:v>2996.1604947456</x:v>
      </x:c>
      <x:c r="G113" s="167" t="n">
        <x:f>C113*D113</x:f>
        <x:v>2996.1604947456</x:v>
      </x:c>
      <x:c r="H113" s="101" t="str">
        <x:f>IF(ABS(G113-F113)&lt;=0.000001,"PASS","FAIL")</x:f>
        <x:v>PASS</x:v>
      </x:c>
    </x:row>
    <x:row r="114">
      <x:c r="A114" s="101" t="str">
        <x:v>EVD-13</x:v>
      </x:c>
      <x:c r="B114" s="101" t="str">
        <x:v>EVIDENCE SCALE</x:v>
      </x:c>
      <x:c r="C114" s="167" t="n">
        <x:v>13</x:v>
      </x:c>
      <x:c r="D114" s="167" t="n">
        <x:v>249.6800412288</x:v>
      </x:c>
      <x:c r="E114" s="167" t="str">
        <x:v>GB per attempt</x:v>
      </x:c>
      <x:c r="F114" s="167" t="n">
        <x:v>3245.8405359744</x:v>
      </x:c>
      <x:c r="G114" s="167" t="n">
        <x:f>C114*D114</x:f>
        <x:v>3245.8405359744</x:v>
      </x:c>
      <x:c r="H114" s="101" t="str">
        <x:f>IF(ABS(G114-F114)&lt;=0.000001,"PASS","FAIL")</x:f>
        <x:v>PASS</x:v>
      </x:c>
    </x:row>
    <x:row r="115">
      <x:c r="A115" s="101" t="str">
        <x:v>EVD-14</x:v>
      </x:c>
      <x:c r="B115" s="101" t="str">
        <x:v>EVIDENCE SCALE</x:v>
      </x:c>
      <x:c r="C115" s="167" t="n">
        <x:v>14</x:v>
      </x:c>
      <x:c r="D115" s="167" t="n">
        <x:v>249.6800412288</x:v>
      </x:c>
      <x:c r="E115" s="167" t="str">
        <x:v>GB per attempt</x:v>
      </x:c>
      <x:c r="F115" s="167" t="n">
        <x:v>3495.5205772032</x:v>
      </x:c>
      <x:c r="G115" s="167" t="n">
        <x:f>C115*D115</x:f>
        <x:v>3495.5205772032</x:v>
      </x:c>
      <x:c r="H115" s="101" t="str">
        <x:f>IF(ABS(G115-F115)&lt;=0.000001,"PASS","FAIL")</x:f>
        <x:v>PASS</x:v>
      </x:c>
    </x:row>
    <x:row r="116">
      <x:c r="A116" s="101" t="str">
        <x:v>EVD-15</x:v>
      </x:c>
      <x:c r="B116" s="101" t="str">
        <x:v>EVIDENCE SCALE</x:v>
      </x:c>
      <x:c r="C116" s="167" t="n">
        <x:v>15</x:v>
      </x:c>
      <x:c r="D116" s="167" t="n">
        <x:v>249.6800412288</x:v>
      </x:c>
      <x:c r="E116" s="167" t="str">
        <x:v>GB per attempt</x:v>
      </x:c>
      <x:c r="F116" s="167" t="n">
        <x:v>3745.2006184320003</x:v>
      </x:c>
      <x:c r="G116" s="167" t="n">
        <x:f>C116*D116</x:f>
        <x:v>3745.2006184320003</x:v>
      </x:c>
      <x:c r="H116" s="101" t="str">
        <x:f>IF(ABS(G116-F116)&lt;=0.000001,"PASS","FAIL")</x:f>
        <x:v>PASS</x:v>
      </x:c>
    </x:row>
    <x:row r="117">
      <x:c r="A117" s="101" t="str">
        <x:v>EVD-16</x:v>
      </x:c>
      <x:c r="B117" s="101" t="str">
        <x:v>EVIDENCE SCALE</x:v>
      </x:c>
      <x:c r="C117" s="167" t="n">
        <x:v>16</x:v>
      </x:c>
      <x:c r="D117" s="167" t="n">
        <x:v>249.6800412288</x:v>
      </x:c>
      <x:c r="E117" s="167" t="str">
        <x:v>GB per attempt</x:v>
      </x:c>
      <x:c r="F117" s="167" t="n">
        <x:v>3994.8806596608</x:v>
      </x:c>
      <x:c r="G117" s="167" t="n">
        <x:f>C117*D117</x:f>
        <x:v>3994.8806596608</x:v>
      </x:c>
      <x:c r="H117" s="101" t="str">
        <x:f>IF(ABS(G117-F117)&lt;=0.000001,"PASS","FAIL")</x:f>
        <x:v>PASS</x:v>
      </x:c>
    </x:row>
    <x:row r="118">
      <x:c r="A118" s="101" t="str">
        <x:v>EVD-17</x:v>
      </x:c>
      <x:c r="B118" s="101" t="str">
        <x:v>EVIDENCE SCALE</x:v>
      </x:c>
      <x:c r="C118" s="167" t="n">
        <x:v>17</x:v>
      </x:c>
      <x:c r="D118" s="167" t="n">
        <x:v>249.6800412288</x:v>
      </x:c>
      <x:c r="E118" s="167" t="str">
        <x:v>GB per attempt</x:v>
      </x:c>
      <x:c r="F118" s="167" t="n">
        <x:v>4244.5607008896</x:v>
      </x:c>
      <x:c r="G118" s="167" t="n">
        <x:f>C118*D118</x:f>
        <x:v>4244.5607008896</x:v>
      </x:c>
      <x:c r="H118" s="101" t="str">
        <x:f>IF(ABS(G118-F118)&lt;=0.000001,"PASS","FAIL")</x:f>
        <x:v>PASS</x:v>
      </x:c>
    </x:row>
    <x:row r="119">
      <x:c r="A119" s="101" t="str">
        <x:v>EVD-18</x:v>
      </x:c>
      <x:c r="B119" s="101" t="str">
        <x:v>EVIDENCE SCALE</x:v>
      </x:c>
      <x:c r="C119" s="167" t="n">
        <x:v>18</x:v>
      </x:c>
      <x:c r="D119" s="167" t="n">
        <x:v>249.6800412288</x:v>
      </x:c>
      <x:c r="E119" s="167" t="str">
        <x:v>GB per attempt</x:v>
      </x:c>
      <x:c r="F119" s="167" t="n">
        <x:v>4494.2407421184</x:v>
      </x:c>
      <x:c r="G119" s="167" t="n">
        <x:f>C119*D119</x:f>
        <x:v>4494.2407421184</x:v>
      </x:c>
      <x:c r="H119" s="101" t="str">
        <x:f>IF(ABS(G119-F119)&lt;=0.000001,"PASS","FAIL")</x:f>
        <x:v>PASS</x:v>
      </x:c>
    </x:row>
    <x:row r="120">
      <x:c r="A120" s="101" t="str">
        <x:v>EVD-19</x:v>
      </x:c>
      <x:c r="B120" s="101" t="str">
        <x:v>EVIDENCE SCALE</x:v>
      </x:c>
      <x:c r="C120" s="167" t="n">
        <x:v>19</x:v>
      </x:c>
      <x:c r="D120" s="167" t="n">
        <x:v>249.6800412288</x:v>
      </x:c>
      <x:c r="E120" s="167" t="str">
        <x:v>GB per attempt</x:v>
      </x:c>
      <x:c r="F120" s="167" t="n">
        <x:v>4743.9207833472</x:v>
      </x:c>
      <x:c r="G120" s="167" t="n">
        <x:f>C120*D120</x:f>
        <x:v>4743.9207833472</x:v>
      </x:c>
      <x:c r="H120" s="101" t="str">
        <x:f>IF(ABS(G120-F120)&lt;=0.000001,"PASS","FAIL")</x:f>
        <x:v>PASS</x:v>
      </x:c>
    </x:row>
    <x:row r="121">
      <x:c r="A121" s="101" t="str">
        <x:v>EVD-20</x:v>
      </x:c>
      <x:c r="B121" s="101" t="str">
        <x:v>EVIDENCE SCALE</x:v>
      </x:c>
      <x:c r="C121" s="167" t="n">
        <x:v>20</x:v>
      </x:c>
      <x:c r="D121" s="167" t="n">
        <x:v>249.6800412288</x:v>
      </x:c>
      <x:c r="E121" s="167" t="str">
        <x:v>GB per attempt</x:v>
      </x:c>
      <x:c r="F121" s="167" t="n">
        <x:v>4993.600824576</x:v>
      </x:c>
      <x:c r="G121" s="167" t="n">
        <x:f>C121*D121</x:f>
        <x:v>4993.600824576</x:v>
      </x:c>
      <x:c r="H121" s="101" t="str">
        <x:f>IF(ABS(G121-F121)&lt;=0.000001,"PASS","FAIL")</x:f>
        <x:v>PASS</x:v>
      </x:c>
    </x:row>
    <x:row r="122">
      <x:c r="A122" s="101" t="str">
        <x:v>EVD-21</x:v>
      </x:c>
      <x:c r="B122" s="101" t="str">
        <x:v>EVIDENCE SCALE</x:v>
      </x:c>
      <x:c r="C122" s="167" t="n">
        <x:v>21</x:v>
      </x:c>
      <x:c r="D122" s="167" t="n">
        <x:v>249.6800412288</x:v>
      </x:c>
      <x:c r="E122" s="167" t="str">
        <x:v>GB per attempt</x:v>
      </x:c>
      <x:c r="F122" s="167" t="n">
        <x:v>5243.2808658048</x:v>
      </x:c>
      <x:c r="G122" s="167" t="n">
        <x:f>C122*D122</x:f>
        <x:v>5243.2808658048</x:v>
      </x:c>
      <x:c r="H122" s="101" t="str">
        <x:f>IF(ABS(G122-F122)&lt;=0.000001,"PASS","FAIL")</x:f>
        <x:v>PASS</x:v>
      </x:c>
    </x:row>
    <x:row r="123">
      <x:c r="A123" s="101" t="str">
        <x:v>EVD-22</x:v>
      </x:c>
      <x:c r="B123" s="101" t="str">
        <x:v>EVIDENCE SCALE</x:v>
      </x:c>
      <x:c r="C123" s="167" t="n">
        <x:v>22</x:v>
      </x:c>
      <x:c r="D123" s="167" t="n">
        <x:v>249.6800412288</x:v>
      </x:c>
      <x:c r="E123" s="167" t="str">
        <x:v>GB per attempt</x:v>
      </x:c>
      <x:c r="F123" s="167" t="n">
        <x:v>5492.9609070336</x:v>
      </x:c>
      <x:c r="G123" s="167" t="n">
        <x:f>C123*D123</x:f>
        <x:v>5492.9609070336</x:v>
      </x:c>
      <x:c r="H123" s="101" t="str">
        <x:f>IF(ABS(G123-F123)&lt;=0.000001,"PASS","FAIL")</x:f>
        <x:v>PASS</x:v>
      </x:c>
    </x:row>
    <x:row r="124">
      <x:c r="A124" s="101" t="str">
        <x:v>EVD-23</x:v>
      </x:c>
      <x:c r="B124" s="101" t="str">
        <x:v>EVIDENCE SCALE</x:v>
      </x:c>
      <x:c r="C124" s="167" t="n">
        <x:v>23</x:v>
      </x:c>
      <x:c r="D124" s="167" t="n">
        <x:v>249.6800412288</x:v>
      </x:c>
      <x:c r="E124" s="167" t="str">
        <x:v>GB per attempt</x:v>
      </x:c>
      <x:c r="F124" s="167" t="n">
        <x:v>5742.6409482624</x:v>
      </x:c>
      <x:c r="G124" s="167" t="n">
        <x:f>C124*D124</x:f>
        <x:v>5742.6409482624</x:v>
      </x:c>
      <x:c r="H124" s="101" t="str">
        <x:f>IF(ABS(G124-F124)&lt;=0.000001,"PASS","FAIL")</x:f>
        <x:v>PASS</x:v>
      </x:c>
    </x:row>
    <x:row r="125">
      <x:c r="A125" s="101" t="str">
        <x:v>EVD-24</x:v>
      </x:c>
      <x:c r="B125" s="101" t="str">
        <x:v>EVIDENCE SCALE</x:v>
      </x:c>
      <x:c r="C125" s="167" t="n">
        <x:v>24</x:v>
      </x:c>
      <x:c r="D125" s="167" t="n">
        <x:v>249.6800412288</x:v>
      </x:c>
      <x:c r="E125" s="167" t="str">
        <x:v>GB per attempt</x:v>
      </x:c>
      <x:c r="F125" s="167" t="n">
        <x:v>5992.3209894912</x:v>
      </x:c>
      <x:c r="G125" s="167" t="n">
        <x:f>C125*D125</x:f>
        <x:v>5992.3209894912</x:v>
      </x:c>
      <x:c r="H125" s="101" t="str">
        <x:f>IF(ABS(G125-F125)&lt;=0.000001,"PASS","FAIL")</x:f>
        <x:v>PASS</x:v>
      </x:c>
    </x:row>
    <x:row r="126">
      <x:c r="A126" s="101" t="str">
        <x:v>FIN-01</x:v>
      </x:c>
      <x:c r="B126" s="101" t="str">
        <x:v>PARENT REMAINDER</x:v>
      </x:c>
      <x:c r="C126" s="167" t="n">
        <x:v>620</x:v>
      </x:c>
      <x:c r="D126" s="167" t="n">
        <x:v>498</x:v>
      </x:c>
      <x:c r="E126" s="167" t="n">
        <x:v>52</x:v>
      </x:c>
      <x:c r="F126" s="167" t="n">
        <x:v>70</x:v>
      </x:c>
      <x:c r="G126" s="167" t="n">
        <x:f>C126-D126-E126</x:f>
        <x:v>70</x:v>
      </x:c>
      <x:c r="H126" s="101" t="str">
        <x:f>IF(ABS(G126-F126)&lt;=0.000001,"PASS","FAIL")</x:f>
        <x:v>PASS</x:v>
      </x:c>
    </x:row>
    <x:row r="127">
      <x:c r="A127" s="101" t="str">
        <x:v>FIN-02</x:v>
      </x:c>
      <x:c r="B127" s="101" t="str">
        <x:v>PARENT REMAINDER</x:v>
      </x:c>
      <x:c r="C127" s="167" t="n">
        <x:v>235</x:v>
      </x:c>
      <x:c r="D127" s="167" t="n">
        <x:v>212</x:v>
      </x:c>
      <x:c r="E127" s="167" t="n">
        <x:v>14</x:v>
      </x:c>
      <x:c r="F127" s="167" t="n">
        <x:v>9</x:v>
      </x:c>
      <x:c r="G127" s="167" t="n">
        <x:f>C127-D127-E127</x:f>
        <x:v>9</x:v>
      </x:c>
      <x:c r="H127" s="101" t="str">
        <x:f>IF(ABS(G127-F127)&lt;=0.000001,"PASS","FAIL")</x:f>
        <x:v>PASS</x:v>
      </x:c>
    </x:row>
    <x:row r="128">
      <x:c r="A128" s="101" t="str">
        <x:v>FIN-03</x:v>
      </x:c>
      <x:c r="B128" s="101" t="str">
        <x:v>PARENT REMAINDER</x:v>
      </x:c>
      <x:c r="C128" s="167" t="n">
        <x:v>1005</x:v>
      </x:c>
      <x:c r="D128" s="167" t="n">
        <x:v>795</x:v>
      </x:c>
      <x:c r="E128" s="167" t="n">
        <x:v>120</x:v>
      </x:c>
      <x:c r="F128" s="167" t="n">
        <x:v>90</x:v>
      </x:c>
      <x:c r="G128" s="167" t="n">
        <x:f>C128-D128-E128</x:f>
        <x:v>90</x:v>
      </x:c>
      <x:c r="H128" s="101" t="str">
        <x:f>IF(ABS(G128-F128)&lt;=0.000001,"PASS","FAIL")</x:f>
        <x:v>PASS</x:v>
      </x:c>
    </x:row>
    <x:row r="129">
      <x:c r="A129" s="101" t="str">
        <x:v>FIN-04</x:v>
      </x:c>
      <x:c r="B129" s="101" t="str">
        <x:v>PARENT REMAINDER</x:v>
      </x:c>
      <x:c r="C129" s="167" t="n">
        <x:v>620</x:v>
      </x:c>
      <x:c r="D129" s="167" t="n">
        <x:v>498</x:v>
      </x:c>
      <x:c r="E129" s="167" t="n">
        <x:v>52</x:v>
      </x:c>
      <x:c r="F129" s="167" t="n">
        <x:v>70</x:v>
      </x:c>
      <x:c r="G129" s="167" t="n">
        <x:f>C129-D129-E129</x:f>
        <x:v>70</x:v>
      </x:c>
      <x:c r="H129" s="101" t="str">
        <x:f>IF(ABS(G129-F129)&lt;=0.000001,"PASS","FAIL")</x:f>
        <x:v>PASS</x:v>
      </x:c>
    </x:row>
    <x:row r="130">
      <x:c r="A130" s="101" t="str">
        <x:v>FIN-05</x:v>
      </x:c>
      <x:c r="B130" s="101" t="str">
        <x:v>PARENT REMAINDER</x:v>
      </x:c>
      <x:c r="C130" s="167" t="n">
        <x:v>235</x:v>
      </x:c>
      <x:c r="D130" s="167" t="n">
        <x:v>212</x:v>
      </x:c>
      <x:c r="E130" s="167" t="n">
        <x:v>14</x:v>
      </x:c>
      <x:c r="F130" s="167" t="n">
        <x:v>9</x:v>
      </x:c>
      <x:c r="G130" s="167" t="n">
        <x:f>C130-D130-E130</x:f>
        <x:v>9</x:v>
      </x:c>
      <x:c r="H130" s="101" t="str">
        <x:f>IF(ABS(G130-F130)&lt;=0.000001,"PASS","FAIL")</x:f>
        <x:v>PASS</x:v>
      </x:c>
    </x:row>
    <x:row r="131">
      <x:c r="A131" s="101" t="str">
        <x:v>FIN-06</x:v>
      </x:c>
      <x:c r="B131" s="101" t="str">
        <x:v>PARENT REMAINDER</x:v>
      </x:c>
      <x:c r="C131" s="167" t="n">
        <x:v>1005</x:v>
      </x:c>
      <x:c r="D131" s="167" t="n">
        <x:v>795</x:v>
      </x:c>
      <x:c r="E131" s="167" t="n">
        <x:v>120</x:v>
      </x:c>
      <x:c r="F131" s="167" t="n">
        <x:v>90</x:v>
      </x:c>
      <x:c r="G131" s="167" t="n">
        <x:f>C131-D131-E131</x:f>
        <x:v>90</x:v>
      </x:c>
      <x:c r="H131" s="101" t="str">
        <x:f>IF(ABS(G131-F131)&lt;=0.000001,"PASS","FAIL")</x:f>
        <x:v>PASS</x:v>
      </x:c>
    </x:row>
    <x:row r="132">
      <x:c r="A132" s="101" t="str">
        <x:v>FIN-07</x:v>
      </x:c>
      <x:c r="B132" s="101" t="str">
        <x:v>PARENT REMAINDER</x:v>
      </x:c>
      <x:c r="C132" s="167" t="n">
        <x:v>620</x:v>
      </x:c>
      <x:c r="D132" s="167" t="n">
        <x:v>498</x:v>
      </x:c>
      <x:c r="E132" s="167" t="n">
        <x:v>52</x:v>
      </x:c>
      <x:c r="F132" s="167" t="n">
        <x:v>70</x:v>
      </x:c>
      <x:c r="G132" s="167" t="n">
        <x:f>C132-D132-E132</x:f>
        <x:v>70</x:v>
      </x:c>
      <x:c r="H132" s="101" t="str">
        <x:f>IF(ABS(G132-F132)&lt;=0.000001,"PASS","FAIL")</x:f>
        <x:v>PASS</x:v>
      </x:c>
    </x:row>
    <x:row r="133">
      <x:c r="A133" s="101" t="str">
        <x:v>FIN-08</x:v>
      </x:c>
      <x:c r="B133" s="101" t="str">
        <x:v>PARENT REMAINDER</x:v>
      </x:c>
      <x:c r="C133" s="167" t="n">
        <x:v>235</x:v>
      </x:c>
      <x:c r="D133" s="167" t="n">
        <x:v>212</x:v>
      </x:c>
      <x:c r="E133" s="167" t="n">
        <x:v>14</x:v>
      </x:c>
      <x:c r="F133" s="167" t="n">
        <x:v>9</x:v>
      </x:c>
      <x:c r="G133" s="167" t="n">
        <x:f>C133-D133-E133</x:f>
        <x:v>9</x:v>
      </x:c>
      <x:c r="H133" s="101" t="str">
        <x:f>IF(ABS(G133-F133)&lt;=0.000001,"PASS","FAIL")</x:f>
        <x:v>PASS</x:v>
      </x:c>
    </x:row>
    <x:row r="134">
      <x:c r="A134" s="101" t="str">
        <x:v>FIN-09</x:v>
      </x:c>
      <x:c r="B134" s="101" t="str">
        <x:v>PARENT REMAINDER</x:v>
      </x:c>
      <x:c r="C134" s="167" t="n">
        <x:v>1005</x:v>
      </x:c>
      <x:c r="D134" s="167" t="n">
        <x:v>795</x:v>
      </x:c>
      <x:c r="E134" s="167" t="n">
        <x:v>120</x:v>
      </x:c>
      <x:c r="F134" s="167" t="n">
        <x:v>90</x:v>
      </x:c>
      <x:c r="G134" s="167" t="n">
        <x:f>C134-D134-E134</x:f>
        <x:v>90</x:v>
      </x:c>
      <x:c r="H134" s="101" t="str">
        <x:f>IF(ABS(G134-F134)&lt;=0.000001,"PASS","FAIL")</x:f>
        <x:v>PASS</x:v>
      </x:c>
    </x:row>
    <x:row r="135">
      <x:c r="A135" s="101" t="str">
        <x:v>FIN-10</x:v>
      </x:c>
      <x:c r="B135" s="101" t="str">
        <x:v>PARENT REMAINDER</x:v>
      </x:c>
      <x:c r="C135" s="167" t="n">
        <x:v>620</x:v>
      </x:c>
      <x:c r="D135" s="167" t="n">
        <x:v>498</x:v>
      </x:c>
      <x:c r="E135" s="167" t="n">
        <x:v>52</x:v>
      </x:c>
      <x:c r="F135" s="167" t="n">
        <x:v>70</x:v>
      </x:c>
      <x:c r="G135" s="167" t="n">
        <x:f>C135-D135-E135</x:f>
        <x:v>70</x:v>
      </x:c>
      <x:c r="H135" s="101" t="str">
        <x:f>IF(ABS(G135-F135)&lt;=0.000001,"PASS","FAIL")</x:f>
        <x:v>PASS</x:v>
      </x:c>
    </x:row>
    <x:row r="136">
      <x:c r="A136" s="101" t="str">
        <x:v>FIN-11</x:v>
      </x:c>
      <x:c r="B136" s="101" t="str">
        <x:v>PARENT REMAINDER</x:v>
      </x:c>
      <x:c r="C136" s="167" t="n">
        <x:v>235</x:v>
      </x:c>
      <x:c r="D136" s="167" t="n">
        <x:v>212</x:v>
      </x:c>
      <x:c r="E136" s="167" t="n">
        <x:v>14</x:v>
      </x:c>
      <x:c r="F136" s="167" t="n">
        <x:v>9</x:v>
      </x:c>
      <x:c r="G136" s="167" t="n">
        <x:f>C136-D136-E136</x:f>
        <x:v>9</x:v>
      </x:c>
      <x:c r="H136" s="101" t="str">
        <x:f>IF(ABS(G136-F136)&lt;=0.000001,"PASS","FAIL")</x:f>
        <x:v>PASS</x:v>
      </x:c>
    </x:row>
    <x:row r="137">
      <x:c r="A137" s="101" t="str">
        <x:v>FIN-12</x:v>
      </x:c>
      <x:c r="B137" s="101" t="str">
        <x:v>PARENT REMAINDER</x:v>
      </x:c>
      <x:c r="C137" s="167" t="n">
        <x:v>1005</x:v>
      </x:c>
      <x:c r="D137" s="167" t="n">
        <x:v>795</x:v>
      </x:c>
      <x:c r="E137" s="167" t="n">
        <x:v>120</x:v>
      </x:c>
      <x:c r="F137" s="167" t="n">
        <x:v>90</x:v>
      </x:c>
      <x:c r="G137" s="167" t="n">
        <x:f>C137-D137-E137</x:f>
        <x:v>90</x:v>
      </x:c>
      <x:c r="H137" s="101" t="str">
        <x:f>IF(ABS(G137-F137)&lt;=0.000001,"PASS","FAIL")</x:f>
        <x:v>PASS</x:v>
      </x:c>
    </x:row>
    <x:row r="138">
      <x:c r="A138" s="101" t="str">
        <x:v>FIN-13</x:v>
      </x:c>
      <x:c r="B138" s="101" t="str">
        <x:v>PARENT REMAINDER</x:v>
      </x:c>
      <x:c r="C138" s="167" t="n">
        <x:v>620</x:v>
      </x:c>
      <x:c r="D138" s="167" t="n">
        <x:v>498</x:v>
      </x:c>
      <x:c r="E138" s="167" t="n">
        <x:v>52</x:v>
      </x:c>
      <x:c r="F138" s="167" t="n">
        <x:v>70</x:v>
      </x:c>
      <x:c r="G138" s="167" t="n">
        <x:f>C138-D138-E138</x:f>
        <x:v>70</x:v>
      </x:c>
      <x:c r="H138" s="101" t="str">
        <x:f>IF(ABS(G138-F138)&lt;=0.000001,"PASS","FAIL")</x:f>
        <x:v>PASS</x:v>
      </x:c>
    </x:row>
    <x:row r="139">
      <x:c r="A139" s="101" t="str">
        <x:v>FIN-14</x:v>
      </x:c>
      <x:c r="B139" s="101" t="str">
        <x:v>PARENT REMAINDER</x:v>
      </x:c>
      <x:c r="C139" s="167" t="n">
        <x:v>235</x:v>
      </x:c>
      <x:c r="D139" s="167" t="n">
        <x:v>212</x:v>
      </x:c>
      <x:c r="E139" s="167" t="n">
        <x:v>14</x:v>
      </x:c>
      <x:c r="F139" s="167" t="n">
        <x:v>9</x:v>
      </x:c>
      <x:c r="G139" s="167" t="n">
        <x:f>C139-D139-E139</x:f>
        <x:v>9</x:v>
      </x:c>
      <x:c r="H139" s="101" t="str">
        <x:f>IF(ABS(G139-F139)&lt;=0.000001,"PASS","FAIL")</x:f>
        <x:v>PASS</x:v>
      </x:c>
    </x:row>
    <x:row r="140">
      <x:c r="A140" s="101" t="str">
        <x:v>FIN-15</x:v>
      </x:c>
      <x:c r="B140" s="101" t="str">
        <x:v>PARENT REMAINDER</x:v>
      </x:c>
      <x:c r="C140" s="167" t="n">
        <x:v>1005</x:v>
      </x:c>
      <x:c r="D140" s="167" t="n">
        <x:v>795</x:v>
      </x:c>
      <x:c r="E140" s="167" t="n">
        <x:v>120</x:v>
      </x:c>
      <x:c r="F140" s="167" t="n">
        <x:v>90</x:v>
      </x:c>
      <x:c r="G140" s="167" t="n">
        <x:f>C140-D140-E140</x:f>
        <x:v>90</x:v>
      </x:c>
      <x:c r="H140" s="101" t="str">
        <x:f>IF(ABS(G140-F140)&lt;=0.000001,"PASS","FAIL")</x:f>
        <x:v>PASS</x:v>
      </x:c>
    </x:row>
    <x:row r="141">
      <x:c r="A141" s="101" t="str">
        <x:v>FIN-16</x:v>
      </x:c>
      <x:c r="B141" s="101" t="str">
        <x:v>PARENT REMAINDER</x:v>
      </x:c>
      <x:c r="C141" s="167" t="n">
        <x:v>620</x:v>
      </x:c>
      <x:c r="D141" s="167" t="n">
        <x:v>498</x:v>
      </x:c>
      <x:c r="E141" s="167" t="n">
        <x:v>52</x:v>
      </x:c>
      <x:c r="F141" s="167" t="n">
        <x:v>70</x:v>
      </x:c>
      <x:c r="G141" s="167" t="n">
        <x:f>C141-D141-E141</x:f>
        <x:v>70</x:v>
      </x:c>
      <x:c r="H141" s="101" t="str">
        <x:f>IF(ABS(G141-F141)&lt;=0.000001,"PASS","FAIL")</x:f>
        <x:v>PASS</x:v>
      </x:c>
    </x:row>
    <x:row r="142">
      <x:c r="A142" s="101" t="str">
        <x:v>FIN-17</x:v>
      </x:c>
      <x:c r="B142" s="101" t="str">
        <x:v>PARENT REMAINDER</x:v>
      </x:c>
      <x:c r="C142" s="167" t="n">
        <x:v>235</x:v>
      </x:c>
      <x:c r="D142" s="167" t="n">
        <x:v>212</x:v>
      </x:c>
      <x:c r="E142" s="167" t="n">
        <x:v>14</x:v>
      </x:c>
      <x:c r="F142" s="167" t="n">
        <x:v>9</x:v>
      </x:c>
      <x:c r="G142" s="167" t="n">
        <x:f>C142-D142-E142</x:f>
        <x:v>9</x:v>
      </x:c>
      <x:c r="H142" s="101" t="str">
        <x:f>IF(ABS(G142-F142)&lt;=0.000001,"PASS","FAIL")</x:f>
        <x:v>PASS</x:v>
      </x:c>
    </x:row>
    <x:row r="143">
      <x:c r="A143" s="101" t="str">
        <x:v>FIN-18</x:v>
      </x:c>
      <x:c r="B143" s="101" t="str">
        <x:v>PARENT REMAINDER</x:v>
      </x:c>
      <x:c r="C143" s="167" t="n">
        <x:v>1005</x:v>
      </x:c>
      <x:c r="D143" s="167" t="n">
        <x:v>795</x:v>
      </x:c>
      <x:c r="E143" s="167" t="n">
        <x:v>120</x:v>
      </x:c>
      <x:c r="F143" s="167" t="n">
        <x:v>90</x:v>
      </x:c>
      <x:c r="G143" s="167" t="n">
        <x:f>C143-D143-E143</x:f>
        <x:v>90</x:v>
      </x:c>
      <x:c r="H143" s="101" t="str">
        <x:f>IF(ABS(G143-F143)&lt;=0.000001,"PASS","FAIL")</x:f>
        <x:v>PASS</x:v>
      </x:c>
    </x:row>
    <x:row r="144">
      <x:c r="A144" s="101" t="str">
        <x:v>FIN-19</x:v>
      </x:c>
      <x:c r="B144" s="101" t="str">
        <x:v>PARENT REMAINDER</x:v>
      </x:c>
      <x:c r="C144" s="167" t="n">
        <x:v>620</x:v>
      </x:c>
      <x:c r="D144" s="167" t="n">
        <x:v>498</x:v>
      </x:c>
      <x:c r="E144" s="167" t="n">
        <x:v>52</x:v>
      </x:c>
      <x:c r="F144" s="167" t="n">
        <x:v>70</x:v>
      </x:c>
      <x:c r="G144" s="167" t="n">
        <x:f>C144-D144-E144</x:f>
        <x:v>70</x:v>
      </x:c>
      <x:c r="H144" s="101" t="str">
        <x:f>IF(ABS(G144-F144)&lt;=0.000001,"PASS","FAIL")</x:f>
        <x:v>PASS</x:v>
      </x:c>
    </x:row>
    <x:row r="145">
      <x:c r="A145" s="101" t="str">
        <x:v>FIN-20</x:v>
      </x:c>
      <x:c r="B145" s="101" t="str">
        <x:v>PARENT REMAINDER</x:v>
      </x:c>
      <x:c r="C145" s="167" t="n">
        <x:v>235</x:v>
      </x:c>
      <x:c r="D145" s="167" t="n">
        <x:v>212</x:v>
      </x:c>
      <x:c r="E145" s="167" t="n">
        <x:v>14</x:v>
      </x:c>
      <x:c r="F145" s="167" t="n">
        <x:v>9</x:v>
      </x:c>
      <x:c r="G145" s="167" t="n">
        <x:f>C145-D145-E145</x:f>
        <x:v>9</x:v>
      </x:c>
      <x:c r="H145" s="101" t="str">
        <x:f>IF(ABS(G145-F145)&lt;=0.000001,"PASS","FAIL")</x:f>
        <x:v>PASS</x:v>
      </x:c>
    </x:row>
    <x:row r="146">
      <x:c r="A146" s="101" t="str">
        <x:v>FIN-21</x:v>
      </x:c>
      <x:c r="B146" s="101" t="str">
        <x:v>PARENT REMAINDER</x:v>
      </x:c>
      <x:c r="C146" s="167" t="n">
        <x:v>1005</x:v>
      </x:c>
      <x:c r="D146" s="167" t="n">
        <x:v>795</x:v>
      </x:c>
      <x:c r="E146" s="167" t="n">
        <x:v>120</x:v>
      </x:c>
      <x:c r="F146" s="167" t="n">
        <x:v>90</x:v>
      </x:c>
      <x:c r="G146" s="167" t="n">
        <x:f>C146-D146-E146</x:f>
        <x:v>90</x:v>
      </x:c>
      <x:c r="H146" s="101" t="str">
        <x:f>IF(ABS(G146-F146)&lt;=0.000001,"PASS","FAIL")</x:f>
        <x:v>PASS</x:v>
      </x:c>
    </x:row>
    <x:row r="147">
      <x:c r="A147" s="101" t="str">
        <x:v>FIN-22</x:v>
      </x:c>
      <x:c r="B147" s="101" t="str">
        <x:v>PARENT REMAINDER</x:v>
      </x:c>
      <x:c r="C147" s="167" t="n">
        <x:v>620</x:v>
      </x:c>
      <x:c r="D147" s="167" t="n">
        <x:v>498</x:v>
      </x:c>
      <x:c r="E147" s="167" t="n">
        <x:v>52</x:v>
      </x:c>
      <x:c r="F147" s="167" t="n">
        <x:v>70</x:v>
      </x:c>
      <x:c r="G147" s="167" t="n">
        <x:f>C147-D147-E147</x:f>
        <x:v>70</x:v>
      </x:c>
      <x:c r="H147" s="101" t="str">
        <x:f>IF(ABS(G147-F147)&lt;=0.000001,"PASS","FAIL")</x:f>
        <x:v>PASS</x:v>
      </x:c>
    </x:row>
    <x:row r="148">
      <x:c r="A148" s="101" t="str">
        <x:v>FIN-23</x:v>
      </x:c>
      <x:c r="B148" s="101" t="str">
        <x:v>PARENT REMAINDER</x:v>
      </x:c>
      <x:c r="C148" s="167" t="n">
        <x:v>235</x:v>
      </x:c>
      <x:c r="D148" s="167" t="n">
        <x:v>212</x:v>
      </x:c>
      <x:c r="E148" s="167" t="n">
        <x:v>14</x:v>
      </x:c>
      <x:c r="F148" s="167" t="n">
        <x:v>9</x:v>
      </x:c>
      <x:c r="G148" s="167" t="n">
        <x:f>C148-D148-E148</x:f>
        <x:v>9</x:v>
      </x:c>
      <x:c r="H148" s="101" t="str">
        <x:f>IF(ABS(G148-F148)&lt;=0.000001,"PASS","FAIL")</x:f>
        <x:v>PASS</x:v>
      </x:c>
    </x:row>
    <x:row r="149">
      <x:c r="A149" s="104" t="str">
        <x:v>FIN-24</x:v>
      </x:c>
      <x:c r="B149" s="104" t="str">
        <x:v>PARENT REMAINDER</x:v>
      </x:c>
      <x:c r="C149" s="168" t="n">
        <x:v>1005</x:v>
      </x:c>
      <x:c r="D149" s="168" t="n">
        <x:v>795</x:v>
      </x:c>
      <x:c r="E149" s="168" t="n">
        <x:v>120</x:v>
      </x:c>
      <x:c r="F149" s="168" t="n">
        <x:v>90</x:v>
      </x:c>
      <x:c r="G149" s="168" t="n">
        <x:f>C149-D149-E149</x:f>
        <x:v>90</x:v>
      </x:c>
      <x:c r="H149" s="104" t="str">
        <x:f>IF(ABS(G149-F149)&lt;=0.000001,"PASS","FAIL")</x:f>
        <x:v>PASS</x:v>
      </x:c>
    </x:row>
  </x:sheetData>
  <x:conditionalFormatting sqref="H6:H149">
    <x:cfRule type="containsText" dxfId="9" priority="1" operator="containsText" text="FAIL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4399995803833" hidden="0" customWidth="1"/>
    <x:col min="2" max="2" width="14.4399995803833" hidden="0" customWidth="1"/>
    <x:col min="3" max="3" width="26.670000076293945" hidden="0" customWidth="1"/>
    <x:col min="4" max="4" width="8.890000343322754" hidden="0" customWidth="1"/>
  </x:cols>
  <x:sheetData>
    <x:row r="2">
      <x:c r="A2" s="94" t="str">
        <x:v>Planning-model audit</x:v>
      </x:c>
      <x:c r="B2" s="95"/>
      <x:c r="C2" s="95"/>
      <x:c r="D2" s="95"/>
      <x:c r="E2" s="95"/>
      <x:c r="F2" s="95"/>
      <x:c r="G2" s="95"/>
    </x:row>
    <x:row r="3">
      <x:c r="A3" s="96"/>
      <x:c r="B3" s="96"/>
      <x:c r="C3" s="96"/>
      <x:c r="D3" s="96"/>
      <x:c r="E3" s="96"/>
      <x:c r="F3" s="96"/>
      <x:c r="G3" s="96"/>
    </x:row>
    <x:row r="4">
      <x:c r="A4" s="97" t="str">
        <x:v>Audit is terminal. No output, control or class decision depends on this sheet.</x:v>
      </x:c>
      <x:c r="B4" s="95"/>
      <x:c r="C4" s="95"/>
      <x:c r="D4" s="95"/>
      <x:c r="E4" s="95"/>
      <x:c r="F4" s="95"/>
      <x:c r="G4" s="95"/>
    </x:row>
    <x:row r="5">
      <x:c r="A5" s="9" t="str">
        <x:v>Audit ID</x:v>
      </x:c>
      <x:c r="B5" s="10" t="str">
        <x:v>Type</x:v>
      </x:c>
      <x:c r="C5" s="10" t="str">
        <x:v>Control</x:v>
      </x:c>
      <x:c r="D5" s="11" t="str">
        <x:v>Status</x:v>
      </x:c>
      <x:c r="E5" s="95"/>
      <x:c r="F5" s="95"/>
      <x:c r="G5" s="95"/>
    </x:row>
    <x:row r="6">
      <x:c r="A6" s="98" t="str">
        <x:v>X-001</x:v>
      </x:c>
      <x:c r="B6" s="98" t="str">
        <x:v>EXECUTABLE CASE</x:v>
      </x:c>
      <x:c r="C6" s="98" t="str">
        <x:v>Executable Tests row 6</x:v>
      </x:c>
      <x:c r="D6" s="98" t="str">
        <x:f>'Executable Tests'!H6</x:f>
        <x:v>PASS</x:v>
      </x:c>
      <x:c r="E6" s="95"/>
      <x:c r="F6" s="95"/>
      <x:c r="G6" s="95"/>
    </x:row>
    <x:row r="7">
      <x:c r="A7" s="101" t="str">
        <x:v>X-002</x:v>
      </x:c>
      <x:c r="B7" s="101" t="str">
        <x:v>EXECUTABLE CASE</x:v>
      </x:c>
      <x:c r="C7" s="101" t="str">
        <x:v>Executable Tests row 7</x:v>
      </x:c>
      <x:c r="D7" s="101" t="str">
        <x:f>'Executable Tests'!H7</x:f>
        <x:v>PASS</x:v>
      </x:c>
      <x:c r="E7" s="95"/>
      <x:c r="F7" s="95"/>
      <x:c r="G7" s="95"/>
    </x:row>
    <x:row r="8">
      <x:c r="A8" s="101" t="str">
        <x:v>X-003</x:v>
      </x:c>
      <x:c r="B8" s="101" t="str">
        <x:v>EXECUTABLE CASE</x:v>
      </x:c>
      <x:c r="C8" s="101" t="str">
        <x:v>Executable Tests row 8</x:v>
      </x:c>
      <x:c r="D8" s="101" t="str">
        <x:f>'Executable Tests'!H8</x:f>
        <x:v>PASS</x:v>
      </x:c>
      <x:c r="E8" s="95"/>
      <x:c r="F8" s="95"/>
      <x:c r="G8" s="95"/>
    </x:row>
    <x:row r="9">
      <x:c r="A9" s="101" t="str">
        <x:v>X-004</x:v>
      </x:c>
      <x:c r="B9" s="101" t="str">
        <x:v>EXECUTABLE CASE</x:v>
      </x:c>
      <x:c r="C9" s="101" t="str">
        <x:v>Executable Tests row 9</x:v>
      </x:c>
      <x:c r="D9" s="101" t="str">
        <x:f>'Executable Tests'!H9</x:f>
        <x:v>PASS</x:v>
      </x:c>
      <x:c r="E9" s="95"/>
      <x:c r="F9" s="95"/>
      <x:c r="G9" s="95"/>
    </x:row>
    <x:row r="10">
      <x:c r="A10" s="101" t="str">
        <x:v>X-005</x:v>
      </x:c>
      <x:c r="B10" s="101" t="str">
        <x:v>EXECUTABLE CASE</x:v>
      </x:c>
      <x:c r="C10" s="101" t="str">
        <x:v>Executable Tests row 10</x:v>
      </x:c>
      <x:c r="D10" s="101" t="str">
        <x:f>'Executable Tests'!H10</x:f>
        <x:v>PASS</x:v>
      </x:c>
      <x:c r="E10" s="95"/>
      <x:c r="F10" s="95"/>
      <x:c r="G10" s="95"/>
    </x:row>
    <x:row r="11">
      <x:c r="A11" s="101" t="str">
        <x:v>X-006</x:v>
      </x:c>
      <x:c r="B11" s="101" t="str">
        <x:v>EXECUTABLE CASE</x:v>
      </x:c>
      <x:c r="C11" s="101" t="str">
        <x:v>Executable Tests row 11</x:v>
      </x:c>
      <x:c r="D11" s="101" t="str">
        <x:f>'Executable Tests'!H11</x:f>
        <x:v>PASS</x:v>
      </x:c>
      <x:c r="E11" s="95"/>
      <x:c r="F11" s="95"/>
      <x:c r="G11" s="95"/>
    </x:row>
    <x:row r="12">
      <x:c r="A12" s="101" t="str">
        <x:v>X-007</x:v>
      </x:c>
      <x:c r="B12" s="101" t="str">
        <x:v>EXECUTABLE CASE</x:v>
      </x:c>
      <x:c r="C12" s="101" t="str">
        <x:v>Executable Tests row 12</x:v>
      </x:c>
      <x:c r="D12" s="101" t="str">
        <x:f>'Executable Tests'!H12</x:f>
        <x:v>PASS</x:v>
      </x:c>
      <x:c r="E12" s="95"/>
      <x:c r="F12" s="95"/>
      <x:c r="G12" s="95"/>
    </x:row>
    <x:row r="13">
      <x:c r="A13" s="101" t="str">
        <x:v>X-008</x:v>
      </x:c>
      <x:c r="B13" s="101" t="str">
        <x:v>EXECUTABLE CASE</x:v>
      </x:c>
      <x:c r="C13" s="101" t="str">
        <x:v>Executable Tests row 13</x:v>
      </x:c>
      <x:c r="D13" s="101" t="str">
        <x:f>'Executable Tests'!H13</x:f>
        <x:v>PASS</x:v>
      </x:c>
      <x:c r="E13" s="95"/>
      <x:c r="F13" s="95"/>
      <x:c r="G13" s="95"/>
    </x:row>
    <x:row r="14">
      <x:c r="A14" s="101" t="str">
        <x:v>X-009</x:v>
      </x:c>
      <x:c r="B14" s="101" t="str">
        <x:v>EXECUTABLE CASE</x:v>
      </x:c>
      <x:c r="C14" s="101" t="str">
        <x:v>Executable Tests row 14</x:v>
      </x:c>
      <x:c r="D14" s="101" t="str">
        <x:f>'Executable Tests'!H14</x:f>
        <x:v>PASS</x:v>
      </x:c>
      <x:c r="E14" s="95"/>
      <x:c r="F14" s="95"/>
      <x:c r="G14" s="95"/>
    </x:row>
    <x:row r="15">
      <x:c r="A15" s="101" t="str">
        <x:v>X-010</x:v>
      </x:c>
      <x:c r="B15" s="101" t="str">
        <x:v>EXECUTABLE CASE</x:v>
      </x:c>
      <x:c r="C15" s="101" t="str">
        <x:v>Executable Tests row 15</x:v>
      </x:c>
      <x:c r="D15" s="101" t="str">
        <x:f>'Executable Tests'!H15</x:f>
        <x:v>PASS</x:v>
      </x:c>
      <x:c r="E15" s="95"/>
      <x:c r="F15" s="95"/>
      <x:c r="G15" s="95"/>
    </x:row>
    <x:row r="16">
      <x:c r="A16" s="101" t="str">
        <x:v>X-011</x:v>
      </x:c>
      <x:c r="B16" s="101" t="str">
        <x:v>EXECUTABLE CASE</x:v>
      </x:c>
      <x:c r="C16" s="101" t="str">
        <x:v>Executable Tests row 16</x:v>
      </x:c>
      <x:c r="D16" s="101" t="str">
        <x:f>'Executable Tests'!H16</x:f>
        <x:v>PASS</x:v>
      </x:c>
      <x:c r="E16" s="95"/>
      <x:c r="F16" s="95"/>
      <x:c r="G16" s="95"/>
    </x:row>
    <x:row r="17">
      <x:c r="A17" s="101" t="str">
        <x:v>X-012</x:v>
      </x:c>
      <x:c r="B17" s="101" t="str">
        <x:v>EXECUTABLE CASE</x:v>
      </x:c>
      <x:c r="C17" s="101" t="str">
        <x:v>Executable Tests row 17</x:v>
      </x:c>
      <x:c r="D17" s="101" t="str">
        <x:f>'Executable Tests'!H17</x:f>
        <x:v>PASS</x:v>
      </x:c>
      <x:c r="E17" s="95"/>
      <x:c r="F17" s="95"/>
      <x:c r="G17" s="95"/>
    </x:row>
    <x:row r="18">
      <x:c r="A18" s="101" t="str">
        <x:v>X-013</x:v>
      </x:c>
      <x:c r="B18" s="101" t="str">
        <x:v>EXECUTABLE CASE</x:v>
      </x:c>
      <x:c r="C18" s="101" t="str">
        <x:v>Executable Tests row 18</x:v>
      </x:c>
      <x:c r="D18" s="101" t="str">
        <x:f>'Executable Tests'!H18</x:f>
        <x:v>PASS</x:v>
      </x:c>
      <x:c r="E18" s="95"/>
      <x:c r="F18" s="95"/>
      <x:c r="G18" s="95"/>
    </x:row>
    <x:row r="19">
      <x:c r="A19" s="101" t="str">
        <x:v>X-014</x:v>
      </x:c>
      <x:c r="B19" s="101" t="str">
        <x:v>EXECUTABLE CASE</x:v>
      </x:c>
      <x:c r="C19" s="101" t="str">
        <x:v>Executable Tests row 19</x:v>
      </x:c>
      <x:c r="D19" s="101" t="str">
        <x:f>'Executable Tests'!H19</x:f>
        <x:v>PASS</x:v>
      </x:c>
      <x:c r="E19" s="95"/>
      <x:c r="F19" s="95"/>
      <x:c r="G19" s="95"/>
    </x:row>
    <x:row r="20">
      <x:c r="A20" s="101" t="str">
        <x:v>X-015</x:v>
      </x:c>
      <x:c r="B20" s="101" t="str">
        <x:v>EXECUTABLE CASE</x:v>
      </x:c>
      <x:c r="C20" s="101" t="str">
        <x:v>Executable Tests row 20</x:v>
      </x:c>
      <x:c r="D20" s="101" t="str">
        <x:f>'Executable Tests'!H20</x:f>
        <x:v>PASS</x:v>
      </x:c>
      <x:c r="E20" s="95"/>
      <x:c r="F20" s="95"/>
      <x:c r="G20" s="95"/>
    </x:row>
    <x:row r="21">
      <x:c r="A21" s="101" t="str">
        <x:v>X-016</x:v>
      </x:c>
      <x:c r="B21" s="101" t="str">
        <x:v>EXECUTABLE CASE</x:v>
      </x:c>
      <x:c r="C21" s="101" t="str">
        <x:v>Executable Tests row 21</x:v>
      </x:c>
      <x:c r="D21" s="101" t="str">
        <x:f>'Executable Tests'!H21</x:f>
        <x:v>PASS</x:v>
      </x:c>
      <x:c r="E21" s="95"/>
      <x:c r="F21" s="95"/>
      <x:c r="G21" s="95"/>
    </x:row>
    <x:row r="22">
      <x:c r="A22" s="101" t="str">
        <x:v>X-017</x:v>
      </x:c>
      <x:c r="B22" s="101" t="str">
        <x:v>EXECUTABLE CASE</x:v>
      </x:c>
      <x:c r="C22" s="101" t="str">
        <x:v>Executable Tests row 22</x:v>
      </x:c>
      <x:c r="D22" s="101" t="str">
        <x:f>'Executable Tests'!H22</x:f>
        <x:v>PASS</x:v>
      </x:c>
      <x:c r="E22" s="95"/>
      <x:c r="F22" s="95"/>
      <x:c r="G22" s="95"/>
    </x:row>
    <x:row r="23">
      <x:c r="A23" s="101" t="str">
        <x:v>X-018</x:v>
      </x:c>
      <x:c r="B23" s="101" t="str">
        <x:v>EXECUTABLE CASE</x:v>
      </x:c>
      <x:c r="C23" s="101" t="str">
        <x:v>Executable Tests row 23</x:v>
      </x:c>
      <x:c r="D23" s="101" t="str">
        <x:f>'Executable Tests'!H23</x:f>
        <x:v>PASS</x:v>
      </x:c>
      <x:c r="E23" s="95"/>
      <x:c r="F23" s="95"/>
      <x:c r="G23" s="95"/>
    </x:row>
    <x:row r="24">
      <x:c r="A24" s="101" t="str">
        <x:v>X-019</x:v>
      </x:c>
      <x:c r="B24" s="101" t="str">
        <x:v>EXECUTABLE CASE</x:v>
      </x:c>
      <x:c r="C24" s="101" t="str">
        <x:v>Executable Tests row 24</x:v>
      </x:c>
      <x:c r="D24" s="101" t="str">
        <x:f>'Executable Tests'!H24</x:f>
        <x:v>PASS</x:v>
      </x:c>
      <x:c r="E24" s="95"/>
      <x:c r="F24" s="95"/>
      <x:c r="G24" s="95"/>
    </x:row>
    <x:row r="25">
      <x:c r="A25" s="101" t="str">
        <x:v>X-020</x:v>
      </x:c>
      <x:c r="B25" s="101" t="str">
        <x:v>EXECUTABLE CASE</x:v>
      </x:c>
      <x:c r="C25" s="101" t="str">
        <x:v>Executable Tests row 25</x:v>
      </x:c>
      <x:c r="D25" s="101" t="str">
        <x:f>'Executable Tests'!H25</x:f>
        <x:v>PASS</x:v>
      </x:c>
      <x:c r="E25" s="95"/>
      <x:c r="F25" s="95"/>
      <x:c r="G25" s="95"/>
    </x:row>
    <x:row r="26">
      <x:c r="A26" s="101" t="str">
        <x:v>X-021</x:v>
      </x:c>
      <x:c r="B26" s="101" t="str">
        <x:v>EXECUTABLE CASE</x:v>
      </x:c>
      <x:c r="C26" s="101" t="str">
        <x:v>Executable Tests row 26</x:v>
      </x:c>
      <x:c r="D26" s="101" t="str">
        <x:f>'Executable Tests'!H26</x:f>
        <x:v>PASS</x:v>
      </x:c>
      <x:c r="E26" s="95"/>
      <x:c r="F26" s="95"/>
      <x:c r="G26" s="95"/>
    </x:row>
    <x:row r="27">
      <x:c r="A27" s="101" t="str">
        <x:v>X-022</x:v>
      </x:c>
      <x:c r="B27" s="101" t="str">
        <x:v>EXECUTABLE CASE</x:v>
      </x:c>
      <x:c r="C27" s="101" t="str">
        <x:v>Executable Tests row 27</x:v>
      </x:c>
      <x:c r="D27" s="101" t="str">
        <x:f>'Executable Tests'!H27</x:f>
        <x:v>PASS</x:v>
      </x:c>
      <x:c r="E27" s="95"/>
      <x:c r="F27" s="95"/>
      <x:c r="G27" s="95"/>
    </x:row>
    <x:row r="28">
      <x:c r="A28" s="101" t="str">
        <x:v>X-023</x:v>
      </x:c>
      <x:c r="B28" s="101" t="str">
        <x:v>EXECUTABLE CASE</x:v>
      </x:c>
      <x:c r="C28" s="101" t="str">
        <x:v>Executable Tests row 28</x:v>
      </x:c>
      <x:c r="D28" s="101" t="str">
        <x:f>'Executable Tests'!H28</x:f>
        <x:v>PASS</x:v>
      </x:c>
      <x:c r="E28" s="95"/>
      <x:c r="F28" s="95"/>
      <x:c r="G28" s="95"/>
    </x:row>
    <x:row r="29">
      <x:c r="A29" s="101" t="str">
        <x:v>X-024</x:v>
      </x:c>
      <x:c r="B29" s="101" t="str">
        <x:v>EXECUTABLE CASE</x:v>
      </x:c>
      <x:c r="C29" s="101" t="str">
        <x:v>Executable Tests row 29</x:v>
      </x:c>
      <x:c r="D29" s="101" t="str">
        <x:f>'Executable Tests'!H29</x:f>
        <x:v>PASS</x:v>
      </x:c>
      <x:c r="E29" s="95"/>
      <x:c r="F29" s="95"/>
      <x:c r="G29" s="95"/>
    </x:row>
    <x:row r="30">
      <x:c r="A30" s="101" t="str">
        <x:v>X-025</x:v>
      </x:c>
      <x:c r="B30" s="101" t="str">
        <x:v>EXECUTABLE CASE</x:v>
      </x:c>
      <x:c r="C30" s="101" t="str">
        <x:v>Executable Tests row 30</x:v>
      </x:c>
      <x:c r="D30" s="101" t="str">
        <x:f>'Executable Tests'!H30</x:f>
        <x:v>PASS</x:v>
      </x:c>
      <x:c r="E30" s="95"/>
      <x:c r="F30" s="95"/>
      <x:c r="G30" s="95"/>
    </x:row>
    <x:row r="31">
      <x:c r="A31" s="101" t="str">
        <x:v>X-026</x:v>
      </x:c>
      <x:c r="B31" s="101" t="str">
        <x:v>EXECUTABLE CASE</x:v>
      </x:c>
      <x:c r="C31" s="101" t="str">
        <x:v>Executable Tests row 31</x:v>
      </x:c>
      <x:c r="D31" s="101" t="str">
        <x:f>'Executable Tests'!H31</x:f>
        <x:v>PASS</x:v>
      </x:c>
      <x:c r="E31" s="95"/>
      <x:c r="F31" s="95"/>
      <x:c r="G31" s="95"/>
    </x:row>
    <x:row r="32">
      <x:c r="A32" s="101" t="str">
        <x:v>X-027</x:v>
      </x:c>
      <x:c r="B32" s="101" t="str">
        <x:v>EXECUTABLE CASE</x:v>
      </x:c>
      <x:c r="C32" s="101" t="str">
        <x:v>Executable Tests row 32</x:v>
      </x:c>
      <x:c r="D32" s="101" t="str">
        <x:f>'Executable Tests'!H32</x:f>
        <x:v>PASS</x:v>
      </x:c>
      <x:c r="E32" s="95"/>
      <x:c r="F32" s="95"/>
      <x:c r="G32" s="95"/>
    </x:row>
    <x:row r="33">
      <x:c r="A33" s="101" t="str">
        <x:v>X-028</x:v>
      </x:c>
      <x:c r="B33" s="101" t="str">
        <x:v>EXECUTABLE CASE</x:v>
      </x:c>
      <x:c r="C33" s="101" t="str">
        <x:v>Executable Tests row 33</x:v>
      </x:c>
      <x:c r="D33" s="101" t="str">
        <x:f>'Executable Tests'!H33</x:f>
        <x:v>PASS</x:v>
      </x:c>
      <x:c r="E33" s="95"/>
      <x:c r="F33" s="95"/>
      <x:c r="G33" s="95"/>
    </x:row>
    <x:row r="34">
      <x:c r="A34" s="101" t="str">
        <x:v>X-029</x:v>
      </x:c>
      <x:c r="B34" s="101" t="str">
        <x:v>EXECUTABLE CASE</x:v>
      </x:c>
      <x:c r="C34" s="101" t="str">
        <x:v>Executable Tests row 34</x:v>
      </x:c>
      <x:c r="D34" s="101" t="str">
        <x:f>'Executable Tests'!H34</x:f>
        <x:v>PASS</x:v>
      </x:c>
      <x:c r="E34" s="95"/>
      <x:c r="F34" s="95"/>
      <x:c r="G34" s="95"/>
    </x:row>
    <x:row r="35">
      <x:c r="A35" s="101" t="str">
        <x:v>X-030</x:v>
      </x:c>
      <x:c r="B35" s="101" t="str">
        <x:v>EXECUTABLE CASE</x:v>
      </x:c>
      <x:c r="C35" s="101" t="str">
        <x:v>Executable Tests row 35</x:v>
      </x:c>
      <x:c r="D35" s="101" t="str">
        <x:f>'Executable Tests'!H35</x:f>
        <x:v>PASS</x:v>
      </x:c>
      <x:c r="E35" s="95"/>
      <x:c r="F35" s="95"/>
      <x:c r="G35" s="95"/>
    </x:row>
    <x:row r="36">
      <x:c r="A36" s="101" t="str">
        <x:v>X-031</x:v>
      </x:c>
      <x:c r="B36" s="101" t="str">
        <x:v>EXECUTABLE CASE</x:v>
      </x:c>
      <x:c r="C36" s="101" t="str">
        <x:v>Executable Tests row 36</x:v>
      </x:c>
      <x:c r="D36" s="101" t="str">
        <x:f>'Executable Tests'!H36</x:f>
        <x:v>PASS</x:v>
      </x:c>
      <x:c r="E36" s="95"/>
      <x:c r="F36" s="95"/>
      <x:c r="G36" s="95"/>
    </x:row>
    <x:row r="37">
      <x:c r="A37" s="101" t="str">
        <x:v>X-032</x:v>
      </x:c>
      <x:c r="B37" s="101" t="str">
        <x:v>EXECUTABLE CASE</x:v>
      </x:c>
      <x:c r="C37" s="101" t="str">
        <x:v>Executable Tests row 37</x:v>
      </x:c>
      <x:c r="D37" s="101" t="str">
        <x:f>'Executable Tests'!H37</x:f>
        <x:v>PASS</x:v>
      </x:c>
      <x:c r="E37" s="95"/>
      <x:c r="F37" s="95"/>
      <x:c r="G37" s="95"/>
    </x:row>
    <x:row r="38">
      <x:c r="A38" s="101" t="str">
        <x:v>X-033</x:v>
      </x:c>
      <x:c r="B38" s="101" t="str">
        <x:v>EXECUTABLE CASE</x:v>
      </x:c>
      <x:c r="C38" s="101" t="str">
        <x:v>Executable Tests row 38</x:v>
      </x:c>
      <x:c r="D38" s="101" t="str">
        <x:f>'Executable Tests'!H38</x:f>
        <x:v>PASS</x:v>
      </x:c>
      <x:c r="E38" s="95"/>
      <x:c r="F38" s="95"/>
      <x:c r="G38" s="95"/>
    </x:row>
    <x:row r="39">
      <x:c r="A39" s="101" t="str">
        <x:v>X-034</x:v>
      </x:c>
      <x:c r="B39" s="101" t="str">
        <x:v>EXECUTABLE CASE</x:v>
      </x:c>
      <x:c r="C39" s="101" t="str">
        <x:v>Executable Tests row 39</x:v>
      </x:c>
      <x:c r="D39" s="101" t="str">
        <x:f>'Executable Tests'!H39</x:f>
        <x:v>PASS</x:v>
      </x:c>
      <x:c r="E39" s="95"/>
      <x:c r="F39" s="95"/>
      <x:c r="G39" s="95"/>
    </x:row>
    <x:row r="40">
      <x:c r="A40" s="101" t="str">
        <x:v>X-035</x:v>
      </x:c>
      <x:c r="B40" s="101" t="str">
        <x:v>EXECUTABLE CASE</x:v>
      </x:c>
      <x:c r="C40" s="101" t="str">
        <x:v>Executable Tests row 40</x:v>
      </x:c>
      <x:c r="D40" s="101" t="str">
        <x:f>'Executable Tests'!H40</x:f>
        <x:v>PASS</x:v>
      </x:c>
      <x:c r="E40" s="95"/>
      <x:c r="F40" s="95"/>
      <x:c r="G40" s="95"/>
    </x:row>
    <x:row r="41">
      <x:c r="A41" s="101" t="str">
        <x:v>X-036</x:v>
      </x:c>
      <x:c r="B41" s="101" t="str">
        <x:v>EXECUTABLE CASE</x:v>
      </x:c>
      <x:c r="C41" s="101" t="str">
        <x:v>Executable Tests row 41</x:v>
      </x:c>
      <x:c r="D41" s="101" t="str">
        <x:f>'Executable Tests'!H41</x:f>
        <x:v>PASS</x:v>
      </x:c>
      <x:c r="E41" s="95"/>
      <x:c r="F41" s="95"/>
      <x:c r="G41" s="95"/>
    </x:row>
    <x:row r="42">
      <x:c r="A42" s="101" t="str">
        <x:v>X-037</x:v>
      </x:c>
      <x:c r="B42" s="101" t="str">
        <x:v>EXECUTABLE CASE</x:v>
      </x:c>
      <x:c r="C42" s="101" t="str">
        <x:v>Executable Tests row 42</x:v>
      </x:c>
      <x:c r="D42" s="101" t="str">
        <x:f>'Executable Tests'!H42</x:f>
        <x:v>PASS</x:v>
      </x:c>
      <x:c r="E42" s="95"/>
      <x:c r="F42" s="95"/>
      <x:c r="G42" s="95"/>
    </x:row>
    <x:row r="43">
      <x:c r="A43" s="101" t="str">
        <x:v>X-038</x:v>
      </x:c>
      <x:c r="B43" s="101" t="str">
        <x:v>EXECUTABLE CASE</x:v>
      </x:c>
      <x:c r="C43" s="101" t="str">
        <x:v>Executable Tests row 43</x:v>
      </x:c>
      <x:c r="D43" s="101" t="str">
        <x:f>'Executable Tests'!H43</x:f>
        <x:v>PASS</x:v>
      </x:c>
      <x:c r="E43" s="95"/>
      <x:c r="F43" s="95"/>
      <x:c r="G43" s="95"/>
    </x:row>
    <x:row r="44">
      <x:c r="A44" s="101" t="str">
        <x:v>X-039</x:v>
      </x:c>
      <x:c r="B44" s="101" t="str">
        <x:v>EXECUTABLE CASE</x:v>
      </x:c>
      <x:c r="C44" s="101" t="str">
        <x:v>Executable Tests row 44</x:v>
      </x:c>
      <x:c r="D44" s="101" t="str">
        <x:f>'Executable Tests'!H44</x:f>
        <x:v>PASS</x:v>
      </x:c>
      <x:c r="E44" s="95"/>
      <x:c r="F44" s="95"/>
      <x:c r="G44" s="95"/>
    </x:row>
    <x:row r="45">
      <x:c r="A45" s="101" t="str">
        <x:v>X-040</x:v>
      </x:c>
      <x:c r="B45" s="101" t="str">
        <x:v>EXECUTABLE CASE</x:v>
      </x:c>
      <x:c r="C45" s="101" t="str">
        <x:v>Executable Tests row 45</x:v>
      </x:c>
      <x:c r="D45" s="101" t="str">
        <x:f>'Executable Tests'!H45</x:f>
        <x:v>PASS</x:v>
      </x:c>
      <x:c r="E45" s="95"/>
      <x:c r="F45" s="95"/>
      <x:c r="G45" s="95"/>
    </x:row>
    <x:row r="46">
      <x:c r="A46" s="101" t="str">
        <x:v>X-041</x:v>
      </x:c>
      <x:c r="B46" s="101" t="str">
        <x:v>EXECUTABLE CASE</x:v>
      </x:c>
      <x:c r="C46" s="101" t="str">
        <x:v>Executable Tests row 46</x:v>
      </x:c>
      <x:c r="D46" s="101" t="str">
        <x:f>'Executable Tests'!H46</x:f>
        <x:v>PASS</x:v>
      </x:c>
      <x:c r="E46" s="95"/>
      <x:c r="F46" s="95"/>
      <x:c r="G46" s="95"/>
    </x:row>
    <x:row r="47">
      <x:c r="A47" s="101" t="str">
        <x:v>X-042</x:v>
      </x:c>
      <x:c r="B47" s="101" t="str">
        <x:v>EXECUTABLE CASE</x:v>
      </x:c>
      <x:c r="C47" s="101" t="str">
        <x:v>Executable Tests row 47</x:v>
      </x:c>
      <x:c r="D47" s="101" t="str">
        <x:f>'Executable Tests'!H47</x:f>
        <x:v>PASS</x:v>
      </x:c>
      <x:c r="E47" s="95"/>
      <x:c r="F47" s="95"/>
      <x:c r="G47" s="95"/>
    </x:row>
    <x:row r="48">
      <x:c r="A48" s="101" t="str">
        <x:v>X-043</x:v>
      </x:c>
      <x:c r="B48" s="101" t="str">
        <x:v>EXECUTABLE CASE</x:v>
      </x:c>
      <x:c r="C48" s="101" t="str">
        <x:v>Executable Tests row 48</x:v>
      </x:c>
      <x:c r="D48" s="101" t="str">
        <x:f>'Executable Tests'!H48</x:f>
        <x:v>PASS</x:v>
      </x:c>
      <x:c r="E48" s="95"/>
      <x:c r="F48" s="95"/>
      <x:c r="G48" s="95"/>
    </x:row>
    <x:row r="49">
      <x:c r="A49" s="101" t="str">
        <x:v>X-044</x:v>
      </x:c>
      <x:c r="B49" s="101" t="str">
        <x:v>EXECUTABLE CASE</x:v>
      </x:c>
      <x:c r="C49" s="101" t="str">
        <x:v>Executable Tests row 49</x:v>
      </x:c>
      <x:c r="D49" s="101" t="str">
        <x:f>'Executable Tests'!H49</x:f>
        <x:v>PASS</x:v>
      </x:c>
      <x:c r="E49" s="95"/>
      <x:c r="F49" s="95"/>
      <x:c r="G49" s="95"/>
    </x:row>
    <x:row r="50">
      <x:c r="A50" s="101" t="str">
        <x:v>X-045</x:v>
      </x:c>
      <x:c r="B50" s="101" t="str">
        <x:v>EXECUTABLE CASE</x:v>
      </x:c>
      <x:c r="C50" s="101" t="str">
        <x:v>Executable Tests row 50</x:v>
      </x:c>
      <x:c r="D50" s="101" t="str">
        <x:f>'Executable Tests'!H50</x:f>
        <x:v>PASS</x:v>
      </x:c>
      <x:c r="E50" s="95"/>
      <x:c r="F50" s="95"/>
      <x:c r="G50" s="95"/>
    </x:row>
    <x:row r="51">
      <x:c r="A51" s="101" t="str">
        <x:v>X-046</x:v>
      </x:c>
      <x:c r="B51" s="101" t="str">
        <x:v>EXECUTABLE CASE</x:v>
      </x:c>
      <x:c r="C51" s="101" t="str">
        <x:v>Executable Tests row 51</x:v>
      </x:c>
      <x:c r="D51" s="101" t="str">
        <x:f>'Executable Tests'!H51</x:f>
        <x:v>PASS</x:v>
      </x:c>
      <x:c r="E51" s="95"/>
      <x:c r="F51" s="95"/>
      <x:c r="G51" s="95"/>
    </x:row>
    <x:row r="52">
      <x:c r="A52" s="101" t="str">
        <x:v>X-047</x:v>
      </x:c>
      <x:c r="B52" s="101" t="str">
        <x:v>EXECUTABLE CASE</x:v>
      </x:c>
      <x:c r="C52" s="101" t="str">
        <x:v>Executable Tests row 52</x:v>
      </x:c>
      <x:c r="D52" s="101" t="str">
        <x:f>'Executable Tests'!H52</x:f>
        <x:v>PASS</x:v>
      </x:c>
      <x:c r="E52" s="95"/>
      <x:c r="F52" s="95"/>
      <x:c r="G52" s="95"/>
    </x:row>
    <x:row r="53">
      <x:c r="A53" s="101" t="str">
        <x:v>X-048</x:v>
      </x:c>
      <x:c r="B53" s="101" t="str">
        <x:v>EXECUTABLE CASE</x:v>
      </x:c>
      <x:c r="C53" s="101" t="str">
        <x:v>Executable Tests row 53</x:v>
      </x:c>
      <x:c r="D53" s="101" t="str">
        <x:f>'Executable Tests'!H53</x:f>
        <x:v>PASS</x:v>
      </x:c>
      <x:c r="E53" s="95"/>
      <x:c r="F53" s="95"/>
      <x:c r="G53" s="95"/>
    </x:row>
    <x:row r="54">
      <x:c r="A54" s="101" t="str">
        <x:v>X-049</x:v>
      </x:c>
      <x:c r="B54" s="101" t="str">
        <x:v>EXECUTABLE CASE</x:v>
      </x:c>
      <x:c r="C54" s="101" t="str">
        <x:v>Executable Tests row 54</x:v>
      </x:c>
      <x:c r="D54" s="101" t="str">
        <x:f>'Executable Tests'!H54</x:f>
        <x:v>PASS</x:v>
      </x:c>
      <x:c r="E54" s="95"/>
      <x:c r="F54" s="95"/>
      <x:c r="G54" s="95"/>
    </x:row>
    <x:row r="55">
      <x:c r="A55" s="101" t="str">
        <x:v>X-050</x:v>
      </x:c>
      <x:c r="B55" s="101" t="str">
        <x:v>EXECUTABLE CASE</x:v>
      </x:c>
      <x:c r="C55" s="101" t="str">
        <x:v>Executable Tests row 55</x:v>
      </x:c>
      <x:c r="D55" s="101" t="str">
        <x:f>'Executable Tests'!H55</x:f>
        <x:v>PASS</x:v>
      </x:c>
      <x:c r="E55" s="95"/>
      <x:c r="F55" s="95"/>
      <x:c r="G55" s="95"/>
    </x:row>
    <x:row r="56">
      <x:c r="A56" s="101" t="str">
        <x:v>X-051</x:v>
      </x:c>
      <x:c r="B56" s="101" t="str">
        <x:v>EXECUTABLE CASE</x:v>
      </x:c>
      <x:c r="C56" s="101" t="str">
        <x:v>Executable Tests row 56</x:v>
      </x:c>
      <x:c r="D56" s="101" t="str">
        <x:f>'Executable Tests'!H56</x:f>
        <x:v>PASS</x:v>
      </x:c>
      <x:c r="E56" s="95"/>
      <x:c r="F56" s="95"/>
      <x:c r="G56" s="95"/>
    </x:row>
    <x:row r="57">
      <x:c r="A57" s="101" t="str">
        <x:v>X-052</x:v>
      </x:c>
      <x:c r="B57" s="101" t="str">
        <x:v>EXECUTABLE CASE</x:v>
      </x:c>
      <x:c r="C57" s="101" t="str">
        <x:v>Executable Tests row 57</x:v>
      </x:c>
      <x:c r="D57" s="101" t="str">
        <x:f>'Executable Tests'!H57</x:f>
        <x:v>PASS</x:v>
      </x:c>
      <x:c r="E57" s="95"/>
      <x:c r="F57" s="95"/>
      <x:c r="G57" s="95"/>
    </x:row>
    <x:row r="58">
      <x:c r="A58" s="101" t="str">
        <x:v>X-053</x:v>
      </x:c>
      <x:c r="B58" s="101" t="str">
        <x:v>EXECUTABLE CASE</x:v>
      </x:c>
      <x:c r="C58" s="101" t="str">
        <x:v>Executable Tests row 58</x:v>
      </x:c>
      <x:c r="D58" s="101" t="str">
        <x:f>'Executable Tests'!H58</x:f>
        <x:v>PASS</x:v>
      </x:c>
      <x:c r="E58" s="95"/>
      <x:c r="F58" s="95"/>
      <x:c r="G58" s="95"/>
    </x:row>
    <x:row r="59">
      <x:c r="A59" s="101" t="str">
        <x:v>X-054</x:v>
      </x:c>
      <x:c r="B59" s="101" t="str">
        <x:v>EXECUTABLE CASE</x:v>
      </x:c>
      <x:c r="C59" s="101" t="str">
        <x:v>Executable Tests row 59</x:v>
      </x:c>
      <x:c r="D59" s="101" t="str">
        <x:f>'Executable Tests'!H59</x:f>
        <x:v>PASS</x:v>
      </x:c>
      <x:c r="E59" s="95"/>
      <x:c r="F59" s="95"/>
      <x:c r="G59" s="95"/>
    </x:row>
    <x:row r="60">
      <x:c r="A60" s="101" t="str">
        <x:v>X-055</x:v>
      </x:c>
      <x:c r="B60" s="101" t="str">
        <x:v>EXECUTABLE CASE</x:v>
      </x:c>
      <x:c r="C60" s="101" t="str">
        <x:v>Executable Tests row 60</x:v>
      </x:c>
      <x:c r="D60" s="101" t="str">
        <x:f>'Executable Tests'!H60</x:f>
        <x:v>PASS</x:v>
      </x:c>
      <x:c r="E60" s="95"/>
      <x:c r="F60" s="95"/>
      <x:c r="G60" s="95"/>
    </x:row>
    <x:row r="61">
      <x:c r="A61" s="101" t="str">
        <x:v>X-056</x:v>
      </x:c>
      <x:c r="B61" s="101" t="str">
        <x:v>EXECUTABLE CASE</x:v>
      </x:c>
      <x:c r="C61" s="101" t="str">
        <x:v>Executable Tests row 61</x:v>
      </x:c>
      <x:c r="D61" s="101" t="str">
        <x:f>'Executable Tests'!H61</x:f>
        <x:v>PASS</x:v>
      </x:c>
      <x:c r="E61" s="95"/>
      <x:c r="F61" s="95"/>
      <x:c r="G61" s="95"/>
    </x:row>
    <x:row r="62">
      <x:c r="A62" s="101" t="str">
        <x:v>X-057</x:v>
      </x:c>
      <x:c r="B62" s="101" t="str">
        <x:v>EXECUTABLE CASE</x:v>
      </x:c>
      <x:c r="C62" s="101" t="str">
        <x:v>Executable Tests row 62</x:v>
      </x:c>
      <x:c r="D62" s="101" t="str">
        <x:f>'Executable Tests'!H62</x:f>
        <x:v>PASS</x:v>
      </x:c>
      <x:c r="E62" s="95"/>
      <x:c r="F62" s="95"/>
      <x:c r="G62" s="95"/>
    </x:row>
    <x:row r="63">
      <x:c r="A63" s="101" t="str">
        <x:v>X-058</x:v>
      </x:c>
      <x:c r="B63" s="101" t="str">
        <x:v>EXECUTABLE CASE</x:v>
      </x:c>
      <x:c r="C63" s="101" t="str">
        <x:v>Executable Tests row 63</x:v>
      </x:c>
      <x:c r="D63" s="101" t="str">
        <x:f>'Executable Tests'!H63</x:f>
        <x:v>PASS</x:v>
      </x:c>
      <x:c r="E63" s="95"/>
      <x:c r="F63" s="95"/>
      <x:c r="G63" s="95"/>
    </x:row>
    <x:row r="64">
      <x:c r="A64" s="101" t="str">
        <x:v>X-059</x:v>
      </x:c>
      <x:c r="B64" s="101" t="str">
        <x:v>EXECUTABLE CASE</x:v>
      </x:c>
      <x:c r="C64" s="101" t="str">
        <x:v>Executable Tests row 64</x:v>
      </x:c>
      <x:c r="D64" s="101" t="str">
        <x:f>'Executable Tests'!H64</x:f>
        <x:v>PASS</x:v>
      </x:c>
      <x:c r="E64" s="95"/>
      <x:c r="F64" s="95"/>
      <x:c r="G64" s="95"/>
    </x:row>
    <x:row r="65">
      <x:c r="A65" s="101" t="str">
        <x:v>X-060</x:v>
      </x:c>
      <x:c r="B65" s="101" t="str">
        <x:v>EXECUTABLE CASE</x:v>
      </x:c>
      <x:c r="C65" s="101" t="str">
        <x:v>Executable Tests row 65</x:v>
      </x:c>
      <x:c r="D65" s="101" t="str">
        <x:f>'Executable Tests'!H65</x:f>
        <x:v>PASS</x:v>
      </x:c>
      <x:c r="E65" s="95"/>
      <x:c r="F65" s="95"/>
      <x:c r="G65" s="95"/>
    </x:row>
    <x:row r="66">
      <x:c r="A66" s="101" t="str">
        <x:v>X-061</x:v>
      </x:c>
      <x:c r="B66" s="101" t="str">
        <x:v>EXECUTABLE CASE</x:v>
      </x:c>
      <x:c r="C66" s="101" t="str">
        <x:v>Executable Tests row 66</x:v>
      </x:c>
      <x:c r="D66" s="101" t="str">
        <x:f>'Executable Tests'!H66</x:f>
        <x:v>PASS</x:v>
      </x:c>
      <x:c r="E66" s="95"/>
      <x:c r="F66" s="95"/>
      <x:c r="G66" s="95"/>
    </x:row>
    <x:row r="67">
      <x:c r="A67" s="101" t="str">
        <x:v>X-062</x:v>
      </x:c>
      <x:c r="B67" s="101" t="str">
        <x:v>EXECUTABLE CASE</x:v>
      </x:c>
      <x:c r="C67" s="101" t="str">
        <x:v>Executable Tests row 67</x:v>
      </x:c>
      <x:c r="D67" s="101" t="str">
        <x:f>'Executable Tests'!H67</x:f>
        <x:v>PASS</x:v>
      </x:c>
      <x:c r="E67" s="95"/>
      <x:c r="F67" s="95"/>
      <x:c r="G67" s="95"/>
    </x:row>
    <x:row r="68">
      <x:c r="A68" s="101" t="str">
        <x:v>X-063</x:v>
      </x:c>
      <x:c r="B68" s="101" t="str">
        <x:v>EXECUTABLE CASE</x:v>
      </x:c>
      <x:c r="C68" s="101" t="str">
        <x:v>Executable Tests row 68</x:v>
      </x:c>
      <x:c r="D68" s="101" t="str">
        <x:f>'Executable Tests'!H68</x:f>
        <x:v>PASS</x:v>
      </x:c>
      <x:c r="E68" s="95"/>
      <x:c r="F68" s="95"/>
      <x:c r="G68" s="95"/>
    </x:row>
    <x:row r="69">
      <x:c r="A69" s="101" t="str">
        <x:v>X-064</x:v>
      </x:c>
      <x:c r="B69" s="101" t="str">
        <x:v>EXECUTABLE CASE</x:v>
      </x:c>
      <x:c r="C69" s="101" t="str">
        <x:v>Executable Tests row 69</x:v>
      </x:c>
      <x:c r="D69" s="101" t="str">
        <x:f>'Executable Tests'!H69</x:f>
        <x:v>PASS</x:v>
      </x:c>
      <x:c r="E69" s="95"/>
      <x:c r="F69" s="95"/>
      <x:c r="G69" s="95"/>
    </x:row>
    <x:row r="70">
      <x:c r="A70" s="101" t="str">
        <x:v>X-065</x:v>
      </x:c>
      <x:c r="B70" s="101" t="str">
        <x:v>EXECUTABLE CASE</x:v>
      </x:c>
      <x:c r="C70" s="101" t="str">
        <x:v>Executable Tests row 70</x:v>
      </x:c>
      <x:c r="D70" s="101" t="str">
        <x:f>'Executable Tests'!H70</x:f>
        <x:v>PASS</x:v>
      </x:c>
      <x:c r="E70" s="95"/>
      <x:c r="F70" s="95"/>
      <x:c r="G70" s="95"/>
    </x:row>
    <x:row r="71">
      <x:c r="A71" s="101" t="str">
        <x:v>X-066</x:v>
      </x:c>
      <x:c r="B71" s="101" t="str">
        <x:v>EXECUTABLE CASE</x:v>
      </x:c>
      <x:c r="C71" s="101" t="str">
        <x:v>Executable Tests row 71</x:v>
      </x:c>
      <x:c r="D71" s="101" t="str">
        <x:f>'Executable Tests'!H71</x:f>
        <x:v>PASS</x:v>
      </x:c>
      <x:c r="E71" s="95"/>
      <x:c r="F71" s="95"/>
      <x:c r="G71" s="95"/>
    </x:row>
    <x:row r="72">
      <x:c r="A72" s="101" t="str">
        <x:v>X-067</x:v>
      </x:c>
      <x:c r="B72" s="101" t="str">
        <x:v>EXECUTABLE CASE</x:v>
      </x:c>
      <x:c r="C72" s="101" t="str">
        <x:v>Executable Tests row 72</x:v>
      </x:c>
      <x:c r="D72" s="101" t="str">
        <x:f>'Executable Tests'!H72</x:f>
        <x:v>PASS</x:v>
      </x:c>
      <x:c r="E72" s="95"/>
      <x:c r="F72" s="95"/>
      <x:c r="G72" s="95"/>
    </x:row>
    <x:row r="73">
      <x:c r="A73" s="101" t="str">
        <x:v>X-068</x:v>
      </x:c>
      <x:c r="B73" s="101" t="str">
        <x:v>EXECUTABLE CASE</x:v>
      </x:c>
      <x:c r="C73" s="101" t="str">
        <x:v>Executable Tests row 73</x:v>
      </x:c>
      <x:c r="D73" s="101" t="str">
        <x:f>'Executable Tests'!H73</x:f>
        <x:v>PASS</x:v>
      </x:c>
      <x:c r="E73" s="95"/>
      <x:c r="F73" s="95"/>
      <x:c r="G73" s="95"/>
    </x:row>
    <x:row r="74">
      <x:c r="A74" s="101" t="str">
        <x:v>X-069</x:v>
      </x:c>
      <x:c r="B74" s="101" t="str">
        <x:v>EXECUTABLE CASE</x:v>
      </x:c>
      <x:c r="C74" s="101" t="str">
        <x:v>Executable Tests row 74</x:v>
      </x:c>
      <x:c r="D74" s="101" t="str">
        <x:f>'Executable Tests'!H74</x:f>
        <x:v>PASS</x:v>
      </x:c>
      <x:c r="E74" s="95"/>
      <x:c r="F74" s="95"/>
      <x:c r="G74" s="95"/>
    </x:row>
    <x:row r="75">
      <x:c r="A75" s="101" t="str">
        <x:v>X-070</x:v>
      </x:c>
      <x:c r="B75" s="101" t="str">
        <x:v>EXECUTABLE CASE</x:v>
      </x:c>
      <x:c r="C75" s="101" t="str">
        <x:v>Executable Tests row 75</x:v>
      </x:c>
      <x:c r="D75" s="101" t="str">
        <x:f>'Executable Tests'!H75</x:f>
        <x:v>PASS</x:v>
      </x:c>
      <x:c r="E75" s="95"/>
      <x:c r="F75" s="95"/>
      <x:c r="G75" s="95"/>
    </x:row>
    <x:row r="76">
      <x:c r="A76" s="101" t="str">
        <x:v>X-071</x:v>
      </x:c>
      <x:c r="B76" s="101" t="str">
        <x:v>EXECUTABLE CASE</x:v>
      </x:c>
      <x:c r="C76" s="101" t="str">
        <x:v>Executable Tests row 76</x:v>
      </x:c>
      <x:c r="D76" s="101" t="str">
        <x:f>'Executable Tests'!H76</x:f>
        <x:v>PASS</x:v>
      </x:c>
      <x:c r="E76" s="95"/>
      <x:c r="F76" s="95"/>
      <x:c r="G76" s="95"/>
    </x:row>
    <x:row r="77">
      <x:c r="A77" s="101" t="str">
        <x:v>X-072</x:v>
      </x:c>
      <x:c r="B77" s="101" t="str">
        <x:v>EXECUTABLE CASE</x:v>
      </x:c>
      <x:c r="C77" s="101" t="str">
        <x:v>Executable Tests row 77</x:v>
      </x:c>
      <x:c r="D77" s="101" t="str">
        <x:f>'Executable Tests'!H77</x:f>
        <x:v>PASS</x:v>
      </x:c>
      <x:c r="E77" s="95"/>
      <x:c r="F77" s="95"/>
      <x:c r="G77" s="95"/>
    </x:row>
    <x:row r="78">
      <x:c r="A78" s="101" t="str">
        <x:v>X-073</x:v>
      </x:c>
      <x:c r="B78" s="101" t="str">
        <x:v>EXECUTABLE CASE</x:v>
      </x:c>
      <x:c r="C78" s="101" t="str">
        <x:v>Executable Tests row 78</x:v>
      </x:c>
      <x:c r="D78" s="101" t="str">
        <x:f>'Executable Tests'!H78</x:f>
        <x:v>PASS</x:v>
      </x:c>
      <x:c r="E78" s="95"/>
      <x:c r="F78" s="95"/>
      <x:c r="G78" s="95"/>
    </x:row>
    <x:row r="79">
      <x:c r="A79" s="101" t="str">
        <x:v>X-074</x:v>
      </x:c>
      <x:c r="B79" s="101" t="str">
        <x:v>EXECUTABLE CASE</x:v>
      </x:c>
      <x:c r="C79" s="101" t="str">
        <x:v>Executable Tests row 79</x:v>
      </x:c>
      <x:c r="D79" s="101" t="str">
        <x:f>'Executable Tests'!H79</x:f>
        <x:v>PASS</x:v>
      </x:c>
      <x:c r="E79" s="95"/>
      <x:c r="F79" s="95"/>
      <x:c r="G79" s="95"/>
    </x:row>
    <x:row r="80">
      <x:c r="A80" s="101" t="str">
        <x:v>X-075</x:v>
      </x:c>
      <x:c r="B80" s="101" t="str">
        <x:v>EXECUTABLE CASE</x:v>
      </x:c>
      <x:c r="C80" s="101" t="str">
        <x:v>Executable Tests row 80</x:v>
      </x:c>
      <x:c r="D80" s="101" t="str">
        <x:f>'Executable Tests'!H80</x:f>
        <x:v>PASS</x:v>
      </x:c>
      <x:c r="E80" s="95"/>
      <x:c r="F80" s="95"/>
      <x:c r="G80" s="95"/>
    </x:row>
    <x:row r="81">
      <x:c r="A81" s="101" t="str">
        <x:v>X-076</x:v>
      </x:c>
      <x:c r="B81" s="101" t="str">
        <x:v>EXECUTABLE CASE</x:v>
      </x:c>
      <x:c r="C81" s="101" t="str">
        <x:v>Executable Tests row 81</x:v>
      </x:c>
      <x:c r="D81" s="101" t="str">
        <x:f>'Executable Tests'!H81</x:f>
        <x:v>PASS</x:v>
      </x:c>
      <x:c r="E81" s="95"/>
      <x:c r="F81" s="95"/>
      <x:c r="G81" s="95"/>
    </x:row>
    <x:row r="82">
      <x:c r="A82" s="101" t="str">
        <x:v>X-077</x:v>
      </x:c>
      <x:c r="B82" s="101" t="str">
        <x:v>EXECUTABLE CASE</x:v>
      </x:c>
      <x:c r="C82" s="101" t="str">
        <x:v>Executable Tests row 82</x:v>
      </x:c>
      <x:c r="D82" s="101" t="str">
        <x:f>'Executable Tests'!H82</x:f>
        <x:v>PASS</x:v>
      </x:c>
      <x:c r="E82" s="95"/>
      <x:c r="F82" s="95"/>
      <x:c r="G82" s="95"/>
    </x:row>
    <x:row r="83">
      <x:c r="A83" s="101" t="str">
        <x:v>X-078</x:v>
      </x:c>
      <x:c r="B83" s="101" t="str">
        <x:v>EXECUTABLE CASE</x:v>
      </x:c>
      <x:c r="C83" s="101" t="str">
        <x:v>Executable Tests row 83</x:v>
      </x:c>
      <x:c r="D83" s="101" t="str">
        <x:f>'Executable Tests'!H83</x:f>
        <x:v>PASS</x:v>
      </x:c>
      <x:c r="E83" s="95"/>
      <x:c r="F83" s="95"/>
      <x:c r="G83" s="95"/>
    </x:row>
    <x:row r="84">
      <x:c r="A84" s="101" t="str">
        <x:v>X-079</x:v>
      </x:c>
      <x:c r="B84" s="101" t="str">
        <x:v>EXECUTABLE CASE</x:v>
      </x:c>
      <x:c r="C84" s="101" t="str">
        <x:v>Executable Tests row 84</x:v>
      </x:c>
      <x:c r="D84" s="101" t="str">
        <x:f>'Executable Tests'!H84</x:f>
        <x:v>PASS</x:v>
      </x:c>
      <x:c r="E84" s="95"/>
      <x:c r="F84" s="95"/>
      <x:c r="G84" s="95"/>
    </x:row>
    <x:row r="85">
      <x:c r="A85" s="101" t="str">
        <x:v>X-080</x:v>
      </x:c>
      <x:c r="B85" s="101" t="str">
        <x:v>EXECUTABLE CASE</x:v>
      </x:c>
      <x:c r="C85" s="101" t="str">
        <x:v>Executable Tests row 85</x:v>
      </x:c>
      <x:c r="D85" s="101" t="str">
        <x:f>'Executable Tests'!H85</x:f>
        <x:v>PASS</x:v>
      </x:c>
      <x:c r="E85" s="95"/>
      <x:c r="F85" s="95"/>
      <x:c r="G85" s="95"/>
    </x:row>
    <x:row r="86">
      <x:c r="A86" s="101" t="str">
        <x:v>X-081</x:v>
      </x:c>
      <x:c r="B86" s="101" t="str">
        <x:v>EXECUTABLE CASE</x:v>
      </x:c>
      <x:c r="C86" s="101" t="str">
        <x:v>Executable Tests row 86</x:v>
      </x:c>
      <x:c r="D86" s="101" t="str">
        <x:f>'Executable Tests'!H86</x:f>
        <x:v>PASS</x:v>
      </x:c>
      <x:c r="E86" s="95"/>
      <x:c r="F86" s="95"/>
      <x:c r="G86" s="95"/>
    </x:row>
    <x:row r="87">
      <x:c r="A87" s="101" t="str">
        <x:v>X-082</x:v>
      </x:c>
      <x:c r="B87" s="101" t="str">
        <x:v>EXECUTABLE CASE</x:v>
      </x:c>
      <x:c r="C87" s="101" t="str">
        <x:v>Executable Tests row 87</x:v>
      </x:c>
      <x:c r="D87" s="101" t="str">
        <x:f>'Executable Tests'!H87</x:f>
        <x:v>PASS</x:v>
      </x:c>
      <x:c r="E87" s="95"/>
      <x:c r="F87" s="95"/>
      <x:c r="G87" s="95"/>
    </x:row>
    <x:row r="88">
      <x:c r="A88" s="101" t="str">
        <x:v>X-083</x:v>
      </x:c>
      <x:c r="B88" s="101" t="str">
        <x:v>EXECUTABLE CASE</x:v>
      </x:c>
      <x:c r="C88" s="101" t="str">
        <x:v>Executable Tests row 88</x:v>
      </x:c>
      <x:c r="D88" s="101" t="str">
        <x:f>'Executable Tests'!H88</x:f>
        <x:v>PASS</x:v>
      </x:c>
      <x:c r="E88" s="95"/>
      <x:c r="F88" s="95"/>
      <x:c r="G88" s="95"/>
    </x:row>
    <x:row r="89">
      <x:c r="A89" s="101" t="str">
        <x:v>X-084</x:v>
      </x:c>
      <x:c r="B89" s="101" t="str">
        <x:v>EXECUTABLE CASE</x:v>
      </x:c>
      <x:c r="C89" s="101" t="str">
        <x:v>Executable Tests row 89</x:v>
      </x:c>
      <x:c r="D89" s="101" t="str">
        <x:f>'Executable Tests'!H89</x:f>
        <x:v>PASS</x:v>
      </x:c>
      <x:c r="E89" s="95"/>
      <x:c r="F89" s="95"/>
      <x:c r="G89" s="95"/>
    </x:row>
    <x:row r="90">
      <x:c r="A90" s="101" t="str">
        <x:v>X-085</x:v>
      </x:c>
      <x:c r="B90" s="101" t="str">
        <x:v>EXECUTABLE CASE</x:v>
      </x:c>
      <x:c r="C90" s="101" t="str">
        <x:v>Executable Tests row 90</x:v>
      </x:c>
      <x:c r="D90" s="101" t="str">
        <x:f>'Executable Tests'!H90</x:f>
        <x:v>PASS</x:v>
      </x:c>
      <x:c r="E90" s="95"/>
      <x:c r="F90" s="95"/>
      <x:c r="G90" s="95"/>
    </x:row>
    <x:row r="91">
      <x:c r="A91" s="101" t="str">
        <x:v>X-086</x:v>
      </x:c>
      <x:c r="B91" s="101" t="str">
        <x:v>EXECUTABLE CASE</x:v>
      </x:c>
      <x:c r="C91" s="101" t="str">
        <x:v>Executable Tests row 91</x:v>
      </x:c>
      <x:c r="D91" s="101" t="str">
        <x:f>'Executable Tests'!H91</x:f>
        <x:v>PASS</x:v>
      </x:c>
      <x:c r="E91" s="95"/>
      <x:c r="F91" s="95"/>
      <x:c r="G91" s="95"/>
    </x:row>
    <x:row r="92">
      <x:c r="A92" s="101" t="str">
        <x:v>X-087</x:v>
      </x:c>
      <x:c r="B92" s="101" t="str">
        <x:v>EXECUTABLE CASE</x:v>
      </x:c>
      <x:c r="C92" s="101" t="str">
        <x:v>Executable Tests row 92</x:v>
      </x:c>
      <x:c r="D92" s="101" t="str">
        <x:f>'Executable Tests'!H92</x:f>
        <x:v>PASS</x:v>
      </x:c>
      <x:c r="E92" s="95"/>
      <x:c r="F92" s="95"/>
      <x:c r="G92" s="95"/>
    </x:row>
    <x:row r="93">
      <x:c r="A93" s="101" t="str">
        <x:v>X-088</x:v>
      </x:c>
      <x:c r="B93" s="101" t="str">
        <x:v>EXECUTABLE CASE</x:v>
      </x:c>
      <x:c r="C93" s="101" t="str">
        <x:v>Executable Tests row 93</x:v>
      </x:c>
      <x:c r="D93" s="101" t="str">
        <x:f>'Executable Tests'!H93</x:f>
        <x:v>PASS</x:v>
      </x:c>
      <x:c r="E93" s="95"/>
      <x:c r="F93" s="95"/>
      <x:c r="G93" s="95"/>
    </x:row>
    <x:row r="94">
      <x:c r="A94" s="101" t="str">
        <x:v>X-089</x:v>
      </x:c>
      <x:c r="B94" s="101" t="str">
        <x:v>EXECUTABLE CASE</x:v>
      </x:c>
      <x:c r="C94" s="101" t="str">
        <x:v>Executable Tests row 94</x:v>
      </x:c>
      <x:c r="D94" s="101" t="str">
        <x:f>'Executable Tests'!H94</x:f>
        <x:v>PASS</x:v>
      </x:c>
      <x:c r="E94" s="95"/>
      <x:c r="F94" s="95"/>
      <x:c r="G94" s="95"/>
    </x:row>
    <x:row r="95">
      <x:c r="A95" s="101" t="str">
        <x:v>X-090</x:v>
      </x:c>
      <x:c r="B95" s="101" t="str">
        <x:v>EXECUTABLE CASE</x:v>
      </x:c>
      <x:c r="C95" s="101" t="str">
        <x:v>Executable Tests row 95</x:v>
      </x:c>
      <x:c r="D95" s="101" t="str">
        <x:f>'Executable Tests'!H95</x:f>
        <x:v>PASS</x:v>
      </x:c>
      <x:c r="E95" s="95"/>
      <x:c r="F95" s="95"/>
      <x:c r="G95" s="95"/>
    </x:row>
    <x:row r="96">
      <x:c r="A96" s="101" t="str">
        <x:v>X-091</x:v>
      </x:c>
      <x:c r="B96" s="101" t="str">
        <x:v>EXECUTABLE CASE</x:v>
      </x:c>
      <x:c r="C96" s="101" t="str">
        <x:v>Executable Tests row 96</x:v>
      </x:c>
      <x:c r="D96" s="101" t="str">
        <x:f>'Executable Tests'!H96</x:f>
        <x:v>PASS</x:v>
      </x:c>
      <x:c r="E96" s="95"/>
      <x:c r="F96" s="95"/>
      <x:c r="G96" s="95"/>
    </x:row>
    <x:row r="97">
      <x:c r="A97" s="101" t="str">
        <x:v>X-092</x:v>
      </x:c>
      <x:c r="B97" s="101" t="str">
        <x:v>EXECUTABLE CASE</x:v>
      </x:c>
      <x:c r="C97" s="101" t="str">
        <x:v>Executable Tests row 97</x:v>
      </x:c>
      <x:c r="D97" s="101" t="str">
        <x:f>'Executable Tests'!H97</x:f>
        <x:v>PASS</x:v>
      </x:c>
      <x:c r="E97" s="95"/>
      <x:c r="F97" s="95"/>
      <x:c r="G97" s="95"/>
    </x:row>
    <x:row r="98">
      <x:c r="A98" s="101" t="str">
        <x:v>X-093</x:v>
      </x:c>
      <x:c r="B98" s="101" t="str">
        <x:v>EXECUTABLE CASE</x:v>
      </x:c>
      <x:c r="C98" s="101" t="str">
        <x:v>Executable Tests row 98</x:v>
      </x:c>
      <x:c r="D98" s="101" t="str">
        <x:f>'Executable Tests'!H98</x:f>
        <x:v>PASS</x:v>
      </x:c>
      <x:c r="E98" s="95"/>
      <x:c r="F98" s="95"/>
      <x:c r="G98" s="95"/>
    </x:row>
    <x:row r="99">
      <x:c r="A99" s="101" t="str">
        <x:v>X-094</x:v>
      </x:c>
      <x:c r="B99" s="101" t="str">
        <x:v>EXECUTABLE CASE</x:v>
      </x:c>
      <x:c r="C99" s="101" t="str">
        <x:v>Executable Tests row 99</x:v>
      </x:c>
      <x:c r="D99" s="101" t="str">
        <x:f>'Executable Tests'!H99</x:f>
        <x:v>PASS</x:v>
      </x:c>
      <x:c r="E99" s="95"/>
      <x:c r="F99" s="95"/>
      <x:c r="G99" s="95"/>
    </x:row>
    <x:row r="100">
      <x:c r="A100" s="101" t="str">
        <x:v>X-095</x:v>
      </x:c>
      <x:c r="B100" s="101" t="str">
        <x:v>EXECUTABLE CASE</x:v>
      </x:c>
      <x:c r="C100" s="101" t="str">
        <x:v>Executable Tests row 100</x:v>
      </x:c>
      <x:c r="D100" s="101" t="str">
        <x:f>'Executable Tests'!H100</x:f>
        <x:v>PASS</x:v>
      </x:c>
      <x:c r="E100" s="95"/>
      <x:c r="F100" s="95"/>
      <x:c r="G100" s="95"/>
    </x:row>
    <x:row r="101">
      <x:c r="A101" s="101" t="str">
        <x:v>X-096</x:v>
      </x:c>
      <x:c r="B101" s="101" t="str">
        <x:v>EXECUTABLE CASE</x:v>
      </x:c>
      <x:c r="C101" s="101" t="str">
        <x:v>Executable Tests row 101</x:v>
      </x:c>
      <x:c r="D101" s="101" t="str">
        <x:f>'Executable Tests'!H101</x:f>
        <x:v>PASS</x:v>
      </x:c>
      <x:c r="E101" s="95"/>
      <x:c r="F101" s="95"/>
      <x:c r="G101" s="95"/>
    </x:row>
    <x:row r="102">
      <x:c r="A102" s="101" t="str">
        <x:v>X-097</x:v>
      </x:c>
      <x:c r="B102" s="101" t="str">
        <x:v>EXECUTABLE CASE</x:v>
      </x:c>
      <x:c r="C102" s="101" t="str">
        <x:v>Executable Tests row 102</x:v>
      </x:c>
      <x:c r="D102" s="101" t="str">
        <x:f>'Executable Tests'!H102</x:f>
        <x:v>PASS</x:v>
      </x:c>
      <x:c r="E102" s="95"/>
      <x:c r="F102" s="95"/>
      <x:c r="G102" s="95"/>
    </x:row>
    <x:row r="103">
      <x:c r="A103" s="101" t="str">
        <x:v>X-098</x:v>
      </x:c>
      <x:c r="B103" s="101" t="str">
        <x:v>EXECUTABLE CASE</x:v>
      </x:c>
      <x:c r="C103" s="101" t="str">
        <x:v>Executable Tests row 103</x:v>
      </x:c>
      <x:c r="D103" s="101" t="str">
        <x:f>'Executable Tests'!H103</x:f>
        <x:v>PASS</x:v>
      </x:c>
      <x:c r="E103" s="95"/>
      <x:c r="F103" s="95"/>
      <x:c r="G103" s="95"/>
    </x:row>
    <x:row r="104">
      <x:c r="A104" s="101" t="str">
        <x:v>X-099</x:v>
      </x:c>
      <x:c r="B104" s="101" t="str">
        <x:v>EXECUTABLE CASE</x:v>
      </x:c>
      <x:c r="C104" s="101" t="str">
        <x:v>Executable Tests row 104</x:v>
      </x:c>
      <x:c r="D104" s="101" t="str">
        <x:f>'Executable Tests'!H104</x:f>
        <x:v>PASS</x:v>
      </x:c>
      <x:c r="E104" s="95"/>
      <x:c r="F104" s="95"/>
      <x:c r="G104" s="95"/>
    </x:row>
    <x:row r="105">
      <x:c r="A105" s="101" t="str">
        <x:v>X-100</x:v>
      </x:c>
      <x:c r="B105" s="101" t="str">
        <x:v>EXECUTABLE CASE</x:v>
      </x:c>
      <x:c r="C105" s="101" t="str">
        <x:v>Executable Tests row 105</x:v>
      </x:c>
      <x:c r="D105" s="101" t="str">
        <x:f>'Executable Tests'!H105</x:f>
        <x:v>PASS</x:v>
      </x:c>
      <x:c r="E105" s="95"/>
      <x:c r="F105" s="95"/>
      <x:c r="G105" s="95"/>
    </x:row>
    <x:row r="106">
      <x:c r="A106" s="101" t="str">
        <x:v>X-101</x:v>
      </x:c>
      <x:c r="B106" s="101" t="str">
        <x:v>EXECUTABLE CASE</x:v>
      </x:c>
      <x:c r="C106" s="101" t="str">
        <x:v>Executable Tests row 106</x:v>
      </x:c>
      <x:c r="D106" s="101" t="str">
        <x:f>'Executable Tests'!H106</x:f>
        <x:v>PASS</x:v>
      </x:c>
      <x:c r="E106" s="95"/>
      <x:c r="F106" s="95"/>
      <x:c r="G106" s="95"/>
    </x:row>
    <x:row r="107">
      <x:c r="A107" s="101" t="str">
        <x:v>X-102</x:v>
      </x:c>
      <x:c r="B107" s="101" t="str">
        <x:v>EXECUTABLE CASE</x:v>
      </x:c>
      <x:c r="C107" s="101" t="str">
        <x:v>Executable Tests row 107</x:v>
      </x:c>
      <x:c r="D107" s="101" t="str">
        <x:f>'Executable Tests'!H107</x:f>
        <x:v>PASS</x:v>
      </x:c>
      <x:c r="E107" s="95"/>
      <x:c r="F107" s="95"/>
      <x:c r="G107" s="95"/>
    </x:row>
    <x:row r="108">
      <x:c r="A108" s="101" t="str">
        <x:v>X-103</x:v>
      </x:c>
      <x:c r="B108" s="101" t="str">
        <x:v>EXECUTABLE CASE</x:v>
      </x:c>
      <x:c r="C108" s="101" t="str">
        <x:v>Executable Tests row 108</x:v>
      </x:c>
      <x:c r="D108" s="101" t="str">
        <x:f>'Executable Tests'!H108</x:f>
        <x:v>PASS</x:v>
      </x:c>
      <x:c r="E108" s="95"/>
      <x:c r="F108" s="95"/>
      <x:c r="G108" s="95"/>
    </x:row>
    <x:row r="109">
      <x:c r="A109" s="101" t="str">
        <x:v>X-104</x:v>
      </x:c>
      <x:c r="B109" s="101" t="str">
        <x:v>EXECUTABLE CASE</x:v>
      </x:c>
      <x:c r="C109" s="101" t="str">
        <x:v>Executable Tests row 109</x:v>
      </x:c>
      <x:c r="D109" s="101" t="str">
        <x:f>'Executable Tests'!H109</x:f>
        <x:v>PASS</x:v>
      </x:c>
      <x:c r="E109" s="95"/>
      <x:c r="F109" s="95"/>
      <x:c r="G109" s="95"/>
    </x:row>
    <x:row r="110">
      <x:c r="A110" s="101" t="str">
        <x:v>X-105</x:v>
      </x:c>
      <x:c r="B110" s="101" t="str">
        <x:v>EXECUTABLE CASE</x:v>
      </x:c>
      <x:c r="C110" s="101" t="str">
        <x:v>Executable Tests row 110</x:v>
      </x:c>
      <x:c r="D110" s="101" t="str">
        <x:f>'Executable Tests'!H110</x:f>
        <x:v>PASS</x:v>
      </x:c>
      <x:c r="E110" s="95"/>
      <x:c r="F110" s="95"/>
      <x:c r="G110" s="95"/>
    </x:row>
    <x:row r="111">
      <x:c r="A111" s="101" t="str">
        <x:v>X-106</x:v>
      </x:c>
      <x:c r="B111" s="101" t="str">
        <x:v>EXECUTABLE CASE</x:v>
      </x:c>
      <x:c r="C111" s="101" t="str">
        <x:v>Executable Tests row 111</x:v>
      </x:c>
      <x:c r="D111" s="101" t="str">
        <x:f>'Executable Tests'!H111</x:f>
        <x:v>PASS</x:v>
      </x:c>
      <x:c r="E111" s="95"/>
      <x:c r="F111" s="95"/>
      <x:c r="G111" s="95"/>
    </x:row>
    <x:row r="112">
      <x:c r="A112" s="101" t="str">
        <x:v>X-107</x:v>
      </x:c>
      <x:c r="B112" s="101" t="str">
        <x:v>EXECUTABLE CASE</x:v>
      </x:c>
      <x:c r="C112" s="101" t="str">
        <x:v>Executable Tests row 112</x:v>
      </x:c>
      <x:c r="D112" s="101" t="str">
        <x:f>'Executable Tests'!H112</x:f>
        <x:v>PASS</x:v>
      </x:c>
      <x:c r="E112" s="95"/>
      <x:c r="F112" s="95"/>
      <x:c r="G112" s="95"/>
    </x:row>
    <x:row r="113">
      <x:c r="A113" s="101" t="str">
        <x:v>X-108</x:v>
      </x:c>
      <x:c r="B113" s="101" t="str">
        <x:v>EXECUTABLE CASE</x:v>
      </x:c>
      <x:c r="C113" s="101" t="str">
        <x:v>Executable Tests row 113</x:v>
      </x:c>
      <x:c r="D113" s="101" t="str">
        <x:f>'Executable Tests'!H113</x:f>
        <x:v>PASS</x:v>
      </x:c>
      <x:c r="E113" s="95"/>
      <x:c r="F113" s="95"/>
      <x:c r="G113" s="95"/>
    </x:row>
    <x:row r="114">
      <x:c r="A114" s="101" t="str">
        <x:v>X-109</x:v>
      </x:c>
      <x:c r="B114" s="101" t="str">
        <x:v>EXECUTABLE CASE</x:v>
      </x:c>
      <x:c r="C114" s="101" t="str">
        <x:v>Executable Tests row 114</x:v>
      </x:c>
      <x:c r="D114" s="101" t="str">
        <x:f>'Executable Tests'!H114</x:f>
        <x:v>PASS</x:v>
      </x:c>
      <x:c r="E114" s="95"/>
      <x:c r="F114" s="95"/>
      <x:c r="G114" s="95"/>
    </x:row>
    <x:row r="115">
      <x:c r="A115" s="101" t="str">
        <x:v>X-110</x:v>
      </x:c>
      <x:c r="B115" s="101" t="str">
        <x:v>EXECUTABLE CASE</x:v>
      </x:c>
      <x:c r="C115" s="101" t="str">
        <x:v>Executable Tests row 115</x:v>
      </x:c>
      <x:c r="D115" s="101" t="str">
        <x:f>'Executable Tests'!H115</x:f>
        <x:v>PASS</x:v>
      </x:c>
      <x:c r="E115" s="95"/>
      <x:c r="F115" s="95"/>
      <x:c r="G115" s="95"/>
    </x:row>
    <x:row r="116">
      <x:c r="A116" s="101" t="str">
        <x:v>X-111</x:v>
      </x:c>
      <x:c r="B116" s="101" t="str">
        <x:v>EXECUTABLE CASE</x:v>
      </x:c>
      <x:c r="C116" s="101" t="str">
        <x:v>Executable Tests row 116</x:v>
      </x:c>
      <x:c r="D116" s="101" t="str">
        <x:f>'Executable Tests'!H116</x:f>
        <x:v>PASS</x:v>
      </x:c>
      <x:c r="E116" s="95"/>
      <x:c r="F116" s="95"/>
      <x:c r="G116" s="95"/>
    </x:row>
    <x:row r="117">
      <x:c r="A117" s="101" t="str">
        <x:v>X-112</x:v>
      </x:c>
      <x:c r="B117" s="101" t="str">
        <x:v>EXECUTABLE CASE</x:v>
      </x:c>
      <x:c r="C117" s="101" t="str">
        <x:v>Executable Tests row 117</x:v>
      </x:c>
      <x:c r="D117" s="101" t="str">
        <x:f>'Executable Tests'!H117</x:f>
        <x:v>PASS</x:v>
      </x:c>
      <x:c r="E117" s="95"/>
      <x:c r="F117" s="95"/>
      <x:c r="G117" s="95"/>
    </x:row>
    <x:row r="118">
      <x:c r="A118" s="101" t="str">
        <x:v>X-113</x:v>
      </x:c>
      <x:c r="B118" s="101" t="str">
        <x:v>EXECUTABLE CASE</x:v>
      </x:c>
      <x:c r="C118" s="101" t="str">
        <x:v>Executable Tests row 118</x:v>
      </x:c>
      <x:c r="D118" s="101" t="str">
        <x:f>'Executable Tests'!H118</x:f>
        <x:v>PASS</x:v>
      </x:c>
      <x:c r="E118" s="95"/>
      <x:c r="F118" s="95"/>
      <x:c r="G118" s="95"/>
    </x:row>
    <x:row r="119">
      <x:c r="A119" s="101" t="str">
        <x:v>X-114</x:v>
      </x:c>
      <x:c r="B119" s="101" t="str">
        <x:v>EXECUTABLE CASE</x:v>
      </x:c>
      <x:c r="C119" s="101" t="str">
        <x:v>Executable Tests row 119</x:v>
      </x:c>
      <x:c r="D119" s="101" t="str">
        <x:f>'Executable Tests'!H119</x:f>
        <x:v>PASS</x:v>
      </x:c>
      <x:c r="E119" s="95"/>
      <x:c r="F119" s="95"/>
      <x:c r="G119" s="95"/>
    </x:row>
    <x:row r="120">
      <x:c r="A120" s="101" t="str">
        <x:v>X-115</x:v>
      </x:c>
      <x:c r="B120" s="101" t="str">
        <x:v>EXECUTABLE CASE</x:v>
      </x:c>
      <x:c r="C120" s="101" t="str">
        <x:v>Executable Tests row 120</x:v>
      </x:c>
      <x:c r="D120" s="101" t="str">
        <x:f>'Executable Tests'!H120</x:f>
        <x:v>PASS</x:v>
      </x:c>
      <x:c r="E120" s="95"/>
      <x:c r="F120" s="95"/>
      <x:c r="G120" s="95"/>
    </x:row>
    <x:row r="121">
      <x:c r="A121" s="101" t="str">
        <x:v>X-116</x:v>
      </x:c>
      <x:c r="B121" s="101" t="str">
        <x:v>EXECUTABLE CASE</x:v>
      </x:c>
      <x:c r="C121" s="101" t="str">
        <x:v>Executable Tests row 121</x:v>
      </x:c>
      <x:c r="D121" s="101" t="str">
        <x:f>'Executable Tests'!H121</x:f>
        <x:v>PASS</x:v>
      </x:c>
      <x:c r="E121" s="95"/>
      <x:c r="F121" s="95"/>
      <x:c r="G121" s="95"/>
    </x:row>
    <x:row r="122">
      <x:c r="A122" s="101" t="str">
        <x:v>X-117</x:v>
      </x:c>
      <x:c r="B122" s="101" t="str">
        <x:v>EXECUTABLE CASE</x:v>
      </x:c>
      <x:c r="C122" s="101" t="str">
        <x:v>Executable Tests row 122</x:v>
      </x:c>
      <x:c r="D122" s="101" t="str">
        <x:f>'Executable Tests'!H122</x:f>
        <x:v>PASS</x:v>
      </x:c>
      <x:c r="E122" s="95"/>
      <x:c r="F122" s="95"/>
      <x:c r="G122" s="95"/>
    </x:row>
    <x:row r="123">
      <x:c r="A123" s="101" t="str">
        <x:v>X-118</x:v>
      </x:c>
      <x:c r="B123" s="101" t="str">
        <x:v>EXECUTABLE CASE</x:v>
      </x:c>
      <x:c r="C123" s="101" t="str">
        <x:v>Executable Tests row 123</x:v>
      </x:c>
      <x:c r="D123" s="101" t="str">
        <x:f>'Executable Tests'!H123</x:f>
        <x:v>PASS</x:v>
      </x:c>
      <x:c r="E123" s="95"/>
      <x:c r="F123" s="95"/>
      <x:c r="G123" s="95"/>
    </x:row>
    <x:row r="124">
      <x:c r="A124" s="101" t="str">
        <x:v>X-119</x:v>
      </x:c>
      <x:c r="B124" s="101" t="str">
        <x:v>EXECUTABLE CASE</x:v>
      </x:c>
      <x:c r="C124" s="101" t="str">
        <x:v>Executable Tests row 124</x:v>
      </x:c>
      <x:c r="D124" s="101" t="str">
        <x:f>'Executable Tests'!H124</x:f>
        <x:v>PASS</x:v>
      </x:c>
      <x:c r="E124" s="95"/>
      <x:c r="F124" s="95"/>
      <x:c r="G124" s="95"/>
    </x:row>
    <x:row r="125">
      <x:c r="A125" s="101" t="str">
        <x:v>X-120</x:v>
      </x:c>
      <x:c r="B125" s="101" t="str">
        <x:v>EXECUTABLE CASE</x:v>
      </x:c>
      <x:c r="C125" s="101" t="str">
        <x:v>Executable Tests row 125</x:v>
      </x:c>
      <x:c r="D125" s="101" t="str">
        <x:f>'Executable Tests'!H125</x:f>
        <x:v>PASS</x:v>
      </x:c>
      <x:c r="E125" s="95"/>
      <x:c r="F125" s="95"/>
      <x:c r="G125" s="95"/>
    </x:row>
    <x:row r="126">
      <x:c r="A126" s="101" t="str">
        <x:v>X-121</x:v>
      </x:c>
      <x:c r="B126" s="101" t="str">
        <x:v>EXECUTABLE CASE</x:v>
      </x:c>
      <x:c r="C126" s="101" t="str">
        <x:v>Executable Tests row 126</x:v>
      </x:c>
      <x:c r="D126" s="101" t="str">
        <x:f>'Executable Tests'!H126</x:f>
        <x:v>PASS</x:v>
      </x:c>
      <x:c r="E126" s="95"/>
      <x:c r="F126" s="95"/>
      <x:c r="G126" s="95"/>
    </x:row>
    <x:row r="127">
      <x:c r="A127" s="101" t="str">
        <x:v>X-122</x:v>
      </x:c>
      <x:c r="B127" s="101" t="str">
        <x:v>EXECUTABLE CASE</x:v>
      </x:c>
      <x:c r="C127" s="101" t="str">
        <x:v>Executable Tests row 127</x:v>
      </x:c>
      <x:c r="D127" s="101" t="str">
        <x:f>'Executable Tests'!H127</x:f>
        <x:v>PASS</x:v>
      </x:c>
      <x:c r="E127" s="95"/>
      <x:c r="F127" s="95"/>
      <x:c r="G127" s="95"/>
    </x:row>
    <x:row r="128">
      <x:c r="A128" s="101" t="str">
        <x:v>X-123</x:v>
      </x:c>
      <x:c r="B128" s="101" t="str">
        <x:v>EXECUTABLE CASE</x:v>
      </x:c>
      <x:c r="C128" s="101" t="str">
        <x:v>Executable Tests row 128</x:v>
      </x:c>
      <x:c r="D128" s="101" t="str">
        <x:f>'Executable Tests'!H128</x:f>
        <x:v>PASS</x:v>
      </x:c>
      <x:c r="E128" s="95"/>
      <x:c r="F128" s="95"/>
      <x:c r="G128" s="95"/>
    </x:row>
    <x:row r="129">
      <x:c r="A129" s="101" t="str">
        <x:v>X-124</x:v>
      </x:c>
      <x:c r="B129" s="101" t="str">
        <x:v>EXECUTABLE CASE</x:v>
      </x:c>
      <x:c r="C129" s="101" t="str">
        <x:v>Executable Tests row 129</x:v>
      </x:c>
      <x:c r="D129" s="101" t="str">
        <x:f>'Executable Tests'!H129</x:f>
        <x:v>PASS</x:v>
      </x:c>
      <x:c r="E129" s="95"/>
      <x:c r="F129" s="95"/>
      <x:c r="G129" s="95"/>
    </x:row>
    <x:row r="130">
      <x:c r="A130" s="101" t="str">
        <x:v>X-125</x:v>
      </x:c>
      <x:c r="B130" s="101" t="str">
        <x:v>EXECUTABLE CASE</x:v>
      </x:c>
      <x:c r="C130" s="101" t="str">
        <x:v>Executable Tests row 130</x:v>
      </x:c>
      <x:c r="D130" s="101" t="str">
        <x:f>'Executable Tests'!H130</x:f>
        <x:v>PASS</x:v>
      </x:c>
      <x:c r="E130" s="95"/>
      <x:c r="F130" s="95"/>
      <x:c r="G130" s="95"/>
    </x:row>
    <x:row r="131">
      <x:c r="A131" s="101" t="str">
        <x:v>X-126</x:v>
      </x:c>
      <x:c r="B131" s="101" t="str">
        <x:v>EXECUTABLE CASE</x:v>
      </x:c>
      <x:c r="C131" s="101" t="str">
        <x:v>Executable Tests row 131</x:v>
      </x:c>
      <x:c r="D131" s="101" t="str">
        <x:f>'Executable Tests'!H131</x:f>
        <x:v>PASS</x:v>
      </x:c>
      <x:c r="E131" s="95"/>
      <x:c r="F131" s="95"/>
      <x:c r="G131" s="95"/>
    </x:row>
    <x:row r="132">
      <x:c r="A132" s="101" t="str">
        <x:v>X-127</x:v>
      </x:c>
      <x:c r="B132" s="101" t="str">
        <x:v>EXECUTABLE CASE</x:v>
      </x:c>
      <x:c r="C132" s="101" t="str">
        <x:v>Executable Tests row 132</x:v>
      </x:c>
      <x:c r="D132" s="101" t="str">
        <x:f>'Executable Tests'!H132</x:f>
        <x:v>PASS</x:v>
      </x:c>
      <x:c r="E132" s="95"/>
      <x:c r="F132" s="95"/>
      <x:c r="G132" s="95"/>
    </x:row>
    <x:row r="133">
      <x:c r="A133" s="101" t="str">
        <x:v>X-128</x:v>
      </x:c>
      <x:c r="B133" s="101" t="str">
        <x:v>EXECUTABLE CASE</x:v>
      </x:c>
      <x:c r="C133" s="101" t="str">
        <x:v>Executable Tests row 133</x:v>
      </x:c>
      <x:c r="D133" s="101" t="str">
        <x:f>'Executable Tests'!H133</x:f>
        <x:v>PASS</x:v>
      </x:c>
      <x:c r="E133" s="95"/>
      <x:c r="F133" s="95"/>
      <x:c r="G133" s="95"/>
    </x:row>
    <x:row r="134">
      <x:c r="A134" s="101" t="str">
        <x:v>X-129</x:v>
      </x:c>
      <x:c r="B134" s="101" t="str">
        <x:v>EXECUTABLE CASE</x:v>
      </x:c>
      <x:c r="C134" s="101" t="str">
        <x:v>Executable Tests row 134</x:v>
      </x:c>
      <x:c r="D134" s="101" t="str">
        <x:f>'Executable Tests'!H134</x:f>
        <x:v>PASS</x:v>
      </x:c>
      <x:c r="E134" s="95"/>
      <x:c r="F134" s="95"/>
      <x:c r="G134" s="95"/>
    </x:row>
    <x:row r="135">
      <x:c r="A135" s="101" t="str">
        <x:v>X-130</x:v>
      </x:c>
      <x:c r="B135" s="101" t="str">
        <x:v>EXECUTABLE CASE</x:v>
      </x:c>
      <x:c r="C135" s="101" t="str">
        <x:v>Executable Tests row 135</x:v>
      </x:c>
      <x:c r="D135" s="101" t="str">
        <x:f>'Executable Tests'!H135</x:f>
        <x:v>PASS</x:v>
      </x:c>
      <x:c r="E135" s="95"/>
      <x:c r="F135" s="95"/>
      <x:c r="G135" s="95"/>
    </x:row>
    <x:row r="136">
      <x:c r="A136" s="101" t="str">
        <x:v>X-131</x:v>
      </x:c>
      <x:c r="B136" s="101" t="str">
        <x:v>EXECUTABLE CASE</x:v>
      </x:c>
      <x:c r="C136" s="101" t="str">
        <x:v>Executable Tests row 136</x:v>
      </x:c>
      <x:c r="D136" s="101" t="str">
        <x:f>'Executable Tests'!H136</x:f>
        <x:v>PASS</x:v>
      </x:c>
      <x:c r="E136" s="95"/>
      <x:c r="F136" s="95"/>
      <x:c r="G136" s="95"/>
    </x:row>
    <x:row r="137">
      <x:c r="A137" s="101" t="str">
        <x:v>X-132</x:v>
      </x:c>
      <x:c r="B137" s="101" t="str">
        <x:v>EXECUTABLE CASE</x:v>
      </x:c>
      <x:c r="C137" s="101" t="str">
        <x:v>Executable Tests row 137</x:v>
      </x:c>
      <x:c r="D137" s="101" t="str">
        <x:f>'Executable Tests'!H137</x:f>
        <x:v>PASS</x:v>
      </x:c>
      <x:c r="E137" s="95"/>
      <x:c r="F137" s="95"/>
      <x:c r="G137" s="95"/>
    </x:row>
    <x:row r="138">
      <x:c r="A138" s="101" t="str">
        <x:v>X-133</x:v>
      </x:c>
      <x:c r="B138" s="101" t="str">
        <x:v>EXECUTABLE CASE</x:v>
      </x:c>
      <x:c r="C138" s="101" t="str">
        <x:v>Executable Tests row 138</x:v>
      </x:c>
      <x:c r="D138" s="101" t="str">
        <x:f>'Executable Tests'!H138</x:f>
        <x:v>PASS</x:v>
      </x:c>
      <x:c r="E138" s="95"/>
      <x:c r="F138" s="95"/>
      <x:c r="G138" s="95"/>
    </x:row>
    <x:row r="139">
      <x:c r="A139" s="101" t="str">
        <x:v>X-134</x:v>
      </x:c>
      <x:c r="B139" s="101" t="str">
        <x:v>EXECUTABLE CASE</x:v>
      </x:c>
      <x:c r="C139" s="101" t="str">
        <x:v>Executable Tests row 139</x:v>
      </x:c>
      <x:c r="D139" s="101" t="str">
        <x:f>'Executable Tests'!H139</x:f>
        <x:v>PASS</x:v>
      </x:c>
      <x:c r="E139" s="95"/>
      <x:c r="F139" s="95"/>
      <x:c r="G139" s="95"/>
    </x:row>
    <x:row r="140">
      <x:c r="A140" s="101" t="str">
        <x:v>X-135</x:v>
      </x:c>
      <x:c r="B140" s="101" t="str">
        <x:v>EXECUTABLE CASE</x:v>
      </x:c>
      <x:c r="C140" s="101" t="str">
        <x:v>Executable Tests row 140</x:v>
      </x:c>
      <x:c r="D140" s="101" t="str">
        <x:f>'Executable Tests'!H140</x:f>
        <x:v>PASS</x:v>
      </x:c>
      <x:c r="E140" s="95"/>
      <x:c r="F140" s="95"/>
      <x:c r="G140" s="95"/>
    </x:row>
    <x:row r="141">
      <x:c r="A141" s="101" t="str">
        <x:v>X-136</x:v>
      </x:c>
      <x:c r="B141" s="101" t="str">
        <x:v>EXECUTABLE CASE</x:v>
      </x:c>
      <x:c r="C141" s="101" t="str">
        <x:v>Executable Tests row 141</x:v>
      </x:c>
      <x:c r="D141" s="101" t="str">
        <x:f>'Executable Tests'!H141</x:f>
        <x:v>PASS</x:v>
      </x:c>
      <x:c r="E141" s="95"/>
      <x:c r="F141" s="95"/>
      <x:c r="G141" s="95"/>
    </x:row>
    <x:row r="142">
      <x:c r="A142" s="101" t="str">
        <x:v>X-137</x:v>
      </x:c>
      <x:c r="B142" s="101" t="str">
        <x:v>EXECUTABLE CASE</x:v>
      </x:c>
      <x:c r="C142" s="101" t="str">
        <x:v>Executable Tests row 142</x:v>
      </x:c>
      <x:c r="D142" s="101" t="str">
        <x:f>'Executable Tests'!H142</x:f>
        <x:v>PASS</x:v>
      </x:c>
      <x:c r="E142" s="95"/>
      <x:c r="F142" s="95"/>
      <x:c r="G142" s="95"/>
    </x:row>
    <x:row r="143">
      <x:c r="A143" s="101" t="str">
        <x:v>X-138</x:v>
      </x:c>
      <x:c r="B143" s="101" t="str">
        <x:v>EXECUTABLE CASE</x:v>
      </x:c>
      <x:c r="C143" s="101" t="str">
        <x:v>Executable Tests row 143</x:v>
      </x:c>
      <x:c r="D143" s="101" t="str">
        <x:f>'Executable Tests'!H143</x:f>
        <x:v>PASS</x:v>
      </x:c>
      <x:c r="E143" s="95"/>
      <x:c r="F143" s="95"/>
      <x:c r="G143" s="95"/>
    </x:row>
    <x:row r="144">
      <x:c r="A144" s="101" t="str">
        <x:v>X-139</x:v>
      </x:c>
      <x:c r="B144" s="101" t="str">
        <x:v>EXECUTABLE CASE</x:v>
      </x:c>
      <x:c r="C144" s="101" t="str">
        <x:v>Executable Tests row 144</x:v>
      </x:c>
      <x:c r="D144" s="101" t="str">
        <x:f>'Executable Tests'!H144</x:f>
        <x:v>PASS</x:v>
      </x:c>
      <x:c r="E144" s="95"/>
      <x:c r="F144" s="95"/>
      <x:c r="G144" s="95"/>
    </x:row>
    <x:row r="145">
      <x:c r="A145" s="101" t="str">
        <x:v>X-140</x:v>
      </x:c>
      <x:c r="B145" s="101" t="str">
        <x:v>EXECUTABLE CASE</x:v>
      </x:c>
      <x:c r="C145" s="101" t="str">
        <x:v>Executable Tests row 145</x:v>
      </x:c>
      <x:c r="D145" s="101" t="str">
        <x:f>'Executable Tests'!H145</x:f>
        <x:v>PASS</x:v>
      </x:c>
      <x:c r="E145" s="95"/>
      <x:c r="F145" s="95"/>
      <x:c r="G145" s="95"/>
    </x:row>
    <x:row r="146">
      <x:c r="A146" s="101" t="str">
        <x:v>X-141</x:v>
      </x:c>
      <x:c r="B146" s="101" t="str">
        <x:v>EXECUTABLE CASE</x:v>
      </x:c>
      <x:c r="C146" s="101" t="str">
        <x:v>Executable Tests row 146</x:v>
      </x:c>
      <x:c r="D146" s="101" t="str">
        <x:f>'Executable Tests'!H146</x:f>
        <x:v>PASS</x:v>
      </x:c>
      <x:c r="E146" s="95"/>
      <x:c r="F146" s="95"/>
      <x:c r="G146" s="95"/>
    </x:row>
    <x:row r="147">
      <x:c r="A147" s="101" t="str">
        <x:v>X-142</x:v>
      </x:c>
      <x:c r="B147" s="101" t="str">
        <x:v>EXECUTABLE CASE</x:v>
      </x:c>
      <x:c r="C147" s="101" t="str">
        <x:v>Executable Tests row 147</x:v>
      </x:c>
      <x:c r="D147" s="101" t="str">
        <x:f>'Executable Tests'!H147</x:f>
        <x:v>PASS</x:v>
      </x:c>
      <x:c r="E147" s="95"/>
      <x:c r="F147" s="95"/>
      <x:c r="G147" s="95"/>
    </x:row>
    <x:row r="148">
      <x:c r="A148" s="101" t="str">
        <x:v>X-143</x:v>
      </x:c>
      <x:c r="B148" s="101" t="str">
        <x:v>EXECUTABLE CASE</x:v>
      </x:c>
      <x:c r="C148" s="101" t="str">
        <x:v>Executable Tests row 148</x:v>
      </x:c>
      <x:c r="D148" s="101" t="str">
        <x:f>'Executable Tests'!H148</x:f>
        <x:v>PASS</x:v>
      </x:c>
      <x:c r="E148" s="95"/>
      <x:c r="F148" s="95"/>
      <x:c r="G148" s="95"/>
    </x:row>
    <x:row r="149">
      <x:c r="A149" s="101" t="str">
        <x:v>X-144</x:v>
      </x:c>
      <x:c r="B149" s="101" t="str">
        <x:v>EXECUTABLE CASE</x:v>
      </x:c>
      <x:c r="C149" s="101" t="str">
        <x:v>Executable Tests row 149</x:v>
      </x:c>
      <x:c r="D149" s="101" t="str">
        <x:f>'Executable Tests'!H149</x:f>
        <x:v>PASS</x:v>
      </x:c>
      <x:c r="E149" s="95"/>
      <x:c r="F149" s="95"/>
      <x:c r="G149" s="95"/>
    </x:row>
    <x:row r="150">
      <x:c r="A150" s="101" t="str">
        <x:v>C-01</x:v>
      </x:c>
      <x:c r="B150" s="101" t="str">
        <x:v>CALENDAR</x:v>
      </x:c>
      <x:c r="C150" s="101" t="str">
        <x:v>Primary interval row 6</x:v>
      </x:c>
      <x:c r="D150" s="101" t="str">
        <x:f>IF(Calendar!J6&lt;&gt;"BLOCKED","PASS","FAIL")</x:f>
        <x:v>PASS</x:v>
      </x:c>
      <x:c r="E150" s="95"/>
      <x:c r="F150" s="95"/>
      <x:c r="G150" s="95"/>
    </x:row>
    <x:row r="151">
      <x:c r="A151" s="101" t="str">
        <x:v>C-02</x:v>
      </x:c>
      <x:c r="B151" s="101" t="str">
        <x:v>CALENDAR</x:v>
      </x:c>
      <x:c r="C151" s="101" t="str">
        <x:v>Primary interval row 7</x:v>
      </x:c>
      <x:c r="D151" s="101" t="str">
        <x:f>IF(Calendar!J7&lt;&gt;"BLOCKED","PASS","FAIL")</x:f>
        <x:v>PASS</x:v>
      </x:c>
      <x:c r="E151" s="95"/>
      <x:c r="F151" s="95"/>
      <x:c r="G151" s="95"/>
    </x:row>
    <x:row r="152">
      <x:c r="A152" s="101" t="str">
        <x:v>C-03</x:v>
      </x:c>
      <x:c r="B152" s="101" t="str">
        <x:v>CALENDAR</x:v>
      </x:c>
      <x:c r="C152" s="101" t="str">
        <x:v>Primary interval row 8</x:v>
      </x:c>
      <x:c r="D152" s="101" t="str">
        <x:f>IF(Calendar!J8&lt;&gt;"BLOCKED","PASS","FAIL")</x:f>
        <x:v>PASS</x:v>
      </x:c>
      <x:c r="E152" s="95"/>
      <x:c r="F152" s="95"/>
      <x:c r="G152" s="95"/>
    </x:row>
    <x:row r="153">
      <x:c r="A153" s="101" t="str">
        <x:v>C-04</x:v>
      </x:c>
      <x:c r="B153" s="101" t="str">
        <x:v>CALENDAR</x:v>
      </x:c>
      <x:c r="C153" s="101" t="str">
        <x:v>Primary interval row 9</x:v>
      </x:c>
      <x:c r="D153" s="101" t="str">
        <x:f>IF(Calendar!J9&lt;&gt;"BLOCKED","PASS","FAIL")</x:f>
        <x:v>PASS</x:v>
      </x:c>
      <x:c r="E153" s="95"/>
      <x:c r="F153" s="95"/>
      <x:c r="G153" s="95"/>
    </x:row>
    <x:row r="154">
      <x:c r="A154" s="101" t="str">
        <x:v>C-05</x:v>
      </x:c>
      <x:c r="B154" s="101" t="str">
        <x:v>CALENDAR</x:v>
      </x:c>
      <x:c r="C154" s="101" t="str">
        <x:v>Primary interval row 10</x:v>
      </x:c>
      <x:c r="D154" s="101" t="str">
        <x:f>IF(Calendar!J10&lt;&gt;"BLOCKED","PASS","FAIL")</x:f>
        <x:v>PASS</x:v>
      </x:c>
      <x:c r="E154" s="95"/>
      <x:c r="F154" s="95"/>
      <x:c r="G154" s="95"/>
    </x:row>
    <x:row r="155">
      <x:c r="A155" s="101" t="str">
        <x:v>C-06</x:v>
      </x:c>
      <x:c r="B155" s="101" t="str">
        <x:v>CALENDAR</x:v>
      </x:c>
      <x:c r="C155" s="101" t="str">
        <x:v>Primary interval row 11</x:v>
      </x:c>
      <x:c r="D155" s="101" t="str">
        <x:f>IF(Calendar!J11&lt;&gt;"BLOCKED","PASS","FAIL")</x:f>
        <x:v>PASS</x:v>
      </x:c>
      <x:c r="E155" s="95"/>
      <x:c r="F155" s="95"/>
      <x:c r="G155" s="95"/>
    </x:row>
    <x:row r="156">
      <x:c r="A156" s="101" t="str">
        <x:v>C-07</x:v>
      </x:c>
      <x:c r="B156" s="101" t="str">
        <x:v>CALENDAR</x:v>
      </x:c>
      <x:c r="C156" s="101" t="str">
        <x:v>Primary interval row 12</x:v>
      </x:c>
      <x:c r="D156" s="101" t="str">
        <x:f>IF(Calendar!J12&lt;&gt;"BLOCKED","PASS","FAIL")</x:f>
        <x:v>PASS</x:v>
      </x:c>
      <x:c r="E156" s="95"/>
      <x:c r="F156" s="95"/>
      <x:c r="G156" s="95"/>
    </x:row>
    <x:row r="157">
      <x:c r="A157" s="101" t="str">
        <x:v>C-08</x:v>
      </x:c>
      <x:c r="B157" s="101" t="str">
        <x:v>CALENDAR</x:v>
      </x:c>
      <x:c r="C157" s="101" t="str">
        <x:v>Primary interval row 13</x:v>
      </x:c>
      <x:c r="D157" s="101" t="str">
        <x:f>IF(Calendar!J13&lt;&gt;"BLOCKED","PASS","FAIL")</x:f>
        <x:v>PASS</x:v>
      </x:c>
      <x:c r="E157" s="95"/>
      <x:c r="F157" s="95"/>
      <x:c r="G157" s="95"/>
    </x:row>
    <x:row r="158">
      <x:c r="A158" s="101" t="str">
        <x:v>C-09</x:v>
      </x:c>
      <x:c r="B158" s="101" t="str">
        <x:v>CALENDAR</x:v>
      </x:c>
      <x:c r="C158" s="101" t="str">
        <x:v>Primary interval row 14</x:v>
      </x:c>
      <x:c r="D158" s="101" t="str">
        <x:f>IF(Calendar!J14&lt;&gt;"BLOCKED","PASS","FAIL")</x:f>
        <x:v>PASS</x:v>
      </x:c>
      <x:c r="E158" s="95"/>
      <x:c r="F158" s="95"/>
      <x:c r="G158" s="95"/>
    </x:row>
    <x:row r="159">
      <x:c r="A159" s="101" t="str">
        <x:v>C-10</x:v>
      </x:c>
      <x:c r="B159" s="101" t="str">
        <x:v>CALENDAR</x:v>
      </x:c>
      <x:c r="C159" s="101" t="str">
        <x:v>Primary interval row 15</x:v>
      </x:c>
      <x:c r="D159" s="101" t="str">
        <x:f>IF(Calendar!J15&lt;&gt;"BLOCKED","PASS","FAIL")</x:f>
        <x:v>PASS</x:v>
      </x:c>
      <x:c r="E159" s="95"/>
      <x:c r="F159" s="95"/>
      <x:c r="G159" s="95"/>
    </x:row>
    <x:row r="160">
      <x:c r="A160" s="101" t="str">
        <x:v>C-11</x:v>
      </x:c>
      <x:c r="B160" s="101" t="str">
        <x:v>CALENDAR</x:v>
      </x:c>
      <x:c r="C160" s="101" t="str">
        <x:v>Primary interval row 16</x:v>
      </x:c>
      <x:c r="D160" s="101" t="str">
        <x:f>IF(Calendar!J16&lt;&gt;"BLOCKED","PASS","FAIL")</x:f>
        <x:v>PASS</x:v>
      </x:c>
      <x:c r="E160" s="95"/>
      <x:c r="F160" s="95"/>
      <x:c r="G160" s="95"/>
    </x:row>
    <x:row r="161">
      <x:c r="A161" s="101" t="str">
        <x:v>C-12</x:v>
      </x:c>
      <x:c r="B161" s="101" t="str">
        <x:v>CALENDAR</x:v>
      </x:c>
      <x:c r="C161" s="101" t="str">
        <x:v>Primary interval row 17</x:v>
      </x:c>
      <x:c r="D161" s="101" t="str">
        <x:f>IF(Calendar!J17&lt;&gt;"BLOCKED","PASS","FAIL")</x:f>
        <x:v>PASS</x:v>
      </x:c>
      <x:c r="E161" s="95"/>
      <x:c r="F161" s="95"/>
      <x:c r="G161" s="95"/>
    </x:row>
    <x:row r="162">
      <x:c r="A162" s="101" t="str">
        <x:v>P-01</x:v>
      </x:c>
      <x:c r="B162" s="101" t="str">
        <x:v>PACKAGE BANK</x:v>
      </x:c>
      <x:c r="C162" s="101" t="str">
        <x:v>Bank control row 36</x:v>
      </x:c>
      <x:c r="D162" s="101" t="str">
        <x:f>IF('Package Bank'!B36='Package Bank'!C36,"PASS","FAIL")</x:f>
        <x:v>PASS</x:v>
      </x:c>
      <x:c r="E162" s="95"/>
      <x:c r="F162" s="95"/>
      <x:c r="G162" s="95"/>
    </x:row>
    <x:row r="163">
      <x:c r="A163" s="101" t="str">
        <x:v>P-02</x:v>
      </x:c>
      <x:c r="B163" s="101" t="str">
        <x:v>PACKAGE BANK</x:v>
      </x:c>
      <x:c r="C163" s="101" t="str">
        <x:v>Bank control row 37</x:v>
      </x:c>
      <x:c r="D163" s="101" t="str">
        <x:f>IF('Package Bank'!B37='Package Bank'!C37,"PASS","FAIL")</x:f>
        <x:v>PASS</x:v>
      </x:c>
      <x:c r="E163" s="95"/>
      <x:c r="F163" s="95"/>
      <x:c r="G163" s="95"/>
    </x:row>
    <x:row r="164">
      <x:c r="A164" s="101" t="str">
        <x:v>P-03</x:v>
      </x:c>
      <x:c r="B164" s="101" t="str">
        <x:v>PACKAGE BANK</x:v>
      </x:c>
      <x:c r="C164" s="101" t="str">
        <x:v>Bank control row 38</x:v>
      </x:c>
      <x:c r="D164" s="101" t="str">
        <x:f>IF('Package Bank'!B38='Package Bank'!C38,"PASS","FAIL")</x:f>
        <x:v>PASS</x:v>
      </x:c>
      <x:c r="E164" s="95"/>
      <x:c r="F164" s="95"/>
      <x:c r="G164" s="95"/>
    </x:row>
    <x:row r="165">
      <x:c r="A165" s="101" t="str">
        <x:v>P-04</x:v>
      </x:c>
      <x:c r="B165" s="101" t="str">
        <x:v>PACKAGE BANK</x:v>
      </x:c>
      <x:c r="C165" s="101" t="str">
        <x:v>Bank control row 39</x:v>
      </x:c>
      <x:c r="D165" s="101" t="str">
        <x:f>IF('Package Bank'!B39='Package Bank'!C39,"PASS","FAIL")</x:f>
        <x:v>PASS</x:v>
      </x:c>
      <x:c r="E165" s="95"/>
      <x:c r="F165" s="95"/>
      <x:c r="G165" s="95"/>
    </x:row>
    <x:row r="166">
      <x:c r="A166" s="101" t="str">
        <x:v>P-05</x:v>
      </x:c>
      <x:c r="B166" s="101" t="str">
        <x:v>PACKAGE BANK</x:v>
      </x:c>
      <x:c r="C166" s="101" t="str">
        <x:v>Bank control row 40</x:v>
      </x:c>
      <x:c r="D166" s="101" t="str">
        <x:f>IF('Package Bank'!B40='Package Bank'!C40,"PASS","FAIL")</x:f>
        <x:v>PASS</x:v>
      </x:c>
      <x:c r="E166" s="95"/>
      <x:c r="F166" s="95"/>
      <x:c r="G166" s="95"/>
    </x:row>
    <x:row r="167">
      <x:c r="A167" s="101" t="str">
        <x:v>P-06</x:v>
      </x:c>
      <x:c r="B167" s="101" t="str">
        <x:v>PACKAGE BANK</x:v>
      </x:c>
      <x:c r="C167" s="101" t="str">
        <x:v>Bank control row 41</x:v>
      </x:c>
      <x:c r="D167" s="101" t="str">
        <x:f>IF('Package Bank'!B41='Package Bank'!C41,"PASS","FAIL")</x:f>
        <x:v>PASS</x:v>
      </x:c>
      <x:c r="E167" s="95"/>
      <x:c r="F167" s="95"/>
      <x:c r="G167" s="95"/>
    </x:row>
    <x:row r="168">
      <x:c r="A168" s="101" t="str">
        <x:v>K-01</x:v>
      </x:c>
      <x:c r="B168" s="101" t="str">
        <x:v>CAPACITY</x:v>
      </x:c>
      <x:c r="C168" s="101" t="str">
        <x:v>Capacity chain row 6</x:v>
      </x:c>
      <x:c r="D168" s="101" t="str">
        <x:f>IF(ABS(Capacity!D6-2)&lt;=0.000001,"PASS","FAIL")</x:f>
        <x:v>PASS</x:v>
      </x:c>
      <x:c r="E168" s="95"/>
      <x:c r="F168" s="95"/>
      <x:c r="G168" s="95"/>
    </x:row>
    <x:row r="169">
      <x:c r="A169" s="101" t="str">
        <x:v>K-02</x:v>
      </x:c>
      <x:c r="B169" s="101" t="str">
        <x:v>CAPACITY</x:v>
      </x:c>
      <x:c r="C169" s="101" t="str">
        <x:v>Capacity chain row 7</x:v>
      </x:c>
      <x:c r="D169" s="101" t="str">
        <x:f>IF(ABS(Capacity!D7-2)&lt;=0.000001,"PASS","FAIL")</x:f>
        <x:v>PASS</x:v>
      </x:c>
      <x:c r="E169" s="95"/>
      <x:c r="F169" s="95"/>
      <x:c r="G169" s="95"/>
    </x:row>
    <x:row r="170">
      <x:c r="A170" s="101" t="str">
        <x:v>K-03</x:v>
      </x:c>
      <x:c r="B170" s="101" t="str">
        <x:v>CAPACITY</x:v>
      </x:c>
      <x:c r="C170" s="101" t="str">
        <x:v>Capacity chain row 8</x:v>
      </x:c>
      <x:c r="D170" s="101" t="str">
        <x:f>IF(ABS(Capacity!D8-2)&lt;=0.000001,"PASS","FAIL")</x:f>
        <x:v>PASS</x:v>
      </x:c>
      <x:c r="E170" s="95"/>
      <x:c r="F170" s="95"/>
      <x:c r="G170" s="95"/>
    </x:row>
    <x:row r="171">
      <x:c r="A171" s="101" t="str">
        <x:v>K-04</x:v>
      </x:c>
      <x:c r="B171" s="101" t="str">
        <x:v>CAPACITY</x:v>
      </x:c>
      <x:c r="C171" s="101" t="str">
        <x:v>Capacity chain row 9</x:v>
      </x:c>
      <x:c r="D171" s="101" t="str">
        <x:f>IF(ABS(Capacity!D9-2)&lt;=0.000001,"PASS","FAIL")</x:f>
        <x:v>PASS</x:v>
      </x:c>
      <x:c r="E171" s="95"/>
      <x:c r="F171" s="95"/>
      <x:c r="G171" s="95"/>
    </x:row>
    <x:row r="172">
      <x:c r="A172" s="101" t="str">
        <x:v>K-05</x:v>
      </x:c>
      <x:c r="B172" s="101" t="str">
        <x:v>CAPACITY</x:v>
      </x:c>
      <x:c r="C172" s="101" t="str">
        <x:v>Capacity chain row 10</x:v>
      </x:c>
      <x:c r="D172" s="101" t="str">
        <x:f>IF(ABS(Capacity!D10-2)&lt;=0.000001,"PASS","FAIL")</x:f>
        <x:v>PASS</x:v>
      </x:c>
      <x:c r="E172" s="95"/>
      <x:c r="F172" s="95"/>
      <x:c r="G172" s="95"/>
    </x:row>
    <x:row r="173">
      <x:c r="A173" s="101" t="str">
        <x:v>A-01</x:v>
      </x:c>
      <x:c r="B173" s="101" t="str">
        <x:v>ATTRITION</x:v>
      </x:c>
      <x:c r="C173" s="101" t="str">
        <x:v>Stage slack row 6</x:v>
      </x:c>
      <x:c r="D173" s="101" t="str">
        <x:f>IF(Attrition!H6&gt;=0,"PASS","FAIL")</x:f>
        <x:v>PASS</x:v>
      </x:c>
      <x:c r="E173" s="95"/>
      <x:c r="F173" s="95"/>
      <x:c r="G173" s="95"/>
    </x:row>
    <x:row r="174">
      <x:c r="A174" s="101" t="str">
        <x:v>A-02</x:v>
      </x:c>
      <x:c r="B174" s="101" t="str">
        <x:v>ATTRITION</x:v>
      </x:c>
      <x:c r="C174" s="101" t="str">
        <x:v>Stage slack row 7</x:v>
      </x:c>
      <x:c r="D174" s="101" t="str">
        <x:f>IF(Attrition!H7&gt;=0,"PASS","FAIL")</x:f>
        <x:v>PASS</x:v>
      </x:c>
      <x:c r="E174" s="95"/>
      <x:c r="F174" s="95"/>
      <x:c r="G174" s="95"/>
    </x:row>
    <x:row r="175">
      <x:c r="A175" s="101" t="str">
        <x:v>A-03</x:v>
      </x:c>
      <x:c r="B175" s="101" t="str">
        <x:v>ATTRITION</x:v>
      </x:c>
      <x:c r="C175" s="101" t="str">
        <x:v>Stage slack row 8</x:v>
      </x:c>
      <x:c r="D175" s="101" t="str">
        <x:f>IF(Attrition!H8&gt;=0,"PASS","FAIL")</x:f>
        <x:v>PASS</x:v>
      </x:c>
      <x:c r="E175" s="95"/>
      <x:c r="F175" s="95"/>
      <x:c r="G175" s="95"/>
    </x:row>
    <x:row r="176">
      <x:c r="A176" s="101" t="str">
        <x:v>A-04</x:v>
      </x:c>
      <x:c r="B176" s="101" t="str">
        <x:v>ATTRITION</x:v>
      </x:c>
      <x:c r="C176" s="101" t="str">
        <x:v>Stage slack row 9</x:v>
      </x:c>
      <x:c r="D176" s="101" t="str">
        <x:f>IF(Attrition!H9&gt;=0,"PASS","FAIL")</x:f>
        <x:v>PASS</x:v>
      </x:c>
      <x:c r="E176" s="95"/>
      <x:c r="F176" s="95"/>
      <x:c r="G176" s="95"/>
    </x:row>
    <x:row r="177">
      <x:c r="A177" s="101" t="str">
        <x:v>F-01</x:v>
      </x:c>
      <x:c r="B177" s="101" t="str">
        <x:v>FINANCE</x:v>
      </x:c>
      <x:c r="C177" s="101" t="str">
        <x:v>Capital total</x:v>
      </x:c>
      <x:c r="D177" s="101" t="str">
        <x:f>IF(Finance!B16=52,"PASS","FAIL")</x:f>
        <x:v>PASS</x:v>
      </x:c>
      <x:c r="E177" s="95"/>
      <x:c r="F177" s="95"/>
      <x:c r="G177" s="95"/>
    </x:row>
    <x:row r="178">
      <x:c r="A178" s="101" t="str">
        <x:v>F-02</x:v>
      </x:c>
      <x:c r="B178" s="101" t="str">
        <x:v>FINANCE</x:v>
      </x:c>
      <x:c r="C178" s="101" t="str">
        <x:v>Annual support total</x:v>
      </x:c>
      <x:c r="D178" s="101" t="str">
        <x:f>IF(Finance!B27=14,"PASS","FAIL")</x:f>
        <x:v>PASS</x:v>
      </x:c>
      <x:c r="E178" s="95"/>
      <x:c r="F178" s="95"/>
      <x:c r="G178" s="95"/>
    </x:row>
    <x:row r="179">
      <x:c r="A179" s="101" t="str">
        <x:v>F-03</x:v>
      </x:c>
      <x:c r="B179" s="101" t="str">
        <x:v>FINANCE</x:v>
      </x:c>
      <x:c r="C179" s="101" t="str">
        <x:v>Capital remainder</x:v>
      </x:c>
      <x:c r="D179" s="101" t="str">
        <x:f>IF(Finance!E32=70,"PASS","FAIL")</x:f>
        <x:v>PASS</x:v>
      </x:c>
      <x:c r="E179" s="95"/>
      <x:c r="F179" s="95"/>
      <x:c r="G179" s="95"/>
    </x:row>
    <x:row r="180">
      <x:c r="A180" s="101" t="str">
        <x:v>F-04</x:v>
      </x:c>
      <x:c r="B180" s="101" t="str">
        <x:v>FINANCE</x:v>
      </x:c>
      <x:c r="C180" s="101" t="str">
        <x:v>Annual remainder</x:v>
      </x:c>
      <x:c r="D180" s="101" t="str">
        <x:f>IF(Finance!E33=9,"PASS","FAIL")</x:f>
        <x:v>PASS</x:v>
      </x:c>
      <x:c r="E180" s="95"/>
      <x:c r="F180" s="95"/>
      <x:c r="G180" s="95"/>
    </x:row>
    <x:row r="181">
      <x:c r="A181" s="101" t="str">
        <x:v>F-05</x:v>
      </x:c>
      <x:c r="B181" s="101" t="str">
        <x:v>FINANCE</x:v>
      </x:c>
      <x:c r="C181" s="101" t="str">
        <x:v>Technology remainder</x:v>
      </x:c>
      <x:c r="D181" s="101" t="str">
        <x:f>IF(Finance!E34=90,"PASS","FAIL")</x:f>
        <x:v>PASS</x:v>
      </x:c>
      <x:c r="E181" s="95"/>
      <x:c r="F181" s="95"/>
      <x:c r="G181" s="95"/>
    </x:row>
    <x:row r="182">
      <x:c r="A182" s="101" t="str">
        <x:v>T-01</x:v>
      </x:c>
      <x:c r="B182" s="101" t="str">
        <x:v>TECHNOLOGY</x:v>
      </x:c>
      <x:c r="C182" s="101" t="str">
        <x:v>Portfolio total</x:v>
      </x:c>
      <x:c r="D182" s="101" t="str">
        <x:f>IF(Technology!B17=120,"PASS","FAIL")</x:f>
        <x:v>PASS</x:v>
      </x:c>
      <x:c r="E182" s="95"/>
      <x:c r="F182" s="95"/>
      <x:c r="G182" s="95"/>
    </x:row>
    <x:row r="183">
      <x:c r="A183" s="101" t="str">
        <x:v>E-01</x:v>
      </x:c>
      <x:c r="B183" s="101" t="str">
        <x:v>EVIDENCE</x:v>
      </x:c>
      <x:c r="C183" s="101" t="str">
        <x:v>Required allocation</x:v>
      </x:c>
      <x:c r="D183" s="101" t="str">
        <x:f>IF(ABS(Evidence!D6-2996.1604947456)&lt;=0.000001,"PASS","FAIL")</x:f>
        <x:v>PASS</x:v>
      </x:c>
      <x:c r="E183" s="95"/>
      <x:c r="F183" s="95"/>
      <x:c r="G183" s="95"/>
    </x:row>
    <x:row r="184">
      <x:c r="A184" s="101" t="str">
        <x:v>E-02</x:v>
      </x:c>
      <x:c r="B184" s="101" t="str">
        <x:v>EVIDENCE</x:v>
      </x:c>
      <x:c r="C184" s="101" t="str">
        <x:v>Maximum allocation</x:v>
      </x:c>
      <x:c r="D184" s="101" t="str">
        <x:f>IF(ABS(Evidence!D7-6491.6810719488)&lt;=0.000001,"PASS","FAIL")</x:f>
        <x:v>PASS</x:v>
      </x:c>
      <x:c r="E184" s="95"/>
      <x:c r="F184" s="95"/>
      <x:c r="G184" s="95"/>
    </x:row>
    <x:row r="185">
      <x:c r="A185" s="104" t="str">
        <x:v>M-01</x:v>
      </x:c>
      <x:c r="B185" s="104" t="str">
        <x:v>MAXIMUM CALENDAR</x:v>
      </x:c>
      <x:c r="C185" s="104" t="str">
        <x:v>Class review day</x:v>
      </x:c>
      <x:c r="D185" s="104" t="str">
        <x:f>IF(Attrition!G9=357,"PASS","FAIL")</x:f>
        <x:v>PASS</x:v>
      </x:c>
      <x:c r="E185" s="95"/>
      <x:c r="F185" s="95"/>
      <x:c r="G185" s="95"/>
    </x:row>
  </x:sheetData>
  <x:conditionalFormatting sqref="D6:D185">
    <x:cfRule type="containsText" dxfId="10" priority="1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47.779998779296875" hidden="0" customWidth="1"/>
    <x:col min="3" max="3" width="40" hidden="0" customWidth="1"/>
    <x:col min="4" max="4" width="14.4399995803833" hidden="0" customWidth="1"/>
  </x:cols>
  <x:sheetData>
    <x:row r="2">
      <x:c r="A2" s="94" t="str">
        <x:v>Repository source inventory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7" t="str">
        <x:v>No external site is used. These internal constitutions define the inherited authority and quantitative controls.</x:v>
      </x:c>
      <x:c r="B4" s="95"/>
      <x:c r="C4" s="95"/>
      <x:c r="D4" s="95"/>
      <x:c r="E4" s="95"/>
      <x:c r="F4" s="95"/>
      <x:c r="G4" s="95"/>
      <x:c r="H4" s="95"/>
    </x:row>
    <x:row r="5">
      <x:c r="A5" s="9" t="str">
        <x:v>Source</x:v>
      </x:c>
      <x:c r="B5" s="10" t="str">
        <x:v>Repository location</x:v>
      </x:c>
      <x:c r="C5" s="10" t="str">
        <x:v>Authority used</x:v>
      </x:c>
      <x:c r="D5" s="11" t="str">
        <x:v>Access note</x:v>
      </x:c>
      <x:c r="E5" s="95"/>
      <x:c r="F5" s="95"/>
      <x:c r="G5" s="95"/>
      <x:c r="H5" s="95"/>
    </x:row>
    <x:row r="6" ht="48" customHeight="1">
      <x:c r="A6" s="100" t="str">
        <x:v>RBC-1 first QE-03 event</x:v>
      </x:c>
      <x:c r="B6" s="100" t="str">
        <x:v>research/force/generation/f36-cisa40-sa6-root-a-first-qe03-am05-event-and-hydraulic-regime-transition-constitution.md</x:v>
      </x:c>
      <x:c r="C6" s="100" t="str">
        <x:v>250 kg event, 504-hour return, 28-package bank, evidence and finance</x:v>
      </x:c>
      <x:c r="D6" s="100" t="str">
        <x:v>Internal repository</x:v>
      </x:c>
      <x:c r="E6" s="95"/>
      <x:c r="F6" s="95"/>
      <x:c r="G6" s="95"/>
      <x:c r="H6" s="95"/>
    </x:row>
    <x:row r="7" ht="48" customHeight="1">
      <x:c r="A7" s="103" t="str">
        <x:v>RBB-1 QE-02 class</x:v>
      </x:c>
      <x:c r="B7" s="103" t="str">
        <x:v>research/force/generation/f36-cisa40-sa6-root-a-qe02-class-execution-and-source-transfer-qualification-constitution.md</x:v>
      </x:c>
      <x:c r="C7" s="103" t="str">
        <x:v>Class identity, valid-adverse retention, reserve activation and outside replay</x:v>
      </x:c>
      <x:c r="D7" s="103" t="str">
        <x:v>Internal repository</x:v>
      </x:c>
      <x:c r="E7" s="95"/>
      <x:c r="F7" s="95"/>
      <x:c r="G7" s="95"/>
      <x:c r="H7" s="95"/>
    </x:row>
    <x:row r="8" ht="48" customHeight="1">
      <x:c r="A8" s="103" t="str">
        <x:v>RAS-1 quarter-source safety case</x:v>
      </x:c>
      <x:c r="B8" s="103" t="str">
        <x:v>research/force/generation/f36-cisa40-sa6-root-a-quarter-source-entry-and-coupled-ancestry-safety-case.md</x:v>
      </x:c>
      <x:c r="C8" s="103" t="str">
        <x:v>Parent capital, support, technology and schedule authority</x:v>
      </x:c>
      <x:c r="D8" s="103" t="str">
        <x:v>Internal repository</x:v>
      </x:c>
      <x:c r="E8" s="95"/>
      <x:c r="F8" s="95"/>
      <x:c r="G8" s="95"/>
      <x:c r="H8" s="95"/>
    </x:row>
    <x:row r="9" ht="48" customHeight="1">
      <x:c r="A9" s="103" t="str">
        <x:v>RAX-1 campaign mobilization</x:v>
      </x:c>
      <x:c r="B9" s="103" t="str">
        <x:v>research/force/generation/f36-cisa40-sa6-root-a-campaign-mobilization-and-article-to-rig-readiness-constitution.md</x:v>
      </x:c>
      <x:c r="C9" s="103" t="str">
        <x:v>Six-rig and three-campus readiness context</x:v>
      </x:c>
      <x:c r="D9" s="103" t="str">
        <x:v>Internal repository</x:v>
      </x:c>
      <x:c r="E9" s="95"/>
      <x:c r="F9" s="95"/>
      <x:c r="G9" s="95"/>
      <x:c r="H9" s="95"/>
    </x:row>
    <x:row r="10" ht="48" customHeight="1">
      <x:c r="A10" s="103" t="str">
        <x:v>RAM-1 method and estimator</x:v>
      </x:c>
      <x:c r="B10" s="103" t="str">
        <x:v>research/force/generation/f36-cisa40-sa6-root-a-method-card-and-causal-estimator-constitution.md</x:v>
      </x:c>
      <x:c r="C10" s="103" t="str">
        <x:v>Two-root observation and causal packet logic</x:v>
      </x:c>
      <x:c r="D10" s="103" t="str">
        <x:v>Internal repository</x:v>
      </x:c>
      <x:c r="E10" s="95"/>
      <x:c r="F10" s="95"/>
      <x:c r="G10" s="95"/>
      <x:c r="H10" s="95"/>
    </x:row>
    <x:row r="11" ht="48" customHeight="1">
      <x:c r="A11" s="106" t="str">
        <x:v>RBD-1 report</x:v>
      </x:c>
      <x:c r="B11" s="106" t="str">
        <x:v>research/force/generation/f36-cisa40-sa6-root-a-qe03-class-execution-and-source-transfer-qualification-constitution.md</x:v>
      </x:c>
      <x:c r="C11" s="106" t="str">
        <x:v>Current class constitution and modeled conclusions</x:v>
      </x:c>
      <x:c r="D11" s="106" t="str">
        <x:v>Internal repository</x:v>
      </x:c>
      <x:c r="E11" s="95"/>
      <x:c r="F11" s="95"/>
      <x:c r="G11" s="95"/>
      <x:c r="H11" s="95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1.110000610351562" hidden="0" customWidth="1"/>
    <x:col min="2" max="2" width="80" hidden="0" customWidth="1"/>
  </x:cols>
  <x:sheetData>
    <x:row r="2">
      <x:c r="A2" s="94" t="str">
        <x:v>Workbook use and limits</x:v>
      </x:c>
      <x:c r="B2" s="95"/>
      <x:c r="C2" s="95"/>
      <x:c r="D2" s="95"/>
      <x:c r="E2" s="95"/>
      <x:c r="F2" s="95"/>
      <x:c r="G2" s="95"/>
      <x:c r="H2" s="95"/>
    </x:row>
    <x:row r="3">
      <x:c r="A3" s="96"/>
      <x:c r="B3" s="96"/>
      <x:c r="C3" s="96"/>
      <x:c r="D3" s="96"/>
      <x:c r="E3" s="96"/>
      <x:c r="F3" s="96"/>
      <x:c r="G3" s="96"/>
      <x:c r="H3" s="96"/>
    </x:row>
    <x:row r="4">
      <x:c r="A4" s="95"/>
      <x:c r="B4" s="95"/>
      <x:c r="C4" s="95"/>
      <x:c r="D4" s="95"/>
      <x:c r="E4" s="95"/>
      <x:c r="F4" s="95"/>
      <x:c r="G4" s="95"/>
      <x:c r="H4" s="95"/>
    </x:row>
    <x:row r="5">
      <x:c r="A5" s="9" t="str">
        <x:v>Topic</x:v>
      </x:c>
      <x:c r="B5" s="11" t="str">
        <x:v>Guidance</x:v>
      </x:c>
      <x:c r="C5" s="95"/>
      <x:c r="D5" s="95"/>
      <x:c r="E5" s="95"/>
      <x:c r="F5" s="95"/>
      <x:c r="G5" s="95"/>
      <x:c r="H5" s="95"/>
    </x:row>
    <x:row r="6" ht="42" customHeight="1">
      <x:c r="A6" s="98" t="str">
        <x:v>Purpose</x:v>
      </x:c>
      <x:c r="B6" s="100" t="str">
        <x:v>Model the complete twelve-cell AM-05 QE-03 class, including national pace, exact-cell concentration, source custody, return, evidence, finance and release authority.</x:v>
      </x:c>
      <x:c r="C6" s="95"/>
      <x:c r="D6" s="95"/>
      <x:c r="E6" s="95"/>
      <x:c r="F6" s="95"/>
      <x:c r="G6" s="95"/>
      <x:c r="H6" s="95"/>
    </x:row>
    <x:row r="7" ht="42" customHeight="1">
      <x:c r="A7" s="101" t="str">
        <x:v>Planning versus evidence</x:v>
      </x:c>
      <x:c r="B7" s="103" t="str">
        <x:v>Controls, calendars, synthetic cases and finance are planning objects. Yellow register fields are physical inputs and begin blank.</x:v>
      </x:c>
      <x:c r="C7" s="95"/>
      <x:c r="D7" s="95"/>
      <x:c r="E7" s="95"/>
      <x:c r="F7" s="95"/>
      <x:c r="G7" s="95"/>
      <x:c r="H7" s="95"/>
    </x:row>
    <x:row r="8" ht="42" customHeight="1">
      <x:c r="A8" s="101" t="str">
        <x:v>Seed normalization</x:v>
      </x:c>
      <x:c r="B8" s="103" t="str">
        <x:v>S0 and RS denote the accepted RBC-1 seed rig and root. Execution records must bind these labels to the actual public serials and campuses.</x:v>
      </x:c>
      <x:c r="C8" s="95"/>
      <x:c r="D8" s="95"/>
      <x:c r="E8" s="95"/>
      <x:c r="F8" s="95"/>
      <x:c r="G8" s="95"/>
      <x:c r="H8" s="95"/>
    </x:row>
    <x:row r="9" ht="42" customHeight="1">
      <x:c r="A9" s="101" t="str">
        <x:v>Reserve activation</x:v>
      </x:c>
      <x:c r="B9" s="103" t="str">
        <x:v>A reserve follows only independent INVALID disposition in the same exact cell and normalized root family. Valid adverse results are not replaceable.</x:v>
      </x:c>
      <x:c r="C9" s="95"/>
      <x:c r="D9" s="95"/>
      <x:c r="E9" s="95"/>
      <x:c r="F9" s="95"/>
      <x:c r="G9" s="95"/>
      <x:c r="H9" s="95"/>
    </x:row>
    <x:row r="10" ht="42" customHeight="1">
      <x:c r="A10" s="101" t="str">
        <x:v>Return rule</x:v>
      </x:c>
      <x:c r="B10" s="103" t="str">
        <x:v>No rig can issue again before 504 hours from the prior T0 and completion of both residue observations, twenty work packages, fourteen decisions, twenty-four replay decisions, a new baseline and return authority.</x:v>
      </x:c>
      <x:c r="C10" s="95"/>
      <x:c r="D10" s="95"/>
      <x:c r="E10" s="95"/>
      <x:c r="F10" s="95"/>
      <x:c r="G10" s="95"/>
      <x:c r="H10" s="95"/>
    </x:row>
    <x:row r="11" ht="42" customHeight="1">
      <x:c r="A11" s="101" t="str">
        <x:v>Class budgets</x:v>
      </x:c>
      <x:c r="B11" s="103" t="str">
        <x:v>Environmental and unaccounted-source limits remain fixed at 3.000 kg and 22.500 kg across every issued attempt.</x:v>
      </x:c>
      <x:c r="C11" s="95"/>
      <x:c r="D11" s="95"/>
      <x:c r="E11" s="95"/>
      <x:c r="F11" s="95"/>
      <x:c r="G11" s="95"/>
      <x:c r="H11" s="95"/>
    </x:row>
    <x:row r="12" ht="42" customHeight="1">
      <x:c r="A12" s="101" t="str">
        <x:v>Maximum calendar</x:v>
      </x:c>
      <x:c r="B12" s="103" t="str">
        <x:v>Day 357 is a constructed authorized boundary when all fourteen reserves concentrate in the two cells on one non-seed rig. It excludes common-cause investigation or reconstruction.</x:v>
      </x:c>
      <x:c r="C12" s="95"/>
      <x:c r="D12" s="95"/>
      <x:c r="E12" s="95"/>
      <x:c r="F12" s="95"/>
      <x:c r="G12" s="95"/>
      <x:c r="H12" s="95"/>
    </x:row>
    <x:row r="13" ht="42" customHeight="1">
      <x:c r="A13" s="101" t="str">
        <x:v>Technology</x:v>
      </x:c>
      <x:c r="B13" s="103" t="str">
        <x:v>The portfolio funds new capability but does not change current-class physical limits without later qualification.</x:v>
      </x:c>
      <x:c r="C13" s="95"/>
      <x:c r="D13" s="95"/>
      <x:c r="E13" s="95"/>
      <x:c r="F13" s="95"/>
      <x:c r="G13" s="95"/>
      <x:c r="H13" s="95"/>
    </x:row>
    <x:row r="14" ht="42" customHeight="1">
      <x:c r="A14" s="104" t="str">
        <x:v>Release</x:v>
      </x:c>
      <x:c r="B14" s="106" t="str">
        <x:v>An accepted class can authorize constitution of the first 500 kg AM-05 QE-04 event. It cannot issue that event, authorize AM-06, admit a candidate, select production or permit exterior rendering.</x:v>
      </x:c>
      <x:c r="C14" s="95"/>
      <x:c r="D14" s="95"/>
      <x:c r="E14" s="95"/>
      <x:c r="F14" s="95"/>
      <x:c r="G14" s="95"/>
      <x:c r="H14" s="95"/>
    </x:row>
  </x:sheetData>
  <x:pageMargins left="0.7" right="0.7" top="0.75" bottom="0.75" header="0.3" footer="0.3"/>
</x:worksheet>
</file>