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67020a02d546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ec7abbeb4dc43dc"/>
    <x:sheet xmlns:r="http://schemas.openxmlformats.org/officeDocument/2006/relationships" name="Method Controls" sheetId="2" r:id="R530d8aecb1fc4a36"/>
    <x:sheet xmlns:r="http://schemas.openxmlformats.org/officeDocument/2006/relationships" name="Demand Update" sheetId="3" r:id="R87919383df094aa0"/>
    <x:sheet xmlns:r="http://schemas.openxmlformats.org/officeDocument/2006/relationships" name="Cycle Update" sheetId="4" r:id="Rd8196ef0a1214022"/>
    <x:sheet xmlns:r="http://schemas.openxmlformats.org/officeDocument/2006/relationships" name="Availability Update" sheetId="5" r:id="R5842aa04b88f476c"/>
    <x:sheet xmlns:r="http://schemas.openxmlformats.org/officeDocument/2006/relationships" name="Residual Capacity" sheetId="6" r:id="R26708d922ad5430a"/>
    <x:sheet xmlns:r="http://schemas.openxmlformats.org/officeDocument/2006/relationships" name="Residual Schedule" sheetId="7" r:id="R17efe2c062f54a1f"/>
    <x:sheet xmlns:r="http://schemas.openxmlformats.org/officeDocument/2006/relationships" name="Daily Control" sheetId="8" r:id="R9bd85dac2c0b449a"/>
    <x:sheet xmlns:r="http://schemas.openxmlformats.org/officeDocument/2006/relationships" name="Schedule Controls" sheetId="9" r:id="R8d77bd51590b44b1"/>
    <x:sheet xmlns:r="http://schemas.openxmlformats.org/officeDocument/2006/relationships" name="Common Cause" sheetId="10" r:id="Re22bdafe74ed4d2c"/>
    <x:sheet xmlns:r="http://schemas.openxmlformats.org/officeDocument/2006/relationships" name="Financial Cases" sheetId="11" r:id="R493a9800c67e4651"/>
    <x:sheet xmlns:r="http://schemas.openxmlformats.org/officeDocument/2006/relationships" name="Release Gates" sheetId="12" r:id="R4a6e2541bb3244d8"/>
    <x:sheet xmlns:r="http://schemas.openxmlformats.org/officeDocument/2006/relationships" name="Event Observations" sheetId="13" r:id="R0e528d522bc2492c"/>
    <x:sheet xmlns:r="http://schemas.openxmlformats.org/officeDocument/2006/relationships" name="Service Observations" sheetId="14" r:id="Rc2b3f5e2f1d442e0"/>
    <x:sheet xmlns:r="http://schemas.openxmlformats.org/officeDocument/2006/relationships" name="Audit" sheetId="15" r:id="Rf8a4d690663940aa"/>
    <x:sheet xmlns:r="http://schemas.openxmlformats.org/officeDocument/2006/relationships" name="ReadMe" sheetId="16" r:id="R7ca3ffc2f74f4d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0.000"/>
    <x:numFmt numFmtId="202" formatCode="0.000000"/>
    <x:numFmt numFmtId="203" formatCode="0.0"/>
  </x:numFmts>
  <x:fonts count="9">
    <x:font>
      <x:sz val="11"/>
      <x:name val="Carlito"/>
    </x:font>
    <x:font>
      <x:b/>
      <x:sz val="15"/>
      <x:color rgb="FF17324D"/>
      <x:name val="Arial"/>
    </x:font>
    <x:font>
      <x:i/>
      <x:sz val="10"/>
      <x:color rgb="FF5D6B78"/>
      <x:name val="Arial"/>
    </x:font>
    <x:font>
      <x:b/>
      <x:sz val="10"/>
      <x:color rgb="FFFFFFFF"/>
      <x:name val="Arial"/>
    </x:font>
    <x:font>
      <x:sz val="10"/>
      <x:name val="Arial"/>
    </x:font>
    <x:font>
      <x:sz val="10"/>
      <x:color rgb="FF0070C0"/>
      <x:name val="Arial"/>
    </x:font>
    <x:font>
      <x:b/>
      <x:sz val="10"/>
      <x:color rgb="FF273444"/>
      <x:name val="Arial"/>
    </x:font>
    <x:font>
      <x:b/>
      <x:sz val="10"/>
      <x:color rgb="FF17324D"/>
      <x:name val="Arial"/>
    </x:font>
    <x:font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AF5"/>
      </x:patternFill>
    </x:fill>
  </x:fills>
  <x:borders count="6">
    <x:border/>
    <x:border>
      <x:bottom style="thin">
        <x:color rgb="FF17324D"/>
      </x:bottom>
    </x:border>
    <x:border>
      <x:bottom style="thin">
        <x:color rgb="FFC8D3DD"/>
      </x:bottom>
    </x:border>
    <x:border>
      <x:left style="thin">
        <x:color rgb="FFC8D3DD"/>
      </x:left>
      <x:top style="thin">
        <x:color rgb="FFC8D3DD"/>
      </x:top>
      <x:bottom style="thin">
        <x:color rgb="FFC8D3DD"/>
      </x:bottom>
    </x:border>
    <x:border>
      <x:top style="thin">
        <x:color rgb="FFC8D3DD"/>
      </x:top>
      <x:bottom style="thin">
        <x:color rgb="FFC8D3DD"/>
      </x:bottom>
    </x:border>
    <x:border>
      <x:right style="thin">
        <x:color rgb="FFC8D3DD"/>
      </x:right>
      <x:top style="thin">
        <x:color rgb="FFC8D3DD"/>
      </x:top>
      <x:bottom style="thin">
        <x:color rgb="FFC8D3DD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1" fontId="4" fillId="0" borderId="2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3" xfId="0" applyNumberFormat="1" applyFont="1" applyFill="1" applyBorder="1"/>
    <x:xf numFmtId="0" fontId="6" fillId="3" borderId="4" xfId="0" applyNumberFormat="1" applyFont="1" applyFill="1" applyBorder="1"/>
    <x:xf numFmtId="0" fontId="6" fillId="3" borderId="5" xfId="0" applyNumberFormat="1" applyFont="1" applyFill="1" applyBorder="1"/>
    <x:xf numFmtId="202" fontId="0" fillId="0" borderId="0" xfId="0" applyNumberFormat="1" applyFont="1" applyFill="1" applyBorder="1"/>
    <x:xf numFmtId="202" fontId="4" fillId="0" borderId="0" xfId="0" applyNumberFormat="1" applyFont="1" applyFill="1" applyBorder="1"/>
    <x:xf numFmtId="202" fontId="4" fillId="0" borderId="0" xfId="0" applyNumberFormat="1" applyFont="1" applyFill="1" applyBorder="1" applyAlignment="1">
      <x:alignment vertical="center"/>
    </x:xf>
    <x:xf numFmtId="202" fontId="4" fillId="0" borderId="2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1" fontId="4" fillId="0" borderId="0" xfId="0" applyNumberFormat="1" applyFont="1" applyFill="1" applyBorder="1"/>
    <x:xf numFmtId="203" fontId="4" fillId="0" borderId="0" xfId="0" applyNumberFormat="1" applyFont="1" applyFill="1" applyBorder="1" applyAlignment="1">
      <x:alignment vertical="center"/>
    </x:xf>
    <x:xf numFmtId="203" fontId="4" fillId="0" borderId="2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4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201" fontId="8" fillId="0" borderId="0" xfId="0" applyNumberFormat="1" applyFont="1" applyFill="1" applyBorder="1"/>
    <x:xf numFmtId="20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44"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6a9f7c12e34822" /><Relationship Type="http://schemas.openxmlformats.org/officeDocument/2006/relationships/theme" Target="/xl/theme/theme1.xml" Id="R804e059b626e4957" /><Relationship Type="http://schemas.openxmlformats.org/officeDocument/2006/relationships/sharedStrings" Target="/xl/sharedStrings.xml" Id="R0a56103e00464929" /><Relationship Type="http://schemas.openxmlformats.org/officeDocument/2006/relationships/worksheet" Target="/xl/worksheets/sheet1.xml" Id="Rfec7abbeb4dc43dc" /><Relationship Type="http://schemas.openxmlformats.org/officeDocument/2006/relationships/worksheet" Target="/xl/worksheets/sheet2.xml" Id="R530d8aecb1fc4a36" /><Relationship Type="http://schemas.openxmlformats.org/officeDocument/2006/relationships/worksheet" Target="/xl/worksheets/sheet3.xml" Id="R87919383df094aa0" /><Relationship Type="http://schemas.openxmlformats.org/officeDocument/2006/relationships/worksheet" Target="/xl/worksheets/sheet4.xml" Id="Rd8196ef0a1214022" /><Relationship Type="http://schemas.openxmlformats.org/officeDocument/2006/relationships/worksheet" Target="/xl/worksheets/sheet5.xml" Id="R5842aa04b88f476c" /><Relationship Type="http://schemas.openxmlformats.org/officeDocument/2006/relationships/worksheet" Target="/xl/worksheets/sheet6.xml" Id="R26708d922ad5430a" /><Relationship Type="http://schemas.openxmlformats.org/officeDocument/2006/relationships/worksheet" Target="/xl/worksheets/sheet7.xml" Id="R17efe2c062f54a1f" /><Relationship Type="http://schemas.openxmlformats.org/officeDocument/2006/relationships/worksheet" Target="/xl/worksheets/sheet8.xml" Id="R9bd85dac2c0b449a" /><Relationship Type="http://schemas.openxmlformats.org/officeDocument/2006/relationships/worksheet" Target="/xl/worksheets/sheet9.xml" Id="R8d77bd51590b44b1" /><Relationship Type="http://schemas.openxmlformats.org/officeDocument/2006/relationships/worksheet" Target="/xl/worksheets/sheet10.xml" Id="Re22bdafe74ed4d2c" /><Relationship Type="http://schemas.openxmlformats.org/officeDocument/2006/relationships/worksheet" Target="/xl/worksheets/sheet11.xml" Id="R493a9800c67e4651" /><Relationship Type="http://schemas.openxmlformats.org/officeDocument/2006/relationships/worksheet" Target="/xl/worksheets/sheet12.xml" Id="R4a6e2541bb3244d8" /><Relationship Type="http://schemas.openxmlformats.org/officeDocument/2006/relationships/worksheet" Target="/xl/worksheets/sheet13.xml" Id="R0e528d522bc2492c" /><Relationship Type="http://schemas.openxmlformats.org/officeDocument/2006/relationships/worksheet" Target="/xl/worksheets/sheet14.xml" Id="Rc2b3f5e2f1d442e0" /><Relationship Type="http://schemas.openxmlformats.org/officeDocument/2006/relationships/worksheet" Target="/xl/worksheets/sheet15.xml" Id="Rf8a4d690663940aa" /><Relationship Type="http://schemas.openxmlformats.org/officeDocument/2006/relationships/worksheet" Target="/xl/worksheets/sheet16.xml" Id="R7ca3ffc2f74f4d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2" max="2" width="27" hidden="0" customWidth="1"/>
    <x:col min="3" max="3" width="28" hidden="0" customWidth="1"/>
    <x:col min="4" max="4" width="28" hidden="0" customWidth="1"/>
    <x:col min="5" max="5" width="12" hidden="0" customWidth="1"/>
    <x:col min="6" max="6" width="27" hidden="0" customWidth="1"/>
    <x:col min="7" max="7" width="29" hidden="0" customWidth="1"/>
    <x:col min="8" max="8" width="20" hidden="0" customWidth="1"/>
    <x:col min="9" max="9" width="18" hidden="0" customWidth="1"/>
    <x:col min="10" max="10" width="18" hidden="0" customWidth="1"/>
  </x:cols>
  <x:sheetData>
    <x:row r="2">
      <x:c r="B2" s="1" t="str">
        <x:v>F36 observed-throughput update and residual admission</x:v>
      </x:c>
      <x:c r="C2" s="36"/>
      <x:c r="D2" s="36"/>
      <x:c r="E2" s="36"/>
      <x:c r="F2" s="36"/>
      <x:c r="G2" s="36"/>
      <x:c r="H2" s="36"/>
      <x:c r="I2" s="36"/>
      <x:c r="J2" s="36"/>
    </x:row>
    <x:row r="3">
      <x:c r="B3" s="2" t="str">
        <x:v>Synthetic conformance proves the method; live evidence, residual admission and campus reconstruction remain unearned.</x:v>
      </x:c>
      <x:c r="C3" s="36"/>
      <x:c r="D3" s="36"/>
      <x:c r="E3" s="36"/>
      <x:c r="F3" s="36"/>
      <x:c r="G3" s="36"/>
      <x:c r="H3" s="36"/>
      <x:c r="I3" s="36"/>
      <x:c r="J3" s="36"/>
    </x:row>
    <x:row r="4">
      <x:c r="B4" s="37"/>
      <x:c r="C4" s="37"/>
      <x:c r="D4" s="37"/>
      <x:c r="E4" s="37"/>
      <x:c r="F4" s="37"/>
      <x:c r="G4" s="37"/>
      <x:c r="H4" s="37"/>
      <x:c r="I4" s="37"/>
      <x:c r="J4" s="37"/>
    </x:row>
    <x:row r="5">
      <x:c r="B5" s="36"/>
      <x:c r="C5" s="36"/>
      <x:c r="D5" s="36"/>
      <x:c r="E5" s="36"/>
      <x:c r="F5" s="36"/>
      <x:c r="G5" s="36"/>
      <x:c r="H5" s="36"/>
      <x:c r="I5" s="36"/>
      <x:c r="J5" s="36"/>
    </x:row>
    <x:row r="6">
      <x:c r="B6" s="21" t="str">
        <x:v>Conformance result</x:v>
      </x:c>
      <x:c r="C6" s="22" t="str">
        <x:v>Conformance result</x:v>
      </x:c>
      <x:c r="D6" s="22" t="str">
        <x:v>Conformance result</x:v>
      </x:c>
      <x:c r="E6" s="22" t="str">
        <x:v>Conformance result</x:v>
      </x:c>
      <x:c r="F6" s="21" t="str">
        <x:v>Present authority state</x:v>
      </x:c>
      <x:c r="G6" s="22" t="str">
        <x:v>Present authority state</x:v>
      </x:c>
      <x:c r="H6" s="22" t="str">
        <x:v>Present authority state</x:v>
      </x:c>
      <x:c r="I6" s="22" t="str">
        <x:v>Present authority state</x:v>
      </x:c>
      <x:c r="J6" s="23" t="str">
        <x:v>Present authority state</x:v>
      </x:c>
    </x:row>
    <x:row r="7">
      <x:c r="B7" s="36" t="str">
        <x:v>Observation mode</x:v>
      </x:c>
      <x:c r="C7" s="36" t="str">
        <x:v>no live evidence</x:v>
      </x:c>
      <x:c r="D7" s="36" t="str">
        <x:f>'Method Controls'!$D$7</x:f>
        <x:v>SYNTHETIC_CONFORMANCE</x:v>
      </x:c>
      <x:c r="E7" s="36" t="str">
        <x:v>state</x:v>
      </x:c>
      <x:c r="F7" s="36" t="str">
        <x:v>Method package</x:v>
      </x:c>
      <x:c r="G7" s="36" t="str">
        <x:v>twenty planning gates</x:v>
      </x:c>
      <x:c r="H7" s="36" t="str">
        <x:f>'Release Gates'!D41</x:f>
        <x:v>AUTHORIZED</x:v>
      </x:c>
      <x:c r="I7" s="36"/>
      <x:c r="J7" s="36"/>
    </x:row>
    <x:row r="8">
      <x:c r="B8" s="36" t="str">
        <x:v>Closure residual demand</x:v>
      </x:c>
      <x:c r="C8" s="36" t="str">
        <x:v>posterior predictive P90</x:v>
      </x:c>
      <x:c r="D8" s="36" t="n">
        <x:f>'Demand Update'!K7</x:f>
        <x:v>64</x:v>
      </x:c>
      <x:c r="E8" s="36" t="str">
        <x:v>attempts</x:v>
      </x:c>
      <x:c r="F8" s="36" t="str">
        <x:v>Synthetic conformance</x:v>
      </x:c>
      <x:c r="G8" s="36" t="str">
        <x:v>calculation behavior</x:v>
      </x:c>
      <x:c r="H8" s="36" t="str">
        <x:f>'Release Gates'!D42</x:f>
        <x:v>PASS</x:v>
      </x:c>
      <x:c r="I8" s="36"/>
      <x:c r="J8" s="36"/>
    </x:row>
    <x:row r="9">
      <x:c r="B9" s="36" t="str">
        <x:v>Damage residual demand</x:v>
      </x:c>
      <x:c r="C9" s="36" t="str">
        <x:v>posterior predictive P90</x:v>
      </x:c>
      <x:c r="D9" s="36" t="n">
        <x:f>'Demand Update'!K8</x:f>
        <x:v>28</x:v>
      </x:c>
      <x:c r="E9" s="36" t="str">
        <x:v>attempts</x:v>
      </x:c>
      <x:c r="F9" s="36" t="str">
        <x:v>Live update</x:v>
      </x:c>
      <x:c r="G9" s="36" t="str">
        <x:v>authorized records and cause board</x:v>
      </x:c>
      <x:c r="H9" s="36" t="str">
        <x:f>'Release Gates'!D43</x:f>
        <x:v>HOLD</x:v>
      </x:c>
      <x:c r="I9" s="36"/>
      <x:c r="J9" s="36"/>
    </x:row>
    <x:row r="10">
      <x:c r="B10" s="36" t="str">
        <x:v>Closure planning cycle</x:v>
      </x:c>
      <x:c r="C10" s="36" t="str">
        <x:v>one-sided U90</x:v>
      </x:c>
      <x:c r="D10" s="38" t="n">
        <x:f>'Cycle Update'!G7</x:f>
        <x:v>8.542019650858077</x:v>
      </x:c>
      <x:c r="E10" s="36" t="str">
        <x:v>days</x:v>
      </x:c>
      <x:c r="F10" s="36" t="str">
        <x:v>Residual campaign</x:v>
      </x:c>
      <x:c r="G10" s="36" t="str">
        <x:v>rosters, readiness and approval</x:v>
      </x:c>
      <x:c r="H10" s="36" t="str">
        <x:f>'Release Gates'!D44</x:f>
        <x:v>HOLD</x:v>
      </x:c>
      <x:c r="I10" s="36"/>
      <x:c r="J10" s="36"/>
    </x:row>
    <x:row r="11">
      <x:c r="B11" s="36" t="str">
        <x:v>Damage planning cycle</x:v>
      </x:c>
      <x:c r="C11" s="36" t="str">
        <x:v>one-sided U90</x:v>
      </x:c>
      <x:c r="D11" s="38" t="n">
        <x:f>'Cycle Update'!G8</x:f>
        <x:v>15.211232254492813</x:v>
      </x:c>
      <x:c r="E11" s="36" t="str">
        <x:v>days</x:v>
      </x:c>
      <x:c r="F11" s="36" t="str">
        <x:v>Campus regeneration</x:v>
      </x:c>
      <x:c r="G11" s="36" t="str">
        <x:v>physical and capital proof</x:v>
      </x:c>
      <x:c r="H11" s="36" t="str">
        <x:f>'Release Gates'!D46</x:f>
        <x:v>HOLD</x:v>
      </x:c>
      <x:c r="I11" s="36"/>
      <x:c r="J11" s="36"/>
    </x:row>
    <x:row r="12">
      <x:c r="B12" s="36" t="str">
        <x:v>Closure residual utilization</x:v>
      </x:c>
      <x:c r="C12" s="36" t="str">
        <x:v>four surviving bays</x:v>
      </x:c>
      <x:c r="D12" s="39" t="n">
        <x:f>'Residual Capacity'!J7</x:f>
        <x:v>0.619769266056822</x:v>
      </x:c>
      <x:c r="E12" s="36" t="str">
        <x:v>utilization</x:v>
      </x:c>
      <x:c r="F12" s="36" t="str">
        <x:v>Production/form</x:v>
      </x:c>
      <x:c r="G12" s="36" t="str">
        <x:v>parent F36 chain</x:v>
      </x:c>
      <x:c r="H12" s="36" t="str">
        <x:f>IF('Release Gates'!D47="AUTHORIZED","AUTHORIZED","BLOCKED")</x:f>
        <x:v>BLOCKED</x:v>
      </x:c>
      <x:c r="I12" s="36"/>
      <x:c r="J12" s="36"/>
    </x:row>
    <x:row r="13">
      <x:c r="B13" s="36" t="str">
        <x:v>Damage residual utilization</x:v>
      </x:c>
      <x:c r="C13" s="36" t="str">
        <x:v>four surviving cells</x:v>
      </x:c>
      <x:c r="D13" s="39" t="n">
        <x:f>'Residual Capacity'!J8</x:f>
        <x:v>0.6403506670658763</x:v>
      </x:c>
      <x:c r="E13" s="36" t="str">
        <x:v>utilization</x:v>
      </x:c>
      <x:c r="F13" s="36" t="str">
        <x:v>Rendering</x:v>
      </x:c>
      <x:c r="G13" s="36" t="str">
        <x:v>parent F36 chain</x:v>
      </x:c>
      <x:c r="H13" s="36" t="str">
        <x:f>IF('Release Gates'!D47="AUTHORIZED","AUTHORIZED","BLOCKED")</x:f>
        <x:v>BLOCKED</x:v>
      </x:c>
      <x:c r="I13" s="36"/>
      <x:c r="J13" s="36"/>
    </x:row>
    <x:row r="14">
      <x:c r="B14" s="36" t="str">
        <x:v>Last closure packet</x:v>
      </x:c>
      <x:c r="C14" s="36" t="str">
        <x:v>inside day 425</x:v>
      </x:c>
      <x:c r="D14" s="38" t="n">
        <x:f>MAX('Residual Schedule'!J7:J70)</x:f>
        <x:v>300.50180364007053</x:v>
      </x:c>
      <x:c r="E14" s="36" t="str">
        <x:v>day</x:v>
      </x:c>
      <x:c r="F14" s="36"/>
      <x:c r="G14" s="36"/>
      <x:c r="H14" s="36"/>
      <x:c r="I14" s="36"/>
      <x:c r="J14" s="36"/>
    </x:row>
    <x:row r="15">
      <x:c r="B15" s="36" t="str">
        <x:v>Last damage packet</x:v>
      </x:c>
      <x:c r="C15" s="36" t="str">
        <x:v>inside day 365</x:v>
      </x:c>
      <x:c r="D15" s="38" t="n">
        <x:f>MAX('Residual Schedule'!J71:J98)</x:f>
        <x:v>340.4358691979417</x:v>
      </x:c>
      <x:c r="E15" s="36" t="str">
        <x:v>day</x:v>
      </x:c>
      <x:c r="F15" s="36"/>
      <x:c r="G15" s="36"/>
      <x:c r="H15" s="36"/>
      <x:c r="I15" s="36"/>
      <x:c r="J15" s="36"/>
    </x:row>
    <x:row r="16">
      <x:c r="B16" s="36" t="str">
        <x:v>Remaining operating support</x:v>
      </x:c>
      <x:c r="C16" s="36" t="str">
        <x:v>twenty-seven months</x:v>
      </x:c>
      <x:c r="D16" s="38" t="n">
        <x:f>'Financial Cases'!C7</x:f>
        <x:v>0.8955000000000001</x:v>
      </x:c>
      <x:c r="E16" s="36" t="str">
        <x:v>USD B</x:v>
      </x:c>
      <x:c r="F16" s="36"/>
      <x:c r="G16" s="36"/>
      <x:c r="H16" s="36"/>
      <x:c r="I16" s="36"/>
      <x:c r="J16" s="36"/>
    </x:row>
    <x:row r="17">
      <x:c r="B17" s="36" t="str">
        <x:v>Destroyed-campus capital gap</x:v>
      </x:c>
      <x:c r="C17" s="36" t="str">
        <x:v>maximum visible reserve applied</x:v>
      </x:c>
      <x:c r="D17" s="38" t="n">
        <x:f>'Financial Cases'!I9</x:f>
        <x:v>0.8799999999999999</x:v>
      </x:c>
      <x:c r="E17" s="36" t="str">
        <x:v>USD B</x:v>
      </x:c>
      <x:c r="F17" s="36"/>
      <x:c r="G17" s="36"/>
      <x:c r="H17" s="36"/>
      <x:c r="I17" s="36"/>
      <x:c r="J17" s="36"/>
    </x:row>
    <x:row r="18">
      <x:c r="B18" s="36" t="str">
        <x:v>Synthetic force decision</x:v>
      </x:c>
      <x:c r="C18" s="36" t="str">
        <x:v>not live admission</x:v>
      </x:c>
      <x:c r="D18" s="36" t="str">
        <x:f>'Release Gates'!D45</x:f>
        <x:v>PRESERVE</x:v>
      </x:c>
      <x:c r="E18" s="36" t="str">
        <x:v>state</x:v>
      </x:c>
      <x:c r="F18" s="36"/>
      <x:c r="G18" s="36"/>
      <x:c r="H18" s="36"/>
      <x:c r="I18" s="36"/>
      <x:c r="J18" s="36"/>
    </x:row>
    <x:row r="19">
      <x:c r="B19" s="36"/>
      <x:c r="C19" s="36"/>
      <x:c r="D19" s="36"/>
      <x:c r="E19" s="36"/>
      <x:c r="F19" s="36"/>
      <x:c r="G19" s="36"/>
      <x:c r="H19" s="36"/>
      <x:c r="I19" s="36"/>
      <x:c r="J19" s="36"/>
    </x:row>
    <x:row r="20">
      <x:c r="B20" s="36"/>
      <x:c r="C20" s="36"/>
      <x:c r="D20" s="36"/>
      <x:c r="E20" s="36"/>
      <x:c r="F20" s="36"/>
      <x:c r="G20" s="36"/>
      <x:c r="H20" s="36"/>
      <x:c r="I20" s="36"/>
      <x:c r="J20" s="36"/>
    </x:row>
    <x:row r="21">
      <x:c r="B21" s="36"/>
      <x:c r="C21" s="36"/>
      <x:c r="D21" s="36"/>
      <x:c r="E21" s="36"/>
      <x:c r="F21" s="36"/>
      <x:c r="G21" s="36"/>
      <x:c r="H21" s="36"/>
      <x:c r="I21" s="36"/>
      <x:c r="J21" s="36"/>
    </x:row>
    <x:row r="22">
      <x:c r="B22" s="21" t="str">
        <x:v>Decisive judgments</x:v>
      </x:c>
      <x:c r="C22" s="22" t="str">
        <x:v>Decisive judgments</x:v>
      </x:c>
      <x:c r="D22" s="22" t="str">
        <x:v>Decisive judgments</x:v>
      </x:c>
      <x:c r="E22" s="22" t="str">
        <x:v>Decisive judgments</x:v>
      </x:c>
      <x:c r="F22" s="22" t="str">
        <x:v>Decisive judgments</x:v>
      </x:c>
      <x:c r="G22" s="22" t="str">
        <x:v>Decisive judgments</x:v>
      </x:c>
      <x:c r="H22" s="22" t="str">
        <x:v>Decisive judgments</x:v>
      </x:c>
      <x:c r="I22" s="22" t="str">
        <x:v>Decisive judgments</x:v>
      </x:c>
      <x:c r="J22" s="23" t="str">
        <x:v>Decisive judgments</x:v>
      </x:c>
    </x:row>
    <x:row r="23" ht="40" customHeight="1">
      <x:c r="B23" s="34" t="str">
        <x:v>Estimand</x:v>
      </x:c>
      <x:c r="C23" s="40" t="str">
        <x:v>Forced denial tests consequence and contributes no intrinsic frequency observation.</x:v>
      </x:c>
      <x:c r="D23" s="40"/>
      <x:c r="E23" s="40"/>
      <x:c r="F23" s="40"/>
      <x:c r="G23" s="40"/>
      <x:c r="H23" s="40"/>
      <x:c r="I23" s="40"/>
      <x:c r="J23" s="40"/>
    </x:row>
    <x:row r="24" ht="40" customHeight="1">
      <x:c r="B24" s="34" t="str">
        <x:v>Censoring</x:v>
      </x:c>
      <x:c r="C24" s="40" t="str">
        <x:v>Interrupted histories remain right-censored and never become short completed cycles.</x:v>
      </x:c>
      <x:c r="D24" s="40"/>
      <x:c r="E24" s="40"/>
      <x:c r="F24" s="40"/>
      <x:c r="G24" s="40"/>
      <x:c r="H24" s="40"/>
      <x:c r="I24" s="40"/>
      <x:c r="J24" s="40"/>
    </x:row>
    <x:row r="25" ht="40" customHeight="1">
      <x:c r="B25" s="34" t="str">
        <x:v>Attempts</x:v>
      </x:c>
      <x:c r="C25" s="40" t="str">
        <x:v>Exact posterior predictive recurrences require 64 closure and 28 damage reservations.</x:v>
      </x:c>
      <x:c r="D25" s="40"/>
      <x:c r="E25" s="40"/>
      <x:c r="F25" s="40"/>
      <x:c r="G25" s="40"/>
      <x:c r="H25" s="40"/>
      <x:c r="I25" s="40"/>
      <x:c r="J25" s="40"/>
    </x:row>
    <x:row r="26" ht="40" customHeight="1">
      <x:c r="B26" s="34" t="str">
        <x:v>Capacity</x:v>
      </x:c>
      <x:c r="C26" s="40" t="str">
        <x:v>Two surviving campuses remain below the seventy-percent planning ceiling in conformance.</x:v>
      </x:c>
      <x:c r="D26" s="40"/>
      <x:c r="E26" s="40"/>
      <x:c r="F26" s="40"/>
      <x:c r="G26" s="40"/>
      <x:c r="H26" s="40"/>
      <x:c r="I26" s="40"/>
      <x:c r="J26" s="40"/>
    </x:row>
    <x:row r="27" ht="40" customHeight="1">
      <x:c r="B27" s="34" t="str">
        <x:v>Reserve</x:v>
      </x:c>
      <x:c r="C27" s="40" t="str">
        <x:v>Damage waves rotate across four cells while WIP three protects one cell-equivalent.</x:v>
      </x:c>
      <x:c r="D27" s="40"/>
      <x:c r="E27" s="40"/>
      <x:c r="F27" s="40"/>
      <x:c r="G27" s="40"/>
      <x:c r="H27" s="40"/>
      <x:c r="I27" s="40"/>
      <x:c r="J27" s="40"/>
    </x:row>
    <x:row r="28" ht="40" customHeight="1">
      <x:c r="B28" s="34" t="str">
        <x:v>Capital</x:v>
      </x:c>
      <x:c r="C28" s="40" t="str">
        <x:v>A destroyed campus exposes USD 0.880B beyond the maximum visible national reserve.</x:v>
      </x:c>
      <x:c r="D28" s="40"/>
      <x:c r="E28" s="40"/>
      <x:c r="F28" s="40"/>
      <x:c r="G28" s="40"/>
      <x:c r="H28" s="40"/>
      <x:c r="I28" s="40"/>
      <x:c r="J28" s="40"/>
    </x:row>
    <x:row r="29" ht="40" customHeight="1">
      <x:c r="B29" s="34" t="str">
        <x:v>Authority</x:v>
      </x:c>
      <x:c r="C29" s="40" t="str">
        <x:v>Synthetic conformance authorizes a method, not a live update or residual campaign.</x:v>
      </x:c>
      <x:c r="D29" s="40"/>
      <x:c r="E29" s="40"/>
      <x:c r="F29" s="40"/>
      <x:c r="G29" s="40"/>
      <x:c r="H29" s="40"/>
      <x:c r="I29" s="40"/>
      <x:c r="J29" s="40"/>
    </x:row>
    <x:row r="30" ht="40" customHeight="1">
      <x:c r="B30" s="34" t="str">
        <x:v>Form</x:v>
      </x:c>
      <x:c r="C30" s="40" t="str">
        <x:v>Production, internal form and rendering remain blocked by the parent F36 chain.</x:v>
      </x:c>
      <x:c r="D30" s="40"/>
      <x:c r="E30" s="40"/>
      <x:c r="F30" s="40"/>
      <x:c r="G30" s="40"/>
      <x:c r="H30" s="40"/>
      <x:c r="I30" s="40"/>
      <x:c r="J30" s="40"/>
    </x:row>
  </x:sheetData>
  <x:mergeCells>
    <x:mergeCell ref="B2:J2"/>
    <x:mergeCell ref="B3:J3"/>
    <x:mergeCell ref="B6:J6"/>
    <x:mergeCell ref="F6:J6"/>
    <x:mergeCell ref="B22:J22"/>
    <x:mergeCell ref="C23:J23"/>
    <x:mergeCell ref="C24:J24"/>
    <x:mergeCell ref="C25:J25"/>
    <x:mergeCell ref="C26:J26"/>
    <x:mergeCell ref="C27:J27"/>
    <x:mergeCell ref="C28:J28"/>
    <x:mergeCell ref="C29:J29"/>
    <x:mergeCell ref="C30:J30"/>
  </x:mergeCells>
  <x:conditionalFormatting sqref="D18:D18">
    <x:cfRule type="containsText" dxfId="117" priority="1" operator="containsText" text="PASS"/>
    <x:cfRule type="containsText" dxfId="118" priority="2" operator="containsText" text="AUTHORIZED"/>
    <x:cfRule type="containsText" dxfId="119" priority="3" operator="containsText" text="PRESERVE"/>
    <x:cfRule type="containsText" dxfId="120" priority="4" operator="containsText" text="HOLD"/>
    <x:cfRule type="containsText" dxfId="121" priority="5" operator="containsText" text="OPEN"/>
    <x:cfRule type="containsText" dxfId="122" priority="6" operator="containsText" text="BLOCKED"/>
    <x:cfRule type="containsText" dxfId="123" priority="7" operator="containsText" text="FAIL"/>
    <x:cfRule type="containsText" dxfId="124" priority="8" operator="containsText" text="REDESIGN"/>
    <x:cfRule type="containsText" dxfId="125" priority="9" operator="containsText" text="INDETERMINATE"/>
  </x:conditionalFormatting>
  <x:conditionalFormatting sqref="H7:H13">
    <x:cfRule type="containsText" dxfId="126" priority="10" operator="containsText" text="PASS"/>
    <x:cfRule type="containsText" dxfId="127" priority="11" operator="containsText" text="AUTHORIZED"/>
    <x:cfRule type="containsText" dxfId="128" priority="12" operator="containsText" text="PRESERVE"/>
    <x:cfRule type="containsText" dxfId="129" priority="13" operator="containsText" text="HOLD"/>
    <x:cfRule type="containsText" dxfId="130" priority="14" operator="containsText" text="OPEN"/>
    <x:cfRule type="containsText" dxfId="131" priority="15" operator="containsText" text="BLOCKED"/>
    <x:cfRule type="containsText" dxfId="132" priority="16" operator="containsText" text="FAIL"/>
    <x:cfRule type="containsText" dxfId="133" priority="17" operator="containsText" text="REDESIGN"/>
    <x:cfRule type="containsText" dxfId="134" priority="18" operator="containsText" text="INDETERMINATE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1" hidden="0" customWidth="1"/>
    <x:col min="3" max="3" width="44" hidden="0" customWidth="1"/>
    <x:col min="4" max="4" width="24" hidden="0" customWidth="1"/>
    <x:col min="5" max="5" width="20" hidden="0" customWidth="1"/>
    <x:col min="6" max="6" width="20" hidden="0" customWidth="1"/>
    <x:col min="7" max="7" width="31" hidden="0" customWidth="1"/>
  </x:cols>
  <x:sheetData>
    <x:row r="2">
      <x:c r="B2" s="1" t="str">
        <x:v>Observed-throughput method controls</x:v>
      </x:c>
      <x:c r="C2" s="36"/>
      <x:c r="D2" s="36"/>
      <x:c r="E2" s="36"/>
      <x:c r="F2" s="36"/>
      <x:c r="G2" s="36"/>
    </x:row>
    <x:row r="3">
      <x:c r="B3" s="2" t="str">
        <x:v>Blue values are frozen assumptions or synthetic conformance inputs. Live observation authority remains zero.</x:v>
      </x:c>
      <x:c r="C3" s="36"/>
      <x:c r="D3" s="36"/>
      <x:c r="E3" s="36"/>
      <x:c r="F3" s="36"/>
      <x:c r="G3" s="36"/>
    </x:row>
    <x:row r="4">
      <x:c r="B4" s="37"/>
      <x:c r="C4" s="37"/>
      <x:c r="D4" s="37"/>
      <x:c r="E4" s="37"/>
      <x:c r="F4" s="37"/>
      <x:c r="G4" s="37"/>
    </x:row>
    <x:row r="5">
      <x:c r="B5" s="36"/>
      <x:c r="C5" s="36"/>
      <x:c r="D5" s="36"/>
      <x:c r="E5" s="36"/>
      <x:c r="F5" s="36"/>
      <x:c r="G5" s="36"/>
    </x:row>
    <x:row r="6">
      <x:c r="B6" s="7" t="str">
        <x:v>ID</x:v>
      </x:c>
      <x:c r="C6" s="7" t="str">
        <x:v>Control</x:v>
      </x:c>
      <x:c r="D6" s="7" t="str">
        <x:v>Value</x:v>
      </x:c>
      <x:c r="E6" s="7" t="str">
        <x:v>Unit</x:v>
      </x:c>
      <x:c r="F6" s="7" t="str">
        <x:v>State</x:v>
      </x:c>
      <x:c r="G6" s="7" t="str">
        <x:v>Authority</x:v>
      </x:c>
    </x:row>
    <x:row r="7">
      <x:c r="B7" s="9" t="str">
        <x:v>M01</x:v>
      </x:c>
      <x:c r="C7" s="9" t="str">
        <x:v>Observation mode</x:v>
      </x:c>
      <x:c r="D7" s="11" t="str">
        <x:v>SYNTHETIC_CONFORMANCE</x:v>
      </x:c>
      <x:c r="E7" s="9" t="str">
        <x:v>state</x:v>
      </x:c>
      <x:c r="F7" s="9" t="str">
        <x:v>FROZEN</x:v>
      </x:c>
      <x:c r="G7" s="9" t="str">
        <x:v>Pass 106</x:v>
      </x:c>
    </x:row>
    <x:row r="8">
      <x:c r="B8" s="9" t="str">
        <x:v>M02</x:v>
      </x:c>
      <x:c r="C8" s="9" t="str">
        <x:v>Live observation authority</x:v>
      </x:c>
      <x:c r="D8" s="11" t="n">
        <x:v>0</x:v>
      </x:c>
      <x:c r="E8" s="9" t="str">
        <x:v>binary</x:v>
      </x:c>
      <x:c r="F8" s="9" t="str">
        <x:v>OPEN</x:v>
      </x:c>
      <x:c r="G8" s="9" t="str">
        <x:v>not granted</x:v>
      </x:c>
    </x:row>
    <x:row r="9">
      <x:c r="B9" s="9" t="str">
        <x:v>M03</x:v>
      </x:c>
      <x:c r="C9" s="9" t="str">
        <x:v>First-wave terminal day</x:v>
      </x:c>
      <x:c r="D9" s="11" t="n">
        <x:v>90</x:v>
      </x:c>
      <x:c r="E9" s="9" t="str">
        <x:v>day</x:v>
      </x:c>
      <x:c r="F9" s="9" t="str">
        <x:v>FROZEN</x:v>
      </x:c>
      <x:c r="G9" s="9" t="str">
        <x:v>Pass 105</x:v>
      </x:c>
    </x:row>
    <x:row r="10">
      <x:c r="B10" s="9" t="str">
        <x:v>M04</x:v>
      </x:c>
      <x:c r="C10" s="9" t="str">
        <x:v>Remaining closure credits</x:v>
      </x:c>
      <x:c r="D10" s="11" t="n">
        <x:v>54</x:v>
      </x:c>
      <x:c r="E10" s="9" t="str">
        <x:v>credits</x:v>
      </x:c>
      <x:c r="F10" s="9" t="str">
        <x:v>FROZEN</x:v>
      </x:c>
      <x:c r="G10" s="9" t="str">
        <x:v>Pass 102 less Pass 105</x:v>
      </x:c>
    </x:row>
    <x:row r="11">
      <x:c r="B11" s="9" t="str">
        <x:v>M05</x:v>
      </x:c>
      <x:c r="C11" s="9" t="str">
        <x:v>Remaining damage credits</x:v>
      </x:c>
      <x:c r="D11" s="11" t="n">
        <x:v>20</x:v>
      </x:c>
      <x:c r="E11" s="9" t="str">
        <x:v>credits</x:v>
      </x:c>
      <x:c r="F11" s="9" t="str">
        <x:v>FROZEN</x:v>
      </x:c>
      <x:c r="G11" s="9" t="str">
        <x:v>Pass 102 less Pass 105</x:v>
      </x:c>
    </x:row>
    <x:row r="12">
      <x:c r="B12" s="9" t="str">
        <x:v>M06</x:v>
      </x:c>
      <x:c r="C12" s="9" t="str">
        <x:v>Closure invalidity prior mean</x:v>
      </x:c>
      <x:c r="D12" s="13" t="n">
        <x:v>0.15</x:v>
      </x:c>
      <x:c r="E12" s="9" t="str">
        <x:v>share</x:v>
      </x:c>
      <x:c r="F12" s="9" t="str">
        <x:v>PREREGISTERED</x:v>
      </x:c>
      <x:c r="G12" s="9" t="str">
        <x:v>Pass 104</x:v>
      </x:c>
    </x:row>
    <x:row r="13">
      <x:c r="B13" s="9" t="str">
        <x:v>M07</x:v>
      </x:c>
      <x:c r="C13" s="9" t="str">
        <x:v>Damage invalidity prior mean</x:v>
      </x:c>
      <x:c r="D13" s="13" t="n">
        <x:v>0.2</x:v>
      </x:c>
      <x:c r="E13" s="9" t="str">
        <x:v>share</x:v>
      </x:c>
      <x:c r="F13" s="9" t="str">
        <x:v>PREREGISTERED</x:v>
      </x:c>
      <x:c r="G13" s="9" t="str">
        <x:v>Pass 104</x:v>
      </x:c>
    </x:row>
    <x:row r="14">
      <x:c r="B14" s="9" t="str">
        <x:v>M08</x:v>
      </x:c>
      <x:c r="C14" s="9" t="str">
        <x:v>Invalidity prior effective attempts</x:v>
      </x:c>
      <x:c r="D14" s="11" t="n">
        <x:v>20</x:v>
      </x:c>
      <x:c r="E14" s="9" t="str">
        <x:v>attempts</x:v>
      </x:c>
      <x:c r="F14" s="9" t="str">
        <x:v>PREREGISTERED</x:v>
      </x:c>
      <x:c r="G14" s="9" t="str">
        <x:v>Pass 106</x:v>
      </x:c>
    </x:row>
    <x:row r="15">
      <x:c r="B15" s="9" t="str">
        <x:v>M09</x:v>
      </x:c>
      <x:c r="C15" s="9" t="str">
        <x:v>Predictive reservation percentile</x:v>
      </x:c>
      <x:c r="D15" s="13" t="n">
        <x:v>0.9</x:v>
      </x:c>
      <x:c r="E15" s="9" t="str">
        <x:v>share</x:v>
      </x:c>
      <x:c r="F15" s="9" t="str">
        <x:v>PREREGISTERED</x:v>
      </x:c>
      <x:c r="G15" s="9" t="str">
        <x:v>Pass 106</x:v>
      </x:c>
    </x:row>
    <x:row r="16">
      <x:c r="B16" s="9" t="str">
        <x:v>M10</x:v>
      </x:c>
      <x:c r="C16" s="9" t="str">
        <x:v>Closure registered cycle</x:v>
      </x:c>
      <x:c r="D16" s="13" t="n">
        <x:v>8</x:v>
      </x:c>
      <x:c r="E16" s="9" t="str">
        <x:v>days</x:v>
      </x:c>
      <x:c r="F16" s="9" t="str">
        <x:v>FROZEN</x:v>
      </x:c>
      <x:c r="G16" s="9" t="str">
        <x:v>Pass 104</x:v>
      </x:c>
    </x:row>
    <x:row r="17">
      <x:c r="B17" s="9" t="str">
        <x:v>M11</x:v>
      </x:c>
      <x:c r="C17" s="9" t="str">
        <x:v>Damage registered cycle</x:v>
      </x:c>
      <x:c r="D17" s="11" t="n">
        <x:v>14</x:v>
      </x:c>
      <x:c r="E17" s="9" t="str">
        <x:v>days</x:v>
      </x:c>
      <x:c r="F17" s="9" t="str">
        <x:v>FROZEN</x:v>
      </x:c>
      <x:c r="G17" s="9" t="str">
        <x:v>Pass 104</x:v>
      </x:c>
    </x:row>
    <x:row r="18">
      <x:c r="B18" s="9" t="str">
        <x:v>M12</x:v>
      </x:c>
      <x:c r="C18" s="9" t="str">
        <x:v>Closure prior availability</x:v>
      </x:c>
      <x:c r="D18" s="11" t="n">
        <x:v>0.68</x:v>
      </x:c>
      <x:c r="E18" s="9" t="str">
        <x:v>share</x:v>
      </x:c>
      <x:c r="F18" s="9" t="str">
        <x:v>FROZEN</x:v>
      </x:c>
      <x:c r="G18" s="9" t="str">
        <x:v>Pass 104</x:v>
      </x:c>
    </x:row>
    <x:row r="19">
      <x:c r="B19" s="9" t="str">
        <x:v>M13</x:v>
      </x:c>
      <x:c r="C19" s="9" t="str">
        <x:v>Damage prior availability</x:v>
      </x:c>
      <x:c r="D19" s="11" t="n">
        <x:v>0.65</x:v>
      </x:c>
      <x:c r="E19" s="9" t="str">
        <x:v>share</x:v>
      </x:c>
      <x:c r="F19" s="9" t="str">
        <x:v>FROZEN</x:v>
      </x:c>
      <x:c r="G19" s="9" t="str">
        <x:v>Pass 104</x:v>
      </x:c>
    </x:row>
    <x:row r="20">
      <x:c r="B20" s="9" t="str">
        <x:v>M14</x:v>
      </x:c>
      <x:c r="C20" s="9" t="str">
        <x:v>Availability prior effective asset-days</x:v>
      </x:c>
      <x:c r="D20" s="11" t="n">
        <x:v>60</x:v>
      </x:c>
      <x:c r="E20" s="9" t="str">
        <x:v>asset-days</x:v>
      </x:c>
      <x:c r="F20" s="9" t="str">
        <x:v>PREREGISTERED</x:v>
      </x:c>
      <x:c r="G20" s="9" t="str">
        <x:v>Pass 106</x:v>
      </x:c>
    </x:row>
    <x:row r="21">
      <x:c r="B21" s="9" t="str">
        <x:v>M15</x:v>
      </x:c>
      <x:c r="C21" s="9" t="str">
        <x:v>Closure residual horizon</x:v>
      </x:c>
      <x:c r="D21" s="11" t="n">
        <x:v>11</x:v>
      </x:c>
      <x:c r="E21" s="9" t="str">
        <x:v>months</x:v>
      </x:c>
      <x:c r="F21" s="9" t="str">
        <x:v>FROZEN</x:v>
      </x:c>
      <x:c r="G21" s="9" t="str">
        <x:v>Pass 104 campaign window</x:v>
      </x:c>
    </x:row>
    <x:row r="22">
      <x:c r="B22" s="9" t="str">
        <x:v>M16</x:v>
      </x:c>
      <x:c r="C22" s="9" t="str">
        <x:v>Damage residual horizon</x:v>
      </x:c>
      <x:c r="D22" s="11" t="n">
        <x:v>9</x:v>
      </x:c>
      <x:c r="E22" s="9" t="str">
        <x:v>months</x:v>
      </x:c>
      <x:c r="F22" s="9" t="str">
        <x:v>FROZEN</x:v>
      </x:c>
      <x:c r="G22" s="9" t="str">
        <x:v>Pass 104 campaign window</x:v>
      </x:c>
    </x:row>
    <x:row r="23">
      <x:c r="B23" s="9" t="str">
        <x:v>M17</x:v>
      </x:c>
      <x:c r="C23" s="9" t="str">
        <x:v>Calendar days per year</x:v>
      </x:c>
      <x:c r="D23" s="11" t="n">
        <x:v>365</x:v>
      </x:c>
      <x:c r="E23" s="9" t="str">
        <x:v>days</x:v>
      </x:c>
      <x:c r="F23" s="9" t="str">
        <x:v>FROZEN</x:v>
      </x:c>
      <x:c r="G23" s="9" t="str">
        <x:v>time basis</x:v>
      </x:c>
    </x:row>
    <x:row r="24">
      <x:c r="B24" s="9" t="str">
        <x:v>M18</x:v>
      </x:c>
      <x:c r="C24" s="9" t="str">
        <x:v>Months per year</x:v>
      </x:c>
      <x:c r="D24" s="11" t="n">
        <x:v>12</x:v>
      </x:c>
      <x:c r="E24" s="9" t="str">
        <x:v>months</x:v>
      </x:c>
      <x:c r="F24" s="9" t="str">
        <x:v>FROZEN</x:v>
      </x:c>
      <x:c r="G24" s="9" t="str">
        <x:v>time basis</x:v>
      </x:c>
    </x:row>
    <x:row r="25">
      <x:c r="B25" s="9" t="str">
        <x:v>M19</x:v>
      </x:c>
      <x:c r="C25" s="9" t="str">
        <x:v>Residual closure bays</x:v>
      </x:c>
      <x:c r="D25" s="11" t="n">
        <x:v>4</x:v>
      </x:c>
      <x:c r="E25" s="9" t="str">
        <x:v>bays</x:v>
      </x:c>
      <x:c r="F25" s="9" t="str">
        <x:v>FROZEN</x:v>
      </x:c>
      <x:c r="G25" s="9" t="str">
        <x:v>NRC-A and NRC-C</x:v>
      </x:c>
    </x:row>
    <x:row r="26">
      <x:c r="B26" s="9" t="str">
        <x:v>M20</x:v>
      </x:c>
      <x:c r="C26" s="9" t="str">
        <x:v>Residual damage cells</x:v>
      </x:c>
      <x:c r="D26" s="11" t="n">
        <x:v>4</x:v>
      </x:c>
      <x:c r="E26" s="9" t="str">
        <x:v>cells</x:v>
      </x:c>
      <x:c r="F26" s="9" t="str">
        <x:v>FROZEN</x:v>
      </x:c>
      <x:c r="G26" s="9" t="str">
        <x:v>NRC-A and NRC-C</x:v>
      </x:c>
    </x:row>
    <x:row r="27">
      <x:c r="B27" s="9" t="str">
        <x:v>M21</x:v>
      </x:c>
      <x:c r="C27" s="9" t="str">
        <x:v>Closure WIP ceiling</x:v>
      </x:c>
      <x:c r="D27" s="11" t="n">
        <x:v>4</x:v>
      </x:c>
      <x:c r="E27" s="9" t="str">
        <x:v>events</x:v>
      </x:c>
      <x:c r="F27" s="9" t="str">
        <x:v>FROZEN</x:v>
      </x:c>
      <x:c r="G27" s="9" t="str">
        <x:v>Pass 105</x:v>
      </x:c>
    </x:row>
    <x:row r="28">
      <x:c r="B28" s="9" t="str">
        <x:v>M22</x:v>
      </x:c>
      <x:c r="C28" s="9" t="str">
        <x:v>Damage WIP ceiling</x:v>
      </x:c>
      <x:c r="D28" s="11" t="n">
        <x:v>3</x:v>
      </x:c>
      <x:c r="E28" s="9" t="str">
        <x:v>events</x:v>
      </x:c>
      <x:c r="F28" s="9" t="str">
        <x:v>FROZEN</x:v>
      </x:c>
      <x:c r="G28" s="9" t="str">
        <x:v>Pass 105</x:v>
      </x:c>
    </x:row>
    <x:row r="29">
      <x:c r="B29" s="9" t="str">
        <x:v>M23</x:v>
      </x:c>
      <x:c r="C29" s="9" t="str">
        <x:v>Residual utilization ceiling</x:v>
      </x:c>
      <x:c r="D29" s="13" t="n">
        <x:v>0.7</x:v>
      </x:c>
      <x:c r="E29" s="9" t="str">
        <x:v>share</x:v>
      </x:c>
      <x:c r="F29" s="9" t="str">
        <x:v>FROZEN</x:v>
      </x:c>
      <x:c r="G29" s="9" t="str">
        <x:v>Pass 104</x:v>
      </x:c>
    </x:row>
    <x:row r="30">
      <x:c r="B30" s="9" t="str">
        <x:v>M24</x:v>
      </x:c>
      <x:c r="C30" s="9" t="str">
        <x:v>One-sided ninety-percent z</x:v>
      </x:c>
      <x:c r="D30" s="11" t="n">
        <x:v>1.2815515655</x:v>
      </x:c>
      <x:c r="E30" s="9" t="str">
        <x:v>z</x:v>
      </x:c>
      <x:c r="F30" s="9" t="str">
        <x:v>PREREGISTERED</x:v>
      </x:c>
      <x:c r="G30" s="9" t="str">
        <x:v>Pass 106</x:v>
      </x:c>
    </x:row>
    <x:row r="31">
      <x:c r="B31" s="9" t="str">
        <x:v>M25</x:v>
      </x:c>
      <x:c r="C31" s="9" t="str">
        <x:v>Minimum closure completed cycles</x:v>
      </x:c>
      <x:c r="D31" s="11" t="n">
        <x:v>12</x:v>
      </x:c>
      <x:c r="E31" s="9" t="str">
        <x:v>events</x:v>
      </x:c>
      <x:c r="F31" s="9" t="str">
        <x:v>PREREGISTERED</x:v>
      </x:c>
      <x:c r="G31" s="9" t="str">
        <x:v>Pass 106</x:v>
      </x:c>
    </x:row>
    <x:row r="32">
      <x:c r="B32" s="9" t="str">
        <x:v>M26</x:v>
      </x:c>
      <x:c r="C32" s="9" t="str">
        <x:v>Minimum damage completed cycles</x:v>
      </x:c>
      <x:c r="D32" s="11" t="n">
        <x:v>6</x:v>
      </x:c>
      <x:c r="E32" s="9" t="str">
        <x:v>events</x:v>
      </x:c>
      <x:c r="F32" s="9" t="str">
        <x:v>PREREGISTERED</x:v>
      </x:c>
      <x:c r="G32" s="9" t="str">
        <x:v>Pass 106</x:v>
      </x:c>
    </x:row>
    <x:row r="33">
      <x:c r="B33" s="9" t="str">
        <x:v>M27</x:v>
      </x:c>
      <x:c r="C33" s="9" t="str">
        <x:v>Forced-denial intrinsic contribution</x:v>
      </x:c>
      <x:c r="D33" s="11" t="n">
        <x:v>0</x:v>
      </x:c>
      <x:c r="E33" s="9" t="str">
        <x:v>events</x:v>
      </x:c>
      <x:c r="F33" s="9" t="str">
        <x:v>FROZEN</x:v>
      </x:c>
      <x:c r="G33" s="9" t="str">
        <x:v>estimand boundary</x:v>
      </x:c>
    </x:row>
    <x:row r="34">
      <x:c r="B34" s="9" t="str">
        <x:v>M28</x:v>
      </x:c>
      <x:c r="C34" s="9" t="str">
        <x:v>Observation schema complete</x:v>
      </x:c>
      <x:c r="D34" s="11" t="n">
        <x:v>1</x:v>
      </x:c>
      <x:c r="E34" s="9" t="str">
        <x:v>binary</x:v>
      </x:c>
      <x:c r="F34" s="9" t="str">
        <x:v>PLANNING</x:v>
      </x:c>
      <x:c r="G34" s="9" t="str">
        <x:v>this package</x:v>
      </x:c>
    </x:row>
    <x:row r="35">
      <x:c r="B35" s="9" t="str">
        <x:v>M29</x:v>
      </x:c>
      <x:c r="C35" s="9" t="str">
        <x:v>Immutable registry complete</x:v>
      </x:c>
      <x:c r="D35" s="11" t="n">
        <x:v>1</x:v>
      </x:c>
      <x:c r="E35" s="9" t="str">
        <x:v>binary</x:v>
      </x:c>
      <x:c r="F35" s="9" t="str">
        <x:v>PLANNING</x:v>
      </x:c>
      <x:c r="G35" s="9" t="str">
        <x:v>this package</x:v>
      </x:c>
    </x:row>
    <x:row r="36">
      <x:c r="B36" s="9" t="str">
        <x:v>M30</x:v>
      </x:c>
      <x:c r="C36" s="9" t="str">
        <x:v>Cause rules complete</x:v>
      </x:c>
      <x:c r="D36" s="11" t="n">
        <x:v>1</x:v>
      </x:c>
      <x:c r="E36" s="9" t="str">
        <x:v>binary</x:v>
      </x:c>
      <x:c r="F36" s="9" t="str">
        <x:v>PLANNING</x:v>
      </x:c>
      <x:c r="G36" s="9" t="str">
        <x:v>this package</x:v>
      </x:c>
    </x:row>
    <x:row r="37">
      <x:c r="B37" s="9" t="str">
        <x:v>M31</x:v>
      </x:c>
      <x:c r="C37" s="9" t="str">
        <x:v>Censor rules complete</x:v>
      </x:c>
      <x:c r="D37" s="11" t="n">
        <x:v>1</x:v>
      </x:c>
      <x:c r="E37" s="9" t="str">
        <x:v>binary</x:v>
      </x:c>
      <x:c r="F37" s="9" t="str">
        <x:v>PLANNING</x:v>
      </x:c>
      <x:c r="G37" s="9" t="str">
        <x:v>this package</x:v>
      </x:c>
    </x:row>
    <x:row r="38">
      <x:c r="B38" s="9" t="str">
        <x:v>M32</x:v>
      </x:c>
      <x:c r="C38" s="9" t="str">
        <x:v>Original-evidence rules complete</x:v>
      </x:c>
      <x:c r="D38" s="11" t="n">
        <x:v>1</x:v>
      </x:c>
      <x:c r="E38" s="9" t="str">
        <x:v>binary</x:v>
      </x:c>
      <x:c r="F38" s="9" t="str">
        <x:v>PLANNING</x:v>
      </x:c>
      <x:c r="G38" s="9" t="str">
        <x:v>this package</x:v>
      </x:c>
    </x:row>
    <x:row r="39">
      <x:c r="B39" s="9" t="str">
        <x:v>M33</x:v>
      </x:c>
      <x:c r="C39" s="9" t="str">
        <x:v>Estimator preregistration complete</x:v>
      </x:c>
      <x:c r="D39" s="11" t="n">
        <x:v>1</x:v>
      </x:c>
      <x:c r="E39" s="9" t="str">
        <x:v>binary</x:v>
      </x:c>
      <x:c r="F39" s="9" t="str">
        <x:v>PLANNING</x:v>
      </x:c>
      <x:c r="G39" s="9" t="str">
        <x:v>this package</x:v>
      </x:c>
    </x:row>
    <x:row r="40">
      <x:c r="B40" s="9" t="str">
        <x:v>M34</x:v>
      </x:c>
      <x:c r="C40" s="9" t="str">
        <x:v>Estimator implementation verified</x:v>
      </x:c>
      <x:c r="D40" s="11" t="n">
        <x:v>1</x:v>
      </x:c>
      <x:c r="E40" s="9" t="str">
        <x:v>binary</x:v>
      </x:c>
      <x:c r="F40" s="9" t="str">
        <x:v>PLANNING</x:v>
      </x:c>
      <x:c r="G40" s="9" t="str">
        <x:v>conformance suite</x:v>
      </x:c>
    </x:row>
    <x:row r="41">
      <x:c r="B41" s="9" t="str">
        <x:v>M35</x:v>
      </x:c>
      <x:c r="C41" s="9" t="str">
        <x:v>Common-cause method complete</x:v>
      </x:c>
      <x:c r="D41" s="11" t="n">
        <x:v>1</x:v>
      </x:c>
      <x:c r="E41" s="9" t="str">
        <x:v>binary</x:v>
      </x:c>
      <x:c r="F41" s="9" t="str">
        <x:v>PLANNING</x:v>
      </x:c>
      <x:c r="G41" s="9" t="str">
        <x:v>this package</x:v>
      </x:c>
    </x:row>
    <x:row r="42">
      <x:c r="B42" s="9" t="str">
        <x:v>M36</x:v>
      </x:c>
      <x:c r="C42" s="9" t="str">
        <x:v>Live event and service records constituted</x:v>
      </x:c>
      <x:c r="D42" s="11" t="n">
        <x:v>0</x:v>
      </x:c>
      <x:c r="E42" s="9" t="str">
        <x:v>binary</x:v>
      </x:c>
      <x:c r="F42" s="9" t="str">
        <x:v>OPEN</x:v>
      </x:c>
      <x:c r="G42" s="9" t="str">
        <x:v>no live observations</x:v>
      </x:c>
    </x:row>
    <x:row r="43">
      <x:c r="B43" s="9" t="str">
        <x:v>M37</x:v>
      </x:c>
      <x:c r="C43" s="9" t="str">
        <x:v>Independent live cause board complete</x:v>
      </x:c>
      <x:c r="D43" s="11" t="n">
        <x:v>0</x:v>
      </x:c>
      <x:c r="E43" s="9" t="str">
        <x:v>binary</x:v>
      </x:c>
      <x:c r="F43" s="9" t="str">
        <x:v>OPEN</x:v>
      </x:c>
      <x:c r="G43" s="9" t="str">
        <x:v>no live observations</x:v>
      </x:c>
    </x:row>
    <x:row r="44">
      <x:c r="B44" s="9" t="str">
        <x:v>M38</x:v>
      </x:c>
      <x:c r="C44" s="9" t="str">
        <x:v>Named residual rosters constituted</x:v>
      </x:c>
      <x:c r="D44" s="11" t="n">
        <x:v>0</x:v>
      </x:c>
      <x:c r="E44" s="9" t="str">
        <x:v>binary</x:v>
      </x:c>
      <x:c r="F44" s="9" t="str">
        <x:v>OPEN</x:v>
      </x:c>
      <x:c r="G44" s="9" t="str">
        <x:v>physical predecessor</x:v>
      </x:c>
    </x:row>
    <x:row r="45">
      <x:c r="B45" s="9" t="str">
        <x:v>M39</x:v>
      </x:c>
      <x:c r="C45" s="9" t="str">
        <x:v>Residual campaign approval</x:v>
      </x:c>
      <x:c r="D45" s="11" t="n">
        <x:v>0</x:v>
      </x:c>
      <x:c r="E45" s="9" t="str">
        <x:v>binary</x:v>
      </x:c>
      <x:c r="F45" s="9" t="str">
        <x:v>OPEN</x:v>
      </x:c>
      <x:c r="G45" s="9" t="str">
        <x:v>not granted</x:v>
      </x:c>
    </x:row>
    <x:row r="46">
      <x:c r="B46" s="9" t="str">
        <x:v>M40</x:v>
      </x:c>
      <x:c r="C46" s="9" t="str">
        <x:v>Observed root admission</x:v>
      </x:c>
      <x:c r="D46" s="11" t="n">
        <x:v>0</x:v>
      </x:c>
      <x:c r="E46" s="9" t="str">
        <x:v>binary</x:v>
      </x:c>
      <x:c r="F46" s="9" t="str">
        <x:v>OPEN</x:v>
      </x:c>
      <x:c r="G46" s="9" t="str">
        <x:v>none</x:v>
      </x:c>
    </x:row>
    <x:row r="47">
      <x:c r="B47" s="9" t="str">
        <x:v>M41</x:v>
      </x:c>
      <x:c r="C47" s="9" t="str">
        <x:v>Production and form authority</x:v>
      </x:c>
      <x:c r="D47" s="11" t="n">
        <x:v>0</x:v>
      </x:c>
      <x:c r="E47" s="9" t="str">
        <x:v>binary</x:v>
      </x:c>
      <x:c r="F47" s="9" t="str">
        <x:v>BLOCKED</x:v>
      </x:c>
      <x:c r="G47" s="9" t="str">
        <x:v>parent F36 chain</x:v>
      </x:c>
    </x:row>
    <x:row r="48">
      <x:c r="B48" s="9" t="str">
        <x:v>M42</x:v>
      </x:c>
      <x:c r="C48" s="9" t="str">
        <x:v>Exterior rendering authority</x:v>
      </x:c>
      <x:c r="D48" s="11" t="n">
        <x:v>0</x:v>
      </x:c>
      <x:c r="E48" s="9" t="str">
        <x:v>binary</x:v>
      </x:c>
      <x:c r="F48" s="9" t="str">
        <x:v>BLOCKED</x:v>
      </x:c>
      <x:c r="G48" s="9" t="str">
        <x:v>parent F36 chain</x:v>
      </x:c>
    </x:row>
    <x:row r="49">
      <x:c r="B49" s="9" t="str">
        <x:v>M43</x:v>
      </x:c>
      <x:c r="C49" s="9" t="str">
        <x:v>Annual range support</x:v>
      </x:c>
      <x:c r="D49" s="14" t="n">
        <x:v>0.398</x:v>
      </x:c>
      <x:c r="E49" s="9" t="str">
        <x:v>USD B/year</x:v>
      </x:c>
      <x:c r="F49" s="9" t="str">
        <x:v>FROZEN</x:v>
      </x:c>
      <x:c r="G49" s="9" t="str">
        <x:v>Pass 104</x:v>
      </x:c>
    </x:row>
    <x:row r="50">
      <x:c r="B50" s="9" t="str">
        <x:v>M44</x:v>
      </x:c>
      <x:c r="C50" s="9" t="str">
        <x:v>Remaining operating horizon</x:v>
      </x:c>
      <x:c r="D50" s="14" t="n">
        <x:v>27</x:v>
      </x:c>
      <x:c r="E50" s="9" t="str">
        <x:v>months</x:v>
      </x:c>
      <x:c r="F50" s="9" t="str">
        <x:v>FROZEN</x:v>
      </x:c>
      <x:c r="G50" s="9" t="str">
        <x:v>thirty months less first wave</x:v>
      </x:c>
    </x:row>
    <x:row r="51">
      <x:c r="B51" s="9" t="str">
        <x:v>M45</x:v>
      </x:c>
      <x:c r="C51" s="9" t="str">
        <x:v>One complete-chain damage increment capital</x:v>
      </x:c>
      <x:c r="D51" s="14" t="n">
        <x:v>0.48</x:v>
      </x:c>
      <x:c r="E51" s="9" t="str">
        <x:v>USD B</x:v>
      </x:c>
      <x:c r="F51" s="9" t="str">
        <x:v>DESIGN</x:v>
      </x:c>
      <x:c r="G51" s="9" t="str">
        <x:v>Pass 106 branch</x:v>
      </x:c>
    </x:row>
    <x:row r="52">
      <x:c r="B52" s="9" t="str">
        <x:v>M46</x:v>
      </x:c>
      <x:c r="C52" s="9" t="str">
        <x:v>One damage increment annual support</x:v>
      </x:c>
      <x:c r="D52" s="14" t="n">
        <x:v>0.042</x:v>
      </x:c>
      <x:c r="E52" s="9" t="str">
        <x:v>USD B/year</x:v>
      </x:c>
      <x:c r="F52" s="9" t="str">
        <x:v>DESIGN</x:v>
      </x:c>
      <x:c r="G52" s="9" t="str">
        <x:v>Pass 106 branch</x:v>
      </x:c>
    </x:row>
    <x:row r="53">
      <x:c r="B53" s="9" t="str">
        <x:v>M47</x:v>
      </x:c>
      <x:c r="C53" s="9" t="str">
        <x:v>Campus-local capital estate</x:v>
      </x:c>
      <x:c r="D53" s="14" t="n">
        <x:v>4.02</x:v>
      </x:c>
      <x:c r="E53" s="9" t="str">
        <x:v>USD B</x:v>
      </x:c>
      <x:c r="F53" s="9" t="str">
        <x:v>FROZEN</x:v>
      </x:c>
      <x:c r="G53" s="9" t="str">
        <x:v>Pass 104 local asset lines</x:v>
      </x:c>
    </x:row>
    <x:row r="54">
      <x:c r="B54" s="9" t="str">
        <x:v>M48</x:v>
      </x:c>
      <x:c r="C54" s="9" t="str">
        <x:v>Reset and modular reserve</x:v>
      </x:c>
      <x:c r="D54" s="14" t="n">
        <x:v>0.25</x:v>
      </x:c>
      <x:c r="E54" s="9" t="str">
        <x:v>USD B</x:v>
      </x:c>
      <x:c r="F54" s="9" t="str">
        <x:v>FROZEN</x:v>
      </x:c>
      <x:c r="G54" s="9" t="str">
        <x:v>Pass 104</x:v>
      </x:c>
    </x:row>
    <x:row r="55">
      <x:c r="B55" s="9" t="str">
        <x:v>M49</x:v>
      </x:c>
      <x:c r="C55" s="9" t="str">
        <x:v>Controlled program reserve</x:v>
      </x:c>
      <x:c r="D55" s="14" t="n">
        <x:v>0.21</x:v>
      </x:c>
      <x:c r="E55" s="9" t="str">
        <x:v>USD B</x:v>
      </x:c>
      <x:c r="F55" s="9" t="str">
        <x:v>FROZEN</x:v>
      </x:c>
      <x:c r="G55" s="9" t="str">
        <x:v>Pass 104</x:v>
      </x:c>
    </x:row>
    <x:row r="56">
      <x:c r="B56" s="9" t="str">
        <x:v>M50</x:v>
      </x:c>
      <x:c r="C56" s="9" t="str">
        <x:v>New capital authority</x:v>
      </x:c>
      <x:c r="D56" s="11" t="n">
        <x:v>0</x:v>
      </x:c>
      <x:c r="E56" s="9" t="str">
        <x:v>binary</x:v>
      </x:c>
      <x:c r="F56" s="9" t="str">
        <x:v>OPEN</x:v>
      </x:c>
      <x:c r="G56" s="9" t="str">
        <x:v>not granted</x:v>
      </x:c>
    </x:row>
    <x:row r="57">
      <x:c r="B57" s="9" t="str">
        <x:v>M51</x:v>
      </x:c>
      <x:c r="C57" s="9" t="str">
        <x:v>NRC-B physically requalified</x:v>
      </x:c>
      <x:c r="D57" s="11" t="n">
        <x:v>0</x:v>
      </x:c>
      <x:c r="E57" s="9" t="str">
        <x:v>binary</x:v>
      </x:c>
      <x:c r="F57" s="9" t="str">
        <x:v>OPEN</x:v>
      </x:c>
      <x:c r="G57" s="9" t="str">
        <x:v>denial is not reconstruction</x:v>
      </x:c>
    </x:row>
    <x:row r="58">
      <x:c r="B58" s="9" t="str">
        <x:v>M52</x:v>
      </x:c>
      <x:c r="C58" s="9" t="str">
        <x:v>Second-campus-loss tolerance</x:v>
      </x:c>
      <x:c r="D58" s="11" t="n">
        <x:v>0</x:v>
      </x:c>
      <x:c r="E58" s="9" t="str">
        <x:v>campuses</x:v>
      </x:c>
      <x:c r="F58" s="9" t="str">
        <x:v>FROZEN</x:v>
      </x:c>
      <x:c r="G58" s="9" t="str">
        <x:v>stop law</x:v>
      </x:c>
    </x:row>
    <x:row r="59">
      <x:c r="B59" s="9" t="str">
        <x:v>M53</x:v>
      </x:c>
      <x:c r="C59" s="9" t="str">
        <x:v>Residual schedule start</x:v>
      </x:c>
      <x:c r="D59" s="11" t="n">
        <x:v>91</x:v>
      </x:c>
      <x:c r="E59" s="9" t="str">
        <x:v>day</x:v>
      </x:c>
      <x:c r="F59" s="9" t="str">
        <x:v>FROZEN</x:v>
      </x:c>
      <x:c r="G59" s="9" t="str">
        <x:v>after first wave</x:v>
      </x:c>
    </x:row>
    <x:row r="60">
      <x:c r="B60" s="9" t="str">
        <x:v>M54</x:v>
      </x:c>
      <x:c r="C60" s="9" t="str">
        <x:v>Closure packet horizon</x:v>
      </x:c>
      <x:c r="D60" s="11" t="n">
        <x:v>425</x:v>
      </x:c>
      <x:c r="E60" s="9" t="str">
        <x:v>day</x:v>
      </x:c>
      <x:c r="F60" s="9" t="str">
        <x:v>FROZEN</x:v>
      </x:c>
      <x:c r="G60" s="9" t="str">
        <x:v>eleven-month residual window</x:v>
      </x:c>
    </x:row>
    <x:row r="61">
      <x:c r="B61" s="9" t="str">
        <x:v>M55</x:v>
      </x:c>
      <x:c r="C61" s="9" t="str">
        <x:v>Damage packet horizon</x:v>
      </x:c>
      <x:c r="D61" s="11" t="n">
        <x:v>365</x:v>
      </x:c>
      <x:c r="E61" s="9" t="str">
        <x:v>day</x:v>
      </x:c>
      <x:c r="F61" s="9" t="str">
        <x:v>FROZEN</x:v>
      </x:c>
      <x:c r="G61" s="9" t="str">
        <x:v>nine-month residual window</x:v>
      </x:c>
    </x:row>
    <x:row r="62">
      <x:c r="B62" s="9" t="str">
        <x:v>M56</x:v>
      </x:c>
      <x:c r="C62" s="9" t="str">
        <x:v>Expected event observation records</x:v>
      </x:c>
      <x:c r="D62" s="11" t="n">
        <x:v>28</x:v>
      </x:c>
      <x:c r="E62" s="9" t="str">
        <x:v>records</x:v>
      </x:c>
      <x:c r="F62" s="9" t="str">
        <x:v>CONTROL</x:v>
      </x:c>
      <x:c r="G62" s="9" t="str">
        <x:v>synthetic vector</x:v>
      </x:c>
    </x:row>
    <x:row r="63">
      <x:c r="B63" s="10" t="str">
        <x:v>M57</x:v>
      </x:c>
      <x:c r="C63" s="10" t="str">
        <x:v>Expected service observation records</x:v>
      </x:c>
      <x:c r="D63" s="12" t="n">
        <x:v>21</x:v>
      </x:c>
      <x:c r="E63" s="10" t="str">
        <x:v>records</x:v>
      </x:c>
      <x:c r="F63" s="10" t="str">
        <x:v>CONTROL</x:v>
      </x:c>
      <x:c r="G63" s="10" t="str">
        <x:v>synthetic vector</x:v>
      </x:c>
    </x:row>
  </x:sheetData>
  <x:mergeCells>
    <x:mergeCell ref="B2:G2"/>
    <x:mergeCell ref="B3:G3"/>
  </x:mergeCells>
  <x:conditionalFormatting sqref="F7:F63">
    <x:cfRule type="containsText" dxfId="0" priority="1" operator="containsText" text="PASS"/>
    <x:cfRule type="containsText" dxfId="1" priority="2" operator="containsText" text="AUTHORIZED"/>
    <x:cfRule type="containsText" dxfId="2" priority="3" operator="containsText" text="PRESERVE"/>
    <x:cfRule type="containsText" dxfId="3" priority="4" operator="containsText" text="HOLD"/>
    <x:cfRule type="containsText" dxfId="4" priority="5" operator="containsText" text="OPEN"/>
    <x:cfRule type="containsText" dxfId="5" priority="6" operator="containsText" text="BLOCKED"/>
    <x:cfRule type="containsText" dxfId="6" priority="7" operator="containsText" text="FAIL"/>
    <x:cfRule type="containsText" dxfId="7" priority="8" operator="containsText" text="REDESIGN"/>
    <x:cfRule type="containsText" dxfId="8" priority="9" operator="containsText" text="INDETERMINATE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9" hidden="0" customWidth="1"/>
    <x:col min="3" max="3" width="20" hidden="0" customWidth="1"/>
    <x:col min="4" max="4" width="14" hidden="0" customWidth="1"/>
    <x:col min="5" max="5" width="18" hidden="0" customWidth="1"/>
    <x:col min="6" max="6" width="20" hidden="0" customWidth="1"/>
    <x:col min="7" max="7" width="23" hidden="0" customWidth="1"/>
    <x:col min="8" max="8" width="18" hidden="0" customWidth="1"/>
    <x:col min="9" max="9" width="14" hidden="0" customWidth="1"/>
    <x:col min="10" max="10" width="16" hidden="0" customWidth="1"/>
    <x:col min="11" max="11" width="16" hidden="0" customWidth="1"/>
    <x:col min="12" max="12" width="15" hidden="0" customWidth="1"/>
    <x:col min="13" max="13" width="3" hidden="0" customWidth="1"/>
    <x:col min="14" max="14" width="18" hidden="0" customWidth="1"/>
    <x:col min="15" max="15" width="14" hidden="0" customWidth="1"/>
    <x:col min="16" max="16" width="16" hidden="0" customWidth="1"/>
    <x:col min="17" max="17" width="16" hidden="0" customWidth="1"/>
    <x:col min="18" max="18" width="15" hidden="0" customWidth="1"/>
  </x:cols>
  <x:sheetData>
    <x:row r="2">
      <x:c r="B2" s="1" t="str">
        <x:v>Posterior predictive attempt demand</x:v>
      </x:c>
      <x:c r="C2" s="36"/>
      <x:c r="D2" s="36"/>
      <x:c r="E2" s="36"/>
      <x:c r="F2" s="36"/>
      <x:c r="G2" s="36"/>
      <x:c r="H2" s="36"/>
      <x:c r="I2" s="36"/>
      <x:c r="J2" s="36"/>
      <x:c r="K2" s="36"/>
      <x:c r="L2" s="36"/>
      <x:c r="M2" s="36"/>
      <x:c r="N2" s="36"/>
      <x:c r="O2" s="36"/>
      <x:c r="P2" s="36"/>
      <x:c r="Q2" s="36"/>
      <x:c r="R2" s="36"/>
    </x:row>
    <x:row r="3">
      <x:c r="B3" s="2" t="str">
        <x:v>Exact beta-negative-binomial recurrences replace the former normal attempt approximation.</x:v>
      </x:c>
      <x:c r="C3" s="36"/>
      <x:c r="D3" s="36"/>
      <x:c r="E3" s="36"/>
      <x:c r="F3" s="36"/>
      <x:c r="G3" s="36"/>
      <x:c r="H3" s="36"/>
      <x:c r="I3" s="36"/>
      <x:c r="J3" s="36"/>
      <x:c r="K3" s="36"/>
      <x:c r="L3" s="36"/>
      <x:c r="M3" s="36"/>
      <x:c r="N3" s="36"/>
      <x:c r="O3" s="36"/>
      <x:c r="P3" s="36"/>
      <x:c r="Q3" s="36"/>
      <x:c r="R3" s="36"/>
    </x:row>
    <x:row r="4">
      <x:c r="B4" s="37"/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37"/>
      <x:c r="P4" s="37"/>
      <x:c r="Q4" s="37"/>
      <x:c r="R4" s="37"/>
    </x:row>
    <x:row r="5">
      <x:c r="B5" s="36"/>
      <x:c r="C5" s="36"/>
      <x:c r="D5" s="36"/>
      <x:c r="E5" s="36"/>
      <x:c r="F5" s="36"/>
      <x:c r="G5" s="36"/>
      <x:c r="H5" s="36"/>
      <x:c r="I5" s="36"/>
      <x:c r="J5" s="36"/>
      <x:c r="K5" s="36"/>
      <x:c r="L5" s="36"/>
      <x:c r="M5" s="36"/>
      <x:c r="N5" s="36"/>
      <x:c r="O5" s="36"/>
      <x:c r="P5" s="36"/>
      <x:c r="Q5" s="36"/>
      <x:c r="R5" s="36"/>
    </x:row>
    <x:row r="6">
      <x:c r="B6" s="7" t="str">
        <x:v>Lane</x:v>
      </x:c>
      <x:c r="C6" s="7" t="str">
        <x:v>Remaining credits</x:v>
      </x:c>
      <x:c r="D6" s="7" t="str">
        <x:v>Prior mean</x:v>
      </x:c>
      <x:c r="E6" s="7" t="str">
        <x:v>Prior ESS</x:v>
      </x:c>
      <x:c r="F6" s="7" t="str">
        <x:v>Eligible ordinary</x:v>
      </x:c>
      <x:c r="G6" s="7" t="str">
        <x:v>Intrinsic invalid</x:v>
      </x:c>
      <x:c r="H6" s="7" t="str">
        <x:v>Forced invalid excluded</x:v>
      </x:c>
      <x:c r="I6" s="7" t="str">
        <x:v>Posterior alpha</x:v>
      </x:c>
      <x:c r="J6" s="7" t="str">
        <x:v>Posterior beta</x:v>
      </x:c>
      <x:c r="K6" s="7" t="str">
        <x:v>P90 attempts</x:v>
      </x:c>
      <x:c r="L6" s="36"/>
      <x:c r="M6" s="36"/>
      <x:c r="N6" s="36"/>
      <x:c r="O6" s="36"/>
      <x:c r="P6" s="36"/>
      <x:c r="Q6" s="36"/>
      <x:c r="R6" s="36"/>
    </x:row>
    <x:row r="7">
      <x:c r="B7" s="9" t="str">
        <x:v>Closure</x:v>
      </x:c>
      <x:c r="C7" s="9" t="n">
        <x:f>'Method Controls'!$D$10</x:f>
        <x:v>54</x:v>
      </x:c>
      <x:c r="D7" s="17" t="n">
        <x:f>'Method Controls'!$D$12</x:f>
        <x:v>0.15</x:v>
      </x:c>
      <x:c r="E7" s="9" t="n">
        <x:f>'Method Controls'!$D$14</x:f>
        <x:v>20</x:v>
      </x:c>
      <x:c r="F7" s="9" t="n">
        <x:f>SUMIFS('Schedule Controls'!$H$7:$H$34,'Schedule Controls'!$C$7:$C$34,B7)</x:f>
        <x:v>18</x:v>
      </x:c>
      <x:c r="G7" s="9" t="n">
        <x:f>SUMIFS('Schedule Controls'!$I$7:$I$34,'Schedule Controls'!$C$7:$C$34,B7)</x:f>
        <x:v>0</x:v>
      </x:c>
      <x:c r="H7" s="9" t="n">
        <x:f>SUMIFS('Schedule Controls'!$J$7:$J$34,'Schedule Controls'!$C$7:$C$34,B7)</x:f>
        <x:v>2</x:v>
      </x:c>
      <x:c r="I7" s="9" t="n">
        <x:f>D7*E7+G7</x:f>
        <x:v>3</x:v>
      </x:c>
      <x:c r="J7" s="9" t="n">
        <x:f>(1-D7)*E7+F7-G7</x:f>
        <x:v>35</x:v>
      </x:c>
      <x:c r="K7" s="9" t="n">
        <x:f>C7+COUNTIF(K14:K54,"&lt;"&amp;'Method Controls'!$D$15)</x:f>
        <x:v>64</x:v>
      </x:c>
      <x:c r="L7" s="36"/>
      <x:c r="M7" s="36"/>
      <x:c r="N7" s="36"/>
      <x:c r="O7" s="36"/>
      <x:c r="P7" s="36"/>
      <x:c r="Q7" s="36"/>
      <x:c r="R7" s="36"/>
    </x:row>
    <x:row r="8">
      <x:c r="B8" s="10" t="str">
        <x:v>Damage</x:v>
      </x:c>
      <x:c r="C8" s="10" t="n">
        <x:f>'Method Controls'!$D$11</x:f>
        <x:v>20</x:v>
      </x:c>
      <x:c r="D8" s="18" t="n">
        <x:f>'Method Controls'!$D$13</x:f>
        <x:v>0.2</x:v>
      </x:c>
      <x:c r="E8" s="10" t="n">
        <x:f>'Method Controls'!$D$14</x:f>
        <x:v>20</x:v>
      </x:c>
      <x:c r="F8" s="10" t="n">
        <x:f>SUMIFS('Schedule Controls'!$H$7:$H$34,'Schedule Controls'!$C$7:$C$34,B8)</x:f>
        <x:v>6</x:v>
      </x:c>
      <x:c r="G8" s="10" t="n">
        <x:f>SUMIFS('Schedule Controls'!$I$7:$I$34,'Schedule Controls'!$C$7:$C$34,B8)</x:f>
        <x:v>0</x:v>
      </x:c>
      <x:c r="H8" s="10" t="n">
        <x:f>SUMIFS('Schedule Controls'!$J$7:$J$34,'Schedule Controls'!$C$7:$C$34,B8)</x:f>
        <x:v>2</x:v>
      </x:c>
      <x:c r="I8" s="10" t="n">
        <x:f>D8*E8+G8</x:f>
        <x:v>4</x:v>
      </x:c>
      <x:c r="J8" s="10" t="n">
        <x:f>(1-D8)*E8+F8-G8</x:f>
        <x:v>22</x:v>
      </x:c>
      <x:c r="K8" s="10" t="n">
        <x:f>C8+COUNTIF(Q14:Q54,"&lt;"&amp;'Method Controls'!$D$15)</x:f>
        <x:v>28</x:v>
      </x:c>
      <x:c r="L8" s="36"/>
      <x:c r="M8" s="36"/>
      <x:c r="N8" s="36"/>
      <x:c r="O8" s="36"/>
      <x:c r="P8" s="36"/>
      <x:c r="Q8" s="36"/>
      <x:c r="R8" s="36"/>
    </x:row>
    <x:row r="9">
      <x:c r="B9" s="36"/>
      <x:c r="C9" s="36"/>
      <x:c r="D9" s="36"/>
      <x:c r="E9" s="36"/>
      <x:c r="F9" s="36"/>
      <x:c r="G9" s="36"/>
      <x:c r="H9" s="36"/>
      <x:c r="I9" s="36"/>
      <x:c r="J9" s="36"/>
      <x:c r="K9" s="36"/>
      <x:c r="L9" s="36"/>
      <x:c r="M9" s="36"/>
      <x:c r="N9" s="36"/>
      <x:c r="O9" s="36"/>
      <x:c r="P9" s="36"/>
      <x:c r="Q9" s="36"/>
      <x:c r="R9" s="36"/>
    </x:row>
    <x:row r="10">
      <x:c r="B10" s="36"/>
      <x:c r="C10" s="36"/>
      <x:c r="D10" s="36"/>
      <x:c r="E10" s="36"/>
      <x:c r="F10" s="36"/>
      <x:c r="G10" s="36"/>
      <x:c r="H10" s="36"/>
      <x:c r="I10" s="36"/>
      <x:c r="J10" s="36"/>
      <x:c r="K10" s="36"/>
      <x:c r="L10" s="36"/>
      <x:c r="M10" s="36"/>
      <x:c r="N10" s="36"/>
      <x:c r="O10" s="36"/>
      <x:c r="P10" s="36"/>
      <x:c r="Q10" s="36"/>
      <x:c r="R10" s="36"/>
    </x:row>
    <x:row r="11">
      <x:c r="B11" s="36"/>
      <x:c r="C11" s="36"/>
      <x:c r="D11" s="36"/>
      <x:c r="E11" s="36"/>
      <x:c r="F11" s="36"/>
      <x:c r="G11" s="36"/>
      <x:c r="H11" s="36"/>
      <x:c r="I11" s="36"/>
      <x:c r="J11" s="36"/>
      <x:c r="K11" s="36"/>
      <x:c r="L11" s="36"/>
      <x:c r="M11" s="36"/>
      <x:c r="N11" s="36"/>
      <x:c r="O11" s="36"/>
      <x:c r="P11" s="36"/>
      <x:c r="Q11" s="36"/>
      <x:c r="R11" s="36"/>
    </x:row>
    <x:row r="12">
      <x:c r="B12" s="21" t="str">
        <x:v>Zero-failure predictive probability</x:v>
      </x:c>
      <x:c r="C12" s="22" t="str">
        <x:v>Zero-failure predictive probability</x:v>
      </x:c>
      <x:c r="D12" s="22" t="str">
        <x:v>Zero-failure predictive probability</x:v>
      </x:c>
      <x:c r="E12" s="22" t="str">
        <x:v>Zero-failure predictive probability</x:v>
      </x:c>
      <x:c r="F12" s="23" t="str">
        <x:v>Zero-failure predictive probability</x:v>
      </x:c>
      <x:c r="G12" s="36"/>
      <x:c r="H12" s="21" t="str">
        <x:v>Closure predictive distribution</x:v>
      </x:c>
      <x:c r="I12" s="22" t="str">
        <x:v>Closure predictive distribution</x:v>
      </x:c>
      <x:c r="J12" s="22" t="str">
        <x:v>Closure predictive distribution</x:v>
      </x:c>
      <x:c r="K12" s="22" t="str">
        <x:v>Closure predictive distribution</x:v>
      </x:c>
      <x:c r="L12" s="23" t="str">
        <x:v>Closure predictive distribution</x:v>
      </x:c>
      <x:c r="M12" s="36"/>
      <x:c r="N12" s="21" t="str">
        <x:v>Damage predictive distribution</x:v>
      </x:c>
      <x:c r="O12" s="22" t="str">
        <x:v>Damage predictive distribution</x:v>
      </x:c>
      <x:c r="P12" s="22" t="str">
        <x:v>Damage predictive distribution</x:v>
      </x:c>
      <x:c r="Q12" s="22" t="str">
        <x:v>Damage predictive distribution</x:v>
      </x:c>
      <x:c r="R12" s="23" t="str">
        <x:v>Damage predictive distribution</x:v>
      </x:c>
    </x:row>
    <x:row r="13">
      <x:c r="B13" s="7" t="str">
        <x:v>Closure successes</x:v>
      </x:c>
      <x:c r="C13" s="7" t="str">
        <x:v>Probability</x:v>
      </x:c>
      <x:c r="D13" s="36"/>
      <x:c r="E13" s="7" t="str">
        <x:v>Damage successes</x:v>
      </x:c>
      <x:c r="F13" s="7" t="str">
        <x:v>Probability</x:v>
      </x:c>
      <x:c r="G13" s="36"/>
      <x:c r="H13" s="7" t="str">
        <x:v>Future invalids</x:v>
      </x:c>
      <x:c r="I13" s="7" t="str">
        <x:v>Attempts</x:v>
      </x:c>
      <x:c r="J13" s="7" t="str">
        <x:v>Probability</x:v>
      </x:c>
      <x:c r="K13" s="7" t="str">
        <x:v>Cumulative</x:v>
      </x:c>
      <x:c r="L13" s="7" t="str">
        <x:v>First at P90</x:v>
      </x:c>
      <x:c r="M13" s="36"/>
      <x:c r="N13" s="7" t="str">
        <x:v>Future invalids</x:v>
      </x:c>
      <x:c r="O13" s="7" t="str">
        <x:v>Attempts</x:v>
      </x:c>
      <x:c r="P13" s="7" t="str">
        <x:v>Probability</x:v>
      </x:c>
      <x:c r="Q13" s="7" t="str">
        <x:v>Cumulative</x:v>
      </x:c>
      <x:c r="R13" s="7" t="str">
        <x:v>First at P90</x:v>
      </x:c>
    </x:row>
    <x:row r="14">
      <x:c r="B14" s="9" t="n">
        <x:v>0</x:v>
      </x:c>
      <x:c r="C14" s="26" t="n">
        <x:v>1</x:v>
      </x:c>
      <x:c r="D14" s="36"/>
      <x:c r="E14" s="9" t="n">
        <x:v>0</x:v>
      </x:c>
      <x:c r="F14" s="26" t="n">
        <x:v>1</x:v>
      </x:c>
      <x:c r="G14" s="36"/>
      <x:c r="H14" s="9" t="n">
        <x:v>0</x:v>
      </x:c>
      <x:c r="I14" s="9" t="n">
        <x:f>$C$7+H14</x:f>
        <x:v>54</x:v>
      </x:c>
      <x:c r="J14" s="26" t="n">
        <x:f>$C$68</x:f>
        <x:v>0.06395851339671567</x:v>
      </x:c>
      <x:c r="K14" s="26" t="n">
        <x:f>J14</x:f>
        <x:v>0.06395851339671567</x:v>
      </x:c>
      <x:c r="L14" s="9" t="n">
        <x:f>IF(K14&gt;='Method Controls'!$D$15,1,0)</x:f>
        <x:v>0</x:v>
      </x:c>
      <x:c r="M14" s="36"/>
      <x:c r="N14" s="9" t="n">
        <x:v>0</x:v>
      </x:c>
      <x:c r="O14" s="9" t="n">
        <x:f>$C$8+N14</x:f>
        <x:v>20</x:v>
      </x:c>
      <x:c r="P14" s="26" t="n">
        <x:f>$F$34</x:f>
        <x:v>0.08490217792543372</x:v>
      </x:c>
      <x:c r="Q14" s="26" t="n">
        <x:f>P14</x:f>
        <x:v>0.08490217792543372</x:v>
      </x:c>
      <x:c r="R14" s="9" t="n">
        <x:f>IF(Q14&gt;='Method Controls'!$D$15,1,0)</x:f>
        <x:v>0</x:v>
      </x:c>
    </x:row>
    <x:row r="15">
      <x:c r="B15" s="9" t="n">
        <x:v>1</x:v>
      </x:c>
      <x:c r="C15" s="26" t="n">
        <x:f>C14*($J$7+B15-1)/($I$7+$J$7+B15-1)</x:f>
        <x:v>0.9210526315789473</x:v>
      </x:c>
      <x:c r="D15" s="36"/>
      <x:c r="E15" s="9" t="n">
        <x:v>1</x:v>
      </x:c>
      <x:c r="F15" s="26" t="n">
        <x:f>F14*($J$8+E15-1)/($I$8+$J$8+E15-1)</x:f>
        <x:v>0.8461538461538461</x:v>
      </x:c>
      <x:c r="G15" s="36"/>
      <x:c r="H15" s="9" t="n">
        <x:v>1</x:v>
      </x:c>
      <x:c r="I15" s="9" t="n">
        <x:f>$C$7+H15</x:f>
        <x:v>55</x:v>
      </x:c>
      <x:c r="J15" s="26" t="n">
        <x:f>J14*((H15-1+$C$7)/H15)*(($I$7+H15-1)/($I$7+$J$7+$C$7+H15-1))</x:f>
        <x:v>0.1126225996768254</x:v>
      </x:c>
      <x:c r="K15" s="26" t="n">
        <x:f>K14+J15</x:f>
        <x:v>0.17658111307354107</x:v>
      </x:c>
      <x:c r="L15" s="9" t="n">
        <x:f>IF(AND(K15&gt;='Method Controls'!$D$15,K14&lt;'Method Controls'!$D$15),1,0)</x:f>
        <x:v>0</x:v>
      </x:c>
      <x:c r="M15" s="36"/>
      <x:c r="N15" s="9" t="n">
        <x:v>1</x:v>
      </x:c>
      <x:c r="O15" s="9" t="n">
        <x:f>$C$8+N15</x:f>
        <x:v>21</x:v>
      </x:c>
      <x:c r="P15" s="26" t="n">
        <x:f>P14*((N15-1+$C$8)/N15)*(($I$8+N15-1)/($I$8+$J$8+$C$8+N15-1))</x:f>
        <x:v>0.14765596160944996</x:v>
      </x:c>
      <x:c r="Q15" s="26" t="n">
        <x:f>Q14+P15</x:f>
        <x:v>0.2325581395348837</x:v>
      </x:c>
      <x:c r="R15" s="9" t="n">
        <x:f>IF(AND(Q15&gt;='Method Controls'!$D$15,Q14&lt;'Method Controls'!$D$15),1,0)</x:f>
        <x:v>0</x:v>
      </x:c>
    </x:row>
    <x:row r="16">
      <x:c r="B16" s="9" t="n">
        <x:v>2</x:v>
      </x:c>
      <x:c r="C16" s="26" t="n">
        <x:f>C15*($J$7+B16-1)/($I$7+$J$7+B16-1)</x:f>
        <x:v>0.8502024291497975</x:v>
      </x:c>
      <x:c r="D16" s="36"/>
      <x:c r="E16" s="9" t="n">
        <x:v>2</x:v>
      </x:c>
      <x:c r="F16" s="26" t="n">
        <x:f>F15*($J$8+E16-1)/($I$8+$J$8+E16-1)</x:f>
        <x:v>0.7207977207977208</x:v>
      </x:c>
      <x:c r="G16" s="36"/>
      <x:c r="H16" s="9" t="n">
        <x:v>2</x:v>
      </x:c>
      <x:c r="I16" s="9" t="n">
        <x:f>$C$7+H16</x:f>
        <x:v>56</x:v>
      </x:c>
      <x:c r="J16" s="26" t="n">
        <x:f>J15*((H16-1+$C$7)/H16)*(($I$7+H16-1)/($I$7+$J$7+$C$7+H16-1))</x:f>
        <x:v>0.1332095264994709</x:v>
      </x:c>
      <x:c r="K16" s="26" t="n">
        <x:f>K15+J16</x:f>
        <x:v>0.309790639573012</x:v>
      </x:c>
      <x:c r="L16" s="9" t="n">
        <x:f>IF(AND(K16&gt;='Method Controls'!$D$15,K15&lt;'Method Controls'!$D$15),1,0)</x:f>
        <x:v>0</x:v>
      </x:c>
      <x:c r="M16" s="36"/>
      <x:c r="N16" s="9" t="n">
        <x:v>2</x:v>
      </x:c>
      <x:c r="O16" s="9" t="n">
        <x:f>$C$8+N16</x:f>
        <x:v>22</x:v>
      </x:c>
      <x:c r="P16" s="26" t="n">
        <x:f>P15*((N16-1+$C$8)/N16)*(($I$8+N16-1)/($I$8+$J$8+$C$8+N16-1))</x:f>
        <x:v>0.16493485073396008</x:v>
      </x:c>
      <x:c r="Q16" s="26" t="n">
        <x:f>Q15+P16</x:f>
        <x:v>0.39749299026884377</x:v>
      </x:c>
      <x:c r="R16" s="9" t="n">
        <x:f>IF(AND(Q16&gt;='Method Controls'!$D$15,Q15&lt;'Method Controls'!$D$15),1,0)</x:f>
        <x:v>0</x:v>
      </x:c>
    </x:row>
    <x:row r="17">
      <x:c r="B17" s="9" t="n">
        <x:v>3</x:v>
      </x:c>
      <x:c r="C17" s="26" t="n">
        <x:f>C16*($J$7+B17-1)/($I$7+$J$7+B17-1)</x:f>
        <x:v>0.7864372469635627</x:v>
      </x:c>
      <x:c r="D17" s="36"/>
      <x:c r="E17" s="9" t="n">
        <x:v>3</x:v>
      </x:c>
      <x:c r="F17" s="26" t="n">
        <x:f>F16*($J$8+E17-1)/($I$8+$J$8+E17-1)</x:f>
        <x:v>0.6178266178266177</x:v>
      </x:c>
      <x:c r="G17" s="36"/>
      <x:c r="H17" s="9" t="n">
        <x:v>3</x:v>
      </x:c>
      <x:c r="I17" s="9" t="n">
        <x:f>$C$7+H17</x:f>
        <x:v>57</x:v>
      </x:c>
      <x:c r="J17" s="26" t="n">
        <x:f>J16*((H17-1+$C$7)/H17)*(($I$7+H17-1)/($I$7+$J$7+$C$7+H17-1))</x:f>
        <x:v>0.13226477808458104</x:v>
      </x:c>
      <x:c r="K17" s="26" t="n">
        <x:f>K16+J17</x:f>
        <x:v>0.44205541765759304</x:v>
      </x:c>
      <x:c r="L17" s="9" t="n">
        <x:f>IF(AND(K17&gt;='Method Controls'!$D$15,K16&lt;'Method Controls'!$D$15),1,0)</x:f>
        <x:v>0</x:v>
      </x:c>
      <x:c r="M17" s="36"/>
      <x:c r="N17" s="9" t="n">
        <x:v>3</x:v>
      </x:c>
      <x:c r="O17" s="9" t="n">
        <x:f>$C$8+N17</x:f>
        <x:v>23</x:v>
      </x:c>
      <x:c r="P17" s="26" t="n">
        <x:f>P16*((N17-1+$C$8)/N17)*(($I$8+N17-1)/($I$8+$J$8+$C$8+N17-1))</x:f>
        <x:v>0.1511902798394634</x:v>
      </x:c>
      <x:c r="Q17" s="26" t="n">
        <x:f>Q16+P17</x:f>
        <x:v>0.5486832701083072</x:v>
      </x:c>
      <x:c r="R17" s="9" t="n">
        <x:f>IF(AND(Q17&gt;='Method Controls'!$D$15,Q16&lt;'Method Controls'!$D$15),1,0)</x:f>
        <x:v>0</x:v>
      </x:c>
    </x:row>
    <x:row r="18">
      <x:c r="B18" s="9" t="n">
        <x:v>4</x:v>
      </x:c>
      <x:c r="C18" s="26" t="n">
        <x:f>C17*($J$7+B18-1)/($I$7+$J$7+B18-1)</x:f>
        <x:v>0.7288930581613507</x:v>
      </x:c>
      <x:c r="D18" s="36"/>
      <x:c r="E18" s="9" t="n">
        <x:v>4</x:v>
      </x:c>
      <x:c r="F18" s="26" t="n">
        <x:f>F17*($J$8+E18-1)/($I$8+$J$8+E18-1)</x:f>
        <x:v>0.5326091532988084</x:v>
      </x:c>
      <x:c r="G18" s="36"/>
      <x:c r="H18" s="9" t="n">
        <x:v>4</x:v>
      </x:c>
      <x:c r="I18" s="9" t="n">
        <x:f>$C$7+H18</x:f>
        <x:v>58</x:v>
      </x:c>
      <x:c r="J18" s="26" t="n">
        <x:f>J17*((H18-1+$C$7)/H18)*(($I$7+H18-1)/($I$7+$J$7+$C$7+H18-1))</x:f>
        <x:v>0.11903830027612293</x:v>
      </x:c>
      <x:c r="K18" s="26" t="n">
        <x:f>K17+J18</x:f>
        <x:v>0.561093717933716</x:v>
      </x:c>
      <x:c r="L18" s="9" t="n">
        <x:f>IF(AND(K18&gt;='Method Controls'!$D$15,K17&lt;'Method Controls'!$D$15),1,0)</x:f>
        <x:v>0</x:v>
      </x:c>
      <x:c r="M18" s="36"/>
      <x:c r="N18" s="9" t="n">
        <x:v>4</x:v>
      </x:c>
      <x:c r="O18" s="9" t="n">
        <x:f>$C$8+N18</x:f>
        <x:v>24</x:v>
      </x:c>
      <x:c r="P18" s="26" t="n">
        <x:f>P17*((N18-1+$C$8)/N18)*(($I$8+N18-1)/($I$8+$J$8+$C$8+N18-1))</x:f>
        <x:v>0.12419201558241635</x:v>
      </x:c>
      <x:c r="Q18" s="26" t="n">
        <x:f>Q17+P18</x:f>
        <x:v>0.6728752856907235</x:v>
      </x:c>
      <x:c r="R18" s="9" t="n">
        <x:f>IF(AND(Q18&gt;='Method Controls'!$D$15,Q17&lt;'Method Controls'!$D$15),1,0)</x:f>
        <x:v>0</x:v>
      </x:c>
    </x:row>
    <x:row r="19">
      <x:c r="B19" s="9" t="n">
        <x:v>5</x:v>
      </x:c>
      <x:c r="C19" s="26" t="n">
        <x:f>C18*($J$7+B19-1)/($I$7+$J$7+B19-1)</x:f>
        <x:v>0.6768292682926829</x:v>
      </x:c>
      <x:c r="D19" s="36"/>
      <x:c r="E19" s="9" t="n">
        <x:v>5</x:v>
      </x:c>
      <x:c r="F19" s="26" t="n">
        <x:f>F18*($J$8+E19-1)/($I$8+$J$8+E19-1)</x:f>
        <x:v>0.461594599525634</x:v>
      </x:c>
      <x:c r="G19" s="36"/>
      <x:c r="H19" s="9" t="n">
        <x:v>5</x:v>
      </x:c>
      <x:c r="I19" s="9" t="n">
        <x:f>$C$7+H19</x:f>
        <x:v>59</x:v>
      </x:c>
      <x:c r="J19" s="26" t="n">
        <x:f>J18*((H19-1+$C$7)/H19)*(($I$7+H19-1)/($I$7+$J$7+$C$7+H19-1))</x:f>
        <x:v>0.10068656231688732</x:v>
      </x:c>
      <x:c r="K19" s="26" t="n">
        <x:f>K18+J19</x:f>
        <x:v>0.6617802802506033</x:v>
      </x:c>
      <x:c r="L19" s="9" t="n">
        <x:f>IF(AND(K19&gt;='Method Controls'!$D$15,K18&lt;'Method Controls'!$D$15),1,0)</x:f>
        <x:v>0</x:v>
      </x:c>
      <x:c r="M19" s="36"/>
      <x:c r="N19" s="9" t="n">
        <x:v>5</x:v>
      </x:c>
      <x:c r="O19" s="9" t="n">
        <x:f>$C$8+N19</x:f>
        <x:v>25</x:v>
      </x:c>
      <x:c r="P19" s="26" t="n">
        <x:f>P18*((N19-1+$C$8)/N19)*(($I$8+N19-1)/($I$8+$J$8+$C$8+N19-1))</x:f>
        <x:v>0.09537946796729577</x:v>
      </x:c>
      <x:c r="Q19" s="26" t="n">
        <x:f>Q18+P19</x:f>
        <x:v>0.7682547536580193</x:v>
      </x:c>
      <x:c r="R19" s="9" t="n">
        <x:f>IF(AND(Q19&gt;='Method Controls'!$D$15,Q18&lt;'Method Controls'!$D$15),1,0)</x:f>
        <x:v>0</x:v>
      </x:c>
    </x:row>
    <x:row r="20">
      <x:c r="B20" s="9" t="n">
        <x:v>6</x:v>
      </x:c>
      <x:c r="C20" s="26" t="n">
        <x:f>C19*($J$7+B20-1)/($I$7+$J$7+B20-1)</x:f>
        <x:v>0.629608621667612</x:v>
      </x:c>
      <x:c r="D20" s="36"/>
      <x:c r="E20" s="9" t="n">
        <x:v>6</x:v>
      </x:c>
      <x:c r="F20" s="26" t="n">
        <x:f>F19*($J$8+E20-1)/($I$8+$J$8+E20-1)</x:f>
        <x:v>0.4020340060384554</x:v>
      </x:c>
      <x:c r="G20" s="36"/>
      <x:c r="H20" s="9" t="n">
        <x:v>6</x:v>
      </x:c>
      <x:c r="I20" s="9" t="n">
        <x:f>$C$7+H20</x:f>
        <x:v>60</x:v>
      </x:c>
      <x:c r="J20" s="26" t="n">
        <x:f>J19*((H20-1+$C$7)/H20)*(($I$7+H20-1)/($I$7+$J$7+$C$7+H20-1))</x:f>
        <x:v>0.08165645603706326</x:v>
      </x:c>
      <x:c r="K20" s="26" t="n">
        <x:f>K19+J20</x:f>
        <x:v>0.7434367362876666</x:v>
      </x:c>
      <x:c r="L20" s="9" t="n">
        <x:f>IF(AND(K20&gt;='Method Controls'!$D$15,K19&lt;'Method Controls'!$D$15),1,0)</x:f>
        <x:v>0</x:v>
      </x:c>
      <x:c r="M20" s="36"/>
      <x:c r="N20" s="9" t="n">
        <x:v>6</x:v>
      </x:c>
      <x:c r="O20" s="9" t="n">
        <x:f>$C$8+N20</x:f>
        <x:v>26</x:v>
      </x:c>
      <x:c r="P20" s="26" t="n">
        <x:f>P19*((N20-1+$C$8)/N20)*(($I$8+N20-1)/($I$8+$J$8+$C$8+N20-1))</x:f>
        <x:v>0.07013196174065865</x:v>
      </x:c>
      <x:c r="Q20" s="26" t="n">
        <x:f>Q19+P20</x:f>
        <x:v>0.8383867153986779</x:v>
      </x:c>
      <x:c r="R20" s="9" t="n">
        <x:f>IF(AND(Q20&gt;='Method Controls'!$D$15,Q19&lt;'Method Controls'!$D$15),1,0)</x:f>
        <x:v>0</x:v>
      </x:c>
    </x:row>
    <x:row r="21">
      <x:c r="B21" s="9" t="n">
        <x:v>7</x:v>
      </x:c>
      <x:c r="C21" s="26" t="n">
        <x:f>C20*($J$7+B21-1)/($I$7+$J$7+B21-1)</x:f>
        <x:v>0.5866807610993657</x:v>
      </x:c>
      <x:c r="D21" s="36"/>
      <x:c r="E21" s="9" t="n">
        <x:v>7</x:v>
      </x:c>
      <x:c r="F21" s="26" t="n">
        <x:f>F20*($J$8+E21-1)/($I$8+$J$8+E21-1)</x:f>
        <x:v>0.35177975528364847</x:v>
      </x:c>
      <x:c r="G21" s="36"/>
      <x:c r="H21" s="9" t="n">
        <x:v>7</x:v>
      </x:c>
      <x:c r="I21" s="9" t="n">
        <x:f>$C$7+H21</x:f>
        <x:v>61</x:v>
      </x:c>
      <x:c r="J21" s="26" t="n">
        <x:f>J20*((H21-1+$C$7)/H21)*(($I$7+H21-1)/($I$7+$J$7+$C$7+H21-1))</x:f>
        <x:v>0.06427767676386904</x:v>
      </x:c>
      <x:c r="K21" s="26" t="n">
        <x:f>K20+J21</x:f>
        <x:v>0.8077144130515357</x:v>
      </x:c>
      <x:c r="L21" s="9" t="n">
        <x:f>IF(AND(K21&gt;='Method Controls'!$D$15,K20&lt;'Method Controls'!$D$15),1,0)</x:f>
        <x:v>0</x:v>
      </x:c>
      <x:c r="M21" s="36"/>
      <x:c r="N21" s="9" t="n">
        <x:v>7</x:v>
      </x:c>
      <x:c r="O21" s="9" t="n">
        <x:f>$C$8+N21</x:f>
        <x:v>27</x:v>
      </x:c>
      <x:c r="P21" s="26" t="n">
        <x:f>P20*((N21-1+$C$8)/N21)*(($I$8+N21-1)/($I$8+$J$8+$C$8+N21-1))</x:f>
        <x:v>0.05009425838618475</x:v>
      </x:c>
      <x:c r="Q21" s="26" t="n">
        <x:f>Q20+P21</x:f>
        <x:v>0.8884809737848627</x:v>
      </x:c>
      <x:c r="R21" s="9" t="n">
        <x:f>IF(AND(Q21&gt;='Method Controls'!$D$15,Q20&lt;'Method Controls'!$D$15),1,0)</x:f>
        <x:v>0</x:v>
      </x:c>
    </x:row>
    <x:row r="22">
      <x:c r="B22" s="9" t="n">
        <x:v>8</x:v>
      </x:c>
      <x:c r="C22" s="26" t="n">
        <x:f>C21*($J$7+B22-1)/($I$7+$J$7+B22-1)</x:f>
        <x:v>0.547568710359408</x:v>
      </x:c>
      <x:c r="D22" s="36"/>
      <x:c r="E22" s="9" t="n">
        <x:v>8</x:v>
      </x:c>
      <x:c r="F22" s="26" t="n">
        <x:f>F21*($J$8+E22-1)/($I$8+$J$8+E22-1)</x:f>
        <x:v>0.30913978494623656</x:v>
      </x:c>
      <x:c r="G22" s="36"/>
      <x:c r="H22" s="9" t="n">
        <x:v>8</x:v>
      </x:c>
      <x:c r="I22" s="9" t="n">
        <x:f>$C$7+H22</x:f>
        <x:v>62</x:v>
      </x:c>
      <x:c r="J22" s="26" t="n">
        <x:f>J21*((H22-1+$C$7)/H22)*(($I$7+H22-1)/($I$7+$J$7+$C$7+H22-1))</x:f>
        <x:v>0.049506796497424385</x:v>
      </x:c>
      <x:c r="K22" s="26" t="n">
        <x:f>K21+J22</x:f>
        <x:v>0.8572212095489601</x:v>
      </x:c>
      <x:c r="L22" s="9" t="n">
        <x:f>IF(AND(K22&gt;='Method Controls'!$D$15,K21&lt;'Method Controls'!$D$15),1,0)</x:f>
        <x:v>0</x:v>
      </x:c>
      <x:c r="M22" s="36"/>
      <x:c r="N22" s="9" t="n">
        <x:v>8</x:v>
      </x:c>
      <x:c r="O22" s="9" t="n">
        <x:f>$C$8+N22</x:f>
        <x:v>28</x:v>
      </x:c>
      <x:c r="P22" s="26" t="n">
        <x:f>P21*((N22-1+$C$8)/N22)*(($I$8+N22-1)/($I$8+$J$8+$C$8+N22-1))</x:f>
        <x:v>0.03508961023749262</x:v>
      </x:c>
      <x:c r="Q22" s="26" t="n">
        <x:f>Q21+P22</x:f>
        <x:v>0.9235705840223553</x:v>
      </x:c>
      <x:c r="R22" s="9" t="n">
        <x:f>IF(AND(Q22&gt;='Method Controls'!$D$15,Q21&lt;'Method Controls'!$D$15),1,0)</x:f>
        <x:v>1</x:v>
      </x:c>
    </x:row>
    <x:row r="23">
      <x:c r="B23" s="9" t="n">
        <x:v>9</x:v>
      </x:c>
      <x:c r="C23" s="26" t="n">
        <x:f>C22*($J$7+B23-1)/($I$7+$J$7+B23-1)</x:f>
        <x:v>0.5118577075098814</x:v>
      </x:c>
      <x:c r="D23" s="36"/>
      <x:c r="E23" s="9" t="n">
        <x:v>9</x:v>
      </x:c>
      <x:c r="F23" s="26" t="n">
        <x:f>F22*($J$8+E23-1)/($I$8+$J$8+E23-1)</x:f>
        <x:v>0.27277039848197343</x:v>
      </x:c>
      <x:c r="G23" s="36"/>
      <x:c r="H23" s="9" t="n">
        <x:v>9</x:v>
      </x:c>
      <x:c r="I23" s="9" t="n">
        <x:f>$C$7+H23</x:f>
        <x:v>63</x:v>
      </x:c>
      <x:c r="J23" s="26" t="n">
        <x:f>J22*((H23-1+$C$7)/H23)*(($I$7+H23-1)/($I$7+$J$7+$C$7+H23-1))</x:f>
        <x:v>0.037515150234714925</x:v>
      </x:c>
      <x:c r="K23" s="26" t="n">
        <x:f>K22+J23</x:f>
        <x:v>0.894736359783675</x:v>
      </x:c>
      <x:c r="L23" s="9" t="n">
        <x:f>IF(AND(K23&gt;='Method Controls'!$D$15,K22&lt;'Method Controls'!$D$15),1,0)</x:f>
        <x:v>0</x:v>
      </x:c>
      <x:c r="M23" s="36"/>
      <x:c r="N23" s="9" t="n">
        <x:v>9</x:v>
      </x:c>
      <x:c r="O23" s="9" t="n">
        <x:f>$C$8+N23</x:f>
        <x:v>29</x:v>
      </x:c>
      <x:c r="P23" s="26" t="n">
        <x:f>P22*((N23-1+$C$8)/N23)*(($I$8+N23-1)/($I$8+$J$8+$C$8+N23-1))</x:f>
        <x:v>0.024259483620982552</x:v>
      </x:c>
      <x:c r="Q23" s="26" t="n">
        <x:f>Q22+P23</x:f>
        <x:v>0.9478300676433378</x:v>
      </x:c>
      <x:c r="R23" s="9" t="n">
        <x:f>IF(AND(Q23&gt;='Method Controls'!$D$15,Q22&lt;'Method Controls'!$D$15),1,0)</x:f>
        <x:v>0</x:v>
      </x:c>
    </x:row>
    <x:row r="24">
      <x:c r="B24" s="9" t="n">
        <x:v>10</x:v>
      </x:c>
      <x:c r="C24" s="26" t="n">
        <x:f>C23*($J$7+B24-1)/($I$7+$J$7+B24-1)</x:f>
        <x:v>0.4791859389454209</x:v>
      </x:c>
      <x:c r="D24" s="36"/>
      <x:c r="E24" s="9" t="n">
        <x:v>10</x:v>
      </x:c>
      <x:c r="F24" s="26" t="n">
        <x:f>F23*($J$8+E24-1)/($I$8+$J$8+E24-1)</x:f>
        <x:v>0.24159663865546216</x:v>
      </x:c>
      <x:c r="G24" s="36"/>
      <x:c r="H24" s="9" t="n">
        <x:v>10</x:v>
      </x:c>
      <x:c r="I24" s="9" t="n">
        <x:f>$C$7+H24</x:f>
        <x:v>64</x:v>
      </x:c>
      <x:c r="J24" s="26" t="n">
        <x:f>J23*((H24-1+$C$7)/H24)*(($I$7+H24-1)/($I$7+$J$7+$C$7+H24-1))</x:f>
        <x:v>0.028080647106380675</x:v>
      </x:c>
      <x:c r="K24" s="26" t="n">
        <x:f>K23+J24</x:f>
        <x:v>0.9228170068900557</x:v>
      </x:c>
      <x:c r="L24" s="9" t="n">
        <x:f>IF(AND(K24&gt;='Method Controls'!$D$15,K23&lt;'Method Controls'!$D$15),1,0)</x:f>
        <x:v>1</x:v>
      </x:c>
      <x:c r="M24" s="36"/>
      <x:c r="N24" s="9" t="n">
        <x:v>10</x:v>
      </x:c>
      <x:c r="O24" s="9" t="n">
        <x:f>$C$8+N24</x:f>
        <x:v>30</x:v>
      </x:c>
      <x:c r="P24" s="26" t="n">
        <x:f>P23*((N24-1+$C$8)/N24)*(($I$8+N24-1)/($I$8+$J$8+$C$8+N24-1))</x:f>
        <x:v>0.016628773318382584</x:v>
      </x:c>
      <x:c r="Q24" s="26" t="n">
        <x:f>Q23+P24</x:f>
        <x:v>0.9644588409617203</x:v>
      </x:c>
      <x:c r="R24" s="9" t="n">
        <x:f>IF(AND(Q24&gt;='Method Controls'!$D$15,Q23&lt;'Method Controls'!$D$15),1,0)</x:f>
        <x:v>0</x:v>
      </x:c>
    </x:row>
    <x:row r="25">
      <x:c r="B25" s="9" t="n">
        <x:v>11</x:v>
      </x:c>
      <x:c r="C25" s="26" t="n">
        <x:f>C24*($J$7+B25-1)/($I$7+$J$7+B25-1)</x:f>
        <x:v>0.4492368177613321</x:v>
      </x:c>
      <x:c r="D25" s="36"/>
      <x:c r="E25" s="9" t="n">
        <x:v>11</x:v>
      </x:c>
      <x:c r="F25" s="26" t="n">
        <x:f>F24*($J$8+E25-1)/($I$8+$J$8+E25-1)</x:f>
        <x:v>0.21475256769374415</x:v>
      </x:c>
      <x:c r="G25" s="36"/>
      <x:c r="H25" s="9" t="n">
        <x:v>11</x:v>
      </x:c>
      <x:c r="I25" s="9" t="n">
        <x:f>$C$7+H25</x:f>
        <x:v>65</x:v>
      </x:c>
      <x:c r="J25" s="26" t="n">
        <x:f>J24*((H25-1+$C$7)/H25)*(($I$7+H25-1)/($I$7+$J$7+$C$7+H25-1))</x:f>
        <x:v>0.020822725840025598</x:v>
      </x:c>
      <x:c r="K25" s="26" t="n">
        <x:f>K24+J25</x:f>
        <x:v>0.9436397327300814</x:v>
      </x:c>
      <x:c r="L25" s="9" t="n">
        <x:f>IF(AND(K25&gt;='Method Controls'!$D$15,K24&lt;'Method Controls'!$D$15),1,0)</x:f>
        <x:v>0</x:v>
      </x:c>
      <x:c r="M25" s="36"/>
      <x:c r="N25" s="9" t="n">
        <x:v>11</x:v>
      </x:c>
      <x:c r="O25" s="9" t="n">
        <x:f>$C$8+N25</x:f>
        <x:v>31</x:v>
      </x:c>
      <x:c r="P25" s="26" t="n">
        <x:f>P24*((N25-1+$C$8)/N25)*(($I$8+N25-1)/($I$8+$J$8+$C$8+N25-1))</x:f>
        <x:v>0.011337799989806305</x:v>
      </x:c>
      <x:c r="Q25" s="26" t="n">
        <x:f>Q24+P25</x:f>
        <x:v>0.9757966409515266</x:v>
      </x:c>
      <x:c r="R25" s="9" t="n">
        <x:f>IF(AND(Q25&gt;='Method Controls'!$D$15,Q24&lt;'Method Controls'!$D$15),1,0)</x:f>
        <x:v>0</x:v>
      </x:c>
    </x:row>
    <x:row r="26">
      <x:c r="B26" s="9" t="n">
        <x:v>12</x:v>
      </x:c>
      <x:c r="C26" s="26" t="n">
        <x:f>C25*($J$7+B26-1)/($I$7+$J$7+B26-1)</x:f>
        <x:v>0.4217325227963526</x:v>
      </x:c>
      <x:c r="D26" s="36"/>
      <x:c r="E26" s="9" t="n">
        <x:v>12</x:v>
      </x:c>
      <x:c r="F26" s="26" t="n">
        <x:f>F25*($J$8+E26-1)/($I$8+$J$8+E26-1)</x:f>
        <x:v>0.19153607388901506</x:v>
      </x:c>
      <x:c r="G26" s="36"/>
      <x:c r="H26" s="9" t="n">
        <x:v>12</x:v>
      </x:c>
      <x:c r="I26" s="9" t="n">
        <x:f>$C$7+H26</x:f>
        <x:v>66</x:v>
      </x:c>
      <x:c r="J26" s="26" t="n">
        <x:f>J25*((H26-1+$C$7)/H26)*(($I$7+H26-1)/($I$7+$J$7+$C$7+H26-1))</x:f>
        <x:v>0.015330647665391016</x:v>
      </x:c>
      <x:c r="K26" s="26" t="n">
        <x:f>K25+J26</x:f>
        <x:v>0.9589703803954724</x:v>
      </x:c>
      <x:c r="L26" s="9" t="n">
        <x:f>IF(AND(K26&gt;='Method Controls'!$D$15,K25&lt;'Method Controls'!$D$15),1,0)</x:f>
        <x:v>0</x:v>
      </x:c>
      <x:c r="M26" s="36"/>
      <x:c r="N26" s="9" t="n">
        <x:v>12</x:v>
      </x:c>
      <x:c r="O26" s="9" t="n">
        <x:f>$C$8+N26</x:f>
        <x:v>32</x:v>
      </x:c>
      <x:c r="P26" s="26" t="n">
        <x:f>P25*((N26-1+$C$8)/N26)*(($I$8+N26-1)/($I$8+$J$8+$C$8+N26-1))</x:f>
        <x:v>0.007707714905350778</x:v>
      </x:c>
      <x:c r="Q26" s="26" t="n">
        <x:f>Q25+P26</x:f>
        <x:v>0.9835043558568775</x:v>
      </x:c>
      <x:c r="R26" s="9" t="n">
        <x:f>IF(AND(Q26&gt;='Method Controls'!$D$15,Q25&lt;'Method Controls'!$D$15),1,0)</x:f>
        <x:v>0</x:v>
      </x:c>
    </x:row>
    <x:row r="27">
      <x:c r="B27" s="9" t="n">
        <x:v>13</x:v>
      </x:c>
      <x:c r="C27" s="26" t="n">
        <x:f>C26*($J$7+B27-1)/($I$7+$J$7+B27-1)</x:f>
        <x:v>0.39642857142857146</x:v>
      </x:c>
      <x:c r="D27" s="36"/>
      <x:c r="E27" s="9" t="n">
        <x:v>13</x:v>
      </x:c>
      <x:c r="F27" s="26" t="n">
        <x:f>F26*($J$8+E27-1)/($I$8+$J$8+E27-1)</x:f>
        <x:v>0.17137438190069768</x:v>
      </x:c>
      <x:c r="G27" s="36"/>
      <x:c r="H27" s="9" t="n">
        <x:v>13</x:v>
      </x:c>
      <x:c r="I27" s="9" t="n">
        <x:f>$C$7+H27</x:f>
        <x:v>67</x:v>
      </x:c>
      <x:c r="J27" s="26" t="n">
        <x:f>J26*((H27-1+$C$7)/H27)*(($I$7+H27-1)/($I$7+$J$7+$C$7+H27-1))</x:f>
        <x:v>0.011225844074509692</x:v>
      </x:c>
      <x:c r="K27" s="26" t="n">
        <x:f>K26+J27</x:f>
        <x:v>0.9701962244699821</x:v>
      </x:c>
      <x:c r="L27" s="9" t="n">
        <x:f>IF(AND(K27&gt;='Method Controls'!$D$15,K26&lt;'Method Controls'!$D$15),1,0)</x:f>
        <x:v>0</x:v>
      </x:c>
      <x:c r="M27" s="36"/>
      <x:c r="N27" s="9" t="n">
        <x:v>13</x:v>
      </x:c>
      <x:c r="O27" s="9" t="n">
        <x:f>$C$8+N27</x:f>
        <x:v>33</x:v>
      </x:c>
      <x:c r="P27" s="26" t="n">
        <x:f>P26*((N27-1+$C$8)/N27)*(($I$8+N27-1)/($I$8+$J$8+$C$8+N27-1))</x:f>
        <x:v>0.005233885983474269</x:v>
      </x:c>
      <x:c r="Q27" s="26" t="n">
        <x:f>Q26+P27</x:f>
        <x:v>0.9887382418403518</x:v>
      </x:c>
      <x:c r="R27" s="9" t="n">
        <x:f>IF(AND(Q27&gt;='Method Controls'!$D$15,Q26&lt;'Method Controls'!$D$15),1,0)</x:f>
        <x:v>0</x:v>
      </x:c>
    </x:row>
    <x:row r="28">
      <x:c r="B28" s="9" t="n">
        <x:v>14</x:v>
      </x:c>
      <x:c r="C28" s="26" t="n">
        <x:f>C27*($J$7+B28-1)/($I$7+$J$7+B28-1)</x:f>
        <x:v>0.37310924369747905</x:v>
      </x:c>
      <x:c r="D28" s="36"/>
      <x:c r="E28" s="9" t="n">
        <x:v>14</x:v>
      </x:c>
      <x:c r="F28" s="26" t="n">
        <x:f>F27*($J$8+E28-1)/($I$8+$J$8+E28-1)</x:f>
        <x:v>0.15379752221857482</x:v>
      </x:c>
      <x:c r="G28" s="36"/>
      <x:c r="H28" s="9" t="n">
        <x:v>14</x:v>
      </x:c>
      <x:c r="I28" s="9" t="n">
        <x:f>$C$7+H28</x:f>
        <x:v>68</x:v>
      </x:c>
      <x:c r="J28" s="26" t="n">
        <x:f>J27*((H28-1+$C$7)/H28)*(($I$7+H28-1)/($I$7+$J$7+$C$7+H28-1))</x:f>
        <x:v>0.008186465882907749</x:v>
      </x:c>
      <x:c r="K28" s="26" t="n">
        <x:f>K27+J28</x:f>
        <x:v>0.9783826903528898</x:v>
      </x:c>
      <x:c r="L28" s="9" t="n">
        <x:f>IF(AND(K28&gt;='Method Controls'!$D$15,K27&lt;'Method Controls'!$D$15),1,0)</x:f>
        <x:v>0</x:v>
      </x:c>
      <x:c r="M28" s="36"/>
      <x:c r="N28" s="9" t="n">
        <x:v>14</x:v>
      </x:c>
      <x:c r="O28" s="9" t="n">
        <x:f>$C$8+N28</x:f>
        <x:v>34</x:v>
      </x:c>
      <x:c r="P28" s="26" t="n">
        <x:f>P27*((N28-1+$C$8)/N28)*(($I$8+N28-1)/($I$8+$J$8+$C$8+N28-1))</x:f>
        <x:v>0.003554733700640515</x:v>
      </x:c>
      <x:c r="Q28" s="26" t="n">
        <x:f>Q27+P28</x:f>
        <x:v>0.9922929755409923</x:v>
      </x:c>
      <x:c r="R28" s="9" t="n">
        <x:f>IF(AND(Q28&gt;='Method Controls'!$D$15,Q27&lt;'Method Controls'!$D$15),1,0)</x:f>
        <x:v>0</x:v>
      </x:c>
    </x:row>
    <x:row r="29">
      <x:c r="B29" s="9" t="n">
        <x:v>15</x:v>
      </x:c>
      <x:c r="C29" s="26" t="n">
        <x:f>C28*($J$7+B29-1)/($I$7+$J$7+B29-1)</x:f>
        <x:v>0.35158371040723985</x:v>
      </x:c>
      <x:c r="D29" s="36"/>
      <x:c r="E29" s="9" t="n">
        <x:v>15</x:v>
      </x:c>
      <x:c r="F29" s="26" t="n">
        <x:f>F28*($J$8+E29-1)/($I$8+$J$8+E29-1)</x:f>
        <x:v>0.13841776999671734</x:v>
      </x:c>
      <x:c r="G29" s="36"/>
      <x:c r="H29" s="9" t="n">
        <x:v>15</x:v>
      </x:c>
      <x:c r="I29" s="9" t="n">
        <x:f>$C$7+H29</x:f>
        <x:v>69</x:v>
      </x:c>
      <x:c r="J29" s="26" t="n">
        <x:f>J28*((H29-1+$C$7)/H29)*(($I$7+H29-1)/($I$7+$J$7+$C$7+H29-1))</x:f>
        <x:v>0.005951921107321609</x:v>
      </x:c>
      <x:c r="K29" s="26" t="n">
        <x:f>K28+J29</x:f>
        <x:v>0.9843346114602114</x:v>
      </x:c>
      <x:c r="L29" s="9" t="n">
        <x:f>IF(AND(K29&gt;='Method Controls'!$D$15,K28&lt;'Method Controls'!$D$15),1,0)</x:f>
        <x:v>0</x:v>
      </x:c>
      <x:c r="M29" s="36"/>
      <x:c r="N29" s="9" t="n">
        <x:v>15</x:v>
      </x:c>
      <x:c r="O29" s="9" t="n">
        <x:f>$C$8+N29</x:f>
        <x:v>35</x:v>
      </x:c>
      <x:c r="P29" s="26" t="n">
        <x:f>P28*((N29-1+$C$8)/N29)*(($I$8+N29-1)/($I$8+$J$8+$C$8+N29-1))</x:f>
        <x:v>0.00241721891643555</x:v>
      </x:c>
      <x:c r="Q29" s="26" t="n">
        <x:f>Q28+P29</x:f>
        <x:v>0.9947101944574278</x:v>
      </x:c>
      <x:c r="R29" s="9" t="n">
        <x:f>IF(AND(Q29&gt;='Method Controls'!$D$15,Q28&lt;'Method Controls'!$D$15),1,0)</x:f>
        <x:v>0</x:v>
      </x:c>
    </x:row>
    <x:row r="30">
      <x:c r="B30" s="9" t="n">
        <x:v>16</x:v>
      </x:c>
      <x:c r="C30" s="26" t="n">
        <x:f>C29*($J$7+B30-1)/($I$7+$J$7+B30-1)</x:f>
        <x:v>0.3316827456672074</x:v>
      </x:c>
      <x:c r="D30" s="36"/>
      <x:c r="E30" s="9" t="n">
        <x:v>16</x:v>
      </x:c>
      <x:c r="F30" s="26" t="n">
        <x:f>F29*($J$8+E30-1)/($I$8+$J$8+E30-1)</x:f>
        <x:v>0.12491359731411077</x:v>
      </x:c>
      <x:c r="G30" s="36"/>
      <x:c r="H30" s="9" t="n">
        <x:v>16</x:v>
      </x:c>
      <x:c r="I30" s="9" t="n">
        <x:f>$C$7+H30</x:f>
        <x:v>70</x:v>
      </x:c>
      <x:c r="J30" s="26" t="n">
        <x:f>J29*((H30-1+$C$7)/H30)*(($I$7+H30-1)/($I$7+$J$7+$C$7+H30-1))</x:f>
        <x:v>0.004317924074353644</x:v>
      </x:c>
      <x:c r="K30" s="26" t="n">
        <x:f>K29+J30</x:f>
        <x:v>0.988652535534565</x:v>
      </x:c>
      <x:c r="L30" s="9" t="n">
        <x:f>IF(AND(K30&gt;='Method Controls'!$D$15,K29&lt;'Method Controls'!$D$15),1,0)</x:f>
        <x:v>0</x:v>
      </x:c>
      <x:c r="M30" s="36"/>
      <x:c r="N30" s="9" t="n">
        <x:v>16</x:v>
      </x:c>
      <x:c r="O30" s="9" t="n">
        <x:f>$C$8+N30</x:f>
        <x:v>36</x:v>
      </x:c>
      <x:c r="P30" s="26" t="n">
        <x:f>P29*((N30-1+$C$8)/N30)*(($I$8+N30-1)/($I$8+$J$8+$C$8+N30-1))</x:f>
        <x:v>0.0016469780526943041</x:v>
      </x:c>
      <x:c r="Q30" s="26" t="n">
        <x:f>Q29+P30</x:f>
        <x:v>0.9963571725101221</x:v>
      </x:c>
      <x:c r="R30" s="9" t="n">
        <x:f>IF(AND(Q30&gt;='Method Controls'!$D$15,Q29&lt;'Method Controls'!$D$15),1,0)</x:f>
        <x:v>0</x:v>
      </x:c>
    </x:row>
    <x:row r="31">
      <x:c r="B31" s="9" t="n">
        <x:v>17</x:v>
      </x:c>
      <x:c r="C31" s="26" t="n">
        <x:f>C30*($J$7+B31-1)/($I$7+$J$7+B31-1)</x:f>
        <x:v>0.31325592646347367</x:v>
      </x:c>
      <x:c r="D31" s="36"/>
      <x:c r="E31" s="9" t="n">
        <x:v>17</x:v>
      </x:c>
      <x:c r="F31" s="26" t="n">
        <x:f>F30*($J$8+E31-1)/($I$8+$J$8+E31-1)</x:f>
        <x:v>0.11301706423657641</x:v>
      </x:c>
      <x:c r="G31" s="36"/>
      <x:c r="H31" s="9" t="n">
        <x:v>17</x:v>
      </x:c>
      <x:c r="I31" s="9" t="n">
        <x:f>$C$7+H31</x:f>
        <x:v>71</x:v>
      </x:c>
      <x:c r="J31" s="26" t="n">
        <x:f>J30*((H31-1+$C$7)/H31)*(($I$7+H31-1)/($I$7+$J$7+$C$7+H31-1))</x:f>
        <x:v>0.003127907962358576</x:v>
      </x:c>
      <x:c r="K31" s="26" t="n">
        <x:f>K30+J31</x:f>
        <x:v>0.9917804434969236</x:v>
      </x:c>
      <x:c r="L31" s="9" t="n">
        <x:f>IF(AND(K31&gt;='Method Controls'!$D$15,K30&lt;'Method Controls'!$D$15),1,0)</x:f>
        <x:v>0</x:v>
      </x:c>
      <x:c r="M31" s="36"/>
      <x:c r="N31" s="9" t="n">
        <x:v>17</x:v>
      </x:c>
      <x:c r="O31" s="9" t="n">
        <x:f>$C$8+N31</x:f>
        <x:v>37</x:v>
      </x:c>
      <x:c r="P31" s="26" t="n">
        <x:f>P30*((N31-1+$C$8)/N31)*(($I$8+N31-1)/($I$8+$J$8+$C$8+N31-1))</x:f>
        <x:v>0.0011250703965274185</x:v>
      </x:c>
      <x:c r="Q31" s="26" t="n">
        <x:f>Q30+P31</x:f>
        <x:v>0.9974822429066496</x:v>
      </x:c>
      <x:c r="R31" s="9" t="n">
        <x:f>IF(AND(Q31&gt;='Method Controls'!$D$15,Q30&lt;'Method Controls'!$D$15),1,0)</x:f>
        <x:v>0</x:v>
      </x:c>
    </x:row>
    <x:row r="32">
      <x:c r="B32" s="9" t="n">
        <x:v>18</x:v>
      </x:c>
      <x:c r="C32" s="26" t="n">
        <x:f>C31*($J$7+B32-1)/($I$7+$J$7+B32-1)</x:f>
        <x:v>0.296169239565466</x:v>
      </x:c>
      <x:c r="D32" s="36"/>
      <x:c r="E32" s="9" t="n">
        <x:v>18</x:v>
      </x:c>
      <x:c r="F32" s="26" t="n">
        <x:f>F31*($J$8+E32-1)/($I$8+$J$8+E32-1)</x:f>
        <x:v>0.10250384895875535</x:v>
      </x:c>
      <x:c r="G32" s="36"/>
      <x:c r="H32" s="9" t="n">
        <x:v>18</x:v>
      </x:c>
      <x:c r="I32" s="9" t="n">
        <x:f>$C$7+H32</x:f>
        <x:v>72</x:v>
      </x:c>
      <x:c r="J32" s="26" t="n">
        <x:f>J31*((H32-1+$C$7)/H32)*(($I$7+H32-1)/($I$7+$J$7+$C$7+H32-1))</x:f>
        <x:v>0.0022638273733685925</x:v>
      </x:c>
      <x:c r="K32" s="26" t="n">
        <x:f>K31+J32</x:f>
        <x:v>0.9940442708702922</x:v>
      </x:c>
      <x:c r="L32" s="9" t="n">
        <x:f>IF(AND(K32&gt;='Method Controls'!$D$15,K31&lt;'Method Controls'!$D$15),1,0)</x:f>
        <x:v>0</x:v>
      </x:c>
      <x:c r="M32" s="36"/>
      <x:c r="N32" s="9" t="n">
        <x:v>18</x:v>
      </x:c>
      <x:c r="O32" s="9" t="n">
        <x:f>$C$8+N32</x:f>
        <x:v>38</x:v>
      </x:c>
      <x:c r="P32" s="26" t="n">
        <x:f>P31*((N32-1+$C$8)/N32)*(($I$8+N32-1)/($I$8+$J$8+$C$8+N32-1))</x:f>
        <x:v>0.0007708815679910088</x:v>
      </x:c>
      <x:c r="Q32" s="26" t="n">
        <x:f>Q31+P32</x:f>
        <x:v>0.9982531244746405</x:v>
      </x:c>
      <x:c r="R32" s="9" t="n">
        <x:f>IF(AND(Q32&gt;='Method Controls'!$D$15,Q31&lt;'Method Controls'!$D$15),1,0)</x:f>
        <x:v>0</x:v>
      </x:c>
    </x:row>
    <x:row r="33">
      <x:c r="B33" s="9" t="n">
        <x:v>19</x:v>
      </x:c>
      <x:c r="C33" s="26" t="n">
        <x:f>C32*($J$7+B33-1)/($I$7+$J$7+B33-1)</x:f>
        <x:v>0.28030303030303033</x:v>
      </x:c>
      <x:c r="D33" s="36"/>
      <x:c r="E33" s="9" t="n">
        <x:v>19</x:v>
      </x:c>
      <x:c r="F33" s="26" t="n">
        <x:f>F32*($J$8+E33-1)/($I$8+$J$8+E33-1)</x:f>
        <x:v>0.09318531723523214</x:v>
      </x:c>
      <x:c r="G33" s="36"/>
      <x:c r="H33" s="9" t="n">
        <x:v>19</x:v>
      </x:c>
      <x:c r="I33" s="9" t="n">
        <x:f>$C$7+H33</x:f>
        <x:v>73</x:v>
      </x:c>
      <x:c r="J33" s="26" t="n">
        <x:f>J32*((H33-1+$C$7)/H33)*(($I$7+H33-1)/($I$7+$J$7+$C$7+H33-1))</x:f>
        <x:v>0.0016377545399680917</x:v>
      </x:c>
      <x:c r="K33" s="26" t="n">
        <x:f>K32+J33</x:f>
        <x:v>0.9956820254102603</x:v>
      </x:c>
      <x:c r="L33" s="9" t="n">
        <x:f>IF(AND(K33&gt;='Method Controls'!$D$15,K32&lt;'Method Controls'!$D$15),1,0)</x:f>
        <x:v>0</x:v>
      </x:c>
      <x:c r="M33" s="36"/>
      <x:c r="N33" s="9" t="n">
        <x:v>19</x:v>
      </x:c>
      <x:c r="O33" s="9" t="n">
        <x:f>$C$8+N33</x:f>
        <x:v>39</x:v>
      </x:c>
      <x:c r="P33" s="26" t="n">
        <x:f>P32*((N33-1+$C$8)/N33)*(($I$8+N33-1)/($I$8+$J$8+$C$8+N33-1))</x:f>
        <x:v>0.0005299810779938186</x:v>
      </x:c>
      <x:c r="Q33" s="26" t="n">
        <x:f>Q32+P33</x:f>
        <x:v>0.9987831055526344</x:v>
      </x:c>
      <x:c r="R33" s="9" t="n">
        <x:f>IF(AND(Q33&gt;='Method Controls'!$D$15,Q32&lt;'Method Controls'!$D$15),1,0)</x:f>
        <x:v>0</x:v>
      </x:c>
    </x:row>
    <x:row r="34">
      <x:c r="B34" s="9" t="n">
        <x:v>20</x:v>
      </x:c>
      <x:c r="C34" s="26" t="n">
        <x:f>C33*($J$7+B34-1)/($I$7+$J$7+B34-1)</x:f>
        <x:v>0.2655502392344498</x:v>
      </x:c>
      <x:c r="D34" s="36"/>
      <x:c r="E34" s="10" t="n">
        <x:v>20</x:v>
      </x:c>
      <x:c r="F34" s="27" t="n">
        <x:f>F33*($J$8+E34-1)/($I$8+$J$8+E34-1)</x:f>
        <x:v>0.08490217792543372</x:v>
      </x:c>
      <x:c r="G34" s="36"/>
      <x:c r="H34" s="9" t="n">
        <x:v>20</x:v>
      </x:c>
      <x:c r="I34" s="9" t="n">
        <x:f>$C$7+H34</x:f>
        <x:v>74</x:v>
      </x:c>
      <x:c r="J34" s="26" t="n">
        <x:f>J33*((H34-1+$C$7)/H34)*(($I$7+H34-1)/($I$7+$J$7+$C$7+H34-1))</x:f>
        <x:v>0.0011847899960309707</x:v>
      </x:c>
      <x:c r="K34" s="26" t="n">
        <x:f>K33+J34</x:f>
        <x:v>0.9968668154062913</x:v>
      </x:c>
      <x:c r="L34" s="9" t="n">
        <x:f>IF(AND(K34&gt;='Method Controls'!$D$15,K33&lt;'Method Controls'!$D$15),1,0)</x:f>
        <x:v>0</x:v>
      </x:c>
      <x:c r="M34" s="36"/>
      <x:c r="N34" s="9" t="n">
        <x:v>20</x:v>
      </x:c>
      <x:c r="O34" s="9" t="n">
        <x:f>$C$8+N34</x:f>
        <x:v>40</x:v>
      </x:c>
      <x:c r="P34" s="26" t="n">
        <x:f>P33*((N34-1+$C$8)/N34)*(($I$8+N34-1)/($I$8+$J$8+$C$8+N34-1))</x:f>
        <x:v>0.00036568694381573476</x:v>
      </x:c>
      <x:c r="Q34" s="26" t="n">
        <x:f>Q33+P34</x:f>
        <x:v>0.9991487924964502</x:v>
      </x:c>
      <x:c r="R34" s="9" t="n">
        <x:f>IF(AND(Q34&gt;='Method Controls'!$D$15,Q33&lt;'Method Controls'!$D$15),1,0)</x:f>
        <x:v>0</x:v>
      </x:c>
    </x:row>
    <x:row r="35">
      <x:c r="B35" s="9" t="n">
        <x:v>21</x:v>
      </x:c>
      <x:c r="C35" s="26" t="n">
        <x:f>C34*($J$7+B35-1)/($I$7+$J$7+B35-1)</x:f>
        <x:v>0.25181488203266794</x:v>
      </x:c>
      <x:c r="D35" s="36"/>
      <x:c r="E35" s="36"/>
      <x:c r="F35" s="36"/>
      <x:c r="G35" s="36"/>
      <x:c r="H35" s="9" t="n">
        <x:v>21</x:v>
      </x:c>
      <x:c r="I35" s="9" t="n">
        <x:f>$C$7+H35</x:f>
        <x:v>75</x:v>
      </x:c>
      <x:c r="J35" s="26" t="n">
        <x:f>J34*((H35-1+$C$7)/H35)*(($I$7+H35-1)/($I$7+$J$7+$C$7+H35-1))</x:f>
        <x:v>0.0008573607879441802</x:v>
      </x:c>
      <x:c r="K35" s="26" t="n">
        <x:f>K34+J35</x:f>
        <x:v>0.9977241761942355</x:v>
      </x:c>
      <x:c r="L35" s="9" t="n">
        <x:f>IF(AND(K35&gt;='Method Controls'!$D$15,K34&lt;'Method Controls'!$D$15),1,0)</x:f>
        <x:v>0</x:v>
      </x:c>
      <x:c r="M35" s="36"/>
      <x:c r="N35" s="9" t="n">
        <x:v>21</x:v>
      </x:c>
      <x:c r="O35" s="9" t="n">
        <x:f>$C$8+N35</x:f>
        <x:v>41</x:v>
      </x:c>
      <x:c r="P35" s="26" t="n">
        <x:f>P34*((N35-1+$C$8)/N35)*(($I$8+N35-1)/($I$8+$J$8+$C$8+N35-1))</x:f>
        <x:v>0.0002532896580541886</x:v>
      </x:c>
      <x:c r="Q35" s="26" t="n">
        <x:f>Q34+P35</x:f>
        <x:v>0.9994020821545043</x:v>
      </x:c>
      <x:c r="R35" s="9" t="n">
        <x:f>IF(AND(Q35&gt;='Method Controls'!$D$15,Q34&lt;'Method Controls'!$D$15),1,0)</x:f>
        <x:v>0</x:v>
      </x:c>
    </x:row>
    <x:row r="36">
      <x:c r="B36" s="9" t="n">
        <x:v>22</x:v>
      </x:c>
      <x:c r="C36" s="26" t="n">
        <x:f>C35*($J$7+B36-1)/($I$7+$J$7+B36-1)</x:f>
        <x:v>0.23901073548863397</x:v>
      </x:c>
      <x:c r="D36" s="36"/>
      <x:c r="E36" s="36"/>
      <x:c r="F36" s="36"/>
      <x:c r="G36" s="36"/>
      <x:c r="H36" s="9" t="n">
        <x:v>22</x:v>
      </x:c>
      <x:c r="I36" s="9" t="n">
        <x:f>$C$7+H36</x:f>
        <x:v>76</x:v>
      </x:c>
      <x:c r="J36" s="26" t="n">
        <x:f>J35*((H36-1+$C$7)/H36)*(($I$7+H36-1)/($I$7+$J$7+$C$7+H36-1))</x:f>
        <x:v>0.0006207761135557219</x:v>
      </x:c>
      <x:c r="K36" s="26" t="n">
        <x:f>K35+J36</x:f>
        <x:v>0.9983449523077912</x:v>
      </x:c>
      <x:c r="L36" s="9" t="n">
        <x:f>IF(AND(K36&gt;='Method Controls'!$D$15,K35&lt;'Method Controls'!$D$15),1,0)</x:f>
        <x:v>0</x:v>
      </x:c>
      <x:c r="M36" s="36"/>
      <x:c r="N36" s="9" t="n">
        <x:v>22</x:v>
      </x:c>
      <x:c r="O36" s="9" t="n">
        <x:f>$C$8+N36</x:f>
        <x:v>42</x:v>
      </x:c>
      <x:c r="P36" s="26" t="n">
        <x:f>P35*((N36-1+$C$8)/N36)*(($I$8+N36-1)/($I$8+$J$8+$C$8+N36-1))</x:f>
        <x:v>0.0001761342601801515</x:v>
      </x:c>
      <x:c r="Q36" s="26" t="n">
        <x:f>Q35+P36</x:f>
        <x:v>0.9995782164146845</x:v>
      </x:c>
      <x:c r="R36" s="9" t="n">
        <x:f>IF(AND(Q36&gt;='Method Controls'!$D$15,Q35&lt;'Method Controls'!$D$15),1,0)</x:f>
        <x:v>0</x:v>
      </x:c>
    </x:row>
    <x:row r="37">
      <x:c r="B37" s="9" t="n">
        <x:v>23</x:v>
      </x:c>
      <x:c r="C37" s="26" t="n">
        <x:f>C36*($J$7+B37-1)/($I$7+$J$7+B37-1)</x:f>
        <x:v>0.22706019871420227</x:v>
      </x:c>
      <x:c r="D37" s="36"/>
      <x:c r="E37" s="36"/>
      <x:c r="F37" s="36"/>
      <x:c r="G37" s="36"/>
      <x:c r="H37" s="9" t="n">
        <x:v>23</x:v>
      </x:c>
      <x:c r="I37" s="9" t="n">
        <x:f>$C$7+H37</x:f>
        <x:v>77</x:v>
      </x:c>
      <x:c r="J37" s="26" t="n">
        <x:f>J36*((H37-1+$C$7)/H37)*(($I$7+H37-1)/($I$7+$J$7+$C$7+H37-1))</x:f>
        <x:v>0.0004498377634461753</x:v>
      </x:c>
      <x:c r="K37" s="26" t="n">
        <x:f>K36+J37</x:f>
        <x:v>0.9987947900712374</x:v>
      </x:c>
      <x:c r="L37" s="9" t="n">
        <x:f>IF(AND(K37&gt;='Method Controls'!$D$15,K36&lt;'Method Controls'!$D$15),1,0)</x:f>
        <x:v>0</x:v>
      </x:c>
      <x:c r="M37" s="36"/>
      <x:c r="N37" s="9" t="n">
        <x:v>23</x:v>
      </x:c>
      <x:c r="O37" s="9" t="n">
        <x:f>$C$8+N37</x:f>
        <x:v>43</x:v>
      </x:c>
      <x:c r="P37" s="26" t="n">
        <x:f>P36*((N37-1+$C$8)/N37)*(($I$8+N37-1)/($I$8+$J$8+$C$8+N37-1))</x:f>
        <x:v>0.00012297865224854566</x:v>
      </x:c>
      <x:c r="Q37" s="26" t="n">
        <x:f>Q36+P37</x:f>
        <x:v>0.999701195066933</x:v>
      </x:c>
      <x:c r="R37" s="9" t="n">
        <x:f>IF(AND(Q37&gt;='Method Controls'!$D$15,Q36&lt;'Method Controls'!$D$15),1,0)</x:f>
        <x:v>0</x:v>
      </x:c>
    </x:row>
    <x:row r="38">
      <x:c r="B38" s="9" t="n">
        <x:v>24</x:v>
      </x:c>
      <x:c r="C38" s="26" t="n">
        <x:f>C37*($J$7+B38-1)/($I$7+$J$7+B38-1)</x:f>
        <x:v>0.21589330369547102</x:v>
      </x:c>
      <x:c r="D38" s="36"/>
      <x:c r="E38" s="36"/>
      <x:c r="F38" s="36"/>
      <x:c r="G38" s="36"/>
      <x:c r="H38" s="9" t="n">
        <x:v>24</x:v>
      </x:c>
      <x:c r="I38" s="9" t="n">
        <x:f>$C$7+H38</x:f>
        <x:v>78</x:v>
      </x:c>
      <x:c r="J38" s="26" t="n">
        <x:f>J37*((H38-1+$C$7)/H38)*(($I$7+H38-1)/($I$7+$J$7+$C$7+H38-1))</x:f>
        <x:v>0.00032629536319537784</x:v>
      </x:c>
      <x:c r="K38" s="26" t="n">
        <x:f>K37+J38</x:f>
        <x:v>0.9991210854344328</x:v>
      </x:c>
      <x:c r="L38" s="9" t="n">
        <x:f>IF(AND(K38&gt;='Method Controls'!$D$15,K37&lt;'Method Controls'!$D$15),1,0)</x:f>
        <x:v>0</x:v>
      </x:c>
      <x:c r="M38" s="36"/>
      <x:c r="N38" s="9" t="n">
        <x:v>24</x:v>
      </x:c>
      <x:c r="O38" s="9" t="n">
        <x:f>$C$8+N38</x:f>
        <x:v>44</x:v>
      </x:c>
      <x:c r="P38" s="26" t="n">
        <x:f>P37*((N38-1+$C$8)/N38)*(($I$8+N38-1)/($I$8+$J$8+$C$8+N38-1))</x:f>
        <x:v>0.00008621872902207821</x:v>
      </x:c>
      <x:c r="Q38" s="26" t="n">
        <x:f>Q37+P38</x:f>
        <x:v>0.999787413795955</x:v>
      </x:c>
      <x:c r="R38" s="9" t="n">
        <x:f>IF(AND(Q38&gt;='Method Controls'!$D$15,Q37&lt;'Method Controls'!$D$15),1,0)</x:f>
        <x:v>0</x:v>
      </x:c>
    </x:row>
    <x:row r="39">
      <x:c r="B39" s="9" t="n">
        <x:v>25</x:v>
      </x:c>
      <x:c r="C39" s="26" t="n">
        <x:f>C38*($J$7+B39-1)/($I$7+$J$7+B39-1)</x:f>
        <x:v>0.2054468535166579</x:v>
      </x:c>
      <x:c r="D39" s="36"/>
      <x:c r="E39" s="36"/>
      <x:c r="F39" s="36"/>
      <x:c r="G39" s="36"/>
      <x:c r="H39" s="9" t="n">
        <x:v>25</x:v>
      </x:c>
      <x:c r="I39" s="9" t="n">
        <x:f>$C$7+H39</x:f>
        <x:v>79</x:v>
      </x:c>
      <x:c r="J39" s="26" t="n">
        <x:f>J38*((H39-1+$C$7)/H39)*(($I$7+H39-1)/($I$7+$J$7+$C$7+H39-1))</x:f>
        <x:v>0.000236957943065333</x:v>
      </x:c>
      <x:c r="K39" s="26" t="n">
        <x:f>K38+J39</x:f>
        <x:v>0.9993580433774981</x:v>
      </x:c>
      <x:c r="L39" s="9" t="n">
        <x:f>IF(AND(K39&gt;='Method Controls'!$D$15,K38&lt;'Method Controls'!$D$15),1,0)</x:f>
        <x:v>0</x:v>
      </x:c>
      <x:c r="M39" s="36"/>
      <x:c r="N39" s="9" t="n">
        <x:v>25</x:v>
      </x:c>
      <x:c r="O39" s="9" t="n">
        <x:f>$C$8+N39</x:f>
        <x:v>45</x:v>
      </x:c>
      <x:c r="P39" s="26" t="n">
        <x:f>P38*((N39-1+$C$8)/N39)*(($I$8+N39-1)/($I$8+$J$8+$C$8+N39-1))</x:f>
        <x:v>0.00006069798523154306</x:v>
      </x:c>
      <x:c r="Q39" s="26" t="n">
        <x:f>Q38+P39</x:f>
        <x:v>0.9998481117811866</x:v>
      </x:c>
      <x:c r="R39" s="9" t="n">
        <x:f>IF(AND(Q39&gt;='Method Controls'!$D$15,Q38&lt;'Method Controls'!$D$15),1,0)</x:f>
        <x:v>0</x:v>
      </x:c>
    </x:row>
    <x:row r="40">
      <x:c r="B40" s="9" t="n">
        <x:v>26</x:v>
      </x:c>
      <x:c r="C40" s="26" t="n">
        <x:f>C39*($J$7+B40-1)/($I$7+$J$7+B40-1)</x:f>
        <x:v>0.19566367001586465</x:v>
      </x:c>
      <x:c r="D40" s="36"/>
      <x:c r="E40" s="36"/>
      <x:c r="F40" s="36"/>
      <x:c r="G40" s="36"/>
      <x:c r="H40" s="9" t="n">
        <x:v>26</x:v>
      </x:c>
      <x:c r="I40" s="9" t="n">
        <x:f>$C$7+H40</x:f>
        <x:v>80</x:v>
      </x:c>
      <x:c r="J40" s="26" t="n">
        <x:f>J39*((H40-1+$C$7)/H40)*(($I$7+H40-1)/($I$7+$J$7+$C$7+H40-1))</x:f>
        <x:v>0.00017230472388577142</x:v>
      </x:c>
      <x:c r="K40" s="26" t="n">
        <x:f>K39+J40</x:f>
        <x:v>0.9995303481013839</x:v>
      </x:c>
      <x:c r="L40" s="9" t="n">
        <x:f>IF(AND(K40&gt;='Method Controls'!$D$15,K39&lt;'Method Controls'!$D$15),1,0)</x:f>
        <x:v>0</x:v>
      </x:c>
      <x:c r="M40" s="36"/>
      <x:c r="N40" s="9" t="n">
        <x:v>26</x:v>
      </x:c>
      <x:c r="O40" s="9" t="n">
        <x:f>$C$8+N40</x:f>
        <x:v>46</x:v>
      </x:c>
      <x:c r="P40" s="26" t="n">
        <x:f>P39*((N40-1+$C$8)/N40)*(($I$8+N40-1)/($I$8+$J$8+$C$8+N40-1))</x:f>
        <x:v>0.00004290946409922194</x:v>
      </x:c>
      <x:c r="Q40" s="26" t="n">
        <x:f>Q39+P40</x:f>
        <x:v>0.9998910212452858</x:v>
      </x:c>
      <x:c r="R40" s="9" t="n">
        <x:f>IF(AND(Q40&gt;='Method Controls'!$D$15,Q39&lt;'Method Controls'!$D$15),1,0)</x:f>
        <x:v>0</x:v>
      </x:c>
    </x:row>
    <x:row r="41">
      <x:c r="B41" s="9" t="n">
        <x:v>27</x:v>
      </x:c>
      <x:c r="C41" s="26" t="n">
        <x:f>C40*($J$7+B41-1)/($I$7+$J$7+B41-1)</x:f>
        <x:v>0.186491935483871</x:v>
      </x:c>
      <x:c r="D41" s="36"/>
      <x:c r="E41" s="36"/>
      <x:c r="F41" s="36"/>
      <x:c r="G41" s="36"/>
      <x:c r="H41" s="9" t="n">
        <x:v>27</x:v>
      </x:c>
      <x:c r="I41" s="9" t="n">
        <x:f>$C$7+H41</x:f>
        <x:v>81</x:v>
      </x:c>
      <x:c r="J41" s="26" t="n">
        <x:f>J40*((H41-1+$C$7)/H41)*(($I$7+H41-1)/($I$7+$J$7+$C$7+H41-1))</x:f>
        <x:v>0.00012546985543471115</x:v>
      </x:c>
      <x:c r="K41" s="26" t="n">
        <x:f>K40+J41</x:f>
        <x:v>0.9996558179568186</x:v>
      </x:c>
      <x:c r="L41" s="9" t="n">
        <x:f>IF(AND(K41&gt;='Method Controls'!$D$15,K40&lt;'Method Controls'!$D$15),1,0)</x:f>
        <x:v>0</x:v>
      </x:c>
      <x:c r="M41" s="36"/>
      <x:c r="N41" s="9" t="n">
        <x:v>27</x:v>
      </x:c>
      <x:c r="O41" s="9" t="n">
        <x:f>$C$8+N41</x:f>
        <x:v>47</x:v>
      </x:c>
      <x:c r="P41" s="26" t="n">
        <x:f>P40*((N41-1+$C$8)/N41)*(($I$8+N41-1)/($I$8+$J$8+$C$8+N41-1))</x:f>
        <x:v>0.00003046042204574397</x:v>
      </x:c>
      <x:c r="Q41" s="26" t="n">
        <x:f>Q40+P41</x:f>
        <x:v>0.9999214816673316</x:v>
      </x:c>
      <x:c r="R41" s="9" t="n">
        <x:f>IF(AND(Q41&gt;='Method Controls'!$D$15,Q40&lt;'Method Controls'!$D$15),1,0)</x:f>
        <x:v>0</x:v>
      </x:c>
    </x:row>
    <x:row r="42">
      <x:c r="B42" s="9" t="n">
        <x:v>28</x:v>
      </x:c>
      <x:c r="C42" s="26" t="n">
        <x:f>C41*($J$7+B42-1)/($I$7+$J$7+B42-1)</x:f>
        <x:v>0.17788461538461542</x:v>
      </x:c>
      <x:c r="D42" s="36"/>
      <x:c r="E42" s="36"/>
      <x:c r="F42" s="36"/>
      <x:c r="G42" s="36"/>
      <x:c r="H42" s="9" t="n">
        <x:v>28</x:v>
      </x:c>
      <x:c r="I42" s="9" t="n">
        <x:f>$C$7+H42</x:f>
        <x:v>82</x:v>
      </x:c>
      <x:c r="J42" s="26" t="n">
        <x:f>J41*((H42-1+$C$7)/H42)*(($I$7+H42-1)/($I$7+$J$7+$C$7+H42-1))</x:f>
        <x:v>0.00009150412626240939</x:v>
      </x:c>
      <x:c r="K42" s="26" t="n">
        <x:f>K41+J42</x:f>
        <x:v>0.9997473220830809</x:v>
      </x:c>
      <x:c r="L42" s="9" t="n">
        <x:f>IF(AND(K42&gt;='Method Controls'!$D$15,K41&lt;'Method Controls'!$D$15),1,0)</x:f>
        <x:v>0</x:v>
      </x:c>
      <x:c r="M42" s="36"/>
      <x:c r="N42" s="9" t="n">
        <x:v>28</x:v>
      </x:c>
      <x:c r="O42" s="9" t="n">
        <x:f>$C$8+N42</x:f>
        <x:v>48</x:v>
      </x:c>
      <x:c r="P42" s="26" t="n">
        <x:f>P41*((N42-1+$C$8)/N42)*(($I$8+N42-1)/($I$8+$J$8+$C$8+N42-1))</x:f>
        <x:v>0.000021712737241022</x:v>
      </x:c>
      <x:c r="Q42" s="26" t="n">
        <x:f>Q41+P42</x:f>
        <x:v>0.9999431944045727</x:v>
      </x:c>
      <x:c r="R42" s="9" t="n">
        <x:f>IF(AND(Q42&gt;='Method Controls'!$D$15,Q41&lt;'Method Controls'!$D$15),1,0)</x:f>
        <x:v>0</x:v>
      </x:c>
    </x:row>
    <x:row r="43">
      <x:c r="B43" s="9" t="n">
        <x:v>29</x:v>
      </x:c>
      <x:c r="C43" s="26" t="n">
        <x:f>C42*($J$7+B43-1)/($I$7+$J$7+B43-1)</x:f>
        <x:v>0.1697989510489511</x:v>
      </x:c>
      <x:c r="D43" s="36"/>
      <x:c r="E43" s="36"/>
      <x:c r="F43" s="36"/>
      <x:c r="G43" s="36"/>
      <x:c r="H43" s="9" t="n">
        <x:v>29</x:v>
      </x:c>
      <x:c r="I43" s="9" t="n">
        <x:f>$C$7+H43</x:f>
        <x:v>83</x:v>
      </x:c>
      <x:c r="J43" s="26" t="n">
        <x:f>J42*((H43-1+$C$7)/H43)*(($I$7+H43-1)/($I$7+$J$7+$C$7+H43-1))</x:f>
        <x:v>0.00006684008303420826</x:v>
      </x:c>
      <x:c r="K43" s="26" t="n">
        <x:f>K42+J43</x:f>
        <x:v>0.9998141621661152</x:v>
      </x:c>
      <x:c r="L43" s="9" t="n">
        <x:f>IF(AND(K43&gt;='Method Controls'!$D$15,K42&lt;'Method Controls'!$D$15),1,0)</x:f>
        <x:v>0</x:v>
      </x:c>
      <x:c r="M43" s="36"/>
      <x:c r="N43" s="9" t="n">
        <x:v>29</x:v>
      </x:c>
      <x:c r="O43" s="9" t="n">
        <x:f>$C$8+N43</x:f>
        <x:v>49</x:v>
      </x:c>
      <x:c r="P43" s="26" t="n">
        <x:f>P42*((N43-1+$C$8)/N43)*(($I$8+N43-1)/($I$8+$J$8+$C$8+N43-1))</x:f>
        <x:v>0.000015540896739147155</x:v>
      </x:c>
      <x:c r="Q43" s="26" t="n">
        <x:f>Q42+P43</x:f>
        <x:v>0.9999587353013119</x:v>
      </x:c>
      <x:c r="R43" s="9" t="n">
        <x:f>IF(AND(Q43&gt;='Method Controls'!$D$15,Q42&lt;'Method Controls'!$D$15),1,0)</x:f>
        <x:v>0</x:v>
      </x:c>
    </x:row>
    <x:row r="44">
      <x:c r="B44" s="9" t="n">
        <x:v>30</x:v>
      </x:c>
      <x:c r="C44" s="26" t="n">
        <x:f>C43*($J$7+B44-1)/($I$7+$J$7+B44-1)</x:f>
        <x:v>0.16219601294228164</x:v>
      </x:c>
      <x:c r="D44" s="36"/>
      <x:c r="E44" s="36"/>
      <x:c r="F44" s="36"/>
      <x:c r="G44" s="36"/>
      <x:c r="H44" s="9" t="n">
        <x:v>30</x:v>
      </x:c>
      <x:c r="I44" s="9" t="n">
        <x:f>$C$7+H44</x:f>
        <x:v>84</x:v>
      </x:c>
      <x:c r="J44" s="26" t="n">
        <x:f>J43*((H44-1+$C$7)/H44)*(($I$7+H44-1)/($I$7+$J$7+$C$7+H44-1))</x:f>
        <x:v>0.00004890558141566312</x:v>
      </x:c>
      <x:c r="K44" s="26" t="n">
        <x:f>K43+J44</x:f>
        <x:v>0.9998630677475309</x:v>
      </x:c>
      <x:c r="L44" s="9" t="n">
        <x:f>IF(AND(K44&gt;='Method Controls'!$D$15,K43&lt;'Method Controls'!$D$15),1,0)</x:f>
        <x:v>0</x:v>
      </x:c>
      <x:c r="M44" s="36"/>
      <x:c r="N44" s="9" t="n">
        <x:v>30</x:v>
      </x:c>
      <x:c r="O44" s="9" t="n">
        <x:f>$C$8+N44</x:f>
        <x:v>50</x:v>
      </x:c>
      <x:c r="P44" s="26" t="n">
        <x:f>P43*((N44-1+$C$8)/N44)*(($I$8+N44-1)/($I$8+$J$8+$C$8+N44-1))</x:f>
        <x:v>0.000011168724456533755</x:v>
      </x:c>
      <x:c r="Q44" s="26" t="n">
        <x:f>Q43+P44</x:f>
        <x:v>0.9999699040257684</x:v>
      </x:c>
      <x:c r="R44" s="9" t="n">
        <x:f>IF(AND(Q44&gt;='Method Controls'!$D$15,Q43&lt;'Method Controls'!$D$15),1,0)</x:f>
        <x:v>0</x:v>
      </x:c>
    </x:row>
    <x:row r="45">
      <x:c r="B45" s="9" t="n">
        <x:v>31</x:v>
      </x:c>
      <x:c r="C45" s="26" t="n">
        <x:f>C44*($J$7+B45-1)/($I$7+$J$7+B45-1)</x:f>
        <x:v>0.15504030648894568</x:v>
      </x:c>
      <x:c r="D45" s="36"/>
      <x:c r="E45" s="36"/>
      <x:c r="F45" s="36"/>
      <x:c r="G45" s="36"/>
      <x:c r="H45" s="9" t="n">
        <x:v>31</x:v>
      </x:c>
      <x:c r="I45" s="9" t="n">
        <x:f>$C$7+H45</x:f>
        <x:v>85</x:v>
      </x:c>
      <x:c r="J45" s="26" t="n">
        <x:f>J44*((H45-1+$C$7)/H45)*(($I$7+H45-1)/($I$7+$J$7+$C$7+H45-1))</x:f>
        <x:v>0.000035845127362299885</x:v>
      </x:c>
      <x:c r="K45" s="26" t="n">
        <x:f>K44+J45</x:f>
        <x:v>0.9998989128748932</x:v>
      </x:c>
      <x:c r="L45" s="9" t="n">
        <x:f>IF(AND(K45&gt;='Method Controls'!$D$15,K44&lt;'Method Controls'!$D$15),1,0)</x:f>
        <x:v>0</x:v>
      </x:c>
      <x:c r="M45" s="36"/>
      <x:c r="N45" s="9" t="n">
        <x:v>31</x:v>
      </x:c>
      <x:c r="O45" s="9" t="n">
        <x:f>$C$8+N45</x:f>
        <x:v>51</x:v>
      </x:c>
      <x:c r="P45" s="26" t="n">
        <x:f>P44*((N45-1+$C$8)/N45)*(($I$8+N45-1)/($I$8+$J$8+$C$8+N45-1))</x:f>
        <x:v>0.000008058926814986155</x:v>
      </x:c>
      <x:c r="Q45" s="26" t="n">
        <x:f>Q44+P45</x:f>
        <x:v>0.9999779629525833</x:v>
      </x:c>
      <x:c r="R45" s="9" t="n">
        <x:f>IF(AND(Q45&gt;='Method Controls'!$D$15,Q44&lt;'Method Controls'!$D$15),1,0)</x:f>
        <x:v>0</x:v>
      </x:c>
    </x:row>
    <x:row r="46">
      <x:c r="B46" s="9" t="n">
        <x:v>32</x:v>
      </x:c>
      <x:c r="C46" s="26" t="n">
        <x:f>C45*($J$7+B46-1)/($I$7+$J$7+B46-1)</x:f>
        <x:v>0.14829942359812195</x:v>
      </x:c>
      <x:c r="D46" s="36"/>
      <x:c r="E46" s="36"/>
      <x:c r="F46" s="36"/>
      <x:c r="G46" s="36"/>
      <x:c r="H46" s="9" t="n">
        <x:v>32</x:v>
      </x:c>
      <x:c r="I46" s="9" t="n">
        <x:f>$C$7+H46</x:f>
        <x:v>86</x:v>
      </x:c>
      <x:c r="J46" s="26" t="n">
        <x:f>J45*((H46-1+$C$7)/H46)*(($I$7+H46-1)/($I$7+$J$7+$C$7+H46-1))</x:f>
        <x:v>0.000026319211909818767</x:v>
      </x:c>
      <x:c r="K46" s="26" t="n">
        <x:f>K45+J46</x:f>
        <x:v>0.999925232086803</x:v>
      </x:c>
      <x:c r="L46" s="9" t="n">
        <x:f>IF(AND(K46&gt;='Method Controls'!$D$15,K45&lt;'Method Controls'!$D$15),1,0)</x:f>
        <x:v>0</x:v>
      </x:c>
      <x:c r="M46" s="36"/>
      <x:c r="N46" s="9" t="n">
        <x:v>32</x:v>
      </x:c>
      <x:c r="O46" s="9" t="n">
        <x:f>$C$8+N46</x:f>
        <x:v>52</x:v>
      </x:c>
      <x:c r="P46" s="26" t="n">
        <x:f>P45*((N46-1+$C$8)/N46)*(($I$8+N46-1)/($I$8+$J$8+$C$8+N46-1))</x:f>
        <x:v>0.000005838143005174629</x:v>
      </x:c>
      <x:c r="Q46" s="26" t="n">
        <x:f>Q45+P46</x:f>
        <x:v>0.9999838010955885</x:v>
      </x:c>
      <x:c r="R46" s="9" t="n">
        <x:f>IF(AND(Q46&gt;='Method Controls'!$D$15,Q45&lt;'Method Controls'!$D$15),1,0)</x:f>
        <x:v>0</x:v>
      </x:c>
    </x:row>
    <x:row r="47">
      <x:c r="B47" s="9" t="n">
        <x:v>33</x:v>
      </x:c>
      <x:c r="C47" s="26" t="n">
        <x:f>C46*($J$7+B47-1)/($I$7+$J$7+B47-1)</x:f>
        <x:v>0.14194373401534532</x:v>
      </x:c>
      <x:c r="D47" s="36"/>
      <x:c r="E47" s="36"/>
      <x:c r="F47" s="36"/>
      <x:c r="G47" s="36"/>
      <x:c r="H47" s="9" t="n">
        <x:v>33</x:v>
      </x:c>
      <x:c r="I47" s="9" t="n">
        <x:f>$C$7+H47</x:f>
        <x:v>87</x:v>
      </x:c>
      <x:c r="J47" s="26" t="n">
        <x:f>J46*((H47-1+$C$7)/H47)*(($I$7+H47-1)/($I$7+$J$7+$C$7+H47-1))</x:f>
        <x:v>0.000019359928604241077</x:v>
      </x:c>
      <x:c r="K47" s="26" t="n">
        <x:f>K46+J47</x:f>
        <x:v>0.9999445920154072</x:v>
      </x:c>
      <x:c r="L47" s="9" t="n">
        <x:f>IF(AND(K47&gt;='Method Controls'!$D$15,K46&lt;'Method Controls'!$D$15),1,0)</x:f>
        <x:v>0</x:v>
      </x:c>
      <x:c r="M47" s="36"/>
      <x:c r="N47" s="9" t="n">
        <x:v>33</x:v>
      </x:c>
      <x:c r="O47" s="9" t="n">
        <x:f>$C$8+N47</x:f>
        <x:v>53</x:v>
      </x:c>
      <x:c r="P47" s="26" t="n">
        <x:f>P46*((N47-1+$C$8)/N47)*(($I$8+N47-1)/($I$8+$J$8+$C$8+N47-1))</x:f>
        <x:v>0.000004245922185581548</x:v>
      </x:c>
      <x:c r="Q47" s="26" t="n">
        <x:f>Q46+P47</x:f>
        <x:v>0.9999880470177741</x:v>
      </x:c>
      <x:c r="R47" s="9" t="n">
        <x:f>IF(AND(Q47&gt;='Method Controls'!$D$15,Q46&lt;'Method Controls'!$D$15),1,0)</x:f>
        <x:v>0</x:v>
      </x:c>
    </x:row>
    <x:row r="48">
      <x:c r="B48" s="9" t="n">
        <x:v>34</x:v>
      </x:c>
      <x:c r="C48" s="26" t="n">
        <x:f>C47*($J$7+B48-1)/($I$7+$J$7+B48-1)</x:f>
        <x:v>0.13594611145131666</x:v>
      </x:c>
      <x:c r="D48" s="36"/>
      <x:c r="E48" s="36"/>
      <x:c r="F48" s="36"/>
      <x:c r="G48" s="36"/>
      <x:c r="H48" s="9" t="n">
        <x:v>34</x:v>
      </x:c>
      <x:c r="I48" s="9" t="n">
        <x:f>$C$7+H48</x:f>
        <x:v>88</x:v>
      </x:c>
      <x:c r="J48" s="26" t="n">
        <x:f>J47*((H48-1+$C$7)/H48)*(($I$7+H48-1)/($I$7+$J$7+$C$7+H48-1))</x:f>
        <x:v>0.00001426712856199601</x:v>
      </x:c>
      <x:c r="K48" s="26" t="n">
        <x:f>K47+J48</x:f>
        <x:v>0.9999588591439692</x:v>
      </x:c>
      <x:c r="L48" s="9" t="n">
        <x:f>IF(AND(K48&gt;='Method Controls'!$D$15,K47&lt;'Method Controls'!$D$15),1,0)</x:f>
        <x:v>0</x:v>
      </x:c>
      <x:c r="M48" s="36"/>
      <x:c r="N48" s="9" t="n">
        <x:v>34</x:v>
      </x:c>
      <x:c r="O48" s="9" t="n">
        <x:f>$C$8+N48</x:f>
        <x:v>54</x:v>
      </x:c>
      <x:c r="P48" s="26" t="n">
        <x:f>P47*((N48-1+$C$8)/N48)*(($I$8+N48-1)/($I$8+$J$8+$C$8+N48-1))</x:f>
        <x:v>0.00000309987096274215</x:v>
      </x:c>
      <x:c r="Q48" s="26" t="n">
        <x:f>Q47+P48</x:f>
        <x:v>0.9999911468887368</x:v>
      </x:c>
      <x:c r="R48" s="9" t="n">
        <x:f>IF(AND(Q48&gt;='Method Controls'!$D$15,Q47&lt;'Method Controls'!$D$15),1,0)</x:f>
        <x:v>0</x:v>
      </x:c>
    </x:row>
    <x:row r="49">
      <x:c r="B49" s="9" t="n">
        <x:v>35</x:v>
      </x:c>
      <x:c r="C49" s="26" t="n">
        <x:f>C48*($J$7+B49-1)/($I$7+$J$7+B49-1)</x:f>
        <x:v>0.13028169014084512</x:v>
      </x:c>
      <x:c r="D49" s="36"/>
      <x:c r="E49" s="36"/>
      <x:c r="F49" s="36"/>
      <x:c r="G49" s="36"/>
      <x:c r="H49" s="9" t="n">
        <x:v>35</x:v>
      </x:c>
      <x:c r="I49" s="9" t="n">
        <x:f>$C$7+H49</x:f>
        <x:v>89</x:v>
      </x:c>
      <x:c r="J49" s="26" t="n">
        <x:f>J48*((H49-1+$C$7)/H49)*(($I$7+H49-1)/($I$7+$J$7+$C$7+H49-1))</x:f>
        <x:v>0.000010533734829446487</x:v>
      </x:c>
      <x:c r="K49" s="26" t="n">
        <x:f>K48+J49</x:f>
        <x:v>0.9999693928787986</x:v>
      </x:c>
      <x:c r="L49" s="9" t="n">
        <x:f>IF(AND(K49&gt;='Method Controls'!$D$15,K48&lt;'Method Controls'!$D$15),1,0)</x:f>
        <x:v>0</x:v>
      </x:c>
      <x:c r="M49" s="36"/>
      <x:c r="N49" s="9" t="n">
        <x:v>35</x:v>
      </x:c>
      <x:c r="O49" s="9" t="n">
        <x:f>$C$8+N49</x:f>
        <x:v>55</x:v>
      </x:c>
      <x:c r="P49" s="26" t="n">
        <x:f>P48*((N49-1+$C$8)/N49)*(($I$8+N49-1)/($I$8+$J$8+$C$8+N49-1))</x:f>
        <x:v>0.000002271762576981033</x:v>
      </x:c>
      <x:c r="Q49" s="26" t="n">
        <x:f>Q48+P49</x:f>
        <x:v>0.9999934186513137</x:v>
      </x:c>
      <x:c r="R49" s="9" t="n">
        <x:f>IF(AND(Q49&gt;='Method Controls'!$D$15,Q48&lt;'Method Controls'!$D$15),1,0)</x:f>
        <x:v>0</x:v>
      </x:c>
    </x:row>
    <x:row r="50">
      <x:c r="B50" s="9" t="n">
        <x:v>36</x:v>
      </x:c>
      <x:c r="C50" s="26" t="n">
        <x:f>C49*($J$7+B50-1)/($I$7+$J$7+B50-1)</x:f>
        <x:v>0.12492764808026244</x:v>
      </x:c>
      <x:c r="D50" s="36"/>
      <x:c r="E50" s="36"/>
      <x:c r="F50" s="36"/>
      <x:c r="G50" s="36"/>
      <x:c r="H50" s="9" t="n">
        <x:v>36</x:v>
      </x:c>
      <x:c r="I50" s="9" t="n">
        <x:f>$C$7+H50</x:f>
        <x:v>90</x:v>
      </x:c>
      <x:c r="J50" s="26" t="n">
        <x:f>J49*((H50-1+$C$7)/H50)*(($I$7+H50-1)/($I$7+$J$7+$C$7+H50-1))</x:f>
        <x:v>0.000007792014696672796</x:v>
      </x:c>
      <x:c r="K50" s="26" t="n">
        <x:f>K49+J50</x:f>
        <x:v>0.9999771848934953</x:v>
      </x:c>
      <x:c r="L50" s="9" t="n">
        <x:f>IF(AND(K50&gt;='Method Controls'!$D$15,K49&lt;'Method Controls'!$D$15),1,0)</x:f>
        <x:v>0</x:v>
      </x:c>
      <x:c r="M50" s="36"/>
      <x:c r="N50" s="9" t="n">
        <x:v>36</x:v>
      </x:c>
      <x:c r="O50" s="9" t="n">
        <x:f>$C$8+N50</x:f>
        <x:v>56</x:v>
      </x:c>
      <x:c r="P50" s="26" t="n">
        <x:f>P49*((N50-1+$C$8)/N50)*(($I$8+N50-1)/($I$8+$J$8+$C$8+N50-1))</x:f>
        <x:v>0.0000016711010725734962</x:v>
      </x:c>
      <x:c r="Q50" s="26" t="n">
        <x:f>Q49+P50</x:f>
        <x:v>0.9999950897523863</x:v>
      </x:c>
      <x:c r="R50" s="9" t="n">
        <x:f>IF(AND(Q50&gt;='Method Controls'!$D$15,Q49&lt;'Method Controls'!$D$15),1,0)</x:f>
        <x:v>0</x:v>
      </x:c>
    </x:row>
    <x:row r="51">
      <x:c r="B51" s="9" t="n">
        <x:v>37</x:v>
      </x:c>
      <x:c r="C51" s="26" t="n">
        <x:f>C50*($J$7+B51-1)/($I$7+$J$7+B51-1)</x:f>
        <x:v>0.11986301369863019</x:v>
      </x:c>
      <x:c r="D51" s="36"/>
      <x:c r="E51" s="36"/>
      <x:c r="F51" s="36"/>
      <x:c r="G51" s="36"/>
      <x:c r="H51" s="9" t="n">
        <x:v>37</x:v>
      </x:c>
      <x:c r="I51" s="9" t="n">
        <x:f>$C$7+H51</x:f>
        <x:v>91</x:v>
      </x:c>
      <x:c r="J51" s="26" t="n">
        <x:f>J50*((H51-1+$C$7)/H51)*(($I$7+H51-1)/($I$7+$J$7+$C$7+H51-1))</x:f>
        <x:v>0.000005774909540819576</x:v>
      </x:c>
      <x:c r="K51" s="26" t="n">
        <x:f>K50+J51</x:f>
        <x:v>0.9999829598030361</x:v>
      </x:c>
      <x:c r="L51" s="9" t="n">
        <x:f>IF(AND(K51&gt;='Method Controls'!$D$15,K50&lt;'Method Controls'!$D$15),1,0)</x:f>
        <x:v>0</x:v>
      </x:c>
      <x:c r="M51" s="36"/>
      <x:c r="N51" s="9" t="n">
        <x:v>37</x:v>
      </x:c>
      <x:c r="O51" s="9" t="n">
        <x:f>$C$8+N51</x:f>
        <x:v>57</x:v>
      </x:c>
      <x:c r="P51" s="26" t="n">
        <x:f>P50*((N51-1+$C$8)/N51)*(($I$8+N51-1)/($I$8+$J$8+$C$8+N51-1))</x:f>
        <x:v>0.0000012337727101399576</x:v>
      </x:c>
      <x:c r="Q51" s="26" t="n">
        <x:f>Q50+P51</x:f>
        <x:v>0.9999963235250964</x:v>
      </x:c>
      <x:c r="R51" s="9" t="n">
        <x:f>IF(AND(Q51&gt;='Method Controls'!$D$15,Q50&lt;'Method Controls'!$D$15),1,0)</x:f>
        <x:v>0</x:v>
      </x:c>
    </x:row>
    <x:row r="52">
      <x:c r="B52" s="9" t="n">
        <x:v>38</x:v>
      </x:c>
      <x:c r="C52" s="26" t="n">
        <x:f>C51*($J$7+B52-1)/($I$7+$J$7+B52-1)</x:f>
        <x:v>0.11506849315068497</x:v>
      </x:c>
      <x:c r="D52" s="36"/>
      <x:c r="E52" s="36"/>
      <x:c r="F52" s="36"/>
      <x:c r="G52" s="36"/>
      <x:c r="H52" s="9" t="n">
        <x:v>38</x:v>
      </x:c>
      <x:c r="I52" s="9" t="n">
        <x:f>$C$7+H52</x:f>
        <x:v>92</x:v>
      </x:c>
      <x:c r="J52" s="26" t="n">
        <x:f>J51*((H52-1+$C$7)/H52)*(($I$7+H52-1)/($I$7+$J$7+$C$7+H52-1))</x:f>
        <x:v>0.000004288182523170799</x:v>
      </x:c>
      <x:c r="K52" s="26" t="n">
        <x:f>K51+J52</x:f>
        <x:v>0.9999872479855593</x:v>
      </x:c>
      <x:c r="L52" s="9" t="n">
        <x:f>IF(AND(K52&gt;='Method Controls'!$D$15,K51&lt;'Method Controls'!$D$15),1,0)</x:f>
        <x:v>0</x:v>
      </x:c>
      <x:c r="M52" s="36"/>
      <x:c r="N52" s="9" t="n">
        <x:v>38</x:v>
      </x:c>
      <x:c r="O52" s="9" t="n">
        <x:f>$C$8+N52</x:f>
        <x:v>58</x:v>
      </x:c>
      <x:c r="P52" s="26" t="n">
        <x:f>P51*((N52-1+$C$8)/N52)*(($I$8+N52-1)/($I$8+$J$8+$C$8+N52-1))</x:f>
        <x:v>9.141809840193662e-7</x:v>
      </x:c>
      <x:c r="Q52" s="26" t="n">
        <x:f>Q51+P52</x:f>
        <x:v>0.9999972377060804</x:v>
      </x:c>
      <x:c r="R52" s="9" t="n">
        <x:f>IF(AND(Q52&gt;='Method Controls'!$D$15,Q51&lt;'Method Controls'!$D$15),1,0)</x:f>
        <x:v>0</x:v>
      </x:c>
    </x:row>
    <x:row r="53">
      <x:c r="B53" s="9" t="n">
        <x:v>39</x:v>
      </x:c>
      <x:c r="C53" s="26" t="n">
        <x:f>C52*($J$7+B53-1)/($I$7+$J$7+B53-1)</x:f>
        <x:v>0.11052631578947371</x:v>
      </x:c>
      <x:c r="D53" s="36"/>
      <x:c r="E53" s="36"/>
      <x:c r="F53" s="36"/>
      <x:c r="G53" s="36"/>
      <x:c r="H53" s="9" t="n">
        <x:v>39</x:v>
      </x:c>
      <x:c r="I53" s="9" t="n">
        <x:f>$C$7+H53</x:f>
        <x:v>93</x:v>
      </x:c>
      <x:c r="J53" s="26" t="n">
        <x:f>J52*((H53-1+$C$7)/H53)*(($I$7+H53-1)/($I$7+$J$7+$C$7+H53-1))</x:f>
        <x:v>0.0000031903401336095177</x:v>
      </x:c>
      <x:c r="K53" s="26" t="n">
        <x:f>K52+J53</x:f>
        <x:v>0.9999904383256929</x:v>
      </x:c>
      <x:c r="L53" s="9" t="n">
        <x:f>IF(AND(K53&gt;='Method Controls'!$D$15,K52&lt;'Method Controls'!$D$15),1,0)</x:f>
        <x:v>0</x:v>
      </x:c>
      <x:c r="M53" s="36"/>
      <x:c r="N53" s="9" t="n">
        <x:v>39</x:v>
      </x:c>
      <x:c r="O53" s="9" t="n">
        <x:f>$C$8+N53</x:f>
        <x:v>59</x:v>
      </x:c>
      <x:c r="P53" s="26" t="n">
        <x:f>P52*((N53-1+$C$8)/N53)*(($I$8+N53-1)/($I$8+$J$8+$C$8+N53-1))</x:f>
        <x:v>6.7977560350158e-7</x:v>
      </x:c>
      <x:c r="Q53" s="26" t="n">
        <x:f>Q52+P53</x:f>
        <x:v>0.9999979174816839</x:v>
      </x:c>
      <x:c r="R53" s="9" t="n">
        <x:f>IF(AND(Q53&gt;='Method Controls'!$D$15,Q52&lt;'Method Controls'!$D$15),1,0)</x:f>
        <x:v>0</x:v>
      </x:c>
    </x:row>
    <x:row r="54">
      <x:c r="B54" s="9" t="n">
        <x:v>40</x:v>
      </x:c>
      <x:c r="C54" s="26" t="n">
        <x:f>C53*($J$7+B54-1)/($I$7+$J$7+B54-1)</x:f>
        <x:v>0.10622009569377992</x:v>
      </x:c>
      <x:c r="D54" s="36"/>
      <x:c r="E54" s="36"/>
      <x:c r="F54" s="36"/>
      <x:c r="G54" s="36"/>
      <x:c r="H54" s="10" t="n">
        <x:v>40</x:v>
      </x:c>
      <x:c r="I54" s="10" t="n">
        <x:f>$C$7+H54</x:f>
        <x:v>94</x:v>
      </x:c>
      <x:c r="J54" s="27" t="n">
        <x:f>J53*((H54-1+$C$7)/H54)*(($I$7+H54-1)/($I$7+$J$7+$C$7+H54-1))</x:f>
        <x:v>0.000002378142855320377</x:v>
      </x:c>
      <x:c r="K54" s="27" t="n">
        <x:f>K53+J54</x:f>
        <x:v>0.9999928164685482</x:v>
      </x:c>
      <x:c r="L54" s="10" t="n">
        <x:f>IF(AND(K54&gt;='Method Controls'!$D$15,K53&lt;'Method Controls'!$D$15),1,0)</x:f>
        <x:v>0</x:v>
      </x:c>
      <x:c r="M54" s="36"/>
      <x:c r="N54" s="10" t="n">
        <x:v>40</x:v>
      </x:c>
      <x:c r="O54" s="10" t="n">
        <x:f>$C$8+N54</x:f>
        <x:v>60</x:v>
      </x:c>
      <x:c r="P54" s="27" t="n">
        <x:f>P53*((N54-1+$C$8)/N54)*(($I$8+N54-1)/($I$8+$J$8+$C$8+N54-1))</x:f>
        <x:v>5.072325606127966e-7</x:v>
      </x:c>
      <x:c r="Q54" s="27" t="n">
        <x:f>Q53+P54</x:f>
        <x:v>0.9999984247142445</x:v>
      </x:c>
      <x:c r="R54" s="10" t="n">
        <x:f>IF(AND(Q54&gt;='Method Controls'!$D$15,Q53&lt;'Method Controls'!$D$15),1,0)</x:f>
        <x:v>0</x:v>
      </x:c>
    </x:row>
    <x:row r="55">
      <x:c r="B55" s="9" t="n">
        <x:v>41</x:v>
      </x:c>
      <x:c r="C55" s="26" t="n">
        <x:f>C54*($J$7+B55-1)/($I$7+$J$7+B55-1)</x:f>
        <x:v>0.10213470739786532</x:v>
      </x:c>
      <x:c r="D55" s="36"/>
      <x:c r="E55" s="36"/>
      <x:c r="F55" s="36"/>
      <x:c r="G55" s="36"/>
      <x:c r="H55" s="36"/>
      <x:c r="I55" s="36"/>
      <x:c r="J55" s="36"/>
      <x:c r="K55" s="36"/>
      <x:c r="L55" s="36"/>
      <x:c r="M55" s="36"/>
      <x:c r="N55" s="36"/>
      <x:c r="O55" s="36"/>
      <x:c r="P55" s="36"/>
      <x:c r="Q55" s="36"/>
      <x:c r="R55" s="36"/>
    </x:row>
    <x:row r="56">
      <x:c r="B56" s="9" t="n">
        <x:v>42</x:v>
      </x:c>
      <x:c r="C56" s="26" t="n">
        <x:f>C55*($J$7+B56-1)/($I$7+$J$7+B56-1)</x:f>
        <x:v>0.09825617420554132</x:v>
      </x:c>
      <x:c r="D56" s="36"/>
      <x:c r="E56" s="36"/>
      <x:c r="F56" s="36"/>
      <x:c r="G56" s="36"/>
      <x:c r="H56" s="36"/>
      <x:c r="I56" s="36"/>
      <x:c r="J56" s="36"/>
      <x:c r="K56" s="36"/>
      <x:c r="L56" s="36"/>
      <x:c r="M56" s="36"/>
      <x:c r="N56" s="36"/>
      <x:c r="O56" s="36"/>
      <x:c r="P56" s="36"/>
      <x:c r="Q56" s="36"/>
      <x:c r="R56" s="36"/>
    </x:row>
    <x:row r="57">
      <x:c r="B57" s="9" t="n">
        <x:v>43</x:v>
      </x:c>
      <x:c r="C57" s="26" t="n">
        <x:f>C56*($J$7+B57-1)/($I$7+$J$7+B57-1)</x:f>
        <x:v>0.09457156767283352</x:v>
      </x:c>
      <x:c r="D57" s="36"/>
      <x:c r="E57" s="36"/>
      <x:c r="F57" s="36"/>
      <x:c r="G57" s="36"/>
      <x:c r="H57" s="36"/>
      <x:c r="I57" s="36"/>
      <x:c r="J57" s="36"/>
      <x:c r="K57" s="36"/>
      <x:c r="L57" s="36"/>
      <x:c r="M57" s="36"/>
      <x:c r="N57" s="36"/>
      <x:c r="O57" s="36"/>
      <x:c r="P57" s="36"/>
      <x:c r="Q57" s="36"/>
      <x:c r="R57" s="36"/>
    </x:row>
    <x:row r="58">
      <x:c r="B58" s="9" t="n">
        <x:v>44</x:v>
      </x:c>
      <x:c r="C58" s="26" t="n">
        <x:f>C57*($J$7+B58-1)/($I$7+$J$7+B58-1)</x:f>
        <x:v>0.09106891701828412</x:v>
      </x:c>
      <x:c r="D58" s="36"/>
      <x:c r="E58" s="36"/>
      <x:c r="F58" s="36"/>
      <x:c r="G58" s="36"/>
      <x:c r="H58" s="36"/>
      <x:c r="I58" s="36"/>
      <x:c r="J58" s="36"/>
      <x:c r="K58" s="36"/>
      <x:c r="L58" s="36"/>
      <x:c r="M58" s="36"/>
      <x:c r="N58" s="36"/>
      <x:c r="O58" s="36"/>
      <x:c r="P58" s="36"/>
      <x:c r="Q58" s="36"/>
      <x:c r="R58" s="36"/>
    </x:row>
    <x:row r="59">
      <x:c r="B59" s="9" t="n">
        <x:v>45</x:v>
      </x:c>
      <x:c r="C59" s="26" t="n">
        <x:f>C58*($J$7+B59-1)/($I$7+$J$7+B59-1)</x:f>
        <x:v>0.08773712737127373</x:v>
      </x:c>
      <x:c r="D59" s="36"/>
      <x:c r="E59" s="36"/>
      <x:c r="F59" s="36"/>
      <x:c r="G59" s="36"/>
      <x:c r="H59" s="36"/>
      <x:c r="I59" s="36"/>
      <x:c r="J59" s="36"/>
      <x:c r="K59" s="36"/>
      <x:c r="L59" s="36"/>
      <x:c r="M59" s="36"/>
      <x:c r="N59" s="36"/>
      <x:c r="O59" s="36"/>
      <x:c r="P59" s="36"/>
      <x:c r="Q59" s="36"/>
      <x:c r="R59" s="36"/>
    </x:row>
    <x:row r="60">
      <x:c r="B60" s="9" t="n">
        <x:v>46</x:v>
      </x:c>
      <x:c r="C60" s="26" t="n">
        <x:f>C59*($J$7+B60-1)/($I$7+$J$7+B60-1)</x:f>
        <x:v>0.08456590590002287</x:v>
      </x:c>
      <x:c r="D60" s="36"/>
      <x:c r="E60" s="36"/>
      <x:c r="F60" s="36"/>
      <x:c r="G60" s="36"/>
      <x:c r="H60" s="36"/>
      <x:c r="I60" s="36"/>
      <x:c r="J60" s="36"/>
      <x:c r="K60" s="36"/>
      <x:c r="L60" s="36"/>
      <x:c r="M60" s="36"/>
      <x:c r="N60" s="36"/>
      <x:c r="O60" s="36"/>
      <x:c r="P60" s="36"/>
      <x:c r="Q60" s="36"/>
      <x:c r="R60" s="36"/>
    </x:row>
    <x:row r="61">
      <x:c r="B61" s="9" t="n">
        <x:v>47</x:v>
      </x:c>
      <x:c r="C61" s="26" t="n">
        <x:f>C60*($J$7+B61-1)/($I$7+$J$7+B61-1)</x:f>
        <x:v>0.08154569497502206</x:v>
      </x:c>
      <x:c r="D61" s="36"/>
      <x:c r="E61" s="36"/>
      <x:c r="F61" s="36"/>
      <x:c r="G61" s="36"/>
      <x:c r="H61" s="36"/>
      <x:c r="I61" s="36"/>
      <x:c r="J61" s="36"/>
      <x:c r="K61" s="36"/>
      <x:c r="L61" s="36"/>
      <x:c r="M61" s="36"/>
      <x:c r="N61" s="36"/>
      <x:c r="O61" s="36"/>
      <x:c r="P61" s="36"/>
      <x:c r="Q61" s="36"/>
      <x:c r="R61" s="36"/>
    </x:row>
    <x:row r="62">
      <x:c r="B62" s="9" t="n">
        <x:v>48</x:v>
      </x:c>
      <x:c r="C62" s="26" t="n">
        <x:f>C61*($J$7+B62-1)/($I$7+$J$7+B62-1)</x:f>
        <x:v>0.07866761162296247</x:v>
      </x:c>
      <x:c r="D62" s="36"/>
      <x:c r="E62" s="36"/>
      <x:c r="F62" s="36"/>
      <x:c r="G62" s="36"/>
      <x:c r="H62" s="36"/>
      <x:c r="I62" s="36"/>
      <x:c r="J62" s="36"/>
      <x:c r="K62" s="36"/>
      <x:c r="L62" s="36"/>
      <x:c r="M62" s="36"/>
      <x:c r="N62" s="36"/>
      <x:c r="O62" s="36"/>
      <x:c r="P62" s="36"/>
      <x:c r="Q62" s="36"/>
      <x:c r="R62" s="36"/>
    </x:row>
    <x:row r="63">
      <x:c r="B63" s="9" t="n">
        <x:v>49</x:v>
      </x:c>
      <x:c r="C63" s="26" t="n">
        <x:f>C62*($J$7+B63-1)/($I$7+$J$7+B63-1)</x:f>
        <x:v>0.07592339261285913</x:v>
      </x:c>
      <x:c r="D63" s="36"/>
      <x:c r="E63" s="36"/>
      <x:c r="F63" s="36"/>
      <x:c r="G63" s="36"/>
      <x:c r="H63" s="36"/>
      <x:c r="I63" s="36"/>
      <x:c r="J63" s="36"/>
      <x:c r="K63" s="36"/>
      <x:c r="L63" s="36"/>
      <x:c r="M63" s="36"/>
      <x:c r="N63" s="36"/>
      <x:c r="O63" s="36"/>
      <x:c r="P63" s="36"/>
      <x:c r="Q63" s="36"/>
      <x:c r="R63" s="36"/>
    </x:row>
    <x:row r="64">
      <x:c r="B64" s="9" t="n">
        <x:v>50</x:v>
      </x:c>
      <x:c r="C64" s="26" t="n">
        <x:f>C63*($J$7+B64-1)/($I$7+$J$7+B64-1)</x:f>
        <x:v>0.07330534459172605</x:v>
      </x:c>
      <x:c r="D64" s="36"/>
      <x:c r="E64" s="36"/>
      <x:c r="F64" s="36"/>
      <x:c r="G64" s="36"/>
      <x:c r="H64" s="36"/>
      <x:c r="I64" s="36"/>
      <x:c r="J64" s="36"/>
      <x:c r="K64" s="36"/>
      <x:c r="L64" s="36"/>
      <x:c r="M64" s="36"/>
      <x:c r="N64" s="36"/>
      <x:c r="O64" s="36"/>
      <x:c r="P64" s="36"/>
      <x:c r="Q64" s="36"/>
      <x:c r="R64" s="36"/>
    </x:row>
    <x:row r="65">
      <x:c r="B65" s="9" t="n">
        <x:v>51</x:v>
      </x:c>
      <x:c r="C65" s="26" t="n">
        <x:f>C64*($J$7+B65-1)/($I$7+$J$7+B65-1)</x:f>
        <x:v>0.07080629875337176</x:v>
      </x:c>
      <x:c r="D65" s="36"/>
      <x:c r="E65" s="36"/>
      <x:c r="F65" s="36"/>
      <x:c r="G65" s="36"/>
      <x:c r="H65" s="36"/>
      <x:c r="I65" s="36"/>
      <x:c r="J65" s="36"/>
      <x:c r="K65" s="36"/>
      <x:c r="L65" s="36"/>
      <x:c r="M65" s="36"/>
      <x:c r="N65" s="36"/>
      <x:c r="O65" s="36"/>
      <x:c r="P65" s="36"/>
      <x:c r="Q65" s="36"/>
      <x:c r="R65" s="36"/>
    </x:row>
    <x:row r="66">
      <x:c r="B66" s="9" t="n">
        <x:v>52</x:v>
      </x:c>
      <x:c r="C66" s="26" t="n">
        <x:f>C65*($J$7+B66-1)/($I$7+$J$7+B66-1)</x:f>
        <x:v>0.06841956958190978</x:v>
      </x:c>
      <x:c r="D66" s="36"/>
      <x:c r="E66" s="36"/>
      <x:c r="F66" s="36"/>
      <x:c r="G66" s="36"/>
      <x:c r="H66" s="36"/>
      <x:c r="I66" s="36"/>
      <x:c r="J66" s="36"/>
      <x:c r="K66" s="36"/>
      <x:c r="L66" s="36"/>
      <x:c r="M66" s="36"/>
      <x:c r="N66" s="36"/>
      <x:c r="O66" s="36"/>
      <x:c r="P66" s="36"/>
      <x:c r="Q66" s="36"/>
      <x:c r="R66" s="36"/>
    </x:row>
    <x:row r="67">
      <x:c r="B67" s="9" t="n">
        <x:v>53</x:v>
      </x:c>
      <x:c r="C67" s="26" t="n">
        <x:f>C66*($J$7+B67-1)/($I$7+$J$7+B67-1)</x:f>
        <x:v>0.0661389172625128</x:v>
      </x:c>
      <x:c r="D67" s="36"/>
      <x:c r="E67" s="36"/>
      <x:c r="F67" s="36"/>
      <x:c r="G67" s="36"/>
      <x:c r="H67" s="36"/>
      <x:c r="I67" s="36"/>
      <x:c r="J67" s="36"/>
      <x:c r="K67" s="36"/>
      <x:c r="L67" s="36"/>
      <x:c r="M67" s="36"/>
      <x:c r="N67" s="36"/>
      <x:c r="O67" s="36"/>
      <x:c r="P67" s="36"/>
      <x:c r="Q67" s="36"/>
      <x:c r="R67" s="36"/>
    </x:row>
    <x:row r="68">
      <x:c r="B68" s="10" t="n">
        <x:v>54</x:v>
      </x:c>
      <x:c r="C68" s="27" t="n">
        <x:f>C67*($J$7+B68-1)/($I$7+$J$7+B68-1)</x:f>
        <x:v>0.06395851339671567</x:v>
      </x:c>
      <x:c r="D68" s="36"/>
      <x:c r="E68" s="36"/>
      <x:c r="F68" s="36"/>
      <x:c r="G68" s="36"/>
      <x:c r="H68" s="36"/>
      <x:c r="I68" s="36"/>
      <x:c r="J68" s="36"/>
      <x:c r="K68" s="36"/>
      <x:c r="L68" s="36"/>
      <x:c r="M68" s="36"/>
      <x:c r="N68" s="36"/>
      <x:c r="O68" s="36"/>
      <x:c r="P68" s="36"/>
      <x:c r="Q68" s="36"/>
      <x:c r="R68" s="36"/>
    </x:row>
  </x:sheetData>
  <x:mergeCells>
    <x:mergeCell ref="B2:R2"/>
    <x:mergeCell ref="B3:R3"/>
    <x:mergeCell ref="B12:F12"/>
    <x:mergeCell ref="H12:L12"/>
    <x:mergeCell ref="N12:R1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6" hidden="0" customWidth="1"/>
    <x:col min="3" max="3" width="18" hidden="0" customWidth="1"/>
    <x:col min="4" max="4" width="18" hidden="0" customWidth="1"/>
    <x:col min="5" max="5" width="19" hidden="0" customWidth="1"/>
    <x:col min="6" max="6" width="19" hidden="0" customWidth="1"/>
    <x:col min="7" max="7" width="16" hidden="0" customWidth="1"/>
    <x:col min="8" max="8" width="18" hidden="0" customWidth="1"/>
    <x:col min="9" max="9" width="17" hidden="0" customWidth="1"/>
    <x:col min="10" max="10" width="18" hidden="0" customWidth="1"/>
  </x:cols>
  <x:sheetData>
    <x:row r="2">
      <x:c r="B2" s="1" t="str">
        <x:v>Completed-cycle and packet-time update</x:v>
      </x:c>
      <x:c r="C2" s="36"/>
      <x:c r="D2" s="36"/>
      <x:c r="E2" s="36"/>
      <x:c r="F2" s="36"/>
      <x:c r="G2" s="36"/>
      <x:c r="H2" s="36"/>
      <x:c r="I2" s="36"/>
      <x:c r="J2" s="36"/>
    </x:row>
    <x:row r="3">
      <x:c r="B3" s="2" t="str">
        <x:v>Only complete uncensored histories enter the one-sided planning limits.</x:v>
      </x:c>
      <x:c r="C3" s="36"/>
      <x:c r="D3" s="36"/>
      <x:c r="E3" s="36"/>
      <x:c r="F3" s="36"/>
      <x:c r="G3" s="36"/>
      <x:c r="H3" s="36"/>
      <x:c r="I3" s="36"/>
      <x:c r="J3" s="36"/>
    </x:row>
    <x:row r="4">
      <x:c r="B4" s="37"/>
      <x:c r="C4" s="37"/>
      <x:c r="D4" s="37"/>
      <x:c r="E4" s="37"/>
      <x:c r="F4" s="37"/>
      <x:c r="G4" s="37"/>
      <x:c r="H4" s="37"/>
      <x:c r="I4" s="37"/>
      <x:c r="J4" s="37"/>
    </x:row>
    <x:row r="5">
      <x:c r="B5" s="36"/>
      <x:c r="C5" s="36"/>
      <x:c r="D5" s="36"/>
      <x:c r="E5" s="36"/>
      <x:c r="F5" s="36"/>
      <x:c r="G5" s="36"/>
      <x:c r="H5" s="36"/>
      <x:c r="I5" s="36"/>
      <x:c r="J5" s="36"/>
    </x:row>
    <x:row r="6">
      <x:c r="B6" s="7" t="str">
        <x:v>Lane</x:v>
      </x:c>
      <x:c r="C6" s="7" t="str">
        <x:v>Complete cycles</x:v>
      </x:c>
      <x:c r="D6" s="7" t="str">
        <x:v>Cycle mean</x:v>
      </x:c>
      <x:c r="E6" s="7" t="str">
        <x:v>Cycle deviation</x:v>
      </x:c>
      <x:c r="F6" s="7" t="str">
        <x:v>Registered cycle</x:v>
      </x:c>
      <x:c r="G6" s="7" t="str">
        <x:v>Cycle U90</x:v>
      </x:c>
      <x:c r="H6" s="7" t="str">
        <x:v>Packet records</x:v>
      </x:c>
      <x:c r="I6" s="7" t="str">
        <x:v>Packet mean</x:v>
      </x:c>
      <x:c r="J6" s="7" t="str">
        <x:v>Packet U90</x:v>
      </x:c>
    </x:row>
    <x:row r="7">
      <x:c r="B7" s="9" t="str">
        <x:v>Closure</x:v>
      </x:c>
      <x:c r="C7" s="9" t="n">
        <x:f>SUMIFS(D14:D41,C14:C41,B7)</x:f>
        <x:v>18</x:v>
      </x:c>
      <x:c r="D7" s="15" t="n">
        <x:f>SUMIFS(E14:E41,C14:C41,B7,D14:D41,1)/C7</x:f>
        <x:v>8.161111111111111</x:v>
      </x:c>
      <x:c r="E7" s="15" t="n">
        <x:f>SQRT(SUMIFS(F14:F41,C14:C41,B7)/(C7-1))</x:f>
        <x:v>0.28929709721584884</x:v>
      </x:c>
      <x:c r="F7" s="15" t="n">
        <x:f>'Method Controls'!$D$16</x:f>
        <x:v>8</x:v>
      </x:c>
      <x:c r="G7" s="15" t="n">
        <x:f>MAX(F7,D7+'Method Controls'!$D$30*E7*SQRT(1+1/C7))</x:f>
        <x:v>8.542019650858077</x:v>
      </x:c>
      <x:c r="H7" s="15" t="n">
        <x:f>SUMIFS(G14:G41,C14:C41,B7)</x:f>
        <x:v>18</x:v>
      </x:c>
      <x:c r="I7" s="15" t="n">
        <x:f>SUMIFS(H14:H41,C14:C41,B7,G14:G41,1)/H7</x:f>
        <x:v>6.138888888888889</x:v>
      </x:c>
      <x:c r="J7" s="15" t="n">
        <x:f>I7+'Method Controls'!$D$30*SQRT(SUMIFS(I14:I41,C14:C41,B7)/(H7-1))*SQRT(1+1/H7)</x:f>
        <x:v>6.555596237795194</x:v>
      </x:c>
    </x:row>
    <x:row r="8">
      <x:c r="B8" s="10" t="str">
        <x:v>Damage</x:v>
      </x:c>
      <x:c r="C8" s="10" t="n">
        <x:f>SUMIFS(D14:D41,C14:C41,B8)</x:f>
        <x:v>6</x:v>
      </x:c>
      <x:c r="D8" s="16" t="n">
        <x:f>SUMIFS(E14:E41,C14:C41,B8,D14:D41,1)/C8</x:f>
        <x:v>14.499999999999998</x:v>
      </x:c>
      <x:c r="E8" s="16" t="n">
        <x:f>SQRT(SUMIFS(F14:F41,C14:C41,B8)/(C8-1))</x:f>
        <x:v>0.5138093031466049</x:v>
      </x:c>
      <x:c r="F8" s="16" t="n">
        <x:f>'Method Controls'!$D$17</x:f>
        <x:v>14</x:v>
      </x:c>
      <x:c r="G8" s="16" t="n">
        <x:f>MAX(F8,D8+'Method Controls'!$D$30*E8*SQRT(1+1/C8))</x:f>
        <x:v>15.211232254492813</x:v>
      </x:c>
      <x:c r="H8" s="16" t="n">
        <x:f>SUMIFS(G14:G41,C14:C41,B8)</x:f>
        <x:v>6</x:v>
      </x:c>
      <x:c r="I8" s="16" t="n">
        <x:f>SUMIFS(H14:H41,C14:C41,B8,G14:G41,1)/H8</x:f>
        <x:v>8.233333333333333</x:v>
      </x:c>
      <x:c r="J8" s="16" t="n">
        <x:f>I8+'Method Controls'!$D$30*SQRT(SUMIFS(I14:I41,C14:C41,B8)/(H8-1))*SQRT(1+1/H8)</x:f>
        <x:v>8.844071802941375</x:v>
      </x:c>
    </x:row>
    <x:row r="9">
      <x:c r="B9" s="36"/>
      <x:c r="C9" s="36"/>
      <x:c r="D9" s="36"/>
      <x:c r="E9" s="36"/>
      <x:c r="F9" s="36"/>
      <x:c r="G9" s="36"/>
      <x:c r="H9" s="36"/>
      <x:c r="I9" s="36"/>
      <x:c r="J9" s="36"/>
    </x:row>
    <x:row r="10">
      <x:c r="B10" s="36"/>
      <x:c r="C10" s="36"/>
      <x:c r="D10" s="36"/>
      <x:c r="E10" s="36"/>
      <x:c r="F10" s="36"/>
      <x:c r="G10" s="36"/>
      <x:c r="H10" s="36"/>
      <x:c r="I10" s="36"/>
      <x:c r="J10" s="36"/>
    </x:row>
    <x:row r="11">
      <x:c r="B11" s="36"/>
      <x:c r="C11" s="36"/>
      <x:c r="D11" s="36"/>
      <x:c r="E11" s="36"/>
      <x:c r="F11" s="36"/>
      <x:c r="G11" s="36"/>
      <x:c r="H11" s="36"/>
      <x:c r="I11" s="36"/>
      <x:c r="J11" s="36"/>
    </x:row>
    <x:row r="12">
      <x:c r="B12" s="21" t="str">
        <x:v>Eligible observation detail</x:v>
      </x:c>
      <x:c r="C12" s="22" t="str">
        <x:v>Eligible observation detail</x:v>
      </x:c>
      <x:c r="D12" s="22" t="str">
        <x:v>Eligible observation detail</x:v>
      </x:c>
      <x:c r="E12" s="22" t="str">
        <x:v>Eligible observation detail</x:v>
      </x:c>
      <x:c r="F12" s="22" t="str">
        <x:v>Eligible observation detail</x:v>
      </x:c>
      <x:c r="G12" s="22" t="str">
        <x:v>Eligible observation detail</x:v>
      </x:c>
      <x:c r="H12" s="22" t="str">
        <x:v>Eligible observation detail</x:v>
      </x:c>
      <x:c r="I12" s="22" t="str">
        <x:v>Eligible observation detail</x:v>
      </x:c>
      <x:c r="J12" s="23" t="str">
        <x:v>Eligible observation detail</x:v>
      </x:c>
    </x:row>
    <x:row r="13">
      <x:c r="B13" s="7" t="str">
        <x:v>Token</x:v>
      </x:c>
      <x:c r="C13" s="7" t="str">
        <x:v>Lane</x:v>
      </x:c>
      <x:c r="D13" s="7" t="str">
        <x:v>Cycle eligible</x:v>
      </x:c>
      <x:c r="E13" s="7" t="str">
        <x:v>Cycle days</x:v>
      </x:c>
      <x:c r="F13" s="7" t="str">
        <x:v>Squared cycle error</x:v>
      </x:c>
      <x:c r="G13" s="7" t="str">
        <x:v>Packet eligible</x:v>
      </x:c>
      <x:c r="H13" s="7" t="str">
        <x:v>Packet days</x:v>
      </x:c>
      <x:c r="I13" s="7" t="str">
        <x:v>Squared packet error</x:v>
      </x:c>
      <x:c r="J13" s="7" t="str">
        <x:v>Gate</x:v>
      </x:c>
    </x:row>
    <x:row r="14">
      <x:c r="B14" s="9" t="str">
        <x:f>'Event Observations'!B7</x:f>
        <x:v>CW-C001</x:v>
      </x:c>
      <x:c r="C14" s="9" t="str">
        <x:f>'Event Observations'!C7</x:f>
        <x:v>Closure</x:v>
      </x:c>
      <x:c r="D14" s="9" t="n">
        <x:f>'Schedule Controls'!K7</x:f>
        <x:v>1</x:v>
      </x:c>
      <x:c r="E14" s="9" t="n">
        <x:f>'Event Observations'!M7</x:f>
        <x:v>7.8</x:v>
      </x:c>
      <x:c r="F14" s="9" t="n">
        <x:f>IF(D14=1,(E14-INDEX($D$7:$D$8,MATCH(C14,$B$7:$B$8,0)))^2,0)</x:f>
        <x:v>0.1304012345679016</x:v>
      </x:c>
      <x:c r="G14" s="9" t="n">
        <x:f>'Schedule Controls'!L7</x:f>
        <x:v>1</x:v>
      </x:c>
      <x:c r="H14" s="9" t="n">
        <x:f>'Event Observations'!N7</x:f>
        <x:v>5.6</x:v>
      </x:c>
      <x:c r="I14" s="9" t="n">
        <x:f>IF(G14=1,(H14-INDEX($I$7:$I$8,MATCH(C14,$B$7:$B$8,0)))^2,0)</x:f>
        <x:v>0.29040123456790207</x:v>
      </x:c>
      <x:c r="J14" s="9" t="str">
        <x:f>IF(AND(OR(D14=0,E14&gt;0),OR(G14=0,H14&gt;0)),"PASS","FAIL")</x:f>
        <x:v>PASS</x:v>
      </x:c>
    </x:row>
    <x:row r="15">
      <x:c r="B15" s="9" t="str">
        <x:f>'Event Observations'!B8</x:f>
        <x:v>CW-C002</x:v>
      </x:c>
      <x:c r="C15" s="9" t="str">
        <x:f>'Event Observations'!C8</x:f>
        <x:v>Closure</x:v>
      </x:c>
      <x:c r="D15" s="9" t="n">
        <x:f>'Schedule Controls'!K8</x:f>
        <x:v>1</x:v>
      </x:c>
      <x:c r="E15" s="9" t="n">
        <x:f>'Event Observations'!M8</x:f>
        <x:v>8.1</x:v>
      </x:c>
      <x:c r="F15" s="9" t="n">
        <x:f>IF(D15=1,(E15-INDEX($D$7:$D$8,MATCH(C15,$B$7:$B$8,0)))^2,0)</x:f>
        <x:v>0.00373456790123465</x:v>
      </x:c>
      <x:c r="G15" s="9" t="n">
        <x:f>'Schedule Controls'!L8</x:f>
        <x:v>1</x:v>
      </x:c>
      <x:c r="H15" s="9" t="n">
        <x:f>'Event Observations'!N8</x:f>
        <x:v>6.1</x:v>
      </x:c>
      <x:c r="I15" s="9" t="n">
        <x:f>IF(G15=1,(H15-INDEX($I$7:$I$8,MATCH(C15,$B$7:$B$8,0)))^2,0)</x:f>
        <x:v>0.001512345679012404</x:v>
      </x:c>
      <x:c r="J15" s="9" t="str">
        <x:f>IF(AND(OR(D15=0,E15&gt;0),OR(G15=0,H15&gt;0)),"PASS","FAIL")</x:f>
        <x:v>PASS</x:v>
      </x:c>
    </x:row>
    <x:row r="16">
      <x:c r="B16" s="9" t="str">
        <x:f>'Event Observations'!B9</x:f>
        <x:v>CW-C003</x:v>
      </x:c>
      <x:c r="C16" s="9" t="str">
        <x:f>'Event Observations'!C9</x:f>
        <x:v>Closure</x:v>
      </x:c>
      <x:c r="D16" s="9" t="n">
        <x:f>'Schedule Controls'!K9</x:f>
        <x:v>1</x:v>
      </x:c>
      <x:c r="E16" s="9" t="n">
        <x:f>'Event Observations'!M9</x:f>
        <x:v>7.9</x:v>
      </x:c>
      <x:c r="F16" s="9" t="n">
        <x:f>IF(D16=1,(E16-INDEX($D$7:$D$8,MATCH(C16,$B$7:$B$8,0)))^2,0)</x:f>
        <x:v>0.068179012345679</x:v>
      </x:c>
      <x:c r="G16" s="9" t="n">
        <x:f>'Schedule Controls'!L9</x:f>
        <x:v>1</x:v>
      </x:c>
      <x:c r="H16" s="9" t="n">
        <x:f>'Event Observations'!N9</x:f>
        <x:v>5.8</x:v>
      </x:c>
      <x:c r="I16" s="9" t="n">
        <x:f>IF(G16=1,(H16-INDEX($I$7:$I$8,MATCH(C16,$B$7:$B$8,0)))^2,0)</x:f>
        <x:v>0.11484567901234606</x:v>
      </x:c>
      <x:c r="J16" s="9" t="str">
        <x:f>IF(AND(OR(D16=0,E16&gt;0),OR(G16=0,H16&gt;0)),"PASS","FAIL")</x:f>
        <x:v>PASS</x:v>
      </x:c>
    </x:row>
    <x:row r="17">
      <x:c r="B17" s="9" t="str">
        <x:f>'Event Observations'!B10</x:f>
        <x:v>CW-C004</x:v>
      </x:c>
      <x:c r="C17" s="9" t="str">
        <x:f>'Event Observations'!C10</x:f>
        <x:v>Closure</x:v>
      </x:c>
      <x:c r="D17" s="9" t="n">
        <x:f>'Schedule Controls'!K10</x:f>
        <x:v>1</x:v>
      </x:c>
      <x:c r="E17" s="9" t="n">
        <x:f>'Event Observations'!M10</x:f>
        <x:v>8.3</x:v>
      </x:c>
      <x:c r="F17" s="9" t="n">
        <x:f>IF(D17=1,(E17-INDEX($D$7:$D$8,MATCH(C17,$B$7:$B$8,0)))^2,0)</x:f>
        <x:v>0.019290123456790233</x:v>
      </x:c>
      <x:c r="G17" s="9" t="n">
        <x:f>'Schedule Controls'!L10</x:f>
        <x:v>1</x:v>
      </x:c>
      <x:c r="H17" s="9" t="n">
        <x:f>'Event Observations'!N10</x:f>
        <x:v>6.4</x:v>
      </x:c>
      <x:c r="I17" s="9" t="n">
        <x:f>IF(G17=1,(H17-INDEX($I$7:$I$8,MATCH(C17,$B$7:$B$8,0)))^2,0)</x:f>
        <x:v>0.068179012345679</x:v>
      </x:c>
      <x:c r="J17" s="9" t="str">
        <x:f>IF(AND(OR(D17=0,E17&gt;0),OR(G17=0,H17&gt;0)),"PASS","FAIL")</x:f>
        <x:v>PASS</x:v>
      </x:c>
    </x:row>
    <x:row r="18">
      <x:c r="B18" s="9" t="str">
        <x:f>'Event Observations'!B11</x:f>
        <x:v>CW-C005</x:v>
      </x:c>
      <x:c r="C18" s="9" t="str">
        <x:f>'Event Observations'!C11</x:f>
        <x:v>Closure</x:v>
      </x:c>
      <x:c r="D18" s="9" t="n">
        <x:f>'Schedule Controls'!K11</x:f>
        <x:v>1</x:v>
      </x:c>
      <x:c r="E18" s="9" t="n">
        <x:f>'Event Observations'!M11</x:f>
        <x:v>8</x:v>
      </x:c>
      <x:c r="F18" s="9" t="n">
        <x:f>IF(D18=1,(E18-INDEX($D$7:$D$8,MATCH(C18,$B$7:$B$8,0)))^2,0)</x:f>
        <x:v>0.02595679012345689</x:v>
      </x:c>
      <x:c r="G18" s="9" t="n">
        <x:f>'Schedule Controls'!L11</x:f>
        <x:v>1</x:v>
      </x:c>
      <x:c r="H18" s="9" t="n">
        <x:f>'Event Observations'!N11</x:f>
        <x:v>5.9</x:v>
      </x:c>
      <x:c r="I18" s="9" t="n">
        <x:f>IF(G18=1,(H18-INDEX($I$7:$I$8,MATCH(C18,$B$7:$B$8,0)))^2,0)</x:f>
        <x:v>0.05706790123456792</x:v>
      </x:c>
      <x:c r="J18" s="9" t="str">
        <x:f>IF(AND(OR(D18=0,E18&gt;0),OR(G18=0,H18&gt;0)),"PASS","FAIL")</x:f>
        <x:v>PASS</x:v>
      </x:c>
    </x:row>
    <x:row r="19">
      <x:c r="B19" s="9" t="str">
        <x:f>'Event Observations'!B12</x:f>
        <x:v>CW-C006</x:v>
      </x:c>
      <x:c r="C19" s="9" t="str">
        <x:f>'Event Observations'!C12</x:f>
        <x:v>Closure</x:v>
      </x:c>
      <x:c r="D19" s="9" t="n">
        <x:f>'Schedule Controls'!K12</x:f>
        <x:v>1</x:v>
      </x:c>
      <x:c r="E19" s="9" t="n">
        <x:f>'Event Observations'!M12</x:f>
        <x:v>8.2</x:v>
      </x:c>
      <x:c r="F19" s="9" t="n">
        <x:f>IF(D19=1,(E19-INDEX($D$7:$D$8,MATCH(C19,$B$7:$B$8,0)))^2,0)</x:f>
        <x:v>0.001512345679012266</x:v>
      </x:c>
      <x:c r="G19" s="9" t="n">
        <x:f>'Schedule Controls'!L12</x:f>
        <x:v>1</x:v>
      </x:c>
      <x:c r="H19" s="9" t="n">
        <x:f>'Event Observations'!N12</x:f>
        <x:v>6.2</x:v>
      </x:c>
      <x:c r="I19" s="9" t="n">
        <x:f>IF(G19=1,(H19-INDEX($I$7:$I$8,MATCH(C19,$B$7:$B$8,0)))^2,0)</x:f>
        <x:v>0.0037345679012345413</x:v>
      </x:c>
      <x:c r="J19" s="9" t="str">
        <x:f>IF(AND(OR(D19=0,E19&gt;0),OR(G19=0,H19&gt;0)),"PASS","FAIL")</x:f>
        <x:v>PASS</x:v>
      </x:c>
    </x:row>
    <x:row r="20">
      <x:c r="B20" s="9" t="str">
        <x:f>'Event Observations'!B13</x:f>
        <x:v>CW-C007</x:v>
      </x:c>
      <x:c r="C20" s="9" t="str">
        <x:f>'Event Observations'!C13</x:f>
        <x:v>Closure</x:v>
      </x:c>
      <x:c r="D20" s="9" t="n">
        <x:f>'Schedule Controls'!K13</x:f>
        <x:v>1</x:v>
      </x:c>
      <x:c r="E20" s="9" t="n">
        <x:f>'Event Observations'!M13</x:f>
        <x:v>8.5</x:v>
      </x:c>
      <x:c r="F20" s="9" t="n">
        <x:f>IF(D20=1,(E20-INDEX($D$7:$D$8,MATCH(C20,$B$7:$B$8,0)))^2,0)</x:f>
        <x:v>0.11484567901234546</x:v>
      </x:c>
      <x:c r="G20" s="9" t="n">
        <x:f>'Schedule Controls'!L13</x:f>
        <x:v>1</x:v>
      </x:c>
      <x:c r="H20" s="9" t="n">
        <x:f>'Event Observations'!N13</x:f>
        <x:v>6.5</x:v>
      </x:c>
      <x:c r="I20" s="9" t="n">
        <x:f>IF(G20=1,(H20-INDEX($I$7:$I$8,MATCH(C20,$B$7:$B$8,0)))^2,0)</x:f>
        <x:v>0.13040123456790095</x:v>
      </x:c>
      <x:c r="J20" s="9" t="str">
        <x:f>IF(AND(OR(D20=0,E20&gt;0),OR(G20=0,H20&gt;0)),"PASS","FAIL")</x:f>
        <x:v>PASS</x:v>
      </x:c>
    </x:row>
    <x:row r="21">
      <x:c r="B21" s="9" t="str">
        <x:f>'Event Observations'!B14</x:f>
        <x:v>CW-C008</x:v>
      </x:c>
      <x:c r="C21" s="9" t="str">
        <x:f>'Event Observations'!C14</x:f>
        <x:v>Closure</x:v>
      </x:c>
      <x:c r="D21" s="9" t="n">
        <x:f>'Schedule Controls'!K14</x:f>
        <x:v>1</x:v>
      </x:c>
      <x:c r="E21" s="9" t="n">
        <x:f>'Event Observations'!M14</x:f>
        <x:v>7.7</x:v>
      </x:c>
      <x:c r="F21" s="9" t="n">
        <x:f>IF(D21=1,(E21-INDEX($D$7:$D$8,MATCH(C21,$B$7:$B$8,0)))^2,0)</x:f>
        <x:v>0.2126234567901236</x:v>
      </x:c>
      <x:c r="G21" s="9" t="n">
        <x:f>'Schedule Controls'!L14</x:f>
        <x:v>1</x:v>
      </x:c>
      <x:c r="H21" s="9" t="n">
        <x:f>'Event Observations'!N14</x:f>
        <x:v>5.7</x:v>
      </x:c>
      <x:c r="I21" s="9" t="n">
        <x:f>IF(G21=1,(H21-INDEX($I$7:$I$8,MATCH(C21,$B$7:$B$8,0)))^2,0)</x:f>
        <x:v>0.19262345679012366</x:v>
      </x:c>
      <x:c r="J21" s="9" t="str">
        <x:f>IF(AND(OR(D21=0,E21&gt;0),OR(G21=0,H21&gt;0)),"PASS","FAIL")</x:f>
        <x:v>PASS</x:v>
      </x:c>
    </x:row>
    <x:row r="22">
      <x:c r="B22" s="9" t="str">
        <x:f>'Event Observations'!B15</x:f>
        <x:v>CW-C009</x:v>
      </x:c>
      <x:c r="C22" s="9" t="str">
        <x:f>'Event Observations'!C15</x:f>
        <x:v>Closure</x:v>
      </x:c>
      <x:c r="D22" s="9" t="n">
        <x:f>'Schedule Controls'!K15</x:f>
        <x:v>1</x:v>
      </x:c>
      <x:c r="E22" s="9" t="n">
        <x:f>'Event Observations'!M15</x:f>
        <x:v>8.4</x:v>
      </x:c>
      <x:c r="F22" s="9" t="n">
        <x:f>IF(D22=1,(E22-INDEX($D$7:$D$8,MATCH(C22,$B$7:$B$8,0)))^2,0)</x:f>
        <x:v>0.05706790123456792</x:v>
      </x:c>
      <x:c r="G22" s="9" t="n">
        <x:f>'Schedule Controls'!L15</x:f>
        <x:v>1</x:v>
      </x:c>
      <x:c r="H22" s="9" t="n">
        <x:f>'Event Observations'!N15</x:f>
        <x:v>6.3</x:v>
      </x:c>
      <x:c r="I22" s="9" t="n">
        <x:f>IF(G22=1,(H22-INDEX($I$7:$I$8,MATCH(C22,$B$7:$B$8,0)))^2,0)</x:f>
        <x:v>0.025956790123456606</x:v>
      </x:c>
      <x:c r="J22" s="9" t="str">
        <x:f>IF(AND(OR(D22=0,E22&gt;0),OR(G22=0,H22&gt;0)),"PASS","FAIL")</x:f>
        <x:v>PASS</x:v>
      </x:c>
    </x:row>
    <x:row r="23">
      <x:c r="B23" s="9" t="str">
        <x:f>'Event Observations'!B16</x:f>
        <x:v>CW-C010</x:v>
      </x:c>
      <x:c r="C23" s="9" t="str">
        <x:f>'Event Observations'!C16</x:f>
        <x:v>Closure</x:v>
      </x:c>
      <x:c r="D23" s="9" t="n">
        <x:f>'Schedule Controls'!K16</x:f>
        <x:v>1</x:v>
      </x:c>
      <x:c r="E23" s="9" t="n">
        <x:f>'Event Observations'!M16</x:f>
        <x:v>8</x:v>
      </x:c>
      <x:c r="F23" s="9" t="n">
        <x:f>IF(D23=1,(E23-INDEX($D$7:$D$8,MATCH(C23,$B$7:$B$8,0)))^2,0)</x:f>
        <x:v>0.02595679012345689</x:v>
      </x:c>
      <x:c r="G23" s="9" t="n">
        <x:f>'Schedule Controls'!L16</x:f>
        <x:v>1</x:v>
      </x:c>
      <x:c r="H23" s="9" t="n">
        <x:f>'Event Observations'!N16</x:f>
        <x:v>6</x:v>
      </x:c>
      <x:c r="I23" s="9" t="n">
        <x:f>IF(G23=1,(H23-INDEX($I$7:$I$8,MATCH(C23,$B$7:$B$8,0)))^2,0)</x:f>
        <x:v>0.019290123456790233</x:v>
      </x:c>
      <x:c r="J23" s="9" t="str">
        <x:f>IF(AND(OR(D23=0,E23&gt;0),OR(G23=0,H23&gt;0)),"PASS","FAIL")</x:f>
        <x:v>PASS</x:v>
      </x:c>
    </x:row>
    <x:row r="24">
      <x:c r="B24" s="9" t="str">
        <x:f>'Event Observations'!B17</x:f>
        <x:v>CW-C011</x:v>
      </x:c>
      <x:c r="C24" s="9" t="str">
        <x:f>'Event Observations'!C17</x:f>
        <x:v>Closure</x:v>
      </x:c>
      <x:c r="D24" s="9" t="n">
        <x:f>'Schedule Controls'!K17</x:f>
        <x:v>1</x:v>
      </x:c>
      <x:c r="E24" s="9" t="n">
        <x:f>'Event Observations'!M17</x:f>
        <x:v>8.2</x:v>
      </x:c>
      <x:c r="F24" s="9" t="n">
        <x:f>IF(D24=1,(E24-INDEX($D$7:$D$8,MATCH(C24,$B$7:$B$8,0)))^2,0)</x:f>
        <x:v>0.001512345679012266</x:v>
      </x:c>
      <x:c r="G24" s="9" t="n">
        <x:f>'Schedule Controls'!L17</x:f>
        <x:v>1</x:v>
      </x:c>
      <x:c r="H24" s="9" t="n">
        <x:f>'Event Observations'!N17</x:f>
        <x:v>6.1</x:v>
      </x:c>
      <x:c r="I24" s="9" t="n">
        <x:f>IF(G24=1,(H24-INDEX($I$7:$I$8,MATCH(C24,$B$7:$B$8,0)))^2,0)</x:f>
        <x:v>0.001512345679012404</x:v>
      </x:c>
      <x:c r="J24" s="9" t="str">
        <x:f>IF(AND(OR(D24=0,E24&gt;0),OR(G24=0,H24&gt;0)),"PASS","FAIL")</x:f>
        <x:v>PASS</x:v>
      </x:c>
    </x:row>
    <x:row r="25">
      <x:c r="B25" s="9" t="str">
        <x:f>'Event Observations'!B18</x:f>
        <x:v>CW-C012</x:v>
      </x:c>
      <x:c r="C25" s="9" t="str">
        <x:f>'Event Observations'!C18</x:f>
        <x:v>Closure</x:v>
      </x:c>
      <x:c r="D25" s="9" t="n">
        <x:f>'Schedule Controls'!K18</x:f>
        <x:v>1</x:v>
      </x:c>
      <x:c r="E25" s="9" t="n">
        <x:f>'Event Observations'!M18</x:f>
        <x:v>8.6</x:v>
      </x:c>
      <x:c r="F25" s="9" t="n">
        <x:f>IF(D25=1,(E25-INDEX($D$7:$D$8,MATCH(C25,$B$7:$B$8,0)))^2,0)</x:f>
        <x:v>0.19262345679012285</x:v>
      </x:c>
      <x:c r="G25" s="9" t="n">
        <x:f>'Schedule Controls'!L18</x:f>
        <x:v>1</x:v>
      </x:c>
      <x:c r="H25" s="9" t="n">
        <x:f>'Event Observations'!N18</x:f>
        <x:v>6.6</x:v>
      </x:c>
      <x:c r="I25" s="9" t="n">
        <x:f>IF(G25=1,(H25-INDEX($I$7:$I$8,MATCH(C25,$B$7:$B$8,0)))^2,0)</x:f>
        <x:v>0.21262345679012276</x:v>
      </x:c>
      <x:c r="J25" s="9" t="str">
        <x:f>IF(AND(OR(D25=0,E25&gt;0),OR(G25=0,H25&gt;0)),"PASS","FAIL")</x:f>
        <x:v>PASS</x:v>
      </x:c>
    </x:row>
    <x:row r="26">
      <x:c r="B26" s="9" t="str">
        <x:f>'Event Observations'!B19</x:f>
        <x:v>CW-C013</x:v>
      </x:c>
      <x:c r="C26" s="9" t="str">
        <x:f>'Event Observations'!C19</x:f>
        <x:v>Closure</x:v>
      </x:c>
      <x:c r="D26" s="9" t="n">
        <x:f>'Schedule Controls'!K19</x:f>
        <x:v>1</x:v>
      </x:c>
      <x:c r="E26" s="9" t="n">
        <x:f>'Event Observations'!M19</x:f>
        <x:v>7.9</x:v>
      </x:c>
      <x:c r="F26" s="9" t="n">
        <x:f>IF(D26=1,(E26-INDEX($D$7:$D$8,MATCH(C26,$B$7:$B$8,0)))^2,0)</x:f>
        <x:v>0.068179012345679</x:v>
      </x:c>
      <x:c r="G26" s="9" t="n">
        <x:f>'Schedule Controls'!L19</x:f>
        <x:v>1</x:v>
      </x:c>
      <x:c r="H26" s="9" t="n">
        <x:f>'Event Observations'!N19</x:f>
        <x:v>5.8</x:v>
      </x:c>
      <x:c r="I26" s="9" t="n">
        <x:f>IF(G26=1,(H26-INDEX($I$7:$I$8,MATCH(C26,$B$7:$B$8,0)))^2,0)</x:f>
        <x:v>0.11484567901234606</x:v>
      </x:c>
      <x:c r="J26" s="9" t="str">
        <x:f>IF(AND(OR(D26=0,E26&gt;0),OR(G26=0,H26&gt;0)),"PASS","FAIL")</x:f>
        <x:v>PASS</x:v>
      </x:c>
    </x:row>
    <x:row r="27">
      <x:c r="B27" s="9" t="str">
        <x:f>'Event Observations'!B20</x:f>
        <x:v>CW-C014</x:v>
      </x:c>
      <x:c r="C27" s="9" t="str">
        <x:f>'Event Observations'!C20</x:f>
        <x:v>Closure</x:v>
      </x:c>
      <x:c r="D27" s="9" t="n">
        <x:f>'Schedule Controls'!K20</x:f>
        <x:v>0</x:v>
      </x:c>
      <x:c r="E27" s="9" t="n">
        <x:f>'Event Observations'!M20</x:f>
        <x:v>0</x:v>
      </x:c>
      <x:c r="F27" s="9" t="n">
        <x:f>IF(D27=1,(E27-INDEX($D$7:$D$8,MATCH(C27,$B$7:$B$8,0)))^2,0)</x:f>
        <x:v>0</x:v>
      </x:c>
      <x:c r="G27" s="9" t="n">
        <x:f>'Schedule Controls'!L20</x:f>
        <x:v>0</x:v>
      </x:c>
      <x:c r="H27" s="9" t="n">
        <x:f>'Event Observations'!N20</x:f>
        <x:v>0</x:v>
      </x:c>
      <x:c r="I27" s="9" t="n">
        <x:f>IF(G27=1,(H27-INDEX($I$7:$I$8,MATCH(C27,$B$7:$B$8,0)))^2,0)</x:f>
        <x:v>0</x:v>
      </x:c>
      <x:c r="J27" s="9" t="str">
        <x:f>IF(AND(OR(D27=0,E27&gt;0),OR(G27=0,H27&gt;0)),"PASS","FAIL")</x:f>
        <x:v>PASS</x:v>
      </x:c>
    </x:row>
    <x:row r="28">
      <x:c r="B28" s="9" t="str">
        <x:f>'Event Observations'!B21</x:f>
        <x:v>CW-C015</x:v>
      </x:c>
      <x:c r="C28" s="9" t="str">
        <x:f>'Event Observations'!C21</x:f>
        <x:v>Closure</x:v>
      </x:c>
      <x:c r="D28" s="9" t="n">
        <x:f>'Schedule Controls'!K21</x:f>
        <x:v>0</x:v>
      </x:c>
      <x:c r="E28" s="9" t="n">
        <x:f>'Event Observations'!M21</x:f>
        <x:v>0</x:v>
      </x:c>
      <x:c r="F28" s="9" t="n">
        <x:f>IF(D28=1,(E28-INDEX($D$7:$D$8,MATCH(C28,$B$7:$B$8,0)))^2,0)</x:f>
        <x:v>0</x:v>
      </x:c>
      <x:c r="G28" s="9" t="n">
        <x:f>'Schedule Controls'!L21</x:f>
        <x:v>0</x:v>
      </x:c>
      <x:c r="H28" s="9" t="n">
        <x:f>'Event Observations'!N21</x:f>
        <x:v>0</x:v>
      </x:c>
      <x:c r="I28" s="9" t="n">
        <x:f>IF(G28=1,(H28-INDEX($I$7:$I$8,MATCH(C28,$B$7:$B$8,0)))^2,0)</x:f>
        <x:v>0</x:v>
      </x:c>
      <x:c r="J28" s="9" t="str">
        <x:f>IF(AND(OR(D28=0,E28&gt;0),OR(G28=0,H28&gt;0)),"PASS","FAIL")</x:f>
        <x:v>PASS</x:v>
      </x:c>
    </x:row>
    <x:row r="29">
      <x:c r="B29" s="9" t="str">
        <x:f>'Event Observations'!B22</x:f>
        <x:v>CW-C016</x:v>
      </x:c>
      <x:c r="C29" s="9" t="str">
        <x:f>'Event Observations'!C22</x:f>
        <x:v>Closure</x:v>
      </x:c>
      <x:c r="D29" s="9" t="n">
        <x:f>'Schedule Controls'!K22</x:f>
        <x:v>1</x:v>
      </x:c>
      <x:c r="E29" s="9" t="n">
        <x:f>'Event Observations'!M22</x:f>
        <x:v>8.1</x:v>
      </x:c>
      <x:c r="F29" s="9" t="n">
        <x:f>IF(D29=1,(E29-INDEX($D$7:$D$8,MATCH(C29,$B$7:$B$8,0)))^2,0)</x:f>
        <x:v>0.00373456790123465</x:v>
      </x:c>
      <x:c r="G29" s="9" t="n">
        <x:f>'Schedule Controls'!L22</x:f>
        <x:v>1</x:v>
      </x:c>
      <x:c r="H29" s="9" t="n">
        <x:f>'Event Observations'!N22</x:f>
        <x:v>6.2</x:v>
      </x:c>
      <x:c r="I29" s="9" t="n">
        <x:f>IF(G29=1,(H29-INDEX($I$7:$I$8,MATCH(C29,$B$7:$B$8,0)))^2,0)</x:f>
        <x:v>0.0037345679012345413</x:v>
      </x:c>
      <x:c r="J29" s="9" t="str">
        <x:f>IF(AND(OR(D29=0,E29&gt;0),OR(G29=0,H29&gt;0)),"PASS","FAIL")</x:f>
        <x:v>PASS</x:v>
      </x:c>
    </x:row>
    <x:row r="30">
      <x:c r="B30" s="9" t="str">
        <x:f>'Event Observations'!B23</x:f>
        <x:v>CW-C017</x:v>
      </x:c>
      <x:c r="C30" s="9" t="str">
        <x:f>'Event Observations'!C23</x:f>
        <x:v>Closure</x:v>
      </x:c>
      <x:c r="D30" s="9" t="n">
        <x:f>'Schedule Controls'!K23</x:f>
        <x:v>1</x:v>
      </x:c>
      <x:c r="E30" s="9" t="n">
        <x:f>'Event Observations'!M23</x:f>
        <x:v>8.4</x:v>
      </x:c>
      <x:c r="F30" s="9" t="n">
        <x:f>IF(D30=1,(E30-INDEX($D$7:$D$8,MATCH(C30,$B$7:$B$8,0)))^2,0)</x:f>
        <x:v>0.05706790123456792</x:v>
      </x:c>
      <x:c r="G30" s="9" t="n">
        <x:f>'Schedule Controls'!L23</x:f>
        <x:v>1</x:v>
      </x:c>
      <x:c r="H30" s="9" t="n">
        <x:f>'Event Observations'!N23</x:f>
        <x:v>6.4</x:v>
      </x:c>
      <x:c r="I30" s="9" t="n">
        <x:f>IF(G30=1,(H30-INDEX($I$7:$I$8,MATCH(C30,$B$7:$B$8,0)))^2,0)</x:f>
        <x:v>0.068179012345679</x:v>
      </x:c>
      <x:c r="J30" s="9" t="str">
        <x:f>IF(AND(OR(D30=0,E30&gt;0),OR(G30=0,H30&gt;0)),"PASS","FAIL")</x:f>
        <x:v>PASS</x:v>
      </x:c>
    </x:row>
    <x:row r="31">
      <x:c r="B31" s="9" t="str">
        <x:f>'Event Observations'!B24</x:f>
        <x:v>CW-C018</x:v>
      </x:c>
      <x:c r="C31" s="9" t="str">
        <x:f>'Event Observations'!C24</x:f>
        <x:v>Closure</x:v>
      </x:c>
      <x:c r="D31" s="9" t="n">
        <x:f>'Schedule Controls'!K24</x:f>
        <x:v>1</x:v>
      </x:c>
      <x:c r="E31" s="9" t="n">
        <x:f>'Event Observations'!M24</x:f>
        <x:v>7.8</x:v>
      </x:c>
      <x:c r="F31" s="9" t="n">
        <x:f>IF(D31=1,(E31-INDEX($D$7:$D$8,MATCH(C31,$B$7:$B$8,0)))^2,0)</x:f>
        <x:v>0.1304012345679016</x:v>
      </x:c>
      <x:c r="G31" s="9" t="n">
        <x:f>'Schedule Controls'!L24</x:f>
        <x:v>1</x:v>
      </x:c>
      <x:c r="H31" s="9" t="n">
        <x:f>'Event Observations'!N24</x:f>
        <x:v>5.9</x:v>
      </x:c>
      <x:c r="I31" s="9" t="n">
        <x:f>IF(G31=1,(H31-INDEX($I$7:$I$8,MATCH(C31,$B$7:$B$8,0)))^2,0)</x:f>
        <x:v>0.05706790123456792</x:v>
      </x:c>
      <x:c r="J31" s="9" t="str">
        <x:f>IF(AND(OR(D31=0,E31&gt;0),OR(G31=0,H31&gt;0)),"PASS","FAIL")</x:f>
        <x:v>PASS</x:v>
      </x:c>
    </x:row>
    <x:row r="32">
      <x:c r="B32" s="9" t="str">
        <x:f>'Event Observations'!B25</x:f>
        <x:v>CW-CR01</x:v>
      </x:c>
      <x:c r="C32" s="9" t="str">
        <x:f>'Event Observations'!C25</x:f>
        <x:v>Closure</x:v>
      </x:c>
      <x:c r="D32" s="9" t="n">
        <x:f>'Schedule Controls'!K25</x:f>
        <x:v>1</x:v>
      </x:c>
      <x:c r="E32" s="9" t="n">
        <x:f>'Event Observations'!M25</x:f>
        <x:v>8.7</x:v>
      </x:c>
      <x:c r="F32" s="9" t="n">
        <x:f>IF(D32=1,(E32-INDEX($D$7:$D$8,MATCH(C32,$B$7:$B$8,0)))^2,0)</x:f>
        <x:v>0.2904012345679001</x:v>
      </x:c>
      <x:c r="G32" s="9" t="n">
        <x:f>'Schedule Controls'!L25</x:f>
        <x:v>1</x:v>
      </x:c>
      <x:c r="H32" s="9" t="n">
        <x:f>'Event Observations'!N25</x:f>
        <x:v>6.7</x:v>
      </x:c>
      <x:c r="I32" s="9" t="n">
        <x:f>IF(G32=1,(H32-INDEX($I$7:$I$8,MATCH(C32,$B$7:$B$8,0)))^2,0)</x:f>
        <x:v>0.31484567901234545</x:v>
      </x:c>
      <x:c r="J32" s="9" t="str">
        <x:f>IF(AND(OR(D32=0,E32&gt;0),OR(G32=0,H32&gt;0)),"PASS","FAIL")</x:f>
        <x:v>PASS</x:v>
      </x:c>
    </x:row>
    <x:row r="33">
      <x:c r="B33" s="9" t="str">
        <x:f>'Event Observations'!B26</x:f>
        <x:v>CW-CR02</x:v>
      </x:c>
      <x:c r="C33" s="9" t="str">
        <x:f>'Event Observations'!C26</x:f>
        <x:v>Closure</x:v>
      </x:c>
      <x:c r="D33" s="9" t="n">
        <x:f>'Schedule Controls'!K26</x:f>
        <x:v>1</x:v>
      </x:c>
      <x:c r="E33" s="9" t="n">
        <x:f>'Event Observations'!M26</x:f>
        <x:v>8.3</x:v>
      </x:c>
      <x:c r="F33" s="9" t="n">
        <x:f>IF(D33=1,(E33-INDEX($D$7:$D$8,MATCH(C33,$B$7:$B$8,0)))^2,0)</x:f>
        <x:v>0.019290123456790233</x:v>
      </x:c>
      <x:c r="G33" s="9" t="n">
        <x:f>'Schedule Controls'!L26</x:f>
        <x:v>1</x:v>
      </x:c>
      <x:c r="H33" s="9" t="n">
        <x:f>'Event Observations'!N26</x:f>
        <x:v>6.3</x:v>
      </x:c>
      <x:c r="I33" s="9" t="n">
        <x:f>IF(G33=1,(H33-INDEX($I$7:$I$8,MATCH(C33,$B$7:$B$8,0)))^2,0)</x:f>
        <x:v>0.025956790123456606</x:v>
      </x:c>
      <x:c r="J33" s="9" t="str">
        <x:f>IF(AND(OR(D33=0,E33&gt;0),OR(G33=0,H33&gt;0)),"PASS","FAIL")</x:f>
        <x:v>PASS</x:v>
      </x:c>
    </x:row>
    <x:row r="34">
      <x:c r="B34" s="9" t="str">
        <x:f>'Event Observations'!B27</x:f>
        <x:v>CW-D001</x:v>
      </x:c>
      <x:c r="C34" s="9" t="str">
        <x:f>'Event Observations'!C27</x:f>
        <x:v>Damage</x:v>
      </x:c>
      <x:c r="D34" s="9" t="n">
        <x:f>'Schedule Controls'!K27</x:f>
        <x:v>1</x:v>
      </x:c>
      <x:c r="E34" s="9" t="n">
        <x:f>'Event Observations'!M27</x:f>
        <x:v>14.1</x:v>
      </x:c>
      <x:c r="F34" s="9" t="n">
        <x:f>IF(D34=1,(E34-INDEX($D$7:$D$8,MATCH(C34,$B$7:$B$8,0)))^2,0)</x:f>
        <x:v>0.15999999999999887</x:v>
      </x:c>
      <x:c r="G34" s="9" t="n">
        <x:f>'Schedule Controls'!L27</x:f>
        <x:v>1</x:v>
      </x:c>
      <x:c r="H34" s="9" t="n">
        <x:f>'Event Observations'!N27</x:f>
        <x:v>7.6</x:v>
      </x:c>
      <x:c r="I34" s="9" t="n">
        <x:f>IF(G34=1,(H34-INDEX($I$7:$I$8,MATCH(C34,$B$7:$B$8,0)))^2,0)</x:f>
        <x:v>0.40111111111111053</x:v>
      </x:c>
      <x:c r="J34" s="9" t="str">
        <x:f>IF(AND(OR(D34=0,E34&gt;0),OR(G34=0,H34&gt;0)),"PASS","FAIL")</x:f>
        <x:v>PASS</x:v>
      </x:c>
    </x:row>
    <x:row r="35">
      <x:c r="B35" s="9" t="str">
        <x:f>'Event Observations'!B28</x:f>
        <x:v>CW-D002</x:v>
      </x:c>
      <x:c r="C35" s="9" t="str">
        <x:f>'Event Observations'!C28</x:f>
        <x:v>Damage</x:v>
      </x:c>
      <x:c r="D35" s="9" t="n">
        <x:f>'Schedule Controls'!K28</x:f>
        <x:v>1</x:v>
      </x:c>
      <x:c r="E35" s="9" t="n">
        <x:f>'Event Observations'!M28</x:f>
        <x:v>13.8</x:v>
      </x:c>
      <x:c r="F35" s="9" t="n">
        <x:f>IF(D35=1,(E35-INDEX($D$7:$D$8,MATCH(C35,$B$7:$B$8,0)))^2,0)</x:f>
        <x:v>0.4899999999999965</x:v>
      </x:c>
      <x:c r="G35" s="9" t="n">
        <x:f>'Schedule Controls'!L28</x:f>
        <x:v>1</x:v>
      </x:c>
      <x:c r="H35" s="9" t="n">
        <x:f>'Event Observations'!N28</x:f>
        <x:v>7.9</x:v>
      </x:c>
      <x:c r="I35" s="9" t="n">
        <x:f>IF(G35=1,(H35-INDEX($I$7:$I$8,MATCH(C35,$B$7:$B$8,0)))^2,0)</x:f>
        <x:v>0.11111111111111033</x:v>
      </x:c>
      <x:c r="J35" s="9" t="str">
        <x:f>IF(AND(OR(D35=0,E35&gt;0),OR(G35=0,H35&gt;0)),"PASS","FAIL")</x:f>
        <x:v>PASS</x:v>
      </x:c>
    </x:row>
    <x:row r="36">
      <x:c r="B36" s="9" t="str">
        <x:f>'Event Observations'!B29</x:f>
        <x:v>CW-D003</x:v>
      </x:c>
      <x:c r="C36" s="9" t="str">
        <x:f>'Event Observations'!C29</x:f>
        <x:v>Damage</x:v>
      </x:c>
      <x:c r="D36" s="9" t="n">
        <x:f>'Schedule Controls'!K29</x:f>
        <x:v>1</x:v>
      </x:c>
      <x:c r="E36" s="9" t="n">
        <x:f>'Event Observations'!M29</x:f>
        <x:v>14.4</x:v>
      </x:c>
      <x:c r="F36" s="9" t="n">
        <x:f>IF(D36=1,(E36-INDEX($D$7:$D$8,MATCH(C36,$B$7:$B$8,0)))^2,0)</x:f>
        <x:v>0.009999999999999573</x:v>
      </x:c>
      <x:c r="G36" s="9" t="n">
        <x:f>'Schedule Controls'!L29</x:f>
        <x:v>1</x:v>
      </x:c>
      <x:c r="H36" s="9" t="n">
        <x:f>'Event Observations'!N29</x:f>
        <x:v>8.2</x:v>
      </x:c>
      <x:c r="I36" s="9" t="n">
        <x:f>IF(G36=1,(H36-INDEX($I$7:$I$8,MATCH(C36,$B$7:$B$8,0)))^2,0)</x:f>
        <x:v>0.0011111111111111033</x:v>
      </x:c>
      <x:c r="J36" s="9" t="str">
        <x:f>IF(AND(OR(D36=0,E36&gt;0),OR(G36=0,H36&gt;0)),"PASS","FAIL")</x:f>
        <x:v>PASS</x:v>
      </x:c>
    </x:row>
    <x:row r="37">
      <x:c r="B37" s="9" t="str">
        <x:f>'Event Observations'!B30</x:f>
        <x:v>CW-D004</x:v>
      </x:c>
      <x:c r="C37" s="9" t="str">
        <x:f>'Event Observations'!C30</x:f>
        <x:v>Damage</x:v>
      </x:c>
      <x:c r="D37" s="9" t="n">
        <x:f>'Schedule Controls'!K30</x:f>
        <x:v>1</x:v>
      </x:c>
      <x:c r="E37" s="9" t="n">
        <x:f>'Event Observations'!M30</x:f>
        <x:v>14.9</x:v>
      </x:c>
      <x:c r="F37" s="9" t="n">
        <x:f>IF(D37=1,(E37-INDEX($D$7:$D$8,MATCH(C37,$B$7:$B$8,0)))^2,0)</x:f>
        <x:v>0.1600000000000017</x:v>
      </x:c>
      <x:c r="G37" s="9" t="n">
        <x:f>'Schedule Controls'!L30</x:f>
        <x:v>1</x:v>
      </x:c>
      <x:c r="H37" s="9" t="n">
        <x:f>'Event Observations'!N30</x:f>
        <x:v>8.6</x:v>
      </x:c>
      <x:c r="I37" s="9" t="n">
        <x:f>IF(G37=1,(H37-INDEX($I$7:$I$8,MATCH(C37,$B$7:$B$8,0)))^2,0)</x:f>
        <x:v>0.13444444444444478</x:v>
      </x:c>
      <x:c r="J37" s="9" t="str">
        <x:f>IF(AND(OR(D37=0,E37&gt;0),OR(G37=0,H37&gt;0)),"PASS","FAIL")</x:f>
        <x:v>PASS</x:v>
      </x:c>
    </x:row>
    <x:row r="38">
      <x:c r="B38" s="9" t="str">
        <x:f>'Event Observations'!B31</x:f>
        <x:v>CW-D005</x:v>
      </x:c>
      <x:c r="C38" s="9" t="str">
        <x:f>'Event Observations'!C31</x:f>
        <x:v>Damage</x:v>
      </x:c>
      <x:c r="D38" s="9" t="n">
        <x:f>'Schedule Controls'!K31</x:f>
        <x:v>0</x:v>
      </x:c>
      <x:c r="E38" s="9" t="n">
        <x:f>'Event Observations'!M31</x:f>
        <x:v>0</x:v>
      </x:c>
      <x:c r="F38" s="9" t="n">
        <x:f>IF(D38=1,(E38-INDEX($D$7:$D$8,MATCH(C38,$B$7:$B$8,0)))^2,0)</x:f>
        <x:v>0</x:v>
      </x:c>
      <x:c r="G38" s="9" t="n">
        <x:f>'Schedule Controls'!L31</x:f>
        <x:v>0</x:v>
      </x:c>
      <x:c r="H38" s="9" t="n">
        <x:f>'Event Observations'!N31</x:f>
        <x:v>0</x:v>
      </x:c>
      <x:c r="I38" s="9" t="n">
        <x:f>IF(G38=1,(H38-INDEX($I$7:$I$8,MATCH(C38,$B$7:$B$8,0)))^2,0)</x:f>
        <x:v>0</x:v>
      </x:c>
      <x:c r="J38" s="9" t="str">
        <x:f>IF(AND(OR(D38=0,E38&gt;0),OR(G38=0,H38&gt;0)),"PASS","FAIL")</x:f>
        <x:v>PASS</x:v>
      </x:c>
    </x:row>
    <x:row r="39">
      <x:c r="B39" s="9" t="str">
        <x:f>'Event Observations'!B32</x:f>
        <x:v>CW-D006</x:v>
      </x:c>
      <x:c r="C39" s="9" t="str">
        <x:f>'Event Observations'!C32</x:f>
        <x:v>Damage</x:v>
      </x:c>
      <x:c r="D39" s="9" t="n">
        <x:f>'Schedule Controls'!K32</x:f>
        <x:v>0</x:v>
      </x:c>
      <x:c r="E39" s="9" t="n">
        <x:f>'Event Observations'!M32</x:f>
        <x:v>0</x:v>
      </x:c>
      <x:c r="F39" s="9" t="n">
        <x:f>IF(D39=1,(E39-INDEX($D$7:$D$8,MATCH(C39,$B$7:$B$8,0)))^2,0)</x:f>
        <x:v>0</x:v>
      </x:c>
      <x:c r="G39" s="9" t="n">
        <x:f>'Schedule Controls'!L32</x:f>
        <x:v>0</x:v>
      </x:c>
      <x:c r="H39" s="9" t="n">
        <x:f>'Event Observations'!N32</x:f>
        <x:v>0</x:v>
      </x:c>
      <x:c r="I39" s="9" t="n">
        <x:f>IF(G39=1,(H39-INDEX($I$7:$I$8,MATCH(C39,$B$7:$B$8,0)))^2,0)</x:f>
        <x:v>0</x:v>
      </x:c>
      <x:c r="J39" s="9" t="str">
        <x:f>IF(AND(OR(D39=0,E39&gt;0),OR(G39=0,H39&gt;0)),"PASS","FAIL")</x:f>
        <x:v>PASS</x:v>
      </x:c>
    </x:row>
    <x:row r="40">
      <x:c r="B40" s="9" t="str">
        <x:f>'Event Observations'!B33</x:f>
        <x:v>CW-DR01</x:v>
      </x:c>
      <x:c r="C40" s="9" t="str">
        <x:f>'Event Observations'!C33</x:f>
        <x:v>Damage</x:v>
      </x:c>
      <x:c r="D40" s="9" t="n">
        <x:f>'Schedule Controls'!K33</x:f>
        <x:v>1</x:v>
      </x:c>
      <x:c r="E40" s="9" t="n">
        <x:f>'Event Observations'!M33</x:f>
        <x:v>15.2</x:v>
      </x:c>
      <x:c r="F40" s="9" t="n">
        <x:f>IF(D40=1,(E40-INDEX($D$7:$D$8,MATCH(C40,$B$7:$B$8,0)))^2,0)</x:f>
        <x:v>0.4900000000000015</x:v>
      </x:c>
      <x:c r="G40" s="9" t="n">
        <x:f>'Schedule Controls'!L33</x:f>
        <x:v>1</x:v>
      </x:c>
      <x:c r="H40" s="9" t="n">
        <x:f>'Event Observations'!N33</x:f>
        <x:v>8.8</x:v>
      </x:c>
      <x:c r="I40" s="9" t="n">
        <x:f>IF(G40=1,(H40-INDEX($I$7:$I$8,MATCH(C40,$B$7:$B$8,0)))^2,0)</x:f>
        <x:v>0.32111111111111285</x:v>
      </x:c>
      <x:c r="J40" s="9" t="str">
        <x:f>IF(AND(OR(D40=0,E40&gt;0),OR(G40=0,H40&gt;0)),"PASS","FAIL")</x:f>
        <x:v>PASS</x:v>
      </x:c>
    </x:row>
    <x:row r="41">
      <x:c r="B41" s="10" t="str">
        <x:f>'Event Observations'!B34</x:f>
        <x:v>CW-DR02</x:v>
      </x:c>
      <x:c r="C41" s="10" t="str">
        <x:f>'Event Observations'!C34</x:f>
        <x:v>Damage</x:v>
      </x:c>
      <x:c r="D41" s="10" t="n">
        <x:f>'Schedule Controls'!K34</x:f>
        <x:v>1</x:v>
      </x:c>
      <x:c r="E41" s="10" t="n">
        <x:f>'Event Observations'!M34</x:f>
        <x:v>14.6</x:v>
      </x:c>
      <x:c r="F41" s="10" t="n">
        <x:f>IF(D41=1,(E41-INDEX($D$7:$D$8,MATCH(C41,$B$7:$B$8,0)))^2,0)</x:f>
        <x:v>0.010000000000000285</x:v>
      </x:c>
      <x:c r="G41" s="10" t="n">
        <x:f>'Schedule Controls'!L34</x:f>
        <x:v>1</x:v>
      </x:c>
      <x:c r="H41" s="10" t="n">
        <x:f>'Event Observations'!N34</x:f>
        <x:v>8.3</x:v>
      </x:c>
      <x:c r="I41" s="10" t="n">
        <x:f>IF(G41=1,(H41-INDEX($I$7:$I$8,MATCH(C41,$B$7:$B$8,0)))^2,0)</x:f>
        <x:v>0.00444444444444465</x:v>
      </x:c>
      <x:c r="J41" s="10" t="str">
        <x:f>IF(AND(OR(D41=0,E41&gt;0),OR(G41=0,H41&gt;0)),"PASS","FAIL")</x:f>
        <x:v>PASS</x:v>
      </x:c>
    </x:row>
  </x:sheetData>
  <x:mergeCells>
    <x:mergeCell ref="B2:J2"/>
    <x:mergeCell ref="B3:J3"/>
    <x:mergeCell ref="B12:J12"/>
  </x:mergeCells>
  <x:conditionalFormatting sqref="J14:J41">
    <x:cfRule type="containsText" dxfId="9" priority="1" operator="containsText" text="PASS"/>
    <x:cfRule type="containsText" dxfId="10" priority="2" operator="containsText" text="AUTHORIZED"/>
    <x:cfRule type="containsText" dxfId="11" priority="3" operator="containsText" text="PRESERVE"/>
    <x:cfRule type="containsText" dxfId="12" priority="4" operator="containsText" text="HOLD"/>
    <x:cfRule type="containsText" dxfId="13" priority="5" operator="containsText" text="OPEN"/>
    <x:cfRule type="containsText" dxfId="14" priority="6" operator="containsText" text="BLOCKED"/>
    <x:cfRule type="containsText" dxfId="15" priority="7" operator="containsText" text="FAIL"/>
    <x:cfRule type="containsText" dxfId="16" priority="8" operator="containsText" text="REDESIGN"/>
    <x:cfRule type="containsText" dxfId="17" priority="9" operator="containsText" text="INDETERMINATE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29" hidden="0" customWidth="1"/>
    <x:col min="3" max="3" width="15" hidden="0" customWidth="1"/>
    <x:col min="4" max="4" width="14" hidden="0" customWidth="1"/>
    <x:col min="5" max="5" width="16" hidden="0" customWidth="1"/>
    <x:col min="6" max="6" width="18" hidden="0" customWidth="1"/>
    <x:col min="7" max="7" width="18" hidden="0" customWidth="1"/>
    <x:col min="8" max="8" width="17" hidden="0" customWidth="1"/>
    <x:col min="9" max="9" width="18" hidden="0" customWidth="1"/>
    <x:col min="10" max="10" width="21" hidden="0" customWidth="1"/>
    <x:col min="11" max="11" width="16" hidden="0" customWidth="1"/>
    <x:col min="12" max="12" width="16" hidden="0" customWidth="1"/>
    <x:col min="13" max="13" width="16" hidden="0" customWidth="1"/>
    <x:col min="14" max="14" width="18" hidden="0" customWidth="1"/>
  </x:cols>
  <x:sheetData>
    <x:row r="2">
      <x:c r="B2" s="1" t="str">
        <x:v>Productive-availability update</x:v>
      </x:c>
      <x:c r="C2" s="36"/>
      <x:c r="D2" s="36"/>
      <x:c r="E2" s="36"/>
      <x:c r="F2" s="36"/>
      <x:c r="G2" s="36"/>
      <x:c r="H2" s="36"/>
      <x:c r="I2" s="36"/>
      <x:c r="J2" s="36"/>
      <x:c r="K2" s="36"/>
      <x:c r="L2" s="36"/>
      <x:c r="M2" s="36"/>
      <x:c r="N2" s="36"/>
    </x:row>
    <x:row r="3">
      <x:c r="B3" s="2" t="str">
        <x:v>Declared denial time never becomes an ordinary availability failure or a denominator reduction hidden from review.</x:v>
      </x:c>
      <x:c r="C3" s="36"/>
      <x:c r="D3" s="36"/>
      <x:c r="E3" s="36"/>
      <x:c r="F3" s="36"/>
      <x:c r="G3" s="36"/>
      <x:c r="H3" s="36"/>
      <x:c r="I3" s="36"/>
      <x:c r="J3" s="36"/>
      <x:c r="K3" s="36"/>
      <x:c r="L3" s="36"/>
      <x:c r="M3" s="36"/>
      <x:c r="N3" s="36"/>
    </x:row>
    <x:row r="4">
      <x:c r="B4" s="37"/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</x:row>
    <x:row r="5">
      <x:c r="B5" s="36"/>
      <x:c r="C5" s="36"/>
      <x:c r="D5" s="36"/>
      <x:c r="E5" s="36"/>
      <x:c r="F5" s="36"/>
      <x:c r="G5" s="36"/>
      <x:c r="H5" s="36"/>
      <x:c r="I5" s="36"/>
      <x:c r="J5" s="36"/>
      <x:c r="K5" s="36"/>
      <x:c r="L5" s="36"/>
      <x:c r="M5" s="36"/>
      <x:c r="N5" s="36"/>
    </x:row>
    <x:row r="6">
      <x:c r="B6" s="7" t="str">
        <x:v>Service</x:v>
      </x:c>
      <x:c r="C6" s="7" t="str">
        <x:v>Prior mean</x:v>
      </x:c>
      <x:c r="D6" s="7" t="str">
        <x:v>Prior ESS</x:v>
      </x:c>
      <x:c r="E6" s="7" t="str">
        <x:v>Eligible days</x:v>
      </x:c>
      <x:c r="F6" s="7" t="str">
        <x:v>Productive days</x:v>
      </x:c>
      <x:c r="G6" s="7" t="str">
        <x:v>Posterior alpha</x:v>
      </x:c>
      <x:c r="H6" s="7" t="str">
        <x:v>Posterior beta</x:v>
      </x:c>
      <x:c r="I6" s="7" t="str">
        <x:v>Posterior mean</x:v>
      </x:c>
      <x:c r="J6" s="7" t="str">
        <x:v>Posterior deviation</x:v>
      </x:c>
      <x:c r="K6" s="7" t="str">
        <x:v>Planning L90</x:v>
      </x:c>
      <x:c r="L6" s="7" t="str">
        <x:v>Residual units</x:v>
      </x:c>
      <x:c r="M6" s="7" t="str">
        <x:v>Rate per day</x:v>
      </x:c>
      <x:c r="N6" s="7" t="str">
        <x:v>Horizon months</x:v>
      </x:c>
    </x:row>
    <x:row r="7">
      <x:c r="B7" s="9" t="str">
        <x:v>Closure bays</x:v>
      </x:c>
      <x:c r="C7" s="17" t="n">
        <x:v>0.68</x:v>
      </x:c>
      <x:c r="D7" s="9" t="n">
        <x:v>60</x:v>
      </x:c>
      <x:c r="E7" s="15" t="n">
        <x:f>SUMIFS('Service Observations'!$E$7:$E$27,'Service Observations'!$C$7:$C$27,B7)</x:f>
        <x:v>434</x:v>
      </x:c>
      <x:c r="F7" s="15" t="n">
        <x:f>SUMIFS('Service Observations'!$F$7:$F$27,'Service Observations'!$C$7:$C$27,B7)</x:f>
        <x:v>298</x:v>
      </x:c>
      <x:c r="G7" s="15" t="n">
        <x:f>C7*D7+F7</x:f>
        <x:v>338.8</x:v>
      </x:c>
      <x:c r="H7" s="15" t="n">
        <x:f>(1-C7)*D7+E7-F7</x:f>
        <x:v>155.2</x:v>
      </x:c>
      <x:c r="I7" s="17" t="n">
        <x:f>G7/(G7+H7)</x:f>
        <x:v>0.68582995951417</x:v>
      </x:c>
      <x:c r="J7" s="17" t="n">
        <x:f>SQRT(G7*H7/((G7+H7)^2*(G7+H7+1)))</x:f>
        <x:v>0.02086354058038611</x:v>
      </x:c>
      <x:c r="K7" s="17" t="n">
        <x:f>MAX(0,I7-'Method Controls'!$D$30*J7)</x:f>
        <x:v>0.6590922564215034</x:v>
      </x:c>
      <x:c r="L7" s="9" t="n">
        <x:v>4</x:v>
      </x:c>
      <x:c r="M7" s="9" t="n">
        <x:v>1</x:v>
      </x:c>
      <x:c r="N7" s="9" t="n">
        <x:v>11</x:v>
      </x:c>
    </x:row>
    <x:row r="8">
      <x:c r="B8" s="9" t="str">
        <x:v>Damage cells</x:v>
      </x:c>
      <x:c r="C8" s="17" t="n">
        <x:v>0.65</x:v>
      </x:c>
      <x:c r="D8" s="9" t="n">
        <x:v>60</x:v>
      </x:c>
      <x:c r="E8" s="15" t="n">
        <x:f>SUMIFS('Service Observations'!$E$7:$E$27,'Service Observations'!$C$7:$C$27,B8)</x:f>
        <x:v>350</x:v>
      </x:c>
      <x:c r="F8" s="15" t="n">
        <x:f>SUMIFS('Service Observations'!$F$7:$F$27,'Service Observations'!$C$7:$C$27,B8)</x:f>
        <x:v>222.5</x:v>
      </x:c>
      <x:c r="G8" s="15" t="n">
        <x:f>C8*D8+F8</x:f>
        <x:v>261.5</x:v>
      </x:c>
      <x:c r="H8" s="15" t="n">
        <x:f>(1-C8)*D8+E8-F8</x:f>
        <x:v>148.5</x:v>
      </x:c>
      <x:c r="I8" s="17" t="n">
        <x:f>G8/(G8+H8)</x:f>
        <x:v>0.6378048780487805</x:v>
      </x:c>
      <x:c r="J8" s="17" t="n">
        <x:f>SQRT(G8*H8/((G8+H8)^2*(G8+H8+1)))</x:f>
        <x:v>0.023707966547654863</x:v>
      </x:c>
      <x:c r="K8" s="17" t="n">
        <x:f>MAX(0,I8-'Method Controls'!$D$30*J8)</x:f>
        <x:v>0.6074218964048118</x:v>
      </x:c>
      <x:c r="L8" s="9" t="n">
        <x:v>4</x:v>
      </x:c>
      <x:c r="M8" s="9" t="n">
        <x:v>1</x:v>
      </x:c>
      <x:c r="N8" s="9" t="n">
        <x:v>9</x:v>
      </x:c>
    </x:row>
    <x:row r="9">
      <x:c r="B9" s="9" t="str">
        <x:v>Forensic lines</x:v>
      </x:c>
      <x:c r="C9" s="17" t="n">
        <x:v>0.7</x:v>
      </x:c>
      <x:c r="D9" s="9" t="n">
        <x:v>60</x:v>
      </x:c>
      <x:c r="E9" s="15" t="n">
        <x:f>SUMIFS('Service Observations'!$E$7:$E$27,'Service Observations'!$C$7:$C$27,B9)</x:f>
        <x:v>217</x:v>
      </x:c>
      <x:c r="F9" s="15" t="n">
        <x:f>SUMIFS('Service Observations'!$F$7:$F$27,'Service Observations'!$C$7:$C$27,B9)</x:f>
        <x:v>152</x:v>
      </x:c>
      <x:c r="G9" s="15" t="n">
        <x:f>C9*D9+F9</x:f>
        <x:v>194</x:v>
      </x:c>
      <x:c r="H9" s="15" t="n">
        <x:f>(1-C9)*D9+E9-F9</x:f>
        <x:v>83</x:v>
      </x:c>
      <x:c r="I9" s="17" t="n">
        <x:f>G9/(G9+H9)</x:f>
        <x:v>0.7003610108303249</x:v>
      </x:c>
      <x:c r="J9" s="17" t="n">
        <x:f>SQRT(G9*H9/((G9+H9)^2*(G9+H9+1)))</x:f>
        <x:v>0.027475002722491235</x:v>
      </x:c>
      <x:c r="K9" s="17" t="n">
        <x:f>MAX(0,I9-'Method Controls'!$D$30*J9)</x:f>
        <x:v>0.6651503780791994</x:v>
      </x:c>
      <x:c r="L9" s="9" t="n">
        <x:v>2</x:v>
      </x:c>
      <x:c r="M9" s="9" t="n">
        <x:v>1</x:v>
      </x:c>
      <x:c r="N9" s="9" t="n">
        <x:v>11</x:v>
      </x:c>
    </x:row>
    <x:row r="10">
      <x:c r="B10" s="9" t="str">
        <x:v>Sanitary laboratories</x:v>
      </x:c>
      <x:c r="C10" s="17" t="n">
        <x:v>0.65</x:v>
      </x:c>
      <x:c r="D10" s="9" t="n">
        <x:v>60</x:v>
      </x:c>
      <x:c r="E10" s="15" t="n">
        <x:f>SUMIFS('Service Observations'!$E$7:$E$27,'Service Observations'!$C$7:$C$27,B10)</x:f>
        <x:v>434</x:v>
      </x:c>
      <x:c r="F10" s="15" t="n">
        <x:f>SUMIFS('Service Observations'!$F$7:$F$27,'Service Observations'!$C$7:$C$27,B10)</x:f>
        <x:v>280</x:v>
      </x:c>
      <x:c r="G10" s="15" t="n">
        <x:f>C10*D10+F10</x:f>
        <x:v>319</x:v>
      </x:c>
      <x:c r="H10" s="15" t="n">
        <x:f>(1-C10)*D10+E10-F10</x:f>
        <x:v>175</x:v>
      </x:c>
      <x:c r="I10" s="17" t="n">
        <x:f>G10/(G10+H10)</x:f>
        <x:v>0.645748987854251</x:v>
      </x:c>
      <x:c r="J10" s="17" t="n">
        <x:f>SQRT(G10*H10/((G10+H10)^2*(G10+H10+1)))</x:f>
        <x:v>0.02149734456420242</x:v>
      </x:c>
      <x:c r="K10" s="17" t="n">
        <x:f>MAX(0,I10-'Method Controls'!$D$30*J10)</x:f>
        <x:v>0.6181990322739045</x:v>
      </x:c>
      <x:c r="L10" s="9" t="n">
        <x:v>4</x:v>
      </x:c>
      <x:c r="M10" s="9" t="n">
        <x:v>14</x:v>
      </x:c>
      <x:c r="N10" s="9" t="n">
        <x:v>11</x:v>
      </x:c>
    </x:row>
    <x:row r="11">
      <x:c r="B11" s="9" t="str">
        <x:v>Metrology detachments</x:v>
      </x:c>
      <x:c r="C11" s="17" t="n">
        <x:v>0.7</x:v>
      </x:c>
      <x:c r="D11" s="9" t="n">
        <x:v>60</x:v>
      </x:c>
      <x:c r="E11" s="15" t="n">
        <x:f>SUMIFS('Service Observations'!$E$7:$E$27,'Service Observations'!$C$7:$C$27,B11)</x:f>
        <x:v>434</x:v>
      </x:c>
      <x:c r="F11" s="15" t="n">
        <x:f>SUMIFS('Service Observations'!$F$7:$F$27,'Service Observations'!$C$7:$C$27,B11)</x:f>
        <x:v>295</x:v>
      </x:c>
      <x:c r="G11" s="15" t="n">
        <x:f>C11*D11+F11</x:f>
        <x:v>337</x:v>
      </x:c>
      <x:c r="H11" s="15" t="n">
        <x:f>(1-C11)*D11+E11-F11</x:f>
        <x:v>157</x:v>
      </x:c>
      <x:c r="I11" s="17" t="n">
        <x:f>G11/(G11+H11)</x:f>
        <x:v>0.6821862348178138</x:v>
      </x:c>
      <x:c r="J11" s="17" t="n">
        <x:f>SQRT(G11*H11/((G11+H11)^2*(G11+H11+1)))</x:f>
        <x:v>0.02092836149425364</x:v>
      </x:c>
      <x:c r="K11" s="17" t="n">
        <x:f>MAX(0,I11-'Method Controls'!$D$30*J11)</x:f>
        <x:v>0.6553654603815031</x:v>
      </x:c>
      <x:c r="L11" s="9" t="n">
        <x:v>4</x:v>
      </x:c>
      <x:c r="M11" s="9" t="n">
        <x:v>0.7142857142857143</x:v>
      </x:c>
      <x:c r="N11" s="9" t="n">
        <x:v>11</x:v>
      </x:c>
    </x:row>
    <x:row r="12">
      <x:c r="B12" s="9" t="str">
        <x:v>Evidence replay cells</x:v>
      </x:c>
      <x:c r="C12" s="17" t="n">
        <x:v>0.65</x:v>
      </x:c>
      <x:c r="D12" s="9" t="n">
        <x:v>60</x:v>
      </x:c>
      <x:c r="E12" s="15" t="n">
        <x:f>SUMIFS('Service Observations'!$E$7:$E$27,'Service Observations'!$C$7:$C$27,B12)</x:f>
        <x:v>434</x:v>
      </x:c>
      <x:c r="F12" s="15" t="n">
        <x:f>SUMIFS('Service Observations'!$F$7:$F$27,'Service Observations'!$C$7:$C$27,B12)</x:f>
        <x:v>281</x:v>
      </x:c>
      <x:c r="G12" s="15" t="n">
        <x:f>C12*D12+F12</x:f>
        <x:v>320</x:v>
      </x:c>
      <x:c r="H12" s="15" t="n">
        <x:f>(1-C12)*D12+E12-F12</x:f>
        <x:v>174</x:v>
      </x:c>
      <x:c r="I12" s="17" t="n">
        <x:f>G12/(G12+H12)</x:f>
        <x:v>0.6477732793522267</x:v>
      </x:c>
      <x:c r="J12" s="17" t="n">
        <x:f>SQRT(G12*H12/((G12+H12)^2*(G12+H12+1)))</x:f>
        <x:v>0.02146940778233577</x:v>
      </x:c>
      <x:c r="K12" s="17" t="n">
        <x:f>MAX(0,I12-'Method Controls'!$D$30*J12)</x:f>
        <x:v>0.6202591261984164</x:v>
      </x:c>
      <x:c r="L12" s="9" t="n">
        <x:v>4</x:v>
      </x:c>
      <x:c r="M12" s="9" t="n">
        <x:v>16</x:v>
      </x:c>
      <x:c r="N12" s="9" t="n">
        <x:v>11</x:v>
      </x:c>
    </x:row>
    <x:row r="13">
      <x:c r="B13" s="10" t="str">
        <x:v>Blind/configuration shops</x:v>
      </x:c>
      <x:c r="C13" s="18" t="n">
        <x:v>0.65</x:v>
      </x:c>
      <x:c r="D13" s="10" t="n">
        <x:v>60</x:v>
      </x:c>
      <x:c r="E13" s="16" t="n">
        <x:f>SUMIFS('Service Observations'!$E$7:$E$27,'Service Observations'!$C$7:$C$27,B13)</x:f>
        <x:v>217</x:v>
      </x:c>
      <x:c r="F13" s="16" t="n">
        <x:f>SUMIFS('Service Observations'!$F$7:$F$27,'Service Observations'!$C$7:$C$27,B13)</x:f>
        <x:v>143</x:v>
      </x:c>
      <x:c r="G13" s="16" t="n">
        <x:f>C13*D13+F13</x:f>
        <x:v>182</x:v>
      </x:c>
      <x:c r="H13" s="16" t="n">
        <x:f>(1-C13)*D13+E13-F13</x:f>
        <x:v>95</x:v>
      </x:c>
      <x:c r="I13" s="18" t="n">
        <x:f>G13/(G13+H13)</x:f>
        <x:v>0.6570397111913358</x:v>
      </x:c>
      <x:c r="J13" s="18" t="n">
        <x:f>SQRT(G13*H13/((G13+H13)^2*(G13+H13+1)))</x:f>
        <x:v>0.028470515425494426</x:v>
      </x:c>
      <x:c r="K13" s="18" t="n">
        <x:f>MAX(0,I13-'Method Controls'!$D$30*J13)</x:f>
        <x:v>0.6205532775772015</x:v>
      </x:c>
      <x:c r="L13" s="10" t="n">
        <x:v>2</x:v>
      </x:c>
      <x:c r="M13" s="10" t="n">
        <x:v>0.2857142857142857</x:v>
      </x:c>
      <x:c r="N13" s="10" t="n">
        <x:v>11</x:v>
      </x:c>
    </x:row>
  </x:sheetData>
  <x:mergeCells>
    <x:mergeCell ref="B2:N2"/>
    <x:mergeCell ref="B3:N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29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8" hidden="0" customWidth="1"/>
    <x:col min="8" max="8" width="21" hidden="0" customWidth="1"/>
    <x:col min="9" max="9" width="20" hidden="0" customWidth="1"/>
    <x:col min="10" max="10" width="16" hidden="0" customWidth="1"/>
    <x:col min="11" max="11" width="14" hidden="0" customWidth="1"/>
    <x:col min="12" max="12" width="18" hidden="0" customWidth="1"/>
    <x:col min="13" max="13" width="22" hidden="0" customWidth="1"/>
  </x:cols>
  <x:sheetData>
    <x:row r="2">
      <x:c r="B2" s="1" t="str">
        <x:v>Residual campaign capacity</x:v>
      </x:c>
      <x:c r="C2" s="36"/>
      <x:c r="D2" s="36"/>
      <x:c r="E2" s="36"/>
      <x:c r="F2" s="36"/>
      <x:c r="G2" s="36"/>
      <x:c r="H2" s="36"/>
      <x:c r="I2" s="36"/>
      <x:c r="J2" s="36"/>
      <x:c r="K2" s="36"/>
      <x:c r="L2" s="36"/>
      <x:c r="M2" s="36"/>
    </x:row>
    <x:row r="3">
      <x:c r="B3" s="2" t="str">
        <x:v>Posterior attempt demand, one-sided cycle limits and conservative availability feed one capacity calculation per service.</x:v>
      </x:c>
      <x:c r="C3" s="36"/>
      <x:c r="D3" s="36"/>
      <x:c r="E3" s="36"/>
      <x:c r="F3" s="36"/>
      <x:c r="G3" s="36"/>
      <x:c r="H3" s="36"/>
      <x:c r="I3" s="36"/>
      <x:c r="J3" s="36"/>
      <x:c r="K3" s="36"/>
      <x:c r="L3" s="36"/>
      <x:c r="M3" s="36"/>
    </x:row>
    <x:row r="4">
      <x:c r="B4" s="37"/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</x:row>
    <x:row r="5">
      <x:c r="B5" s="36"/>
      <x:c r="C5" s="36"/>
      <x:c r="D5" s="36"/>
      <x:c r="E5" s="36"/>
      <x:c r="F5" s="36"/>
      <x:c r="G5" s="36"/>
      <x:c r="H5" s="36"/>
      <x:c r="I5" s="36"/>
      <x:c r="J5" s="36"/>
      <x:c r="K5" s="36"/>
      <x:c r="L5" s="36"/>
      <x:c r="M5" s="36"/>
    </x:row>
    <x:row r="6">
      <x:c r="B6" s="7" t="str">
        <x:v>Service</x:v>
      </x:c>
      <x:c r="C6" s="7" t="str">
        <x:v>Demand</x:v>
      </x:c>
      <x:c r="D6" s="7" t="str">
        <x:v>Unit</x:v>
      </x:c>
      <x:c r="E6" s="7" t="str">
        <x:v>Residual units</x:v>
      </x:c>
      <x:c r="F6" s="7" t="str">
        <x:v>Rate per day</x:v>
      </x:c>
      <x:c r="G6" s="7" t="str">
        <x:v>Horizon months</x:v>
      </x:c>
      <x:c r="H6" s="7" t="str">
        <x:v>Planning availability</x:v>
      </x:c>
      <x:c r="I6" s="7" t="str">
        <x:v>Productive capacity</x:v>
      </x:c>
      <x:c r="J6" s="7" t="str">
        <x:v>Utilization</x:v>
      </x:c>
      <x:c r="K6" s="7" t="str">
        <x:v>Base gate</x:v>
      </x:c>
      <x:c r="L6" s="7" t="str">
        <x:v>Augmented units</x:v>
      </x:c>
      <x:c r="M6" s="7" t="str">
        <x:v>Augmented utilization</x:v>
      </x:c>
    </x:row>
    <x:row r="7">
      <x:c r="B7" s="9" t="str">
        <x:v>Closure bays</x:v>
      </x:c>
      <x:c r="C7" s="15" t="n">
        <x:f>'Demand Update'!K7*'Cycle Update'!G7</x:f>
        <x:v>546.6892576549169</x:v>
      </x:c>
      <x:c r="D7" s="9" t="str">
        <x:v>bay-days</x:v>
      </x:c>
      <x:c r="E7" s="9" t="n">
        <x:f>'Availability Update'!L7</x:f>
        <x:v>4</x:v>
      </x:c>
      <x:c r="F7" s="9" t="n">
        <x:f>'Availability Update'!M7</x:f>
        <x:v>1</x:v>
      </x:c>
      <x:c r="G7" s="9" t="n">
        <x:f>'Availability Update'!N7</x:f>
        <x:v>11</x:v>
      </x:c>
      <x:c r="H7" s="15" t="n">
        <x:f>'Availability Update'!K7</x:f>
        <x:v>0.6590922564215034</x:v>
      </x:c>
      <x:c r="I7" s="15" t="n">
        <x:f>E7*F7*G7*'Method Controls'!$D$23/'Method Controls'!$D$24*H7</x:f>
        <x:v>882.0851365107786</x:v>
      </x:c>
      <x:c r="J7" s="17" t="n">
        <x:f>C7/I7</x:f>
        <x:v>0.619769266056822</x:v>
      </x:c>
      <x:c r="K7" s="9" t="str">
        <x:f>IF(J7&lt;='Method Controls'!$D$29,"PASS","FAIL")</x:f>
        <x:v>PASS</x:v>
      </x:c>
      <x:c r="L7" s="9" t="n">
        <x:f>E7</x:f>
        <x:v>4</x:v>
      </x:c>
      <x:c r="M7" s="17" t="n">
        <x:f>C7/(L7*F7*G7*'Method Controls'!$D$23/'Method Controls'!$D$24*H7)</x:f>
        <x:v>0.619769266056822</x:v>
      </x:c>
    </x:row>
    <x:row r="8">
      <x:c r="B8" s="9" t="str">
        <x:v>Damage cells</x:v>
      </x:c>
      <x:c r="C8" s="15" t="n">
        <x:f>'Demand Update'!K8*'Cycle Update'!G8</x:f>
        <x:v>425.9145031257988</x:v>
      </x:c>
      <x:c r="D8" s="9" t="str">
        <x:v>cell-days</x:v>
      </x:c>
      <x:c r="E8" s="9" t="n">
        <x:f>'Availability Update'!L8</x:f>
        <x:v>4</x:v>
      </x:c>
      <x:c r="F8" s="9" t="n">
        <x:f>'Availability Update'!M8</x:f>
        <x:v>1</x:v>
      </x:c>
      <x:c r="G8" s="9" t="n">
        <x:f>'Availability Update'!N8</x:f>
        <x:v>9</x:v>
      </x:c>
      <x:c r="H8" s="15" t="n">
        <x:f>'Availability Update'!K8</x:f>
        <x:v>0.6074218964048118</x:v>
      </x:c>
      <x:c r="I8" s="15" t="n">
        <x:f>E8*F8*G8*'Method Controls'!$D$23/'Method Controls'!$D$24*H8</x:f>
        <x:v>665.126976563269</x:v>
      </x:c>
      <x:c r="J8" s="17" t="n">
        <x:f>C8/I8</x:f>
        <x:v>0.6403506670658763</x:v>
      </x:c>
      <x:c r="K8" s="9" t="str">
        <x:f>IF(J8&lt;='Method Controls'!$D$29,"PASS","FAIL")</x:f>
        <x:v>PASS</x:v>
      </x:c>
      <x:c r="L8" s="9" t="n">
        <x:f>E8+1</x:f>
        <x:v>5</x:v>
      </x:c>
      <x:c r="M8" s="17" t="n">
        <x:f>C8/(L8*F8*G8*'Method Controls'!$D$23/'Method Controls'!$D$24*H8)</x:f>
        <x:v>0.5122805336527011</x:v>
      </x:c>
    </x:row>
    <x:row r="9">
      <x:c r="B9" s="9" t="str">
        <x:v>Forensic lines</x:v>
      </x:c>
      <x:c r="C9" s="15" t="n">
        <x:f>'Demand Update'!K7*2+'Demand Update'!K8*5</x:f>
        <x:v>268</x:v>
      </x:c>
      <x:c r="D9" s="9" t="str">
        <x:v>line-days</x:v>
      </x:c>
      <x:c r="E9" s="9" t="n">
        <x:f>'Availability Update'!L9</x:f>
        <x:v>2</x:v>
      </x:c>
      <x:c r="F9" s="9" t="n">
        <x:f>'Availability Update'!M9</x:f>
        <x:v>1</x:v>
      </x:c>
      <x:c r="G9" s="9" t="n">
        <x:f>'Availability Update'!N9</x:f>
        <x:v>11</x:v>
      </x:c>
      <x:c r="H9" s="15" t="n">
        <x:f>'Availability Update'!K9</x:f>
        <x:v>0.6651503780791994</x:v>
      </x:c>
      <x:c r="I9" s="15" t="n">
        <x:f>E9*F9*G9*'Method Controls'!$D$23/'Method Controls'!$D$24*H9</x:f>
        <x:v>445.0964613313309</x:v>
      </x:c>
      <x:c r="J9" s="17" t="n">
        <x:f>C9/I9</x:f>
        <x:v>0.6021166719645074</x:v>
      </x:c>
      <x:c r="K9" s="9" t="str">
        <x:f>IF(J9&lt;='Method Controls'!$D$29,"PASS","FAIL")</x:f>
        <x:v>PASS</x:v>
      </x:c>
      <x:c r="L9" s="9" t="n">
        <x:f>E9</x:f>
        <x:v>2</x:v>
      </x:c>
      <x:c r="M9" s="17" t="n">
        <x:f>C9/(L9*F9*G9*'Method Controls'!$D$23/'Method Controls'!$D$24*H9)</x:f>
        <x:v>0.6021166719645074</x:v>
      </x:c>
    </x:row>
    <x:row r="10">
      <x:c r="B10" s="9" t="str">
        <x:v>Sanitary laboratories</x:v>
      </x:c>
      <x:c r="C10" s="15" t="n">
        <x:f>'Demand Update'!K7*24+'Demand Update'!K8*120</x:f>
        <x:v>4896</x:v>
      </x:c>
      <x:c r="D10" s="9" t="str">
        <x:v>panels</x:v>
      </x:c>
      <x:c r="E10" s="9" t="n">
        <x:f>'Availability Update'!L10</x:f>
        <x:v>4</x:v>
      </x:c>
      <x:c r="F10" s="9" t="n">
        <x:f>'Availability Update'!M10</x:f>
        <x:v>14</x:v>
      </x:c>
      <x:c r="G10" s="9" t="n">
        <x:f>'Availability Update'!N10</x:f>
        <x:v>11</x:v>
      </x:c>
      <x:c r="H10" s="15" t="n">
        <x:f>'Availability Update'!K10</x:f>
        <x:v>0.6181990322739045</x:v>
      </x:c>
      <x:c r="I10" s="15" t="n">
        <x:f>E10*F10*G10*'Method Controls'!$D$23/'Method Controls'!$D$24*H10</x:f>
        <x:v>11582.989201372058</x:v>
      </x:c>
      <x:c r="J10" s="17" t="n">
        <x:f>C10/I10</x:f>
        <x:v>0.42268881675380016</x:v>
      </x:c>
      <x:c r="K10" s="9" t="str">
        <x:f>IF(J10&lt;='Method Controls'!$D$29,"PASS","FAIL")</x:f>
        <x:v>PASS</x:v>
      </x:c>
      <x:c r="L10" s="9" t="n">
        <x:f>E10</x:f>
        <x:v>4</x:v>
      </x:c>
      <x:c r="M10" s="17" t="n">
        <x:f>C10/(L10*F10*G10*'Method Controls'!$D$23/'Method Controls'!$D$24*H10)</x:f>
        <x:v>0.42268881675380016</x:v>
      </x:c>
    </x:row>
    <x:row r="11">
      <x:c r="B11" s="9" t="str">
        <x:v>Metrology detachments</x:v>
      </x:c>
      <x:c r="C11" s="15" t="n">
        <x:f>('Demand Update'!K7+'Demand Update'!K8)*2</x:f>
        <x:v>184</x:v>
      </x:c>
      <x:c r="D11" s="9" t="str">
        <x:v>brackets</x:v>
      </x:c>
      <x:c r="E11" s="9" t="n">
        <x:f>'Availability Update'!L11</x:f>
        <x:v>4</x:v>
      </x:c>
      <x:c r="F11" s="9" t="n">
        <x:f>'Availability Update'!M11</x:f>
        <x:v>0.7142857142857143</x:v>
      </x:c>
      <x:c r="G11" s="9" t="n">
        <x:f>'Availability Update'!N11</x:f>
        <x:v>11</x:v>
      </x:c>
      <x:c r="H11" s="15" t="n">
        <x:f>'Availability Update'!K11</x:f>
        <x:v>0.6553654603815031</x:v>
      </x:c>
      <x:c r="I11" s="15" t="n">
        <x:f>E11*F11*G11*'Method Controls'!$D$23/'Method Controls'!$D$24*H11</x:f>
        <x:v>626.4981722456513</x:v>
      </x:c>
      <x:c r="J11" s="17" t="n">
        <x:f>C11/I11</x:f>
        <x:v>0.29369598851415835</x:v>
      </x:c>
      <x:c r="K11" s="9" t="str">
        <x:f>IF(J11&lt;='Method Controls'!$D$29,"PASS","FAIL")</x:f>
        <x:v>PASS</x:v>
      </x:c>
      <x:c r="L11" s="9" t="n">
        <x:f>E11</x:f>
        <x:v>4</x:v>
      </x:c>
      <x:c r="M11" s="17" t="n">
        <x:f>C11/(L11*F11*G11*'Method Controls'!$D$23/'Method Controls'!$D$24*H11)</x:f>
        <x:v>0.29369598851415835</x:v>
      </x:c>
    </x:row>
    <x:row r="12">
      <x:c r="B12" s="9" t="str">
        <x:v>Evidence replay cells</x:v>
      </x:c>
      <x:c r="C12" s="15" t="n">
        <x:f>'Demand Update'!K7*20+'Demand Update'!K8*16</x:f>
        <x:v>1728</x:v>
      </x:c>
      <x:c r="D12" s="9" t="str">
        <x:v>hours</x:v>
      </x:c>
      <x:c r="E12" s="9" t="n">
        <x:f>'Availability Update'!L12</x:f>
        <x:v>4</x:v>
      </x:c>
      <x:c r="F12" s="9" t="n">
        <x:f>'Availability Update'!M12</x:f>
        <x:v>16</x:v>
      </x:c>
      <x:c r="G12" s="9" t="n">
        <x:f>'Availability Update'!N12</x:f>
        <x:v>11</x:v>
      </x:c>
      <x:c r="H12" s="15" t="n">
        <x:f>'Availability Update'!K12</x:f>
        <x:v>0.6202591261984164</x:v>
      </x:c>
      <x:c r="I12" s="15" t="n">
        <x:f>E12*F12*G12*'Method Controls'!$D$23/'Method Controls'!$D$24*H12</x:f>
        <x:v>13281.815422328755</x:v>
      </x:c>
      <x:c r="J12" s="17" t="n">
        <x:f>C12/I12</x:f>
        <x:v>0.13010269643523045</x:v>
      </x:c>
      <x:c r="K12" s="9" t="str">
        <x:f>IF(J12&lt;='Method Controls'!$D$29,"PASS","FAIL")</x:f>
        <x:v>PASS</x:v>
      </x:c>
      <x:c r="L12" s="9" t="n">
        <x:f>E12</x:f>
        <x:v>4</x:v>
      </x:c>
      <x:c r="M12" s="17" t="n">
        <x:f>C12/(L12*F12*G12*'Method Controls'!$D$23/'Method Controls'!$D$24*H12)</x:f>
        <x:v>0.13010269643523045</x:v>
      </x:c>
    </x:row>
    <x:row r="13">
      <x:c r="B13" s="10" t="str">
        <x:v>Blind/configuration shops</x:v>
      </x:c>
      <x:c r="C13" s="16" t="n">
        <x:f>18+('Demand Update'!K7-'Method Controls'!$D$10)+('Demand Update'!K8-'Method Controls'!$D$11)</x:f>
        <x:v>36</x:v>
      </x:c>
      <x:c r="D13" s="10" t="str">
        <x:v>events</x:v>
      </x:c>
      <x:c r="E13" s="10" t="n">
        <x:f>'Availability Update'!L13</x:f>
        <x:v>2</x:v>
      </x:c>
      <x:c r="F13" s="10" t="n">
        <x:f>'Availability Update'!M13</x:f>
        <x:v>0.2857142857142857</x:v>
      </x:c>
      <x:c r="G13" s="10" t="n">
        <x:f>'Availability Update'!N13</x:f>
        <x:v>11</x:v>
      </x:c>
      <x:c r="H13" s="16" t="n">
        <x:f>'Availability Update'!K13</x:f>
        <x:v>0.6205532775772015</x:v>
      </x:c>
      <x:c r="I13" s="16" t="n">
        <x:f>E13*F13*G13*'Method Controls'!$D$23/'Method Controls'!$D$24*H13</x:f>
        <x:v>118.64387664154589</x:v>
      </x:c>
      <x:c r="J13" s="18" t="n">
        <x:f>C13/I13</x:f>
        <x:v>0.3034290603025843</x:v>
      </x:c>
      <x:c r="K13" s="10" t="str">
        <x:f>IF(J13&lt;='Method Controls'!$D$29,"PASS","FAIL")</x:f>
        <x:v>PASS</x:v>
      </x:c>
      <x:c r="L13" s="10" t="n">
        <x:f>E13</x:f>
        <x:v>2</x:v>
      </x:c>
      <x:c r="M13" s="18" t="n">
        <x:f>C13/(L13*F13*G13*'Method Controls'!$D$23/'Method Controls'!$D$24*H13)</x:f>
        <x:v>0.3034290603025843</x:v>
      </x:c>
    </x:row>
  </x:sheetData>
  <x:mergeCells>
    <x:mergeCell ref="B2:M2"/>
    <x:mergeCell ref="B3:M3"/>
  </x:mergeCells>
  <x:conditionalFormatting sqref="K7:K13">
    <x:cfRule type="containsText" dxfId="18" priority="1" operator="containsText" text="PASS"/>
    <x:cfRule type="containsText" dxfId="19" priority="2" operator="containsText" text="AUTHORIZED"/>
    <x:cfRule type="containsText" dxfId="20" priority="3" operator="containsText" text="PRESERVE"/>
    <x:cfRule type="containsText" dxfId="21" priority="4" operator="containsText" text="HOLD"/>
    <x:cfRule type="containsText" dxfId="22" priority="5" operator="containsText" text="OPEN"/>
    <x:cfRule type="containsText" dxfId="23" priority="6" operator="containsText" text="BLOCKED"/>
    <x:cfRule type="containsText" dxfId="24" priority="7" operator="containsText" text="FAIL"/>
    <x:cfRule type="containsText" dxfId="25" priority="8" operator="containsText" text="REDESIGN"/>
    <x:cfRule type="containsText" dxfId="26" priority="9" operator="containsText" text="INDETERMINATE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5" ySplit="6" topLeftCell="F7" activePane="bottomRight" state="frozen"/>
    </x:sheetView>
  </x:sheetViews>
  <x:sheetFormatPr defaultRowHeight="15"/>
  <x:cols>
    <x:col min="2" max="2" width="15" hidden="0" customWidth="1"/>
    <x:col min="3" max="3" width="12" hidden="0" customWidth="1"/>
    <x:col min="4" max="4" width="16" hidden="0" customWidth="1"/>
    <x:col min="5" max="5" width="13" hidden="0" customWidth="1"/>
    <x:col min="6" max="6" width="13" hidden="0" customWidth="1"/>
    <x:col min="7" max="7" width="17" hidden="0" customWidth="1"/>
    <x:col min="8" max="8" width="14" hidden="0" customWidth="1"/>
    <x:col min="9" max="9" width="14" hidden="0" customWidth="1"/>
    <x:col min="10" max="10" width="14" hidden="0" customWidth="1"/>
    <x:col min="11" max="11" width="16" hidden="0" customWidth="1"/>
    <x:col min="12" max="12" width="20" hidden="0" customWidth="1"/>
    <x:col min="13" max="13" width="15" hidden="0" customWidth="1"/>
    <x:col min="14" max="14" width="23" hidden="0" customWidth="1"/>
  </x:cols>
  <x:sheetData>
    <x:row r="2">
      <x:c r="B2" s="1" t="str">
        <x:v>Immutable residual event reservations</x:v>
      </x:c>
      <x:c r="C2" s="36"/>
      <x:c r="D2" s="36"/>
      <x:c r="E2" s="36"/>
      <x:c r="F2" s="36"/>
      <x:c r="G2" s="36"/>
      <x:c r="H2" s="36"/>
      <x:c r="I2" s="36"/>
      <x:c r="J2" s="36"/>
      <x:c r="K2" s="36"/>
      <x:c r="L2" s="36"/>
      <x:c r="M2" s="36"/>
      <x:c r="N2" s="36"/>
    </x:row>
    <x:row r="3">
      <x:c r="B3" s="2" t="str">
        <x:v>Conservative cycle and availability limits generate station intervals; contingent tokens remain held until eligible cause activation.</x:v>
      </x:c>
      <x:c r="C3" s="36"/>
      <x:c r="D3" s="36"/>
      <x:c r="E3" s="36"/>
      <x:c r="F3" s="36"/>
      <x:c r="G3" s="36"/>
      <x:c r="H3" s="36"/>
      <x:c r="I3" s="36"/>
      <x:c r="J3" s="36"/>
      <x:c r="K3" s="36"/>
      <x:c r="L3" s="36"/>
      <x:c r="M3" s="36"/>
      <x:c r="N3" s="36"/>
    </x:row>
    <x:row r="4">
      <x:c r="B4" s="37"/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</x:row>
    <x:row r="5">
      <x:c r="B5" s="36"/>
      <x:c r="C5" s="36"/>
      <x:c r="D5" s="36"/>
      <x:c r="E5" s="36"/>
      <x:c r="F5" s="36"/>
      <x:c r="G5" s="36"/>
      <x:c r="H5" s="36"/>
      <x:c r="I5" s="36"/>
      <x:c r="J5" s="36"/>
      <x:c r="K5" s="36"/>
      <x:c r="L5" s="36"/>
      <x:c r="M5" s="36"/>
      <x:c r="N5" s="36"/>
    </x:row>
    <x:row r="6">
      <x:c r="B6" s="7" t="str">
        <x:v>Token</x:v>
      </x:c>
      <x:c r="C6" s="7" t="str">
        <x:v>Lane</x:v>
      </x:c>
      <x:c r="D6" s="7" t="str">
        <x:v>Role</x:v>
      </x:c>
      <x:c r="E6" s="7" t="str">
        <x:v>Root</x:v>
      </x:c>
      <x:c r="F6" s="7" t="str">
        <x:v>Station</x:v>
      </x:c>
      <x:c r="G6" s="7" t="str">
        <x:v>Lane sequence</x:v>
      </x:c>
      <x:c r="H6" s="7" t="str">
        <x:v>Start day</x:v>
      </x:c>
      <x:c r="I6" s="7" t="str">
        <x:v>End day</x:v>
      </x:c>
      <x:c r="J6" s="7" t="str">
        <x:v>Packet due</x:v>
      </x:c>
      <x:c r="K6" s="7" t="str">
        <x:v>Primary credit</x:v>
      </x:c>
      <x:c r="L6" s="7" t="str">
        <x:v>Planning state</x:v>
      </x:c>
      <x:c r="M6" s="7" t="str">
        <x:v>Horizon gate</x:v>
      </x:c>
      <x:c r="N6" s="7" t="str">
        <x:v>Station occupancy count</x:v>
      </x:c>
    </x:row>
    <x:row r="7">
      <x:c r="B7" s="9" t="str">
        <x:v>RC-C001</x:v>
      </x:c>
      <x:c r="C7" s="9" t="str">
        <x:v>Closure</x:v>
      </x:c>
      <x:c r="D7" s="9" t="str">
        <x:v>PRIMARY</x:v>
      </x:c>
      <x:c r="E7" s="9" t="str">
        <x:v>R1</x:v>
      </x:c>
      <x:c r="F7" s="9" t="str">
        <x:v>CB-A1</x:v>
      </x:c>
      <x:c r="G7" s="9" t="n">
        <x:v>1</x:v>
      </x:c>
      <x:c r="H7" s="15" t="n">
        <x:f>'Method Controls'!$D$59+INT((G7-1)/4)*('Cycle Update'!$G$7/'Availability Update'!$K$7)</x:f>
        <x:v>91</x:v>
      </x:c>
      <x:c r="I7" s="15" t="n">
        <x:f>H7+'Cycle Update'!$G$7</x:f>
        <x:v>99.54201965085808</x:v>
      </x:c>
      <x:c r="J7" s="15" t="n">
        <x:f>I7+'Cycle Update'!$J$7</x:f>
        <x:v>106.09761588865328</x:v>
      </x:c>
      <x:c r="K7" s="9" t="n">
        <x:f>IF(D7="PRIMARY",1,0)</x:f>
        <x:v>1</x:v>
      </x:c>
      <x:c r="L7" s="9" t="str">
        <x:f>IF(D7="PRIMARY","PLANNED PRIMARY","CONTINGENT HELD")</x:f>
        <x:v>PLANNED PRIMARY</x:v>
      </x:c>
      <x:c r="M7" s="9" t="str">
        <x:f>IF(J7&lt;='Method Controls'!$D$60,"PASS","FAIL")</x:f>
        <x:v>PASS</x:v>
      </x:c>
      <x:c r="N7" s="9" t="n">
        <x:f>SUMPRODUCT(($F$7:$F$98=F7)*($H$7:$H$98&lt;I7)*($I$7:$I$98&gt;H7))</x:f>
        <x:v>1</x:v>
      </x:c>
    </x:row>
    <x:row r="8">
      <x:c r="B8" s="9" t="str">
        <x:v>RC-C002</x:v>
      </x:c>
      <x:c r="C8" s="9" t="str">
        <x:v>Closure</x:v>
      </x:c>
      <x:c r="D8" s="9" t="str">
        <x:v>PRIMARY</x:v>
      </x:c>
      <x:c r="E8" s="9" t="str">
        <x:v>R2</x:v>
      </x:c>
      <x:c r="F8" s="9" t="str">
        <x:v>CB-A2</x:v>
      </x:c>
      <x:c r="G8" s="9" t="n">
        <x:v>2</x:v>
      </x:c>
      <x:c r="H8" s="15" t="n">
        <x:f>'Method Controls'!$D$59+INT((G8-1)/4)*('Cycle Update'!$G$7/'Availability Update'!$K$7)</x:f>
        <x:v>91</x:v>
      </x:c>
      <x:c r="I8" s="15" t="n">
        <x:f>H8+'Cycle Update'!$G$7</x:f>
        <x:v>99.54201965085808</x:v>
      </x:c>
      <x:c r="J8" s="15" t="n">
        <x:f>I8+'Cycle Update'!$J$7</x:f>
        <x:v>106.09761588865328</x:v>
      </x:c>
      <x:c r="K8" s="9" t="n">
        <x:f>IF(D8="PRIMARY",1,0)</x:f>
        <x:v>1</x:v>
      </x:c>
      <x:c r="L8" s="9" t="str">
        <x:f>IF(D8="PRIMARY","PLANNED PRIMARY","CONTINGENT HELD")</x:f>
        <x:v>PLANNED PRIMARY</x:v>
      </x:c>
      <x:c r="M8" s="9" t="str">
        <x:f>IF(J8&lt;='Method Controls'!$D$60,"PASS","FAIL")</x:f>
        <x:v>PASS</x:v>
      </x:c>
      <x:c r="N8" s="9" t="n">
        <x:f>SUMPRODUCT(($F$7:$F$98=F8)*($H$7:$H$98&lt;I8)*($I$7:$I$98&gt;H8))</x:f>
        <x:v>1</x:v>
      </x:c>
    </x:row>
    <x:row r="9">
      <x:c r="B9" s="9" t="str">
        <x:v>RC-C003</x:v>
      </x:c>
      <x:c r="C9" s="9" t="str">
        <x:v>Closure</x:v>
      </x:c>
      <x:c r="D9" s="9" t="str">
        <x:v>PRIMARY</x:v>
      </x:c>
      <x:c r="E9" s="9" t="str">
        <x:v>R3</x:v>
      </x:c>
      <x:c r="F9" s="9" t="str">
        <x:v>CB-C1</x:v>
      </x:c>
      <x:c r="G9" s="9" t="n">
        <x:v>3</x:v>
      </x:c>
      <x:c r="H9" s="15" t="n">
        <x:f>'Method Controls'!$D$59+INT((G9-1)/4)*('Cycle Update'!$G$7/'Availability Update'!$K$7)</x:f>
        <x:v>91</x:v>
      </x:c>
      <x:c r="I9" s="15" t="n">
        <x:f>H9+'Cycle Update'!$G$7</x:f>
        <x:v>99.54201965085808</x:v>
      </x:c>
      <x:c r="J9" s="15" t="n">
        <x:f>I9+'Cycle Update'!$J$7</x:f>
        <x:v>106.09761588865328</x:v>
      </x:c>
      <x:c r="K9" s="9" t="n">
        <x:f>IF(D9="PRIMARY",1,0)</x:f>
        <x:v>1</x:v>
      </x:c>
      <x:c r="L9" s="9" t="str">
        <x:f>IF(D9="PRIMARY","PLANNED PRIMARY","CONTINGENT HELD")</x:f>
        <x:v>PLANNED PRIMARY</x:v>
      </x:c>
      <x:c r="M9" s="9" t="str">
        <x:f>IF(J9&lt;='Method Controls'!$D$60,"PASS","FAIL")</x:f>
        <x:v>PASS</x:v>
      </x:c>
      <x:c r="N9" s="9" t="n">
        <x:f>SUMPRODUCT(($F$7:$F$98=F9)*($H$7:$H$98&lt;I9)*($I$7:$I$98&gt;H9))</x:f>
        <x:v>1</x:v>
      </x:c>
    </x:row>
    <x:row r="10">
      <x:c r="B10" s="9" t="str">
        <x:v>RC-C004</x:v>
      </x:c>
      <x:c r="C10" s="9" t="str">
        <x:v>Closure</x:v>
      </x:c>
      <x:c r="D10" s="9" t="str">
        <x:v>PRIMARY</x:v>
      </x:c>
      <x:c r="E10" s="9" t="str">
        <x:v>R1</x:v>
      </x:c>
      <x:c r="F10" s="9" t="str">
        <x:v>CB-C2</x:v>
      </x:c>
      <x:c r="G10" s="9" t="n">
        <x:v>4</x:v>
      </x:c>
      <x:c r="H10" s="15" t="n">
        <x:f>'Method Controls'!$D$59+INT((G10-1)/4)*('Cycle Update'!$G$7/'Availability Update'!$K$7)</x:f>
        <x:v>91</x:v>
      </x:c>
      <x:c r="I10" s="15" t="n">
        <x:f>H10+'Cycle Update'!$G$7</x:f>
        <x:v>99.54201965085808</x:v>
      </x:c>
      <x:c r="J10" s="15" t="n">
        <x:f>I10+'Cycle Update'!$J$7</x:f>
        <x:v>106.09761588865328</x:v>
      </x:c>
      <x:c r="K10" s="9" t="n">
        <x:f>IF(D10="PRIMARY",1,0)</x:f>
        <x:v>1</x:v>
      </x:c>
      <x:c r="L10" s="9" t="str">
        <x:f>IF(D10="PRIMARY","PLANNED PRIMARY","CONTINGENT HELD")</x:f>
        <x:v>PLANNED PRIMARY</x:v>
      </x:c>
      <x:c r="M10" s="9" t="str">
        <x:f>IF(J10&lt;='Method Controls'!$D$60,"PASS","FAIL")</x:f>
        <x:v>PASS</x:v>
      </x:c>
      <x:c r="N10" s="9" t="n">
        <x:f>SUMPRODUCT(($F$7:$F$98=F10)*($H$7:$H$98&lt;I10)*($I$7:$I$98&gt;H10))</x:f>
        <x:v>1</x:v>
      </x:c>
    </x:row>
    <x:row r="11">
      <x:c r="B11" s="9" t="str">
        <x:v>RC-C005</x:v>
      </x:c>
      <x:c r="C11" s="9" t="str">
        <x:v>Closure</x:v>
      </x:c>
      <x:c r="D11" s="9" t="str">
        <x:v>PRIMARY</x:v>
      </x:c>
      <x:c r="E11" s="9" t="str">
        <x:v>R2</x:v>
      </x:c>
      <x:c r="F11" s="9" t="str">
        <x:v>CB-A1</x:v>
      </x:c>
      <x:c r="G11" s="9" t="n">
        <x:v>5</x:v>
      </x:c>
      <x:c r="H11" s="15" t="n">
        <x:f>'Method Controls'!$D$59+INT((G11-1)/4)*('Cycle Update'!$G$7/'Availability Update'!$K$7)</x:f>
        <x:v>103.96027918342782</x:v>
      </x:c>
      <x:c r="I11" s="15" t="n">
        <x:f>H11+'Cycle Update'!$G$7</x:f>
        <x:v>112.5022988342859</x:v>
      </x:c>
      <x:c r="J11" s="15" t="n">
        <x:f>I11+'Cycle Update'!$J$7</x:f>
        <x:v>119.0578950720811</x:v>
      </x:c>
      <x:c r="K11" s="9" t="n">
        <x:f>IF(D11="PRIMARY",1,0)</x:f>
        <x:v>1</x:v>
      </x:c>
      <x:c r="L11" s="9" t="str">
        <x:f>IF(D11="PRIMARY","PLANNED PRIMARY","CONTINGENT HELD")</x:f>
        <x:v>PLANNED PRIMARY</x:v>
      </x:c>
      <x:c r="M11" s="9" t="str">
        <x:f>IF(J11&lt;='Method Controls'!$D$60,"PASS","FAIL")</x:f>
        <x:v>PASS</x:v>
      </x:c>
      <x:c r="N11" s="9" t="n">
        <x:f>SUMPRODUCT(($F$7:$F$98=F11)*($H$7:$H$98&lt;I11)*($I$7:$I$98&gt;H11))</x:f>
        <x:v>1</x:v>
      </x:c>
    </x:row>
    <x:row r="12">
      <x:c r="B12" s="9" t="str">
        <x:v>RC-C006</x:v>
      </x:c>
      <x:c r="C12" s="9" t="str">
        <x:v>Closure</x:v>
      </x:c>
      <x:c r="D12" s="9" t="str">
        <x:v>PRIMARY</x:v>
      </x:c>
      <x:c r="E12" s="9" t="str">
        <x:v>R3</x:v>
      </x:c>
      <x:c r="F12" s="9" t="str">
        <x:v>CB-A2</x:v>
      </x:c>
      <x:c r="G12" s="9" t="n">
        <x:v>6</x:v>
      </x:c>
      <x:c r="H12" s="15" t="n">
        <x:f>'Method Controls'!$D$59+INT((G12-1)/4)*('Cycle Update'!$G$7/'Availability Update'!$K$7)</x:f>
        <x:v>103.96027918342782</x:v>
      </x:c>
      <x:c r="I12" s="15" t="n">
        <x:f>H12+'Cycle Update'!$G$7</x:f>
        <x:v>112.5022988342859</x:v>
      </x:c>
      <x:c r="J12" s="15" t="n">
        <x:f>I12+'Cycle Update'!$J$7</x:f>
        <x:v>119.0578950720811</x:v>
      </x:c>
      <x:c r="K12" s="9" t="n">
        <x:f>IF(D12="PRIMARY",1,0)</x:f>
        <x:v>1</x:v>
      </x:c>
      <x:c r="L12" s="9" t="str">
        <x:f>IF(D12="PRIMARY","PLANNED PRIMARY","CONTINGENT HELD")</x:f>
        <x:v>PLANNED PRIMARY</x:v>
      </x:c>
      <x:c r="M12" s="9" t="str">
        <x:f>IF(J12&lt;='Method Controls'!$D$60,"PASS","FAIL")</x:f>
        <x:v>PASS</x:v>
      </x:c>
      <x:c r="N12" s="9" t="n">
        <x:f>SUMPRODUCT(($F$7:$F$98=F12)*($H$7:$H$98&lt;I12)*($I$7:$I$98&gt;H12))</x:f>
        <x:v>1</x:v>
      </x:c>
    </x:row>
    <x:row r="13">
      <x:c r="B13" s="9" t="str">
        <x:v>RC-C007</x:v>
      </x:c>
      <x:c r="C13" s="9" t="str">
        <x:v>Closure</x:v>
      </x:c>
      <x:c r="D13" s="9" t="str">
        <x:v>PRIMARY</x:v>
      </x:c>
      <x:c r="E13" s="9" t="str">
        <x:v>R1</x:v>
      </x:c>
      <x:c r="F13" s="9" t="str">
        <x:v>CB-C1</x:v>
      </x:c>
      <x:c r="G13" s="9" t="n">
        <x:v>7</x:v>
      </x:c>
      <x:c r="H13" s="15" t="n">
        <x:f>'Method Controls'!$D$59+INT((G13-1)/4)*('Cycle Update'!$G$7/'Availability Update'!$K$7)</x:f>
        <x:v>103.96027918342782</x:v>
      </x:c>
      <x:c r="I13" s="15" t="n">
        <x:f>H13+'Cycle Update'!$G$7</x:f>
        <x:v>112.5022988342859</x:v>
      </x:c>
      <x:c r="J13" s="15" t="n">
        <x:f>I13+'Cycle Update'!$J$7</x:f>
        <x:v>119.0578950720811</x:v>
      </x:c>
      <x:c r="K13" s="9" t="n">
        <x:f>IF(D13="PRIMARY",1,0)</x:f>
        <x:v>1</x:v>
      </x:c>
      <x:c r="L13" s="9" t="str">
        <x:f>IF(D13="PRIMARY","PLANNED PRIMARY","CONTINGENT HELD")</x:f>
        <x:v>PLANNED PRIMARY</x:v>
      </x:c>
      <x:c r="M13" s="9" t="str">
        <x:f>IF(J13&lt;='Method Controls'!$D$60,"PASS","FAIL")</x:f>
        <x:v>PASS</x:v>
      </x:c>
      <x:c r="N13" s="9" t="n">
        <x:f>SUMPRODUCT(($F$7:$F$98=F13)*($H$7:$H$98&lt;I13)*($I$7:$I$98&gt;H13))</x:f>
        <x:v>1</x:v>
      </x:c>
    </x:row>
    <x:row r="14">
      <x:c r="B14" s="9" t="str">
        <x:v>RC-C008</x:v>
      </x:c>
      <x:c r="C14" s="9" t="str">
        <x:v>Closure</x:v>
      </x:c>
      <x:c r="D14" s="9" t="str">
        <x:v>PRIMARY</x:v>
      </x:c>
      <x:c r="E14" s="9" t="str">
        <x:v>R2</x:v>
      </x:c>
      <x:c r="F14" s="9" t="str">
        <x:v>CB-C2</x:v>
      </x:c>
      <x:c r="G14" s="9" t="n">
        <x:v>8</x:v>
      </x:c>
      <x:c r="H14" s="15" t="n">
        <x:f>'Method Controls'!$D$59+INT((G14-1)/4)*('Cycle Update'!$G$7/'Availability Update'!$K$7)</x:f>
        <x:v>103.96027918342782</x:v>
      </x:c>
      <x:c r="I14" s="15" t="n">
        <x:f>H14+'Cycle Update'!$G$7</x:f>
        <x:v>112.5022988342859</x:v>
      </x:c>
      <x:c r="J14" s="15" t="n">
        <x:f>I14+'Cycle Update'!$J$7</x:f>
        <x:v>119.0578950720811</x:v>
      </x:c>
      <x:c r="K14" s="9" t="n">
        <x:f>IF(D14="PRIMARY",1,0)</x:f>
        <x:v>1</x:v>
      </x:c>
      <x:c r="L14" s="9" t="str">
        <x:f>IF(D14="PRIMARY","PLANNED PRIMARY","CONTINGENT HELD")</x:f>
        <x:v>PLANNED PRIMARY</x:v>
      </x:c>
      <x:c r="M14" s="9" t="str">
        <x:f>IF(J14&lt;='Method Controls'!$D$60,"PASS","FAIL")</x:f>
        <x:v>PASS</x:v>
      </x:c>
      <x:c r="N14" s="9" t="n">
        <x:f>SUMPRODUCT(($F$7:$F$98=F14)*($H$7:$H$98&lt;I14)*($I$7:$I$98&gt;H14))</x:f>
        <x:v>1</x:v>
      </x:c>
    </x:row>
    <x:row r="15">
      <x:c r="B15" s="9" t="str">
        <x:v>RC-C009</x:v>
      </x:c>
      <x:c r="C15" s="9" t="str">
        <x:v>Closure</x:v>
      </x:c>
      <x:c r="D15" s="9" t="str">
        <x:v>PRIMARY</x:v>
      </x:c>
      <x:c r="E15" s="9" t="str">
        <x:v>R3</x:v>
      </x:c>
      <x:c r="F15" s="9" t="str">
        <x:v>CB-A1</x:v>
      </x:c>
      <x:c r="G15" s="9" t="n">
        <x:v>9</x:v>
      </x:c>
      <x:c r="H15" s="15" t="n">
        <x:f>'Method Controls'!$D$59+INT((G15-1)/4)*('Cycle Update'!$G$7/'Availability Update'!$K$7)</x:f>
        <x:v>116.92055836685563</x:v>
      </x:c>
      <x:c r="I15" s="15" t="n">
        <x:f>H15+'Cycle Update'!$G$7</x:f>
        <x:v>125.46257801771371</x:v>
      </x:c>
      <x:c r="J15" s="15" t="n">
        <x:f>I15+'Cycle Update'!$J$7</x:f>
        <x:v>132.0181742555089</x:v>
      </x:c>
      <x:c r="K15" s="9" t="n">
        <x:f>IF(D15="PRIMARY",1,0)</x:f>
        <x:v>1</x:v>
      </x:c>
      <x:c r="L15" s="9" t="str">
        <x:f>IF(D15="PRIMARY","PLANNED PRIMARY","CONTINGENT HELD")</x:f>
        <x:v>PLANNED PRIMARY</x:v>
      </x:c>
      <x:c r="M15" s="9" t="str">
        <x:f>IF(J15&lt;='Method Controls'!$D$60,"PASS","FAIL")</x:f>
        <x:v>PASS</x:v>
      </x:c>
      <x:c r="N15" s="9" t="n">
        <x:f>SUMPRODUCT(($F$7:$F$98=F15)*($H$7:$H$98&lt;I15)*($I$7:$I$98&gt;H15))</x:f>
        <x:v>1</x:v>
      </x:c>
    </x:row>
    <x:row r="16">
      <x:c r="B16" s="9" t="str">
        <x:v>RC-C010</x:v>
      </x:c>
      <x:c r="C16" s="9" t="str">
        <x:v>Closure</x:v>
      </x:c>
      <x:c r="D16" s="9" t="str">
        <x:v>PRIMARY</x:v>
      </x:c>
      <x:c r="E16" s="9" t="str">
        <x:v>R1</x:v>
      </x:c>
      <x:c r="F16" s="9" t="str">
        <x:v>CB-A2</x:v>
      </x:c>
      <x:c r="G16" s="9" t="n">
        <x:v>10</x:v>
      </x:c>
      <x:c r="H16" s="15" t="n">
        <x:f>'Method Controls'!$D$59+INT((G16-1)/4)*('Cycle Update'!$G$7/'Availability Update'!$K$7)</x:f>
        <x:v>116.92055836685563</x:v>
      </x:c>
      <x:c r="I16" s="15" t="n">
        <x:f>H16+'Cycle Update'!$G$7</x:f>
        <x:v>125.46257801771371</x:v>
      </x:c>
      <x:c r="J16" s="15" t="n">
        <x:f>I16+'Cycle Update'!$J$7</x:f>
        <x:v>132.0181742555089</x:v>
      </x:c>
      <x:c r="K16" s="9" t="n">
        <x:f>IF(D16="PRIMARY",1,0)</x:f>
        <x:v>1</x:v>
      </x:c>
      <x:c r="L16" s="9" t="str">
        <x:f>IF(D16="PRIMARY","PLANNED PRIMARY","CONTINGENT HELD")</x:f>
        <x:v>PLANNED PRIMARY</x:v>
      </x:c>
      <x:c r="M16" s="9" t="str">
        <x:f>IF(J16&lt;='Method Controls'!$D$60,"PASS","FAIL")</x:f>
        <x:v>PASS</x:v>
      </x:c>
      <x:c r="N16" s="9" t="n">
        <x:f>SUMPRODUCT(($F$7:$F$98=F16)*($H$7:$H$98&lt;I16)*($I$7:$I$98&gt;H16))</x:f>
        <x:v>1</x:v>
      </x:c>
    </x:row>
    <x:row r="17">
      <x:c r="B17" s="9" t="str">
        <x:v>RC-C011</x:v>
      </x:c>
      <x:c r="C17" s="9" t="str">
        <x:v>Closure</x:v>
      </x:c>
      <x:c r="D17" s="9" t="str">
        <x:v>PRIMARY</x:v>
      </x:c>
      <x:c r="E17" s="9" t="str">
        <x:v>R2</x:v>
      </x:c>
      <x:c r="F17" s="9" t="str">
        <x:v>CB-C1</x:v>
      </x:c>
      <x:c r="G17" s="9" t="n">
        <x:v>11</x:v>
      </x:c>
      <x:c r="H17" s="15" t="n">
        <x:f>'Method Controls'!$D$59+INT((G17-1)/4)*('Cycle Update'!$G$7/'Availability Update'!$K$7)</x:f>
        <x:v>116.92055836685563</x:v>
      </x:c>
      <x:c r="I17" s="15" t="n">
        <x:f>H17+'Cycle Update'!$G$7</x:f>
        <x:v>125.46257801771371</x:v>
      </x:c>
      <x:c r="J17" s="15" t="n">
        <x:f>I17+'Cycle Update'!$J$7</x:f>
        <x:v>132.0181742555089</x:v>
      </x:c>
      <x:c r="K17" s="9" t="n">
        <x:f>IF(D17="PRIMARY",1,0)</x:f>
        <x:v>1</x:v>
      </x:c>
      <x:c r="L17" s="9" t="str">
        <x:f>IF(D17="PRIMARY","PLANNED PRIMARY","CONTINGENT HELD")</x:f>
        <x:v>PLANNED PRIMARY</x:v>
      </x:c>
      <x:c r="M17" s="9" t="str">
        <x:f>IF(J17&lt;='Method Controls'!$D$60,"PASS","FAIL")</x:f>
        <x:v>PASS</x:v>
      </x:c>
      <x:c r="N17" s="9" t="n">
        <x:f>SUMPRODUCT(($F$7:$F$98=F17)*($H$7:$H$98&lt;I17)*($I$7:$I$98&gt;H17))</x:f>
        <x:v>1</x:v>
      </x:c>
    </x:row>
    <x:row r="18">
      <x:c r="B18" s="9" t="str">
        <x:v>RC-C012</x:v>
      </x:c>
      <x:c r="C18" s="9" t="str">
        <x:v>Closure</x:v>
      </x:c>
      <x:c r="D18" s="9" t="str">
        <x:v>PRIMARY</x:v>
      </x:c>
      <x:c r="E18" s="9" t="str">
        <x:v>R3</x:v>
      </x:c>
      <x:c r="F18" s="9" t="str">
        <x:v>CB-C2</x:v>
      </x:c>
      <x:c r="G18" s="9" t="n">
        <x:v>12</x:v>
      </x:c>
      <x:c r="H18" s="15" t="n">
        <x:f>'Method Controls'!$D$59+INT((G18-1)/4)*('Cycle Update'!$G$7/'Availability Update'!$K$7)</x:f>
        <x:v>116.92055836685563</x:v>
      </x:c>
      <x:c r="I18" s="15" t="n">
        <x:f>H18+'Cycle Update'!$G$7</x:f>
        <x:v>125.46257801771371</x:v>
      </x:c>
      <x:c r="J18" s="15" t="n">
        <x:f>I18+'Cycle Update'!$J$7</x:f>
        <x:v>132.0181742555089</x:v>
      </x:c>
      <x:c r="K18" s="9" t="n">
        <x:f>IF(D18="PRIMARY",1,0)</x:f>
        <x:v>1</x:v>
      </x:c>
      <x:c r="L18" s="9" t="str">
        <x:f>IF(D18="PRIMARY","PLANNED PRIMARY","CONTINGENT HELD")</x:f>
        <x:v>PLANNED PRIMARY</x:v>
      </x:c>
      <x:c r="M18" s="9" t="str">
        <x:f>IF(J18&lt;='Method Controls'!$D$60,"PASS","FAIL")</x:f>
        <x:v>PASS</x:v>
      </x:c>
      <x:c r="N18" s="9" t="n">
        <x:f>SUMPRODUCT(($F$7:$F$98=F18)*($H$7:$H$98&lt;I18)*($I$7:$I$98&gt;H18))</x:f>
        <x:v>1</x:v>
      </x:c>
    </x:row>
    <x:row r="19">
      <x:c r="B19" s="9" t="str">
        <x:v>RC-C013</x:v>
      </x:c>
      <x:c r="C19" s="9" t="str">
        <x:v>Closure</x:v>
      </x:c>
      <x:c r="D19" s="9" t="str">
        <x:v>PRIMARY</x:v>
      </x:c>
      <x:c r="E19" s="9" t="str">
        <x:v>R1</x:v>
      </x:c>
      <x:c r="F19" s="9" t="str">
        <x:v>CB-A1</x:v>
      </x:c>
      <x:c r="G19" s="9" t="n">
        <x:v>13</x:v>
      </x:c>
      <x:c r="H19" s="15" t="n">
        <x:f>'Method Controls'!$D$59+INT((G19-1)/4)*('Cycle Update'!$G$7/'Availability Update'!$K$7)</x:f>
        <x:v>129.88083755028345</x:v>
      </x:c>
      <x:c r="I19" s="15" t="n">
        <x:f>H19+'Cycle Update'!$G$7</x:f>
        <x:v>138.4228572011415</x:v>
      </x:c>
      <x:c r="J19" s="15" t="n">
        <x:f>I19+'Cycle Update'!$J$7</x:f>
        <x:v>144.9784534389367</x:v>
      </x:c>
      <x:c r="K19" s="9" t="n">
        <x:f>IF(D19="PRIMARY",1,0)</x:f>
        <x:v>1</x:v>
      </x:c>
      <x:c r="L19" s="9" t="str">
        <x:f>IF(D19="PRIMARY","PLANNED PRIMARY","CONTINGENT HELD")</x:f>
        <x:v>PLANNED PRIMARY</x:v>
      </x:c>
      <x:c r="M19" s="9" t="str">
        <x:f>IF(J19&lt;='Method Controls'!$D$60,"PASS","FAIL")</x:f>
        <x:v>PASS</x:v>
      </x:c>
      <x:c r="N19" s="9" t="n">
        <x:f>SUMPRODUCT(($F$7:$F$98=F19)*($H$7:$H$98&lt;I19)*($I$7:$I$98&gt;H19))</x:f>
        <x:v>1</x:v>
      </x:c>
    </x:row>
    <x:row r="20">
      <x:c r="B20" s="9" t="str">
        <x:v>RC-C014</x:v>
      </x:c>
      <x:c r="C20" s="9" t="str">
        <x:v>Closure</x:v>
      </x:c>
      <x:c r="D20" s="9" t="str">
        <x:v>PRIMARY</x:v>
      </x:c>
      <x:c r="E20" s="9" t="str">
        <x:v>R2</x:v>
      </x:c>
      <x:c r="F20" s="9" t="str">
        <x:v>CB-A2</x:v>
      </x:c>
      <x:c r="G20" s="9" t="n">
        <x:v>14</x:v>
      </x:c>
      <x:c r="H20" s="15" t="n">
        <x:f>'Method Controls'!$D$59+INT((G20-1)/4)*('Cycle Update'!$G$7/'Availability Update'!$K$7)</x:f>
        <x:v>129.88083755028345</x:v>
      </x:c>
      <x:c r="I20" s="15" t="n">
        <x:f>H20+'Cycle Update'!$G$7</x:f>
        <x:v>138.4228572011415</x:v>
      </x:c>
      <x:c r="J20" s="15" t="n">
        <x:f>I20+'Cycle Update'!$J$7</x:f>
        <x:v>144.9784534389367</x:v>
      </x:c>
      <x:c r="K20" s="9" t="n">
        <x:f>IF(D20="PRIMARY",1,0)</x:f>
        <x:v>1</x:v>
      </x:c>
      <x:c r="L20" s="9" t="str">
        <x:f>IF(D20="PRIMARY","PLANNED PRIMARY","CONTINGENT HELD")</x:f>
        <x:v>PLANNED PRIMARY</x:v>
      </x:c>
      <x:c r="M20" s="9" t="str">
        <x:f>IF(J20&lt;='Method Controls'!$D$60,"PASS","FAIL")</x:f>
        <x:v>PASS</x:v>
      </x:c>
      <x:c r="N20" s="9" t="n">
        <x:f>SUMPRODUCT(($F$7:$F$98=F20)*($H$7:$H$98&lt;I20)*($I$7:$I$98&gt;H20))</x:f>
        <x:v>1</x:v>
      </x:c>
    </x:row>
    <x:row r="21">
      <x:c r="B21" s="9" t="str">
        <x:v>RC-C015</x:v>
      </x:c>
      <x:c r="C21" s="9" t="str">
        <x:v>Closure</x:v>
      </x:c>
      <x:c r="D21" s="9" t="str">
        <x:v>PRIMARY</x:v>
      </x:c>
      <x:c r="E21" s="9" t="str">
        <x:v>R3</x:v>
      </x:c>
      <x:c r="F21" s="9" t="str">
        <x:v>CB-C1</x:v>
      </x:c>
      <x:c r="G21" s="9" t="n">
        <x:v>15</x:v>
      </x:c>
      <x:c r="H21" s="15" t="n">
        <x:f>'Method Controls'!$D$59+INT((G21-1)/4)*('Cycle Update'!$G$7/'Availability Update'!$K$7)</x:f>
        <x:v>129.88083755028345</x:v>
      </x:c>
      <x:c r="I21" s="15" t="n">
        <x:f>H21+'Cycle Update'!$G$7</x:f>
        <x:v>138.4228572011415</x:v>
      </x:c>
      <x:c r="J21" s="15" t="n">
        <x:f>I21+'Cycle Update'!$J$7</x:f>
        <x:v>144.9784534389367</x:v>
      </x:c>
      <x:c r="K21" s="9" t="n">
        <x:f>IF(D21="PRIMARY",1,0)</x:f>
        <x:v>1</x:v>
      </x:c>
      <x:c r="L21" s="9" t="str">
        <x:f>IF(D21="PRIMARY","PLANNED PRIMARY","CONTINGENT HELD")</x:f>
        <x:v>PLANNED PRIMARY</x:v>
      </x:c>
      <x:c r="M21" s="9" t="str">
        <x:f>IF(J21&lt;='Method Controls'!$D$60,"PASS","FAIL")</x:f>
        <x:v>PASS</x:v>
      </x:c>
      <x:c r="N21" s="9" t="n">
        <x:f>SUMPRODUCT(($F$7:$F$98=F21)*($H$7:$H$98&lt;I21)*($I$7:$I$98&gt;H21))</x:f>
        <x:v>1</x:v>
      </x:c>
    </x:row>
    <x:row r="22">
      <x:c r="B22" s="9" t="str">
        <x:v>RC-C016</x:v>
      </x:c>
      <x:c r="C22" s="9" t="str">
        <x:v>Closure</x:v>
      </x:c>
      <x:c r="D22" s="9" t="str">
        <x:v>PRIMARY</x:v>
      </x:c>
      <x:c r="E22" s="9" t="str">
        <x:v>R1</x:v>
      </x:c>
      <x:c r="F22" s="9" t="str">
        <x:v>CB-C2</x:v>
      </x:c>
      <x:c r="G22" s="9" t="n">
        <x:v>16</x:v>
      </x:c>
      <x:c r="H22" s="15" t="n">
        <x:f>'Method Controls'!$D$59+INT((G22-1)/4)*('Cycle Update'!$G$7/'Availability Update'!$K$7)</x:f>
        <x:v>129.88083755028345</x:v>
      </x:c>
      <x:c r="I22" s="15" t="n">
        <x:f>H22+'Cycle Update'!$G$7</x:f>
        <x:v>138.4228572011415</x:v>
      </x:c>
      <x:c r="J22" s="15" t="n">
        <x:f>I22+'Cycle Update'!$J$7</x:f>
        <x:v>144.9784534389367</x:v>
      </x:c>
      <x:c r="K22" s="9" t="n">
        <x:f>IF(D22="PRIMARY",1,0)</x:f>
        <x:v>1</x:v>
      </x:c>
      <x:c r="L22" s="9" t="str">
        <x:f>IF(D22="PRIMARY","PLANNED PRIMARY","CONTINGENT HELD")</x:f>
        <x:v>PLANNED PRIMARY</x:v>
      </x:c>
      <x:c r="M22" s="9" t="str">
        <x:f>IF(J22&lt;='Method Controls'!$D$60,"PASS","FAIL")</x:f>
        <x:v>PASS</x:v>
      </x:c>
      <x:c r="N22" s="9" t="n">
        <x:f>SUMPRODUCT(($F$7:$F$98=F22)*($H$7:$H$98&lt;I22)*($I$7:$I$98&gt;H22))</x:f>
        <x:v>1</x:v>
      </x:c>
    </x:row>
    <x:row r="23">
      <x:c r="B23" s="9" t="str">
        <x:v>RC-C017</x:v>
      </x:c>
      <x:c r="C23" s="9" t="str">
        <x:v>Closure</x:v>
      </x:c>
      <x:c r="D23" s="9" t="str">
        <x:v>PRIMARY</x:v>
      </x:c>
      <x:c r="E23" s="9" t="str">
        <x:v>R2</x:v>
      </x:c>
      <x:c r="F23" s="9" t="str">
        <x:v>CB-A1</x:v>
      </x:c>
      <x:c r="G23" s="9" t="n">
        <x:v>17</x:v>
      </x:c>
      <x:c r="H23" s="15" t="n">
        <x:f>'Method Controls'!$D$59+INT((G23-1)/4)*('Cycle Update'!$G$7/'Availability Update'!$K$7)</x:f>
        <x:v>142.84111673371126</x:v>
      </x:c>
      <x:c r="I23" s="15" t="n">
        <x:f>H23+'Cycle Update'!$G$7</x:f>
        <x:v>151.38313638456933</x:v>
      </x:c>
      <x:c r="J23" s="15" t="n">
        <x:f>I23+'Cycle Update'!$J$7</x:f>
        <x:v>157.9387326223645</x:v>
      </x:c>
      <x:c r="K23" s="9" t="n">
        <x:f>IF(D23="PRIMARY",1,0)</x:f>
        <x:v>1</x:v>
      </x:c>
      <x:c r="L23" s="9" t="str">
        <x:f>IF(D23="PRIMARY","PLANNED PRIMARY","CONTINGENT HELD")</x:f>
        <x:v>PLANNED PRIMARY</x:v>
      </x:c>
      <x:c r="M23" s="9" t="str">
        <x:f>IF(J23&lt;='Method Controls'!$D$60,"PASS","FAIL")</x:f>
        <x:v>PASS</x:v>
      </x:c>
      <x:c r="N23" s="9" t="n">
        <x:f>SUMPRODUCT(($F$7:$F$98=F23)*($H$7:$H$98&lt;I23)*($I$7:$I$98&gt;H23))</x:f>
        <x:v>1</x:v>
      </x:c>
    </x:row>
    <x:row r="24">
      <x:c r="B24" s="9" t="str">
        <x:v>RC-C018</x:v>
      </x:c>
      <x:c r="C24" s="9" t="str">
        <x:v>Closure</x:v>
      </x:c>
      <x:c r="D24" s="9" t="str">
        <x:v>PRIMARY</x:v>
      </x:c>
      <x:c r="E24" s="9" t="str">
        <x:v>R3</x:v>
      </x:c>
      <x:c r="F24" s="9" t="str">
        <x:v>CB-A2</x:v>
      </x:c>
      <x:c r="G24" s="9" t="n">
        <x:v>18</x:v>
      </x:c>
      <x:c r="H24" s="15" t="n">
        <x:f>'Method Controls'!$D$59+INT((G24-1)/4)*('Cycle Update'!$G$7/'Availability Update'!$K$7)</x:f>
        <x:v>142.84111673371126</x:v>
      </x:c>
      <x:c r="I24" s="15" t="n">
        <x:f>H24+'Cycle Update'!$G$7</x:f>
        <x:v>151.38313638456933</x:v>
      </x:c>
      <x:c r="J24" s="15" t="n">
        <x:f>I24+'Cycle Update'!$J$7</x:f>
        <x:v>157.9387326223645</x:v>
      </x:c>
      <x:c r="K24" s="9" t="n">
        <x:f>IF(D24="PRIMARY",1,0)</x:f>
        <x:v>1</x:v>
      </x:c>
      <x:c r="L24" s="9" t="str">
        <x:f>IF(D24="PRIMARY","PLANNED PRIMARY","CONTINGENT HELD")</x:f>
        <x:v>PLANNED PRIMARY</x:v>
      </x:c>
      <x:c r="M24" s="9" t="str">
        <x:f>IF(J24&lt;='Method Controls'!$D$60,"PASS","FAIL")</x:f>
        <x:v>PASS</x:v>
      </x:c>
      <x:c r="N24" s="9" t="n">
        <x:f>SUMPRODUCT(($F$7:$F$98=F24)*($H$7:$H$98&lt;I24)*($I$7:$I$98&gt;H24))</x:f>
        <x:v>1</x:v>
      </x:c>
    </x:row>
    <x:row r="25">
      <x:c r="B25" s="9" t="str">
        <x:v>RC-C019</x:v>
      </x:c>
      <x:c r="C25" s="9" t="str">
        <x:v>Closure</x:v>
      </x:c>
      <x:c r="D25" s="9" t="str">
        <x:v>PRIMARY</x:v>
      </x:c>
      <x:c r="E25" s="9" t="str">
        <x:v>R1</x:v>
      </x:c>
      <x:c r="F25" s="9" t="str">
        <x:v>CB-C1</x:v>
      </x:c>
      <x:c r="G25" s="9" t="n">
        <x:v>19</x:v>
      </x:c>
      <x:c r="H25" s="15" t="n">
        <x:f>'Method Controls'!$D$59+INT((G25-1)/4)*('Cycle Update'!$G$7/'Availability Update'!$K$7)</x:f>
        <x:v>142.84111673371126</x:v>
      </x:c>
      <x:c r="I25" s="15" t="n">
        <x:f>H25+'Cycle Update'!$G$7</x:f>
        <x:v>151.38313638456933</x:v>
      </x:c>
      <x:c r="J25" s="15" t="n">
        <x:f>I25+'Cycle Update'!$J$7</x:f>
        <x:v>157.9387326223645</x:v>
      </x:c>
      <x:c r="K25" s="9" t="n">
        <x:f>IF(D25="PRIMARY",1,0)</x:f>
        <x:v>1</x:v>
      </x:c>
      <x:c r="L25" s="9" t="str">
        <x:f>IF(D25="PRIMARY","PLANNED PRIMARY","CONTINGENT HELD")</x:f>
        <x:v>PLANNED PRIMARY</x:v>
      </x:c>
      <x:c r="M25" s="9" t="str">
        <x:f>IF(J25&lt;='Method Controls'!$D$60,"PASS","FAIL")</x:f>
        <x:v>PASS</x:v>
      </x:c>
      <x:c r="N25" s="9" t="n">
        <x:f>SUMPRODUCT(($F$7:$F$98=F25)*($H$7:$H$98&lt;I25)*($I$7:$I$98&gt;H25))</x:f>
        <x:v>1</x:v>
      </x:c>
    </x:row>
    <x:row r="26">
      <x:c r="B26" s="9" t="str">
        <x:v>RC-C020</x:v>
      </x:c>
      <x:c r="C26" s="9" t="str">
        <x:v>Closure</x:v>
      </x:c>
      <x:c r="D26" s="9" t="str">
        <x:v>PRIMARY</x:v>
      </x:c>
      <x:c r="E26" s="9" t="str">
        <x:v>R2</x:v>
      </x:c>
      <x:c r="F26" s="9" t="str">
        <x:v>CB-C2</x:v>
      </x:c>
      <x:c r="G26" s="9" t="n">
        <x:v>20</x:v>
      </x:c>
      <x:c r="H26" s="15" t="n">
        <x:f>'Method Controls'!$D$59+INT((G26-1)/4)*('Cycle Update'!$G$7/'Availability Update'!$K$7)</x:f>
        <x:v>142.84111673371126</x:v>
      </x:c>
      <x:c r="I26" s="15" t="n">
        <x:f>H26+'Cycle Update'!$G$7</x:f>
        <x:v>151.38313638456933</x:v>
      </x:c>
      <x:c r="J26" s="15" t="n">
        <x:f>I26+'Cycle Update'!$J$7</x:f>
        <x:v>157.9387326223645</x:v>
      </x:c>
      <x:c r="K26" s="9" t="n">
        <x:f>IF(D26="PRIMARY",1,0)</x:f>
        <x:v>1</x:v>
      </x:c>
      <x:c r="L26" s="9" t="str">
        <x:f>IF(D26="PRIMARY","PLANNED PRIMARY","CONTINGENT HELD")</x:f>
        <x:v>PLANNED PRIMARY</x:v>
      </x:c>
      <x:c r="M26" s="9" t="str">
        <x:f>IF(J26&lt;='Method Controls'!$D$60,"PASS","FAIL")</x:f>
        <x:v>PASS</x:v>
      </x:c>
      <x:c r="N26" s="9" t="n">
        <x:f>SUMPRODUCT(($F$7:$F$98=F26)*($H$7:$H$98&lt;I26)*($I$7:$I$98&gt;H26))</x:f>
        <x:v>1</x:v>
      </x:c>
    </x:row>
    <x:row r="27">
      <x:c r="B27" s="9" t="str">
        <x:v>RC-C021</x:v>
      </x:c>
      <x:c r="C27" s="9" t="str">
        <x:v>Closure</x:v>
      </x:c>
      <x:c r="D27" s="9" t="str">
        <x:v>PRIMARY</x:v>
      </x:c>
      <x:c r="E27" s="9" t="str">
        <x:v>R3</x:v>
      </x:c>
      <x:c r="F27" s="9" t="str">
        <x:v>CB-A1</x:v>
      </x:c>
      <x:c r="G27" s="9" t="n">
        <x:v>21</x:v>
      </x:c>
      <x:c r="H27" s="15" t="n">
        <x:f>'Method Controls'!$D$59+INT((G27-1)/4)*('Cycle Update'!$G$7/'Availability Update'!$K$7)</x:f>
        <x:v>155.80139591713908</x:v>
      </x:c>
      <x:c r="I27" s="15" t="n">
        <x:f>H27+'Cycle Update'!$G$7</x:f>
        <x:v>164.34341556799714</x:v>
      </x:c>
      <x:c r="J27" s="15" t="n">
        <x:f>I27+'Cycle Update'!$J$7</x:f>
        <x:v>170.89901180579233</x:v>
      </x:c>
      <x:c r="K27" s="9" t="n">
        <x:f>IF(D27="PRIMARY",1,0)</x:f>
        <x:v>1</x:v>
      </x:c>
      <x:c r="L27" s="9" t="str">
        <x:f>IF(D27="PRIMARY","PLANNED PRIMARY","CONTINGENT HELD")</x:f>
        <x:v>PLANNED PRIMARY</x:v>
      </x:c>
      <x:c r="M27" s="9" t="str">
        <x:f>IF(J27&lt;='Method Controls'!$D$60,"PASS","FAIL")</x:f>
        <x:v>PASS</x:v>
      </x:c>
      <x:c r="N27" s="9" t="n">
        <x:f>SUMPRODUCT(($F$7:$F$98=F27)*($H$7:$H$98&lt;I27)*($I$7:$I$98&gt;H27))</x:f>
        <x:v>1</x:v>
      </x:c>
    </x:row>
    <x:row r="28">
      <x:c r="B28" s="9" t="str">
        <x:v>RC-C022</x:v>
      </x:c>
      <x:c r="C28" s="9" t="str">
        <x:v>Closure</x:v>
      </x:c>
      <x:c r="D28" s="9" t="str">
        <x:v>PRIMARY</x:v>
      </x:c>
      <x:c r="E28" s="9" t="str">
        <x:v>R1</x:v>
      </x:c>
      <x:c r="F28" s="9" t="str">
        <x:v>CB-A2</x:v>
      </x:c>
      <x:c r="G28" s="9" t="n">
        <x:v>22</x:v>
      </x:c>
      <x:c r="H28" s="15" t="n">
        <x:f>'Method Controls'!$D$59+INT((G28-1)/4)*('Cycle Update'!$G$7/'Availability Update'!$K$7)</x:f>
        <x:v>155.80139591713908</x:v>
      </x:c>
      <x:c r="I28" s="15" t="n">
        <x:f>H28+'Cycle Update'!$G$7</x:f>
        <x:v>164.34341556799714</x:v>
      </x:c>
      <x:c r="J28" s="15" t="n">
        <x:f>I28+'Cycle Update'!$J$7</x:f>
        <x:v>170.89901180579233</x:v>
      </x:c>
      <x:c r="K28" s="9" t="n">
        <x:f>IF(D28="PRIMARY",1,0)</x:f>
        <x:v>1</x:v>
      </x:c>
      <x:c r="L28" s="9" t="str">
        <x:f>IF(D28="PRIMARY","PLANNED PRIMARY","CONTINGENT HELD")</x:f>
        <x:v>PLANNED PRIMARY</x:v>
      </x:c>
      <x:c r="M28" s="9" t="str">
        <x:f>IF(J28&lt;='Method Controls'!$D$60,"PASS","FAIL")</x:f>
        <x:v>PASS</x:v>
      </x:c>
      <x:c r="N28" s="9" t="n">
        <x:f>SUMPRODUCT(($F$7:$F$98=F28)*($H$7:$H$98&lt;I28)*($I$7:$I$98&gt;H28))</x:f>
        <x:v>1</x:v>
      </x:c>
    </x:row>
    <x:row r="29">
      <x:c r="B29" s="9" t="str">
        <x:v>RC-C023</x:v>
      </x:c>
      <x:c r="C29" s="9" t="str">
        <x:v>Closure</x:v>
      </x:c>
      <x:c r="D29" s="9" t="str">
        <x:v>PRIMARY</x:v>
      </x:c>
      <x:c r="E29" s="9" t="str">
        <x:v>R2</x:v>
      </x:c>
      <x:c r="F29" s="9" t="str">
        <x:v>CB-C1</x:v>
      </x:c>
      <x:c r="G29" s="9" t="n">
        <x:v>23</x:v>
      </x:c>
      <x:c r="H29" s="15" t="n">
        <x:f>'Method Controls'!$D$59+INT((G29-1)/4)*('Cycle Update'!$G$7/'Availability Update'!$K$7)</x:f>
        <x:v>155.80139591713908</x:v>
      </x:c>
      <x:c r="I29" s="15" t="n">
        <x:f>H29+'Cycle Update'!$G$7</x:f>
        <x:v>164.34341556799714</x:v>
      </x:c>
      <x:c r="J29" s="15" t="n">
        <x:f>I29+'Cycle Update'!$J$7</x:f>
        <x:v>170.89901180579233</x:v>
      </x:c>
      <x:c r="K29" s="9" t="n">
        <x:f>IF(D29="PRIMARY",1,0)</x:f>
        <x:v>1</x:v>
      </x:c>
      <x:c r="L29" s="9" t="str">
        <x:f>IF(D29="PRIMARY","PLANNED PRIMARY","CONTINGENT HELD")</x:f>
        <x:v>PLANNED PRIMARY</x:v>
      </x:c>
      <x:c r="M29" s="9" t="str">
        <x:f>IF(J29&lt;='Method Controls'!$D$60,"PASS","FAIL")</x:f>
        <x:v>PASS</x:v>
      </x:c>
      <x:c r="N29" s="9" t="n">
        <x:f>SUMPRODUCT(($F$7:$F$98=F29)*($H$7:$H$98&lt;I29)*($I$7:$I$98&gt;H29))</x:f>
        <x:v>1</x:v>
      </x:c>
    </x:row>
    <x:row r="30">
      <x:c r="B30" s="9" t="str">
        <x:v>RC-C024</x:v>
      </x:c>
      <x:c r="C30" s="9" t="str">
        <x:v>Closure</x:v>
      </x:c>
      <x:c r="D30" s="9" t="str">
        <x:v>PRIMARY</x:v>
      </x:c>
      <x:c r="E30" s="9" t="str">
        <x:v>R3</x:v>
      </x:c>
      <x:c r="F30" s="9" t="str">
        <x:v>CB-C2</x:v>
      </x:c>
      <x:c r="G30" s="9" t="n">
        <x:v>24</x:v>
      </x:c>
      <x:c r="H30" s="15" t="n">
        <x:f>'Method Controls'!$D$59+INT((G30-1)/4)*('Cycle Update'!$G$7/'Availability Update'!$K$7)</x:f>
        <x:v>155.80139591713908</x:v>
      </x:c>
      <x:c r="I30" s="15" t="n">
        <x:f>H30+'Cycle Update'!$G$7</x:f>
        <x:v>164.34341556799714</x:v>
      </x:c>
      <x:c r="J30" s="15" t="n">
        <x:f>I30+'Cycle Update'!$J$7</x:f>
        <x:v>170.89901180579233</x:v>
      </x:c>
      <x:c r="K30" s="9" t="n">
        <x:f>IF(D30="PRIMARY",1,0)</x:f>
        <x:v>1</x:v>
      </x:c>
      <x:c r="L30" s="9" t="str">
        <x:f>IF(D30="PRIMARY","PLANNED PRIMARY","CONTINGENT HELD")</x:f>
        <x:v>PLANNED PRIMARY</x:v>
      </x:c>
      <x:c r="M30" s="9" t="str">
        <x:f>IF(J30&lt;='Method Controls'!$D$60,"PASS","FAIL")</x:f>
        <x:v>PASS</x:v>
      </x:c>
      <x:c r="N30" s="9" t="n">
        <x:f>SUMPRODUCT(($F$7:$F$98=F30)*($H$7:$H$98&lt;I30)*($I$7:$I$98&gt;H30))</x:f>
        <x:v>1</x:v>
      </x:c>
    </x:row>
    <x:row r="31">
      <x:c r="B31" s="9" t="str">
        <x:v>RC-C025</x:v>
      </x:c>
      <x:c r="C31" s="9" t="str">
        <x:v>Closure</x:v>
      </x:c>
      <x:c r="D31" s="9" t="str">
        <x:v>PRIMARY</x:v>
      </x:c>
      <x:c r="E31" s="9" t="str">
        <x:v>R1</x:v>
      </x:c>
      <x:c r="F31" s="9" t="str">
        <x:v>CB-A1</x:v>
      </x:c>
      <x:c r="G31" s="9" t="n">
        <x:v>25</x:v>
      </x:c>
      <x:c r="H31" s="15" t="n">
        <x:f>'Method Controls'!$D$59+INT((G31-1)/4)*('Cycle Update'!$G$7/'Availability Update'!$K$7)</x:f>
        <x:v>168.7616751005669</x:v>
      </x:c>
      <x:c r="I31" s="15" t="n">
        <x:f>H31+'Cycle Update'!$G$7</x:f>
        <x:v>177.30369475142496</x:v>
      </x:c>
      <x:c r="J31" s="15" t="n">
        <x:f>I31+'Cycle Update'!$J$7</x:f>
        <x:v>183.85929098922014</x:v>
      </x:c>
      <x:c r="K31" s="9" t="n">
        <x:f>IF(D31="PRIMARY",1,0)</x:f>
        <x:v>1</x:v>
      </x:c>
      <x:c r="L31" s="9" t="str">
        <x:f>IF(D31="PRIMARY","PLANNED PRIMARY","CONTINGENT HELD")</x:f>
        <x:v>PLANNED PRIMARY</x:v>
      </x:c>
      <x:c r="M31" s="9" t="str">
        <x:f>IF(J31&lt;='Method Controls'!$D$60,"PASS","FAIL")</x:f>
        <x:v>PASS</x:v>
      </x:c>
      <x:c r="N31" s="9" t="n">
        <x:f>SUMPRODUCT(($F$7:$F$98=F31)*($H$7:$H$98&lt;I31)*($I$7:$I$98&gt;H31))</x:f>
        <x:v>1</x:v>
      </x:c>
    </x:row>
    <x:row r="32">
      <x:c r="B32" s="9" t="str">
        <x:v>RC-C026</x:v>
      </x:c>
      <x:c r="C32" s="9" t="str">
        <x:v>Closure</x:v>
      </x:c>
      <x:c r="D32" s="9" t="str">
        <x:v>PRIMARY</x:v>
      </x:c>
      <x:c r="E32" s="9" t="str">
        <x:v>R2</x:v>
      </x:c>
      <x:c r="F32" s="9" t="str">
        <x:v>CB-A2</x:v>
      </x:c>
      <x:c r="G32" s="9" t="n">
        <x:v>26</x:v>
      </x:c>
      <x:c r="H32" s="15" t="n">
        <x:f>'Method Controls'!$D$59+INT((G32-1)/4)*('Cycle Update'!$G$7/'Availability Update'!$K$7)</x:f>
        <x:v>168.7616751005669</x:v>
      </x:c>
      <x:c r="I32" s="15" t="n">
        <x:f>H32+'Cycle Update'!$G$7</x:f>
        <x:v>177.30369475142496</x:v>
      </x:c>
      <x:c r="J32" s="15" t="n">
        <x:f>I32+'Cycle Update'!$J$7</x:f>
        <x:v>183.85929098922014</x:v>
      </x:c>
      <x:c r="K32" s="9" t="n">
        <x:f>IF(D32="PRIMARY",1,0)</x:f>
        <x:v>1</x:v>
      </x:c>
      <x:c r="L32" s="9" t="str">
        <x:f>IF(D32="PRIMARY","PLANNED PRIMARY","CONTINGENT HELD")</x:f>
        <x:v>PLANNED PRIMARY</x:v>
      </x:c>
      <x:c r="M32" s="9" t="str">
        <x:f>IF(J32&lt;='Method Controls'!$D$60,"PASS","FAIL")</x:f>
        <x:v>PASS</x:v>
      </x:c>
      <x:c r="N32" s="9" t="n">
        <x:f>SUMPRODUCT(($F$7:$F$98=F32)*($H$7:$H$98&lt;I32)*($I$7:$I$98&gt;H32))</x:f>
        <x:v>1</x:v>
      </x:c>
    </x:row>
    <x:row r="33">
      <x:c r="B33" s="9" t="str">
        <x:v>RC-C027</x:v>
      </x:c>
      <x:c r="C33" s="9" t="str">
        <x:v>Closure</x:v>
      </x:c>
      <x:c r="D33" s="9" t="str">
        <x:v>PRIMARY</x:v>
      </x:c>
      <x:c r="E33" s="9" t="str">
        <x:v>R3</x:v>
      </x:c>
      <x:c r="F33" s="9" t="str">
        <x:v>CB-C1</x:v>
      </x:c>
      <x:c r="G33" s="9" t="n">
        <x:v>27</x:v>
      </x:c>
      <x:c r="H33" s="15" t="n">
        <x:f>'Method Controls'!$D$59+INT((G33-1)/4)*('Cycle Update'!$G$7/'Availability Update'!$K$7)</x:f>
        <x:v>168.7616751005669</x:v>
      </x:c>
      <x:c r="I33" s="15" t="n">
        <x:f>H33+'Cycle Update'!$G$7</x:f>
        <x:v>177.30369475142496</x:v>
      </x:c>
      <x:c r="J33" s="15" t="n">
        <x:f>I33+'Cycle Update'!$J$7</x:f>
        <x:v>183.85929098922014</x:v>
      </x:c>
      <x:c r="K33" s="9" t="n">
        <x:f>IF(D33="PRIMARY",1,0)</x:f>
        <x:v>1</x:v>
      </x:c>
      <x:c r="L33" s="9" t="str">
        <x:f>IF(D33="PRIMARY","PLANNED PRIMARY","CONTINGENT HELD")</x:f>
        <x:v>PLANNED PRIMARY</x:v>
      </x:c>
      <x:c r="M33" s="9" t="str">
        <x:f>IF(J33&lt;='Method Controls'!$D$60,"PASS","FAIL")</x:f>
        <x:v>PASS</x:v>
      </x:c>
      <x:c r="N33" s="9" t="n">
        <x:f>SUMPRODUCT(($F$7:$F$98=F33)*($H$7:$H$98&lt;I33)*($I$7:$I$98&gt;H33))</x:f>
        <x:v>1</x:v>
      </x:c>
    </x:row>
    <x:row r="34">
      <x:c r="B34" s="9" t="str">
        <x:v>RC-C028</x:v>
      </x:c>
      <x:c r="C34" s="9" t="str">
        <x:v>Closure</x:v>
      </x:c>
      <x:c r="D34" s="9" t="str">
        <x:v>PRIMARY</x:v>
      </x:c>
      <x:c r="E34" s="9" t="str">
        <x:v>R1</x:v>
      </x:c>
      <x:c r="F34" s="9" t="str">
        <x:v>CB-C2</x:v>
      </x:c>
      <x:c r="G34" s="9" t="n">
        <x:v>28</x:v>
      </x:c>
      <x:c r="H34" s="15" t="n">
        <x:f>'Method Controls'!$D$59+INT((G34-1)/4)*('Cycle Update'!$G$7/'Availability Update'!$K$7)</x:f>
        <x:v>168.7616751005669</x:v>
      </x:c>
      <x:c r="I34" s="15" t="n">
        <x:f>H34+'Cycle Update'!$G$7</x:f>
        <x:v>177.30369475142496</x:v>
      </x:c>
      <x:c r="J34" s="15" t="n">
        <x:f>I34+'Cycle Update'!$J$7</x:f>
        <x:v>183.85929098922014</x:v>
      </x:c>
      <x:c r="K34" s="9" t="n">
        <x:f>IF(D34="PRIMARY",1,0)</x:f>
        <x:v>1</x:v>
      </x:c>
      <x:c r="L34" s="9" t="str">
        <x:f>IF(D34="PRIMARY","PLANNED PRIMARY","CONTINGENT HELD")</x:f>
        <x:v>PLANNED PRIMARY</x:v>
      </x:c>
      <x:c r="M34" s="9" t="str">
        <x:f>IF(J34&lt;='Method Controls'!$D$60,"PASS","FAIL")</x:f>
        <x:v>PASS</x:v>
      </x:c>
      <x:c r="N34" s="9" t="n">
        <x:f>SUMPRODUCT(($F$7:$F$98=F34)*($H$7:$H$98&lt;I34)*($I$7:$I$98&gt;H34))</x:f>
        <x:v>1</x:v>
      </x:c>
    </x:row>
    <x:row r="35">
      <x:c r="B35" s="9" t="str">
        <x:v>RC-C029</x:v>
      </x:c>
      <x:c r="C35" s="9" t="str">
        <x:v>Closure</x:v>
      </x:c>
      <x:c r="D35" s="9" t="str">
        <x:v>PRIMARY</x:v>
      </x:c>
      <x:c r="E35" s="9" t="str">
        <x:v>R2</x:v>
      </x:c>
      <x:c r="F35" s="9" t="str">
        <x:v>CB-A1</x:v>
      </x:c>
      <x:c r="G35" s="9" t="n">
        <x:v>29</x:v>
      </x:c>
      <x:c r="H35" s="15" t="n">
        <x:f>'Method Controls'!$D$59+INT((G35-1)/4)*('Cycle Update'!$G$7/'Availability Update'!$K$7)</x:f>
        <x:v>181.7219542839947</x:v>
      </x:c>
      <x:c r="I35" s="15" t="n">
        <x:f>H35+'Cycle Update'!$G$7</x:f>
        <x:v>190.26397393485277</x:v>
      </x:c>
      <x:c r="J35" s="15" t="n">
        <x:f>I35+'Cycle Update'!$J$7</x:f>
        <x:v>196.81957017264796</x:v>
      </x:c>
      <x:c r="K35" s="9" t="n">
        <x:f>IF(D35="PRIMARY",1,0)</x:f>
        <x:v>1</x:v>
      </x:c>
      <x:c r="L35" s="9" t="str">
        <x:f>IF(D35="PRIMARY","PLANNED PRIMARY","CONTINGENT HELD")</x:f>
        <x:v>PLANNED PRIMARY</x:v>
      </x:c>
      <x:c r="M35" s="9" t="str">
        <x:f>IF(J35&lt;='Method Controls'!$D$60,"PASS","FAIL")</x:f>
        <x:v>PASS</x:v>
      </x:c>
      <x:c r="N35" s="9" t="n">
        <x:f>SUMPRODUCT(($F$7:$F$98=F35)*($H$7:$H$98&lt;I35)*($I$7:$I$98&gt;H35))</x:f>
        <x:v>1</x:v>
      </x:c>
    </x:row>
    <x:row r="36">
      <x:c r="B36" s="9" t="str">
        <x:v>RC-C030</x:v>
      </x:c>
      <x:c r="C36" s="9" t="str">
        <x:v>Closure</x:v>
      </x:c>
      <x:c r="D36" s="9" t="str">
        <x:v>PRIMARY</x:v>
      </x:c>
      <x:c r="E36" s="9" t="str">
        <x:v>R3</x:v>
      </x:c>
      <x:c r="F36" s="9" t="str">
        <x:v>CB-A2</x:v>
      </x:c>
      <x:c r="G36" s="9" t="n">
        <x:v>30</x:v>
      </x:c>
      <x:c r="H36" s="15" t="n">
        <x:f>'Method Controls'!$D$59+INT((G36-1)/4)*('Cycle Update'!$G$7/'Availability Update'!$K$7)</x:f>
        <x:v>181.7219542839947</x:v>
      </x:c>
      <x:c r="I36" s="15" t="n">
        <x:f>H36+'Cycle Update'!$G$7</x:f>
        <x:v>190.26397393485277</x:v>
      </x:c>
      <x:c r="J36" s="15" t="n">
        <x:f>I36+'Cycle Update'!$J$7</x:f>
        <x:v>196.81957017264796</x:v>
      </x:c>
      <x:c r="K36" s="9" t="n">
        <x:f>IF(D36="PRIMARY",1,0)</x:f>
        <x:v>1</x:v>
      </x:c>
      <x:c r="L36" s="9" t="str">
        <x:f>IF(D36="PRIMARY","PLANNED PRIMARY","CONTINGENT HELD")</x:f>
        <x:v>PLANNED PRIMARY</x:v>
      </x:c>
      <x:c r="M36" s="9" t="str">
        <x:f>IF(J36&lt;='Method Controls'!$D$60,"PASS","FAIL")</x:f>
        <x:v>PASS</x:v>
      </x:c>
      <x:c r="N36" s="9" t="n">
        <x:f>SUMPRODUCT(($F$7:$F$98=F36)*($H$7:$H$98&lt;I36)*($I$7:$I$98&gt;H36))</x:f>
        <x:v>1</x:v>
      </x:c>
    </x:row>
    <x:row r="37">
      <x:c r="B37" s="9" t="str">
        <x:v>RC-C031</x:v>
      </x:c>
      <x:c r="C37" s="9" t="str">
        <x:v>Closure</x:v>
      </x:c>
      <x:c r="D37" s="9" t="str">
        <x:v>PRIMARY</x:v>
      </x:c>
      <x:c r="E37" s="9" t="str">
        <x:v>R1</x:v>
      </x:c>
      <x:c r="F37" s="9" t="str">
        <x:v>CB-C1</x:v>
      </x:c>
      <x:c r="G37" s="9" t="n">
        <x:v>31</x:v>
      </x:c>
      <x:c r="H37" s="15" t="n">
        <x:f>'Method Controls'!$D$59+INT((G37-1)/4)*('Cycle Update'!$G$7/'Availability Update'!$K$7)</x:f>
        <x:v>181.7219542839947</x:v>
      </x:c>
      <x:c r="I37" s="15" t="n">
        <x:f>H37+'Cycle Update'!$G$7</x:f>
        <x:v>190.26397393485277</x:v>
      </x:c>
      <x:c r="J37" s="15" t="n">
        <x:f>I37+'Cycle Update'!$J$7</x:f>
        <x:v>196.81957017264796</x:v>
      </x:c>
      <x:c r="K37" s="9" t="n">
        <x:f>IF(D37="PRIMARY",1,0)</x:f>
        <x:v>1</x:v>
      </x:c>
      <x:c r="L37" s="9" t="str">
        <x:f>IF(D37="PRIMARY","PLANNED PRIMARY","CONTINGENT HELD")</x:f>
        <x:v>PLANNED PRIMARY</x:v>
      </x:c>
      <x:c r="M37" s="9" t="str">
        <x:f>IF(J37&lt;='Method Controls'!$D$60,"PASS","FAIL")</x:f>
        <x:v>PASS</x:v>
      </x:c>
      <x:c r="N37" s="9" t="n">
        <x:f>SUMPRODUCT(($F$7:$F$98=F37)*($H$7:$H$98&lt;I37)*($I$7:$I$98&gt;H37))</x:f>
        <x:v>1</x:v>
      </x:c>
    </x:row>
    <x:row r="38">
      <x:c r="B38" s="9" t="str">
        <x:v>RC-C032</x:v>
      </x:c>
      <x:c r="C38" s="9" t="str">
        <x:v>Closure</x:v>
      </x:c>
      <x:c r="D38" s="9" t="str">
        <x:v>PRIMARY</x:v>
      </x:c>
      <x:c r="E38" s="9" t="str">
        <x:v>R2</x:v>
      </x:c>
      <x:c r="F38" s="9" t="str">
        <x:v>CB-C2</x:v>
      </x:c>
      <x:c r="G38" s="9" t="n">
        <x:v>32</x:v>
      </x:c>
      <x:c r="H38" s="15" t="n">
        <x:f>'Method Controls'!$D$59+INT((G38-1)/4)*('Cycle Update'!$G$7/'Availability Update'!$K$7)</x:f>
        <x:v>181.7219542839947</x:v>
      </x:c>
      <x:c r="I38" s="15" t="n">
        <x:f>H38+'Cycle Update'!$G$7</x:f>
        <x:v>190.26397393485277</x:v>
      </x:c>
      <x:c r="J38" s="15" t="n">
        <x:f>I38+'Cycle Update'!$J$7</x:f>
        <x:v>196.81957017264796</x:v>
      </x:c>
      <x:c r="K38" s="9" t="n">
        <x:f>IF(D38="PRIMARY",1,0)</x:f>
        <x:v>1</x:v>
      </x:c>
      <x:c r="L38" s="9" t="str">
        <x:f>IF(D38="PRIMARY","PLANNED PRIMARY","CONTINGENT HELD")</x:f>
        <x:v>PLANNED PRIMARY</x:v>
      </x:c>
      <x:c r="M38" s="9" t="str">
        <x:f>IF(J38&lt;='Method Controls'!$D$60,"PASS","FAIL")</x:f>
        <x:v>PASS</x:v>
      </x:c>
      <x:c r="N38" s="9" t="n">
        <x:f>SUMPRODUCT(($F$7:$F$98=F38)*($H$7:$H$98&lt;I38)*($I$7:$I$98&gt;H38))</x:f>
        <x:v>1</x:v>
      </x:c>
    </x:row>
    <x:row r="39">
      <x:c r="B39" s="9" t="str">
        <x:v>RC-C033</x:v>
      </x:c>
      <x:c r="C39" s="9" t="str">
        <x:v>Closure</x:v>
      </x:c>
      <x:c r="D39" s="9" t="str">
        <x:v>PRIMARY</x:v>
      </x:c>
      <x:c r="E39" s="9" t="str">
        <x:v>R3</x:v>
      </x:c>
      <x:c r="F39" s="9" t="str">
        <x:v>CB-A1</x:v>
      </x:c>
      <x:c r="G39" s="9" t="n">
        <x:v>33</x:v>
      </x:c>
      <x:c r="H39" s="15" t="n">
        <x:f>'Method Controls'!$D$59+INT((G39-1)/4)*('Cycle Update'!$G$7/'Availability Update'!$K$7)</x:f>
        <x:v>194.68223346742252</x:v>
      </x:c>
      <x:c r="I39" s="15" t="n">
        <x:f>H39+'Cycle Update'!$G$7</x:f>
        <x:v>203.2242531182806</x:v>
      </x:c>
      <x:c r="J39" s="15" t="n">
        <x:f>I39+'Cycle Update'!$J$7</x:f>
        <x:v>209.77984935607577</x:v>
      </x:c>
      <x:c r="K39" s="9" t="n">
        <x:f>IF(D39="PRIMARY",1,0)</x:f>
        <x:v>1</x:v>
      </x:c>
      <x:c r="L39" s="9" t="str">
        <x:f>IF(D39="PRIMARY","PLANNED PRIMARY","CONTINGENT HELD")</x:f>
        <x:v>PLANNED PRIMARY</x:v>
      </x:c>
      <x:c r="M39" s="9" t="str">
        <x:f>IF(J39&lt;='Method Controls'!$D$60,"PASS","FAIL")</x:f>
        <x:v>PASS</x:v>
      </x:c>
      <x:c r="N39" s="9" t="n">
        <x:f>SUMPRODUCT(($F$7:$F$98=F39)*($H$7:$H$98&lt;I39)*($I$7:$I$98&gt;H39))</x:f>
        <x:v>1</x:v>
      </x:c>
    </x:row>
    <x:row r="40">
      <x:c r="B40" s="9" t="str">
        <x:v>RC-C034</x:v>
      </x:c>
      <x:c r="C40" s="9" t="str">
        <x:v>Closure</x:v>
      </x:c>
      <x:c r="D40" s="9" t="str">
        <x:v>PRIMARY</x:v>
      </x:c>
      <x:c r="E40" s="9" t="str">
        <x:v>R1</x:v>
      </x:c>
      <x:c r="F40" s="9" t="str">
        <x:v>CB-A2</x:v>
      </x:c>
      <x:c r="G40" s="9" t="n">
        <x:v>34</x:v>
      </x:c>
      <x:c r="H40" s="15" t="n">
        <x:f>'Method Controls'!$D$59+INT((G40-1)/4)*('Cycle Update'!$G$7/'Availability Update'!$K$7)</x:f>
        <x:v>194.68223346742252</x:v>
      </x:c>
      <x:c r="I40" s="15" t="n">
        <x:f>H40+'Cycle Update'!$G$7</x:f>
        <x:v>203.2242531182806</x:v>
      </x:c>
      <x:c r="J40" s="15" t="n">
        <x:f>I40+'Cycle Update'!$J$7</x:f>
        <x:v>209.77984935607577</x:v>
      </x:c>
      <x:c r="K40" s="9" t="n">
        <x:f>IF(D40="PRIMARY",1,0)</x:f>
        <x:v>1</x:v>
      </x:c>
      <x:c r="L40" s="9" t="str">
        <x:f>IF(D40="PRIMARY","PLANNED PRIMARY","CONTINGENT HELD")</x:f>
        <x:v>PLANNED PRIMARY</x:v>
      </x:c>
      <x:c r="M40" s="9" t="str">
        <x:f>IF(J40&lt;='Method Controls'!$D$60,"PASS","FAIL")</x:f>
        <x:v>PASS</x:v>
      </x:c>
      <x:c r="N40" s="9" t="n">
        <x:f>SUMPRODUCT(($F$7:$F$98=F40)*($H$7:$H$98&lt;I40)*($I$7:$I$98&gt;H40))</x:f>
        <x:v>1</x:v>
      </x:c>
    </x:row>
    <x:row r="41">
      <x:c r="B41" s="9" t="str">
        <x:v>RC-C035</x:v>
      </x:c>
      <x:c r="C41" s="9" t="str">
        <x:v>Closure</x:v>
      </x:c>
      <x:c r="D41" s="9" t="str">
        <x:v>PRIMARY</x:v>
      </x:c>
      <x:c r="E41" s="9" t="str">
        <x:v>R2</x:v>
      </x:c>
      <x:c r="F41" s="9" t="str">
        <x:v>CB-C1</x:v>
      </x:c>
      <x:c r="G41" s="9" t="n">
        <x:v>35</x:v>
      </x:c>
      <x:c r="H41" s="15" t="n">
        <x:f>'Method Controls'!$D$59+INT((G41-1)/4)*('Cycle Update'!$G$7/'Availability Update'!$K$7)</x:f>
        <x:v>194.68223346742252</x:v>
      </x:c>
      <x:c r="I41" s="15" t="n">
        <x:f>H41+'Cycle Update'!$G$7</x:f>
        <x:v>203.2242531182806</x:v>
      </x:c>
      <x:c r="J41" s="15" t="n">
        <x:f>I41+'Cycle Update'!$J$7</x:f>
        <x:v>209.77984935607577</x:v>
      </x:c>
      <x:c r="K41" s="9" t="n">
        <x:f>IF(D41="PRIMARY",1,0)</x:f>
        <x:v>1</x:v>
      </x:c>
      <x:c r="L41" s="9" t="str">
        <x:f>IF(D41="PRIMARY","PLANNED PRIMARY","CONTINGENT HELD")</x:f>
        <x:v>PLANNED PRIMARY</x:v>
      </x:c>
      <x:c r="M41" s="9" t="str">
        <x:f>IF(J41&lt;='Method Controls'!$D$60,"PASS","FAIL")</x:f>
        <x:v>PASS</x:v>
      </x:c>
      <x:c r="N41" s="9" t="n">
        <x:f>SUMPRODUCT(($F$7:$F$98=F41)*($H$7:$H$98&lt;I41)*($I$7:$I$98&gt;H41))</x:f>
        <x:v>1</x:v>
      </x:c>
    </x:row>
    <x:row r="42">
      <x:c r="B42" s="9" t="str">
        <x:v>RC-C036</x:v>
      </x:c>
      <x:c r="C42" s="9" t="str">
        <x:v>Closure</x:v>
      </x:c>
      <x:c r="D42" s="9" t="str">
        <x:v>PRIMARY</x:v>
      </x:c>
      <x:c r="E42" s="9" t="str">
        <x:v>R3</x:v>
      </x:c>
      <x:c r="F42" s="9" t="str">
        <x:v>CB-C2</x:v>
      </x:c>
      <x:c r="G42" s="9" t="n">
        <x:v>36</x:v>
      </x:c>
      <x:c r="H42" s="15" t="n">
        <x:f>'Method Controls'!$D$59+INT((G42-1)/4)*('Cycle Update'!$G$7/'Availability Update'!$K$7)</x:f>
        <x:v>194.68223346742252</x:v>
      </x:c>
      <x:c r="I42" s="15" t="n">
        <x:f>H42+'Cycle Update'!$G$7</x:f>
        <x:v>203.2242531182806</x:v>
      </x:c>
      <x:c r="J42" s="15" t="n">
        <x:f>I42+'Cycle Update'!$J$7</x:f>
        <x:v>209.77984935607577</x:v>
      </x:c>
      <x:c r="K42" s="9" t="n">
        <x:f>IF(D42="PRIMARY",1,0)</x:f>
        <x:v>1</x:v>
      </x:c>
      <x:c r="L42" s="9" t="str">
        <x:f>IF(D42="PRIMARY","PLANNED PRIMARY","CONTINGENT HELD")</x:f>
        <x:v>PLANNED PRIMARY</x:v>
      </x:c>
      <x:c r="M42" s="9" t="str">
        <x:f>IF(J42&lt;='Method Controls'!$D$60,"PASS","FAIL")</x:f>
        <x:v>PASS</x:v>
      </x:c>
      <x:c r="N42" s="9" t="n">
        <x:f>SUMPRODUCT(($F$7:$F$98=F42)*($H$7:$H$98&lt;I42)*($I$7:$I$98&gt;H42))</x:f>
        <x:v>1</x:v>
      </x:c>
    </x:row>
    <x:row r="43">
      <x:c r="B43" s="9" t="str">
        <x:v>RC-C037</x:v>
      </x:c>
      <x:c r="C43" s="9" t="str">
        <x:v>Closure</x:v>
      </x:c>
      <x:c r="D43" s="9" t="str">
        <x:v>PRIMARY</x:v>
      </x:c>
      <x:c r="E43" s="9" t="str">
        <x:v>R1</x:v>
      </x:c>
      <x:c r="F43" s="9" t="str">
        <x:v>CB-A1</x:v>
      </x:c>
      <x:c r="G43" s="9" t="n">
        <x:v>37</x:v>
      </x:c>
      <x:c r="H43" s="15" t="n">
        <x:f>'Method Controls'!$D$59+INT((G43-1)/4)*('Cycle Update'!$G$7/'Availability Update'!$K$7)</x:f>
        <x:v>207.64251265085034</x:v>
      </x:c>
      <x:c r="I43" s="15" t="n">
        <x:f>H43+'Cycle Update'!$G$7</x:f>
        <x:v>216.1845323017084</x:v>
      </x:c>
      <x:c r="J43" s="15" t="n">
        <x:f>I43+'Cycle Update'!$J$7</x:f>
        <x:v>222.7401285395036</x:v>
      </x:c>
      <x:c r="K43" s="9" t="n">
        <x:f>IF(D43="PRIMARY",1,0)</x:f>
        <x:v>1</x:v>
      </x:c>
      <x:c r="L43" s="9" t="str">
        <x:f>IF(D43="PRIMARY","PLANNED PRIMARY","CONTINGENT HELD")</x:f>
        <x:v>PLANNED PRIMARY</x:v>
      </x:c>
      <x:c r="M43" s="9" t="str">
        <x:f>IF(J43&lt;='Method Controls'!$D$60,"PASS","FAIL")</x:f>
        <x:v>PASS</x:v>
      </x:c>
      <x:c r="N43" s="9" t="n">
        <x:f>SUMPRODUCT(($F$7:$F$98=F43)*($H$7:$H$98&lt;I43)*($I$7:$I$98&gt;H43))</x:f>
        <x:v>1</x:v>
      </x:c>
    </x:row>
    <x:row r="44">
      <x:c r="B44" s="9" t="str">
        <x:v>RC-C038</x:v>
      </x:c>
      <x:c r="C44" s="9" t="str">
        <x:v>Closure</x:v>
      </x:c>
      <x:c r="D44" s="9" t="str">
        <x:v>PRIMARY</x:v>
      </x:c>
      <x:c r="E44" s="9" t="str">
        <x:v>R2</x:v>
      </x:c>
      <x:c r="F44" s="9" t="str">
        <x:v>CB-A2</x:v>
      </x:c>
      <x:c r="G44" s="9" t="n">
        <x:v>38</x:v>
      </x:c>
      <x:c r="H44" s="15" t="n">
        <x:f>'Method Controls'!$D$59+INT((G44-1)/4)*('Cycle Update'!$G$7/'Availability Update'!$K$7)</x:f>
        <x:v>207.64251265085034</x:v>
      </x:c>
      <x:c r="I44" s="15" t="n">
        <x:f>H44+'Cycle Update'!$G$7</x:f>
        <x:v>216.1845323017084</x:v>
      </x:c>
      <x:c r="J44" s="15" t="n">
        <x:f>I44+'Cycle Update'!$J$7</x:f>
        <x:v>222.7401285395036</x:v>
      </x:c>
      <x:c r="K44" s="9" t="n">
        <x:f>IF(D44="PRIMARY",1,0)</x:f>
        <x:v>1</x:v>
      </x:c>
      <x:c r="L44" s="9" t="str">
        <x:f>IF(D44="PRIMARY","PLANNED PRIMARY","CONTINGENT HELD")</x:f>
        <x:v>PLANNED PRIMARY</x:v>
      </x:c>
      <x:c r="M44" s="9" t="str">
        <x:f>IF(J44&lt;='Method Controls'!$D$60,"PASS","FAIL")</x:f>
        <x:v>PASS</x:v>
      </x:c>
      <x:c r="N44" s="9" t="n">
        <x:f>SUMPRODUCT(($F$7:$F$98=F44)*($H$7:$H$98&lt;I44)*($I$7:$I$98&gt;H44))</x:f>
        <x:v>1</x:v>
      </x:c>
    </x:row>
    <x:row r="45">
      <x:c r="B45" s="9" t="str">
        <x:v>RC-C039</x:v>
      </x:c>
      <x:c r="C45" s="9" t="str">
        <x:v>Closure</x:v>
      </x:c>
      <x:c r="D45" s="9" t="str">
        <x:v>PRIMARY</x:v>
      </x:c>
      <x:c r="E45" s="9" t="str">
        <x:v>R3</x:v>
      </x:c>
      <x:c r="F45" s="9" t="str">
        <x:v>CB-C1</x:v>
      </x:c>
      <x:c r="G45" s="9" t="n">
        <x:v>39</x:v>
      </x:c>
      <x:c r="H45" s="15" t="n">
        <x:f>'Method Controls'!$D$59+INT((G45-1)/4)*('Cycle Update'!$G$7/'Availability Update'!$K$7)</x:f>
        <x:v>207.64251265085034</x:v>
      </x:c>
      <x:c r="I45" s="15" t="n">
        <x:f>H45+'Cycle Update'!$G$7</x:f>
        <x:v>216.1845323017084</x:v>
      </x:c>
      <x:c r="J45" s="15" t="n">
        <x:f>I45+'Cycle Update'!$J$7</x:f>
        <x:v>222.7401285395036</x:v>
      </x:c>
      <x:c r="K45" s="9" t="n">
        <x:f>IF(D45="PRIMARY",1,0)</x:f>
        <x:v>1</x:v>
      </x:c>
      <x:c r="L45" s="9" t="str">
        <x:f>IF(D45="PRIMARY","PLANNED PRIMARY","CONTINGENT HELD")</x:f>
        <x:v>PLANNED PRIMARY</x:v>
      </x:c>
      <x:c r="M45" s="9" t="str">
        <x:f>IF(J45&lt;='Method Controls'!$D$60,"PASS","FAIL")</x:f>
        <x:v>PASS</x:v>
      </x:c>
      <x:c r="N45" s="9" t="n">
        <x:f>SUMPRODUCT(($F$7:$F$98=F45)*($H$7:$H$98&lt;I45)*($I$7:$I$98&gt;H45))</x:f>
        <x:v>1</x:v>
      </x:c>
    </x:row>
    <x:row r="46">
      <x:c r="B46" s="9" t="str">
        <x:v>RC-C040</x:v>
      </x:c>
      <x:c r="C46" s="9" t="str">
        <x:v>Closure</x:v>
      </x:c>
      <x:c r="D46" s="9" t="str">
        <x:v>PRIMARY</x:v>
      </x:c>
      <x:c r="E46" s="9" t="str">
        <x:v>R1</x:v>
      </x:c>
      <x:c r="F46" s="9" t="str">
        <x:v>CB-C2</x:v>
      </x:c>
      <x:c r="G46" s="9" t="n">
        <x:v>40</x:v>
      </x:c>
      <x:c r="H46" s="15" t="n">
        <x:f>'Method Controls'!$D$59+INT((G46-1)/4)*('Cycle Update'!$G$7/'Availability Update'!$K$7)</x:f>
        <x:v>207.64251265085034</x:v>
      </x:c>
      <x:c r="I46" s="15" t="n">
        <x:f>H46+'Cycle Update'!$G$7</x:f>
        <x:v>216.1845323017084</x:v>
      </x:c>
      <x:c r="J46" s="15" t="n">
        <x:f>I46+'Cycle Update'!$J$7</x:f>
        <x:v>222.7401285395036</x:v>
      </x:c>
      <x:c r="K46" s="9" t="n">
        <x:f>IF(D46="PRIMARY",1,0)</x:f>
        <x:v>1</x:v>
      </x:c>
      <x:c r="L46" s="9" t="str">
        <x:f>IF(D46="PRIMARY","PLANNED PRIMARY","CONTINGENT HELD")</x:f>
        <x:v>PLANNED PRIMARY</x:v>
      </x:c>
      <x:c r="M46" s="9" t="str">
        <x:f>IF(J46&lt;='Method Controls'!$D$60,"PASS","FAIL")</x:f>
        <x:v>PASS</x:v>
      </x:c>
      <x:c r="N46" s="9" t="n">
        <x:f>SUMPRODUCT(($F$7:$F$98=F46)*($H$7:$H$98&lt;I46)*($I$7:$I$98&gt;H46))</x:f>
        <x:v>1</x:v>
      </x:c>
    </x:row>
    <x:row r="47">
      <x:c r="B47" s="9" t="str">
        <x:v>RC-C041</x:v>
      </x:c>
      <x:c r="C47" s="9" t="str">
        <x:v>Closure</x:v>
      </x:c>
      <x:c r="D47" s="9" t="str">
        <x:v>PRIMARY</x:v>
      </x:c>
      <x:c r="E47" s="9" t="str">
        <x:v>R2</x:v>
      </x:c>
      <x:c r="F47" s="9" t="str">
        <x:v>CB-A1</x:v>
      </x:c>
      <x:c r="G47" s="9" t="n">
        <x:v>41</x:v>
      </x:c>
      <x:c r="H47" s="15" t="n">
        <x:f>'Method Controls'!$D$59+INT((G47-1)/4)*('Cycle Update'!$G$7/'Availability Update'!$K$7)</x:f>
        <x:v>220.60279183427812</x:v>
      </x:c>
      <x:c r="I47" s="15" t="n">
        <x:f>H47+'Cycle Update'!$G$7</x:f>
        <x:v>229.1448114851362</x:v>
      </x:c>
      <x:c r="J47" s="15" t="n">
        <x:f>I47+'Cycle Update'!$J$7</x:f>
        <x:v>235.70040772293137</x:v>
      </x:c>
      <x:c r="K47" s="9" t="n">
        <x:f>IF(D47="PRIMARY",1,0)</x:f>
        <x:v>1</x:v>
      </x:c>
      <x:c r="L47" s="9" t="str">
        <x:f>IF(D47="PRIMARY","PLANNED PRIMARY","CONTINGENT HELD")</x:f>
        <x:v>PLANNED PRIMARY</x:v>
      </x:c>
      <x:c r="M47" s="9" t="str">
        <x:f>IF(J47&lt;='Method Controls'!$D$60,"PASS","FAIL")</x:f>
        <x:v>PASS</x:v>
      </x:c>
      <x:c r="N47" s="9" t="n">
        <x:f>SUMPRODUCT(($F$7:$F$98=F47)*($H$7:$H$98&lt;I47)*($I$7:$I$98&gt;H47))</x:f>
        <x:v>1</x:v>
      </x:c>
    </x:row>
    <x:row r="48">
      <x:c r="B48" s="9" t="str">
        <x:v>RC-C042</x:v>
      </x:c>
      <x:c r="C48" s="9" t="str">
        <x:v>Closure</x:v>
      </x:c>
      <x:c r="D48" s="9" t="str">
        <x:v>PRIMARY</x:v>
      </x:c>
      <x:c r="E48" s="9" t="str">
        <x:v>R3</x:v>
      </x:c>
      <x:c r="F48" s="9" t="str">
        <x:v>CB-A2</x:v>
      </x:c>
      <x:c r="G48" s="9" t="n">
        <x:v>42</x:v>
      </x:c>
      <x:c r="H48" s="15" t="n">
        <x:f>'Method Controls'!$D$59+INT((G48-1)/4)*('Cycle Update'!$G$7/'Availability Update'!$K$7)</x:f>
        <x:v>220.60279183427812</x:v>
      </x:c>
      <x:c r="I48" s="15" t="n">
        <x:f>H48+'Cycle Update'!$G$7</x:f>
        <x:v>229.1448114851362</x:v>
      </x:c>
      <x:c r="J48" s="15" t="n">
        <x:f>I48+'Cycle Update'!$J$7</x:f>
        <x:v>235.70040772293137</x:v>
      </x:c>
      <x:c r="K48" s="9" t="n">
        <x:f>IF(D48="PRIMARY",1,0)</x:f>
        <x:v>1</x:v>
      </x:c>
      <x:c r="L48" s="9" t="str">
        <x:f>IF(D48="PRIMARY","PLANNED PRIMARY","CONTINGENT HELD")</x:f>
        <x:v>PLANNED PRIMARY</x:v>
      </x:c>
      <x:c r="M48" s="9" t="str">
        <x:f>IF(J48&lt;='Method Controls'!$D$60,"PASS","FAIL")</x:f>
        <x:v>PASS</x:v>
      </x:c>
      <x:c r="N48" s="9" t="n">
        <x:f>SUMPRODUCT(($F$7:$F$98=F48)*($H$7:$H$98&lt;I48)*($I$7:$I$98&gt;H48))</x:f>
        <x:v>1</x:v>
      </x:c>
    </x:row>
    <x:row r="49">
      <x:c r="B49" s="9" t="str">
        <x:v>RC-C043</x:v>
      </x:c>
      <x:c r="C49" s="9" t="str">
        <x:v>Closure</x:v>
      </x:c>
      <x:c r="D49" s="9" t="str">
        <x:v>PRIMARY</x:v>
      </x:c>
      <x:c r="E49" s="9" t="str">
        <x:v>R1</x:v>
      </x:c>
      <x:c r="F49" s="9" t="str">
        <x:v>CB-C1</x:v>
      </x:c>
      <x:c r="G49" s="9" t="n">
        <x:v>43</x:v>
      </x:c>
      <x:c r="H49" s="15" t="n">
        <x:f>'Method Controls'!$D$59+INT((G49-1)/4)*('Cycle Update'!$G$7/'Availability Update'!$K$7)</x:f>
        <x:v>220.60279183427812</x:v>
      </x:c>
      <x:c r="I49" s="15" t="n">
        <x:f>H49+'Cycle Update'!$G$7</x:f>
        <x:v>229.1448114851362</x:v>
      </x:c>
      <x:c r="J49" s="15" t="n">
        <x:f>I49+'Cycle Update'!$J$7</x:f>
        <x:v>235.70040772293137</x:v>
      </x:c>
      <x:c r="K49" s="9" t="n">
        <x:f>IF(D49="PRIMARY",1,0)</x:f>
        <x:v>1</x:v>
      </x:c>
      <x:c r="L49" s="9" t="str">
        <x:f>IF(D49="PRIMARY","PLANNED PRIMARY","CONTINGENT HELD")</x:f>
        <x:v>PLANNED PRIMARY</x:v>
      </x:c>
      <x:c r="M49" s="9" t="str">
        <x:f>IF(J49&lt;='Method Controls'!$D$60,"PASS","FAIL")</x:f>
        <x:v>PASS</x:v>
      </x:c>
      <x:c r="N49" s="9" t="n">
        <x:f>SUMPRODUCT(($F$7:$F$98=F49)*($H$7:$H$98&lt;I49)*($I$7:$I$98&gt;H49))</x:f>
        <x:v>1</x:v>
      </x:c>
    </x:row>
    <x:row r="50">
      <x:c r="B50" s="9" t="str">
        <x:v>RC-C044</x:v>
      </x:c>
      <x:c r="C50" s="9" t="str">
        <x:v>Closure</x:v>
      </x:c>
      <x:c r="D50" s="9" t="str">
        <x:v>PRIMARY</x:v>
      </x:c>
      <x:c r="E50" s="9" t="str">
        <x:v>R2</x:v>
      </x:c>
      <x:c r="F50" s="9" t="str">
        <x:v>CB-C2</x:v>
      </x:c>
      <x:c r="G50" s="9" t="n">
        <x:v>44</x:v>
      </x:c>
      <x:c r="H50" s="15" t="n">
        <x:f>'Method Controls'!$D$59+INT((G50-1)/4)*('Cycle Update'!$G$7/'Availability Update'!$K$7)</x:f>
        <x:v>220.60279183427812</x:v>
      </x:c>
      <x:c r="I50" s="15" t="n">
        <x:f>H50+'Cycle Update'!$G$7</x:f>
        <x:v>229.1448114851362</x:v>
      </x:c>
      <x:c r="J50" s="15" t="n">
        <x:f>I50+'Cycle Update'!$J$7</x:f>
        <x:v>235.70040772293137</x:v>
      </x:c>
      <x:c r="K50" s="9" t="n">
        <x:f>IF(D50="PRIMARY",1,0)</x:f>
        <x:v>1</x:v>
      </x:c>
      <x:c r="L50" s="9" t="str">
        <x:f>IF(D50="PRIMARY","PLANNED PRIMARY","CONTINGENT HELD")</x:f>
        <x:v>PLANNED PRIMARY</x:v>
      </x:c>
      <x:c r="M50" s="9" t="str">
        <x:f>IF(J50&lt;='Method Controls'!$D$60,"PASS","FAIL")</x:f>
        <x:v>PASS</x:v>
      </x:c>
      <x:c r="N50" s="9" t="n">
        <x:f>SUMPRODUCT(($F$7:$F$98=F50)*($H$7:$H$98&lt;I50)*($I$7:$I$98&gt;H50))</x:f>
        <x:v>1</x:v>
      </x:c>
    </x:row>
    <x:row r="51">
      <x:c r="B51" s="9" t="str">
        <x:v>RC-C045</x:v>
      </x:c>
      <x:c r="C51" s="9" t="str">
        <x:v>Closure</x:v>
      </x:c>
      <x:c r="D51" s="9" t="str">
        <x:v>PRIMARY</x:v>
      </x:c>
      <x:c r="E51" s="9" t="str">
        <x:v>R3</x:v>
      </x:c>
      <x:c r="F51" s="9" t="str">
        <x:v>CB-A1</x:v>
      </x:c>
      <x:c r="G51" s="9" t="n">
        <x:v>45</x:v>
      </x:c>
      <x:c r="H51" s="15" t="n">
        <x:f>'Method Controls'!$D$59+INT((G51-1)/4)*('Cycle Update'!$G$7/'Availability Update'!$K$7)</x:f>
        <x:v>233.56307101770594</x:v>
      </x:c>
      <x:c r="I51" s="15" t="n">
        <x:f>H51+'Cycle Update'!$G$7</x:f>
        <x:v>242.105090668564</x:v>
      </x:c>
      <x:c r="J51" s="15" t="n">
        <x:f>I51+'Cycle Update'!$J$7</x:f>
        <x:v>248.6606869063592</x:v>
      </x:c>
      <x:c r="K51" s="9" t="n">
        <x:f>IF(D51="PRIMARY",1,0)</x:f>
        <x:v>1</x:v>
      </x:c>
      <x:c r="L51" s="9" t="str">
        <x:f>IF(D51="PRIMARY","PLANNED PRIMARY","CONTINGENT HELD")</x:f>
        <x:v>PLANNED PRIMARY</x:v>
      </x:c>
      <x:c r="M51" s="9" t="str">
        <x:f>IF(J51&lt;='Method Controls'!$D$60,"PASS","FAIL")</x:f>
        <x:v>PASS</x:v>
      </x:c>
      <x:c r="N51" s="9" t="n">
        <x:f>SUMPRODUCT(($F$7:$F$98=F51)*($H$7:$H$98&lt;I51)*($I$7:$I$98&gt;H51))</x:f>
        <x:v>1</x:v>
      </x:c>
    </x:row>
    <x:row r="52">
      <x:c r="B52" s="9" t="str">
        <x:v>RC-C046</x:v>
      </x:c>
      <x:c r="C52" s="9" t="str">
        <x:v>Closure</x:v>
      </x:c>
      <x:c r="D52" s="9" t="str">
        <x:v>PRIMARY</x:v>
      </x:c>
      <x:c r="E52" s="9" t="str">
        <x:v>R1</x:v>
      </x:c>
      <x:c r="F52" s="9" t="str">
        <x:v>CB-A2</x:v>
      </x:c>
      <x:c r="G52" s="9" t="n">
        <x:v>46</x:v>
      </x:c>
      <x:c r="H52" s="15" t="n">
        <x:f>'Method Controls'!$D$59+INT((G52-1)/4)*('Cycle Update'!$G$7/'Availability Update'!$K$7)</x:f>
        <x:v>233.56307101770594</x:v>
      </x:c>
      <x:c r="I52" s="15" t="n">
        <x:f>H52+'Cycle Update'!$G$7</x:f>
        <x:v>242.105090668564</x:v>
      </x:c>
      <x:c r="J52" s="15" t="n">
        <x:f>I52+'Cycle Update'!$J$7</x:f>
        <x:v>248.6606869063592</x:v>
      </x:c>
      <x:c r="K52" s="9" t="n">
        <x:f>IF(D52="PRIMARY",1,0)</x:f>
        <x:v>1</x:v>
      </x:c>
      <x:c r="L52" s="9" t="str">
        <x:f>IF(D52="PRIMARY","PLANNED PRIMARY","CONTINGENT HELD")</x:f>
        <x:v>PLANNED PRIMARY</x:v>
      </x:c>
      <x:c r="M52" s="9" t="str">
        <x:f>IF(J52&lt;='Method Controls'!$D$60,"PASS","FAIL")</x:f>
        <x:v>PASS</x:v>
      </x:c>
      <x:c r="N52" s="9" t="n">
        <x:f>SUMPRODUCT(($F$7:$F$98=F52)*($H$7:$H$98&lt;I52)*($I$7:$I$98&gt;H52))</x:f>
        <x:v>1</x:v>
      </x:c>
    </x:row>
    <x:row r="53">
      <x:c r="B53" s="9" t="str">
        <x:v>RC-C047</x:v>
      </x:c>
      <x:c r="C53" s="9" t="str">
        <x:v>Closure</x:v>
      </x:c>
      <x:c r="D53" s="9" t="str">
        <x:v>PRIMARY</x:v>
      </x:c>
      <x:c r="E53" s="9" t="str">
        <x:v>R2</x:v>
      </x:c>
      <x:c r="F53" s="9" t="str">
        <x:v>CB-C1</x:v>
      </x:c>
      <x:c r="G53" s="9" t="n">
        <x:v>47</x:v>
      </x:c>
      <x:c r="H53" s="15" t="n">
        <x:f>'Method Controls'!$D$59+INT((G53-1)/4)*('Cycle Update'!$G$7/'Availability Update'!$K$7)</x:f>
        <x:v>233.56307101770594</x:v>
      </x:c>
      <x:c r="I53" s="15" t="n">
        <x:f>H53+'Cycle Update'!$G$7</x:f>
        <x:v>242.105090668564</x:v>
      </x:c>
      <x:c r="J53" s="15" t="n">
        <x:f>I53+'Cycle Update'!$J$7</x:f>
        <x:v>248.6606869063592</x:v>
      </x:c>
      <x:c r="K53" s="9" t="n">
        <x:f>IF(D53="PRIMARY",1,0)</x:f>
        <x:v>1</x:v>
      </x:c>
      <x:c r="L53" s="9" t="str">
        <x:f>IF(D53="PRIMARY","PLANNED PRIMARY","CONTINGENT HELD")</x:f>
        <x:v>PLANNED PRIMARY</x:v>
      </x:c>
      <x:c r="M53" s="9" t="str">
        <x:f>IF(J53&lt;='Method Controls'!$D$60,"PASS","FAIL")</x:f>
        <x:v>PASS</x:v>
      </x:c>
      <x:c r="N53" s="9" t="n">
        <x:f>SUMPRODUCT(($F$7:$F$98=F53)*($H$7:$H$98&lt;I53)*($I$7:$I$98&gt;H53))</x:f>
        <x:v>1</x:v>
      </x:c>
    </x:row>
    <x:row r="54">
      <x:c r="B54" s="9" t="str">
        <x:v>RC-C048</x:v>
      </x:c>
      <x:c r="C54" s="9" t="str">
        <x:v>Closure</x:v>
      </x:c>
      <x:c r="D54" s="9" t="str">
        <x:v>PRIMARY</x:v>
      </x:c>
      <x:c r="E54" s="9" t="str">
        <x:v>R3</x:v>
      </x:c>
      <x:c r="F54" s="9" t="str">
        <x:v>CB-C2</x:v>
      </x:c>
      <x:c r="G54" s="9" t="n">
        <x:v>48</x:v>
      </x:c>
      <x:c r="H54" s="15" t="n">
        <x:f>'Method Controls'!$D$59+INT((G54-1)/4)*('Cycle Update'!$G$7/'Availability Update'!$K$7)</x:f>
        <x:v>233.56307101770594</x:v>
      </x:c>
      <x:c r="I54" s="15" t="n">
        <x:f>H54+'Cycle Update'!$G$7</x:f>
        <x:v>242.105090668564</x:v>
      </x:c>
      <x:c r="J54" s="15" t="n">
        <x:f>I54+'Cycle Update'!$J$7</x:f>
        <x:v>248.6606869063592</x:v>
      </x:c>
      <x:c r="K54" s="9" t="n">
        <x:f>IF(D54="PRIMARY",1,0)</x:f>
        <x:v>1</x:v>
      </x:c>
      <x:c r="L54" s="9" t="str">
        <x:f>IF(D54="PRIMARY","PLANNED PRIMARY","CONTINGENT HELD")</x:f>
        <x:v>PLANNED PRIMARY</x:v>
      </x:c>
      <x:c r="M54" s="9" t="str">
        <x:f>IF(J54&lt;='Method Controls'!$D$60,"PASS","FAIL")</x:f>
        <x:v>PASS</x:v>
      </x:c>
      <x:c r="N54" s="9" t="n">
        <x:f>SUMPRODUCT(($F$7:$F$98=F54)*($H$7:$H$98&lt;I54)*($I$7:$I$98&gt;H54))</x:f>
        <x:v>1</x:v>
      </x:c>
    </x:row>
    <x:row r="55">
      <x:c r="B55" s="9" t="str">
        <x:v>RC-C049</x:v>
      </x:c>
      <x:c r="C55" s="9" t="str">
        <x:v>Closure</x:v>
      </x:c>
      <x:c r="D55" s="9" t="str">
        <x:v>PRIMARY</x:v>
      </x:c>
      <x:c r="E55" s="9" t="str">
        <x:v>R1</x:v>
      </x:c>
      <x:c r="F55" s="9" t="str">
        <x:v>CB-A1</x:v>
      </x:c>
      <x:c r="G55" s="9" t="n">
        <x:v>49</x:v>
      </x:c>
      <x:c r="H55" s="15" t="n">
        <x:f>'Method Controls'!$D$59+INT((G55-1)/4)*('Cycle Update'!$G$7/'Availability Update'!$K$7)</x:f>
        <x:v>246.52335020113375</x:v>
      </x:c>
      <x:c r="I55" s="15" t="n">
        <x:f>H55+'Cycle Update'!$G$7</x:f>
        <x:v>255.06536985199182</x:v>
      </x:c>
      <x:c r="J55" s="15" t="n">
        <x:f>I55+'Cycle Update'!$J$7</x:f>
        <x:v>261.62096608978703</x:v>
      </x:c>
      <x:c r="K55" s="9" t="n">
        <x:f>IF(D55="PRIMARY",1,0)</x:f>
        <x:v>1</x:v>
      </x:c>
      <x:c r="L55" s="9" t="str">
        <x:f>IF(D55="PRIMARY","PLANNED PRIMARY","CONTINGENT HELD")</x:f>
        <x:v>PLANNED PRIMARY</x:v>
      </x:c>
      <x:c r="M55" s="9" t="str">
        <x:f>IF(J55&lt;='Method Controls'!$D$60,"PASS","FAIL")</x:f>
        <x:v>PASS</x:v>
      </x:c>
      <x:c r="N55" s="9" t="n">
        <x:f>SUMPRODUCT(($F$7:$F$98=F55)*($H$7:$H$98&lt;I55)*($I$7:$I$98&gt;H55))</x:f>
        <x:v>1</x:v>
      </x:c>
    </x:row>
    <x:row r="56">
      <x:c r="B56" s="9" t="str">
        <x:v>RC-C050</x:v>
      </x:c>
      <x:c r="C56" s="9" t="str">
        <x:v>Closure</x:v>
      </x:c>
      <x:c r="D56" s="9" t="str">
        <x:v>PRIMARY</x:v>
      </x:c>
      <x:c r="E56" s="9" t="str">
        <x:v>R2</x:v>
      </x:c>
      <x:c r="F56" s="9" t="str">
        <x:v>CB-A2</x:v>
      </x:c>
      <x:c r="G56" s="9" t="n">
        <x:v>50</x:v>
      </x:c>
      <x:c r="H56" s="15" t="n">
        <x:f>'Method Controls'!$D$59+INT((G56-1)/4)*('Cycle Update'!$G$7/'Availability Update'!$K$7)</x:f>
        <x:v>246.52335020113375</x:v>
      </x:c>
      <x:c r="I56" s="15" t="n">
        <x:f>H56+'Cycle Update'!$G$7</x:f>
        <x:v>255.06536985199182</x:v>
      </x:c>
      <x:c r="J56" s="15" t="n">
        <x:f>I56+'Cycle Update'!$J$7</x:f>
        <x:v>261.62096608978703</x:v>
      </x:c>
      <x:c r="K56" s="9" t="n">
        <x:f>IF(D56="PRIMARY",1,0)</x:f>
        <x:v>1</x:v>
      </x:c>
      <x:c r="L56" s="9" t="str">
        <x:f>IF(D56="PRIMARY","PLANNED PRIMARY","CONTINGENT HELD")</x:f>
        <x:v>PLANNED PRIMARY</x:v>
      </x:c>
      <x:c r="M56" s="9" t="str">
        <x:f>IF(J56&lt;='Method Controls'!$D$60,"PASS","FAIL")</x:f>
        <x:v>PASS</x:v>
      </x:c>
      <x:c r="N56" s="9" t="n">
        <x:f>SUMPRODUCT(($F$7:$F$98=F56)*($H$7:$H$98&lt;I56)*($I$7:$I$98&gt;H56))</x:f>
        <x:v>1</x:v>
      </x:c>
    </x:row>
    <x:row r="57">
      <x:c r="B57" s="9" t="str">
        <x:v>RC-C051</x:v>
      </x:c>
      <x:c r="C57" s="9" t="str">
        <x:v>Closure</x:v>
      </x:c>
      <x:c r="D57" s="9" t="str">
        <x:v>PRIMARY</x:v>
      </x:c>
      <x:c r="E57" s="9" t="str">
        <x:v>R3</x:v>
      </x:c>
      <x:c r="F57" s="9" t="str">
        <x:v>CB-C1</x:v>
      </x:c>
      <x:c r="G57" s="9" t="n">
        <x:v>51</x:v>
      </x:c>
      <x:c r="H57" s="15" t="n">
        <x:f>'Method Controls'!$D$59+INT((G57-1)/4)*('Cycle Update'!$G$7/'Availability Update'!$K$7)</x:f>
        <x:v>246.52335020113375</x:v>
      </x:c>
      <x:c r="I57" s="15" t="n">
        <x:f>H57+'Cycle Update'!$G$7</x:f>
        <x:v>255.06536985199182</x:v>
      </x:c>
      <x:c r="J57" s="15" t="n">
        <x:f>I57+'Cycle Update'!$J$7</x:f>
        <x:v>261.62096608978703</x:v>
      </x:c>
      <x:c r="K57" s="9" t="n">
        <x:f>IF(D57="PRIMARY",1,0)</x:f>
        <x:v>1</x:v>
      </x:c>
      <x:c r="L57" s="9" t="str">
        <x:f>IF(D57="PRIMARY","PLANNED PRIMARY","CONTINGENT HELD")</x:f>
        <x:v>PLANNED PRIMARY</x:v>
      </x:c>
      <x:c r="M57" s="9" t="str">
        <x:f>IF(J57&lt;='Method Controls'!$D$60,"PASS","FAIL")</x:f>
        <x:v>PASS</x:v>
      </x:c>
      <x:c r="N57" s="9" t="n">
        <x:f>SUMPRODUCT(($F$7:$F$98=F57)*($H$7:$H$98&lt;I57)*($I$7:$I$98&gt;H57))</x:f>
        <x:v>1</x:v>
      </x:c>
    </x:row>
    <x:row r="58">
      <x:c r="B58" s="9" t="str">
        <x:v>RC-C052</x:v>
      </x:c>
      <x:c r="C58" s="9" t="str">
        <x:v>Closure</x:v>
      </x:c>
      <x:c r="D58" s="9" t="str">
        <x:v>PRIMARY</x:v>
      </x:c>
      <x:c r="E58" s="9" t="str">
        <x:v>R1</x:v>
      </x:c>
      <x:c r="F58" s="9" t="str">
        <x:v>CB-C2</x:v>
      </x:c>
      <x:c r="G58" s="9" t="n">
        <x:v>52</x:v>
      </x:c>
      <x:c r="H58" s="15" t="n">
        <x:f>'Method Controls'!$D$59+INT((G58-1)/4)*('Cycle Update'!$G$7/'Availability Update'!$K$7)</x:f>
        <x:v>246.52335020113375</x:v>
      </x:c>
      <x:c r="I58" s="15" t="n">
        <x:f>H58+'Cycle Update'!$G$7</x:f>
        <x:v>255.06536985199182</x:v>
      </x:c>
      <x:c r="J58" s="15" t="n">
        <x:f>I58+'Cycle Update'!$J$7</x:f>
        <x:v>261.62096608978703</x:v>
      </x:c>
      <x:c r="K58" s="9" t="n">
        <x:f>IF(D58="PRIMARY",1,0)</x:f>
        <x:v>1</x:v>
      </x:c>
      <x:c r="L58" s="9" t="str">
        <x:f>IF(D58="PRIMARY","PLANNED PRIMARY","CONTINGENT HELD")</x:f>
        <x:v>PLANNED PRIMARY</x:v>
      </x:c>
      <x:c r="M58" s="9" t="str">
        <x:f>IF(J58&lt;='Method Controls'!$D$60,"PASS","FAIL")</x:f>
        <x:v>PASS</x:v>
      </x:c>
      <x:c r="N58" s="9" t="n">
        <x:f>SUMPRODUCT(($F$7:$F$98=F58)*($H$7:$H$98&lt;I58)*($I$7:$I$98&gt;H58))</x:f>
        <x:v>1</x:v>
      </x:c>
    </x:row>
    <x:row r="59">
      <x:c r="B59" s="9" t="str">
        <x:v>RC-C053</x:v>
      </x:c>
      <x:c r="C59" s="9" t="str">
        <x:v>Closure</x:v>
      </x:c>
      <x:c r="D59" s="9" t="str">
        <x:v>PRIMARY</x:v>
      </x:c>
      <x:c r="E59" s="9" t="str">
        <x:v>R2</x:v>
      </x:c>
      <x:c r="F59" s="9" t="str">
        <x:v>CB-A1</x:v>
      </x:c>
      <x:c r="G59" s="9" t="n">
        <x:v>53</x:v>
      </x:c>
      <x:c r="H59" s="15" t="n">
        <x:f>'Method Controls'!$D$59+INT((G59-1)/4)*('Cycle Update'!$G$7/'Availability Update'!$K$7)</x:f>
        <x:v>259.4836293845616</x:v>
      </x:c>
      <x:c r="I59" s="15" t="n">
        <x:f>H59+'Cycle Update'!$G$7</x:f>
        <x:v>268.0256490354197</x:v>
      </x:c>
      <x:c r="J59" s="15" t="n">
        <x:f>I59+'Cycle Update'!$J$7</x:f>
        <x:v>274.5812452732149</x:v>
      </x:c>
      <x:c r="K59" s="9" t="n">
        <x:f>IF(D59="PRIMARY",1,0)</x:f>
        <x:v>1</x:v>
      </x:c>
      <x:c r="L59" s="9" t="str">
        <x:f>IF(D59="PRIMARY","PLANNED PRIMARY","CONTINGENT HELD")</x:f>
        <x:v>PLANNED PRIMARY</x:v>
      </x:c>
      <x:c r="M59" s="9" t="str">
        <x:f>IF(J59&lt;='Method Controls'!$D$60,"PASS","FAIL")</x:f>
        <x:v>PASS</x:v>
      </x:c>
      <x:c r="N59" s="9" t="n">
        <x:f>SUMPRODUCT(($F$7:$F$98=F59)*($H$7:$H$98&lt;I59)*($I$7:$I$98&gt;H59))</x:f>
        <x:v>1</x:v>
      </x:c>
    </x:row>
    <x:row r="60">
      <x:c r="B60" s="9" t="str">
        <x:v>RC-C054</x:v>
      </x:c>
      <x:c r="C60" s="9" t="str">
        <x:v>Closure</x:v>
      </x:c>
      <x:c r="D60" s="9" t="str">
        <x:v>PRIMARY</x:v>
      </x:c>
      <x:c r="E60" s="9" t="str">
        <x:v>R3</x:v>
      </x:c>
      <x:c r="F60" s="9" t="str">
        <x:v>CB-A2</x:v>
      </x:c>
      <x:c r="G60" s="9" t="n">
        <x:v>54</x:v>
      </x:c>
      <x:c r="H60" s="15" t="n">
        <x:f>'Method Controls'!$D$59+INT((G60-1)/4)*('Cycle Update'!$G$7/'Availability Update'!$K$7)</x:f>
        <x:v>259.4836293845616</x:v>
      </x:c>
      <x:c r="I60" s="15" t="n">
        <x:f>H60+'Cycle Update'!$G$7</x:f>
        <x:v>268.0256490354197</x:v>
      </x:c>
      <x:c r="J60" s="15" t="n">
        <x:f>I60+'Cycle Update'!$J$7</x:f>
        <x:v>274.5812452732149</x:v>
      </x:c>
      <x:c r="K60" s="9" t="n">
        <x:f>IF(D60="PRIMARY",1,0)</x:f>
        <x:v>1</x:v>
      </x:c>
      <x:c r="L60" s="9" t="str">
        <x:f>IF(D60="PRIMARY","PLANNED PRIMARY","CONTINGENT HELD")</x:f>
        <x:v>PLANNED PRIMARY</x:v>
      </x:c>
      <x:c r="M60" s="9" t="str">
        <x:f>IF(J60&lt;='Method Controls'!$D$60,"PASS","FAIL")</x:f>
        <x:v>PASS</x:v>
      </x:c>
      <x:c r="N60" s="9" t="n">
        <x:f>SUMPRODUCT(($F$7:$F$98=F60)*($H$7:$H$98&lt;I60)*($I$7:$I$98&gt;H60))</x:f>
        <x:v>1</x:v>
      </x:c>
    </x:row>
    <x:row r="61">
      <x:c r="B61" s="9" t="str">
        <x:v>RC-C055</x:v>
      </x:c>
      <x:c r="C61" s="9" t="str">
        <x:v>Closure</x:v>
      </x:c>
      <x:c r="D61" s="9" t="str">
        <x:v>CONTINGENT</x:v>
      </x:c>
      <x:c r="E61" s="9" t="str">
        <x:v>CONTINGENT</x:v>
      </x:c>
      <x:c r="F61" s="9" t="str">
        <x:v>CB-C1</x:v>
      </x:c>
      <x:c r="G61" s="9" t="n">
        <x:v>55</x:v>
      </x:c>
      <x:c r="H61" s="15" t="n">
        <x:f>'Method Controls'!$D$59+INT((G61-1)/4)*('Cycle Update'!$G$7/'Availability Update'!$K$7)</x:f>
        <x:v>259.4836293845616</x:v>
      </x:c>
      <x:c r="I61" s="15" t="n">
        <x:f>H61+'Cycle Update'!$G$7</x:f>
        <x:v>268.0256490354197</x:v>
      </x:c>
      <x:c r="J61" s="15" t="n">
        <x:f>I61+'Cycle Update'!$J$7</x:f>
        <x:v>274.5812452732149</x:v>
      </x:c>
      <x:c r="K61" s="9" t="n">
        <x:f>IF(D61="PRIMARY",1,0)</x:f>
        <x:v>0</x:v>
      </x:c>
      <x:c r="L61" s="9" t="str">
        <x:f>IF(D61="PRIMARY","PLANNED PRIMARY","CONTINGENT HELD")</x:f>
        <x:v>CONTINGENT HELD</x:v>
      </x:c>
      <x:c r="M61" s="9" t="str">
        <x:f>IF(J61&lt;='Method Controls'!$D$60,"PASS","FAIL")</x:f>
        <x:v>PASS</x:v>
      </x:c>
      <x:c r="N61" s="9" t="n">
        <x:f>SUMPRODUCT(($F$7:$F$98=F61)*($H$7:$H$98&lt;I61)*($I$7:$I$98&gt;H61))</x:f>
        <x:v>1</x:v>
      </x:c>
    </x:row>
    <x:row r="62">
      <x:c r="B62" s="9" t="str">
        <x:v>RC-C056</x:v>
      </x:c>
      <x:c r="C62" s="9" t="str">
        <x:v>Closure</x:v>
      </x:c>
      <x:c r="D62" s="9" t="str">
        <x:v>CONTINGENT</x:v>
      </x:c>
      <x:c r="E62" s="9" t="str">
        <x:v>CONTINGENT</x:v>
      </x:c>
      <x:c r="F62" s="9" t="str">
        <x:v>CB-C2</x:v>
      </x:c>
      <x:c r="G62" s="9" t="n">
        <x:v>56</x:v>
      </x:c>
      <x:c r="H62" s="15" t="n">
        <x:f>'Method Controls'!$D$59+INT((G62-1)/4)*('Cycle Update'!$G$7/'Availability Update'!$K$7)</x:f>
        <x:v>259.4836293845616</x:v>
      </x:c>
      <x:c r="I62" s="15" t="n">
        <x:f>H62+'Cycle Update'!$G$7</x:f>
        <x:v>268.0256490354197</x:v>
      </x:c>
      <x:c r="J62" s="15" t="n">
        <x:f>I62+'Cycle Update'!$J$7</x:f>
        <x:v>274.5812452732149</x:v>
      </x:c>
      <x:c r="K62" s="9" t="n">
        <x:f>IF(D62="PRIMARY",1,0)</x:f>
        <x:v>0</x:v>
      </x:c>
      <x:c r="L62" s="9" t="str">
        <x:f>IF(D62="PRIMARY","PLANNED PRIMARY","CONTINGENT HELD")</x:f>
        <x:v>CONTINGENT HELD</x:v>
      </x:c>
      <x:c r="M62" s="9" t="str">
        <x:f>IF(J62&lt;='Method Controls'!$D$60,"PASS","FAIL")</x:f>
        <x:v>PASS</x:v>
      </x:c>
      <x:c r="N62" s="9" t="n">
        <x:f>SUMPRODUCT(($F$7:$F$98=F62)*($H$7:$H$98&lt;I62)*($I$7:$I$98&gt;H62))</x:f>
        <x:v>1</x:v>
      </x:c>
    </x:row>
    <x:row r="63">
      <x:c r="B63" s="9" t="str">
        <x:v>RC-C057</x:v>
      </x:c>
      <x:c r="C63" s="9" t="str">
        <x:v>Closure</x:v>
      </x:c>
      <x:c r="D63" s="9" t="str">
        <x:v>CONTINGENT</x:v>
      </x:c>
      <x:c r="E63" s="9" t="str">
        <x:v>CONTINGENT</x:v>
      </x:c>
      <x:c r="F63" s="9" t="str">
        <x:v>CB-A1</x:v>
      </x:c>
      <x:c r="G63" s="9" t="n">
        <x:v>57</x:v>
      </x:c>
      <x:c r="H63" s="15" t="n">
        <x:f>'Method Controls'!$D$59+INT((G63-1)/4)*('Cycle Update'!$G$7/'Availability Update'!$K$7)</x:f>
        <x:v>272.4439085679894</x:v>
      </x:c>
      <x:c r="I63" s="15" t="n">
        <x:f>H63+'Cycle Update'!$G$7</x:f>
        <x:v>280.9859282188475</x:v>
      </x:c>
      <x:c r="J63" s="15" t="n">
        <x:f>I63+'Cycle Update'!$J$7</x:f>
        <x:v>287.5415244566427</x:v>
      </x:c>
      <x:c r="K63" s="9" t="n">
        <x:f>IF(D63="PRIMARY",1,0)</x:f>
        <x:v>0</x:v>
      </x:c>
      <x:c r="L63" s="9" t="str">
        <x:f>IF(D63="PRIMARY","PLANNED PRIMARY","CONTINGENT HELD")</x:f>
        <x:v>CONTINGENT HELD</x:v>
      </x:c>
      <x:c r="M63" s="9" t="str">
        <x:f>IF(J63&lt;='Method Controls'!$D$60,"PASS","FAIL")</x:f>
        <x:v>PASS</x:v>
      </x:c>
      <x:c r="N63" s="9" t="n">
        <x:f>SUMPRODUCT(($F$7:$F$98=F63)*($H$7:$H$98&lt;I63)*($I$7:$I$98&gt;H63))</x:f>
        <x:v>1</x:v>
      </x:c>
    </x:row>
    <x:row r="64">
      <x:c r="B64" s="9" t="str">
        <x:v>RC-C058</x:v>
      </x:c>
      <x:c r="C64" s="9" t="str">
        <x:v>Closure</x:v>
      </x:c>
      <x:c r="D64" s="9" t="str">
        <x:v>CONTINGENT</x:v>
      </x:c>
      <x:c r="E64" s="9" t="str">
        <x:v>CONTINGENT</x:v>
      </x:c>
      <x:c r="F64" s="9" t="str">
        <x:v>CB-A2</x:v>
      </x:c>
      <x:c r="G64" s="9" t="n">
        <x:v>58</x:v>
      </x:c>
      <x:c r="H64" s="15" t="n">
        <x:f>'Method Controls'!$D$59+INT((G64-1)/4)*('Cycle Update'!$G$7/'Availability Update'!$K$7)</x:f>
        <x:v>272.4439085679894</x:v>
      </x:c>
      <x:c r="I64" s="15" t="n">
        <x:f>H64+'Cycle Update'!$G$7</x:f>
        <x:v>280.9859282188475</x:v>
      </x:c>
      <x:c r="J64" s="15" t="n">
        <x:f>I64+'Cycle Update'!$J$7</x:f>
        <x:v>287.5415244566427</x:v>
      </x:c>
      <x:c r="K64" s="9" t="n">
        <x:f>IF(D64="PRIMARY",1,0)</x:f>
        <x:v>0</x:v>
      </x:c>
      <x:c r="L64" s="9" t="str">
        <x:f>IF(D64="PRIMARY","PLANNED PRIMARY","CONTINGENT HELD")</x:f>
        <x:v>CONTINGENT HELD</x:v>
      </x:c>
      <x:c r="M64" s="9" t="str">
        <x:f>IF(J64&lt;='Method Controls'!$D$60,"PASS","FAIL")</x:f>
        <x:v>PASS</x:v>
      </x:c>
      <x:c r="N64" s="9" t="n">
        <x:f>SUMPRODUCT(($F$7:$F$98=F64)*($H$7:$H$98&lt;I64)*($I$7:$I$98&gt;H64))</x:f>
        <x:v>1</x:v>
      </x:c>
    </x:row>
    <x:row r="65">
      <x:c r="B65" s="9" t="str">
        <x:v>RC-C059</x:v>
      </x:c>
      <x:c r="C65" s="9" t="str">
        <x:v>Closure</x:v>
      </x:c>
      <x:c r="D65" s="9" t="str">
        <x:v>CONTINGENT</x:v>
      </x:c>
      <x:c r="E65" s="9" t="str">
        <x:v>CONTINGENT</x:v>
      </x:c>
      <x:c r="F65" s="9" t="str">
        <x:v>CB-C1</x:v>
      </x:c>
      <x:c r="G65" s="9" t="n">
        <x:v>59</x:v>
      </x:c>
      <x:c r="H65" s="15" t="n">
        <x:f>'Method Controls'!$D$59+INT((G65-1)/4)*('Cycle Update'!$G$7/'Availability Update'!$K$7)</x:f>
        <x:v>272.4439085679894</x:v>
      </x:c>
      <x:c r="I65" s="15" t="n">
        <x:f>H65+'Cycle Update'!$G$7</x:f>
        <x:v>280.9859282188475</x:v>
      </x:c>
      <x:c r="J65" s="15" t="n">
        <x:f>I65+'Cycle Update'!$J$7</x:f>
        <x:v>287.5415244566427</x:v>
      </x:c>
      <x:c r="K65" s="9" t="n">
        <x:f>IF(D65="PRIMARY",1,0)</x:f>
        <x:v>0</x:v>
      </x:c>
      <x:c r="L65" s="9" t="str">
        <x:f>IF(D65="PRIMARY","PLANNED PRIMARY","CONTINGENT HELD")</x:f>
        <x:v>CONTINGENT HELD</x:v>
      </x:c>
      <x:c r="M65" s="9" t="str">
        <x:f>IF(J65&lt;='Method Controls'!$D$60,"PASS","FAIL")</x:f>
        <x:v>PASS</x:v>
      </x:c>
      <x:c r="N65" s="9" t="n">
        <x:f>SUMPRODUCT(($F$7:$F$98=F65)*($H$7:$H$98&lt;I65)*($I$7:$I$98&gt;H65))</x:f>
        <x:v>1</x:v>
      </x:c>
    </x:row>
    <x:row r="66">
      <x:c r="B66" s="9" t="str">
        <x:v>RC-C060</x:v>
      </x:c>
      <x:c r="C66" s="9" t="str">
        <x:v>Closure</x:v>
      </x:c>
      <x:c r="D66" s="9" t="str">
        <x:v>CONTINGENT</x:v>
      </x:c>
      <x:c r="E66" s="9" t="str">
        <x:v>CONTINGENT</x:v>
      </x:c>
      <x:c r="F66" s="9" t="str">
        <x:v>CB-C2</x:v>
      </x:c>
      <x:c r="G66" s="9" t="n">
        <x:v>60</x:v>
      </x:c>
      <x:c r="H66" s="15" t="n">
        <x:f>'Method Controls'!$D$59+INT((G66-1)/4)*('Cycle Update'!$G$7/'Availability Update'!$K$7)</x:f>
        <x:v>272.4439085679894</x:v>
      </x:c>
      <x:c r="I66" s="15" t="n">
        <x:f>H66+'Cycle Update'!$G$7</x:f>
        <x:v>280.9859282188475</x:v>
      </x:c>
      <x:c r="J66" s="15" t="n">
        <x:f>I66+'Cycle Update'!$J$7</x:f>
        <x:v>287.5415244566427</x:v>
      </x:c>
      <x:c r="K66" s="9" t="n">
        <x:f>IF(D66="PRIMARY",1,0)</x:f>
        <x:v>0</x:v>
      </x:c>
      <x:c r="L66" s="9" t="str">
        <x:f>IF(D66="PRIMARY","PLANNED PRIMARY","CONTINGENT HELD")</x:f>
        <x:v>CONTINGENT HELD</x:v>
      </x:c>
      <x:c r="M66" s="9" t="str">
        <x:f>IF(J66&lt;='Method Controls'!$D$60,"PASS","FAIL")</x:f>
        <x:v>PASS</x:v>
      </x:c>
      <x:c r="N66" s="9" t="n">
        <x:f>SUMPRODUCT(($F$7:$F$98=F66)*($H$7:$H$98&lt;I66)*($I$7:$I$98&gt;H66))</x:f>
        <x:v>1</x:v>
      </x:c>
    </x:row>
    <x:row r="67">
      <x:c r="B67" s="9" t="str">
        <x:v>RC-C061</x:v>
      </x:c>
      <x:c r="C67" s="9" t="str">
        <x:v>Closure</x:v>
      </x:c>
      <x:c r="D67" s="9" t="str">
        <x:v>CONTINGENT</x:v>
      </x:c>
      <x:c r="E67" s="9" t="str">
        <x:v>CONTINGENT</x:v>
      </x:c>
      <x:c r="F67" s="9" t="str">
        <x:v>CB-A1</x:v>
      </x:c>
      <x:c r="G67" s="9" t="n">
        <x:v>61</x:v>
      </x:c>
      <x:c r="H67" s="15" t="n">
        <x:f>'Method Controls'!$D$59+INT((G67-1)/4)*('Cycle Update'!$G$7/'Availability Update'!$K$7)</x:f>
        <x:v>285.4041877514172</x:v>
      </x:c>
      <x:c r="I67" s="15" t="n">
        <x:f>H67+'Cycle Update'!$G$7</x:f>
        <x:v>293.9462074022753</x:v>
      </x:c>
      <x:c r="J67" s="15" t="n">
        <x:f>I67+'Cycle Update'!$J$7</x:f>
        <x:v>300.50180364007053</x:v>
      </x:c>
      <x:c r="K67" s="9" t="n">
        <x:f>IF(D67="PRIMARY",1,0)</x:f>
        <x:v>0</x:v>
      </x:c>
      <x:c r="L67" s="9" t="str">
        <x:f>IF(D67="PRIMARY","PLANNED PRIMARY","CONTINGENT HELD")</x:f>
        <x:v>CONTINGENT HELD</x:v>
      </x:c>
      <x:c r="M67" s="9" t="str">
        <x:f>IF(J67&lt;='Method Controls'!$D$60,"PASS","FAIL")</x:f>
        <x:v>PASS</x:v>
      </x:c>
      <x:c r="N67" s="9" t="n">
        <x:f>SUMPRODUCT(($F$7:$F$98=F67)*($H$7:$H$98&lt;I67)*($I$7:$I$98&gt;H67))</x:f>
        <x:v>1</x:v>
      </x:c>
    </x:row>
    <x:row r="68">
      <x:c r="B68" s="9" t="str">
        <x:v>RC-C062</x:v>
      </x:c>
      <x:c r="C68" s="9" t="str">
        <x:v>Closure</x:v>
      </x:c>
      <x:c r="D68" s="9" t="str">
        <x:v>CONTINGENT</x:v>
      </x:c>
      <x:c r="E68" s="9" t="str">
        <x:v>CONTINGENT</x:v>
      </x:c>
      <x:c r="F68" s="9" t="str">
        <x:v>CB-A2</x:v>
      </x:c>
      <x:c r="G68" s="9" t="n">
        <x:v>62</x:v>
      </x:c>
      <x:c r="H68" s="15" t="n">
        <x:f>'Method Controls'!$D$59+INT((G68-1)/4)*('Cycle Update'!$G$7/'Availability Update'!$K$7)</x:f>
        <x:v>285.4041877514172</x:v>
      </x:c>
      <x:c r="I68" s="15" t="n">
        <x:f>H68+'Cycle Update'!$G$7</x:f>
        <x:v>293.9462074022753</x:v>
      </x:c>
      <x:c r="J68" s="15" t="n">
        <x:f>I68+'Cycle Update'!$J$7</x:f>
        <x:v>300.50180364007053</x:v>
      </x:c>
      <x:c r="K68" s="9" t="n">
        <x:f>IF(D68="PRIMARY",1,0)</x:f>
        <x:v>0</x:v>
      </x:c>
      <x:c r="L68" s="9" t="str">
        <x:f>IF(D68="PRIMARY","PLANNED PRIMARY","CONTINGENT HELD")</x:f>
        <x:v>CONTINGENT HELD</x:v>
      </x:c>
      <x:c r="M68" s="9" t="str">
        <x:f>IF(J68&lt;='Method Controls'!$D$60,"PASS","FAIL")</x:f>
        <x:v>PASS</x:v>
      </x:c>
      <x:c r="N68" s="9" t="n">
        <x:f>SUMPRODUCT(($F$7:$F$98=F68)*($H$7:$H$98&lt;I68)*($I$7:$I$98&gt;H68))</x:f>
        <x:v>1</x:v>
      </x:c>
    </x:row>
    <x:row r="69">
      <x:c r="B69" s="9" t="str">
        <x:v>RC-C063</x:v>
      </x:c>
      <x:c r="C69" s="9" t="str">
        <x:v>Closure</x:v>
      </x:c>
      <x:c r="D69" s="9" t="str">
        <x:v>CONTINGENT</x:v>
      </x:c>
      <x:c r="E69" s="9" t="str">
        <x:v>CONTINGENT</x:v>
      </x:c>
      <x:c r="F69" s="9" t="str">
        <x:v>CB-C1</x:v>
      </x:c>
      <x:c r="G69" s="9" t="n">
        <x:v>63</x:v>
      </x:c>
      <x:c r="H69" s="15" t="n">
        <x:f>'Method Controls'!$D$59+INT((G69-1)/4)*('Cycle Update'!$G$7/'Availability Update'!$K$7)</x:f>
        <x:v>285.4041877514172</x:v>
      </x:c>
      <x:c r="I69" s="15" t="n">
        <x:f>H69+'Cycle Update'!$G$7</x:f>
        <x:v>293.9462074022753</x:v>
      </x:c>
      <x:c r="J69" s="15" t="n">
        <x:f>I69+'Cycle Update'!$J$7</x:f>
        <x:v>300.50180364007053</x:v>
      </x:c>
      <x:c r="K69" s="9" t="n">
        <x:f>IF(D69="PRIMARY",1,0)</x:f>
        <x:v>0</x:v>
      </x:c>
      <x:c r="L69" s="9" t="str">
        <x:f>IF(D69="PRIMARY","PLANNED PRIMARY","CONTINGENT HELD")</x:f>
        <x:v>CONTINGENT HELD</x:v>
      </x:c>
      <x:c r="M69" s="9" t="str">
        <x:f>IF(J69&lt;='Method Controls'!$D$60,"PASS","FAIL")</x:f>
        <x:v>PASS</x:v>
      </x:c>
      <x:c r="N69" s="9" t="n">
        <x:f>SUMPRODUCT(($F$7:$F$98=F69)*($H$7:$H$98&lt;I69)*($I$7:$I$98&gt;H69))</x:f>
        <x:v>1</x:v>
      </x:c>
    </x:row>
    <x:row r="70">
      <x:c r="B70" s="9" t="str">
        <x:v>RC-C064</x:v>
      </x:c>
      <x:c r="C70" s="9" t="str">
        <x:v>Closure</x:v>
      </x:c>
      <x:c r="D70" s="9" t="str">
        <x:v>CONTINGENT</x:v>
      </x:c>
      <x:c r="E70" s="9" t="str">
        <x:v>CONTINGENT</x:v>
      </x:c>
      <x:c r="F70" s="9" t="str">
        <x:v>CB-C2</x:v>
      </x:c>
      <x:c r="G70" s="9" t="n">
        <x:v>64</x:v>
      </x:c>
      <x:c r="H70" s="15" t="n">
        <x:f>'Method Controls'!$D$59+INT((G70-1)/4)*('Cycle Update'!$G$7/'Availability Update'!$K$7)</x:f>
        <x:v>285.4041877514172</x:v>
      </x:c>
      <x:c r="I70" s="15" t="n">
        <x:f>H70+'Cycle Update'!$G$7</x:f>
        <x:v>293.9462074022753</x:v>
      </x:c>
      <x:c r="J70" s="15" t="n">
        <x:f>I70+'Cycle Update'!$J$7</x:f>
        <x:v>300.50180364007053</x:v>
      </x:c>
      <x:c r="K70" s="9" t="n">
        <x:f>IF(D70="PRIMARY",1,0)</x:f>
        <x:v>0</x:v>
      </x:c>
      <x:c r="L70" s="9" t="str">
        <x:f>IF(D70="PRIMARY","PLANNED PRIMARY","CONTINGENT HELD")</x:f>
        <x:v>CONTINGENT HELD</x:v>
      </x:c>
      <x:c r="M70" s="9" t="str">
        <x:f>IF(J70&lt;='Method Controls'!$D$60,"PASS","FAIL")</x:f>
        <x:v>PASS</x:v>
      </x:c>
      <x:c r="N70" s="9" t="n">
        <x:f>SUMPRODUCT(($F$7:$F$98=F70)*($H$7:$H$98&lt;I70)*($I$7:$I$98&gt;H70))</x:f>
        <x:v>1</x:v>
      </x:c>
    </x:row>
    <x:row r="71">
      <x:c r="B71" s="9" t="str">
        <x:v>RC-D001</x:v>
      </x:c>
      <x:c r="C71" s="9" t="str">
        <x:v>Damage</x:v>
      </x:c>
      <x:c r="D71" s="9" t="str">
        <x:v>PRIMARY</x:v>
      </x:c>
      <x:c r="E71" s="9" t="str">
        <x:v>R3</x:v>
      </x:c>
      <x:c r="F71" s="9" t="str">
        <x:v>DC-A1</x:v>
      </x:c>
      <x:c r="G71" s="9" t="n">
        <x:v>1</x:v>
      </x:c>
      <x:c r="H71" s="15" t="n">
        <x:f>'Method Controls'!$D$59+INT((G71-1)/3)*('Cycle Update'!$G$8/'Availability Update'!$K$8)</x:f>
        <x:v>91</x:v>
      </x:c>
      <x:c r="I71" s="15" t="n">
        <x:f>H71+'Cycle Update'!$G$8</x:f>
        <x:v>106.21123225449281</x:v>
      </x:c>
      <x:c r="J71" s="15" t="n">
        <x:f>I71+'Cycle Update'!$J$8</x:f>
        <x:v>115.05530405743418</x:v>
      </x:c>
      <x:c r="K71" s="9" t="n">
        <x:f>IF(D71="PRIMARY",1,0)</x:f>
        <x:v>1</x:v>
      </x:c>
      <x:c r="L71" s="9" t="str">
        <x:f>IF(D71="PRIMARY","PLANNED PRIMARY","CONTINGENT HELD")</x:f>
        <x:v>PLANNED PRIMARY</x:v>
      </x:c>
      <x:c r="M71" s="9" t="str">
        <x:f>IF(J71&lt;='Method Controls'!$D$61,"PASS","FAIL")</x:f>
        <x:v>PASS</x:v>
      </x:c>
      <x:c r="N71" s="9" t="n">
        <x:f>SUMPRODUCT(($F$7:$F$98=F71)*($H$7:$H$98&lt;I71)*($I$7:$I$98&gt;H71))</x:f>
        <x:v>1</x:v>
      </x:c>
    </x:row>
    <x:row r="72">
      <x:c r="B72" s="9" t="str">
        <x:v>RC-D002</x:v>
      </x:c>
      <x:c r="C72" s="9" t="str">
        <x:v>Damage</x:v>
      </x:c>
      <x:c r="D72" s="9" t="str">
        <x:v>PRIMARY</x:v>
      </x:c>
      <x:c r="E72" s="9" t="str">
        <x:v>R1</x:v>
      </x:c>
      <x:c r="F72" s="9" t="str">
        <x:v>DC-A2</x:v>
      </x:c>
      <x:c r="G72" s="9" t="n">
        <x:v>2</x:v>
      </x:c>
      <x:c r="H72" s="15" t="n">
        <x:f>'Method Controls'!$D$59+INT((G72-1)/3)*('Cycle Update'!$G$8/'Availability Update'!$K$8)</x:f>
        <x:v>91</x:v>
      </x:c>
      <x:c r="I72" s="15" t="n">
        <x:f>H72+'Cycle Update'!$G$8</x:f>
        <x:v>106.21123225449281</x:v>
      </x:c>
      <x:c r="J72" s="15" t="n">
        <x:f>I72+'Cycle Update'!$J$8</x:f>
        <x:v>115.05530405743418</x:v>
      </x:c>
      <x:c r="K72" s="9" t="n">
        <x:f>IF(D72="PRIMARY",1,0)</x:f>
        <x:v>1</x:v>
      </x:c>
      <x:c r="L72" s="9" t="str">
        <x:f>IF(D72="PRIMARY","PLANNED PRIMARY","CONTINGENT HELD")</x:f>
        <x:v>PLANNED PRIMARY</x:v>
      </x:c>
      <x:c r="M72" s="9" t="str">
        <x:f>IF(J72&lt;='Method Controls'!$D$61,"PASS","FAIL")</x:f>
        <x:v>PASS</x:v>
      </x:c>
      <x:c r="N72" s="9" t="n">
        <x:f>SUMPRODUCT(($F$7:$F$98=F72)*($H$7:$H$98&lt;I72)*($I$7:$I$98&gt;H72))</x:f>
        <x:v>1</x:v>
      </x:c>
    </x:row>
    <x:row r="73">
      <x:c r="B73" s="9" t="str">
        <x:v>RC-D003</x:v>
      </x:c>
      <x:c r="C73" s="9" t="str">
        <x:v>Damage</x:v>
      </x:c>
      <x:c r="D73" s="9" t="str">
        <x:v>PRIMARY</x:v>
      </x:c>
      <x:c r="E73" s="9" t="str">
        <x:v>R2</x:v>
      </x:c>
      <x:c r="F73" s="9" t="str">
        <x:v>DC-C1</x:v>
      </x:c>
      <x:c r="G73" s="9" t="n">
        <x:v>3</x:v>
      </x:c>
      <x:c r="H73" s="15" t="n">
        <x:f>'Method Controls'!$D$59+INT((G73-1)/3)*('Cycle Update'!$G$8/'Availability Update'!$K$8)</x:f>
        <x:v>91</x:v>
      </x:c>
      <x:c r="I73" s="15" t="n">
        <x:f>H73+'Cycle Update'!$G$8</x:f>
        <x:v>106.21123225449281</x:v>
      </x:c>
      <x:c r="J73" s="15" t="n">
        <x:f>I73+'Cycle Update'!$J$8</x:f>
        <x:v>115.05530405743418</x:v>
      </x:c>
      <x:c r="K73" s="9" t="n">
        <x:f>IF(D73="PRIMARY",1,0)</x:f>
        <x:v>1</x:v>
      </x:c>
      <x:c r="L73" s="9" t="str">
        <x:f>IF(D73="PRIMARY","PLANNED PRIMARY","CONTINGENT HELD")</x:f>
        <x:v>PLANNED PRIMARY</x:v>
      </x:c>
      <x:c r="M73" s="9" t="str">
        <x:f>IF(J73&lt;='Method Controls'!$D$61,"PASS","FAIL")</x:f>
        <x:v>PASS</x:v>
      </x:c>
      <x:c r="N73" s="9" t="n">
        <x:f>SUMPRODUCT(($F$7:$F$98=F73)*($H$7:$H$98&lt;I73)*($I$7:$I$98&gt;H73))</x:f>
        <x:v>1</x:v>
      </x:c>
    </x:row>
    <x:row r="74">
      <x:c r="B74" s="9" t="str">
        <x:v>RC-D004</x:v>
      </x:c>
      <x:c r="C74" s="9" t="str">
        <x:v>Damage</x:v>
      </x:c>
      <x:c r="D74" s="9" t="str">
        <x:v>PRIMARY</x:v>
      </x:c>
      <x:c r="E74" s="9" t="str">
        <x:v>R3</x:v>
      </x:c>
      <x:c r="F74" s="9" t="str">
        <x:v>DC-A1</x:v>
      </x:c>
      <x:c r="G74" s="9" t="n">
        <x:v>4</x:v>
      </x:c>
      <x:c r="H74" s="15" t="n">
        <x:f>'Method Controls'!$D$59+INT((G74-1)/3)*('Cycle Update'!$G$8/'Availability Update'!$K$8)</x:f>
        <x:v>116.04228501561195</x:v>
      </x:c>
      <x:c r="I74" s="15" t="n">
        <x:f>H74+'Cycle Update'!$G$8</x:f>
        <x:v>131.25351727010477</x:v>
      </x:c>
      <x:c r="J74" s="15" t="n">
        <x:f>I74+'Cycle Update'!$J$8</x:f>
        <x:v>140.09758907304615</x:v>
      </x:c>
      <x:c r="K74" s="9" t="n">
        <x:f>IF(D74="PRIMARY",1,0)</x:f>
        <x:v>1</x:v>
      </x:c>
      <x:c r="L74" s="9" t="str">
        <x:f>IF(D74="PRIMARY","PLANNED PRIMARY","CONTINGENT HELD")</x:f>
        <x:v>PLANNED PRIMARY</x:v>
      </x:c>
      <x:c r="M74" s="9" t="str">
        <x:f>IF(J74&lt;='Method Controls'!$D$61,"PASS","FAIL")</x:f>
        <x:v>PASS</x:v>
      </x:c>
      <x:c r="N74" s="9" t="n">
        <x:f>SUMPRODUCT(($F$7:$F$98=F74)*($H$7:$H$98&lt;I74)*($I$7:$I$98&gt;H74))</x:f>
        <x:v>1</x:v>
      </x:c>
    </x:row>
    <x:row r="75">
      <x:c r="B75" s="9" t="str">
        <x:v>RC-D005</x:v>
      </x:c>
      <x:c r="C75" s="9" t="str">
        <x:v>Damage</x:v>
      </x:c>
      <x:c r="D75" s="9" t="str">
        <x:v>PRIMARY</x:v>
      </x:c>
      <x:c r="E75" s="9" t="str">
        <x:v>R1</x:v>
      </x:c>
      <x:c r="F75" s="9" t="str">
        <x:v>DC-A2</x:v>
      </x:c>
      <x:c r="G75" s="9" t="n">
        <x:v>5</x:v>
      </x:c>
      <x:c r="H75" s="15" t="n">
        <x:f>'Method Controls'!$D$59+INT((G75-1)/3)*('Cycle Update'!$G$8/'Availability Update'!$K$8)</x:f>
        <x:v>116.04228501561195</x:v>
      </x:c>
      <x:c r="I75" s="15" t="n">
        <x:f>H75+'Cycle Update'!$G$8</x:f>
        <x:v>131.25351727010477</x:v>
      </x:c>
      <x:c r="J75" s="15" t="n">
        <x:f>I75+'Cycle Update'!$J$8</x:f>
        <x:v>140.09758907304615</x:v>
      </x:c>
      <x:c r="K75" s="9" t="n">
        <x:f>IF(D75="PRIMARY",1,0)</x:f>
        <x:v>1</x:v>
      </x:c>
      <x:c r="L75" s="9" t="str">
        <x:f>IF(D75="PRIMARY","PLANNED PRIMARY","CONTINGENT HELD")</x:f>
        <x:v>PLANNED PRIMARY</x:v>
      </x:c>
      <x:c r="M75" s="9" t="str">
        <x:f>IF(J75&lt;='Method Controls'!$D$61,"PASS","FAIL")</x:f>
        <x:v>PASS</x:v>
      </x:c>
      <x:c r="N75" s="9" t="n">
        <x:f>SUMPRODUCT(($F$7:$F$98=F75)*($H$7:$H$98&lt;I75)*($I$7:$I$98&gt;H75))</x:f>
        <x:v>1</x:v>
      </x:c>
    </x:row>
    <x:row r="76">
      <x:c r="B76" s="9" t="str">
        <x:v>RC-D006</x:v>
      </x:c>
      <x:c r="C76" s="9" t="str">
        <x:v>Damage</x:v>
      </x:c>
      <x:c r="D76" s="9" t="str">
        <x:v>PRIMARY</x:v>
      </x:c>
      <x:c r="E76" s="9" t="str">
        <x:v>R2</x:v>
      </x:c>
      <x:c r="F76" s="9" t="str">
        <x:v>DC-C1</x:v>
      </x:c>
      <x:c r="G76" s="9" t="n">
        <x:v>6</x:v>
      </x:c>
      <x:c r="H76" s="15" t="n">
        <x:f>'Method Controls'!$D$59+INT((G76-1)/3)*('Cycle Update'!$G$8/'Availability Update'!$K$8)</x:f>
        <x:v>116.04228501561195</x:v>
      </x:c>
      <x:c r="I76" s="15" t="n">
        <x:f>H76+'Cycle Update'!$G$8</x:f>
        <x:v>131.25351727010477</x:v>
      </x:c>
      <x:c r="J76" s="15" t="n">
        <x:f>I76+'Cycle Update'!$J$8</x:f>
        <x:v>140.09758907304615</x:v>
      </x:c>
      <x:c r="K76" s="9" t="n">
        <x:f>IF(D76="PRIMARY",1,0)</x:f>
        <x:v>1</x:v>
      </x:c>
      <x:c r="L76" s="9" t="str">
        <x:f>IF(D76="PRIMARY","PLANNED PRIMARY","CONTINGENT HELD")</x:f>
        <x:v>PLANNED PRIMARY</x:v>
      </x:c>
      <x:c r="M76" s="9" t="str">
        <x:f>IF(J76&lt;='Method Controls'!$D$61,"PASS","FAIL")</x:f>
        <x:v>PASS</x:v>
      </x:c>
      <x:c r="N76" s="9" t="n">
        <x:f>SUMPRODUCT(($F$7:$F$98=F76)*($H$7:$H$98&lt;I76)*($I$7:$I$98&gt;H76))</x:f>
        <x:v>1</x:v>
      </x:c>
    </x:row>
    <x:row r="77">
      <x:c r="B77" s="9" t="str">
        <x:v>RC-D007</x:v>
      </x:c>
      <x:c r="C77" s="9" t="str">
        <x:v>Damage</x:v>
      </x:c>
      <x:c r="D77" s="9" t="str">
        <x:v>PRIMARY</x:v>
      </x:c>
      <x:c r="E77" s="9" t="str">
        <x:v>R3</x:v>
      </x:c>
      <x:c r="F77" s="9" t="str">
        <x:v>DC-A1</x:v>
      </x:c>
      <x:c r="G77" s="9" t="n">
        <x:v>7</x:v>
      </x:c>
      <x:c r="H77" s="15" t="n">
        <x:f>'Method Controls'!$D$59+INT((G77-1)/3)*('Cycle Update'!$G$8/'Availability Update'!$K$8)</x:f>
        <x:v>141.0845700312239</x:v>
      </x:c>
      <x:c r="I77" s="15" t="n">
        <x:f>H77+'Cycle Update'!$G$8</x:f>
        <x:v>156.29580228571672</x:v>
      </x:c>
      <x:c r="J77" s="15" t="n">
        <x:f>I77+'Cycle Update'!$J$8</x:f>
        <x:v>165.1398740886581</x:v>
      </x:c>
      <x:c r="K77" s="9" t="n">
        <x:f>IF(D77="PRIMARY",1,0)</x:f>
        <x:v>1</x:v>
      </x:c>
      <x:c r="L77" s="9" t="str">
        <x:f>IF(D77="PRIMARY","PLANNED PRIMARY","CONTINGENT HELD")</x:f>
        <x:v>PLANNED PRIMARY</x:v>
      </x:c>
      <x:c r="M77" s="9" t="str">
        <x:f>IF(J77&lt;='Method Controls'!$D$61,"PASS","FAIL")</x:f>
        <x:v>PASS</x:v>
      </x:c>
      <x:c r="N77" s="9" t="n">
        <x:f>SUMPRODUCT(($F$7:$F$98=F77)*($H$7:$H$98&lt;I77)*($I$7:$I$98&gt;H77))</x:f>
        <x:v>1</x:v>
      </x:c>
    </x:row>
    <x:row r="78">
      <x:c r="B78" s="9" t="str">
        <x:v>RC-D008</x:v>
      </x:c>
      <x:c r="C78" s="9" t="str">
        <x:v>Damage</x:v>
      </x:c>
      <x:c r="D78" s="9" t="str">
        <x:v>PRIMARY</x:v>
      </x:c>
      <x:c r="E78" s="9" t="str">
        <x:v>R1</x:v>
      </x:c>
      <x:c r="F78" s="9" t="str">
        <x:v>DC-A2</x:v>
      </x:c>
      <x:c r="G78" s="9" t="n">
        <x:v>8</x:v>
      </x:c>
      <x:c r="H78" s="15" t="n">
        <x:f>'Method Controls'!$D$59+INT((G78-1)/3)*('Cycle Update'!$G$8/'Availability Update'!$K$8)</x:f>
        <x:v>141.0845700312239</x:v>
      </x:c>
      <x:c r="I78" s="15" t="n">
        <x:f>H78+'Cycle Update'!$G$8</x:f>
        <x:v>156.29580228571672</x:v>
      </x:c>
      <x:c r="J78" s="15" t="n">
        <x:f>I78+'Cycle Update'!$J$8</x:f>
        <x:v>165.1398740886581</x:v>
      </x:c>
      <x:c r="K78" s="9" t="n">
        <x:f>IF(D78="PRIMARY",1,0)</x:f>
        <x:v>1</x:v>
      </x:c>
      <x:c r="L78" s="9" t="str">
        <x:f>IF(D78="PRIMARY","PLANNED PRIMARY","CONTINGENT HELD")</x:f>
        <x:v>PLANNED PRIMARY</x:v>
      </x:c>
      <x:c r="M78" s="9" t="str">
        <x:f>IF(J78&lt;='Method Controls'!$D$61,"PASS","FAIL")</x:f>
        <x:v>PASS</x:v>
      </x:c>
      <x:c r="N78" s="9" t="n">
        <x:f>SUMPRODUCT(($F$7:$F$98=F78)*($H$7:$H$98&lt;I78)*($I$7:$I$98&gt;H78))</x:f>
        <x:v>1</x:v>
      </x:c>
    </x:row>
    <x:row r="79">
      <x:c r="B79" s="9" t="str">
        <x:v>RC-D009</x:v>
      </x:c>
      <x:c r="C79" s="9" t="str">
        <x:v>Damage</x:v>
      </x:c>
      <x:c r="D79" s="9" t="str">
        <x:v>PRIMARY</x:v>
      </x:c>
      <x:c r="E79" s="9" t="str">
        <x:v>R2</x:v>
      </x:c>
      <x:c r="F79" s="9" t="str">
        <x:v>DC-C1</x:v>
      </x:c>
      <x:c r="G79" s="9" t="n">
        <x:v>9</x:v>
      </x:c>
      <x:c r="H79" s="15" t="n">
        <x:f>'Method Controls'!$D$59+INT((G79-1)/3)*('Cycle Update'!$G$8/'Availability Update'!$K$8)</x:f>
        <x:v>141.0845700312239</x:v>
      </x:c>
      <x:c r="I79" s="15" t="n">
        <x:f>H79+'Cycle Update'!$G$8</x:f>
        <x:v>156.29580228571672</x:v>
      </x:c>
      <x:c r="J79" s="15" t="n">
        <x:f>I79+'Cycle Update'!$J$8</x:f>
        <x:v>165.1398740886581</x:v>
      </x:c>
      <x:c r="K79" s="9" t="n">
        <x:f>IF(D79="PRIMARY",1,0)</x:f>
        <x:v>1</x:v>
      </x:c>
      <x:c r="L79" s="9" t="str">
        <x:f>IF(D79="PRIMARY","PLANNED PRIMARY","CONTINGENT HELD")</x:f>
        <x:v>PLANNED PRIMARY</x:v>
      </x:c>
      <x:c r="M79" s="9" t="str">
        <x:f>IF(J79&lt;='Method Controls'!$D$61,"PASS","FAIL")</x:f>
        <x:v>PASS</x:v>
      </x:c>
      <x:c r="N79" s="9" t="n">
        <x:f>SUMPRODUCT(($F$7:$F$98=F79)*($H$7:$H$98&lt;I79)*($I$7:$I$98&gt;H79))</x:f>
        <x:v>1</x:v>
      </x:c>
    </x:row>
    <x:row r="80">
      <x:c r="B80" s="9" t="str">
        <x:v>RC-D010</x:v>
      </x:c>
      <x:c r="C80" s="9" t="str">
        <x:v>Damage</x:v>
      </x:c>
      <x:c r="D80" s="9" t="str">
        <x:v>PRIMARY</x:v>
      </x:c>
      <x:c r="E80" s="9" t="str">
        <x:v>R3</x:v>
      </x:c>
      <x:c r="F80" s="9" t="str">
        <x:v>DC-A1</x:v>
      </x:c>
      <x:c r="G80" s="9" t="n">
        <x:v>10</x:v>
      </x:c>
      <x:c r="H80" s="15" t="n">
        <x:f>'Method Controls'!$D$59+INT((G80-1)/3)*('Cycle Update'!$G$8/'Availability Update'!$K$8)</x:f>
        <x:v>166.12685504683583</x:v>
      </x:c>
      <x:c r="I80" s="15" t="n">
        <x:f>H80+'Cycle Update'!$G$8</x:f>
        <x:v>181.33808730132864</x:v>
      </x:c>
      <x:c r="J80" s="15" t="n">
        <x:f>I80+'Cycle Update'!$J$8</x:f>
        <x:v>190.18215910427003</x:v>
      </x:c>
      <x:c r="K80" s="9" t="n">
        <x:f>IF(D80="PRIMARY",1,0)</x:f>
        <x:v>1</x:v>
      </x:c>
      <x:c r="L80" s="9" t="str">
        <x:f>IF(D80="PRIMARY","PLANNED PRIMARY","CONTINGENT HELD")</x:f>
        <x:v>PLANNED PRIMARY</x:v>
      </x:c>
      <x:c r="M80" s="9" t="str">
        <x:f>IF(J80&lt;='Method Controls'!$D$61,"PASS","FAIL")</x:f>
        <x:v>PASS</x:v>
      </x:c>
      <x:c r="N80" s="9" t="n">
        <x:f>SUMPRODUCT(($F$7:$F$98=F80)*($H$7:$H$98&lt;I80)*($I$7:$I$98&gt;H80))</x:f>
        <x:v>1</x:v>
      </x:c>
    </x:row>
    <x:row r="81">
      <x:c r="B81" s="9" t="str">
        <x:v>RC-D011</x:v>
      </x:c>
      <x:c r="C81" s="9" t="str">
        <x:v>Damage</x:v>
      </x:c>
      <x:c r="D81" s="9" t="str">
        <x:v>PRIMARY</x:v>
      </x:c>
      <x:c r="E81" s="9" t="str">
        <x:v>R1</x:v>
      </x:c>
      <x:c r="F81" s="9" t="str">
        <x:v>DC-A2</x:v>
      </x:c>
      <x:c r="G81" s="9" t="n">
        <x:v>11</x:v>
      </x:c>
      <x:c r="H81" s="15" t="n">
        <x:f>'Method Controls'!$D$59+INT((G81-1)/3)*('Cycle Update'!$G$8/'Availability Update'!$K$8)</x:f>
        <x:v>166.12685504683583</x:v>
      </x:c>
      <x:c r="I81" s="15" t="n">
        <x:f>H81+'Cycle Update'!$G$8</x:f>
        <x:v>181.33808730132864</x:v>
      </x:c>
      <x:c r="J81" s="15" t="n">
        <x:f>I81+'Cycle Update'!$J$8</x:f>
        <x:v>190.18215910427003</x:v>
      </x:c>
      <x:c r="K81" s="9" t="n">
        <x:f>IF(D81="PRIMARY",1,0)</x:f>
        <x:v>1</x:v>
      </x:c>
      <x:c r="L81" s="9" t="str">
        <x:f>IF(D81="PRIMARY","PLANNED PRIMARY","CONTINGENT HELD")</x:f>
        <x:v>PLANNED PRIMARY</x:v>
      </x:c>
      <x:c r="M81" s="9" t="str">
        <x:f>IF(J81&lt;='Method Controls'!$D$61,"PASS","FAIL")</x:f>
        <x:v>PASS</x:v>
      </x:c>
      <x:c r="N81" s="9" t="n">
        <x:f>SUMPRODUCT(($F$7:$F$98=F81)*($H$7:$H$98&lt;I81)*($I$7:$I$98&gt;H81))</x:f>
        <x:v>1</x:v>
      </x:c>
    </x:row>
    <x:row r="82">
      <x:c r="B82" s="9" t="str">
        <x:v>RC-D012</x:v>
      </x:c>
      <x:c r="C82" s="9" t="str">
        <x:v>Damage</x:v>
      </x:c>
      <x:c r="D82" s="9" t="str">
        <x:v>PRIMARY</x:v>
      </x:c>
      <x:c r="E82" s="9" t="str">
        <x:v>R2</x:v>
      </x:c>
      <x:c r="F82" s="9" t="str">
        <x:v>DC-C1</x:v>
      </x:c>
      <x:c r="G82" s="9" t="n">
        <x:v>12</x:v>
      </x:c>
      <x:c r="H82" s="15" t="n">
        <x:f>'Method Controls'!$D$59+INT((G82-1)/3)*('Cycle Update'!$G$8/'Availability Update'!$K$8)</x:f>
        <x:v>166.12685504683583</x:v>
      </x:c>
      <x:c r="I82" s="15" t="n">
        <x:f>H82+'Cycle Update'!$G$8</x:f>
        <x:v>181.33808730132864</x:v>
      </x:c>
      <x:c r="J82" s="15" t="n">
        <x:f>I82+'Cycle Update'!$J$8</x:f>
        <x:v>190.18215910427003</x:v>
      </x:c>
      <x:c r="K82" s="9" t="n">
        <x:f>IF(D82="PRIMARY",1,0)</x:f>
        <x:v>1</x:v>
      </x:c>
      <x:c r="L82" s="9" t="str">
        <x:f>IF(D82="PRIMARY","PLANNED PRIMARY","CONTINGENT HELD")</x:f>
        <x:v>PLANNED PRIMARY</x:v>
      </x:c>
      <x:c r="M82" s="9" t="str">
        <x:f>IF(J82&lt;='Method Controls'!$D$61,"PASS","FAIL")</x:f>
        <x:v>PASS</x:v>
      </x:c>
      <x:c r="N82" s="9" t="n">
        <x:f>SUMPRODUCT(($F$7:$F$98=F82)*($H$7:$H$98&lt;I82)*($I$7:$I$98&gt;H82))</x:f>
        <x:v>1</x:v>
      </x:c>
    </x:row>
    <x:row r="83">
      <x:c r="B83" s="9" t="str">
        <x:v>RC-D013</x:v>
      </x:c>
      <x:c r="C83" s="9" t="str">
        <x:v>Damage</x:v>
      </x:c>
      <x:c r="D83" s="9" t="str">
        <x:v>PRIMARY</x:v>
      </x:c>
      <x:c r="E83" s="9" t="str">
        <x:v>R3</x:v>
      </x:c>
      <x:c r="F83" s="9" t="str">
        <x:v>DC-A1</x:v>
      </x:c>
      <x:c r="G83" s="9" t="n">
        <x:v>13</x:v>
      </x:c>
      <x:c r="H83" s="15" t="n">
        <x:f>'Method Controls'!$D$59+INT((G83-1)/3)*('Cycle Update'!$G$8/'Availability Update'!$K$8)</x:f>
        <x:v>191.1691400624478</x:v>
      </x:c>
      <x:c r="I83" s="15" t="n">
        <x:f>H83+'Cycle Update'!$G$8</x:f>
        <x:v>206.38037231694062</x:v>
      </x:c>
      <x:c r="J83" s="15" t="n">
        <x:f>I83+'Cycle Update'!$J$8</x:f>
        <x:v>215.224444119882</x:v>
      </x:c>
      <x:c r="K83" s="9" t="n">
        <x:f>IF(D83="PRIMARY",1,0)</x:f>
        <x:v>1</x:v>
      </x:c>
      <x:c r="L83" s="9" t="str">
        <x:f>IF(D83="PRIMARY","PLANNED PRIMARY","CONTINGENT HELD")</x:f>
        <x:v>PLANNED PRIMARY</x:v>
      </x:c>
      <x:c r="M83" s="9" t="str">
        <x:f>IF(J83&lt;='Method Controls'!$D$61,"PASS","FAIL")</x:f>
        <x:v>PASS</x:v>
      </x:c>
      <x:c r="N83" s="9" t="n">
        <x:f>SUMPRODUCT(($F$7:$F$98=F83)*($H$7:$H$98&lt;I83)*($I$7:$I$98&gt;H83))</x:f>
        <x:v>1</x:v>
      </x:c>
    </x:row>
    <x:row r="84">
      <x:c r="B84" s="9" t="str">
        <x:v>RC-D014</x:v>
      </x:c>
      <x:c r="C84" s="9" t="str">
        <x:v>Damage</x:v>
      </x:c>
      <x:c r="D84" s="9" t="str">
        <x:v>PRIMARY</x:v>
      </x:c>
      <x:c r="E84" s="9" t="str">
        <x:v>R1</x:v>
      </x:c>
      <x:c r="F84" s="9" t="str">
        <x:v>DC-A2</x:v>
      </x:c>
      <x:c r="G84" s="9" t="n">
        <x:v>14</x:v>
      </x:c>
      <x:c r="H84" s="15" t="n">
        <x:f>'Method Controls'!$D$59+INT((G84-1)/3)*('Cycle Update'!$G$8/'Availability Update'!$K$8)</x:f>
        <x:v>191.1691400624478</x:v>
      </x:c>
      <x:c r="I84" s="15" t="n">
        <x:f>H84+'Cycle Update'!$G$8</x:f>
        <x:v>206.38037231694062</x:v>
      </x:c>
      <x:c r="J84" s="15" t="n">
        <x:f>I84+'Cycle Update'!$J$8</x:f>
        <x:v>215.224444119882</x:v>
      </x:c>
      <x:c r="K84" s="9" t="n">
        <x:f>IF(D84="PRIMARY",1,0)</x:f>
        <x:v>1</x:v>
      </x:c>
      <x:c r="L84" s="9" t="str">
        <x:f>IF(D84="PRIMARY","PLANNED PRIMARY","CONTINGENT HELD")</x:f>
        <x:v>PLANNED PRIMARY</x:v>
      </x:c>
      <x:c r="M84" s="9" t="str">
        <x:f>IF(J84&lt;='Method Controls'!$D$61,"PASS","FAIL")</x:f>
        <x:v>PASS</x:v>
      </x:c>
      <x:c r="N84" s="9" t="n">
        <x:f>SUMPRODUCT(($F$7:$F$98=F84)*($H$7:$H$98&lt;I84)*($I$7:$I$98&gt;H84))</x:f>
        <x:v>1</x:v>
      </x:c>
    </x:row>
    <x:row r="85">
      <x:c r="B85" s="9" t="str">
        <x:v>RC-D015</x:v>
      </x:c>
      <x:c r="C85" s="9" t="str">
        <x:v>Damage</x:v>
      </x:c>
      <x:c r="D85" s="9" t="str">
        <x:v>PRIMARY</x:v>
      </x:c>
      <x:c r="E85" s="9" t="str">
        <x:v>R2</x:v>
      </x:c>
      <x:c r="F85" s="9" t="str">
        <x:v>DC-C1</x:v>
      </x:c>
      <x:c r="G85" s="9" t="n">
        <x:v>15</x:v>
      </x:c>
      <x:c r="H85" s="15" t="n">
        <x:f>'Method Controls'!$D$59+INT((G85-1)/3)*('Cycle Update'!$G$8/'Availability Update'!$K$8)</x:f>
        <x:v>191.1691400624478</x:v>
      </x:c>
      <x:c r="I85" s="15" t="n">
        <x:f>H85+'Cycle Update'!$G$8</x:f>
        <x:v>206.38037231694062</x:v>
      </x:c>
      <x:c r="J85" s="15" t="n">
        <x:f>I85+'Cycle Update'!$J$8</x:f>
        <x:v>215.224444119882</x:v>
      </x:c>
      <x:c r="K85" s="9" t="n">
        <x:f>IF(D85="PRIMARY",1,0)</x:f>
        <x:v>1</x:v>
      </x:c>
      <x:c r="L85" s="9" t="str">
        <x:f>IF(D85="PRIMARY","PLANNED PRIMARY","CONTINGENT HELD")</x:f>
        <x:v>PLANNED PRIMARY</x:v>
      </x:c>
      <x:c r="M85" s="9" t="str">
        <x:f>IF(J85&lt;='Method Controls'!$D$61,"PASS","FAIL")</x:f>
        <x:v>PASS</x:v>
      </x:c>
      <x:c r="N85" s="9" t="n">
        <x:f>SUMPRODUCT(($F$7:$F$98=F85)*($H$7:$H$98&lt;I85)*($I$7:$I$98&gt;H85))</x:f>
        <x:v>1</x:v>
      </x:c>
    </x:row>
    <x:row r="86">
      <x:c r="B86" s="9" t="str">
        <x:v>RC-D016</x:v>
      </x:c>
      <x:c r="C86" s="9" t="str">
        <x:v>Damage</x:v>
      </x:c>
      <x:c r="D86" s="9" t="str">
        <x:v>PRIMARY</x:v>
      </x:c>
      <x:c r="E86" s="9" t="str">
        <x:v>R3</x:v>
      </x:c>
      <x:c r="F86" s="9" t="str">
        <x:v>DC-A1</x:v>
      </x:c>
      <x:c r="G86" s="9" t="n">
        <x:v>16</x:v>
      </x:c>
      <x:c r="H86" s="15" t="n">
        <x:f>'Method Controls'!$D$59+INT((G86-1)/3)*('Cycle Update'!$G$8/'Availability Update'!$K$8)</x:f>
        <x:v>216.21142507805973</x:v>
      </x:c>
      <x:c r="I86" s="15" t="n">
        <x:f>H86+'Cycle Update'!$G$8</x:f>
        <x:v>231.42265733255255</x:v>
      </x:c>
      <x:c r="J86" s="15" t="n">
        <x:f>I86+'Cycle Update'!$J$8</x:f>
        <x:v>240.26672913549393</x:v>
      </x:c>
      <x:c r="K86" s="9" t="n">
        <x:f>IF(D86="PRIMARY",1,0)</x:f>
        <x:v>1</x:v>
      </x:c>
      <x:c r="L86" s="9" t="str">
        <x:f>IF(D86="PRIMARY","PLANNED PRIMARY","CONTINGENT HELD")</x:f>
        <x:v>PLANNED PRIMARY</x:v>
      </x:c>
      <x:c r="M86" s="9" t="str">
        <x:f>IF(J86&lt;='Method Controls'!$D$61,"PASS","FAIL")</x:f>
        <x:v>PASS</x:v>
      </x:c>
      <x:c r="N86" s="9" t="n">
        <x:f>SUMPRODUCT(($F$7:$F$98=F86)*($H$7:$H$98&lt;I86)*($I$7:$I$98&gt;H86))</x:f>
        <x:v>1</x:v>
      </x:c>
    </x:row>
    <x:row r="87">
      <x:c r="B87" s="9" t="str">
        <x:v>RC-D017</x:v>
      </x:c>
      <x:c r="C87" s="9" t="str">
        <x:v>Damage</x:v>
      </x:c>
      <x:c r="D87" s="9" t="str">
        <x:v>PRIMARY</x:v>
      </x:c>
      <x:c r="E87" s="9" t="str">
        <x:v>R1</x:v>
      </x:c>
      <x:c r="F87" s="9" t="str">
        <x:v>DC-A2</x:v>
      </x:c>
      <x:c r="G87" s="9" t="n">
        <x:v>17</x:v>
      </x:c>
      <x:c r="H87" s="15" t="n">
        <x:f>'Method Controls'!$D$59+INT((G87-1)/3)*('Cycle Update'!$G$8/'Availability Update'!$K$8)</x:f>
        <x:v>216.21142507805973</x:v>
      </x:c>
      <x:c r="I87" s="15" t="n">
        <x:f>H87+'Cycle Update'!$G$8</x:f>
        <x:v>231.42265733255255</x:v>
      </x:c>
      <x:c r="J87" s="15" t="n">
        <x:f>I87+'Cycle Update'!$J$8</x:f>
        <x:v>240.26672913549393</x:v>
      </x:c>
      <x:c r="K87" s="9" t="n">
        <x:f>IF(D87="PRIMARY",1,0)</x:f>
        <x:v>1</x:v>
      </x:c>
      <x:c r="L87" s="9" t="str">
        <x:f>IF(D87="PRIMARY","PLANNED PRIMARY","CONTINGENT HELD")</x:f>
        <x:v>PLANNED PRIMARY</x:v>
      </x:c>
      <x:c r="M87" s="9" t="str">
        <x:f>IF(J87&lt;='Method Controls'!$D$61,"PASS","FAIL")</x:f>
        <x:v>PASS</x:v>
      </x:c>
      <x:c r="N87" s="9" t="n">
        <x:f>SUMPRODUCT(($F$7:$F$98=F87)*($H$7:$H$98&lt;I87)*($I$7:$I$98&gt;H87))</x:f>
        <x:v>1</x:v>
      </x:c>
    </x:row>
    <x:row r="88">
      <x:c r="B88" s="9" t="str">
        <x:v>RC-D018</x:v>
      </x:c>
      <x:c r="C88" s="9" t="str">
        <x:v>Damage</x:v>
      </x:c>
      <x:c r="D88" s="9" t="str">
        <x:v>PRIMARY</x:v>
      </x:c>
      <x:c r="E88" s="9" t="str">
        <x:v>R2</x:v>
      </x:c>
      <x:c r="F88" s="9" t="str">
        <x:v>DC-C1</x:v>
      </x:c>
      <x:c r="G88" s="9" t="n">
        <x:v>18</x:v>
      </x:c>
      <x:c r="H88" s="15" t="n">
        <x:f>'Method Controls'!$D$59+INT((G88-1)/3)*('Cycle Update'!$G$8/'Availability Update'!$K$8)</x:f>
        <x:v>216.21142507805973</x:v>
      </x:c>
      <x:c r="I88" s="15" t="n">
        <x:f>H88+'Cycle Update'!$G$8</x:f>
        <x:v>231.42265733255255</x:v>
      </x:c>
      <x:c r="J88" s="15" t="n">
        <x:f>I88+'Cycle Update'!$J$8</x:f>
        <x:v>240.26672913549393</x:v>
      </x:c>
      <x:c r="K88" s="9" t="n">
        <x:f>IF(D88="PRIMARY",1,0)</x:f>
        <x:v>1</x:v>
      </x:c>
      <x:c r="L88" s="9" t="str">
        <x:f>IF(D88="PRIMARY","PLANNED PRIMARY","CONTINGENT HELD")</x:f>
        <x:v>PLANNED PRIMARY</x:v>
      </x:c>
      <x:c r="M88" s="9" t="str">
        <x:f>IF(J88&lt;='Method Controls'!$D$61,"PASS","FAIL")</x:f>
        <x:v>PASS</x:v>
      </x:c>
      <x:c r="N88" s="9" t="n">
        <x:f>SUMPRODUCT(($F$7:$F$98=F88)*($H$7:$H$98&lt;I88)*($I$7:$I$98&gt;H88))</x:f>
        <x:v>1</x:v>
      </x:c>
    </x:row>
    <x:row r="89">
      <x:c r="B89" s="9" t="str">
        <x:v>RC-D019</x:v>
      </x:c>
      <x:c r="C89" s="9" t="str">
        <x:v>Damage</x:v>
      </x:c>
      <x:c r="D89" s="9" t="str">
        <x:v>PRIMARY</x:v>
      </x:c>
      <x:c r="E89" s="9" t="str">
        <x:v>R3</x:v>
      </x:c>
      <x:c r="F89" s="9" t="str">
        <x:v>DC-A1</x:v>
      </x:c>
      <x:c r="G89" s="9" t="n">
        <x:v>19</x:v>
      </x:c>
      <x:c r="H89" s="15" t="n">
        <x:f>'Method Controls'!$D$59+INT((G89-1)/3)*('Cycle Update'!$G$8/'Availability Update'!$K$8)</x:f>
        <x:v>241.25371009367169</x:v>
      </x:c>
      <x:c r="I89" s="15" t="n">
        <x:f>H89+'Cycle Update'!$G$8</x:f>
        <x:v>256.4649423481645</x:v>
      </x:c>
      <x:c r="J89" s="15" t="n">
        <x:f>I89+'Cycle Update'!$J$8</x:f>
        <x:v>265.3090141511059</x:v>
      </x:c>
      <x:c r="K89" s="9" t="n">
        <x:f>IF(D89="PRIMARY",1,0)</x:f>
        <x:v>1</x:v>
      </x:c>
      <x:c r="L89" s="9" t="str">
        <x:f>IF(D89="PRIMARY","PLANNED PRIMARY","CONTINGENT HELD")</x:f>
        <x:v>PLANNED PRIMARY</x:v>
      </x:c>
      <x:c r="M89" s="9" t="str">
        <x:f>IF(J89&lt;='Method Controls'!$D$61,"PASS","FAIL")</x:f>
        <x:v>PASS</x:v>
      </x:c>
      <x:c r="N89" s="9" t="n">
        <x:f>SUMPRODUCT(($F$7:$F$98=F89)*($H$7:$H$98&lt;I89)*($I$7:$I$98&gt;H89))</x:f>
        <x:v>1</x:v>
      </x:c>
    </x:row>
    <x:row r="90">
      <x:c r="B90" s="9" t="str">
        <x:v>RC-D020</x:v>
      </x:c>
      <x:c r="C90" s="9" t="str">
        <x:v>Damage</x:v>
      </x:c>
      <x:c r="D90" s="9" t="str">
        <x:v>PRIMARY</x:v>
      </x:c>
      <x:c r="E90" s="9" t="str">
        <x:v>R3</x:v>
      </x:c>
      <x:c r="F90" s="9" t="str">
        <x:v>DC-A2</x:v>
      </x:c>
      <x:c r="G90" s="9" t="n">
        <x:v>20</x:v>
      </x:c>
      <x:c r="H90" s="15" t="n">
        <x:f>'Method Controls'!$D$59+INT((G90-1)/3)*('Cycle Update'!$G$8/'Availability Update'!$K$8)</x:f>
        <x:v>241.25371009367169</x:v>
      </x:c>
      <x:c r="I90" s="15" t="n">
        <x:f>H90+'Cycle Update'!$G$8</x:f>
        <x:v>256.4649423481645</x:v>
      </x:c>
      <x:c r="J90" s="15" t="n">
        <x:f>I90+'Cycle Update'!$J$8</x:f>
        <x:v>265.3090141511059</x:v>
      </x:c>
      <x:c r="K90" s="9" t="n">
        <x:f>IF(D90="PRIMARY",1,0)</x:f>
        <x:v>1</x:v>
      </x:c>
      <x:c r="L90" s="9" t="str">
        <x:f>IF(D90="PRIMARY","PLANNED PRIMARY","CONTINGENT HELD")</x:f>
        <x:v>PLANNED PRIMARY</x:v>
      </x:c>
      <x:c r="M90" s="9" t="str">
        <x:f>IF(J90&lt;='Method Controls'!$D$61,"PASS","FAIL")</x:f>
        <x:v>PASS</x:v>
      </x:c>
      <x:c r="N90" s="9" t="n">
        <x:f>SUMPRODUCT(($F$7:$F$98=F90)*($H$7:$H$98&lt;I90)*($I$7:$I$98&gt;H90))</x:f>
        <x:v>1</x:v>
      </x:c>
    </x:row>
    <x:row r="91">
      <x:c r="B91" s="9" t="str">
        <x:v>RC-D021</x:v>
      </x:c>
      <x:c r="C91" s="9" t="str">
        <x:v>Damage</x:v>
      </x:c>
      <x:c r="D91" s="9" t="str">
        <x:v>CONTINGENT</x:v>
      </x:c>
      <x:c r="E91" s="9" t="str">
        <x:v>CONTINGENT</x:v>
      </x:c>
      <x:c r="F91" s="9" t="str">
        <x:v>DC-C1</x:v>
      </x:c>
      <x:c r="G91" s="9" t="n">
        <x:v>21</x:v>
      </x:c>
      <x:c r="H91" s="15" t="n">
        <x:f>'Method Controls'!$D$59+INT((G91-1)/3)*('Cycle Update'!$G$8/'Availability Update'!$K$8)</x:f>
        <x:v>241.25371009367169</x:v>
      </x:c>
      <x:c r="I91" s="15" t="n">
        <x:f>H91+'Cycle Update'!$G$8</x:f>
        <x:v>256.4649423481645</x:v>
      </x:c>
      <x:c r="J91" s="15" t="n">
        <x:f>I91+'Cycle Update'!$J$8</x:f>
        <x:v>265.3090141511059</x:v>
      </x:c>
      <x:c r="K91" s="9" t="n">
        <x:f>IF(D91="PRIMARY",1,0)</x:f>
        <x:v>0</x:v>
      </x:c>
      <x:c r="L91" s="9" t="str">
        <x:f>IF(D91="PRIMARY","PLANNED PRIMARY","CONTINGENT HELD")</x:f>
        <x:v>CONTINGENT HELD</x:v>
      </x:c>
      <x:c r="M91" s="9" t="str">
        <x:f>IF(J91&lt;='Method Controls'!$D$61,"PASS","FAIL")</x:f>
        <x:v>PASS</x:v>
      </x:c>
      <x:c r="N91" s="9" t="n">
        <x:f>SUMPRODUCT(($F$7:$F$98=F91)*($H$7:$H$98&lt;I91)*($I$7:$I$98&gt;H91))</x:f>
        <x:v>1</x:v>
      </x:c>
    </x:row>
    <x:row r="92">
      <x:c r="B92" s="9" t="str">
        <x:v>RC-D022</x:v>
      </x:c>
      <x:c r="C92" s="9" t="str">
        <x:v>Damage</x:v>
      </x:c>
      <x:c r="D92" s="9" t="str">
        <x:v>CONTINGENT</x:v>
      </x:c>
      <x:c r="E92" s="9" t="str">
        <x:v>CONTINGENT</x:v>
      </x:c>
      <x:c r="F92" s="9" t="str">
        <x:v>DC-A1</x:v>
      </x:c>
      <x:c r="G92" s="9" t="n">
        <x:v>22</x:v>
      </x:c>
      <x:c r="H92" s="15" t="n">
        <x:f>'Method Controls'!$D$59+INT((G92-1)/3)*('Cycle Update'!$G$8/'Availability Update'!$K$8)</x:f>
        <x:v>266.29599510928364</x:v>
      </x:c>
      <x:c r="I92" s="15" t="n">
        <x:f>H92+'Cycle Update'!$G$8</x:f>
        <x:v>281.50722736377645</x:v>
      </x:c>
      <x:c r="J92" s="15" t="n">
        <x:f>I92+'Cycle Update'!$J$8</x:f>
        <x:v>290.3512991667178</x:v>
      </x:c>
      <x:c r="K92" s="9" t="n">
        <x:f>IF(D92="PRIMARY",1,0)</x:f>
        <x:v>0</x:v>
      </x:c>
      <x:c r="L92" s="9" t="str">
        <x:f>IF(D92="PRIMARY","PLANNED PRIMARY","CONTINGENT HELD")</x:f>
        <x:v>CONTINGENT HELD</x:v>
      </x:c>
      <x:c r="M92" s="9" t="str">
        <x:f>IF(J92&lt;='Method Controls'!$D$61,"PASS","FAIL")</x:f>
        <x:v>PASS</x:v>
      </x:c>
      <x:c r="N92" s="9" t="n">
        <x:f>SUMPRODUCT(($F$7:$F$98=F92)*($H$7:$H$98&lt;I92)*($I$7:$I$98&gt;H92))</x:f>
        <x:v>1</x:v>
      </x:c>
    </x:row>
    <x:row r="93">
      <x:c r="B93" s="9" t="str">
        <x:v>RC-D023</x:v>
      </x:c>
      <x:c r="C93" s="9" t="str">
        <x:v>Damage</x:v>
      </x:c>
      <x:c r="D93" s="9" t="str">
        <x:v>CONTINGENT</x:v>
      </x:c>
      <x:c r="E93" s="9" t="str">
        <x:v>CONTINGENT</x:v>
      </x:c>
      <x:c r="F93" s="9" t="str">
        <x:v>DC-A2</x:v>
      </x:c>
      <x:c r="G93" s="9" t="n">
        <x:v>23</x:v>
      </x:c>
      <x:c r="H93" s="15" t="n">
        <x:f>'Method Controls'!$D$59+INT((G93-1)/3)*('Cycle Update'!$G$8/'Availability Update'!$K$8)</x:f>
        <x:v>266.29599510928364</x:v>
      </x:c>
      <x:c r="I93" s="15" t="n">
        <x:f>H93+'Cycle Update'!$G$8</x:f>
        <x:v>281.50722736377645</x:v>
      </x:c>
      <x:c r="J93" s="15" t="n">
        <x:f>I93+'Cycle Update'!$J$8</x:f>
        <x:v>290.3512991667178</x:v>
      </x:c>
      <x:c r="K93" s="9" t="n">
        <x:f>IF(D93="PRIMARY",1,0)</x:f>
        <x:v>0</x:v>
      </x:c>
      <x:c r="L93" s="9" t="str">
        <x:f>IF(D93="PRIMARY","PLANNED PRIMARY","CONTINGENT HELD")</x:f>
        <x:v>CONTINGENT HELD</x:v>
      </x:c>
      <x:c r="M93" s="9" t="str">
        <x:f>IF(J93&lt;='Method Controls'!$D$61,"PASS","FAIL")</x:f>
        <x:v>PASS</x:v>
      </x:c>
      <x:c r="N93" s="9" t="n">
        <x:f>SUMPRODUCT(($F$7:$F$98=F93)*($H$7:$H$98&lt;I93)*($I$7:$I$98&gt;H93))</x:f>
        <x:v>1</x:v>
      </x:c>
    </x:row>
    <x:row r="94">
      <x:c r="B94" s="9" t="str">
        <x:v>RC-D024</x:v>
      </x:c>
      <x:c r="C94" s="9" t="str">
        <x:v>Damage</x:v>
      </x:c>
      <x:c r="D94" s="9" t="str">
        <x:v>CONTINGENT</x:v>
      </x:c>
      <x:c r="E94" s="9" t="str">
        <x:v>CONTINGENT</x:v>
      </x:c>
      <x:c r="F94" s="9" t="str">
        <x:v>DC-C1</x:v>
      </x:c>
      <x:c r="G94" s="9" t="n">
        <x:v>24</x:v>
      </x:c>
      <x:c r="H94" s="15" t="n">
        <x:f>'Method Controls'!$D$59+INT((G94-1)/3)*('Cycle Update'!$G$8/'Availability Update'!$K$8)</x:f>
        <x:v>266.29599510928364</x:v>
      </x:c>
      <x:c r="I94" s="15" t="n">
        <x:f>H94+'Cycle Update'!$G$8</x:f>
        <x:v>281.50722736377645</x:v>
      </x:c>
      <x:c r="J94" s="15" t="n">
        <x:f>I94+'Cycle Update'!$J$8</x:f>
        <x:v>290.3512991667178</x:v>
      </x:c>
      <x:c r="K94" s="9" t="n">
        <x:f>IF(D94="PRIMARY",1,0)</x:f>
        <x:v>0</x:v>
      </x:c>
      <x:c r="L94" s="9" t="str">
        <x:f>IF(D94="PRIMARY","PLANNED PRIMARY","CONTINGENT HELD")</x:f>
        <x:v>CONTINGENT HELD</x:v>
      </x:c>
      <x:c r="M94" s="9" t="str">
        <x:f>IF(J94&lt;='Method Controls'!$D$61,"PASS","FAIL")</x:f>
        <x:v>PASS</x:v>
      </x:c>
      <x:c r="N94" s="9" t="n">
        <x:f>SUMPRODUCT(($F$7:$F$98=F94)*($H$7:$H$98&lt;I94)*($I$7:$I$98&gt;H94))</x:f>
        <x:v>1</x:v>
      </x:c>
    </x:row>
    <x:row r="95">
      <x:c r="B95" s="9" t="str">
        <x:v>RC-D025</x:v>
      </x:c>
      <x:c r="C95" s="9" t="str">
        <x:v>Damage</x:v>
      </x:c>
      <x:c r="D95" s="9" t="str">
        <x:v>CONTINGENT</x:v>
      </x:c>
      <x:c r="E95" s="9" t="str">
        <x:v>CONTINGENT</x:v>
      </x:c>
      <x:c r="F95" s="9" t="str">
        <x:v>DC-A1</x:v>
      </x:c>
      <x:c r="G95" s="9" t="n">
        <x:v>25</x:v>
      </x:c>
      <x:c r="H95" s="15" t="n">
        <x:f>'Method Controls'!$D$59+INT((G95-1)/3)*('Cycle Update'!$G$8/'Availability Update'!$K$8)</x:f>
        <x:v>291.3382801248956</x:v>
      </x:c>
      <x:c r="I95" s="15" t="n">
        <x:f>H95+'Cycle Update'!$G$8</x:f>
        <x:v>306.54951237938843</x:v>
      </x:c>
      <x:c r="J95" s="15" t="n">
        <x:f>I95+'Cycle Update'!$J$8</x:f>
        <x:v>315.3935841823298</x:v>
      </x:c>
      <x:c r="K95" s="9" t="n">
        <x:f>IF(D95="PRIMARY",1,0)</x:f>
        <x:v>0</x:v>
      </x:c>
      <x:c r="L95" s="9" t="str">
        <x:f>IF(D95="PRIMARY","PLANNED PRIMARY","CONTINGENT HELD")</x:f>
        <x:v>CONTINGENT HELD</x:v>
      </x:c>
      <x:c r="M95" s="9" t="str">
        <x:f>IF(J95&lt;='Method Controls'!$D$61,"PASS","FAIL")</x:f>
        <x:v>PASS</x:v>
      </x:c>
      <x:c r="N95" s="9" t="n">
        <x:f>SUMPRODUCT(($F$7:$F$98=F95)*($H$7:$H$98&lt;I95)*($I$7:$I$98&gt;H95))</x:f>
        <x:v>1</x:v>
      </x:c>
    </x:row>
    <x:row r="96">
      <x:c r="B96" s="9" t="str">
        <x:v>RC-D026</x:v>
      </x:c>
      <x:c r="C96" s="9" t="str">
        <x:v>Damage</x:v>
      </x:c>
      <x:c r="D96" s="9" t="str">
        <x:v>CONTINGENT</x:v>
      </x:c>
      <x:c r="E96" s="9" t="str">
        <x:v>CONTINGENT</x:v>
      </x:c>
      <x:c r="F96" s="9" t="str">
        <x:v>DC-A2</x:v>
      </x:c>
      <x:c r="G96" s="9" t="n">
        <x:v>26</x:v>
      </x:c>
      <x:c r="H96" s="15" t="n">
        <x:f>'Method Controls'!$D$59+INT((G96-1)/3)*('Cycle Update'!$G$8/'Availability Update'!$K$8)</x:f>
        <x:v>291.3382801248956</x:v>
      </x:c>
      <x:c r="I96" s="15" t="n">
        <x:f>H96+'Cycle Update'!$G$8</x:f>
        <x:v>306.54951237938843</x:v>
      </x:c>
      <x:c r="J96" s="15" t="n">
        <x:f>I96+'Cycle Update'!$J$8</x:f>
        <x:v>315.3935841823298</x:v>
      </x:c>
      <x:c r="K96" s="9" t="n">
        <x:f>IF(D96="PRIMARY",1,0)</x:f>
        <x:v>0</x:v>
      </x:c>
      <x:c r="L96" s="9" t="str">
        <x:f>IF(D96="PRIMARY","PLANNED PRIMARY","CONTINGENT HELD")</x:f>
        <x:v>CONTINGENT HELD</x:v>
      </x:c>
      <x:c r="M96" s="9" t="str">
        <x:f>IF(J96&lt;='Method Controls'!$D$61,"PASS","FAIL")</x:f>
        <x:v>PASS</x:v>
      </x:c>
      <x:c r="N96" s="9" t="n">
        <x:f>SUMPRODUCT(($F$7:$F$98=F96)*($H$7:$H$98&lt;I96)*($I$7:$I$98&gt;H96))</x:f>
        <x:v>1</x:v>
      </x:c>
    </x:row>
    <x:row r="97">
      <x:c r="B97" s="9" t="str">
        <x:v>RC-D027</x:v>
      </x:c>
      <x:c r="C97" s="9" t="str">
        <x:v>Damage</x:v>
      </x:c>
      <x:c r="D97" s="9" t="str">
        <x:v>CONTINGENT</x:v>
      </x:c>
      <x:c r="E97" s="9" t="str">
        <x:v>CONTINGENT</x:v>
      </x:c>
      <x:c r="F97" s="9" t="str">
        <x:v>DC-C1</x:v>
      </x:c>
      <x:c r="G97" s="9" t="n">
        <x:v>27</x:v>
      </x:c>
      <x:c r="H97" s="15" t="n">
        <x:f>'Method Controls'!$D$59+INT((G97-1)/3)*('Cycle Update'!$G$8/'Availability Update'!$K$8)</x:f>
        <x:v>291.3382801248956</x:v>
      </x:c>
      <x:c r="I97" s="15" t="n">
        <x:f>H97+'Cycle Update'!$G$8</x:f>
        <x:v>306.54951237938843</x:v>
      </x:c>
      <x:c r="J97" s="15" t="n">
        <x:f>I97+'Cycle Update'!$J$8</x:f>
        <x:v>315.3935841823298</x:v>
      </x:c>
      <x:c r="K97" s="9" t="n">
        <x:f>IF(D97="PRIMARY",1,0)</x:f>
        <x:v>0</x:v>
      </x:c>
      <x:c r="L97" s="9" t="str">
        <x:f>IF(D97="PRIMARY","PLANNED PRIMARY","CONTINGENT HELD")</x:f>
        <x:v>CONTINGENT HELD</x:v>
      </x:c>
      <x:c r="M97" s="9" t="str">
        <x:f>IF(J97&lt;='Method Controls'!$D$61,"PASS","FAIL")</x:f>
        <x:v>PASS</x:v>
      </x:c>
      <x:c r="N97" s="9" t="n">
        <x:f>SUMPRODUCT(($F$7:$F$98=F97)*($H$7:$H$98&lt;I97)*($I$7:$I$98&gt;H97))</x:f>
        <x:v>1</x:v>
      </x:c>
    </x:row>
    <x:row r="98">
      <x:c r="B98" s="10" t="str">
        <x:v>RC-D028</x:v>
      </x:c>
      <x:c r="C98" s="10" t="str">
        <x:v>Damage</x:v>
      </x:c>
      <x:c r="D98" s="10" t="str">
        <x:v>CONTINGENT</x:v>
      </x:c>
      <x:c r="E98" s="10" t="str">
        <x:v>CONTINGENT</x:v>
      </x:c>
      <x:c r="F98" s="10" t="str">
        <x:v>DC-A1</x:v>
      </x:c>
      <x:c r="G98" s="10" t="n">
        <x:v>28</x:v>
      </x:c>
      <x:c r="H98" s="16" t="n">
        <x:f>'Method Controls'!$D$59+INT((G98-1)/3)*('Cycle Update'!$G$8/'Availability Update'!$K$8)</x:f>
        <x:v>316.38056514050754</x:v>
      </x:c>
      <x:c r="I98" s="16" t="n">
        <x:f>H98+'Cycle Update'!$G$8</x:f>
        <x:v>331.59179739500036</x:v>
      </x:c>
      <x:c r="J98" s="16" t="n">
        <x:f>I98+'Cycle Update'!$J$8</x:f>
        <x:v>340.4358691979417</x:v>
      </x:c>
      <x:c r="K98" s="10" t="n">
        <x:f>IF(D98="PRIMARY",1,0)</x:f>
        <x:v>0</x:v>
      </x:c>
      <x:c r="L98" s="10" t="str">
        <x:f>IF(D98="PRIMARY","PLANNED PRIMARY","CONTINGENT HELD")</x:f>
        <x:v>CONTINGENT HELD</x:v>
      </x:c>
      <x:c r="M98" s="10" t="str">
        <x:f>IF(J98&lt;='Method Controls'!$D$61,"PASS","FAIL")</x:f>
        <x:v>PASS</x:v>
      </x:c>
      <x:c r="N98" s="10" t="n">
        <x:f>SUMPRODUCT(($F$7:$F$98=F98)*($H$7:$H$98&lt;I98)*($I$7:$I$98&gt;H98))</x:f>
        <x:v>1</x:v>
      </x:c>
    </x:row>
  </x:sheetData>
  <x:mergeCells>
    <x:mergeCell ref="B2:N2"/>
    <x:mergeCell ref="B3:N3"/>
  </x:mergeCells>
  <x:conditionalFormatting sqref="M7:M98">
    <x:cfRule type="containsText" dxfId="27" priority="1" operator="containsText" text="PASS"/>
    <x:cfRule type="containsText" dxfId="28" priority="2" operator="containsText" text="AUTHORIZED"/>
    <x:cfRule type="containsText" dxfId="29" priority="3" operator="containsText" text="PRESERVE"/>
    <x:cfRule type="containsText" dxfId="30" priority="4" operator="containsText" text="HOLD"/>
    <x:cfRule type="containsText" dxfId="31" priority="5" operator="containsText" text="OPEN"/>
    <x:cfRule type="containsText" dxfId="32" priority="6" operator="containsText" text="BLOCKED"/>
    <x:cfRule type="containsText" dxfId="33" priority="7" operator="containsText" text="FAIL"/>
    <x:cfRule type="containsText" dxfId="34" priority="8" operator="containsText" text="REDESIGN"/>
    <x:cfRule type="containsText" dxfId="35" priority="9" operator="containsText" text="INDETERMINATE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0" hidden="0" customWidth="1"/>
    <x:col min="3" max="3" width="16" hidden="0" customWidth="1"/>
    <x:col min="4" max="4" width="16" hidden="0" customWidth="1"/>
    <x:col min="5" max="5" width="22" hidden="0" customWidth="1"/>
    <x:col min="6" max="6" width="22" hidden="0" customWidth="1"/>
    <x:col min="7" max="7" width="18" hidden="0" customWidth="1"/>
    <x:col min="8" max="8" width="18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2">
      <x:c r="B2" s="1" t="str">
        <x:v>Daily residual work and packet control</x:v>
      </x:c>
      <x:c r="C2" s="36"/>
      <x:c r="D2" s="36"/>
      <x:c r="E2" s="36"/>
      <x:c r="F2" s="36"/>
      <x:c r="G2" s="36"/>
      <x:c r="H2" s="36"/>
      <x:c r="I2" s="36"/>
      <x:c r="J2" s="36"/>
      <x:c r="K2" s="36"/>
      <x:c r="L2" s="36"/>
    </x:row>
    <x:row r="3">
      <x:c r="B3" s="2" t="str">
        <x:v>Every P90 reservation is treated as executable demand. Held contingency does not become observed credit.</x:v>
      </x:c>
      <x:c r="C3" s="36"/>
      <x:c r="D3" s="36"/>
      <x:c r="E3" s="36"/>
      <x:c r="F3" s="36"/>
      <x:c r="G3" s="36"/>
      <x:c r="H3" s="36"/>
      <x:c r="I3" s="36"/>
      <x:c r="J3" s="36"/>
      <x:c r="K3" s="36"/>
      <x:c r="L3" s="36"/>
    </x:row>
    <x:row r="4">
      <x:c r="B4" s="37"/>
      <x:c r="C4" s="37"/>
      <x:c r="D4" s="37"/>
      <x:c r="E4" s="37"/>
      <x:c r="F4" s="37"/>
      <x:c r="G4" s="37"/>
      <x:c r="H4" s="37"/>
      <x:c r="I4" s="37"/>
      <x:c r="J4" s="37"/>
      <x:c r="K4" s="37"/>
      <x:c r="L4" s="37"/>
    </x:row>
    <x:row r="5">
      <x:c r="B5" s="36"/>
      <x:c r="C5" s="36"/>
      <x:c r="D5" s="36"/>
      <x:c r="E5" s="36"/>
      <x:c r="F5" s="36"/>
      <x:c r="G5" s="36"/>
      <x:c r="H5" s="36"/>
      <x:c r="I5" s="36"/>
      <x:c r="J5" s="36"/>
      <x:c r="K5" s="36"/>
      <x:c r="L5" s="36"/>
    </x:row>
    <x:row r="6">
      <x:c r="B6" s="7" t="str">
        <x:v>Day</x:v>
      </x:c>
      <x:c r="C6" s="7" t="str">
        <x:v>Closure WIP</x:v>
      </x:c>
      <x:c r="D6" s="7" t="str">
        <x:v>Damage WIP</x:v>
      </x:c>
      <x:c r="E6" s="7" t="str">
        <x:v>Closure packet queue</x:v>
      </x:c>
      <x:c r="F6" s="7" t="str">
        <x:v>Damage packet queue</x:v>
      </x:c>
      <x:c r="G6" s="7" t="str">
        <x:v>Closure terminal</x:v>
      </x:c>
      <x:c r="H6" s="7" t="str">
        <x:v>Damage terminal</x:v>
      </x:c>
      <x:c r="I6" s="7" t="str">
        <x:v>Closure gate</x:v>
      </x:c>
      <x:c r="J6" s="7" t="str">
        <x:v>Damage gate</x:v>
      </x:c>
      <x:c r="K6" s="7" t="str">
        <x:v>Queue gate</x:v>
      </x:c>
      <x:c r="L6" s="7" t="str">
        <x:v>Daily gate</x:v>
      </x:c>
    </x:row>
    <x:row r="7">
      <x:c r="B7" s="9" t="n">
        <x:v>91</x:v>
      </x:c>
      <x:c r="C7" s="9" t="n">
        <x:f>COUNTIFS('Residual Schedule'!$C$7:$C$98,"Closure",'Residual Schedule'!$H$7:$H$98,"&lt;="&amp;B7,'Residual Schedule'!$I$7:$I$98,"&gt;"&amp;B7)</x:f>
        <x:v>4</x:v>
      </x:c>
      <x:c r="D7" s="9" t="n">
        <x:f>COUNTIFS('Residual Schedule'!$C$7:$C$98,"Damage",'Residual Schedule'!$H$7:$H$98,"&lt;="&amp;B7,'Residual Schedule'!$I$7:$I$98,"&gt;"&amp;B7)</x:f>
        <x:v>3</x:v>
      </x:c>
      <x:c r="E7" s="9" t="n">
        <x:f>COUNTIFS('Residual Schedule'!$C$7:$C$98,"Closure",'Residual Schedule'!$I$7:$I$98,"&lt;="&amp;B7,'Residual Schedule'!$J$7:$J$98,"&gt;"&amp;B7)</x:f>
        <x:v>0</x:v>
      </x:c>
      <x:c r="F7" s="9" t="n">
        <x:f>COUNTIFS('Residual Schedule'!$C$7:$C$98,"Damage",'Residual Schedule'!$I$7:$I$98,"&lt;="&amp;B7,'Residual Schedule'!$J$7:$J$98,"&gt;"&amp;B7)</x:f>
        <x:v>0</x:v>
      </x:c>
      <x:c r="G7" s="9" t="n">
        <x:f>COUNTIFS('Residual Schedule'!$C$7:$C$98,"Closure",'Residual Schedule'!$J$7:$J$98,"&lt;="&amp;B7)</x:f>
        <x:v>0</x:v>
      </x:c>
      <x:c r="H7" s="9" t="n">
        <x:f>COUNTIFS('Residual Schedule'!$C$7:$C$98,"Damage",'Residual Schedule'!$J$7:$J$98,"&lt;="&amp;B7)</x:f>
        <x:v>0</x:v>
      </x:c>
      <x:c r="I7" s="9" t="str">
        <x:f>IF(C7&lt;='Method Controls'!$D$27,"PASS","FAIL")</x:f>
        <x:v>PASS</x:v>
      </x:c>
      <x:c r="J7" s="9" t="str">
        <x:f>IF(D7&lt;='Method Controls'!$D$28,"PASS","FAIL")</x:f>
        <x:v>PASS</x:v>
      </x:c>
      <x:c r="K7" s="9" t="str">
        <x:f>IF(AND(E7&lt;='Method Controls'!$D$27,F7&lt;='Method Controls'!$D$28),"PASS","FAIL")</x:f>
        <x:v>PASS</x:v>
      </x:c>
      <x:c r="L7" s="9" t="str">
        <x:f>IF(AND(I7="PASS",J7="PASS",K7="PASS"),"PASS","FAIL")</x:f>
        <x:v>PASS</x:v>
      </x:c>
    </x:row>
    <x:row r="8">
      <x:c r="B8" s="9" t="n">
        <x:v>92</x:v>
      </x:c>
      <x:c r="C8" s="9" t="n">
        <x:f>COUNTIFS('Residual Schedule'!$C$7:$C$98,"Closure",'Residual Schedule'!$H$7:$H$98,"&lt;="&amp;B8,'Residual Schedule'!$I$7:$I$98,"&gt;"&amp;B8)</x:f>
        <x:v>4</x:v>
      </x:c>
      <x:c r="D8" s="9" t="n">
        <x:f>COUNTIFS('Residual Schedule'!$C$7:$C$98,"Damage",'Residual Schedule'!$H$7:$H$98,"&lt;="&amp;B8,'Residual Schedule'!$I$7:$I$98,"&gt;"&amp;B8)</x:f>
        <x:v>3</x:v>
      </x:c>
      <x:c r="E8" s="9" t="n">
        <x:f>COUNTIFS('Residual Schedule'!$C$7:$C$98,"Closure",'Residual Schedule'!$I$7:$I$98,"&lt;="&amp;B8,'Residual Schedule'!$J$7:$J$98,"&gt;"&amp;B8)</x:f>
        <x:v>0</x:v>
      </x:c>
      <x:c r="F8" s="9" t="n">
        <x:f>COUNTIFS('Residual Schedule'!$C$7:$C$98,"Damage",'Residual Schedule'!$I$7:$I$98,"&lt;="&amp;B8,'Residual Schedule'!$J$7:$J$98,"&gt;"&amp;B8)</x:f>
        <x:v>0</x:v>
      </x:c>
      <x:c r="G8" s="9" t="n">
        <x:f>COUNTIFS('Residual Schedule'!$C$7:$C$98,"Closure",'Residual Schedule'!$J$7:$J$98,"&lt;="&amp;B8)</x:f>
        <x:v>0</x:v>
      </x:c>
      <x:c r="H8" s="9" t="n">
        <x:f>COUNTIFS('Residual Schedule'!$C$7:$C$98,"Damage",'Residual Schedule'!$J$7:$J$98,"&lt;="&amp;B8)</x:f>
        <x:v>0</x:v>
      </x:c>
      <x:c r="I8" s="9" t="str">
        <x:f>IF(C8&lt;='Method Controls'!$D$27,"PASS","FAIL")</x:f>
        <x:v>PASS</x:v>
      </x:c>
      <x:c r="J8" s="9" t="str">
        <x:f>IF(D8&lt;='Method Controls'!$D$28,"PASS","FAIL")</x:f>
        <x:v>PASS</x:v>
      </x:c>
      <x:c r="K8" s="9" t="str">
        <x:f>IF(AND(E8&lt;='Method Controls'!$D$27,F8&lt;='Method Controls'!$D$28),"PASS","FAIL")</x:f>
        <x:v>PASS</x:v>
      </x:c>
      <x:c r="L8" s="9" t="str">
        <x:f>IF(AND(I8="PASS",J8="PASS",K8="PASS"),"PASS","FAIL")</x:f>
        <x:v>PASS</x:v>
      </x:c>
    </x:row>
    <x:row r="9">
      <x:c r="B9" s="9" t="n">
        <x:v>93</x:v>
      </x:c>
      <x:c r="C9" s="9" t="n">
        <x:f>COUNTIFS('Residual Schedule'!$C$7:$C$98,"Closure",'Residual Schedule'!$H$7:$H$98,"&lt;="&amp;B9,'Residual Schedule'!$I$7:$I$98,"&gt;"&amp;B9)</x:f>
        <x:v>4</x:v>
      </x:c>
      <x:c r="D9" s="9" t="n">
        <x:f>COUNTIFS('Residual Schedule'!$C$7:$C$98,"Damage",'Residual Schedule'!$H$7:$H$98,"&lt;="&amp;B9,'Residual Schedule'!$I$7:$I$98,"&gt;"&amp;B9)</x:f>
        <x:v>3</x:v>
      </x:c>
      <x:c r="E9" s="9" t="n">
        <x:f>COUNTIFS('Residual Schedule'!$C$7:$C$98,"Closure",'Residual Schedule'!$I$7:$I$98,"&lt;="&amp;B9,'Residual Schedule'!$J$7:$J$98,"&gt;"&amp;B9)</x:f>
        <x:v>0</x:v>
      </x:c>
      <x:c r="F9" s="9" t="n">
        <x:f>COUNTIFS('Residual Schedule'!$C$7:$C$98,"Damage",'Residual Schedule'!$I$7:$I$98,"&lt;="&amp;B9,'Residual Schedule'!$J$7:$J$98,"&gt;"&amp;B9)</x:f>
        <x:v>0</x:v>
      </x:c>
      <x:c r="G9" s="9" t="n">
        <x:f>COUNTIFS('Residual Schedule'!$C$7:$C$98,"Closure",'Residual Schedule'!$J$7:$J$98,"&lt;="&amp;B9)</x:f>
        <x:v>0</x:v>
      </x:c>
      <x:c r="H9" s="9" t="n">
        <x:f>COUNTIFS('Residual Schedule'!$C$7:$C$98,"Damage",'Residual Schedule'!$J$7:$J$98,"&lt;="&amp;B9)</x:f>
        <x:v>0</x:v>
      </x:c>
      <x:c r="I9" s="9" t="str">
        <x:f>IF(C9&lt;='Method Controls'!$D$27,"PASS","FAIL")</x:f>
        <x:v>PASS</x:v>
      </x:c>
      <x:c r="J9" s="9" t="str">
        <x:f>IF(D9&lt;='Method Controls'!$D$28,"PASS","FAIL")</x:f>
        <x:v>PASS</x:v>
      </x:c>
      <x:c r="K9" s="9" t="str">
        <x:f>IF(AND(E9&lt;='Method Controls'!$D$27,F9&lt;='Method Controls'!$D$28),"PASS","FAIL")</x:f>
        <x:v>PASS</x:v>
      </x:c>
      <x:c r="L9" s="9" t="str">
        <x:f>IF(AND(I9="PASS",J9="PASS",K9="PASS"),"PASS","FAIL")</x:f>
        <x:v>PASS</x:v>
      </x:c>
    </x:row>
    <x:row r="10">
      <x:c r="B10" s="9" t="n">
        <x:v>94</x:v>
      </x:c>
      <x:c r="C10" s="9" t="n">
        <x:f>COUNTIFS('Residual Schedule'!$C$7:$C$98,"Closure",'Residual Schedule'!$H$7:$H$98,"&lt;="&amp;B10,'Residual Schedule'!$I$7:$I$98,"&gt;"&amp;B10)</x:f>
        <x:v>4</x:v>
      </x:c>
      <x:c r="D10" s="9" t="n">
        <x:f>COUNTIFS('Residual Schedule'!$C$7:$C$98,"Damage",'Residual Schedule'!$H$7:$H$98,"&lt;="&amp;B10,'Residual Schedule'!$I$7:$I$98,"&gt;"&amp;B10)</x:f>
        <x:v>3</x:v>
      </x:c>
      <x:c r="E10" s="9" t="n">
        <x:f>COUNTIFS('Residual Schedule'!$C$7:$C$98,"Closure",'Residual Schedule'!$I$7:$I$98,"&lt;="&amp;B10,'Residual Schedule'!$J$7:$J$98,"&gt;"&amp;B10)</x:f>
        <x:v>0</x:v>
      </x:c>
      <x:c r="F10" s="9" t="n">
        <x:f>COUNTIFS('Residual Schedule'!$C$7:$C$98,"Damage",'Residual Schedule'!$I$7:$I$98,"&lt;="&amp;B10,'Residual Schedule'!$J$7:$J$98,"&gt;"&amp;B10)</x:f>
        <x:v>0</x:v>
      </x:c>
      <x:c r="G10" s="9" t="n">
        <x:f>COUNTIFS('Residual Schedule'!$C$7:$C$98,"Closure",'Residual Schedule'!$J$7:$J$98,"&lt;="&amp;B10)</x:f>
        <x:v>0</x:v>
      </x:c>
      <x:c r="H10" s="9" t="n">
        <x:f>COUNTIFS('Residual Schedule'!$C$7:$C$98,"Damage",'Residual Schedule'!$J$7:$J$98,"&lt;="&amp;B10)</x:f>
        <x:v>0</x:v>
      </x:c>
      <x:c r="I10" s="9" t="str">
        <x:f>IF(C10&lt;='Method Controls'!$D$27,"PASS","FAIL")</x:f>
        <x:v>PASS</x:v>
      </x:c>
      <x:c r="J10" s="9" t="str">
        <x:f>IF(D10&lt;='Method Controls'!$D$28,"PASS","FAIL")</x:f>
        <x:v>PASS</x:v>
      </x:c>
      <x:c r="K10" s="9" t="str">
        <x:f>IF(AND(E10&lt;='Method Controls'!$D$27,F10&lt;='Method Controls'!$D$28),"PASS","FAIL")</x:f>
        <x:v>PASS</x:v>
      </x:c>
      <x:c r="L10" s="9" t="str">
        <x:f>IF(AND(I10="PASS",J10="PASS",K10="PASS"),"PASS","FAIL")</x:f>
        <x:v>PASS</x:v>
      </x:c>
    </x:row>
    <x:row r="11">
      <x:c r="B11" s="9" t="n">
        <x:v>95</x:v>
      </x:c>
      <x:c r="C11" s="9" t="n">
        <x:f>COUNTIFS('Residual Schedule'!$C$7:$C$98,"Closure",'Residual Schedule'!$H$7:$H$98,"&lt;="&amp;B11,'Residual Schedule'!$I$7:$I$98,"&gt;"&amp;B11)</x:f>
        <x:v>4</x:v>
      </x:c>
      <x:c r="D11" s="9" t="n">
        <x:f>COUNTIFS('Residual Schedule'!$C$7:$C$98,"Damage",'Residual Schedule'!$H$7:$H$98,"&lt;="&amp;B11,'Residual Schedule'!$I$7:$I$98,"&gt;"&amp;B11)</x:f>
        <x:v>3</x:v>
      </x:c>
      <x:c r="E11" s="9" t="n">
        <x:f>COUNTIFS('Residual Schedule'!$C$7:$C$98,"Closure",'Residual Schedule'!$I$7:$I$98,"&lt;="&amp;B11,'Residual Schedule'!$J$7:$J$98,"&gt;"&amp;B11)</x:f>
        <x:v>0</x:v>
      </x:c>
      <x:c r="F11" s="9" t="n">
        <x:f>COUNTIFS('Residual Schedule'!$C$7:$C$98,"Damage",'Residual Schedule'!$I$7:$I$98,"&lt;="&amp;B11,'Residual Schedule'!$J$7:$J$98,"&gt;"&amp;B11)</x:f>
        <x:v>0</x:v>
      </x:c>
      <x:c r="G11" s="9" t="n">
        <x:f>COUNTIFS('Residual Schedule'!$C$7:$C$98,"Closure",'Residual Schedule'!$J$7:$J$98,"&lt;="&amp;B11)</x:f>
        <x:v>0</x:v>
      </x:c>
      <x:c r="H11" s="9" t="n">
        <x:f>COUNTIFS('Residual Schedule'!$C$7:$C$98,"Damage",'Residual Schedule'!$J$7:$J$98,"&lt;="&amp;B11)</x:f>
        <x:v>0</x:v>
      </x:c>
      <x:c r="I11" s="9" t="str">
        <x:f>IF(C11&lt;='Method Controls'!$D$27,"PASS","FAIL")</x:f>
        <x:v>PASS</x:v>
      </x:c>
      <x:c r="J11" s="9" t="str">
        <x:f>IF(D11&lt;='Method Controls'!$D$28,"PASS","FAIL")</x:f>
        <x:v>PASS</x:v>
      </x:c>
      <x:c r="K11" s="9" t="str">
        <x:f>IF(AND(E11&lt;='Method Controls'!$D$27,F11&lt;='Method Controls'!$D$28),"PASS","FAIL")</x:f>
        <x:v>PASS</x:v>
      </x:c>
      <x:c r="L11" s="9" t="str">
        <x:f>IF(AND(I11="PASS",J11="PASS",K11="PASS"),"PASS","FAIL")</x:f>
        <x:v>PASS</x:v>
      </x:c>
    </x:row>
    <x:row r="12">
      <x:c r="B12" s="9" t="n">
        <x:v>96</x:v>
      </x:c>
      <x:c r="C12" s="9" t="n">
        <x:f>COUNTIFS('Residual Schedule'!$C$7:$C$98,"Closure",'Residual Schedule'!$H$7:$H$98,"&lt;="&amp;B12,'Residual Schedule'!$I$7:$I$98,"&gt;"&amp;B12)</x:f>
        <x:v>4</x:v>
      </x:c>
      <x:c r="D12" s="9" t="n">
        <x:f>COUNTIFS('Residual Schedule'!$C$7:$C$98,"Damage",'Residual Schedule'!$H$7:$H$98,"&lt;="&amp;B12,'Residual Schedule'!$I$7:$I$98,"&gt;"&amp;B12)</x:f>
        <x:v>3</x:v>
      </x:c>
      <x:c r="E12" s="9" t="n">
        <x:f>COUNTIFS('Residual Schedule'!$C$7:$C$98,"Closure",'Residual Schedule'!$I$7:$I$98,"&lt;="&amp;B12,'Residual Schedule'!$J$7:$J$98,"&gt;"&amp;B12)</x:f>
        <x:v>0</x:v>
      </x:c>
      <x:c r="F12" s="9" t="n">
        <x:f>COUNTIFS('Residual Schedule'!$C$7:$C$98,"Damage",'Residual Schedule'!$I$7:$I$98,"&lt;="&amp;B12,'Residual Schedule'!$J$7:$J$98,"&gt;"&amp;B12)</x:f>
        <x:v>0</x:v>
      </x:c>
      <x:c r="G12" s="9" t="n">
        <x:f>COUNTIFS('Residual Schedule'!$C$7:$C$98,"Closure",'Residual Schedule'!$J$7:$J$98,"&lt;="&amp;B12)</x:f>
        <x:v>0</x:v>
      </x:c>
      <x:c r="H12" s="9" t="n">
        <x:f>COUNTIFS('Residual Schedule'!$C$7:$C$98,"Damage",'Residual Schedule'!$J$7:$J$98,"&lt;="&amp;B12)</x:f>
        <x:v>0</x:v>
      </x:c>
      <x:c r="I12" s="9" t="str">
        <x:f>IF(C12&lt;='Method Controls'!$D$27,"PASS","FAIL")</x:f>
        <x:v>PASS</x:v>
      </x:c>
      <x:c r="J12" s="9" t="str">
        <x:f>IF(D12&lt;='Method Controls'!$D$28,"PASS","FAIL")</x:f>
        <x:v>PASS</x:v>
      </x:c>
      <x:c r="K12" s="9" t="str">
        <x:f>IF(AND(E12&lt;='Method Controls'!$D$27,F12&lt;='Method Controls'!$D$28),"PASS","FAIL")</x:f>
        <x:v>PASS</x:v>
      </x:c>
      <x:c r="L12" s="9" t="str">
        <x:f>IF(AND(I12="PASS",J12="PASS",K12="PASS"),"PASS","FAIL")</x:f>
        <x:v>PASS</x:v>
      </x:c>
    </x:row>
    <x:row r="13">
      <x:c r="B13" s="9" t="n">
        <x:v>97</x:v>
      </x:c>
      <x:c r="C13" s="9" t="n">
        <x:f>COUNTIFS('Residual Schedule'!$C$7:$C$98,"Closure",'Residual Schedule'!$H$7:$H$98,"&lt;="&amp;B13,'Residual Schedule'!$I$7:$I$98,"&gt;"&amp;B13)</x:f>
        <x:v>4</x:v>
      </x:c>
      <x:c r="D13" s="9" t="n">
        <x:f>COUNTIFS('Residual Schedule'!$C$7:$C$98,"Damage",'Residual Schedule'!$H$7:$H$98,"&lt;="&amp;B13,'Residual Schedule'!$I$7:$I$98,"&gt;"&amp;B13)</x:f>
        <x:v>3</x:v>
      </x:c>
      <x:c r="E13" s="9" t="n">
        <x:f>COUNTIFS('Residual Schedule'!$C$7:$C$98,"Closure",'Residual Schedule'!$I$7:$I$98,"&lt;="&amp;B13,'Residual Schedule'!$J$7:$J$98,"&gt;"&amp;B13)</x:f>
        <x:v>0</x:v>
      </x:c>
      <x:c r="F13" s="9" t="n">
        <x:f>COUNTIFS('Residual Schedule'!$C$7:$C$98,"Damage",'Residual Schedule'!$I$7:$I$98,"&lt;="&amp;B13,'Residual Schedule'!$J$7:$J$98,"&gt;"&amp;B13)</x:f>
        <x:v>0</x:v>
      </x:c>
      <x:c r="G13" s="9" t="n">
        <x:f>COUNTIFS('Residual Schedule'!$C$7:$C$98,"Closure",'Residual Schedule'!$J$7:$J$98,"&lt;="&amp;B13)</x:f>
        <x:v>0</x:v>
      </x:c>
      <x:c r="H13" s="9" t="n">
        <x:f>COUNTIFS('Residual Schedule'!$C$7:$C$98,"Damage",'Residual Schedule'!$J$7:$J$98,"&lt;="&amp;B13)</x:f>
        <x:v>0</x:v>
      </x:c>
      <x:c r="I13" s="9" t="str">
        <x:f>IF(C13&lt;='Method Controls'!$D$27,"PASS","FAIL")</x:f>
        <x:v>PASS</x:v>
      </x:c>
      <x:c r="J13" s="9" t="str">
        <x:f>IF(D13&lt;='Method Controls'!$D$28,"PASS","FAIL")</x:f>
        <x:v>PASS</x:v>
      </x:c>
      <x:c r="K13" s="9" t="str">
        <x:f>IF(AND(E13&lt;='Method Controls'!$D$27,F13&lt;='Method Controls'!$D$28),"PASS","FAIL")</x:f>
        <x:v>PASS</x:v>
      </x:c>
      <x:c r="L13" s="9" t="str">
        <x:f>IF(AND(I13="PASS",J13="PASS",K13="PASS"),"PASS","FAIL")</x:f>
        <x:v>PASS</x:v>
      </x:c>
    </x:row>
    <x:row r="14">
      <x:c r="B14" s="9" t="n">
        <x:v>98</x:v>
      </x:c>
      <x:c r="C14" s="9" t="n">
        <x:f>COUNTIFS('Residual Schedule'!$C$7:$C$98,"Closure",'Residual Schedule'!$H$7:$H$98,"&lt;="&amp;B14,'Residual Schedule'!$I$7:$I$98,"&gt;"&amp;B14)</x:f>
        <x:v>4</x:v>
      </x:c>
      <x:c r="D14" s="9" t="n">
        <x:f>COUNTIFS('Residual Schedule'!$C$7:$C$98,"Damage",'Residual Schedule'!$H$7:$H$98,"&lt;="&amp;B14,'Residual Schedule'!$I$7:$I$98,"&gt;"&amp;B14)</x:f>
        <x:v>3</x:v>
      </x:c>
      <x:c r="E14" s="9" t="n">
        <x:f>COUNTIFS('Residual Schedule'!$C$7:$C$98,"Closure",'Residual Schedule'!$I$7:$I$98,"&lt;="&amp;B14,'Residual Schedule'!$J$7:$J$98,"&gt;"&amp;B14)</x:f>
        <x:v>0</x:v>
      </x:c>
      <x:c r="F14" s="9" t="n">
        <x:f>COUNTIFS('Residual Schedule'!$C$7:$C$98,"Damage",'Residual Schedule'!$I$7:$I$98,"&lt;="&amp;B14,'Residual Schedule'!$J$7:$J$98,"&gt;"&amp;B14)</x:f>
        <x:v>0</x:v>
      </x:c>
      <x:c r="G14" s="9" t="n">
        <x:f>COUNTIFS('Residual Schedule'!$C$7:$C$98,"Closure",'Residual Schedule'!$J$7:$J$98,"&lt;="&amp;B14)</x:f>
        <x:v>0</x:v>
      </x:c>
      <x:c r="H14" s="9" t="n">
        <x:f>COUNTIFS('Residual Schedule'!$C$7:$C$98,"Damage",'Residual Schedule'!$J$7:$J$98,"&lt;="&amp;B14)</x:f>
        <x:v>0</x:v>
      </x:c>
      <x:c r="I14" s="9" t="str">
        <x:f>IF(C14&lt;='Method Controls'!$D$27,"PASS","FAIL")</x:f>
        <x:v>PASS</x:v>
      </x:c>
      <x:c r="J14" s="9" t="str">
        <x:f>IF(D14&lt;='Method Controls'!$D$28,"PASS","FAIL")</x:f>
        <x:v>PASS</x:v>
      </x:c>
      <x:c r="K14" s="9" t="str">
        <x:f>IF(AND(E14&lt;='Method Controls'!$D$27,F14&lt;='Method Controls'!$D$28),"PASS","FAIL")</x:f>
        <x:v>PASS</x:v>
      </x:c>
      <x:c r="L14" s="9" t="str">
        <x:f>IF(AND(I14="PASS",J14="PASS",K14="PASS"),"PASS","FAIL")</x:f>
        <x:v>PASS</x:v>
      </x:c>
    </x:row>
    <x:row r="15">
      <x:c r="B15" s="9" t="n">
        <x:v>99</x:v>
      </x:c>
      <x:c r="C15" s="9" t="n">
        <x:f>COUNTIFS('Residual Schedule'!$C$7:$C$98,"Closure",'Residual Schedule'!$H$7:$H$98,"&lt;="&amp;B15,'Residual Schedule'!$I$7:$I$98,"&gt;"&amp;B15)</x:f>
        <x:v>4</x:v>
      </x:c>
      <x:c r="D15" s="9" t="n">
        <x:f>COUNTIFS('Residual Schedule'!$C$7:$C$98,"Damage",'Residual Schedule'!$H$7:$H$98,"&lt;="&amp;B15,'Residual Schedule'!$I$7:$I$98,"&gt;"&amp;B15)</x:f>
        <x:v>3</x:v>
      </x:c>
      <x:c r="E15" s="9" t="n">
        <x:f>COUNTIFS('Residual Schedule'!$C$7:$C$98,"Closure",'Residual Schedule'!$I$7:$I$98,"&lt;="&amp;B15,'Residual Schedule'!$J$7:$J$98,"&gt;"&amp;B15)</x:f>
        <x:v>0</x:v>
      </x:c>
      <x:c r="F15" s="9" t="n">
        <x:f>COUNTIFS('Residual Schedule'!$C$7:$C$98,"Damage",'Residual Schedule'!$I$7:$I$98,"&lt;="&amp;B15,'Residual Schedule'!$J$7:$J$98,"&gt;"&amp;B15)</x:f>
        <x:v>0</x:v>
      </x:c>
      <x:c r="G15" s="9" t="n">
        <x:f>COUNTIFS('Residual Schedule'!$C$7:$C$98,"Closure",'Residual Schedule'!$J$7:$J$98,"&lt;="&amp;B15)</x:f>
        <x:v>0</x:v>
      </x:c>
      <x:c r="H15" s="9" t="n">
        <x:f>COUNTIFS('Residual Schedule'!$C$7:$C$98,"Damage",'Residual Schedule'!$J$7:$J$98,"&lt;="&amp;B15)</x:f>
        <x:v>0</x:v>
      </x:c>
      <x:c r="I15" s="9" t="str">
        <x:f>IF(C15&lt;='Method Controls'!$D$27,"PASS","FAIL")</x:f>
        <x:v>PASS</x:v>
      </x:c>
      <x:c r="J15" s="9" t="str">
        <x:f>IF(D15&lt;='Method Controls'!$D$28,"PASS","FAIL")</x:f>
        <x:v>PASS</x:v>
      </x:c>
      <x:c r="K15" s="9" t="str">
        <x:f>IF(AND(E15&lt;='Method Controls'!$D$27,F15&lt;='Method Controls'!$D$28),"PASS","FAIL")</x:f>
        <x:v>PASS</x:v>
      </x:c>
      <x:c r="L15" s="9" t="str">
        <x:f>IF(AND(I15="PASS",J15="PASS",K15="PASS"),"PASS","FAIL")</x:f>
        <x:v>PASS</x:v>
      </x:c>
    </x:row>
    <x:row r="16">
      <x:c r="B16" s="9" t="n">
        <x:v>100</x:v>
      </x:c>
      <x:c r="C16" s="9" t="n">
        <x:f>COUNTIFS('Residual Schedule'!$C$7:$C$98,"Closure",'Residual Schedule'!$H$7:$H$98,"&lt;="&amp;B16,'Residual Schedule'!$I$7:$I$98,"&gt;"&amp;B16)</x:f>
        <x:v>0</x:v>
      </x:c>
      <x:c r="D16" s="9" t="n">
        <x:f>COUNTIFS('Residual Schedule'!$C$7:$C$98,"Damage",'Residual Schedule'!$H$7:$H$98,"&lt;="&amp;B16,'Residual Schedule'!$I$7:$I$98,"&gt;"&amp;B16)</x:f>
        <x:v>3</x:v>
      </x:c>
      <x:c r="E16" s="9" t="n">
        <x:f>COUNTIFS('Residual Schedule'!$C$7:$C$98,"Closure",'Residual Schedule'!$I$7:$I$98,"&lt;="&amp;B16,'Residual Schedule'!$J$7:$J$98,"&gt;"&amp;B16)</x:f>
        <x:v>4</x:v>
      </x:c>
      <x:c r="F16" s="9" t="n">
        <x:f>COUNTIFS('Residual Schedule'!$C$7:$C$98,"Damage",'Residual Schedule'!$I$7:$I$98,"&lt;="&amp;B16,'Residual Schedule'!$J$7:$J$98,"&gt;"&amp;B16)</x:f>
        <x:v>0</x:v>
      </x:c>
      <x:c r="G16" s="9" t="n">
        <x:f>COUNTIFS('Residual Schedule'!$C$7:$C$98,"Closure",'Residual Schedule'!$J$7:$J$98,"&lt;="&amp;B16)</x:f>
        <x:v>0</x:v>
      </x:c>
      <x:c r="H16" s="9" t="n">
        <x:f>COUNTIFS('Residual Schedule'!$C$7:$C$98,"Damage",'Residual Schedule'!$J$7:$J$98,"&lt;="&amp;B16)</x:f>
        <x:v>0</x:v>
      </x:c>
      <x:c r="I16" s="9" t="str">
        <x:f>IF(C16&lt;='Method Controls'!$D$27,"PASS","FAIL")</x:f>
        <x:v>PASS</x:v>
      </x:c>
      <x:c r="J16" s="9" t="str">
        <x:f>IF(D16&lt;='Method Controls'!$D$28,"PASS","FAIL")</x:f>
        <x:v>PASS</x:v>
      </x:c>
      <x:c r="K16" s="9" t="str">
        <x:f>IF(AND(E16&lt;='Method Controls'!$D$27,F16&lt;='Method Controls'!$D$28),"PASS","FAIL")</x:f>
        <x:v>PASS</x:v>
      </x:c>
      <x:c r="L16" s="9" t="str">
        <x:f>IF(AND(I16="PASS",J16="PASS",K16="PASS"),"PASS","FAIL")</x:f>
        <x:v>PASS</x:v>
      </x:c>
    </x:row>
    <x:row r="17">
      <x:c r="B17" s="9" t="n">
        <x:v>101</x:v>
      </x:c>
      <x:c r="C17" s="9" t="n">
        <x:f>COUNTIFS('Residual Schedule'!$C$7:$C$98,"Closure",'Residual Schedule'!$H$7:$H$98,"&lt;="&amp;B17,'Residual Schedule'!$I$7:$I$98,"&gt;"&amp;B17)</x:f>
        <x:v>0</x:v>
      </x:c>
      <x:c r="D17" s="9" t="n">
        <x:f>COUNTIFS('Residual Schedule'!$C$7:$C$98,"Damage",'Residual Schedule'!$H$7:$H$98,"&lt;="&amp;B17,'Residual Schedule'!$I$7:$I$98,"&gt;"&amp;B17)</x:f>
        <x:v>3</x:v>
      </x:c>
      <x:c r="E17" s="9" t="n">
        <x:f>COUNTIFS('Residual Schedule'!$C$7:$C$98,"Closure",'Residual Schedule'!$I$7:$I$98,"&lt;="&amp;B17,'Residual Schedule'!$J$7:$J$98,"&gt;"&amp;B17)</x:f>
        <x:v>4</x:v>
      </x:c>
      <x:c r="F17" s="9" t="n">
        <x:f>COUNTIFS('Residual Schedule'!$C$7:$C$98,"Damage",'Residual Schedule'!$I$7:$I$98,"&lt;="&amp;B17,'Residual Schedule'!$J$7:$J$98,"&gt;"&amp;B17)</x:f>
        <x:v>0</x:v>
      </x:c>
      <x:c r="G17" s="9" t="n">
        <x:f>COUNTIFS('Residual Schedule'!$C$7:$C$98,"Closure",'Residual Schedule'!$J$7:$J$98,"&lt;="&amp;B17)</x:f>
        <x:v>0</x:v>
      </x:c>
      <x:c r="H17" s="9" t="n">
        <x:f>COUNTIFS('Residual Schedule'!$C$7:$C$98,"Damage",'Residual Schedule'!$J$7:$J$98,"&lt;="&amp;B17)</x:f>
        <x:v>0</x:v>
      </x:c>
      <x:c r="I17" s="9" t="str">
        <x:f>IF(C17&lt;='Method Controls'!$D$27,"PASS","FAIL")</x:f>
        <x:v>PASS</x:v>
      </x:c>
      <x:c r="J17" s="9" t="str">
        <x:f>IF(D17&lt;='Method Controls'!$D$28,"PASS","FAIL")</x:f>
        <x:v>PASS</x:v>
      </x:c>
      <x:c r="K17" s="9" t="str">
        <x:f>IF(AND(E17&lt;='Method Controls'!$D$27,F17&lt;='Method Controls'!$D$28),"PASS","FAIL")</x:f>
        <x:v>PASS</x:v>
      </x:c>
      <x:c r="L17" s="9" t="str">
        <x:f>IF(AND(I17="PASS",J17="PASS",K17="PASS"),"PASS","FAIL")</x:f>
        <x:v>PASS</x:v>
      </x:c>
    </x:row>
    <x:row r="18">
      <x:c r="B18" s="9" t="n">
        <x:v>102</x:v>
      </x:c>
      <x:c r="C18" s="9" t="n">
        <x:f>COUNTIFS('Residual Schedule'!$C$7:$C$98,"Closure",'Residual Schedule'!$H$7:$H$98,"&lt;="&amp;B18,'Residual Schedule'!$I$7:$I$98,"&gt;"&amp;B18)</x:f>
        <x:v>0</x:v>
      </x:c>
      <x:c r="D18" s="9" t="n">
        <x:f>COUNTIFS('Residual Schedule'!$C$7:$C$98,"Damage",'Residual Schedule'!$H$7:$H$98,"&lt;="&amp;B18,'Residual Schedule'!$I$7:$I$98,"&gt;"&amp;B18)</x:f>
        <x:v>3</x:v>
      </x:c>
      <x:c r="E18" s="9" t="n">
        <x:f>COUNTIFS('Residual Schedule'!$C$7:$C$98,"Closure",'Residual Schedule'!$I$7:$I$98,"&lt;="&amp;B18,'Residual Schedule'!$J$7:$J$98,"&gt;"&amp;B18)</x:f>
        <x:v>4</x:v>
      </x:c>
      <x:c r="F18" s="9" t="n">
        <x:f>COUNTIFS('Residual Schedule'!$C$7:$C$98,"Damage",'Residual Schedule'!$I$7:$I$98,"&lt;="&amp;B18,'Residual Schedule'!$J$7:$J$98,"&gt;"&amp;B18)</x:f>
        <x:v>0</x:v>
      </x:c>
      <x:c r="G18" s="9" t="n">
        <x:f>COUNTIFS('Residual Schedule'!$C$7:$C$98,"Closure",'Residual Schedule'!$J$7:$J$98,"&lt;="&amp;B18)</x:f>
        <x:v>0</x:v>
      </x:c>
      <x:c r="H18" s="9" t="n">
        <x:f>COUNTIFS('Residual Schedule'!$C$7:$C$98,"Damage",'Residual Schedule'!$J$7:$J$98,"&lt;="&amp;B18)</x:f>
        <x:v>0</x:v>
      </x:c>
      <x:c r="I18" s="9" t="str">
        <x:f>IF(C18&lt;='Method Controls'!$D$27,"PASS","FAIL")</x:f>
        <x:v>PASS</x:v>
      </x:c>
      <x:c r="J18" s="9" t="str">
        <x:f>IF(D18&lt;='Method Controls'!$D$28,"PASS","FAIL")</x:f>
        <x:v>PASS</x:v>
      </x:c>
      <x:c r="K18" s="9" t="str">
        <x:f>IF(AND(E18&lt;='Method Controls'!$D$27,F18&lt;='Method Controls'!$D$28),"PASS","FAIL")</x:f>
        <x:v>PASS</x:v>
      </x:c>
      <x:c r="L18" s="9" t="str">
        <x:f>IF(AND(I18="PASS",J18="PASS",K18="PASS"),"PASS","FAIL")</x:f>
        <x:v>PASS</x:v>
      </x:c>
    </x:row>
    <x:row r="19">
      <x:c r="B19" s="9" t="n">
        <x:v>103</x:v>
      </x:c>
      <x:c r="C19" s="9" t="n">
        <x:f>COUNTIFS('Residual Schedule'!$C$7:$C$98,"Closure",'Residual Schedule'!$H$7:$H$98,"&lt;="&amp;B19,'Residual Schedule'!$I$7:$I$98,"&gt;"&amp;B19)</x:f>
        <x:v>0</x:v>
      </x:c>
      <x:c r="D19" s="9" t="n">
        <x:f>COUNTIFS('Residual Schedule'!$C$7:$C$98,"Damage",'Residual Schedule'!$H$7:$H$98,"&lt;="&amp;B19,'Residual Schedule'!$I$7:$I$98,"&gt;"&amp;B19)</x:f>
        <x:v>3</x:v>
      </x:c>
      <x:c r="E19" s="9" t="n">
        <x:f>COUNTIFS('Residual Schedule'!$C$7:$C$98,"Closure",'Residual Schedule'!$I$7:$I$98,"&lt;="&amp;B19,'Residual Schedule'!$J$7:$J$98,"&gt;"&amp;B19)</x:f>
        <x:v>4</x:v>
      </x:c>
      <x:c r="F19" s="9" t="n">
        <x:f>COUNTIFS('Residual Schedule'!$C$7:$C$98,"Damage",'Residual Schedule'!$I$7:$I$98,"&lt;="&amp;B19,'Residual Schedule'!$J$7:$J$98,"&gt;"&amp;B19)</x:f>
        <x:v>0</x:v>
      </x:c>
      <x:c r="G19" s="9" t="n">
        <x:f>COUNTIFS('Residual Schedule'!$C$7:$C$98,"Closure",'Residual Schedule'!$J$7:$J$98,"&lt;="&amp;B19)</x:f>
        <x:v>0</x:v>
      </x:c>
      <x:c r="H19" s="9" t="n">
        <x:f>COUNTIFS('Residual Schedule'!$C$7:$C$98,"Damage",'Residual Schedule'!$J$7:$J$98,"&lt;="&amp;B19)</x:f>
        <x:v>0</x:v>
      </x:c>
      <x:c r="I19" s="9" t="str">
        <x:f>IF(C19&lt;='Method Controls'!$D$27,"PASS","FAIL")</x:f>
        <x:v>PASS</x:v>
      </x:c>
      <x:c r="J19" s="9" t="str">
        <x:f>IF(D19&lt;='Method Controls'!$D$28,"PASS","FAIL")</x:f>
        <x:v>PASS</x:v>
      </x:c>
      <x:c r="K19" s="9" t="str">
        <x:f>IF(AND(E19&lt;='Method Controls'!$D$27,F19&lt;='Method Controls'!$D$28),"PASS","FAIL")</x:f>
        <x:v>PASS</x:v>
      </x:c>
      <x:c r="L19" s="9" t="str">
        <x:f>IF(AND(I19="PASS",J19="PASS",K19="PASS"),"PASS","FAIL")</x:f>
        <x:v>PASS</x:v>
      </x:c>
    </x:row>
    <x:row r="20">
      <x:c r="B20" s="9" t="n">
        <x:v>104</x:v>
      </x:c>
      <x:c r="C20" s="9" t="n">
        <x:f>COUNTIFS('Residual Schedule'!$C$7:$C$98,"Closure",'Residual Schedule'!$H$7:$H$98,"&lt;="&amp;B20,'Residual Schedule'!$I$7:$I$98,"&gt;"&amp;B20)</x:f>
        <x:v>4</x:v>
      </x:c>
      <x:c r="D20" s="9" t="n">
        <x:f>COUNTIFS('Residual Schedule'!$C$7:$C$98,"Damage",'Residual Schedule'!$H$7:$H$98,"&lt;="&amp;B20,'Residual Schedule'!$I$7:$I$98,"&gt;"&amp;B20)</x:f>
        <x:v>3</x:v>
      </x:c>
      <x:c r="E20" s="9" t="n">
        <x:f>COUNTIFS('Residual Schedule'!$C$7:$C$98,"Closure",'Residual Schedule'!$I$7:$I$98,"&lt;="&amp;B20,'Residual Schedule'!$J$7:$J$98,"&gt;"&amp;B20)</x:f>
        <x:v>4</x:v>
      </x:c>
      <x:c r="F20" s="9" t="n">
        <x:f>COUNTIFS('Residual Schedule'!$C$7:$C$98,"Damage",'Residual Schedule'!$I$7:$I$98,"&lt;="&amp;B20,'Residual Schedule'!$J$7:$J$98,"&gt;"&amp;B20)</x:f>
        <x:v>0</x:v>
      </x:c>
      <x:c r="G20" s="9" t="n">
        <x:f>COUNTIFS('Residual Schedule'!$C$7:$C$98,"Closure",'Residual Schedule'!$J$7:$J$98,"&lt;="&amp;B20)</x:f>
        <x:v>0</x:v>
      </x:c>
      <x:c r="H20" s="9" t="n">
        <x:f>COUNTIFS('Residual Schedule'!$C$7:$C$98,"Damage",'Residual Schedule'!$J$7:$J$98,"&lt;="&amp;B20)</x:f>
        <x:v>0</x:v>
      </x:c>
      <x:c r="I20" s="9" t="str">
        <x:f>IF(C20&lt;='Method Controls'!$D$27,"PASS","FAIL")</x:f>
        <x:v>PASS</x:v>
      </x:c>
      <x:c r="J20" s="9" t="str">
        <x:f>IF(D20&lt;='Method Controls'!$D$28,"PASS","FAIL")</x:f>
        <x:v>PASS</x:v>
      </x:c>
      <x:c r="K20" s="9" t="str">
        <x:f>IF(AND(E20&lt;='Method Controls'!$D$27,F20&lt;='Method Controls'!$D$28),"PASS","FAIL")</x:f>
        <x:v>PASS</x:v>
      </x:c>
      <x:c r="L20" s="9" t="str">
        <x:f>IF(AND(I20="PASS",J20="PASS",K20="PASS"),"PASS","FAIL")</x:f>
        <x:v>PASS</x:v>
      </x:c>
    </x:row>
    <x:row r="21">
      <x:c r="B21" s="9" t="n">
        <x:v>105</x:v>
      </x:c>
      <x:c r="C21" s="9" t="n">
        <x:f>COUNTIFS('Residual Schedule'!$C$7:$C$98,"Closure",'Residual Schedule'!$H$7:$H$98,"&lt;="&amp;B21,'Residual Schedule'!$I$7:$I$98,"&gt;"&amp;B21)</x:f>
        <x:v>4</x:v>
      </x:c>
      <x:c r="D21" s="9" t="n">
        <x:f>COUNTIFS('Residual Schedule'!$C$7:$C$98,"Damage",'Residual Schedule'!$H$7:$H$98,"&lt;="&amp;B21,'Residual Schedule'!$I$7:$I$98,"&gt;"&amp;B21)</x:f>
        <x:v>3</x:v>
      </x:c>
      <x:c r="E21" s="9" t="n">
        <x:f>COUNTIFS('Residual Schedule'!$C$7:$C$98,"Closure",'Residual Schedule'!$I$7:$I$98,"&lt;="&amp;B21,'Residual Schedule'!$J$7:$J$98,"&gt;"&amp;B21)</x:f>
        <x:v>4</x:v>
      </x:c>
      <x:c r="F21" s="9" t="n">
        <x:f>COUNTIFS('Residual Schedule'!$C$7:$C$98,"Damage",'Residual Schedule'!$I$7:$I$98,"&lt;="&amp;B21,'Residual Schedule'!$J$7:$J$98,"&gt;"&amp;B21)</x:f>
        <x:v>0</x:v>
      </x:c>
      <x:c r="G21" s="9" t="n">
        <x:f>COUNTIFS('Residual Schedule'!$C$7:$C$98,"Closure",'Residual Schedule'!$J$7:$J$98,"&lt;="&amp;B21)</x:f>
        <x:v>0</x:v>
      </x:c>
      <x:c r="H21" s="9" t="n">
        <x:f>COUNTIFS('Residual Schedule'!$C$7:$C$98,"Damage",'Residual Schedule'!$J$7:$J$98,"&lt;="&amp;B21)</x:f>
        <x:v>0</x:v>
      </x:c>
      <x:c r="I21" s="9" t="str">
        <x:f>IF(C21&lt;='Method Controls'!$D$27,"PASS","FAIL")</x:f>
        <x:v>PASS</x:v>
      </x:c>
      <x:c r="J21" s="9" t="str">
        <x:f>IF(D21&lt;='Method Controls'!$D$28,"PASS","FAIL")</x:f>
        <x:v>PASS</x:v>
      </x:c>
      <x:c r="K21" s="9" t="str">
        <x:f>IF(AND(E21&lt;='Method Controls'!$D$27,F21&lt;='Method Controls'!$D$28),"PASS","FAIL")</x:f>
        <x:v>PASS</x:v>
      </x:c>
      <x:c r="L21" s="9" t="str">
        <x:f>IF(AND(I21="PASS",J21="PASS",K21="PASS"),"PASS","FAIL")</x:f>
        <x:v>PASS</x:v>
      </x:c>
    </x:row>
    <x:row r="22">
      <x:c r="B22" s="9" t="n">
        <x:v>106</x:v>
      </x:c>
      <x:c r="C22" s="9" t="n">
        <x:f>COUNTIFS('Residual Schedule'!$C$7:$C$98,"Closure",'Residual Schedule'!$H$7:$H$98,"&lt;="&amp;B22,'Residual Schedule'!$I$7:$I$98,"&gt;"&amp;B22)</x:f>
        <x:v>4</x:v>
      </x:c>
      <x:c r="D22" s="9" t="n">
        <x:f>COUNTIFS('Residual Schedule'!$C$7:$C$98,"Damage",'Residual Schedule'!$H$7:$H$98,"&lt;="&amp;B22,'Residual Schedule'!$I$7:$I$98,"&gt;"&amp;B22)</x:f>
        <x:v>3</x:v>
      </x:c>
      <x:c r="E22" s="9" t="n">
        <x:f>COUNTIFS('Residual Schedule'!$C$7:$C$98,"Closure",'Residual Schedule'!$I$7:$I$98,"&lt;="&amp;B22,'Residual Schedule'!$J$7:$J$98,"&gt;"&amp;B22)</x:f>
        <x:v>4</x:v>
      </x:c>
      <x:c r="F22" s="9" t="n">
        <x:f>COUNTIFS('Residual Schedule'!$C$7:$C$98,"Damage",'Residual Schedule'!$I$7:$I$98,"&lt;="&amp;B22,'Residual Schedule'!$J$7:$J$98,"&gt;"&amp;B22)</x:f>
        <x:v>0</x:v>
      </x:c>
      <x:c r="G22" s="9" t="n">
        <x:f>COUNTIFS('Residual Schedule'!$C$7:$C$98,"Closure",'Residual Schedule'!$J$7:$J$98,"&lt;="&amp;B22)</x:f>
        <x:v>0</x:v>
      </x:c>
      <x:c r="H22" s="9" t="n">
        <x:f>COUNTIFS('Residual Schedule'!$C$7:$C$98,"Damage",'Residual Schedule'!$J$7:$J$98,"&lt;="&amp;B22)</x:f>
        <x:v>0</x:v>
      </x:c>
      <x:c r="I22" s="9" t="str">
        <x:f>IF(C22&lt;='Method Controls'!$D$27,"PASS","FAIL")</x:f>
        <x:v>PASS</x:v>
      </x:c>
      <x:c r="J22" s="9" t="str">
        <x:f>IF(D22&lt;='Method Controls'!$D$28,"PASS","FAIL")</x:f>
        <x:v>PASS</x:v>
      </x:c>
      <x:c r="K22" s="9" t="str">
        <x:f>IF(AND(E22&lt;='Method Controls'!$D$27,F22&lt;='Method Controls'!$D$28),"PASS","FAIL")</x:f>
        <x:v>PASS</x:v>
      </x:c>
      <x:c r="L22" s="9" t="str">
        <x:f>IF(AND(I22="PASS",J22="PASS",K22="PASS"),"PASS","FAIL")</x:f>
        <x:v>PASS</x:v>
      </x:c>
    </x:row>
    <x:row r="23">
      <x:c r="B23" s="9" t="n">
        <x:v>107</x:v>
      </x:c>
      <x:c r="C23" s="9" t="n">
        <x:f>COUNTIFS('Residual Schedule'!$C$7:$C$98,"Closure",'Residual Schedule'!$H$7:$H$98,"&lt;="&amp;B23,'Residual Schedule'!$I$7:$I$98,"&gt;"&amp;B23)</x:f>
        <x:v>4</x:v>
      </x:c>
      <x:c r="D23" s="9" t="n">
        <x:f>COUNTIFS('Residual Schedule'!$C$7:$C$98,"Damage",'Residual Schedule'!$H$7:$H$98,"&lt;="&amp;B23,'Residual Schedule'!$I$7:$I$98,"&gt;"&amp;B23)</x:f>
        <x:v>0</x:v>
      </x:c>
      <x:c r="E23" s="9" t="n">
        <x:f>COUNTIFS('Residual Schedule'!$C$7:$C$98,"Closure",'Residual Schedule'!$I$7:$I$98,"&lt;="&amp;B23,'Residual Schedule'!$J$7:$J$98,"&gt;"&amp;B23)</x:f>
        <x:v>0</x:v>
      </x:c>
      <x:c r="F23" s="9" t="n">
        <x:f>COUNTIFS('Residual Schedule'!$C$7:$C$98,"Damage",'Residual Schedule'!$I$7:$I$98,"&lt;="&amp;B23,'Residual Schedule'!$J$7:$J$98,"&gt;"&amp;B23)</x:f>
        <x:v>3</x:v>
      </x:c>
      <x:c r="G23" s="9" t="n">
        <x:f>COUNTIFS('Residual Schedule'!$C$7:$C$98,"Closure",'Residual Schedule'!$J$7:$J$98,"&lt;="&amp;B23)</x:f>
        <x:v>4</x:v>
      </x:c>
      <x:c r="H23" s="9" t="n">
        <x:f>COUNTIFS('Residual Schedule'!$C$7:$C$98,"Damage",'Residual Schedule'!$J$7:$J$98,"&lt;="&amp;B23)</x:f>
        <x:v>0</x:v>
      </x:c>
      <x:c r="I23" s="9" t="str">
        <x:f>IF(C23&lt;='Method Controls'!$D$27,"PASS","FAIL")</x:f>
        <x:v>PASS</x:v>
      </x:c>
      <x:c r="J23" s="9" t="str">
        <x:f>IF(D23&lt;='Method Controls'!$D$28,"PASS","FAIL")</x:f>
        <x:v>PASS</x:v>
      </x:c>
      <x:c r="K23" s="9" t="str">
        <x:f>IF(AND(E23&lt;='Method Controls'!$D$27,F23&lt;='Method Controls'!$D$28),"PASS","FAIL")</x:f>
        <x:v>PASS</x:v>
      </x:c>
      <x:c r="L23" s="9" t="str">
        <x:f>IF(AND(I23="PASS",J23="PASS",K23="PASS"),"PASS","FAIL")</x:f>
        <x:v>PASS</x:v>
      </x:c>
    </x:row>
    <x:row r="24">
      <x:c r="B24" s="9" t="n">
        <x:v>108</x:v>
      </x:c>
      <x:c r="C24" s="9" t="n">
        <x:f>COUNTIFS('Residual Schedule'!$C$7:$C$98,"Closure",'Residual Schedule'!$H$7:$H$98,"&lt;="&amp;B24,'Residual Schedule'!$I$7:$I$98,"&gt;"&amp;B24)</x:f>
        <x:v>4</x:v>
      </x:c>
      <x:c r="D24" s="9" t="n">
        <x:f>COUNTIFS('Residual Schedule'!$C$7:$C$98,"Damage",'Residual Schedule'!$H$7:$H$98,"&lt;="&amp;B24,'Residual Schedule'!$I$7:$I$98,"&gt;"&amp;B24)</x:f>
        <x:v>0</x:v>
      </x:c>
      <x:c r="E24" s="9" t="n">
        <x:f>COUNTIFS('Residual Schedule'!$C$7:$C$98,"Closure",'Residual Schedule'!$I$7:$I$98,"&lt;="&amp;B24,'Residual Schedule'!$J$7:$J$98,"&gt;"&amp;B24)</x:f>
        <x:v>0</x:v>
      </x:c>
      <x:c r="F24" s="9" t="n">
        <x:f>COUNTIFS('Residual Schedule'!$C$7:$C$98,"Damage",'Residual Schedule'!$I$7:$I$98,"&lt;="&amp;B24,'Residual Schedule'!$J$7:$J$98,"&gt;"&amp;B24)</x:f>
        <x:v>3</x:v>
      </x:c>
      <x:c r="G24" s="9" t="n">
        <x:f>COUNTIFS('Residual Schedule'!$C$7:$C$98,"Closure",'Residual Schedule'!$J$7:$J$98,"&lt;="&amp;B24)</x:f>
        <x:v>4</x:v>
      </x:c>
      <x:c r="H24" s="9" t="n">
        <x:f>COUNTIFS('Residual Schedule'!$C$7:$C$98,"Damage",'Residual Schedule'!$J$7:$J$98,"&lt;="&amp;B24)</x:f>
        <x:v>0</x:v>
      </x:c>
      <x:c r="I24" s="9" t="str">
        <x:f>IF(C24&lt;='Method Controls'!$D$27,"PASS","FAIL")</x:f>
        <x:v>PASS</x:v>
      </x:c>
      <x:c r="J24" s="9" t="str">
        <x:f>IF(D24&lt;='Method Controls'!$D$28,"PASS","FAIL")</x:f>
        <x:v>PASS</x:v>
      </x:c>
      <x:c r="K24" s="9" t="str">
        <x:f>IF(AND(E24&lt;='Method Controls'!$D$27,F24&lt;='Method Controls'!$D$28),"PASS","FAIL")</x:f>
        <x:v>PASS</x:v>
      </x:c>
      <x:c r="L24" s="9" t="str">
        <x:f>IF(AND(I24="PASS",J24="PASS",K24="PASS"),"PASS","FAIL")</x:f>
        <x:v>PASS</x:v>
      </x:c>
    </x:row>
    <x:row r="25">
      <x:c r="B25" s="9" t="n">
        <x:v>109</x:v>
      </x:c>
      <x:c r="C25" s="9" t="n">
        <x:f>COUNTIFS('Residual Schedule'!$C$7:$C$98,"Closure",'Residual Schedule'!$H$7:$H$98,"&lt;="&amp;B25,'Residual Schedule'!$I$7:$I$98,"&gt;"&amp;B25)</x:f>
        <x:v>4</x:v>
      </x:c>
      <x:c r="D25" s="9" t="n">
        <x:f>COUNTIFS('Residual Schedule'!$C$7:$C$98,"Damage",'Residual Schedule'!$H$7:$H$98,"&lt;="&amp;B25,'Residual Schedule'!$I$7:$I$98,"&gt;"&amp;B25)</x:f>
        <x:v>0</x:v>
      </x:c>
      <x:c r="E25" s="9" t="n">
        <x:f>COUNTIFS('Residual Schedule'!$C$7:$C$98,"Closure",'Residual Schedule'!$I$7:$I$98,"&lt;="&amp;B25,'Residual Schedule'!$J$7:$J$98,"&gt;"&amp;B25)</x:f>
        <x:v>0</x:v>
      </x:c>
      <x:c r="F25" s="9" t="n">
        <x:f>COUNTIFS('Residual Schedule'!$C$7:$C$98,"Damage",'Residual Schedule'!$I$7:$I$98,"&lt;="&amp;B25,'Residual Schedule'!$J$7:$J$98,"&gt;"&amp;B25)</x:f>
        <x:v>3</x:v>
      </x:c>
      <x:c r="G25" s="9" t="n">
        <x:f>COUNTIFS('Residual Schedule'!$C$7:$C$98,"Closure",'Residual Schedule'!$J$7:$J$98,"&lt;="&amp;B25)</x:f>
        <x:v>4</x:v>
      </x:c>
      <x:c r="H25" s="9" t="n">
        <x:f>COUNTIFS('Residual Schedule'!$C$7:$C$98,"Damage",'Residual Schedule'!$J$7:$J$98,"&lt;="&amp;B25)</x:f>
        <x:v>0</x:v>
      </x:c>
      <x:c r="I25" s="9" t="str">
        <x:f>IF(C25&lt;='Method Controls'!$D$27,"PASS","FAIL")</x:f>
        <x:v>PASS</x:v>
      </x:c>
      <x:c r="J25" s="9" t="str">
        <x:f>IF(D25&lt;='Method Controls'!$D$28,"PASS","FAIL")</x:f>
        <x:v>PASS</x:v>
      </x:c>
      <x:c r="K25" s="9" t="str">
        <x:f>IF(AND(E25&lt;='Method Controls'!$D$27,F25&lt;='Method Controls'!$D$28),"PASS","FAIL")</x:f>
        <x:v>PASS</x:v>
      </x:c>
      <x:c r="L25" s="9" t="str">
        <x:f>IF(AND(I25="PASS",J25="PASS",K25="PASS"),"PASS","FAIL")</x:f>
        <x:v>PASS</x:v>
      </x:c>
    </x:row>
    <x:row r="26">
      <x:c r="B26" s="9" t="n">
        <x:v>110</x:v>
      </x:c>
      <x:c r="C26" s="9" t="n">
        <x:f>COUNTIFS('Residual Schedule'!$C$7:$C$98,"Closure",'Residual Schedule'!$H$7:$H$98,"&lt;="&amp;B26,'Residual Schedule'!$I$7:$I$98,"&gt;"&amp;B26)</x:f>
        <x:v>4</x:v>
      </x:c>
      <x:c r="D26" s="9" t="n">
        <x:f>COUNTIFS('Residual Schedule'!$C$7:$C$98,"Damage",'Residual Schedule'!$H$7:$H$98,"&lt;="&amp;B26,'Residual Schedule'!$I$7:$I$98,"&gt;"&amp;B26)</x:f>
        <x:v>0</x:v>
      </x:c>
      <x:c r="E26" s="9" t="n">
        <x:f>COUNTIFS('Residual Schedule'!$C$7:$C$98,"Closure",'Residual Schedule'!$I$7:$I$98,"&lt;="&amp;B26,'Residual Schedule'!$J$7:$J$98,"&gt;"&amp;B26)</x:f>
        <x:v>0</x:v>
      </x:c>
      <x:c r="F26" s="9" t="n">
        <x:f>COUNTIFS('Residual Schedule'!$C$7:$C$98,"Damage",'Residual Schedule'!$I$7:$I$98,"&lt;="&amp;B26,'Residual Schedule'!$J$7:$J$98,"&gt;"&amp;B26)</x:f>
        <x:v>3</x:v>
      </x:c>
      <x:c r="G26" s="9" t="n">
        <x:f>COUNTIFS('Residual Schedule'!$C$7:$C$98,"Closure",'Residual Schedule'!$J$7:$J$98,"&lt;="&amp;B26)</x:f>
        <x:v>4</x:v>
      </x:c>
      <x:c r="H26" s="9" t="n">
        <x:f>COUNTIFS('Residual Schedule'!$C$7:$C$98,"Damage",'Residual Schedule'!$J$7:$J$98,"&lt;="&amp;B26)</x:f>
        <x:v>0</x:v>
      </x:c>
      <x:c r="I26" s="9" t="str">
        <x:f>IF(C26&lt;='Method Controls'!$D$27,"PASS","FAIL")</x:f>
        <x:v>PASS</x:v>
      </x:c>
      <x:c r="J26" s="9" t="str">
        <x:f>IF(D26&lt;='Method Controls'!$D$28,"PASS","FAIL")</x:f>
        <x:v>PASS</x:v>
      </x:c>
      <x:c r="K26" s="9" t="str">
        <x:f>IF(AND(E26&lt;='Method Controls'!$D$27,F26&lt;='Method Controls'!$D$28),"PASS","FAIL")</x:f>
        <x:v>PASS</x:v>
      </x:c>
      <x:c r="L26" s="9" t="str">
        <x:f>IF(AND(I26="PASS",J26="PASS",K26="PASS"),"PASS","FAIL")</x:f>
        <x:v>PASS</x:v>
      </x:c>
    </x:row>
    <x:row r="27">
      <x:c r="B27" s="9" t="n">
        <x:v>111</x:v>
      </x:c>
      <x:c r="C27" s="9" t="n">
        <x:f>COUNTIFS('Residual Schedule'!$C$7:$C$98,"Closure",'Residual Schedule'!$H$7:$H$98,"&lt;="&amp;B27,'Residual Schedule'!$I$7:$I$98,"&gt;"&amp;B27)</x:f>
        <x:v>4</x:v>
      </x:c>
      <x:c r="D27" s="9" t="n">
        <x:f>COUNTIFS('Residual Schedule'!$C$7:$C$98,"Damage",'Residual Schedule'!$H$7:$H$98,"&lt;="&amp;B27,'Residual Schedule'!$I$7:$I$98,"&gt;"&amp;B27)</x:f>
        <x:v>0</x:v>
      </x:c>
      <x:c r="E27" s="9" t="n">
        <x:f>COUNTIFS('Residual Schedule'!$C$7:$C$98,"Closure",'Residual Schedule'!$I$7:$I$98,"&lt;="&amp;B27,'Residual Schedule'!$J$7:$J$98,"&gt;"&amp;B27)</x:f>
        <x:v>0</x:v>
      </x:c>
      <x:c r="F27" s="9" t="n">
        <x:f>COUNTIFS('Residual Schedule'!$C$7:$C$98,"Damage",'Residual Schedule'!$I$7:$I$98,"&lt;="&amp;B27,'Residual Schedule'!$J$7:$J$98,"&gt;"&amp;B27)</x:f>
        <x:v>3</x:v>
      </x:c>
      <x:c r="G27" s="9" t="n">
        <x:f>COUNTIFS('Residual Schedule'!$C$7:$C$98,"Closure",'Residual Schedule'!$J$7:$J$98,"&lt;="&amp;B27)</x:f>
        <x:v>4</x:v>
      </x:c>
      <x:c r="H27" s="9" t="n">
        <x:f>COUNTIFS('Residual Schedule'!$C$7:$C$98,"Damage",'Residual Schedule'!$J$7:$J$98,"&lt;="&amp;B27)</x:f>
        <x:v>0</x:v>
      </x:c>
      <x:c r="I27" s="9" t="str">
        <x:f>IF(C27&lt;='Method Controls'!$D$27,"PASS","FAIL")</x:f>
        <x:v>PASS</x:v>
      </x:c>
      <x:c r="J27" s="9" t="str">
        <x:f>IF(D27&lt;='Method Controls'!$D$28,"PASS","FAIL")</x:f>
        <x:v>PASS</x:v>
      </x:c>
      <x:c r="K27" s="9" t="str">
        <x:f>IF(AND(E27&lt;='Method Controls'!$D$27,F27&lt;='Method Controls'!$D$28),"PASS","FAIL")</x:f>
        <x:v>PASS</x:v>
      </x:c>
      <x:c r="L27" s="9" t="str">
        <x:f>IF(AND(I27="PASS",J27="PASS",K27="PASS"),"PASS","FAIL")</x:f>
        <x:v>PASS</x:v>
      </x:c>
    </x:row>
    <x:row r="28">
      <x:c r="B28" s="9" t="n">
        <x:v>112</x:v>
      </x:c>
      <x:c r="C28" s="9" t="n">
        <x:f>COUNTIFS('Residual Schedule'!$C$7:$C$98,"Closure",'Residual Schedule'!$H$7:$H$98,"&lt;="&amp;B28,'Residual Schedule'!$I$7:$I$98,"&gt;"&amp;B28)</x:f>
        <x:v>4</x:v>
      </x:c>
      <x:c r="D28" s="9" t="n">
        <x:f>COUNTIFS('Residual Schedule'!$C$7:$C$98,"Damage",'Residual Schedule'!$H$7:$H$98,"&lt;="&amp;B28,'Residual Schedule'!$I$7:$I$98,"&gt;"&amp;B28)</x:f>
        <x:v>0</x:v>
      </x:c>
      <x:c r="E28" s="9" t="n">
        <x:f>COUNTIFS('Residual Schedule'!$C$7:$C$98,"Closure",'Residual Schedule'!$I$7:$I$98,"&lt;="&amp;B28,'Residual Schedule'!$J$7:$J$98,"&gt;"&amp;B28)</x:f>
        <x:v>0</x:v>
      </x:c>
      <x:c r="F28" s="9" t="n">
        <x:f>COUNTIFS('Residual Schedule'!$C$7:$C$98,"Damage",'Residual Schedule'!$I$7:$I$98,"&lt;="&amp;B28,'Residual Schedule'!$J$7:$J$98,"&gt;"&amp;B28)</x:f>
        <x:v>3</x:v>
      </x:c>
      <x:c r="G28" s="9" t="n">
        <x:f>COUNTIFS('Residual Schedule'!$C$7:$C$98,"Closure",'Residual Schedule'!$J$7:$J$98,"&lt;="&amp;B28)</x:f>
        <x:v>4</x:v>
      </x:c>
      <x:c r="H28" s="9" t="n">
        <x:f>COUNTIFS('Residual Schedule'!$C$7:$C$98,"Damage",'Residual Schedule'!$J$7:$J$98,"&lt;="&amp;B28)</x:f>
        <x:v>0</x:v>
      </x:c>
      <x:c r="I28" s="9" t="str">
        <x:f>IF(C28&lt;='Method Controls'!$D$27,"PASS","FAIL")</x:f>
        <x:v>PASS</x:v>
      </x:c>
      <x:c r="J28" s="9" t="str">
        <x:f>IF(D28&lt;='Method Controls'!$D$28,"PASS","FAIL")</x:f>
        <x:v>PASS</x:v>
      </x:c>
      <x:c r="K28" s="9" t="str">
        <x:f>IF(AND(E28&lt;='Method Controls'!$D$27,F28&lt;='Method Controls'!$D$28),"PASS","FAIL")</x:f>
        <x:v>PASS</x:v>
      </x:c>
      <x:c r="L28" s="9" t="str">
        <x:f>IF(AND(I28="PASS",J28="PASS",K28="PASS"),"PASS","FAIL")</x:f>
        <x:v>PASS</x:v>
      </x:c>
    </x:row>
    <x:row r="29">
      <x:c r="B29" s="9" t="n">
        <x:v>113</x:v>
      </x:c>
      <x:c r="C29" s="9" t="n">
        <x:f>COUNTIFS('Residual Schedule'!$C$7:$C$98,"Closure",'Residual Schedule'!$H$7:$H$98,"&lt;="&amp;B29,'Residual Schedule'!$I$7:$I$98,"&gt;"&amp;B29)</x:f>
        <x:v>0</x:v>
      </x:c>
      <x:c r="D29" s="9" t="n">
        <x:f>COUNTIFS('Residual Schedule'!$C$7:$C$98,"Damage",'Residual Schedule'!$H$7:$H$98,"&lt;="&amp;B29,'Residual Schedule'!$I$7:$I$98,"&gt;"&amp;B29)</x:f>
        <x:v>0</x:v>
      </x:c>
      <x:c r="E29" s="9" t="n">
        <x:f>COUNTIFS('Residual Schedule'!$C$7:$C$98,"Closure",'Residual Schedule'!$I$7:$I$98,"&lt;="&amp;B29,'Residual Schedule'!$J$7:$J$98,"&gt;"&amp;B29)</x:f>
        <x:v>4</x:v>
      </x:c>
      <x:c r="F29" s="9" t="n">
        <x:f>COUNTIFS('Residual Schedule'!$C$7:$C$98,"Damage",'Residual Schedule'!$I$7:$I$98,"&lt;="&amp;B29,'Residual Schedule'!$J$7:$J$98,"&gt;"&amp;B29)</x:f>
        <x:v>3</x:v>
      </x:c>
      <x:c r="G29" s="9" t="n">
        <x:f>COUNTIFS('Residual Schedule'!$C$7:$C$98,"Closure",'Residual Schedule'!$J$7:$J$98,"&lt;="&amp;B29)</x:f>
        <x:v>4</x:v>
      </x:c>
      <x:c r="H29" s="9" t="n">
        <x:f>COUNTIFS('Residual Schedule'!$C$7:$C$98,"Damage",'Residual Schedule'!$J$7:$J$98,"&lt;="&amp;B29)</x:f>
        <x:v>0</x:v>
      </x:c>
      <x:c r="I29" s="9" t="str">
        <x:f>IF(C29&lt;='Method Controls'!$D$27,"PASS","FAIL")</x:f>
        <x:v>PASS</x:v>
      </x:c>
      <x:c r="J29" s="9" t="str">
        <x:f>IF(D29&lt;='Method Controls'!$D$28,"PASS","FAIL")</x:f>
        <x:v>PASS</x:v>
      </x:c>
      <x:c r="K29" s="9" t="str">
        <x:f>IF(AND(E29&lt;='Method Controls'!$D$27,F29&lt;='Method Controls'!$D$28),"PASS","FAIL")</x:f>
        <x:v>PASS</x:v>
      </x:c>
      <x:c r="L29" s="9" t="str">
        <x:f>IF(AND(I29="PASS",J29="PASS",K29="PASS"),"PASS","FAIL")</x:f>
        <x:v>PASS</x:v>
      </x:c>
    </x:row>
    <x:row r="30">
      <x:c r="B30" s="9" t="n">
        <x:v>114</x:v>
      </x:c>
      <x:c r="C30" s="9" t="n">
        <x:f>COUNTIFS('Residual Schedule'!$C$7:$C$98,"Closure",'Residual Schedule'!$H$7:$H$98,"&lt;="&amp;B30,'Residual Schedule'!$I$7:$I$98,"&gt;"&amp;B30)</x:f>
        <x:v>0</x:v>
      </x:c>
      <x:c r="D30" s="9" t="n">
        <x:f>COUNTIFS('Residual Schedule'!$C$7:$C$98,"Damage",'Residual Schedule'!$H$7:$H$98,"&lt;="&amp;B30,'Residual Schedule'!$I$7:$I$98,"&gt;"&amp;B30)</x:f>
        <x:v>0</x:v>
      </x:c>
      <x:c r="E30" s="9" t="n">
        <x:f>COUNTIFS('Residual Schedule'!$C$7:$C$98,"Closure",'Residual Schedule'!$I$7:$I$98,"&lt;="&amp;B30,'Residual Schedule'!$J$7:$J$98,"&gt;"&amp;B30)</x:f>
        <x:v>4</x:v>
      </x:c>
      <x:c r="F30" s="9" t="n">
        <x:f>COUNTIFS('Residual Schedule'!$C$7:$C$98,"Damage",'Residual Schedule'!$I$7:$I$98,"&lt;="&amp;B30,'Residual Schedule'!$J$7:$J$98,"&gt;"&amp;B30)</x:f>
        <x:v>3</x:v>
      </x:c>
      <x:c r="G30" s="9" t="n">
        <x:f>COUNTIFS('Residual Schedule'!$C$7:$C$98,"Closure",'Residual Schedule'!$J$7:$J$98,"&lt;="&amp;B30)</x:f>
        <x:v>4</x:v>
      </x:c>
      <x:c r="H30" s="9" t="n">
        <x:f>COUNTIFS('Residual Schedule'!$C$7:$C$98,"Damage",'Residual Schedule'!$J$7:$J$98,"&lt;="&amp;B30)</x:f>
        <x:v>0</x:v>
      </x:c>
      <x:c r="I30" s="9" t="str">
        <x:f>IF(C30&lt;='Method Controls'!$D$27,"PASS","FAIL")</x:f>
        <x:v>PASS</x:v>
      </x:c>
      <x:c r="J30" s="9" t="str">
        <x:f>IF(D30&lt;='Method Controls'!$D$28,"PASS","FAIL")</x:f>
        <x:v>PASS</x:v>
      </x:c>
      <x:c r="K30" s="9" t="str">
        <x:f>IF(AND(E30&lt;='Method Controls'!$D$27,F30&lt;='Method Controls'!$D$28),"PASS","FAIL")</x:f>
        <x:v>PASS</x:v>
      </x:c>
      <x:c r="L30" s="9" t="str">
        <x:f>IF(AND(I30="PASS",J30="PASS",K30="PASS"),"PASS","FAIL")</x:f>
        <x:v>PASS</x:v>
      </x:c>
    </x:row>
    <x:row r="31">
      <x:c r="B31" s="9" t="n">
        <x:v>115</x:v>
      </x:c>
      <x:c r="C31" s="9" t="n">
        <x:f>COUNTIFS('Residual Schedule'!$C$7:$C$98,"Closure",'Residual Schedule'!$H$7:$H$98,"&lt;="&amp;B31,'Residual Schedule'!$I$7:$I$98,"&gt;"&amp;B31)</x:f>
        <x:v>0</x:v>
      </x:c>
      <x:c r="D31" s="9" t="n">
        <x:f>COUNTIFS('Residual Schedule'!$C$7:$C$98,"Damage",'Residual Schedule'!$H$7:$H$98,"&lt;="&amp;B31,'Residual Schedule'!$I$7:$I$98,"&gt;"&amp;B31)</x:f>
        <x:v>0</x:v>
      </x:c>
      <x:c r="E31" s="9" t="n">
        <x:f>COUNTIFS('Residual Schedule'!$C$7:$C$98,"Closure",'Residual Schedule'!$I$7:$I$98,"&lt;="&amp;B31,'Residual Schedule'!$J$7:$J$98,"&gt;"&amp;B31)</x:f>
        <x:v>4</x:v>
      </x:c>
      <x:c r="F31" s="9" t="n">
        <x:f>COUNTIFS('Residual Schedule'!$C$7:$C$98,"Damage",'Residual Schedule'!$I$7:$I$98,"&lt;="&amp;B31,'Residual Schedule'!$J$7:$J$98,"&gt;"&amp;B31)</x:f>
        <x:v>3</x:v>
      </x:c>
      <x:c r="G31" s="9" t="n">
        <x:f>COUNTIFS('Residual Schedule'!$C$7:$C$98,"Closure",'Residual Schedule'!$J$7:$J$98,"&lt;="&amp;B31)</x:f>
        <x:v>4</x:v>
      </x:c>
      <x:c r="H31" s="9" t="n">
        <x:f>COUNTIFS('Residual Schedule'!$C$7:$C$98,"Damage",'Residual Schedule'!$J$7:$J$98,"&lt;="&amp;B31)</x:f>
        <x:v>0</x:v>
      </x:c>
      <x:c r="I31" s="9" t="str">
        <x:f>IF(C31&lt;='Method Controls'!$D$27,"PASS","FAIL")</x:f>
        <x:v>PASS</x:v>
      </x:c>
      <x:c r="J31" s="9" t="str">
        <x:f>IF(D31&lt;='Method Controls'!$D$28,"PASS","FAIL")</x:f>
        <x:v>PASS</x:v>
      </x:c>
      <x:c r="K31" s="9" t="str">
        <x:f>IF(AND(E31&lt;='Method Controls'!$D$27,F31&lt;='Method Controls'!$D$28),"PASS","FAIL")</x:f>
        <x:v>PASS</x:v>
      </x:c>
      <x:c r="L31" s="9" t="str">
        <x:f>IF(AND(I31="PASS",J31="PASS",K31="PASS"),"PASS","FAIL")</x:f>
        <x:v>PASS</x:v>
      </x:c>
    </x:row>
    <x:row r="32">
      <x:c r="B32" s="9" t="n">
        <x:v>116</x:v>
      </x:c>
      <x:c r="C32" s="9" t="n">
        <x:f>COUNTIFS('Residual Schedule'!$C$7:$C$98,"Closure",'Residual Schedule'!$H$7:$H$98,"&lt;="&amp;B32,'Residual Schedule'!$I$7:$I$98,"&gt;"&amp;B32)</x:f>
        <x:v>0</x:v>
      </x:c>
      <x:c r="D32" s="9" t="n">
        <x:f>COUNTIFS('Residual Schedule'!$C$7:$C$98,"Damage",'Residual Schedule'!$H$7:$H$98,"&lt;="&amp;B32,'Residual Schedule'!$I$7:$I$98,"&gt;"&amp;B32)</x:f>
        <x:v>0</x:v>
      </x:c>
      <x:c r="E32" s="9" t="n">
        <x:f>COUNTIFS('Residual Schedule'!$C$7:$C$98,"Closure",'Residual Schedule'!$I$7:$I$98,"&lt;="&amp;B32,'Residual Schedule'!$J$7:$J$98,"&gt;"&amp;B32)</x:f>
        <x:v>4</x:v>
      </x:c>
      <x:c r="F32" s="9" t="n">
        <x:f>COUNTIFS('Residual Schedule'!$C$7:$C$98,"Damage",'Residual Schedule'!$I$7:$I$98,"&lt;="&amp;B32,'Residual Schedule'!$J$7:$J$98,"&gt;"&amp;B32)</x:f>
        <x:v>0</x:v>
      </x:c>
      <x:c r="G32" s="9" t="n">
        <x:f>COUNTIFS('Residual Schedule'!$C$7:$C$98,"Closure",'Residual Schedule'!$J$7:$J$98,"&lt;="&amp;B32)</x:f>
        <x:v>4</x:v>
      </x:c>
      <x:c r="H32" s="9" t="n">
        <x:f>COUNTIFS('Residual Schedule'!$C$7:$C$98,"Damage",'Residual Schedule'!$J$7:$J$98,"&lt;="&amp;B32)</x:f>
        <x:v>3</x:v>
      </x:c>
      <x:c r="I32" s="9" t="str">
        <x:f>IF(C32&lt;='Method Controls'!$D$27,"PASS","FAIL")</x:f>
        <x:v>PASS</x:v>
      </x:c>
      <x:c r="J32" s="9" t="str">
        <x:f>IF(D32&lt;='Method Controls'!$D$28,"PASS","FAIL")</x:f>
        <x:v>PASS</x:v>
      </x:c>
      <x:c r="K32" s="9" t="str">
        <x:f>IF(AND(E32&lt;='Method Controls'!$D$27,F32&lt;='Method Controls'!$D$28),"PASS","FAIL")</x:f>
        <x:v>PASS</x:v>
      </x:c>
      <x:c r="L32" s="9" t="str">
        <x:f>IF(AND(I32="PASS",J32="PASS",K32="PASS"),"PASS","FAIL")</x:f>
        <x:v>PASS</x:v>
      </x:c>
    </x:row>
    <x:row r="33">
      <x:c r="B33" s="9" t="n">
        <x:v>117</x:v>
      </x:c>
      <x:c r="C33" s="9" t="n">
        <x:f>COUNTIFS('Residual Schedule'!$C$7:$C$98,"Closure",'Residual Schedule'!$H$7:$H$98,"&lt;="&amp;B33,'Residual Schedule'!$I$7:$I$98,"&gt;"&amp;B33)</x:f>
        <x:v>4</x:v>
      </x:c>
      <x:c r="D33" s="9" t="n">
        <x:f>COUNTIFS('Residual Schedule'!$C$7:$C$98,"Damage",'Residual Schedule'!$H$7:$H$98,"&lt;="&amp;B33,'Residual Schedule'!$I$7:$I$98,"&gt;"&amp;B33)</x:f>
        <x:v>3</x:v>
      </x:c>
      <x:c r="E33" s="9" t="n">
        <x:f>COUNTIFS('Residual Schedule'!$C$7:$C$98,"Closure",'Residual Schedule'!$I$7:$I$98,"&lt;="&amp;B33,'Residual Schedule'!$J$7:$J$98,"&gt;"&amp;B33)</x:f>
        <x:v>4</x:v>
      </x:c>
      <x:c r="F33" s="9" t="n">
        <x:f>COUNTIFS('Residual Schedule'!$C$7:$C$98,"Damage",'Residual Schedule'!$I$7:$I$98,"&lt;="&amp;B33,'Residual Schedule'!$J$7:$J$98,"&gt;"&amp;B33)</x:f>
        <x:v>0</x:v>
      </x:c>
      <x:c r="G33" s="9" t="n">
        <x:f>COUNTIFS('Residual Schedule'!$C$7:$C$98,"Closure",'Residual Schedule'!$J$7:$J$98,"&lt;="&amp;B33)</x:f>
        <x:v>4</x:v>
      </x:c>
      <x:c r="H33" s="9" t="n">
        <x:f>COUNTIFS('Residual Schedule'!$C$7:$C$98,"Damage",'Residual Schedule'!$J$7:$J$98,"&lt;="&amp;B33)</x:f>
        <x:v>3</x:v>
      </x:c>
      <x:c r="I33" s="9" t="str">
        <x:f>IF(C33&lt;='Method Controls'!$D$27,"PASS","FAIL")</x:f>
        <x:v>PASS</x:v>
      </x:c>
      <x:c r="J33" s="9" t="str">
        <x:f>IF(D33&lt;='Method Controls'!$D$28,"PASS","FAIL")</x:f>
        <x:v>PASS</x:v>
      </x:c>
      <x:c r="K33" s="9" t="str">
        <x:f>IF(AND(E33&lt;='Method Controls'!$D$27,F33&lt;='Method Controls'!$D$28),"PASS","FAIL")</x:f>
        <x:v>PASS</x:v>
      </x:c>
      <x:c r="L33" s="9" t="str">
        <x:f>IF(AND(I33="PASS",J33="PASS",K33="PASS"),"PASS","FAIL")</x:f>
        <x:v>PASS</x:v>
      </x:c>
    </x:row>
    <x:row r="34">
      <x:c r="B34" s="9" t="n">
        <x:v>118</x:v>
      </x:c>
      <x:c r="C34" s="9" t="n">
        <x:f>COUNTIFS('Residual Schedule'!$C$7:$C$98,"Closure",'Residual Schedule'!$H$7:$H$98,"&lt;="&amp;B34,'Residual Schedule'!$I$7:$I$98,"&gt;"&amp;B34)</x:f>
        <x:v>4</x:v>
      </x:c>
      <x:c r="D34" s="9" t="n">
        <x:f>COUNTIFS('Residual Schedule'!$C$7:$C$98,"Damage",'Residual Schedule'!$H$7:$H$98,"&lt;="&amp;B34,'Residual Schedule'!$I$7:$I$98,"&gt;"&amp;B34)</x:f>
        <x:v>3</x:v>
      </x:c>
      <x:c r="E34" s="9" t="n">
        <x:f>COUNTIFS('Residual Schedule'!$C$7:$C$98,"Closure",'Residual Schedule'!$I$7:$I$98,"&lt;="&amp;B34,'Residual Schedule'!$J$7:$J$98,"&gt;"&amp;B34)</x:f>
        <x:v>4</x:v>
      </x:c>
      <x:c r="F34" s="9" t="n">
        <x:f>COUNTIFS('Residual Schedule'!$C$7:$C$98,"Damage",'Residual Schedule'!$I$7:$I$98,"&lt;="&amp;B34,'Residual Schedule'!$J$7:$J$98,"&gt;"&amp;B34)</x:f>
        <x:v>0</x:v>
      </x:c>
      <x:c r="G34" s="9" t="n">
        <x:f>COUNTIFS('Residual Schedule'!$C$7:$C$98,"Closure",'Residual Schedule'!$J$7:$J$98,"&lt;="&amp;B34)</x:f>
        <x:v>4</x:v>
      </x:c>
      <x:c r="H34" s="9" t="n">
        <x:f>COUNTIFS('Residual Schedule'!$C$7:$C$98,"Damage",'Residual Schedule'!$J$7:$J$98,"&lt;="&amp;B34)</x:f>
        <x:v>3</x:v>
      </x:c>
      <x:c r="I34" s="9" t="str">
        <x:f>IF(C34&lt;='Method Controls'!$D$27,"PASS","FAIL")</x:f>
        <x:v>PASS</x:v>
      </x:c>
      <x:c r="J34" s="9" t="str">
        <x:f>IF(D34&lt;='Method Controls'!$D$28,"PASS","FAIL")</x:f>
        <x:v>PASS</x:v>
      </x:c>
      <x:c r="K34" s="9" t="str">
        <x:f>IF(AND(E34&lt;='Method Controls'!$D$27,F34&lt;='Method Controls'!$D$28),"PASS","FAIL")</x:f>
        <x:v>PASS</x:v>
      </x:c>
      <x:c r="L34" s="9" t="str">
        <x:f>IF(AND(I34="PASS",J34="PASS",K34="PASS"),"PASS","FAIL")</x:f>
        <x:v>PASS</x:v>
      </x:c>
    </x:row>
    <x:row r="35">
      <x:c r="B35" s="9" t="n">
        <x:v>119</x:v>
      </x:c>
      <x:c r="C35" s="9" t="n">
        <x:f>COUNTIFS('Residual Schedule'!$C$7:$C$98,"Closure",'Residual Schedule'!$H$7:$H$98,"&lt;="&amp;B35,'Residual Schedule'!$I$7:$I$98,"&gt;"&amp;B35)</x:f>
        <x:v>4</x:v>
      </x:c>
      <x:c r="D35" s="9" t="n">
        <x:f>COUNTIFS('Residual Schedule'!$C$7:$C$98,"Damage",'Residual Schedule'!$H$7:$H$98,"&lt;="&amp;B35,'Residual Schedule'!$I$7:$I$98,"&gt;"&amp;B35)</x:f>
        <x:v>3</x:v>
      </x:c>
      <x:c r="E35" s="9" t="n">
        <x:f>COUNTIFS('Residual Schedule'!$C$7:$C$98,"Closure",'Residual Schedule'!$I$7:$I$98,"&lt;="&amp;B35,'Residual Schedule'!$J$7:$J$98,"&gt;"&amp;B35)</x:f>
        <x:v>4</x:v>
      </x:c>
      <x:c r="F35" s="9" t="n">
        <x:f>COUNTIFS('Residual Schedule'!$C$7:$C$98,"Damage",'Residual Schedule'!$I$7:$I$98,"&lt;="&amp;B35,'Residual Schedule'!$J$7:$J$98,"&gt;"&amp;B35)</x:f>
        <x:v>0</x:v>
      </x:c>
      <x:c r="G35" s="9" t="n">
        <x:f>COUNTIFS('Residual Schedule'!$C$7:$C$98,"Closure",'Residual Schedule'!$J$7:$J$98,"&lt;="&amp;B35)</x:f>
        <x:v>4</x:v>
      </x:c>
      <x:c r="H35" s="9" t="n">
        <x:f>COUNTIFS('Residual Schedule'!$C$7:$C$98,"Damage",'Residual Schedule'!$J$7:$J$98,"&lt;="&amp;B35)</x:f>
        <x:v>3</x:v>
      </x:c>
      <x:c r="I35" s="9" t="str">
        <x:f>IF(C35&lt;='Method Controls'!$D$27,"PASS","FAIL")</x:f>
        <x:v>PASS</x:v>
      </x:c>
      <x:c r="J35" s="9" t="str">
        <x:f>IF(D35&lt;='Method Controls'!$D$28,"PASS","FAIL")</x:f>
        <x:v>PASS</x:v>
      </x:c>
      <x:c r="K35" s="9" t="str">
        <x:f>IF(AND(E35&lt;='Method Controls'!$D$27,F35&lt;='Method Controls'!$D$28),"PASS","FAIL")</x:f>
        <x:v>PASS</x:v>
      </x:c>
      <x:c r="L35" s="9" t="str">
        <x:f>IF(AND(I35="PASS",J35="PASS",K35="PASS"),"PASS","FAIL")</x:f>
        <x:v>PASS</x:v>
      </x:c>
    </x:row>
    <x:row r="36">
      <x:c r="B36" s="9" t="n">
        <x:v>120</x:v>
      </x:c>
      <x:c r="C36" s="9" t="n">
        <x:f>COUNTIFS('Residual Schedule'!$C$7:$C$98,"Closure",'Residual Schedule'!$H$7:$H$98,"&lt;="&amp;B36,'Residual Schedule'!$I$7:$I$98,"&gt;"&amp;B36)</x:f>
        <x:v>4</x:v>
      </x:c>
      <x:c r="D36" s="9" t="n">
        <x:f>COUNTIFS('Residual Schedule'!$C$7:$C$98,"Damage",'Residual Schedule'!$H$7:$H$98,"&lt;="&amp;B36,'Residual Schedule'!$I$7:$I$98,"&gt;"&amp;B36)</x:f>
        <x:v>3</x:v>
      </x:c>
      <x:c r="E36" s="9" t="n">
        <x:f>COUNTIFS('Residual Schedule'!$C$7:$C$98,"Closure",'Residual Schedule'!$I$7:$I$98,"&lt;="&amp;B36,'Residual Schedule'!$J$7:$J$98,"&gt;"&amp;B36)</x:f>
        <x:v>0</x:v>
      </x:c>
      <x:c r="F36" s="9" t="n">
        <x:f>COUNTIFS('Residual Schedule'!$C$7:$C$98,"Damage",'Residual Schedule'!$I$7:$I$98,"&lt;="&amp;B36,'Residual Schedule'!$J$7:$J$98,"&gt;"&amp;B36)</x:f>
        <x:v>0</x:v>
      </x:c>
      <x:c r="G36" s="9" t="n">
        <x:f>COUNTIFS('Residual Schedule'!$C$7:$C$98,"Closure",'Residual Schedule'!$J$7:$J$98,"&lt;="&amp;B36)</x:f>
        <x:v>8</x:v>
      </x:c>
      <x:c r="H36" s="9" t="n">
        <x:f>COUNTIFS('Residual Schedule'!$C$7:$C$98,"Damage",'Residual Schedule'!$J$7:$J$98,"&lt;="&amp;B36)</x:f>
        <x:v>3</x:v>
      </x:c>
      <x:c r="I36" s="9" t="str">
        <x:f>IF(C36&lt;='Method Controls'!$D$27,"PASS","FAIL")</x:f>
        <x:v>PASS</x:v>
      </x:c>
      <x:c r="J36" s="9" t="str">
        <x:f>IF(D36&lt;='Method Controls'!$D$28,"PASS","FAIL")</x:f>
        <x:v>PASS</x:v>
      </x:c>
      <x:c r="K36" s="9" t="str">
        <x:f>IF(AND(E36&lt;='Method Controls'!$D$27,F36&lt;='Method Controls'!$D$28),"PASS","FAIL")</x:f>
        <x:v>PASS</x:v>
      </x:c>
      <x:c r="L36" s="9" t="str">
        <x:f>IF(AND(I36="PASS",J36="PASS",K36="PASS"),"PASS","FAIL")</x:f>
        <x:v>PASS</x:v>
      </x:c>
    </x:row>
    <x:row r="37">
      <x:c r="B37" s="9" t="n">
        <x:v>121</x:v>
      </x:c>
      <x:c r="C37" s="9" t="n">
        <x:f>COUNTIFS('Residual Schedule'!$C$7:$C$98,"Closure",'Residual Schedule'!$H$7:$H$98,"&lt;="&amp;B37,'Residual Schedule'!$I$7:$I$98,"&gt;"&amp;B37)</x:f>
        <x:v>4</x:v>
      </x:c>
      <x:c r="D37" s="9" t="n">
        <x:f>COUNTIFS('Residual Schedule'!$C$7:$C$98,"Damage",'Residual Schedule'!$H$7:$H$98,"&lt;="&amp;B37,'Residual Schedule'!$I$7:$I$98,"&gt;"&amp;B37)</x:f>
        <x:v>3</x:v>
      </x:c>
      <x:c r="E37" s="9" t="n">
        <x:f>COUNTIFS('Residual Schedule'!$C$7:$C$98,"Closure",'Residual Schedule'!$I$7:$I$98,"&lt;="&amp;B37,'Residual Schedule'!$J$7:$J$98,"&gt;"&amp;B37)</x:f>
        <x:v>0</x:v>
      </x:c>
      <x:c r="F37" s="9" t="n">
        <x:f>COUNTIFS('Residual Schedule'!$C$7:$C$98,"Damage",'Residual Schedule'!$I$7:$I$98,"&lt;="&amp;B37,'Residual Schedule'!$J$7:$J$98,"&gt;"&amp;B37)</x:f>
        <x:v>0</x:v>
      </x:c>
      <x:c r="G37" s="9" t="n">
        <x:f>COUNTIFS('Residual Schedule'!$C$7:$C$98,"Closure",'Residual Schedule'!$J$7:$J$98,"&lt;="&amp;B37)</x:f>
        <x:v>8</x:v>
      </x:c>
      <x:c r="H37" s="9" t="n">
        <x:f>COUNTIFS('Residual Schedule'!$C$7:$C$98,"Damage",'Residual Schedule'!$J$7:$J$98,"&lt;="&amp;B37)</x:f>
        <x:v>3</x:v>
      </x:c>
      <x:c r="I37" s="9" t="str">
        <x:f>IF(C37&lt;='Method Controls'!$D$27,"PASS","FAIL")</x:f>
        <x:v>PASS</x:v>
      </x:c>
      <x:c r="J37" s="9" t="str">
        <x:f>IF(D37&lt;='Method Controls'!$D$28,"PASS","FAIL")</x:f>
        <x:v>PASS</x:v>
      </x:c>
      <x:c r="K37" s="9" t="str">
        <x:f>IF(AND(E37&lt;='Method Controls'!$D$27,F37&lt;='Method Controls'!$D$28),"PASS","FAIL")</x:f>
        <x:v>PASS</x:v>
      </x:c>
      <x:c r="L37" s="9" t="str">
        <x:f>IF(AND(I37="PASS",J37="PASS",K37="PASS"),"PASS","FAIL")</x:f>
        <x:v>PASS</x:v>
      </x:c>
    </x:row>
    <x:row r="38">
      <x:c r="B38" s="9" t="n">
        <x:v>122</x:v>
      </x:c>
      <x:c r="C38" s="9" t="n">
        <x:f>COUNTIFS('Residual Schedule'!$C$7:$C$98,"Closure",'Residual Schedule'!$H$7:$H$98,"&lt;="&amp;B38,'Residual Schedule'!$I$7:$I$98,"&gt;"&amp;B38)</x:f>
        <x:v>4</x:v>
      </x:c>
      <x:c r="D38" s="9" t="n">
        <x:f>COUNTIFS('Residual Schedule'!$C$7:$C$98,"Damage",'Residual Schedule'!$H$7:$H$98,"&lt;="&amp;B38,'Residual Schedule'!$I$7:$I$98,"&gt;"&amp;B38)</x:f>
        <x:v>3</x:v>
      </x:c>
      <x:c r="E38" s="9" t="n">
        <x:f>COUNTIFS('Residual Schedule'!$C$7:$C$98,"Closure",'Residual Schedule'!$I$7:$I$98,"&lt;="&amp;B38,'Residual Schedule'!$J$7:$J$98,"&gt;"&amp;B38)</x:f>
        <x:v>0</x:v>
      </x:c>
      <x:c r="F38" s="9" t="n">
        <x:f>COUNTIFS('Residual Schedule'!$C$7:$C$98,"Damage",'Residual Schedule'!$I$7:$I$98,"&lt;="&amp;B38,'Residual Schedule'!$J$7:$J$98,"&gt;"&amp;B38)</x:f>
        <x:v>0</x:v>
      </x:c>
      <x:c r="G38" s="9" t="n">
        <x:f>COUNTIFS('Residual Schedule'!$C$7:$C$98,"Closure",'Residual Schedule'!$J$7:$J$98,"&lt;="&amp;B38)</x:f>
        <x:v>8</x:v>
      </x:c>
      <x:c r="H38" s="9" t="n">
        <x:f>COUNTIFS('Residual Schedule'!$C$7:$C$98,"Damage",'Residual Schedule'!$J$7:$J$98,"&lt;="&amp;B38)</x:f>
        <x:v>3</x:v>
      </x:c>
      <x:c r="I38" s="9" t="str">
        <x:f>IF(C38&lt;='Method Controls'!$D$27,"PASS","FAIL")</x:f>
        <x:v>PASS</x:v>
      </x:c>
      <x:c r="J38" s="9" t="str">
        <x:f>IF(D38&lt;='Method Controls'!$D$28,"PASS","FAIL")</x:f>
        <x:v>PASS</x:v>
      </x:c>
      <x:c r="K38" s="9" t="str">
        <x:f>IF(AND(E38&lt;='Method Controls'!$D$27,F38&lt;='Method Controls'!$D$28),"PASS","FAIL")</x:f>
        <x:v>PASS</x:v>
      </x:c>
      <x:c r="L38" s="9" t="str">
        <x:f>IF(AND(I38="PASS",J38="PASS",K38="PASS"),"PASS","FAIL")</x:f>
        <x:v>PASS</x:v>
      </x:c>
    </x:row>
    <x:row r="39">
      <x:c r="B39" s="9" t="n">
        <x:v>123</x:v>
      </x:c>
      <x:c r="C39" s="9" t="n">
        <x:f>COUNTIFS('Residual Schedule'!$C$7:$C$98,"Closure",'Residual Schedule'!$H$7:$H$98,"&lt;="&amp;B39,'Residual Schedule'!$I$7:$I$98,"&gt;"&amp;B39)</x:f>
        <x:v>4</x:v>
      </x:c>
      <x:c r="D39" s="9" t="n">
        <x:f>COUNTIFS('Residual Schedule'!$C$7:$C$98,"Damage",'Residual Schedule'!$H$7:$H$98,"&lt;="&amp;B39,'Residual Schedule'!$I$7:$I$98,"&gt;"&amp;B39)</x:f>
        <x:v>3</x:v>
      </x:c>
      <x:c r="E39" s="9" t="n">
        <x:f>COUNTIFS('Residual Schedule'!$C$7:$C$98,"Closure",'Residual Schedule'!$I$7:$I$98,"&lt;="&amp;B39,'Residual Schedule'!$J$7:$J$98,"&gt;"&amp;B39)</x:f>
        <x:v>0</x:v>
      </x:c>
      <x:c r="F39" s="9" t="n">
        <x:f>COUNTIFS('Residual Schedule'!$C$7:$C$98,"Damage",'Residual Schedule'!$I$7:$I$98,"&lt;="&amp;B39,'Residual Schedule'!$J$7:$J$98,"&gt;"&amp;B39)</x:f>
        <x:v>0</x:v>
      </x:c>
      <x:c r="G39" s="9" t="n">
        <x:f>COUNTIFS('Residual Schedule'!$C$7:$C$98,"Closure",'Residual Schedule'!$J$7:$J$98,"&lt;="&amp;B39)</x:f>
        <x:v>8</x:v>
      </x:c>
      <x:c r="H39" s="9" t="n">
        <x:f>COUNTIFS('Residual Schedule'!$C$7:$C$98,"Damage",'Residual Schedule'!$J$7:$J$98,"&lt;="&amp;B39)</x:f>
        <x:v>3</x:v>
      </x:c>
      <x:c r="I39" s="9" t="str">
        <x:f>IF(C39&lt;='Method Controls'!$D$27,"PASS","FAIL")</x:f>
        <x:v>PASS</x:v>
      </x:c>
      <x:c r="J39" s="9" t="str">
        <x:f>IF(D39&lt;='Method Controls'!$D$28,"PASS","FAIL")</x:f>
        <x:v>PASS</x:v>
      </x:c>
      <x:c r="K39" s="9" t="str">
        <x:f>IF(AND(E39&lt;='Method Controls'!$D$27,F39&lt;='Method Controls'!$D$28),"PASS","FAIL")</x:f>
        <x:v>PASS</x:v>
      </x:c>
      <x:c r="L39" s="9" t="str">
        <x:f>IF(AND(I39="PASS",J39="PASS",K39="PASS"),"PASS","FAIL")</x:f>
        <x:v>PASS</x:v>
      </x:c>
    </x:row>
    <x:row r="40">
      <x:c r="B40" s="9" t="n">
        <x:v>124</x:v>
      </x:c>
      <x:c r="C40" s="9" t="n">
        <x:f>COUNTIFS('Residual Schedule'!$C$7:$C$98,"Closure",'Residual Schedule'!$H$7:$H$98,"&lt;="&amp;B40,'Residual Schedule'!$I$7:$I$98,"&gt;"&amp;B40)</x:f>
        <x:v>4</x:v>
      </x:c>
      <x:c r="D40" s="9" t="n">
        <x:f>COUNTIFS('Residual Schedule'!$C$7:$C$98,"Damage",'Residual Schedule'!$H$7:$H$98,"&lt;="&amp;B40,'Residual Schedule'!$I$7:$I$98,"&gt;"&amp;B40)</x:f>
        <x:v>3</x:v>
      </x:c>
      <x:c r="E40" s="9" t="n">
        <x:f>COUNTIFS('Residual Schedule'!$C$7:$C$98,"Closure",'Residual Schedule'!$I$7:$I$98,"&lt;="&amp;B40,'Residual Schedule'!$J$7:$J$98,"&gt;"&amp;B40)</x:f>
        <x:v>0</x:v>
      </x:c>
      <x:c r="F40" s="9" t="n">
        <x:f>COUNTIFS('Residual Schedule'!$C$7:$C$98,"Damage",'Residual Schedule'!$I$7:$I$98,"&lt;="&amp;B40,'Residual Schedule'!$J$7:$J$98,"&gt;"&amp;B40)</x:f>
        <x:v>0</x:v>
      </x:c>
      <x:c r="G40" s="9" t="n">
        <x:f>COUNTIFS('Residual Schedule'!$C$7:$C$98,"Closure",'Residual Schedule'!$J$7:$J$98,"&lt;="&amp;B40)</x:f>
        <x:v>8</x:v>
      </x:c>
      <x:c r="H40" s="9" t="n">
        <x:f>COUNTIFS('Residual Schedule'!$C$7:$C$98,"Damage",'Residual Schedule'!$J$7:$J$98,"&lt;="&amp;B40)</x:f>
        <x:v>3</x:v>
      </x:c>
      <x:c r="I40" s="9" t="str">
        <x:f>IF(C40&lt;='Method Controls'!$D$27,"PASS","FAIL")</x:f>
        <x:v>PASS</x:v>
      </x:c>
      <x:c r="J40" s="9" t="str">
        <x:f>IF(D40&lt;='Method Controls'!$D$28,"PASS","FAIL")</x:f>
        <x:v>PASS</x:v>
      </x:c>
      <x:c r="K40" s="9" t="str">
        <x:f>IF(AND(E40&lt;='Method Controls'!$D$27,F40&lt;='Method Controls'!$D$28),"PASS","FAIL")</x:f>
        <x:v>PASS</x:v>
      </x:c>
      <x:c r="L40" s="9" t="str">
        <x:f>IF(AND(I40="PASS",J40="PASS",K40="PASS"),"PASS","FAIL")</x:f>
        <x:v>PASS</x:v>
      </x:c>
    </x:row>
    <x:row r="41">
      <x:c r="B41" s="9" t="n">
        <x:v>125</x:v>
      </x:c>
      <x:c r="C41" s="9" t="n">
        <x:f>COUNTIFS('Residual Schedule'!$C$7:$C$98,"Closure",'Residual Schedule'!$H$7:$H$98,"&lt;="&amp;B41,'Residual Schedule'!$I$7:$I$98,"&gt;"&amp;B41)</x:f>
        <x:v>4</x:v>
      </x:c>
      <x:c r="D41" s="9" t="n">
        <x:f>COUNTIFS('Residual Schedule'!$C$7:$C$98,"Damage",'Residual Schedule'!$H$7:$H$98,"&lt;="&amp;B41,'Residual Schedule'!$I$7:$I$98,"&gt;"&amp;B41)</x:f>
        <x:v>3</x:v>
      </x:c>
      <x:c r="E41" s="9" t="n">
        <x:f>COUNTIFS('Residual Schedule'!$C$7:$C$98,"Closure",'Residual Schedule'!$I$7:$I$98,"&lt;="&amp;B41,'Residual Schedule'!$J$7:$J$98,"&gt;"&amp;B41)</x:f>
        <x:v>0</x:v>
      </x:c>
      <x:c r="F41" s="9" t="n">
        <x:f>COUNTIFS('Residual Schedule'!$C$7:$C$98,"Damage",'Residual Schedule'!$I$7:$I$98,"&lt;="&amp;B41,'Residual Schedule'!$J$7:$J$98,"&gt;"&amp;B41)</x:f>
        <x:v>0</x:v>
      </x:c>
      <x:c r="G41" s="9" t="n">
        <x:f>COUNTIFS('Residual Schedule'!$C$7:$C$98,"Closure",'Residual Schedule'!$J$7:$J$98,"&lt;="&amp;B41)</x:f>
        <x:v>8</x:v>
      </x:c>
      <x:c r="H41" s="9" t="n">
        <x:f>COUNTIFS('Residual Schedule'!$C$7:$C$98,"Damage",'Residual Schedule'!$J$7:$J$98,"&lt;="&amp;B41)</x:f>
        <x:v>3</x:v>
      </x:c>
      <x:c r="I41" s="9" t="str">
        <x:f>IF(C41&lt;='Method Controls'!$D$27,"PASS","FAIL")</x:f>
        <x:v>PASS</x:v>
      </x:c>
      <x:c r="J41" s="9" t="str">
        <x:f>IF(D41&lt;='Method Controls'!$D$28,"PASS","FAIL")</x:f>
        <x:v>PASS</x:v>
      </x:c>
      <x:c r="K41" s="9" t="str">
        <x:f>IF(AND(E41&lt;='Method Controls'!$D$27,F41&lt;='Method Controls'!$D$28),"PASS","FAIL")</x:f>
        <x:v>PASS</x:v>
      </x:c>
      <x:c r="L41" s="9" t="str">
        <x:f>IF(AND(I41="PASS",J41="PASS",K41="PASS"),"PASS","FAIL")</x:f>
        <x:v>PASS</x:v>
      </x:c>
    </x:row>
    <x:row r="42">
      <x:c r="B42" s="9" t="n">
        <x:v>126</x:v>
      </x:c>
      <x:c r="C42" s="9" t="n">
        <x:f>COUNTIFS('Residual Schedule'!$C$7:$C$98,"Closure",'Residual Schedule'!$H$7:$H$98,"&lt;="&amp;B42,'Residual Schedule'!$I$7:$I$98,"&gt;"&amp;B42)</x:f>
        <x:v>0</x:v>
      </x:c>
      <x:c r="D42" s="9" t="n">
        <x:f>COUNTIFS('Residual Schedule'!$C$7:$C$98,"Damage",'Residual Schedule'!$H$7:$H$98,"&lt;="&amp;B42,'Residual Schedule'!$I$7:$I$98,"&gt;"&amp;B42)</x:f>
        <x:v>3</x:v>
      </x:c>
      <x:c r="E42" s="9" t="n">
        <x:f>COUNTIFS('Residual Schedule'!$C$7:$C$98,"Closure",'Residual Schedule'!$I$7:$I$98,"&lt;="&amp;B42,'Residual Schedule'!$J$7:$J$98,"&gt;"&amp;B42)</x:f>
        <x:v>4</x:v>
      </x:c>
      <x:c r="F42" s="9" t="n">
        <x:f>COUNTIFS('Residual Schedule'!$C$7:$C$98,"Damage",'Residual Schedule'!$I$7:$I$98,"&lt;="&amp;B42,'Residual Schedule'!$J$7:$J$98,"&gt;"&amp;B42)</x:f>
        <x:v>0</x:v>
      </x:c>
      <x:c r="G42" s="9" t="n">
        <x:f>COUNTIFS('Residual Schedule'!$C$7:$C$98,"Closure",'Residual Schedule'!$J$7:$J$98,"&lt;="&amp;B42)</x:f>
        <x:v>8</x:v>
      </x:c>
      <x:c r="H42" s="9" t="n">
        <x:f>COUNTIFS('Residual Schedule'!$C$7:$C$98,"Damage",'Residual Schedule'!$J$7:$J$98,"&lt;="&amp;B42)</x:f>
        <x:v>3</x:v>
      </x:c>
      <x:c r="I42" s="9" t="str">
        <x:f>IF(C42&lt;='Method Controls'!$D$27,"PASS","FAIL")</x:f>
        <x:v>PASS</x:v>
      </x:c>
      <x:c r="J42" s="9" t="str">
        <x:f>IF(D42&lt;='Method Controls'!$D$28,"PASS","FAIL")</x:f>
        <x:v>PASS</x:v>
      </x:c>
      <x:c r="K42" s="9" t="str">
        <x:f>IF(AND(E42&lt;='Method Controls'!$D$27,F42&lt;='Method Controls'!$D$28),"PASS","FAIL")</x:f>
        <x:v>PASS</x:v>
      </x:c>
      <x:c r="L42" s="9" t="str">
        <x:f>IF(AND(I42="PASS",J42="PASS",K42="PASS"),"PASS","FAIL")</x:f>
        <x:v>PASS</x:v>
      </x:c>
    </x:row>
    <x:row r="43">
      <x:c r="B43" s="9" t="n">
        <x:v>127</x:v>
      </x:c>
      <x:c r="C43" s="9" t="n">
        <x:f>COUNTIFS('Residual Schedule'!$C$7:$C$98,"Closure",'Residual Schedule'!$H$7:$H$98,"&lt;="&amp;B43,'Residual Schedule'!$I$7:$I$98,"&gt;"&amp;B43)</x:f>
        <x:v>0</x:v>
      </x:c>
      <x:c r="D43" s="9" t="n">
        <x:f>COUNTIFS('Residual Schedule'!$C$7:$C$98,"Damage",'Residual Schedule'!$H$7:$H$98,"&lt;="&amp;B43,'Residual Schedule'!$I$7:$I$98,"&gt;"&amp;B43)</x:f>
        <x:v>3</x:v>
      </x:c>
      <x:c r="E43" s="9" t="n">
        <x:f>COUNTIFS('Residual Schedule'!$C$7:$C$98,"Closure",'Residual Schedule'!$I$7:$I$98,"&lt;="&amp;B43,'Residual Schedule'!$J$7:$J$98,"&gt;"&amp;B43)</x:f>
        <x:v>4</x:v>
      </x:c>
      <x:c r="F43" s="9" t="n">
        <x:f>COUNTIFS('Residual Schedule'!$C$7:$C$98,"Damage",'Residual Schedule'!$I$7:$I$98,"&lt;="&amp;B43,'Residual Schedule'!$J$7:$J$98,"&gt;"&amp;B43)</x:f>
        <x:v>0</x:v>
      </x:c>
      <x:c r="G43" s="9" t="n">
        <x:f>COUNTIFS('Residual Schedule'!$C$7:$C$98,"Closure",'Residual Schedule'!$J$7:$J$98,"&lt;="&amp;B43)</x:f>
        <x:v>8</x:v>
      </x:c>
      <x:c r="H43" s="9" t="n">
        <x:f>COUNTIFS('Residual Schedule'!$C$7:$C$98,"Damage",'Residual Schedule'!$J$7:$J$98,"&lt;="&amp;B43)</x:f>
        <x:v>3</x:v>
      </x:c>
      <x:c r="I43" s="9" t="str">
        <x:f>IF(C43&lt;='Method Controls'!$D$27,"PASS","FAIL")</x:f>
        <x:v>PASS</x:v>
      </x:c>
      <x:c r="J43" s="9" t="str">
        <x:f>IF(D43&lt;='Method Controls'!$D$28,"PASS","FAIL")</x:f>
        <x:v>PASS</x:v>
      </x:c>
      <x:c r="K43" s="9" t="str">
        <x:f>IF(AND(E43&lt;='Method Controls'!$D$27,F43&lt;='Method Controls'!$D$28),"PASS","FAIL")</x:f>
        <x:v>PASS</x:v>
      </x:c>
      <x:c r="L43" s="9" t="str">
        <x:f>IF(AND(I43="PASS",J43="PASS",K43="PASS"),"PASS","FAIL")</x:f>
        <x:v>PASS</x:v>
      </x:c>
    </x:row>
    <x:row r="44">
      <x:c r="B44" s="9" t="n">
        <x:v>128</x:v>
      </x:c>
      <x:c r="C44" s="9" t="n">
        <x:f>COUNTIFS('Residual Schedule'!$C$7:$C$98,"Closure",'Residual Schedule'!$H$7:$H$98,"&lt;="&amp;B44,'Residual Schedule'!$I$7:$I$98,"&gt;"&amp;B44)</x:f>
        <x:v>0</x:v>
      </x:c>
      <x:c r="D44" s="9" t="n">
        <x:f>COUNTIFS('Residual Schedule'!$C$7:$C$98,"Damage",'Residual Schedule'!$H$7:$H$98,"&lt;="&amp;B44,'Residual Schedule'!$I$7:$I$98,"&gt;"&amp;B44)</x:f>
        <x:v>3</x:v>
      </x:c>
      <x:c r="E44" s="9" t="n">
        <x:f>COUNTIFS('Residual Schedule'!$C$7:$C$98,"Closure",'Residual Schedule'!$I$7:$I$98,"&lt;="&amp;B44,'Residual Schedule'!$J$7:$J$98,"&gt;"&amp;B44)</x:f>
        <x:v>4</x:v>
      </x:c>
      <x:c r="F44" s="9" t="n">
        <x:f>COUNTIFS('Residual Schedule'!$C$7:$C$98,"Damage",'Residual Schedule'!$I$7:$I$98,"&lt;="&amp;B44,'Residual Schedule'!$J$7:$J$98,"&gt;"&amp;B44)</x:f>
        <x:v>0</x:v>
      </x:c>
      <x:c r="G44" s="9" t="n">
        <x:f>COUNTIFS('Residual Schedule'!$C$7:$C$98,"Closure",'Residual Schedule'!$J$7:$J$98,"&lt;="&amp;B44)</x:f>
        <x:v>8</x:v>
      </x:c>
      <x:c r="H44" s="9" t="n">
        <x:f>COUNTIFS('Residual Schedule'!$C$7:$C$98,"Damage",'Residual Schedule'!$J$7:$J$98,"&lt;="&amp;B44)</x:f>
        <x:v>3</x:v>
      </x:c>
      <x:c r="I44" s="9" t="str">
        <x:f>IF(C44&lt;='Method Controls'!$D$27,"PASS","FAIL")</x:f>
        <x:v>PASS</x:v>
      </x:c>
      <x:c r="J44" s="9" t="str">
        <x:f>IF(D44&lt;='Method Controls'!$D$28,"PASS","FAIL")</x:f>
        <x:v>PASS</x:v>
      </x:c>
      <x:c r="K44" s="9" t="str">
        <x:f>IF(AND(E44&lt;='Method Controls'!$D$27,F44&lt;='Method Controls'!$D$28),"PASS","FAIL")</x:f>
        <x:v>PASS</x:v>
      </x:c>
      <x:c r="L44" s="9" t="str">
        <x:f>IF(AND(I44="PASS",J44="PASS",K44="PASS"),"PASS","FAIL")</x:f>
        <x:v>PASS</x:v>
      </x:c>
    </x:row>
    <x:row r="45">
      <x:c r="B45" s="9" t="n">
        <x:v>129</x:v>
      </x:c>
      <x:c r="C45" s="9" t="n">
        <x:f>COUNTIFS('Residual Schedule'!$C$7:$C$98,"Closure",'Residual Schedule'!$H$7:$H$98,"&lt;="&amp;B45,'Residual Schedule'!$I$7:$I$98,"&gt;"&amp;B45)</x:f>
        <x:v>0</x:v>
      </x:c>
      <x:c r="D45" s="9" t="n">
        <x:f>COUNTIFS('Residual Schedule'!$C$7:$C$98,"Damage",'Residual Schedule'!$H$7:$H$98,"&lt;="&amp;B45,'Residual Schedule'!$I$7:$I$98,"&gt;"&amp;B45)</x:f>
        <x:v>3</x:v>
      </x:c>
      <x:c r="E45" s="9" t="n">
        <x:f>COUNTIFS('Residual Schedule'!$C$7:$C$98,"Closure",'Residual Schedule'!$I$7:$I$98,"&lt;="&amp;B45,'Residual Schedule'!$J$7:$J$98,"&gt;"&amp;B45)</x:f>
        <x:v>4</x:v>
      </x:c>
      <x:c r="F45" s="9" t="n">
        <x:f>COUNTIFS('Residual Schedule'!$C$7:$C$98,"Damage",'Residual Schedule'!$I$7:$I$98,"&lt;="&amp;B45,'Residual Schedule'!$J$7:$J$98,"&gt;"&amp;B45)</x:f>
        <x:v>0</x:v>
      </x:c>
      <x:c r="G45" s="9" t="n">
        <x:f>COUNTIFS('Residual Schedule'!$C$7:$C$98,"Closure",'Residual Schedule'!$J$7:$J$98,"&lt;="&amp;B45)</x:f>
        <x:v>8</x:v>
      </x:c>
      <x:c r="H45" s="9" t="n">
        <x:f>COUNTIFS('Residual Schedule'!$C$7:$C$98,"Damage",'Residual Schedule'!$J$7:$J$98,"&lt;="&amp;B45)</x:f>
        <x:v>3</x:v>
      </x:c>
      <x:c r="I45" s="9" t="str">
        <x:f>IF(C45&lt;='Method Controls'!$D$27,"PASS","FAIL")</x:f>
        <x:v>PASS</x:v>
      </x:c>
      <x:c r="J45" s="9" t="str">
        <x:f>IF(D45&lt;='Method Controls'!$D$28,"PASS","FAIL")</x:f>
        <x:v>PASS</x:v>
      </x:c>
      <x:c r="K45" s="9" t="str">
        <x:f>IF(AND(E45&lt;='Method Controls'!$D$27,F45&lt;='Method Controls'!$D$28),"PASS","FAIL")</x:f>
        <x:v>PASS</x:v>
      </x:c>
      <x:c r="L45" s="9" t="str">
        <x:f>IF(AND(I45="PASS",J45="PASS",K45="PASS"),"PASS","FAIL")</x:f>
        <x:v>PASS</x:v>
      </x:c>
    </x:row>
    <x:row r="46">
      <x:c r="B46" s="9" t="n">
        <x:v>130</x:v>
      </x:c>
      <x:c r="C46" s="9" t="n">
        <x:f>COUNTIFS('Residual Schedule'!$C$7:$C$98,"Closure",'Residual Schedule'!$H$7:$H$98,"&lt;="&amp;B46,'Residual Schedule'!$I$7:$I$98,"&gt;"&amp;B46)</x:f>
        <x:v>4</x:v>
      </x:c>
      <x:c r="D46" s="9" t="n">
        <x:f>COUNTIFS('Residual Schedule'!$C$7:$C$98,"Damage",'Residual Schedule'!$H$7:$H$98,"&lt;="&amp;B46,'Residual Schedule'!$I$7:$I$98,"&gt;"&amp;B46)</x:f>
        <x:v>3</x:v>
      </x:c>
      <x:c r="E46" s="9" t="n">
        <x:f>COUNTIFS('Residual Schedule'!$C$7:$C$98,"Closure",'Residual Schedule'!$I$7:$I$98,"&lt;="&amp;B46,'Residual Schedule'!$J$7:$J$98,"&gt;"&amp;B46)</x:f>
        <x:v>4</x:v>
      </x:c>
      <x:c r="F46" s="9" t="n">
        <x:f>COUNTIFS('Residual Schedule'!$C$7:$C$98,"Damage",'Residual Schedule'!$I$7:$I$98,"&lt;="&amp;B46,'Residual Schedule'!$J$7:$J$98,"&gt;"&amp;B46)</x:f>
        <x:v>0</x:v>
      </x:c>
      <x:c r="G46" s="9" t="n">
        <x:f>COUNTIFS('Residual Schedule'!$C$7:$C$98,"Closure",'Residual Schedule'!$J$7:$J$98,"&lt;="&amp;B46)</x:f>
        <x:v>8</x:v>
      </x:c>
      <x:c r="H46" s="9" t="n">
        <x:f>COUNTIFS('Residual Schedule'!$C$7:$C$98,"Damage",'Residual Schedule'!$J$7:$J$98,"&lt;="&amp;B46)</x:f>
        <x:v>3</x:v>
      </x:c>
      <x:c r="I46" s="9" t="str">
        <x:f>IF(C46&lt;='Method Controls'!$D$27,"PASS","FAIL")</x:f>
        <x:v>PASS</x:v>
      </x:c>
      <x:c r="J46" s="9" t="str">
        <x:f>IF(D46&lt;='Method Controls'!$D$28,"PASS","FAIL")</x:f>
        <x:v>PASS</x:v>
      </x:c>
      <x:c r="K46" s="9" t="str">
        <x:f>IF(AND(E46&lt;='Method Controls'!$D$27,F46&lt;='Method Controls'!$D$28),"PASS","FAIL")</x:f>
        <x:v>PASS</x:v>
      </x:c>
      <x:c r="L46" s="9" t="str">
        <x:f>IF(AND(I46="PASS",J46="PASS",K46="PASS"),"PASS","FAIL")</x:f>
        <x:v>PASS</x:v>
      </x:c>
    </x:row>
    <x:row r="47">
      <x:c r="B47" s="9" t="n">
        <x:v>131</x:v>
      </x:c>
      <x:c r="C47" s="9" t="n">
        <x:f>COUNTIFS('Residual Schedule'!$C$7:$C$98,"Closure",'Residual Schedule'!$H$7:$H$98,"&lt;="&amp;B47,'Residual Schedule'!$I$7:$I$98,"&gt;"&amp;B47)</x:f>
        <x:v>4</x:v>
      </x:c>
      <x:c r="D47" s="9" t="n">
        <x:f>COUNTIFS('Residual Schedule'!$C$7:$C$98,"Damage",'Residual Schedule'!$H$7:$H$98,"&lt;="&amp;B47,'Residual Schedule'!$I$7:$I$98,"&gt;"&amp;B47)</x:f>
        <x:v>3</x:v>
      </x:c>
      <x:c r="E47" s="9" t="n">
        <x:f>COUNTIFS('Residual Schedule'!$C$7:$C$98,"Closure",'Residual Schedule'!$I$7:$I$98,"&lt;="&amp;B47,'Residual Schedule'!$J$7:$J$98,"&gt;"&amp;B47)</x:f>
        <x:v>4</x:v>
      </x:c>
      <x:c r="F47" s="9" t="n">
        <x:f>COUNTIFS('Residual Schedule'!$C$7:$C$98,"Damage",'Residual Schedule'!$I$7:$I$98,"&lt;="&amp;B47,'Residual Schedule'!$J$7:$J$98,"&gt;"&amp;B47)</x:f>
        <x:v>0</x:v>
      </x:c>
      <x:c r="G47" s="9" t="n">
        <x:f>COUNTIFS('Residual Schedule'!$C$7:$C$98,"Closure",'Residual Schedule'!$J$7:$J$98,"&lt;="&amp;B47)</x:f>
        <x:v>8</x:v>
      </x:c>
      <x:c r="H47" s="9" t="n">
        <x:f>COUNTIFS('Residual Schedule'!$C$7:$C$98,"Damage",'Residual Schedule'!$J$7:$J$98,"&lt;="&amp;B47)</x:f>
        <x:v>3</x:v>
      </x:c>
      <x:c r="I47" s="9" t="str">
        <x:f>IF(C47&lt;='Method Controls'!$D$27,"PASS","FAIL")</x:f>
        <x:v>PASS</x:v>
      </x:c>
      <x:c r="J47" s="9" t="str">
        <x:f>IF(D47&lt;='Method Controls'!$D$28,"PASS","FAIL")</x:f>
        <x:v>PASS</x:v>
      </x:c>
      <x:c r="K47" s="9" t="str">
        <x:f>IF(AND(E47&lt;='Method Controls'!$D$27,F47&lt;='Method Controls'!$D$28),"PASS","FAIL")</x:f>
        <x:v>PASS</x:v>
      </x:c>
      <x:c r="L47" s="9" t="str">
        <x:f>IF(AND(I47="PASS",J47="PASS",K47="PASS"),"PASS","FAIL")</x:f>
        <x:v>PASS</x:v>
      </x:c>
    </x:row>
    <x:row r="48">
      <x:c r="B48" s="9" t="n">
        <x:v>132</x:v>
      </x:c>
      <x:c r="C48" s="9" t="n">
        <x:f>COUNTIFS('Residual Schedule'!$C$7:$C$98,"Closure",'Residual Schedule'!$H$7:$H$98,"&lt;="&amp;B48,'Residual Schedule'!$I$7:$I$98,"&gt;"&amp;B48)</x:f>
        <x:v>4</x:v>
      </x:c>
      <x:c r="D48" s="9" t="n">
        <x:f>COUNTIFS('Residual Schedule'!$C$7:$C$98,"Damage",'Residual Schedule'!$H$7:$H$98,"&lt;="&amp;B48,'Residual Schedule'!$I$7:$I$98,"&gt;"&amp;B48)</x:f>
        <x:v>0</x:v>
      </x:c>
      <x:c r="E48" s="9" t="n">
        <x:f>COUNTIFS('Residual Schedule'!$C$7:$C$98,"Closure",'Residual Schedule'!$I$7:$I$98,"&lt;="&amp;B48,'Residual Schedule'!$J$7:$J$98,"&gt;"&amp;B48)</x:f>
        <x:v>4</x:v>
      </x:c>
      <x:c r="F48" s="9" t="n">
        <x:f>COUNTIFS('Residual Schedule'!$C$7:$C$98,"Damage",'Residual Schedule'!$I$7:$I$98,"&lt;="&amp;B48,'Residual Schedule'!$J$7:$J$98,"&gt;"&amp;B48)</x:f>
        <x:v>3</x:v>
      </x:c>
      <x:c r="G48" s="9" t="n">
        <x:f>COUNTIFS('Residual Schedule'!$C$7:$C$98,"Closure",'Residual Schedule'!$J$7:$J$98,"&lt;="&amp;B48)</x:f>
        <x:v>8</x:v>
      </x:c>
      <x:c r="H48" s="9" t="n">
        <x:f>COUNTIFS('Residual Schedule'!$C$7:$C$98,"Damage",'Residual Schedule'!$J$7:$J$98,"&lt;="&amp;B48)</x:f>
        <x:v>3</x:v>
      </x:c>
      <x:c r="I48" s="9" t="str">
        <x:f>IF(C48&lt;='Method Controls'!$D$27,"PASS","FAIL")</x:f>
        <x:v>PASS</x:v>
      </x:c>
      <x:c r="J48" s="9" t="str">
        <x:f>IF(D48&lt;='Method Controls'!$D$28,"PASS","FAIL")</x:f>
        <x:v>PASS</x:v>
      </x:c>
      <x:c r="K48" s="9" t="str">
        <x:f>IF(AND(E48&lt;='Method Controls'!$D$27,F48&lt;='Method Controls'!$D$28),"PASS","FAIL")</x:f>
        <x:v>PASS</x:v>
      </x:c>
      <x:c r="L48" s="9" t="str">
        <x:f>IF(AND(I48="PASS",J48="PASS",K48="PASS"),"PASS","FAIL")</x:f>
        <x:v>PASS</x:v>
      </x:c>
    </x:row>
    <x:row r="49">
      <x:c r="B49" s="9" t="n">
        <x:v>133</x:v>
      </x:c>
      <x:c r="C49" s="9" t="n">
        <x:f>COUNTIFS('Residual Schedule'!$C$7:$C$98,"Closure",'Residual Schedule'!$H$7:$H$98,"&lt;="&amp;B49,'Residual Schedule'!$I$7:$I$98,"&gt;"&amp;B49)</x:f>
        <x:v>4</x:v>
      </x:c>
      <x:c r="D49" s="9" t="n">
        <x:f>COUNTIFS('Residual Schedule'!$C$7:$C$98,"Damage",'Residual Schedule'!$H$7:$H$98,"&lt;="&amp;B49,'Residual Schedule'!$I$7:$I$98,"&gt;"&amp;B49)</x:f>
        <x:v>0</x:v>
      </x:c>
      <x:c r="E49" s="9" t="n">
        <x:f>COUNTIFS('Residual Schedule'!$C$7:$C$98,"Closure",'Residual Schedule'!$I$7:$I$98,"&lt;="&amp;B49,'Residual Schedule'!$J$7:$J$98,"&gt;"&amp;B49)</x:f>
        <x:v>0</x:v>
      </x:c>
      <x:c r="F49" s="9" t="n">
        <x:f>COUNTIFS('Residual Schedule'!$C$7:$C$98,"Damage",'Residual Schedule'!$I$7:$I$98,"&lt;="&amp;B49,'Residual Schedule'!$J$7:$J$98,"&gt;"&amp;B49)</x:f>
        <x:v>3</x:v>
      </x:c>
      <x:c r="G49" s="9" t="n">
        <x:f>COUNTIFS('Residual Schedule'!$C$7:$C$98,"Closure",'Residual Schedule'!$J$7:$J$98,"&lt;="&amp;B49)</x:f>
        <x:v>12</x:v>
      </x:c>
      <x:c r="H49" s="9" t="n">
        <x:f>COUNTIFS('Residual Schedule'!$C$7:$C$98,"Damage",'Residual Schedule'!$J$7:$J$98,"&lt;="&amp;B49)</x:f>
        <x:v>3</x:v>
      </x:c>
      <x:c r="I49" s="9" t="str">
        <x:f>IF(C49&lt;='Method Controls'!$D$27,"PASS","FAIL")</x:f>
        <x:v>PASS</x:v>
      </x:c>
      <x:c r="J49" s="9" t="str">
        <x:f>IF(D49&lt;='Method Controls'!$D$28,"PASS","FAIL")</x:f>
        <x:v>PASS</x:v>
      </x:c>
      <x:c r="K49" s="9" t="str">
        <x:f>IF(AND(E49&lt;='Method Controls'!$D$27,F49&lt;='Method Controls'!$D$28),"PASS","FAIL")</x:f>
        <x:v>PASS</x:v>
      </x:c>
      <x:c r="L49" s="9" t="str">
        <x:f>IF(AND(I49="PASS",J49="PASS",K49="PASS"),"PASS","FAIL")</x:f>
        <x:v>PASS</x:v>
      </x:c>
    </x:row>
    <x:row r="50">
      <x:c r="B50" s="9" t="n">
        <x:v>134</x:v>
      </x:c>
      <x:c r="C50" s="9" t="n">
        <x:f>COUNTIFS('Residual Schedule'!$C$7:$C$98,"Closure",'Residual Schedule'!$H$7:$H$98,"&lt;="&amp;B50,'Residual Schedule'!$I$7:$I$98,"&gt;"&amp;B50)</x:f>
        <x:v>4</x:v>
      </x:c>
      <x:c r="D50" s="9" t="n">
        <x:f>COUNTIFS('Residual Schedule'!$C$7:$C$98,"Damage",'Residual Schedule'!$H$7:$H$98,"&lt;="&amp;B50,'Residual Schedule'!$I$7:$I$98,"&gt;"&amp;B50)</x:f>
        <x:v>0</x:v>
      </x:c>
      <x:c r="E50" s="9" t="n">
        <x:f>COUNTIFS('Residual Schedule'!$C$7:$C$98,"Closure",'Residual Schedule'!$I$7:$I$98,"&lt;="&amp;B50,'Residual Schedule'!$J$7:$J$98,"&gt;"&amp;B50)</x:f>
        <x:v>0</x:v>
      </x:c>
      <x:c r="F50" s="9" t="n">
        <x:f>COUNTIFS('Residual Schedule'!$C$7:$C$98,"Damage",'Residual Schedule'!$I$7:$I$98,"&lt;="&amp;B50,'Residual Schedule'!$J$7:$J$98,"&gt;"&amp;B50)</x:f>
        <x:v>3</x:v>
      </x:c>
      <x:c r="G50" s="9" t="n">
        <x:f>COUNTIFS('Residual Schedule'!$C$7:$C$98,"Closure",'Residual Schedule'!$J$7:$J$98,"&lt;="&amp;B50)</x:f>
        <x:v>12</x:v>
      </x:c>
      <x:c r="H50" s="9" t="n">
        <x:f>COUNTIFS('Residual Schedule'!$C$7:$C$98,"Damage",'Residual Schedule'!$J$7:$J$98,"&lt;="&amp;B50)</x:f>
        <x:v>3</x:v>
      </x:c>
      <x:c r="I50" s="9" t="str">
        <x:f>IF(C50&lt;='Method Controls'!$D$27,"PASS","FAIL")</x:f>
        <x:v>PASS</x:v>
      </x:c>
      <x:c r="J50" s="9" t="str">
        <x:f>IF(D50&lt;='Method Controls'!$D$28,"PASS","FAIL")</x:f>
        <x:v>PASS</x:v>
      </x:c>
      <x:c r="K50" s="9" t="str">
        <x:f>IF(AND(E50&lt;='Method Controls'!$D$27,F50&lt;='Method Controls'!$D$28),"PASS","FAIL")</x:f>
        <x:v>PASS</x:v>
      </x:c>
      <x:c r="L50" s="9" t="str">
        <x:f>IF(AND(I50="PASS",J50="PASS",K50="PASS"),"PASS","FAIL")</x:f>
        <x:v>PASS</x:v>
      </x:c>
    </x:row>
    <x:row r="51">
      <x:c r="B51" s="9" t="n">
        <x:v>135</x:v>
      </x:c>
      <x:c r="C51" s="9" t="n">
        <x:f>COUNTIFS('Residual Schedule'!$C$7:$C$98,"Closure",'Residual Schedule'!$H$7:$H$98,"&lt;="&amp;B51,'Residual Schedule'!$I$7:$I$98,"&gt;"&amp;B51)</x:f>
        <x:v>4</x:v>
      </x:c>
      <x:c r="D51" s="9" t="n">
        <x:f>COUNTIFS('Residual Schedule'!$C$7:$C$98,"Damage",'Residual Schedule'!$H$7:$H$98,"&lt;="&amp;B51,'Residual Schedule'!$I$7:$I$98,"&gt;"&amp;B51)</x:f>
        <x:v>0</x:v>
      </x:c>
      <x:c r="E51" s="9" t="n">
        <x:f>COUNTIFS('Residual Schedule'!$C$7:$C$98,"Closure",'Residual Schedule'!$I$7:$I$98,"&lt;="&amp;B51,'Residual Schedule'!$J$7:$J$98,"&gt;"&amp;B51)</x:f>
        <x:v>0</x:v>
      </x:c>
      <x:c r="F51" s="9" t="n">
        <x:f>COUNTIFS('Residual Schedule'!$C$7:$C$98,"Damage",'Residual Schedule'!$I$7:$I$98,"&lt;="&amp;B51,'Residual Schedule'!$J$7:$J$98,"&gt;"&amp;B51)</x:f>
        <x:v>3</x:v>
      </x:c>
      <x:c r="G51" s="9" t="n">
        <x:f>COUNTIFS('Residual Schedule'!$C$7:$C$98,"Closure",'Residual Schedule'!$J$7:$J$98,"&lt;="&amp;B51)</x:f>
        <x:v>12</x:v>
      </x:c>
      <x:c r="H51" s="9" t="n">
        <x:f>COUNTIFS('Residual Schedule'!$C$7:$C$98,"Damage",'Residual Schedule'!$J$7:$J$98,"&lt;="&amp;B51)</x:f>
        <x:v>3</x:v>
      </x:c>
      <x:c r="I51" s="9" t="str">
        <x:f>IF(C51&lt;='Method Controls'!$D$27,"PASS","FAIL")</x:f>
        <x:v>PASS</x:v>
      </x:c>
      <x:c r="J51" s="9" t="str">
        <x:f>IF(D51&lt;='Method Controls'!$D$28,"PASS","FAIL")</x:f>
        <x:v>PASS</x:v>
      </x:c>
      <x:c r="K51" s="9" t="str">
        <x:f>IF(AND(E51&lt;='Method Controls'!$D$27,F51&lt;='Method Controls'!$D$28),"PASS","FAIL")</x:f>
        <x:v>PASS</x:v>
      </x:c>
      <x:c r="L51" s="9" t="str">
        <x:f>IF(AND(I51="PASS",J51="PASS",K51="PASS"),"PASS","FAIL")</x:f>
        <x:v>PASS</x:v>
      </x:c>
    </x:row>
    <x:row r="52">
      <x:c r="B52" s="9" t="n">
        <x:v>136</x:v>
      </x:c>
      <x:c r="C52" s="9" t="n">
        <x:f>COUNTIFS('Residual Schedule'!$C$7:$C$98,"Closure",'Residual Schedule'!$H$7:$H$98,"&lt;="&amp;B52,'Residual Schedule'!$I$7:$I$98,"&gt;"&amp;B52)</x:f>
        <x:v>4</x:v>
      </x:c>
      <x:c r="D52" s="9" t="n">
        <x:f>COUNTIFS('Residual Schedule'!$C$7:$C$98,"Damage",'Residual Schedule'!$H$7:$H$98,"&lt;="&amp;B52,'Residual Schedule'!$I$7:$I$98,"&gt;"&amp;B52)</x:f>
        <x:v>0</x:v>
      </x:c>
      <x:c r="E52" s="9" t="n">
        <x:f>COUNTIFS('Residual Schedule'!$C$7:$C$98,"Closure",'Residual Schedule'!$I$7:$I$98,"&lt;="&amp;B52,'Residual Schedule'!$J$7:$J$98,"&gt;"&amp;B52)</x:f>
        <x:v>0</x:v>
      </x:c>
      <x:c r="F52" s="9" t="n">
        <x:f>COUNTIFS('Residual Schedule'!$C$7:$C$98,"Damage",'Residual Schedule'!$I$7:$I$98,"&lt;="&amp;B52,'Residual Schedule'!$J$7:$J$98,"&gt;"&amp;B52)</x:f>
        <x:v>3</x:v>
      </x:c>
      <x:c r="G52" s="9" t="n">
        <x:f>COUNTIFS('Residual Schedule'!$C$7:$C$98,"Closure",'Residual Schedule'!$J$7:$J$98,"&lt;="&amp;B52)</x:f>
        <x:v>12</x:v>
      </x:c>
      <x:c r="H52" s="9" t="n">
        <x:f>COUNTIFS('Residual Schedule'!$C$7:$C$98,"Damage",'Residual Schedule'!$J$7:$J$98,"&lt;="&amp;B52)</x:f>
        <x:v>3</x:v>
      </x:c>
      <x:c r="I52" s="9" t="str">
        <x:f>IF(C52&lt;='Method Controls'!$D$27,"PASS","FAIL")</x:f>
        <x:v>PASS</x:v>
      </x:c>
      <x:c r="J52" s="9" t="str">
        <x:f>IF(D52&lt;='Method Controls'!$D$28,"PASS","FAIL")</x:f>
        <x:v>PASS</x:v>
      </x:c>
      <x:c r="K52" s="9" t="str">
        <x:f>IF(AND(E52&lt;='Method Controls'!$D$27,F52&lt;='Method Controls'!$D$28),"PASS","FAIL")</x:f>
        <x:v>PASS</x:v>
      </x:c>
      <x:c r="L52" s="9" t="str">
        <x:f>IF(AND(I52="PASS",J52="PASS",K52="PASS"),"PASS","FAIL")</x:f>
        <x:v>PASS</x:v>
      </x:c>
    </x:row>
    <x:row r="53">
      <x:c r="B53" s="9" t="n">
        <x:v>137</x:v>
      </x:c>
      <x:c r="C53" s="9" t="n">
        <x:f>COUNTIFS('Residual Schedule'!$C$7:$C$98,"Closure",'Residual Schedule'!$H$7:$H$98,"&lt;="&amp;B53,'Residual Schedule'!$I$7:$I$98,"&gt;"&amp;B53)</x:f>
        <x:v>4</x:v>
      </x:c>
      <x:c r="D53" s="9" t="n">
        <x:f>COUNTIFS('Residual Schedule'!$C$7:$C$98,"Damage",'Residual Schedule'!$H$7:$H$98,"&lt;="&amp;B53,'Residual Schedule'!$I$7:$I$98,"&gt;"&amp;B53)</x:f>
        <x:v>0</x:v>
      </x:c>
      <x:c r="E53" s="9" t="n">
        <x:f>COUNTIFS('Residual Schedule'!$C$7:$C$98,"Closure",'Residual Schedule'!$I$7:$I$98,"&lt;="&amp;B53,'Residual Schedule'!$J$7:$J$98,"&gt;"&amp;B53)</x:f>
        <x:v>0</x:v>
      </x:c>
      <x:c r="F53" s="9" t="n">
        <x:f>COUNTIFS('Residual Schedule'!$C$7:$C$98,"Damage",'Residual Schedule'!$I$7:$I$98,"&lt;="&amp;B53,'Residual Schedule'!$J$7:$J$98,"&gt;"&amp;B53)</x:f>
        <x:v>3</x:v>
      </x:c>
      <x:c r="G53" s="9" t="n">
        <x:f>COUNTIFS('Residual Schedule'!$C$7:$C$98,"Closure",'Residual Schedule'!$J$7:$J$98,"&lt;="&amp;B53)</x:f>
        <x:v>12</x:v>
      </x:c>
      <x:c r="H53" s="9" t="n">
        <x:f>COUNTIFS('Residual Schedule'!$C$7:$C$98,"Damage",'Residual Schedule'!$J$7:$J$98,"&lt;="&amp;B53)</x:f>
        <x:v>3</x:v>
      </x:c>
      <x:c r="I53" s="9" t="str">
        <x:f>IF(C53&lt;='Method Controls'!$D$27,"PASS","FAIL")</x:f>
        <x:v>PASS</x:v>
      </x:c>
      <x:c r="J53" s="9" t="str">
        <x:f>IF(D53&lt;='Method Controls'!$D$28,"PASS","FAIL")</x:f>
        <x:v>PASS</x:v>
      </x:c>
      <x:c r="K53" s="9" t="str">
        <x:f>IF(AND(E53&lt;='Method Controls'!$D$27,F53&lt;='Method Controls'!$D$28),"PASS","FAIL")</x:f>
        <x:v>PASS</x:v>
      </x:c>
      <x:c r="L53" s="9" t="str">
        <x:f>IF(AND(I53="PASS",J53="PASS",K53="PASS"),"PASS","FAIL")</x:f>
        <x:v>PASS</x:v>
      </x:c>
    </x:row>
    <x:row r="54">
      <x:c r="B54" s="9" t="n">
        <x:v>138</x:v>
      </x:c>
      <x:c r="C54" s="9" t="n">
        <x:f>COUNTIFS('Residual Schedule'!$C$7:$C$98,"Closure",'Residual Schedule'!$H$7:$H$98,"&lt;="&amp;B54,'Residual Schedule'!$I$7:$I$98,"&gt;"&amp;B54)</x:f>
        <x:v>4</x:v>
      </x:c>
      <x:c r="D54" s="9" t="n">
        <x:f>COUNTIFS('Residual Schedule'!$C$7:$C$98,"Damage",'Residual Schedule'!$H$7:$H$98,"&lt;="&amp;B54,'Residual Schedule'!$I$7:$I$98,"&gt;"&amp;B54)</x:f>
        <x:v>0</x:v>
      </x:c>
      <x:c r="E54" s="9" t="n">
        <x:f>COUNTIFS('Residual Schedule'!$C$7:$C$98,"Closure",'Residual Schedule'!$I$7:$I$98,"&lt;="&amp;B54,'Residual Schedule'!$J$7:$J$98,"&gt;"&amp;B54)</x:f>
        <x:v>0</x:v>
      </x:c>
      <x:c r="F54" s="9" t="n">
        <x:f>COUNTIFS('Residual Schedule'!$C$7:$C$98,"Damage",'Residual Schedule'!$I$7:$I$98,"&lt;="&amp;B54,'Residual Schedule'!$J$7:$J$98,"&gt;"&amp;B54)</x:f>
        <x:v>3</x:v>
      </x:c>
      <x:c r="G54" s="9" t="n">
        <x:f>COUNTIFS('Residual Schedule'!$C$7:$C$98,"Closure",'Residual Schedule'!$J$7:$J$98,"&lt;="&amp;B54)</x:f>
        <x:v>12</x:v>
      </x:c>
      <x:c r="H54" s="9" t="n">
        <x:f>COUNTIFS('Residual Schedule'!$C$7:$C$98,"Damage",'Residual Schedule'!$J$7:$J$98,"&lt;="&amp;B54)</x:f>
        <x:v>3</x:v>
      </x:c>
      <x:c r="I54" s="9" t="str">
        <x:f>IF(C54&lt;='Method Controls'!$D$27,"PASS","FAIL")</x:f>
        <x:v>PASS</x:v>
      </x:c>
      <x:c r="J54" s="9" t="str">
        <x:f>IF(D54&lt;='Method Controls'!$D$28,"PASS","FAIL")</x:f>
        <x:v>PASS</x:v>
      </x:c>
      <x:c r="K54" s="9" t="str">
        <x:f>IF(AND(E54&lt;='Method Controls'!$D$27,F54&lt;='Method Controls'!$D$28),"PASS","FAIL")</x:f>
        <x:v>PASS</x:v>
      </x:c>
      <x:c r="L54" s="9" t="str">
        <x:f>IF(AND(I54="PASS",J54="PASS",K54="PASS"),"PASS","FAIL")</x:f>
        <x:v>PASS</x:v>
      </x:c>
    </x:row>
    <x:row r="55">
      <x:c r="B55" s="9" t="n">
        <x:v>139</x:v>
      </x:c>
      <x:c r="C55" s="9" t="n">
        <x:f>COUNTIFS('Residual Schedule'!$C$7:$C$98,"Closure",'Residual Schedule'!$H$7:$H$98,"&lt;="&amp;B55,'Residual Schedule'!$I$7:$I$98,"&gt;"&amp;B55)</x:f>
        <x:v>0</x:v>
      </x:c>
      <x:c r="D55" s="9" t="n">
        <x:f>COUNTIFS('Residual Schedule'!$C$7:$C$98,"Damage",'Residual Schedule'!$H$7:$H$98,"&lt;="&amp;B55,'Residual Schedule'!$I$7:$I$98,"&gt;"&amp;B55)</x:f>
        <x:v>0</x:v>
      </x:c>
      <x:c r="E55" s="9" t="n">
        <x:f>COUNTIFS('Residual Schedule'!$C$7:$C$98,"Closure",'Residual Schedule'!$I$7:$I$98,"&lt;="&amp;B55,'Residual Schedule'!$J$7:$J$98,"&gt;"&amp;B55)</x:f>
        <x:v>4</x:v>
      </x:c>
      <x:c r="F55" s="9" t="n">
        <x:f>COUNTIFS('Residual Schedule'!$C$7:$C$98,"Damage",'Residual Schedule'!$I$7:$I$98,"&lt;="&amp;B55,'Residual Schedule'!$J$7:$J$98,"&gt;"&amp;B55)</x:f>
        <x:v>3</x:v>
      </x:c>
      <x:c r="G55" s="9" t="n">
        <x:f>COUNTIFS('Residual Schedule'!$C$7:$C$98,"Closure",'Residual Schedule'!$J$7:$J$98,"&lt;="&amp;B55)</x:f>
        <x:v>12</x:v>
      </x:c>
      <x:c r="H55" s="9" t="n">
        <x:f>COUNTIFS('Residual Schedule'!$C$7:$C$98,"Damage",'Residual Schedule'!$J$7:$J$98,"&lt;="&amp;B55)</x:f>
        <x:v>3</x:v>
      </x:c>
      <x:c r="I55" s="9" t="str">
        <x:f>IF(C55&lt;='Method Controls'!$D$27,"PASS","FAIL")</x:f>
        <x:v>PASS</x:v>
      </x:c>
      <x:c r="J55" s="9" t="str">
        <x:f>IF(D55&lt;='Method Controls'!$D$28,"PASS","FAIL")</x:f>
        <x:v>PASS</x:v>
      </x:c>
      <x:c r="K55" s="9" t="str">
        <x:f>IF(AND(E55&lt;='Method Controls'!$D$27,F55&lt;='Method Controls'!$D$28),"PASS","FAIL")</x:f>
        <x:v>PASS</x:v>
      </x:c>
      <x:c r="L55" s="9" t="str">
        <x:f>IF(AND(I55="PASS",J55="PASS",K55="PASS"),"PASS","FAIL")</x:f>
        <x:v>PASS</x:v>
      </x:c>
    </x:row>
    <x:row r="56">
      <x:c r="B56" s="9" t="n">
        <x:v>140</x:v>
      </x:c>
      <x:c r="C56" s="9" t="n">
        <x:f>COUNTIFS('Residual Schedule'!$C$7:$C$98,"Closure",'Residual Schedule'!$H$7:$H$98,"&lt;="&amp;B56,'Residual Schedule'!$I$7:$I$98,"&gt;"&amp;B56)</x:f>
        <x:v>0</x:v>
      </x:c>
      <x:c r="D56" s="9" t="n">
        <x:f>COUNTIFS('Residual Schedule'!$C$7:$C$98,"Damage",'Residual Schedule'!$H$7:$H$98,"&lt;="&amp;B56,'Residual Schedule'!$I$7:$I$98,"&gt;"&amp;B56)</x:f>
        <x:v>0</x:v>
      </x:c>
      <x:c r="E56" s="9" t="n">
        <x:f>COUNTIFS('Residual Schedule'!$C$7:$C$98,"Closure",'Residual Schedule'!$I$7:$I$98,"&lt;="&amp;B56,'Residual Schedule'!$J$7:$J$98,"&gt;"&amp;B56)</x:f>
        <x:v>4</x:v>
      </x:c>
      <x:c r="F56" s="9" t="n">
        <x:f>COUNTIFS('Residual Schedule'!$C$7:$C$98,"Damage",'Residual Schedule'!$I$7:$I$98,"&lt;="&amp;B56,'Residual Schedule'!$J$7:$J$98,"&gt;"&amp;B56)</x:f>
        <x:v>3</x:v>
      </x:c>
      <x:c r="G56" s="9" t="n">
        <x:f>COUNTIFS('Residual Schedule'!$C$7:$C$98,"Closure",'Residual Schedule'!$J$7:$J$98,"&lt;="&amp;B56)</x:f>
        <x:v>12</x:v>
      </x:c>
      <x:c r="H56" s="9" t="n">
        <x:f>COUNTIFS('Residual Schedule'!$C$7:$C$98,"Damage",'Residual Schedule'!$J$7:$J$98,"&lt;="&amp;B56)</x:f>
        <x:v>3</x:v>
      </x:c>
      <x:c r="I56" s="9" t="str">
        <x:f>IF(C56&lt;='Method Controls'!$D$27,"PASS","FAIL")</x:f>
        <x:v>PASS</x:v>
      </x:c>
      <x:c r="J56" s="9" t="str">
        <x:f>IF(D56&lt;='Method Controls'!$D$28,"PASS","FAIL")</x:f>
        <x:v>PASS</x:v>
      </x:c>
      <x:c r="K56" s="9" t="str">
        <x:f>IF(AND(E56&lt;='Method Controls'!$D$27,F56&lt;='Method Controls'!$D$28),"PASS","FAIL")</x:f>
        <x:v>PASS</x:v>
      </x:c>
      <x:c r="L56" s="9" t="str">
        <x:f>IF(AND(I56="PASS",J56="PASS",K56="PASS"),"PASS","FAIL")</x:f>
        <x:v>PASS</x:v>
      </x:c>
    </x:row>
    <x:row r="57">
      <x:c r="B57" s="9" t="n">
        <x:v>141</x:v>
      </x:c>
      <x:c r="C57" s="9" t="n">
        <x:f>COUNTIFS('Residual Schedule'!$C$7:$C$98,"Closure",'Residual Schedule'!$H$7:$H$98,"&lt;="&amp;B57,'Residual Schedule'!$I$7:$I$98,"&gt;"&amp;B57)</x:f>
        <x:v>0</x:v>
      </x:c>
      <x:c r="D57" s="9" t="n">
        <x:f>COUNTIFS('Residual Schedule'!$C$7:$C$98,"Damage",'Residual Schedule'!$H$7:$H$98,"&lt;="&amp;B57,'Residual Schedule'!$I$7:$I$98,"&gt;"&amp;B57)</x:f>
        <x:v>0</x:v>
      </x:c>
      <x:c r="E57" s="9" t="n">
        <x:f>COUNTIFS('Residual Schedule'!$C$7:$C$98,"Closure",'Residual Schedule'!$I$7:$I$98,"&lt;="&amp;B57,'Residual Schedule'!$J$7:$J$98,"&gt;"&amp;B57)</x:f>
        <x:v>4</x:v>
      </x:c>
      <x:c r="F57" s="9" t="n">
        <x:f>COUNTIFS('Residual Schedule'!$C$7:$C$98,"Damage",'Residual Schedule'!$I$7:$I$98,"&lt;="&amp;B57,'Residual Schedule'!$J$7:$J$98,"&gt;"&amp;B57)</x:f>
        <x:v>0</x:v>
      </x:c>
      <x:c r="G57" s="9" t="n">
        <x:f>COUNTIFS('Residual Schedule'!$C$7:$C$98,"Closure",'Residual Schedule'!$J$7:$J$98,"&lt;="&amp;B57)</x:f>
        <x:v>12</x:v>
      </x:c>
      <x:c r="H57" s="9" t="n">
        <x:f>COUNTIFS('Residual Schedule'!$C$7:$C$98,"Damage",'Residual Schedule'!$J$7:$J$98,"&lt;="&amp;B57)</x:f>
        <x:v>6</x:v>
      </x:c>
      <x:c r="I57" s="9" t="str">
        <x:f>IF(C57&lt;='Method Controls'!$D$27,"PASS","FAIL")</x:f>
        <x:v>PASS</x:v>
      </x:c>
      <x:c r="J57" s="9" t="str">
        <x:f>IF(D57&lt;='Method Controls'!$D$28,"PASS","FAIL")</x:f>
        <x:v>PASS</x:v>
      </x:c>
      <x:c r="K57" s="9" t="str">
        <x:f>IF(AND(E57&lt;='Method Controls'!$D$27,F57&lt;='Method Controls'!$D$28),"PASS","FAIL")</x:f>
        <x:v>PASS</x:v>
      </x:c>
      <x:c r="L57" s="9" t="str">
        <x:f>IF(AND(I57="PASS",J57="PASS",K57="PASS"),"PASS","FAIL")</x:f>
        <x:v>PASS</x:v>
      </x:c>
    </x:row>
    <x:row r="58">
      <x:c r="B58" s="9" t="n">
        <x:v>142</x:v>
      </x:c>
      <x:c r="C58" s="9" t="n">
        <x:f>COUNTIFS('Residual Schedule'!$C$7:$C$98,"Closure",'Residual Schedule'!$H$7:$H$98,"&lt;="&amp;B58,'Residual Schedule'!$I$7:$I$98,"&gt;"&amp;B58)</x:f>
        <x:v>0</x:v>
      </x:c>
      <x:c r="D58" s="9" t="n">
        <x:f>COUNTIFS('Residual Schedule'!$C$7:$C$98,"Damage",'Residual Schedule'!$H$7:$H$98,"&lt;="&amp;B58,'Residual Schedule'!$I$7:$I$98,"&gt;"&amp;B58)</x:f>
        <x:v>3</x:v>
      </x:c>
      <x:c r="E58" s="9" t="n">
        <x:f>COUNTIFS('Residual Schedule'!$C$7:$C$98,"Closure",'Residual Schedule'!$I$7:$I$98,"&lt;="&amp;B58,'Residual Schedule'!$J$7:$J$98,"&gt;"&amp;B58)</x:f>
        <x:v>4</x:v>
      </x:c>
      <x:c r="F58" s="9" t="n">
        <x:f>COUNTIFS('Residual Schedule'!$C$7:$C$98,"Damage",'Residual Schedule'!$I$7:$I$98,"&lt;="&amp;B58,'Residual Schedule'!$J$7:$J$98,"&gt;"&amp;B58)</x:f>
        <x:v>0</x:v>
      </x:c>
      <x:c r="G58" s="9" t="n">
        <x:f>COUNTIFS('Residual Schedule'!$C$7:$C$98,"Closure",'Residual Schedule'!$J$7:$J$98,"&lt;="&amp;B58)</x:f>
        <x:v>12</x:v>
      </x:c>
      <x:c r="H58" s="9" t="n">
        <x:f>COUNTIFS('Residual Schedule'!$C$7:$C$98,"Damage",'Residual Schedule'!$J$7:$J$98,"&lt;="&amp;B58)</x:f>
        <x:v>6</x:v>
      </x:c>
      <x:c r="I58" s="9" t="str">
        <x:f>IF(C58&lt;='Method Controls'!$D$27,"PASS","FAIL")</x:f>
        <x:v>PASS</x:v>
      </x:c>
      <x:c r="J58" s="9" t="str">
        <x:f>IF(D58&lt;='Method Controls'!$D$28,"PASS","FAIL")</x:f>
        <x:v>PASS</x:v>
      </x:c>
      <x:c r="K58" s="9" t="str">
        <x:f>IF(AND(E58&lt;='Method Controls'!$D$27,F58&lt;='Method Controls'!$D$28),"PASS","FAIL")</x:f>
        <x:v>PASS</x:v>
      </x:c>
      <x:c r="L58" s="9" t="str">
        <x:f>IF(AND(I58="PASS",J58="PASS",K58="PASS"),"PASS","FAIL")</x:f>
        <x:v>PASS</x:v>
      </x:c>
    </x:row>
    <x:row r="59">
      <x:c r="B59" s="9" t="n">
        <x:v>143</x:v>
      </x:c>
      <x:c r="C59" s="9" t="n">
        <x:f>COUNTIFS('Residual Schedule'!$C$7:$C$98,"Closure",'Residual Schedule'!$H$7:$H$98,"&lt;="&amp;B59,'Residual Schedule'!$I$7:$I$98,"&gt;"&amp;B59)</x:f>
        <x:v>4</x:v>
      </x:c>
      <x:c r="D59" s="9" t="n">
        <x:f>COUNTIFS('Residual Schedule'!$C$7:$C$98,"Damage",'Residual Schedule'!$H$7:$H$98,"&lt;="&amp;B59,'Residual Schedule'!$I$7:$I$98,"&gt;"&amp;B59)</x:f>
        <x:v>3</x:v>
      </x:c>
      <x:c r="E59" s="9" t="n">
        <x:f>COUNTIFS('Residual Schedule'!$C$7:$C$98,"Closure",'Residual Schedule'!$I$7:$I$98,"&lt;="&amp;B59,'Residual Schedule'!$J$7:$J$98,"&gt;"&amp;B59)</x:f>
        <x:v>4</x:v>
      </x:c>
      <x:c r="F59" s="9" t="n">
        <x:f>COUNTIFS('Residual Schedule'!$C$7:$C$98,"Damage",'Residual Schedule'!$I$7:$I$98,"&lt;="&amp;B59,'Residual Schedule'!$J$7:$J$98,"&gt;"&amp;B59)</x:f>
        <x:v>0</x:v>
      </x:c>
      <x:c r="G59" s="9" t="n">
        <x:f>COUNTIFS('Residual Schedule'!$C$7:$C$98,"Closure",'Residual Schedule'!$J$7:$J$98,"&lt;="&amp;B59)</x:f>
        <x:v>12</x:v>
      </x:c>
      <x:c r="H59" s="9" t="n">
        <x:f>COUNTIFS('Residual Schedule'!$C$7:$C$98,"Damage",'Residual Schedule'!$J$7:$J$98,"&lt;="&amp;B59)</x:f>
        <x:v>6</x:v>
      </x:c>
      <x:c r="I59" s="9" t="str">
        <x:f>IF(C59&lt;='Method Controls'!$D$27,"PASS","FAIL")</x:f>
        <x:v>PASS</x:v>
      </x:c>
      <x:c r="J59" s="9" t="str">
        <x:f>IF(D59&lt;='Method Controls'!$D$28,"PASS","FAIL")</x:f>
        <x:v>PASS</x:v>
      </x:c>
      <x:c r="K59" s="9" t="str">
        <x:f>IF(AND(E59&lt;='Method Controls'!$D$27,F59&lt;='Method Controls'!$D$28),"PASS","FAIL")</x:f>
        <x:v>PASS</x:v>
      </x:c>
      <x:c r="L59" s="9" t="str">
        <x:f>IF(AND(I59="PASS",J59="PASS",K59="PASS"),"PASS","FAIL")</x:f>
        <x:v>PASS</x:v>
      </x:c>
    </x:row>
    <x:row r="60">
      <x:c r="B60" s="9" t="n">
        <x:v>144</x:v>
      </x:c>
      <x:c r="C60" s="9" t="n">
        <x:f>COUNTIFS('Residual Schedule'!$C$7:$C$98,"Closure",'Residual Schedule'!$H$7:$H$98,"&lt;="&amp;B60,'Residual Schedule'!$I$7:$I$98,"&gt;"&amp;B60)</x:f>
        <x:v>4</x:v>
      </x:c>
      <x:c r="D60" s="9" t="n">
        <x:f>COUNTIFS('Residual Schedule'!$C$7:$C$98,"Damage",'Residual Schedule'!$H$7:$H$98,"&lt;="&amp;B60,'Residual Schedule'!$I$7:$I$98,"&gt;"&amp;B60)</x:f>
        <x:v>3</x:v>
      </x:c>
      <x:c r="E60" s="9" t="n">
        <x:f>COUNTIFS('Residual Schedule'!$C$7:$C$98,"Closure",'Residual Schedule'!$I$7:$I$98,"&lt;="&amp;B60,'Residual Schedule'!$J$7:$J$98,"&gt;"&amp;B60)</x:f>
        <x:v>4</x:v>
      </x:c>
      <x:c r="F60" s="9" t="n">
        <x:f>COUNTIFS('Residual Schedule'!$C$7:$C$98,"Damage",'Residual Schedule'!$I$7:$I$98,"&lt;="&amp;B60,'Residual Schedule'!$J$7:$J$98,"&gt;"&amp;B60)</x:f>
        <x:v>0</x:v>
      </x:c>
      <x:c r="G60" s="9" t="n">
        <x:f>COUNTIFS('Residual Schedule'!$C$7:$C$98,"Closure",'Residual Schedule'!$J$7:$J$98,"&lt;="&amp;B60)</x:f>
        <x:v>12</x:v>
      </x:c>
      <x:c r="H60" s="9" t="n">
        <x:f>COUNTIFS('Residual Schedule'!$C$7:$C$98,"Damage",'Residual Schedule'!$J$7:$J$98,"&lt;="&amp;B60)</x:f>
        <x:v>6</x:v>
      </x:c>
      <x:c r="I60" s="9" t="str">
        <x:f>IF(C60&lt;='Method Controls'!$D$27,"PASS","FAIL")</x:f>
        <x:v>PASS</x:v>
      </x:c>
      <x:c r="J60" s="9" t="str">
        <x:f>IF(D60&lt;='Method Controls'!$D$28,"PASS","FAIL")</x:f>
        <x:v>PASS</x:v>
      </x:c>
      <x:c r="K60" s="9" t="str">
        <x:f>IF(AND(E60&lt;='Method Controls'!$D$27,F60&lt;='Method Controls'!$D$28),"PASS","FAIL")</x:f>
        <x:v>PASS</x:v>
      </x:c>
      <x:c r="L60" s="9" t="str">
        <x:f>IF(AND(I60="PASS",J60="PASS",K60="PASS"),"PASS","FAIL")</x:f>
        <x:v>PASS</x:v>
      </x:c>
    </x:row>
    <x:row r="61">
      <x:c r="B61" s="9" t="n">
        <x:v>145</x:v>
      </x:c>
      <x:c r="C61" s="9" t="n">
        <x:f>COUNTIFS('Residual Schedule'!$C$7:$C$98,"Closure",'Residual Schedule'!$H$7:$H$98,"&lt;="&amp;B61,'Residual Schedule'!$I$7:$I$98,"&gt;"&amp;B61)</x:f>
        <x:v>4</x:v>
      </x:c>
      <x:c r="D61" s="9" t="n">
        <x:f>COUNTIFS('Residual Schedule'!$C$7:$C$98,"Damage",'Residual Schedule'!$H$7:$H$98,"&lt;="&amp;B61,'Residual Schedule'!$I$7:$I$98,"&gt;"&amp;B61)</x:f>
        <x:v>3</x:v>
      </x:c>
      <x:c r="E61" s="9" t="n">
        <x:f>COUNTIFS('Residual Schedule'!$C$7:$C$98,"Closure",'Residual Schedule'!$I$7:$I$98,"&lt;="&amp;B61,'Residual Schedule'!$J$7:$J$98,"&gt;"&amp;B61)</x:f>
        <x:v>0</x:v>
      </x:c>
      <x:c r="F61" s="9" t="n">
        <x:f>COUNTIFS('Residual Schedule'!$C$7:$C$98,"Damage",'Residual Schedule'!$I$7:$I$98,"&lt;="&amp;B61,'Residual Schedule'!$J$7:$J$98,"&gt;"&amp;B61)</x:f>
        <x:v>0</x:v>
      </x:c>
      <x:c r="G61" s="9" t="n">
        <x:f>COUNTIFS('Residual Schedule'!$C$7:$C$98,"Closure",'Residual Schedule'!$J$7:$J$98,"&lt;="&amp;B61)</x:f>
        <x:v>16</x:v>
      </x:c>
      <x:c r="H61" s="9" t="n">
        <x:f>COUNTIFS('Residual Schedule'!$C$7:$C$98,"Damage",'Residual Schedule'!$J$7:$J$98,"&lt;="&amp;B61)</x:f>
        <x:v>6</x:v>
      </x:c>
      <x:c r="I61" s="9" t="str">
        <x:f>IF(C61&lt;='Method Controls'!$D$27,"PASS","FAIL")</x:f>
        <x:v>PASS</x:v>
      </x:c>
      <x:c r="J61" s="9" t="str">
        <x:f>IF(D61&lt;='Method Controls'!$D$28,"PASS","FAIL")</x:f>
        <x:v>PASS</x:v>
      </x:c>
      <x:c r="K61" s="9" t="str">
        <x:f>IF(AND(E61&lt;='Method Controls'!$D$27,F61&lt;='Method Controls'!$D$28),"PASS","FAIL")</x:f>
        <x:v>PASS</x:v>
      </x:c>
      <x:c r="L61" s="9" t="str">
        <x:f>IF(AND(I61="PASS",J61="PASS",K61="PASS"),"PASS","FAIL")</x:f>
        <x:v>PASS</x:v>
      </x:c>
    </x:row>
    <x:row r="62">
      <x:c r="B62" s="9" t="n">
        <x:v>146</x:v>
      </x:c>
      <x:c r="C62" s="9" t="n">
        <x:f>COUNTIFS('Residual Schedule'!$C$7:$C$98,"Closure",'Residual Schedule'!$H$7:$H$98,"&lt;="&amp;B62,'Residual Schedule'!$I$7:$I$98,"&gt;"&amp;B62)</x:f>
        <x:v>4</x:v>
      </x:c>
      <x:c r="D62" s="9" t="n">
        <x:f>COUNTIFS('Residual Schedule'!$C$7:$C$98,"Damage",'Residual Schedule'!$H$7:$H$98,"&lt;="&amp;B62,'Residual Schedule'!$I$7:$I$98,"&gt;"&amp;B62)</x:f>
        <x:v>3</x:v>
      </x:c>
      <x:c r="E62" s="9" t="n">
        <x:f>COUNTIFS('Residual Schedule'!$C$7:$C$98,"Closure",'Residual Schedule'!$I$7:$I$98,"&lt;="&amp;B62,'Residual Schedule'!$J$7:$J$98,"&gt;"&amp;B62)</x:f>
        <x:v>0</x:v>
      </x:c>
      <x:c r="F62" s="9" t="n">
        <x:f>COUNTIFS('Residual Schedule'!$C$7:$C$98,"Damage",'Residual Schedule'!$I$7:$I$98,"&lt;="&amp;B62,'Residual Schedule'!$J$7:$J$98,"&gt;"&amp;B62)</x:f>
        <x:v>0</x:v>
      </x:c>
      <x:c r="G62" s="9" t="n">
        <x:f>COUNTIFS('Residual Schedule'!$C$7:$C$98,"Closure",'Residual Schedule'!$J$7:$J$98,"&lt;="&amp;B62)</x:f>
        <x:v>16</x:v>
      </x:c>
      <x:c r="H62" s="9" t="n">
        <x:f>COUNTIFS('Residual Schedule'!$C$7:$C$98,"Damage",'Residual Schedule'!$J$7:$J$98,"&lt;="&amp;B62)</x:f>
        <x:v>6</x:v>
      </x:c>
      <x:c r="I62" s="9" t="str">
        <x:f>IF(C62&lt;='Method Controls'!$D$27,"PASS","FAIL")</x:f>
        <x:v>PASS</x:v>
      </x:c>
      <x:c r="J62" s="9" t="str">
        <x:f>IF(D62&lt;='Method Controls'!$D$28,"PASS","FAIL")</x:f>
        <x:v>PASS</x:v>
      </x:c>
      <x:c r="K62" s="9" t="str">
        <x:f>IF(AND(E62&lt;='Method Controls'!$D$27,F62&lt;='Method Controls'!$D$28),"PASS","FAIL")</x:f>
        <x:v>PASS</x:v>
      </x:c>
      <x:c r="L62" s="9" t="str">
        <x:f>IF(AND(I62="PASS",J62="PASS",K62="PASS"),"PASS","FAIL")</x:f>
        <x:v>PASS</x:v>
      </x:c>
    </x:row>
    <x:row r="63">
      <x:c r="B63" s="9" t="n">
        <x:v>147</x:v>
      </x:c>
      <x:c r="C63" s="9" t="n">
        <x:f>COUNTIFS('Residual Schedule'!$C$7:$C$98,"Closure",'Residual Schedule'!$H$7:$H$98,"&lt;="&amp;B63,'Residual Schedule'!$I$7:$I$98,"&gt;"&amp;B63)</x:f>
        <x:v>4</x:v>
      </x:c>
      <x:c r="D63" s="9" t="n">
        <x:f>COUNTIFS('Residual Schedule'!$C$7:$C$98,"Damage",'Residual Schedule'!$H$7:$H$98,"&lt;="&amp;B63,'Residual Schedule'!$I$7:$I$98,"&gt;"&amp;B63)</x:f>
        <x:v>3</x:v>
      </x:c>
      <x:c r="E63" s="9" t="n">
        <x:f>COUNTIFS('Residual Schedule'!$C$7:$C$98,"Closure",'Residual Schedule'!$I$7:$I$98,"&lt;="&amp;B63,'Residual Schedule'!$J$7:$J$98,"&gt;"&amp;B63)</x:f>
        <x:v>0</x:v>
      </x:c>
      <x:c r="F63" s="9" t="n">
        <x:f>COUNTIFS('Residual Schedule'!$C$7:$C$98,"Damage",'Residual Schedule'!$I$7:$I$98,"&lt;="&amp;B63,'Residual Schedule'!$J$7:$J$98,"&gt;"&amp;B63)</x:f>
        <x:v>0</x:v>
      </x:c>
      <x:c r="G63" s="9" t="n">
        <x:f>COUNTIFS('Residual Schedule'!$C$7:$C$98,"Closure",'Residual Schedule'!$J$7:$J$98,"&lt;="&amp;B63)</x:f>
        <x:v>16</x:v>
      </x:c>
      <x:c r="H63" s="9" t="n">
        <x:f>COUNTIFS('Residual Schedule'!$C$7:$C$98,"Damage",'Residual Schedule'!$J$7:$J$98,"&lt;="&amp;B63)</x:f>
        <x:v>6</x:v>
      </x:c>
      <x:c r="I63" s="9" t="str">
        <x:f>IF(C63&lt;='Method Controls'!$D$27,"PASS","FAIL")</x:f>
        <x:v>PASS</x:v>
      </x:c>
      <x:c r="J63" s="9" t="str">
        <x:f>IF(D63&lt;='Method Controls'!$D$28,"PASS","FAIL")</x:f>
        <x:v>PASS</x:v>
      </x:c>
      <x:c r="K63" s="9" t="str">
        <x:f>IF(AND(E63&lt;='Method Controls'!$D$27,F63&lt;='Method Controls'!$D$28),"PASS","FAIL")</x:f>
        <x:v>PASS</x:v>
      </x:c>
      <x:c r="L63" s="9" t="str">
        <x:f>IF(AND(I63="PASS",J63="PASS",K63="PASS"),"PASS","FAIL")</x:f>
        <x:v>PASS</x:v>
      </x:c>
    </x:row>
    <x:row r="64">
      <x:c r="B64" s="9" t="n">
        <x:v>148</x:v>
      </x:c>
      <x:c r="C64" s="9" t="n">
        <x:f>COUNTIFS('Residual Schedule'!$C$7:$C$98,"Closure",'Residual Schedule'!$H$7:$H$98,"&lt;="&amp;B64,'Residual Schedule'!$I$7:$I$98,"&gt;"&amp;B64)</x:f>
        <x:v>4</x:v>
      </x:c>
      <x:c r="D64" s="9" t="n">
        <x:f>COUNTIFS('Residual Schedule'!$C$7:$C$98,"Damage",'Residual Schedule'!$H$7:$H$98,"&lt;="&amp;B64,'Residual Schedule'!$I$7:$I$98,"&gt;"&amp;B64)</x:f>
        <x:v>3</x:v>
      </x:c>
      <x:c r="E64" s="9" t="n">
        <x:f>COUNTIFS('Residual Schedule'!$C$7:$C$98,"Closure",'Residual Schedule'!$I$7:$I$98,"&lt;="&amp;B64,'Residual Schedule'!$J$7:$J$98,"&gt;"&amp;B64)</x:f>
        <x:v>0</x:v>
      </x:c>
      <x:c r="F64" s="9" t="n">
        <x:f>COUNTIFS('Residual Schedule'!$C$7:$C$98,"Damage",'Residual Schedule'!$I$7:$I$98,"&lt;="&amp;B64,'Residual Schedule'!$J$7:$J$98,"&gt;"&amp;B64)</x:f>
        <x:v>0</x:v>
      </x:c>
      <x:c r="G64" s="9" t="n">
        <x:f>COUNTIFS('Residual Schedule'!$C$7:$C$98,"Closure",'Residual Schedule'!$J$7:$J$98,"&lt;="&amp;B64)</x:f>
        <x:v>16</x:v>
      </x:c>
      <x:c r="H64" s="9" t="n">
        <x:f>COUNTIFS('Residual Schedule'!$C$7:$C$98,"Damage",'Residual Schedule'!$J$7:$J$98,"&lt;="&amp;B64)</x:f>
        <x:v>6</x:v>
      </x:c>
      <x:c r="I64" s="9" t="str">
        <x:f>IF(C64&lt;='Method Controls'!$D$27,"PASS","FAIL")</x:f>
        <x:v>PASS</x:v>
      </x:c>
      <x:c r="J64" s="9" t="str">
        <x:f>IF(D64&lt;='Method Controls'!$D$28,"PASS","FAIL")</x:f>
        <x:v>PASS</x:v>
      </x:c>
      <x:c r="K64" s="9" t="str">
        <x:f>IF(AND(E64&lt;='Method Controls'!$D$27,F64&lt;='Method Controls'!$D$28),"PASS","FAIL")</x:f>
        <x:v>PASS</x:v>
      </x:c>
      <x:c r="L64" s="9" t="str">
        <x:f>IF(AND(I64="PASS",J64="PASS",K64="PASS"),"PASS","FAIL")</x:f>
        <x:v>PASS</x:v>
      </x:c>
    </x:row>
    <x:row r="65">
      <x:c r="B65" s="9" t="n">
        <x:v>149</x:v>
      </x:c>
      <x:c r="C65" s="9" t="n">
        <x:f>COUNTIFS('Residual Schedule'!$C$7:$C$98,"Closure",'Residual Schedule'!$H$7:$H$98,"&lt;="&amp;B65,'Residual Schedule'!$I$7:$I$98,"&gt;"&amp;B65)</x:f>
        <x:v>4</x:v>
      </x:c>
      <x:c r="D65" s="9" t="n">
        <x:f>COUNTIFS('Residual Schedule'!$C$7:$C$98,"Damage",'Residual Schedule'!$H$7:$H$98,"&lt;="&amp;B65,'Residual Schedule'!$I$7:$I$98,"&gt;"&amp;B65)</x:f>
        <x:v>3</x:v>
      </x:c>
      <x:c r="E65" s="9" t="n">
        <x:f>COUNTIFS('Residual Schedule'!$C$7:$C$98,"Closure",'Residual Schedule'!$I$7:$I$98,"&lt;="&amp;B65,'Residual Schedule'!$J$7:$J$98,"&gt;"&amp;B65)</x:f>
        <x:v>0</x:v>
      </x:c>
      <x:c r="F65" s="9" t="n">
        <x:f>COUNTIFS('Residual Schedule'!$C$7:$C$98,"Damage",'Residual Schedule'!$I$7:$I$98,"&lt;="&amp;B65,'Residual Schedule'!$J$7:$J$98,"&gt;"&amp;B65)</x:f>
        <x:v>0</x:v>
      </x:c>
      <x:c r="G65" s="9" t="n">
        <x:f>COUNTIFS('Residual Schedule'!$C$7:$C$98,"Closure",'Residual Schedule'!$J$7:$J$98,"&lt;="&amp;B65)</x:f>
        <x:v>16</x:v>
      </x:c>
      <x:c r="H65" s="9" t="n">
        <x:f>COUNTIFS('Residual Schedule'!$C$7:$C$98,"Damage",'Residual Schedule'!$J$7:$J$98,"&lt;="&amp;B65)</x:f>
        <x:v>6</x:v>
      </x:c>
      <x:c r="I65" s="9" t="str">
        <x:f>IF(C65&lt;='Method Controls'!$D$27,"PASS","FAIL")</x:f>
        <x:v>PASS</x:v>
      </x:c>
      <x:c r="J65" s="9" t="str">
        <x:f>IF(D65&lt;='Method Controls'!$D$28,"PASS","FAIL")</x:f>
        <x:v>PASS</x:v>
      </x:c>
      <x:c r="K65" s="9" t="str">
        <x:f>IF(AND(E65&lt;='Method Controls'!$D$27,F65&lt;='Method Controls'!$D$28),"PASS","FAIL")</x:f>
        <x:v>PASS</x:v>
      </x:c>
      <x:c r="L65" s="9" t="str">
        <x:f>IF(AND(I65="PASS",J65="PASS",K65="PASS"),"PASS","FAIL")</x:f>
        <x:v>PASS</x:v>
      </x:c>
    </x:row>
    <x:row r="66">
      <x:c r="B66" s="9" t="n">
        <x:v>150</x:v>
      </x:c>
      <x:c r="C66" s="9" t="n">
        <x:f>COUNTIFS('Residual Schedule'!$C$7:$C$98,"Closure",'Residual Schedule'!$H$7:$H$98,"&lt;="&amp;B66,'Residual Schedule'!$I$7:$I$98,"&gt;"&amp;B66)</x:f>
        <x:v>4</x:v>
      </x:c>
      <x:c r="D66" s="9" t="n">
        <x:f>COUNTIFS('Residual Schedule'!$C$7:$C$98,"Damage",'Residual Schedule'!$H$7:$H$98,"&lt;="&amp;B66,'Residual Schedule'!$I$7:$I$98,"&gt;"&amp;B66)</x:f>
        <x:v>3</x:v>
      </x:c>
      <x:c r="E66" s="9" t="n">
        <x:f>COUNTIFS('Residual Schedule'!$C$7:$C$98,"Closure",'Residual Schedule'!$I$7:$I$98,"&lt;="&amp;B66,'Residual Schedule'!$J$7:$J$98,"&gt;"&amp;B66)</x:f>
        <x:v>0</x:v>
      </x:c>
      <x:c r="F66" s="9" t="n">
        <x:f>COUNTIFS('Residual Schedule'!$C$7:$C$98,"Damage",'Residual Schedule'!$I$7:$I$98,"&lt;="&amp;B66,'Residual Schedule'!$J$7:$J$98,"&gt;"&amp;B66)</x:f>
        <x:v>0</x:v>
      </x:c>
      <x:c r="G66" s="9" t="n">
        <x:f>COUNTIFS('Residual Schedule'!$C$7:$C$98,"Closure",'Residual Schedule'!$J$7:$J$98,"&lt;="&amp;B66)</x:f>
        <x:v>16</x:v>
      </x:c>
      <x:c r="H66" s="9" t="n">
        <x:f>COUNTIFS('Residual Schedule'!$C$7:$C$98,"Damage",'Residual Schedule'!$J$7:$J$98,"&lt;="&amp;B66)</x:f>
        <x:v>6</x:v>
      </x:c>
      <x:c r="I66" s="9" t="str">
        <x:f>IF(C66&lt;='Method Controls'!$D$27,"PASS","FAIL")</x:f>
        <x:v>PASS</x:v>
      </x:c>
      <x:c r="J66" s="9" t="str">
        <x:f>IF(D66&lt;='Method Controls'!$D$28,"PASS","FAIL")</x:f>
        <x:v>PASS</x:v>
      </x:c>
      <x:c r="K66" s="9" t="str">
        <x:f>IF(AND(E66&lt;='Method Controls'!$D$27,F66&lt;='Method Controls'!$D$28),"PASS","FAIL")</x:f>
        <x:v>PASS</x:v>
      </x:c>
      <x:c r="L66" s="9" t="str">
        <x:f>IF(AND(I66="PASS",J66="PASS",K66="PASS"),"PASS","FAIL")</x:f>
        <x:v>PASS</x:v>
      </x:c>
    </x:row>
    <x:row r="67">
      <x:c r="B67" s="9" t="n">
        <x:v>151</x:v>
      </x:c>
      <x:c r="C67" s="9" t="n">
        <x:f>COUNTIFS('Residual Schedule'!$C$7:$C$98,"Closure",'Residual Schedule'!$H$7:$H$98,"&lt;="&amp;B67,'Residual Schedule'!$I$7:$I$98,"&gt;"&amp;B67)</x:f>
        <x:v>4</x:v>
      </x:c>
      <x:c r="D67" s="9" t="n">
        <x:f>COUNTIFS('Residual Schedule'!$C$7:$C$98,"Damage",'Residual Schedule'!$H$7:$H$98,"&lt;="&amp;B67,'Residual Schedule'!$I$7:$I$98,"&gt;"&amp;B67)</x:f>
        <x:v>3</x:v>
      </x:c>
      <x:c r="E67" s="9" t="n">
        <x:f>COUNTIFS('Residual Schedule'!$C$7:$C$98,"Closure",'Residual Schedule'!$I$7:$I$98,"&lt;="&amp;B67,'Residual Schedule'!$J$7:$J$98,"&gt;"&amp;B67)</x:f>
        <x:v>0</x:v>
      </x:c>
      <x:c r="F67" s="9" t="n">
        <x:f>COUNTIFS('Residual Schedule'!$C$7:$C$98,"Damage",'Residual Schedule'!$I$7:$I$98,"&lt;="&amp;B67,'Residual Schedule'!$J$7:$J$98,"&gt;"&amp;B67)</x:f>
        <x:v>0</x:v>
      </x:c>
      <x:c r="G67" s="9" t="n">
        <x:f>COUNTIFS('Residual Schedule'!$C$7:$C$98,"Closure",'Residual Schedule'!$J$7:$J$98,"&lt;="&amp;B67)</x:f>
        <x:v>16</x:v>
      </x:c>
      <x:c r="H67" s="9" t="n">
        <x:f>COUNTIFS('Residual Schedule'!$C$7:$C$98,"Damage",'Residual Schedule'!$J$7:$J$98,"&lt;="&amp;B67)</x:f>
        <x:v>6</x:v>
      </x:c>
      <x:c r="I67" s="9" t="str">
        <x:f>IF(C67&lt;='Method Controls'!$D$27,"PASS","FAIL")</x:f>
        <x:v>PASS</x:v>
      </x:c>
      <x:c r="J67" s="9" t="str">
        <x:f>IF(D67&lt;='Method Controls'!$D$28,"PASS","FAIL")</x:f>
        <x:v>PASS</x:v>
      </x:c>
      <x:c r="K67" s="9" t="str">
        <x:f>IF(AND(E67&lt;='Method Controls'!$D$27,F67&lt;='Method Controls'!$D$28),"PASS","FAIL")</x:f>
        <x:v>PASS</x:v>
      </x:c>
      <x:c r="L67" s="9" t="str">
        <x:f>IF(AND(I67="PASS",J67="PASS",K67="PASS"),"PASS","FAIL")</x:f>
        <x:v>PASS</x:v>
      </x:c>
    </x:row>
    <x:row r="68">
      <x:c r="B68" s="9" t="n">
        <x:v>152</x:v>
      </x:c>
      <x:c r="C68" s="9" t="n">
        <x:f>COUNTIFS('Residual Schedule'!$C$7:$C$98,"Closure",'Residual Schedule'!$H$7:$H$98,"&lt;="&amp;B68,'Residual Schedule'!$I$7:$I$98,"&gt;"&amp;B68)</x:f>
        <x:v>0</x:v>
      </x:c>
      <x:c r="D68" s="9" t="n">
        <x:f>COUNTIFS('Residual Schedule'!$C$7:$C$98,"Damage",'Residual Schedule'!$H$7:$H$98,"&lt;="&amp;B68,'Residual Schedule'!$I$7:$I$98,"&gt;"&amp;B68)</x:f>
        <x:v>3</x:v>
      </x:c>
      <x:c r="E68" s="9" t="n">
        <x:f>COUNTIFS('Residual Schedule'!$C$7:$C$98,"Closure",'Residual Schedule'!$I$7:$I$98,"&lt;="&amp;B68,'Residual Schedule'!$J$7:$J$98,"&gt;"&amp;B68)</x:f>
        <x:v>4</x:v>
      </x:c>
      <x:c r="F68" s="9" t="n">
        <x:f>COUNTIFS('Residual Schedule'!$C$7:$C$98,"Damage",'Residual Schedule'!$I$7:$I$98,"&lt;="&amp;B68,'Residual Schedule'!$J$7:$J$98,"&gt;"&amp;B68)</x:f>
        <x:v>0</x:v>
      </x:c>
      <x:c r="G68" s="9" t="n">
        <x:f>COUNTIFS('Residual Schedule'!$C$7:$C$98,"Closure",'Residual Schedule'!$J$7:$J$98,"&lt;="&amp;B68)</x:f>
        <x:v>16</x:v>
      </x:c>
      <x:c r="H68" s="9" t="n">
        <x:f>COUNTIFS('Residual Schedule'!$C$7:$C$98,"Damage",'Residual Schedule'!$J$7:$J$98,"&lt;="&amp;B68)</x:f>
        <x:v>6</x:v>
      </x:c>
      <x:c r="I68" s="9" t="str">
        <x:f>IF(C68&lt;='Method Controls'!$D$27,"PASS","FAIL")</x:f>
        <x:v>PASS</x:v>
      </x:c>
      <x:c r="J68" s="9" t="str">
        <x:f>IF(D68&lt;='Method Controls'!$D$28,"PASS","FAIL")</x:f>
        <x:v>PASS</x:v>
      </x:c>
      <x:c r="K68" s="9" t="str">
        <x:f>IF(AND(E68&lt;='Method Controls'!$D$27,F68&lt;='Method Controls'!$D$28),"PASS","FAIL")</x:f>
        <x:v>PASS</x:v>
      </x:c>
      <x:c r="L68" s="9" t="str">
        <x:f>IF(AND(I68="PASS",J68="PASS",K68="PASS"),"PASS","FAIL")</x:f>
        <x:v>PASS</x:v>
      </x:c>
    </x:row>
    <x:row r="69">
      <x:c r="B69" s="9" t="n">
        <x:v>153</x:v>
      </x:c>
      <x:c r="C69" s="9" t="n">
        <x:f>COUNTIFS('Residual Schedule'!$C$7:$C$98,"Closure",'Residual Schedule'!$H$7:$H$98,"&lt;="&amp;B69,'Residual Schedule'!$I$7:$I$98,"&gt;"&amp;B69)</x:f>
        <x:v>0</x:v>
      </x:c>
      <x:c r="D69" s="9" t="n">
        <x:f>COUNTIFS('Residual Schedule'!$C$7:$C$98,"Damage",'Residual Schedule'!$H$7:$H$98,"&lt;="&amp;B69,'Residual Schedule'!$I$7:$I$98,"&gt;"&amp;B69)</x:f>
        <x:v>3</x:v>
      </x:c>
      <x:c r="E69" s="9" t="n">
        <x:f>COUNTIFS('Residual Schedule'!$C$7:$C$98,"Closure",'Residual Schedule'!$I$7:$I$98,"&lt;="&amp;B69,'Residual Schedule'!$J$7:$J$98,"&gt;"&amp;B69)</x:f>
        <x:v>4</x:v>
      </x:c>
      <x:c r="F69" s="9" t="n">
        <x:f>COUNTIFS('Residual Schedule'!$C$7:$C$98,"Damage",'Residual Schedule'!$I$7:$I$98,"&lt;="&amp;B69,'Residual Schedule'!$J$7:$J$98,"&gt;"&amp;B69)</x:f>
        <x:v>0</x:v>
      </x:c>
      <x:c r="G69" s="9" t="n">
        <x:f>COUNTIFS('Residual Schedule'!$C$7:$C$98,"Closure",'Residual Schedule'!$J$7:$J$98,"&lt;="&amp;B69)</x:f>
        <x:v>16</x:v>
      </x:c>
      <x:c r="H69" s="9" t="n">
        <x:f>COUNTIFS('Residual Schedule'!$C$7:$C$98,"Damage",'Residual Schedule'!$J$7:$J$98,"&lt;="&amp;B69)</x:f>
        <x:v>6</x:v>
      </x:c>
      <x:c r="I69" s="9" t="str">
        <x:f>IF(C69&lt;='Method Controls'!$D$27,"PASS","FAIL")</x:f>
        <x:v>PASS</x:v>
      </x:c>
      <x:c r="J69" s="9" t="str">
        <x:f>IF(D69&lt;='Method Controls'!$D$28,"PASS","FAIL")</x:f>
        <x:v>PASS</x:v>
      </x:c>
      <x:c r="K69" s="9" t="str">
        <x:f>IF(AND(E69&lt;='Method Controls'!$D$27,F69&lt;='Method Controls'!$D$28),"PASS","FAIL")</x:f>
        <x:v>PASS</x:v>
      </x:c>
      <x:c r="L69" s="9" t="str">
        <x:f>IF(AND(I69="PASS",J69="PASS",K69="PASS"),"PASS","FAIL")</x:f>
        <x:v>PASS</x:v>
      </x:c>
    </x:row>
    <x:row r="70">
      <x:c r="B70" s="9" t="n">
        <x:v>154</x:v>
      </x:c>
      <x:c r="C70" s="9" t="n">
        <x:f>COUNTIFS('Residual Schedule'!$C$7:$C$98,"Closure",'Residual Schedule'!$H$7:$H$98,"&lt;="&amp;B70,'Residual Schedule'!$I$7:$I$98,"&gt;"&amp;B70)</x:f>
        <x:v>0</x:v>
      </x:c>
      <x:c r="D70" s="9" t="n">
        <x:f>COUNTIFS('Residual Schedule'!$C$7:$C$98,"Damage",'Residual Schedule'!$H$7:$H$98,"&lt;="&amp;B70,'Residual Schedule'!$I$7:$I$98,"&gt;"&amp;B70)</x:f>
        <x:v>3</x:v>
      </x:c>
      <x:c r="E70" s="9" t="n">
        <x:f>COUNTIFS('Residual Schedule'!$C$7:$C$98,"Closure",'Residual Schedule'!$I$7:$I$98,"&lt;="&amp;B70,'Residual Schedule'!$J$7:$J$98,"&gt;"&amp;B70)</x:f>
        <x:v>4</x:v>
      </x:c>
      <x:c r="F70" s="9" t="n">
        <x:f>COUNTIFS('Residual Schedule'!$C$7:$C$98,"Damage",'Residual Schedule'!$I$7:$I$98,"&lt;="&amp;B70,'Residual Schedule'!$J$7:$J$98,"&gt;"&amp;B70)</x:f>
        <x:v>0</x:v>
      </x:c>
      <x:c r="G70" s="9" t="n">
        <x:f>COUNTIFS('Residual Schedule'!$C$7:$C$98,"Closure",'Residual Schedule'!$J$7:$J$98,"&lt;="&amp;B70)</x:f>
        <x:v>16</x:v>
      </x:c>
      <x:c r="H70" s="9" t="n">
        <x:f>COUNTIFS('Residual Schedule'!$C$7:$C$98,"Damage",'Residual Schedule'!$J$7:$J$98,"&lt;="&amp;B70)</x:f>
        <x:v>6</x:v>
      </x:c>
      <x:c r="I70" s="9" t="str">
        <x:f>IF(C70&lt;='Method Controls'!$D$27,"PASS","FAIL")</x:f>
        <x:v>PASS</x:v>
      </x:c>
      <x:c r="J70" s="9" t="str">
        <x:f>IF(D70&lt;='Method Controls'!$D$28,"PASS","FAIL")</x:f>
        <x:v>PASS</x:v>
      </x:c>
      <x:c r="K70" s="9" t="str">
        <x:f>IF(AND(E70&lt;='Method Controls'!$D$27,F70&lt;='Method Controls'!$D$28),"PASS","FAIL")</x:f>
        <x:v>PASS</x:v>
      </x:c>
      <x:c r="L70" s="9" t="str">
        <x:f>IF(AND(I70="PASS",J70="PASS",K70="PASS"),"PASS","FAIL")</x:f>
        <x:v>PASS</x:v>
      </x:c>
    </x:row>
    <x:row r="71">
      <x:c r="B71" s="9" t="n">
        <x:v>155</x:v>
      </x:c>
      <x:c r="C71" s="9" t="n">
        <x:f>COUNTIFS('Residual Schedule'!$C$7:$C$98,"Closure",'Residual Schedule'!$H$7:$H$98,"&lt;="&amp;B71,'Residual Schedule'!$I$7:$I$98,"&gt;"&amp;B71)</x:f>
        <x:v>0</x:v>
      </x:c>
      <x:c r="D71" s="9" t="n">
        <x:f>COUNTIFS('Residual Schedule'!$C$7:$C$98,"Damage",'Residual Schedule'!$H$7:$H$98,"&lt;="&amp;B71,'Residual Schedule'!$I$7:$I$98,"&gt;"&amp;B71)</x:f>
        <x:v>3</x:v>
      </x:c>
      <x:c r="E71" s="9" t="n">
        <x:f>COUNTIFS('Residual Schedule'!$C$7:$C$98,"Closure",'Residual Schedule'!$I$7:$I$98,"&lt;="&amp;B71,'Residual Schedule'!$J$7:$J$98,"&gt;"&amp;B71)</x:f>
        <x:v>4</x:v>
      </x:c>
      <x:c r="F71" s="9" t="n">
        <x:f>COUNTIFS('Residual Schedule'!$C$7:$C$98,"Damage",'Residual Schedule'!$I$7:$I$98,"&lt;="&amp;B71,'Residual Schedule'!$J$7:$J$98,"&gt;"&amp;B71)</x:f>
        <x:v>0</x:v>
      </x:c>
      <x:c r="G71" s="9" t="n">
        <x:f>COUNTIFS('Residual Schedule'!$C$7:$C$98,"Closure",'Residual Schedule'!$J$7:$J$98,"&lt;="&amp;B71)</x:f>
        <x:v>16</x:v>
      </x:c>
      <x:c r="H71" s="9" t="n">
        <x:f>COUNTIFS('Residual Schedule'!$C$7:$C$98,"Damage",'Residual Schedule'!$J$7:$J$98,"&lt;="&amp;B71)</x:f>
        <x:v>6</x:v>
      </x:c>
      <x:c r="I71" s="9" t="str">
        <x:f>IF(C71&lt;='Method Controls'!$D$27,"PASS","FAIL")</x:f>
        <x:v>PASS</x:v>
      </x:c>
      <x:c r="J71" s="9" t="str">
        <x:f>IF(D71&lt;='Method Controls'!$D$28,"PASS","FAIL")</x:f>
        <x:v>PASS</x:v>
      </x:c>
      <x:c r="K71" s="9" t="str">
        <x:f>IF(AND(E71&lt;='Method Controls'!$D$27,F71&lt;='Method Controls'!$D$28),"PASS","FAIL")</x:f>
        <x:v>PASS</x:v>
      </x:c>
      <x:c r="L71" s="9" t="str">
        <x:f>IF(AND(I71="PASS",J71="PASS",K71="PASS"),"PASS","FAIL")</x:f>
        <x:v>PASS</x:v>
      </x:c>
    </x:row>
    <x:row r="72">
      <x:c r="B72" s="9" t="n">
        <x:v>156</x:v>
      </x:c>
      <x:c r="C72" s="9" t="n">
        <x:f>COUNTIFS('Residual Schedule'!$C$7:$C$98,"Closure",'Residual Schedule'!$H$7:$H$98,"&lt;="&amp;B72,'Residual Schedule'!$I$7:$I$98,"&gt;"&amp;B72)</x:f>
        <x:v>4</x:v>
      </x:c>
      <x:c r="D72" s="9" t="n">
        <x:f>COUNTIFS('Residual Schedule'!$C$7:$C$98,"Damage",'Residual Schedule'!$H$7:$H$98,"&lt;="&amp;B72,'Residual Schedule'!$I$7:$I$98,"&gt;"&amp;B72)</x:f>
        <x:v>3</x:v>
      </x:c>
      <x:c r="E72" s="9" t="n">
        <x:f>COUNTIFS('Residual Schedule'!$C$7:$C$98,"Closure",'Residual Schedule'!$I$7:$I$98,"&lt;="&amp;B72,'Residual Schedule'!$J$7:$J$98,"&gt;"&amp;B72)</x:f>
        <x:v>4</x:v>
      </x:c>
      <x:c r="F72" s="9" t="n">
        <x:f>COUNTIFS('Residual Schedule'!$C$7:$C$98,"Damage",'Residual Schedule'!$I$7:$I$98,"&lt;="&amp;B72,'Residual Schedule'!$J$7:$J$98,"&gt;"&amp;B72)</x:f>
        <x:v>0</x:v>
      </x:c>
      <x:c r="G72" s="9" t="n">
        <x:f>COUNTIFS('Residual Schedule'!$C$7:$C$98,"Closure",'Residual Schedule'!$J$7:$J$98,"&lt;="&amp;B72)</x:f>
        <x:v>16</x:v>
      </x:c>
      <x:c r="H72" s="9" t="n">
        <x:f>COUNTIFS('Residual Schedule'!$C$7:$C$98,"Damage",'Residual Schedule'!$J$7:$J$98,"&lt;="&amp;B72)</x:f>
        <x:v>6</x:v>
      </x:c>
      <x:c r="I72" s="9" t="str">
        <x:f>IF(C72&lt;='Method Controls'!$D$27,"PASS","FAIL")</x:f>
        <x:v>PASS</x:v>
      </x:c>
      <x:c r="J72" s="9" t="str">
        <x:f>IF(D72&lt;='Method Controls'!$D$28,"PASS","FAIL")</x:f>
        <x:v>PASS</x:v>
      </x:c>
      <x:c r="K72" s="9" t="str">
        <x:f>IF(AND(E72&lt;='Method Controls'!$D$27,F72&lt;='Method Controls'!$D$28),"PASS","FAIL")</x:f>
        <x:v>PASS</x:v>
      </x:c>
      <x:c r="L72" s="9" t="str">
        <x:f>IF(AND(I72="PASS",J72="PASS",K72="PASS"),"PASS","FAIL")</x:f>
        <x:v>PASS</x:v>
      </x:c>
    </x:row>
    <x:row r="73">
      <x:c r="B73" s="9" t="n">
        <x:v>157</x:v>
      </x:c>
      <x:c r="C73" s="9" t="n">
        <x:f>COUNTIFS('Residual Schedule'!$C$7:$C$98,"Closure",'Residual Schedule'!$H$7:$H$98,"&lt;="&amp;B73,'Residual Schedule'!$I$7:$I$98,"&gt;"&amp;B73)</x:f>
        <x:v>4</x:v>
      </x:c>
      <x:c r="D73" s="9" t="n">
        <x:f>COUNTIFS('Residual Schedule'!$C$7:$C$98,"Damage",'Residual Schedule'!$H$7:$H$98,"&lt;="&amp;B73,'Residual Schedule'!$I$7:$I$98,"&gt;"&amp;B73)</x:f>
        <x:v>0</x:v>
      </x:c>
      <x:c r="E73" s="9" t="n">
        <x:f>COUNTIFS('Residual Schedule'!$C$7:$C$98,"Closure",'Residual Schedule'!$I$7:$I$98,"&lt;="&amp;B73,'Residual Schedule'!$J$7:$J$98,"&gt;"&amp;B73)</x:f>
        <x:v>4</x:v>
      </x:c>
      <x:c r="F73" s="9" t="n">
        <x:f>COUNTIFS('Residual Schedule'!$C$7:$C$98,"Damage",'Residual Schedule'!$I$7:$I$98,"&lt;="&amp;B73,'Residual Schedule'!$J$7:$J$98,"&gt;"&amp;B73)</x:f>
        <x:v>3</x:v>
      </x:c>
      <x:c r="G73" s="9" t="n">
        <x:f>COUNTIFS('Residual Schedule'!$C$7:$C$98,"Closure",'Residual Schedule'!$J$7:$J$98,"&lt;="&amp;B73)</x:f>
        <x:v>16</x:v>
      </x:c>
      <x:c r="H73" s="9" t="n">
        <x:f>COUNTIFS('Residual Schedule'!$C$7:$C$98,"Damage",'Residual Schedule'!$J$7:$J$98,"&lt;="&amp;B73)</x:f>
        <x:v>6</x:v>
      </x:c>
      <x:c r="I73" s="9" t="str">
        <x:f>IF(C73&lt;='Method Controls'!$D$27,"PASS","FAIL")</x:f>
        <x:v>PASS</x:v>
      </x:c>
      <x:c r="J73" s="9" t="str">
        <x:f>IF(D73&lt;='Method Controls'!$D$28,"PASS","FAIL")</x:f>
        <x:v>PASS</x:v>
      </x:c>
      <x:c r="K73" s="9" t="str">
        <x:f>IF(AND(E73&lt;='Method Controls'!$D$27,F73&lt;='Method Controls'!$D$28),"PASS","FAIL")</x:f>
        <x:v>PASS</x:v>
      </x:c>
      <x:c r="L73" s="9" t="str">
        <x:f>IF(AND(I73="PASS",J73="PASS",K73="PASS"),"PASS","FAIL")</x:f>
        <x:v>PASS</x:v>
      </x:c>
    </x:row>
    <x:row r="74">
      <x:c r="B74" s="9" t="n">
        <x:v>158</x:v>
      </x:c>
      <x:c r="C74" s="9" t="n">
        <x:f>COUNTIFS('Residual Schedule'!$C$7:$C$98,"Closure",'Residual Schedule'!$H$7:$H$98,"&lt;="&amp;B74,'Residual Schedule'!$I$7:$I$98,"&gt;"&amp;B74)</x:f>
        <x:v>4</x:v>
      </x:c>
      <x:c r="D74" s="9" t="n">
        <x:f>COUNTIFS('Residual Schedule'!$C$7:$C$98,"Damage",'Residual Schedule'!$H$7:$H$98,"&lt;="&amp;B74,'Residual Schedule'!$I$7:$I$98,"&gt;"&amp;B74)</x:f>
        <x:v>0</x:v>
      </x:c>
      <x:c r="E74" s="9" t="n">
        <x:f>COUNTIFS('Residual Schedule'!$C$7:$C$98,"Closure",'Residual Schedule'!$I$7:$I$98,"&lt;="&amp;B74,'Residual Schedule'!$J$7:$J$98,"&gt;"&amp;B74)</x:f>
        <x:v>0</x:v>
      </x:c>
      <x:c r="F74" s="9" t="n">
        <x:f>COUNTIFS('Residual Schedule'!$C$7:$C$98,"Damage",'Residual Schedule'!$I$7:$I$98,"&lt;="&amp;B74,'Residual Schedule'!$J$7:$J$98,"&gt;"&amp;B74)</x:f>
        <x:v>3</x:v>
      </x:c>
      <x:c r="G74" s="9" t="n">
        <x:f>COUNTIFS('Residual Schedule'!$C$7:$C$98,"Closure",'Residual Schedule'!$J$7:$J$98,"&lt;="&amp;B74)</x:f>
        <x:v>20</x:v>
      </x:c>
      <x:c r="H74" s="9" t="n">
        <x:f>COUNTIFS('Residual Schedule'!$C$7:$C$98,"Damage",'Residual Schedule'!$J$7:$J$98,"&lt;="&amp;B74)</x:f>
        <x:v>6</x:v>
      </x:c>
      <x:c r="I74" s="9" t="str">
        <x:f>IF(C74&lt;='Method Controls'!$D$27,"PASS","FAIL")</x:f>
        <x:v>PASS</x:v>
      </x:c>
      <x:c r="J74" s="9" t="str">
        <x:f>IF(D74&lt;='Method Controls'!$D$28,"PASS","FAIL")</x:f>
        <x:v>PASS</x:v>
      </x:c>
      <x:c r="K74" s="9" t="str">
        <x:f>IF(AND(E74&lt;='Method Controls'!$D$27,F74&lt;='Method Controls'!$D$28),"PASS","FAIL")</x:f>
        <x:v>PASS</x:v>
      </x:c>
      <x:c r="L74" s="9" t="str">
        <x:f>IF(AND(I74="PASS",J74="PASS",K74="PASS"),"PASS","FAIL")</x:f>
        <x:v>PASS</x:v>
      </x:c>
    </x:row>
    <x:row r="75">
      <x:c r="B75" s="9" t="n">
        <x:v>159</x:v>
      </x:c>
      <x:c r="C75" s="9" t="n">
        <x:f>COUNTIFS('Residual Schedule'!$C$7:$C$98,"Closure",'Residual Schedule'!$H$7:$H$98,"&lt;="&amp;B75,'Residual Schedule'!$I$7:$I$98,"&gt;"&amp;B75)</x:f>
        <x:v>4</x:v>
      </x:c>
      <x:c r="D75" s="9" t="n">
        <x:f>COUNTIFS('Residual Schedule'!$C$7:$C$98,"Damage",'Residual Schedule'!$H$7:$H$98,"&lt;="&amp;B75,'Residual Schedule'!$I$7:$I$98,"&gt;"&amp;B75)</x:f>
        <x:v>0</x:v>
      </x:c>
      <x:c r="E75" s="9" t="n">
        <x:f>COUNTIFS('Residual Schedule'!$C$7:$C$98,"Closure",'Residual Schedule'!$I$7:$I$98,"&lt;="&amp;B75,'Residual Schedule'!$J$7:$J$98,"&gt;"&amp;B75)</x:f>
        <x:v>0</x:v>
      </x:c>
      <x:c r="F75" s="9" t="n">
        <x:f>COUNTIFS('Residual Schedule'!$C$7:$C$98,"Damage",'Residual Schedule'!$I$7:$I$98,"&lt;="&amp;B75,'Residual Schedule'!$J$7:$J$98,"&gt;"&amp;B75)</x:f>
        <x:v>3</x:v>
      </x:c>
      <x:c r="G75" s="9" t="n">
        <x:f>COUNTIFS('Residual Schedule'!$C$7:$C$98,"Closure",'Residual Schedule'!$J$7:$J$98,"&lt;="&amp;B75)</x:f>
        <x:v>20</x:v>
      </x:c>
      <x:c r="H75" s="9" t="n">
        <x:f>COUNTIFS('Residual Schedule'!$C$7:$C$98,"Damage",'Residual Schedule'!$J$7:$J$98,"&lt;="&amp;B75)</x:f>
        <x:v>6</x:v>
      </x:c>
      <x:c r="I75" s="9" t="str">
        <x:f>IF(C75&lt;='Method Controls'!$D$27,"PASS","FAIL")</x:f>
        <x:v>PASS</x:v>
      </x:c>
      <x:c r="J75" s="9" t="str">
        <x:f>IF(D75&lt;='Method Controls'!$D$28,"PASS","FAIL")</x:f>
        <x:v>PASS</x:v>
      </x:c>
      <x:c r="K75" s="9" t="str">
        <x:f>IF(AND(E75&lt;='Method Controls'!$D$27,F75&lt;='Method Controls'!$D$28),"PASS","FAIL")</x:f>
        <x:v>PASS</x:v>
      </x:c>
      <x:c r="L75" s="9" t="str">
        <x:f>IF(AND(I75="PASS",J75="PASS",K75="PASS"),"PASS","FAIL")</x:f>
        <x:v>PASS</x:v>
      </x:c>
    </x:row>
    <x:row r="76">
      <x:c r="B76" s="9" t="n">
        <x:v>160</x:v>
      </x:c>
      <x:c r="C76" s="9" t="n">
        <x:f>COUNTIFS('Residual Schedule'!$C$7:$C$98,"Closure",'Residual Schedule'!$H$7:$H$98,"&lt;="&amp;B76,'Residual Schedule'!$I$7:$I$98,"&gt;"&amp;B76)</x:f>
        <x:v>4</x:v>
      </x:c>
      <x:c r="D76" s="9" t="n">
        <x:f>COUNTIFS('Residual Schedule'!$C$7:$C$98,"Damage",'Residual Schedule'!$H$7:$H$98,"&lt;="&amp;B76,'Residual Schedule'!$I$7:$I$98,"&gt;"&amp;B76)</x:f>
        <x:v>0</x:v>
      </x:c>
      <x:c r="E76" s="9" t="n">
        <x:f>COUNTIFS('Residual Schedule'!$C$7:$C$98,"Closure",'Residual Schedule'!$I$7:$I$98,"&lt;="&amp;B76,'Residual Schedule'!$J$7:$J$98,"&gt;"&amp;B76)</x:f>
        <x:v>0</x:v>
      </x:c>
      <x:c r="F76" s="9" t="n">
        <x:f>COUNTIFS('Residual Schedule'!$C$7:$C$98,"Damage",'Residual Schedule'!$I$7:$I$98,"&lt;="&amp;B76,'Residual Schedule'!$J$7:$J$98,"&gt;"&amp;B76)</x:f>
        <x:v>3</x:v>
      </x:c>
      <x:c r="G76" s="9" t="n">
        <x:f>COUNTIFS('Residual Schedule'!$C$7:$C$98,"Closure",'Residual Schedule'!$J$7:$J$98,"&lt;="&amp;B76)</x:f>
        <x:v>20</x:v>
      </x:c>
      <x:c r="H76" s="9" t="n">
        <x:f>COUNTIFS('Residual Schedule'!$C$7:$C$98,"Damage",'Residual Schedule'!$J$7:$J$98,"&lt;="&amp;B76)</x:f>
        <x:v>6</x:v>
      </x:c>
      <x:c r="I76" s="9" t="str">
        <x:f>IF(C76&lt;='Method Controls'!$D$27,"PASS","FAIL")</x:f>
        <x:v>PASS</x:v>
      </x:c>
      <x:c r="J76" s="9" t="str">
        <x:f>IF(D76&lt;='Method Controls'!$D$28,"PASS","FAIL")</x:f>
        <x:v>PASS</x:v>
      </x:c>
      <x:c r="K76" s="9" t="str">
        <x:f>IF(AND(E76&lt;='Method Controls'!$D$27,F76&lt;='Method Controls'!$D$28),"PASS","FAIL")</x:f>
        <x:v>PASS</x:v>
      </x:c>
      <x:c r="L76" s="9" t="str">
        <x:f>IF(AND(I76="PASS",J76="PASS",K76="PASS"),"PASS","FAIL")</x:f>
        <x:v>PASS</x:v>
      </x:c>
    </x:row>
    <x:row r="77">
      <x:c r="B77" s="9" t="n">
        <x:v>161</x:v>
      </x:c>
      <x:c r="C77" s="9" t="n">
        <x:f>COUNTIFS('Residual Schedule'!$C$7:$C$98,"Closure",'Residual Schedule'!$H$7:$H$98,"&lt;="&amp;B77,'Residual Schedule'!$I$7:$I$98,"&gt;"&amp;B77)</x:f>
        <x:v>4</x:v>
      </x:c>
      <x:c r="D77" s="9" t="n">
        <x:f>COUNTIFS('Residual Schedule'!$C$7:$C$98,"Damage",'Residual Schedule'!$H$7:$H$98,"&lt;="&amp;B77,'Residual Schedule'!$I$7:$I$98,"&gt;"&amp;B77)</x:f>
        <x:v>0</x:v>
      </x:c>
      <x:c r="E77" s="9" t="n">
        <x:f>COUNTIFS('Residual Schedule'!$C$7:$C$98,"Closure",'Residual Schedule'!$I$7:$I$98,"&lt;="&amp;B77,'Residual Schedule'!$J$7:$J$98,"&gt;"&amp;B77)</x:f>
        <x:v>0</x:v>
      </x:c>
      <x:c r="F77" s="9" t="n">
        <x:f>COUNTIFS('Residual Schedule'!$C$7:$C$98,"Damage",'Residual Schedule'!$I$7:$I$98,"&lt;="&amp;B77,'Residual Schedule'!$J$7:$J$98,"&gt;"&amp;B77)</x:f>
        <x:v>3</x:v>
      </x:c>
      <x:c r="G77" s="9" t="n">
        <x:f>COUNTIFS('Residual Schedule'!$C$7:$C$98,"Closure",'Residual Schedule'!$J$7:$J$98,"&lt;="&amp;B77)</x:f>
        <x:v>20</x:v>
      </x:c>
      <x:c r="H77" s="9" t="n">
        <x:f>COUNTIFS('Residual Schedule'!$C$7:$C$98,"Damage",'Residual Schedule'!$J$7:$J$98,"&lt;="&amp;B77)</x:f>
        <x:v>6</x:v>
      </x:c>
      <x:c r="I77" s="9" t="str">
        <x:f>IF(C77&lt;='Method Controls'!$D$27,"PASS","FAIL")</x:f>
        <x:v>PASS</x:v>
      </x:c>
      <x:c r="J77" s="9" t="str">
        <x:f>IF(D77&lt;='Method Controls'!$D$28,"PASS","FAIL")</x:f>
        <x:v>PASS</x:v>
      </x:c>
      <x:c r="K77" s="9" t="str">
        <x:f>IF(AND(E77&lt;='Method Controls'!$D$27,F77&lt;='Method Controls'!$D$28),"PASS","FAIL")</x:f>
        <x:v>PASS</x:v>
      </x:c>
      <x:c r="L77" s="9" t="str">
        <x:f>IF(AND(I77="PASS",J77="PASS",K77="PASS"),"PASS","FAIL")</x:f>
        <x:v>PASS</x:v>
      </x:c>
    </x:row>
    <x:row r="78">
      <x:c r="B78" s="9" t="n">
        <x:v>162</x:v>
      </x:c>
      <x:c r="C78" s="9" t="n">
        <x:f>COUNTIFS('Residual Schedule'!$C$7:$C$98,"Closure",'Residual Schedule'!$H$7:$H$98,"&lt;="&amp;B78,'Residual Schedule'!$I$7:$I$98,"&gt;"&amp;B78)</x:f>
        <x:v>4</x:v>
      </x:c>
      <x:c r="D78" s="9" t="n">
        <x:f>COUNTIFS('Residual Schedule'!$C$7:$C$98,"Damage",'Residual Schedule'!$H$7:$H$98,"&lt;="&amp;B78,'Residual Schedule'!$I$7:$I$98,"&gt;"&amp;B78)</x:f>
        <x:v>0</x:v>
      </x:c>
      <x:c r="E78" s="9" t="n">
        <x:f>COUNTIFS('Residual Schedule'!$C$7:$C$98,"Closure",'Residual Schedule'!$I$7:$I$98,"&lt;="&amp;B78,'Residual Schedule'!$J$7:$J$98,"&gt;"&amp;B78)</x:f>
        <x:v>0</x:v>
      </x:c>
      <x:c r="F78" s="9" t="n">
        <x:f>COUNTIFS('Residual Schedule'!$C$7:$C$98,"Damage",'Residual Schedule'!$I$7:$I$98,"&lt;="&amp;B78,'Residual Schedule'!$J$7:$J$98,"&gt;"&amp;B78)</x:f>
        <x:v>3</x:v>
      </x:c>
      <x:c r="G78" s="9" t="n">
        <x:f>COUNTIFS('Residual Schedule'!$C$7:$C$98,"Closure",'Residual Schedule'!$J$7:$J$98,"&lt;="&amp;B78)</x:f>
        <x:v>20</x:v>
      </x:c>
      <x:c r="H78" s="9" t="n">
        <x:f>COUNTIFS('Residual Schedule'!$C$7:$C$98,"Damage",'Residual Schedule'!$J$7:$J$98,"&lt;="&amp;B78)</x:f>
        <x:v>6</x:v>
      </x:c>
      <x:c r="I78" s="9" t="str">
        <x:f>IF(C78&lt;='Method Controls'!$D$27,"PASS","FAIL")</x:f>
        <x:v>PASS</x:v>
      </x:c>
      <x:c r="J78" s="9" t="str">
        <x:f>IF(D78&lt;='Method Controls'!$D$28,"PASS","FAIL")</x:f>
        <x:v>PASS</x:v>
      </x:c>
      <x:c r="K78" s="9" t="str">
        <x:f>IF(AND(E78&lt;='Method Controls'!$D$27,F78&lt;='Method Controls'!$D$28),"PASS","FAIL")</x:f>
        <x:v>PASS</x:v>
      </x:c>
      <x:c r="L78" s="9" t="str">
        <x:f>IF(AND(I78="PASS",J78="PASS",K78="PASS"),"PASS","FAIL")</x:f>
        <x:v>PASS</x:v>
      </x:c>
    </x:row>
    <x:row r="79">
      <x:c r="B79" s="9" t="n">
        <x:v>163</x:v>
      </x:c>
      <x:c r="C79" s="9" t="n">
        <x:f>COUNTIFS('Residual Schedule'!$C$7:$C$98,"Closure",'Residual Schedule'!$H$7:$H$98,"&lt;="&amp;B79,'Residual Schedule'!$I$7:$I$98,"&gt;"&amp;B79)</x:f>
        <x:v>4</x:v>
      </x:c>
      <x:c r="D79" s="9" t="n">
        <x:f>COUNTIFS('Residual Schedule'!$C$7:$C$98,"Damage",'Residual Schedule'!$H$7:$H$98,"&lt;="&amp;B79,'Residual Schedule'!$I$7:$I$98,"&gt;"&amp;B79)</x:f>
        <x:v>0</x:v>
      </x:c>
      <x:c r="E79" s="9" t="n">
        <x:f>COUNTIFS('Residual Schedule'!$C$7:$C$98,"Closure",'Residual Schedule'!$I$7:$I$98,"&lt;="&amp;B79,'Residual Schedule'!$J$7:$J$98,"&gt;"&amp;B79)</x:f>
        <x:v>0</x:v>
      </x:c>
      <x:c r="F79" s="9" t="n">
        <x:f>COUNTIFS('Residual Schedule'!$C$7:$C$98,"Damage",'Residual Schedule'!$I$7:$I$98,"&lt;="&amp;B79,'Residual Schedule'!$J$7:$J$98,"&gt;"&amp;B79)</x:f>
        <x:v>3</x:v>
      </x:c>
      <x:c r="G79" s="9" t="n">
        <x:f>COUNTIFS('Residual Schedule'!$C$7:$C$98,"Closure",'Residual Schedule'!$J$7:$J$98,"&lt;="&amp;B79)</x:f>
        <x:v>20</x:v>
      </x:c>
      <x:c r="H79" s="9" t="n">
        <x:f>COUNTIFS('Residual Schedule'!$C$7:$C$98,"Damage",'Residual Schedule'!$J$7:$J$98,"&lt;="&amp;B79)</x:f>
        <x:v>6</x:v>
      </x:c>
      <x:c r="I79" s="9" t="str">
        <x:f>IF(C79&lt;='Method Controls'!$D$27,"PASS","FAIL")</x:f>
        <x:v>PASS</x:v>
      </x:c>
      <x:c r="J79" s="9" t="str">
        <x:f>IF(D79&lt;='Method Controls'!$D$28,"PASS","FAIL")</x:f>
        <x:v>PASS</x:v>
      </x:c>
      <x:c r="K79" s="9" t="str">
        <x:f>IF(AND(E79&lt;='Method Controls'!$D$27,F79&lt;='Method Controls'!$D$28),"PASS","FAIL")</x:f>
        <x:v>PASS</x:v>
      </x:c>
      <x:c r="L79" s="9" t="str">
        <x:f>IF(AND(I79="PASS",J79="PASS",K79="PASS"),"PASS","FAIL")</x:f>
        <x:v>PASS</x:v>
      </x:c>
    </x:row>
    <x:row r="80">
      <x:c r="B80" s="9" t="n">
        <x:v>164</x:v>
      </x:c>
      <x:c r="C80" s="9" t="n">
        <x:f>COUNTIFS('Residual Schedule'!$C$7:$C$98,"Closure",'Residual Schedule'!$H$7:$H$98,"&lt;="&amp;B80,'Residual Schedule'!$I$7:$I$98,"&gt;"&amp;B80)</x:f>
        <x:v>4</x:v>
      </x:c>
      <x:c r="D80" s="9" t="n">
        <x:f>COUNTIFS('Residual Schedule'!$C$7:$C$98,"Damage",'Residual Schedule'!$H$7:$H$98,"&lt;="&amp;B80,'Residual Schedule'!$I$7:$I$98,"&gt;"&amp;B80)</x:f>
        <x:v>0</x:v>
      </x:c>
      <x:c r="E80" s="9" t="n">
        <x:f>COUNTIFS('Residual Schedule'!$C$7:$C$98,"Closure",'Residual Schedule'!$I$7:$I$98,"&lt;="&amp;B80,'Residual Schedule'!$J$7:$J$98,"&gt;"&amp;B80)</x:f>
        <x:v>0</x:v>
      </x:c>
      <x:c r="F80" s="9" t="n">
        <x:f>COUNTIFS('Residual Schedule'!$C$7:$C$98,"Damage",'Residual Schedule'!$I$7:$I$98,"&lt;="&amp;B80,'Residual Schedule'!$J$7:$J$98,"&gt;"&amp;B80)</x:f>
        <x:v>3</x:v>
      </x:c>
      <x:c r="G80" s="9" t="n">
        <x:f>COUNTIFS('Residual Schedule'!$C$7:$C$98,"Closure",'Residual Schedule'!$J$7:$J$98,"&lt;="&amp;B80)</x:f>
        <x:v>20</x:v>
      </x:c>
      <x:c r="H80" s="9" t="n">
        <x:f>COUNTIFS('Residual Schedule'!$C$7:$C$98,"Damage",'Residual Schedule'!$J$7:$J$98,"&lt;="&amp;B80)</x:f>
        <x:v>6</x:v>
      </x:c>
      <x:c r="I80" s="9" t="str">
        <x:f>IF(C80&lt;='Method Controls'!$D$27,"PASS","FAIL")</x:f>
        <x:v>PASS</x:v>
      </x:c>
      <x:c r="J80" s="9" t="str">
        <x:f>IF(D80&lt;='Method Controls'!$D$28,"PASS","FAIL")</x:f>
        <x:v>PASS</x:v>
      </x:c>
      <x:c r="K80" s="9" t="str">
        <x:f>IF(AND(E80&lt;='Method Controls'!$D$27,F80&lt;='Method Controls'!$D$28),"PASS","FAIL")</x:f>
        <x:v>PASS</x:v>
      </x:c>
      <x:c r="L80" s="9" t="str">
        <x:f>IF(AND(I80="PASS",J80="PASS",K80="PASS"),"PASS","FAIL")</x:f>
        <x:v>PASS</x:v>
      </x:c>
    </x:row>
    <x:row r="81">
      <x:c r="B81" s="9" t="n">
        <x:v>165</x:v>
      </x:c>
      <x:c r="C81" s="9" t="n">
        <x:f>COUNTIFS('Residual Schedule'!$C$7:$C$98,"Closure",'Residual Schedule'!$H$7:$H$98,"&lt;="&amp;B81,'Residual Schedule'!$I$7:$I$98,"&gt;"&amp;B81)</x:f>
        <x:v>0</x:v>
      </x:c>
      <x:c r="D81" s="9" t="n">
        <x:f>COUNTIFS('Residual Schedule'!$C$7:$C$98,"Damage",'Residual Schedule'!$H$7:$H$98,"&lt;="&amp;B81,'Residual Schedule'!$I$7:$I$98,"&gt;"&amp;B81)</x:f>
        <x:v>0</x:v>
      </x:c>
      <x:c r="E81" s="9" t="n">
        <x:f>COUNTIFS('Residual Schedule'!$C$7:$C$98,"Closure",'Residual Schedule'!$I$7:$I$98,"&lt;="&amp;B81,'Residual Schedule'!$J$7:$J$98,"&gt;"&amp;B81)</x:f>
        <x:v>4</x:v>
      </x:c>
      <x:c r="F81" s="9" t="n">
        <x:f>COUNTIFS('Residual Schedule'!$C$7:$C$98,"Damage",'Residual Schedule'!$I$7:$I$98,"&lt;="&amp;B81,'Residual Schedule'!$J$7:$J$98,"&gt;"&amp;B81)</x:f>
        <x:v>3</x:v>
      </x:c>
      <x:c r="G81" s="9" t="n">
        <x:f>COUNTIFS('Residual Schedule'!$C$7:$C$98,"Closure",'Residual Schedule'!$J$7:$J$98,"&lt;="&amp;B81)</x:f>
        <x:v>20</x:v>
      </x:c>
      <x:c r="H81" s="9" t="n">
        <x:f>COUNTIFS('Residual Schedule'!$C$7:$C$98,"Damage",'Residual Schedule'!$J$7:$J$98,"&lt;="&amp;B81)</x:f>
        <x:v>6</x:v>
      </x:c>
      <x:c r="I81" s="9" t="str">
        <x:f>IF(C81&lt;='Method Controls'!$D$27,"PASS","FAIL")</x:f>
        <x:v>PASS</x:v>
      </x:c>
      <x:c r="J81" s="9" t="str">
        <x:f>IF(D81&lt;='Method Controls'!$D$28,"PASS","FAIL")</x:f>
        <x:v>PASS</x:v>
      </x:c>
      <x:c r="K81" s="9" t="str">
        <x:f>IF(AND(E81&lt;='Method Controls'!$D$27,F81&lt;='Method Controls'!$D$28),"PASS","FAIL")</x:f>
        <x:v>PASS</x:v>
      </x:c>
      <x:c r="L81" s="9" t="str">
        <x:f>IF(AND(I81="PASS",J81="PASS",K81="PASS"),"PASS","FAIL")</x:f>
        <x:v>PASS</x:v>
      </x:c>
    </x:row>
    <x:row r="82">
      <x:c r="B82" s="9" t="n">
        <x:v>166</x:v>
      </x:c>
      <x:c r="C82" s="9" t="n">
        <x:f>COUNTIFS('Residual Schedule'!$C$7:$C$98,"Closure",'Residual Schedule'!$H$7:$H$98,"&lt;="&amp;B82,'Residual Schedule'!$I$7:$I$98,"&gt;"&amp;B82)</x:f>
        <x:v>0</x:v>
      </x:c>
      <x:c r="D82" s="9" t="n">
        <x:f>COUNTIFS('Residual Schedule'!$C$7:$C$98,"Damage",'Residual Schedule'!$H$7:$H$98,"&lt;="&amp;B82,'Residual Schedule'!$I$7:$I$98,"&gt;"&amp;B82)</x:f>
        <x:v>0</x:v>
      </x:c>
      <x:c r="E82" s="9" t="n">
        <x:f>COUNTIFS('Residual Schedule'!$C$7:$C$98,"Closure",'Residual Schedule'!$I$7:$I$98,"&lt;="&amp;B82,'Residual Schedule'!$J$7:$J$98,"&gt;"&amp;B82)</x:f>
        <x:v>4</x:v>
      </x:c>
      <x:c r="F82" s="9" t="n">
        <x:f>COUNTIFS('Residual Schedule'!$C$7:$C$98,"Damage",'Residual Schedule'!$I$7:$I$98,"&lt;="&amp;B82,'Residual Schedule'!$J$7:$J$98,"&gt;"&amp;B82)</x:f>
        <x:v>0</x:v>
      </x:c>
      <x:c r="G82" s="9" t="n">
        <x:f>COUNTIFS('Residual Schedule'!$C$7:$C$98,"Closure",'Residual Schedule'!$J$7:$J$98,"&lt;="&amp;B82)</x:f>
        <x:v>20</x:v>
      </x:c>
      <x:c r="H82" s="9" t="n">
        <x:f>COUNTIFS('Residual Schedule'!$C$7:$C$98,"Damage",'Residual Schedule'!$J$7:$J$98,"&lt;="&amp;B82)</x:f>
        <x:v>9</x:v>
      </x:c>
      <x:c r="I82" s="9" t="str">
        <x:f>IF(C82&lt;='Method Controls'!$D$27,"PASS","FAIL")</x:f>
        <x:v>PASS</x:v>
      </x:c>
      <x:c r="J82" s="9" t="str">
        <x:f>IF(D82&lt;='Method Controls'!$D$28,"PASS","FAIL")</x:f>
        <x:v>PASS</x:v>
      </x:c>
      <x:c r="K82" s="9" t="str">
        <x:f>IF(AND(E82&lt;='Method Controls'!$D$27,F82&lt;='Method Controls'!$D$28),"PASS","FAIL")</x:f>
        <x:v>PASS</x:v>
      </x:c>
      <x:c r="L82" s="9" t="str">
        <x:f>IF(AND(I82="PASS",J82="PASS",K82="PASS"),"PASS","FAIL")</x:f>
        <x:v>PASS</x:v>
      </x:c>
    </x:row>
    <x:row r="83">
      <x:c r="B83" s="9" t="n">
        <x:v>167</x:v>
      </x:c>
      <x:c r="C83" s="9" t="n">
        <x:f>COUNTIFS('Residual Schedule'!$C$7:$C$98,"Closure",'Residual Schedule'!$H$7:$H$98,"&lt;="&amp;B83,'Residual Schedule'!$I$7:$I$98,"&gt;"&amp;B83)</x:f>
        <x:v>0</x:v>
      </x:c>
      <x:c r="D83" s="9" t="n">
        <x:f>COUNTIFS('Residual Schedule'!$C$7:$C$98,"Damage",'Residual Schedule'!$H$7:$H$98,"&lt;="&amp;B83,'Residual Schedule'!$I$7:$I$98,"&gt;"&amp;B83)</x:f>
        <x:v>3</x:v>
      </x:c>
      <x:c r="E83" s="9" t="n">
        <x:f>COUNTIFS('Residual Schedule'!$C$7:$C$98,"Closure",'Residual Schedule'!$I$7:$I$98,"&lt;="&amp;B83,'Residual Schedule'!$J$7:$J$98,"&gt;"&amp;B83)</x:f>
        <x:v>4</x:v>
      </x:c>
      <x:c r="F83" s="9" t="n">
        <x:f>COUNTIFS('Residual Schedule'!$C$7:$C$98,"Damage",'Residual Schedule'!$I$7:$I$98,"&lt;="&amp;B83,'Residual Schedule'!$J$7:$J$98,"&gt;"&amp;B83)</x:f>
        <x:v>0</x:v>
      </x:c>
      <x:c r="G83" s="9" t="n">
        <x:f>COUNTIFS('Residual Schedule'!$C$7:$C$98,"Closure",'Residual Schedule'!$J$7:$J$98,"&lt;="&amp;B83)</x:f>
        <x:v>20</x:v>
      </x:c>
      <x:c r="H83" s="9" t="n">
        <x:f>COUNTIFS('Residual Schedule'!$C$7:$C$98,"Damage",'Residual Schedule'!$J$7:$J$98,"&lt;="&amp;B83)</x:f>
        <x:v>9</x:v>
      </x:c>
      <x:c r="I83" s="9" t="str">
        <x:f>IF(C83&lt;='Method Controls'!$D$27,"PASS","FAIL")</x:f>
        <x:v>PASS</x:v>
      </x:c>
      <x:c r="J83" s="9" t="str">
        <x:f>IF(D83&lt;='Method Controls'!$D$28,"PASS","FAIL")</x:f>
        <x:v>PASS</x:v>
      </x:c>
      <x:c r="K83" s="9" t="str">
        <x:f>IF(AND(E83&lt;='Method Controls'!$D$27,F83&lt;='Method Controls'!$D$28),"PASS","FAIL")</x:f>
        <x:v>PASS</x:v>
      </x:c>
      <x:c r="L83" s="9" t="str">
        <x:f>IF(AND(I83="PASS",J83="PASS",K83="PASS"),"PASS","FAIL")</x:f>
        <x:v>PASS</x:v>
      </x:c>
    </x:row>
    <x:row r="84">
      <x:c r="B84" s="9" t="n">
        <x:v>168</x:v>
      </x:c>
      <x:c r="C84" s="9" t="n">
        <x:f>COUNTIFS('Residual Schedule'!$C$7:$C$98,"Closure",'Residual Schedule'!$H$7:$H$98,"&lt;="&amp;B84,'Residual Schedule'!$I$7:$I$98,"&gt;"&amp;B84)</x:f>
        <x:v>0</x:v>
      </x:c>
      <x:c r="D84" s="9" t="n">
        <x:f>COUNTIFS('Residual Schedule'!$C$7:$C$98,"Damage",'Residual Schedule'!$H$7:$H$98,"&lt;="&amp;B84,'Residual Schedule'!$I$7:$I$98,"&gt;"&amp;B84)</x:f>
        <x:v>3</x:v>
      </x:c>
      <x:c r="E84" s="9" t="n">
        <x:f>COUNTIFS('Residual Schedule'!$C$7:$C$98,"Closure",'Residual Schedule'!$I$7:$I$98,"&lt;="&amp;B84,'Residual Schedule'!$J$7:$J$98,"&gt;"&amp;B84)</x:f>
        <x:v>4</x:v>
      </x:c>
      <x:c r="F84" s="9" t="n">
        <x:f>COUNTIFS('Residual Schedule'!$C$7:$C$98,"Damage",'Residual Schedule'!$I$7:$I$98,"&lt;="&amp;B84,'Residual Schedule'!$J$7:$J$98,"&gt;"&amp;B84)</x:f>
        <x:v>0</x:v>
      </x:c>
      <x:c r="G84" s="9" t="n">
        <x:f>COUNTIFS('Residual Schedule'!$C$7:$C$98,"Closure",'Residual Schedule'!$J$7:$J$98,"&lt;="&amp;B84)</x:f>
        <x:v>20</x:v>
      </x:c>
      <x:c r="H84" s="9" t="n">
        <x:f>COUNTIFS('Residual Schedule'!$C$7:$C$98,"Damage",'Residual Schedule'!$J$7:$J$98,"&lt;="&amp;B84)</x:f>
        <x:v>9</x:v>
      </x:c>
      <x:c r="I84" s="9" t="str">
        <x:f>IF(C84&lt;='Method Controls'!$D$27,"PASS","FAIL")</x:f>
        <x:v>PASS</x:v>
      </x:c>
      <x:c r="J84" s="9" t="str">
        <x:f>IF(D84&lt;='Method Controls'!$D$28,"PASS","FAIL")</x:f>
        <x:v>PASS</x:v>
      </x:c>
      <x:c r="K84" s="9" t="str">
        <x:f>IF(AND(E84&lt;='Method Controls'!$D$27,F84&lt;='Method Controls'!$D$28),"PASS","FAIL")</x:f>
        <x:v>PASS</x:v>
      </x:c>
      <x:c r="L84" s="9" t="str">
        <x:f>IF(AND(I84="PASS",J84="PASS",K84="PASS"),"PASS","FAIL")</x:f>
        <x:v>PASS</x:v>
      </x:c>
    </x:row>
    <x:row r="85">
      <x:c r="B85" s="9" t="n">
        <x:v>169</x:v>
      </x:c>
      <x:c r="C85" s="9" t="n">
        <x:f>COUNTIFS('Residual Schedule'!$C$7:$C$98,"Closure",'Residual Schedule'!$H$7:$H$98,"&lt;="&amp;B85,'Residual Schedule'!$I$7:$I$98,"&gt;"&amp;B85)</x:f>
        <x:v>4</x:v>
      </x:c>
      <x:c r="D85" s="9" t="n">
        <x:f>COUNTIFS('Residual Schedule'!$C$7:$C$98,"Damage",'Residual Schedule'!$H$7:$H$98,"&lt;="&amp;B85,'Residual Schedule'!$I$7:$I$98,"&gt;"&amp;B85)</x:f>
        <x:v>3</x:v>
      </x:c>
      <x:c r="E85" s="9" t="n">
        <x:f>COUNTIFS('Residual Schedule'!$C$7:$C$98,"Closure",'Residual Schedule'!$I$7:$I$98,"&lt;="&amp;B85,'Residual Schedule'!$J$7:$J$98,"&gt;"&amp;B85)</x:f>
        <x:v>4</x:v>
      </x:c>
      <x:c r="F85" s="9" t="n">
        <x:f>COUNTIFS('Residual Schedule'!$C$7:$C$98,"Damage",'Residual Schedule'!$I$7:$I$98,"&lt;="&amp;B85,'Residual Schedule'!$J$7:$J$98,"&gt;"&amp;B85)</x:f>
        <x:v>0</x:v>
      </x:c>
      <x:c r="G85" s="9" t="n">
        <x:f>COUNTIFS('Residual Schedule'!$C$7:$C$98,"Closure",'Residual Schedule'!$J$7:$J$98,"&lt;="&amp;B85)</x:f>
        <x:v>20</x:v>
      </x:c>
      <x:c r="H85" s="9" t="n">
        <x:f>COUNTIFS('Residual Schedule'!$C$7:$C$98,"Damage",'Residual Schedule'!$J$7:$J$98,"&lt;="&amp;B85)</x:f>
        <x:v>9</x:v>
      </x:c>
      <x:c r="I85" s="9" t="str">
        <x:f>IF(C85&lt;='Method Controls'!$D$27,"PASS","FAIL")</x:f>
        <x:v>PASS</x:v>
      </x:c>
      <x:c r="J85" s="9" t="str">
        <x:f>IF(D85&lt;='Method Controls'!$D$28,"PASS","FAIL")</x:f>
        <x:v>PASS</x:v>
      </x:c>
      <x:c r="K85" s="9" t="str">
        <x:f>IF(AND(E85&lt;='Method Controls'!$D$27,F85&lt;='Method Controls'!$D$28),"PASS","FAIL")</x:f>
        <x:v>PASS</x:v>
      </x:c>
      <x:c r="L85" s="9" t="str">
        <x:f>IF(AND(I85="PASS",J85="PASS",K85="PASS"),"PASS","FAIL")</x:f>
        <x:v>PASS</x:v>
      </x:c>
    </x:row>
    <x:row r="86">
      <x:c r="B86" s="9" t="n">
        <x:v>170</x:v>
      </x:c>
      <x:c r="C86" s="9" t="n">
        <x:f>COUNTIFS('Residual Schedule'!$C$7:$C$98,"Closure",'Residual Schedule'!$H$7:$H$98,"&lt;="&amp;B86,'Residual Schedule'!$I$7:$I$98,"&gt;"&amp;B86)</x:f>
        <x:v>4</x:v>
      </x:c>
      <x:c r="D86" s="9" t="n">
        <x:f>COUNTIFS('Residual Schedule'!$C$7:$C$98,"Damage",'Residual Schedule'!$H$7:$H$98,"&lt;="&amp;B86,'Residual Schedule'!$I$7:$I$98,"&gt;"&amp;B86)</x:f>
        <x:v>3</x:v>
      </x:c>
      <x:c r="E86" s="9" t="n">
        <x:f>COUNTIFS('Residual Schedule'!$C$7:$C$98,"Closure",'Residual Schedule'!$I$7:$I$98,"&lt;="&amp;B86,'Residual Schedule'!$J$7:$J$98,"&gt;"&amp;B86)</x:f>
        <x:v>4</x:v>
      </x:c>
      <x:c r="F86" s="9" t="n">
        <x:f>COUNTIFS('Residual Schedule'!$C$7:$C$98,"Damage",'Residual Schedule'!$I$7:$I$98,"&lt;="&amp;B86,'Residual Schedule'!$J$7:$J$98,"&gt;"&amp;B86)</x:f>
        <x:v>0</x:v>
      </x:c>
      <x:c r="G86" s="9" t="n">
        <x:f>COUNTIFS('Residual Schedule'!$C$7:$C$98,"Closure",'Residual Schedule'!$J$7:$J$98,"&lt;="&amp;B86)</x:f>
        <x:v>20</x:v>
      </x:c>
      <x:c r="H86" s="9" t="n">
        <x:f>COUNTIFS('Residual Schedule'!$C$7:$C$98,"Damage",'Residual Schedule'!$J$7:$J$98,"&lt;="&amp;B86)</x:f>
        <x:v>9</x:v>
      </x:c>
      <x:c r="I86" s="9" t="str">
        <x:f>IF(C86&lt;='Method Controls'!$D$27,"PASS","FAIL")</x:f>
        <x:v>PASS</x:v>
      </x:c>
      <x:c r="J86" s="9" t="str">
        <x:f>IF(D86&lt;='Method Controls'!$D$28,"PASS","FAIL")</x:f>
        <x:v>PASS</x:v>
      </x:c>
      <x:c r="K86" s="9" t="str">
        <x:f>IF(AND(E86&lt;='Method Controls'!$D$27,F86&lt;='Method Controls'!$D$28),"PASS","FAIL")</x:f>
        <x:v>PASS</x:v>
      </x:c>
      <x:c r="L86" s="9" t="str">
        <x:f>IF(AND(I86="PASS",J86="PASS",K86="PASS"),"PASS","FAIL")</x:f>
        <x:v>PASS</x:v>
      </x:c>
    </x:row>
    <x:row r="87">
      <x:c r="B87" s="9" t="n">
        <x:v>171</x:v>
      </x:c>
      <x:c r="C87" s="9" t="n">
        <x:f>COUNTIFS('Residual Schedule'!$C$7:$C$98,"Closure",'Residual Schedule'!$H$7:$H$98,"&lt;="&amp;B87,'Residual Schedule'!$I$7:$I$98,"&gt;"&amp;B87)</x:f>
        <x:v>4</x:v>
      </x:c>
      <x:c r="D87" s="9" t="n">
        <x:f>COUNTIFS('Residual Schedule'!$C$7:$C$98,"Damage",'Residual Schedule'!$H$7:$H$98,"&lt;="&amp;B87,'Residual Schedule'!$I$7:$I$98,"&gt;"&amp;B87)</x:f>
        <x:v>3</x:v>
      </x:c>
      <x:c r="E87" s="9" t="n">
        <x:f>COUNTIFS('Residual Schedule'!$C$7:$C$98,"Closure",'Residual Schedule'!$I$7:$I$98,"&lt;="&amp;B87,'Residual Schedule'!$J$7:$J$98,"&gt;"&amp;B87)</x:f>
        <x:v>0</x:v>
      </x:c>
      <x:c r="F87" s="9" t="n">
        <x:f>COUNTIFS('Residual Schedule'!$C$7:$C$98,"Damage",'Residual Schedule'!$I$7:$I$98,"&lt;="&amp;B87,'Residual Schedule'!$J$7:$J$98,"&gt;"&amp;B87)</x:f>
        <x:v>0</x:v>
      </x:c>
      <x:c r="G87" s="9" t="n">
        <x:f>COUNTIFS('Residual Schedule'!$C$7:$C$98,"Closure",'Residual Schedule'!$J$7:$J$98,"&lt;="&amp;B87)</x:f>
        <x:v>24</x:v>
      </x:c>
      <x:c r="H87" s="9" t="n">
        <x:f>COUNTIFS('Residual Schedule'!$C$7:$C$98,"Damage",'Residual Schedule'!$J$7:$J$98,"&lt;="&amp;B87)</x:f>
        <x:v>9</x:v>
      </x:c>
      <x:c r="I87" s="9" t="str">
        <x:f>IF(C87&lt;='Method Controls'!$D$27,"PASS","FAIL")</x:f>
        <x:v>PASS</x:v>
      </x:c>
      <x:c r="J87" s="9" t="str">
        <x:f>IF(D87&lt;='Method Controls'!$D$28,"PASS","FAIL")</x:f>
        <x:v>PASS</x:v>
      </x:c>
      <x:c r="K87" s="9" t="str">
        <x:f>IF(AND(E87&lt;='Method Controls'!$D$27,F87&lt;='Method Controls'!$D$28),"PASS","FAIL")</x:f>
        <x:v>PASS</x:v>
      </x:c>
      <x:c r="L87" s="9" t="str">
        <x:f>IF(AND(I87="PASS",J87="PASS",K87="PASS"),"PASS","FAIL")</x:f>
        <x:v>PASS</x:v>
      </x:c>
    </x:row>
    <x:row r="88">
      <x:c r="B88" s="9" t="n">
        <x:v>172</x:v>
      </x:c>
      <x:c r="C88" s="9" t="n">
        <x:f>COUNTIFS('Residual Schedule'!$C$7:$C$98,"Closure",'Residual Schedule'!$H$7:$H$98,"&lt;="&amp;B88,'Residual Schedule'!$I$7:$I$98,"&gt;"&amp;B88)</x:f>
        <x:v>4</x:v>
      </x:c>
      <x:c r="D88" s="9" t="n">
        <x:f>COUNTIFS('Residual Schedule'!$C$7:$C$98,"Damage",'Residual Schedule'!$H$7:$H$98,"&lt;="&amp;B88,'Residual Schedule'!$I$7:$I$98,"&gt;"&amp;B88)</x:f>
        <x:v>3</x:v>
      </x:c>
      <x:c r="E88" s="9" t="n">
        <x:f>COUNTIFS('Residual Schedule'!$C$7:$C$98,"Closure",'Residual Schedule'!$I$7:$I$98,"&lt;="&amp;B88,'Residual Schedule'!$J$7:$J$98,"&gt;"&amp;B88)</x:f>
        <x:v>0</x:v>
      </x:c>
      <x:c r="F88" s="9" t="n">
        <x:f>COUNTIFS('Residual Schedule'!$C$7:$C$98,"Damage",'Residual Schedule'!$I$7:$I$98,"&lt;="&amp;B88,'Residual Schedule'!$J$7:$J$98,"&gt;"&amp;B88)</x:f>
        <x:v>0</x:v>
      </x:c>
      <x:c r="G88" s="9" t="n">
        <x:f>COUNTIFS('Residual Schedule'!$C$7:$C$98,"Closure",'Residual Schedule'!$J$7:$J$98,"&lt;="&amp;B88)</x:f>
        <x:v>24</x:v>
      </x:c>
      <x:c r="H88" s="9" t="n">
        <x:f>COUNTIFS('Residual Schedule'!$C$7:$C$98,"Damage",'Residual Schedule'!$J$7:$J$98,"&lt;="&amp;B88)</x:f>
        <x:v>9</x:v>
      </x:c>
      <x:c r="I88" s="9" t="str">
        <x:f>IF(C88&lt;='Method Controls'!$D$27,"PASS","FAIL")</x:f>
        <x:v>PASS</x:v>
      </x:c>
      <x:c r="J88" s="9" t="str">
        <x:f>IF(D88&lt;='Method Controls'!$D$28,"PASS","FAIL")</x:f>
        <x:v>PASS</x:v>
      </x:c>
      <x:c r="K88" s="9" t="str">
        <x:f>IF(AND(E88&lt;='Method Controls'!$D$27,F88&lt;='Method Controls'!$D$28),"PASS","FAIL")</x:f>
        <x:v>PASS</x:v>
      </x:c>
      <x:c r="L88" s="9" t="str">
        <x:f>IF(AND(I88="PASS",J88="PASS",K88="PASS"),"PASS","FAIL")</x:f>
        <x:v>PASS</x:v>
      </x:c>
    </x:row>
    <x:row r="89">
      <x:c r="B89" s="9" t="n">
        <x:v>173</x:v>
      </x:c>
      <x:c r="C89" s="9" t="n">
        <x:f>COUNTIFS('Residual Schedule'!$C$7:$C$98,"Closure",'Residual Schedule'!$H$7:$H$98,"&lt;="&amp;B89,'Residual Schedule'!$I$7:$I$98,"&gt;"&amp;B89)</x:f>
        <x:v>4</x:v>
      </x:c>
      <x:c r="D89" s="9" t="n">
        <x:f>COUNTIFS('Residual Schedule'!$C$7:$C$98,"Damage",'Residual Schedule'!$H$7:$H$98,"&lt;="&amp;B89,'Residual Schedule'!$I$7:$I$98,"&gt;"&amp;B89)</x:f>
        <x:v>3</x:v>
      </x:c>
      <x:c r="E89" s="9" t="n">
        <x:f>COUNTIFS('Residual Schedule'!$C$7:$C$98,"Closure",'Residual Schedule'!$I$7:$I$98,"&lt;="&amp;B89,'Residual Schedule'!$J$7:$J$98,"&gt;"&amp;B89)</x:f>
        <x:v>0</x:v>
      </x:c>
      <x:c r="F89" s="9" t="n">
        <x:f>COUNTIFS('Residual Schedule'!$C$7:$C$98,"Damage",'Residual Schedule'!$I$7:$I$98,"&lt;="&amp;B89,'Residual Schedule'!$J$7:$J$98,"&gt;"&amp;B89)</x:f>
        <x:v>0</x:v>
      </x:c>
      <x:c r="G89" s="9" t="n">
        <x:f>COUNTIFS('Residual Schedule'!$C$7:$C$98,"Closure",'Residual Schedule'!$J$7:$J$98,"&lt;="&amp;B89)</x:f>
        <x:v>24</x:v>
      </x:c>
      <x:c r="H89" s="9" t="n">
        <x:f>COUNTIFS('Residual Schedule'!$C$7:$C$98,"Damage",'Residual Schedule'!$J$7:$J$98,"&lt;="&amp;B89)</x:f>
        <x:v>9</x:v>
      </x:c>
      <x:c r="I89" s="9" t="str">
        <x:f>IF(C89&lt;='Method Controls'!$D$27,"PASS","FAIL")</x:f>
        <x:v>PASS</x:v>
      </x:c>
      <x:c r="J89" s="9" t="str">
        <x:f>IF(D89&lt;='Method Controls'!$D$28,"PASS","FAIL")</x:f>
        <x:v>PASS</x:v>
      </x:c>
      <x:c r="K89" s="9" t="str">
        <x:f>IF(AND(E89&lt;='Method Controls'!$D$27,F89&lt;='Method Controls'!$D$28),"PASS","FAIL")</x:f>
        <x:v>PASS</x:v>
      </x:c>
      <x:c r="L89" s="9" t="str">
        <x:f>IF(AND(I89="PASS",J89="PASS",K89="PASS"),"PASS","FAIL")</x:f>
        <x:v>PASS</x:v>
      </x:c>
    </x:row>
    <x:row r="90">
      <x:c r="B90" s="9" t="n">
        <x:v>174</x:v>
      </x:c>
      <x:c r="C90" s="9" t="n">
        <x:f>COUNTIFS('Residual Schedule'!$C$7:$C$98,"Closure",'Residual Schedule'!$H$7:$H$98,"&lt;="&amp;B90,'Residual Schedule'!$I$7:$I$98,"&gt;"&amp;B90)</x:f>
        <x:v>4</x:v>
      </x:c>
      <x:c r="D90" s="9" t="n">
        <x:f>COUNTIFS('Residual Schedule'!$C$7:$C$98,"Damage",'Residual Schedule'!$H$7:$H$98,"&lt;="&amp;B90,'Residual Schedule'!$I$7:$I$98,"&gt;"&amp;B90)</x:f>
        <x:v>3</x:v>
      </x:c>
      <x:c r="E90" s="9" t="n">
        <x:f>COUNTIFS('Residual Schedule'!$C$7:$C$98,"Closure",'Residual Schedule'!$I$7:$I$98,"&lt;="&amp;B90,'Residual Schedule'!$J$7:$J$98,"&gt;"&amp;B90)</x:f>
        <x:v>0</x:v>
      </x:c>
      <x:c r="F90" s="9" t="n">
        <x:f>COUNTIFS('Residual Schedule'!$C$7:$C$98,"Damage",'Residual Schedule'!$I$7:$I$98,"&lt;="&amp;B90,'Residual Schedule'!$J$7:$J$98,"&gt;"&amp;B90)</x:f>
        <x:v>0</x:v>
      </x:c>
      <x:c r="G90" s="9" t="n">
        <x:f>COUNTIFS('Residual Schedule'!$C$7:$C$98,"Closure",'Residual Schedule'!$J$7:$J$98,"&lt;="&amp;B90)</x:f>
        <x:v>24</x:v>
      </x:c>
      <x:c r="H90" s="9" t="n">
        <x:f>COUNTIFS('Residual Schedule'!$C$7:$C$98,"Damage",'Residual Schedule'!$J$7:$J$98,"&lt;="&amp;B90)</x:f>
        <x:v>9</x:v>
      </x:c>
      <x:c r="I90" s="9" t="str">
        <x:f>IF(C90&lt;='Method Controls'!$D$27,"PASS","FAIL")</x:f>
        <x:v>PASS</x:v>
      </x:c>
      <x:c r="J90" s="9" t="str">
        <x:f>IF(D90&lt;='Method Controls'!$D$28,"PASS","FAIL")</x:f>
        <x:v>PASS</x:v>
      </x:c>
      <x:c r="K90" s="9" t="str">
        <x:f>IF(AND(E90&lt;='Method Controls'!$D$27,F90&lt;='Method Controls'!$D$28),"PASS","FAIL")</x:f>
        <x:v>PASS</x:v>
      </x:c>
      <x:c r="L90" s="9" t="str">
        <x:f>IF(AND(I90="PASS",J90="PASS",K90="PASS"),"PASS","FAIL")</x:f>
        <x:v>PASS</x:v>
      </x:c>
    </x:row>
    <x:row r="91">
      <x:c r="B91" s="9" t="n">
        <x:v>175</x:v>
      </x:c>
      <x:c r="C91" s="9" t="n">
        <x:f>COUNTIFS('Residual Schedule'!$C$7:$C$98,"Closure",'Residual Schedule'!$H$7:$H$98,"&lt;="&amp;B91,'Residual Schedule'!$I$7:$I$98,"&gt;"&amp;B91)</x:f>
        <x:v>4</x:v>
      </x:c>
      <x:c r="D91" s="9" t="n">
        <x:f>COUNTIFS('Residual Schedule'!$C$7:$C$98,"Damage",'Residual Schedule'!$H$7:$H$98,"&lt;="&amp;B91,'Residual Schedule'!$I$7:$I$98,"&gt;"&amp;B91)</x:f>
        <x:v>3</x:v>
      </x:c>
      <x:c r="E91" s="9" t="n">
        <x:f>COUNTIFS('Residual Schedule'!$C$7:$C$98,"Closure",'Residual Schedule'!$I$7:$I$98,"&lt;="&amp;B91,'Residual Schedule'!$J$7:$J$98,"&gt;"&amp;B91)</x:f>
        <x:v>0</x:v>
      </x:c>
      <x:c r="F91" s="9" t="n">
        <x:f>COUNTIFS('Residual Schedule'!$C$7:$C$98,"Damage",'Residual Schedule'!$I$7:$I$98,"&lt;="&amp;B91,'Residual Schedule'!$J$7:$J$98,"&gt;"&amp;B91)</x:f>
        <x:v>0</x:v>
      </x:c>
      <x:c r="G91" s="9" t="n">
        <x:f>COUNTIFS('Residual Schedule'!$C$7:$C$98,"Closure",'Residual Schedule'!$J$7:$J$98,"&lt;="&amp;B91)</x:f>
        <x:v>24</x:v>
      </x:c>
      <x:c r="H91" s="9" t="n">
        <x:f>COUNTIFS('Residual Schedule'!$C$7:$C$98,"Damage",'Residual Schedule'!$J$7:$J$98,"&lt;="&amp;B91)</x:f>
        <x:v>9</x:v>
      </x:c>
      <x:c r="I91" s="9" t="str">
        <x:f>IF(C91&lt;='Method Controls'!$D$27,"PASS","FAIL")</x:f>
        <x:v>PASS</x:v>
      </x:c>
      <x:c r="J91" s="9" t="str">
        <x:f>IF(D91&lt;='Method Controls'!$D$28,"PASS","FAIL")</x:f>
        <x:v>PASS</x:v>
      </x:c>
      <x:c r="K91" s="9" t="str">
        <x:f>IF(AND(E91&lt;='Method Controls'!$D$27,F91&lt;='Method Controls'!$D$28),"PASS","FAIL")</x:f>
        <x:v>PASS</x:v>
      </x:c>
      <x:c r="L91" s="9" t="str">
        <x:f>IF(AND(I91="PASS",J91="PASS",K91="PASS"),"PASS","FAIL")</x:f>
        <x:v>PASS</x:v>
      </x:c>
    </x:row>
    <x:row r="92">
      <x:c r="B92" s="9" t="n">
        <x:v>176</x:v>
      </x:c>
      <x:c r="C92" s="9" t="n">
        <x:f>COUNTIFS('Residual Schedule'!$C$7:$C$98,"Closure",'Residual Schedule'!$H$7:$H$98,"&lt;="&amp;B92,'Residual Schedule'!$I$7:$I$98,"&gt;"&amp;B92)</x:f>
        <x:v>4</x:v>
      </x:c>
      <x:c r="D92" s="9" t="n">
        <x:f>COUNTIFS('Residual Schedule'!$C$7:$C$98,"Damage",'Residual Schedule'!$H$7:$H$98,"&lt;="&amp;B92,'Residual Schedule'!$I$7:$I$98,"&gt;"&amp;B92)</x:f>
        <x:v>3</x:v>
      </x:c>
      <x:c r="E92" s="9" t="n">
        <x:f>COUNTIFS('Residual Schedule'!$C$7:$C$98,"Closure",'Residual Schedule'!$I$7:$I$98,"&lt;="&amp;B92,'Residual Schedule'!$J$7:$J$98,"&gt;"&amp;B92)</x:f>
        <x:v>0</x:v>
      </x:c>
      <x:c r="F92" s="9" t="n">
        <x:f>COUNTIFS('Residual Schedule'!$C$7:$C$98,"Damage",'Residual Schedule'!$I$7:$I$98,"&lt;="&amp;B92,'Residual Schedule'!$J$7:$J$98,"&gt;"&amp;B92)</x:f>
        <x:v>0</x:v>
      </x:c>
      <x:c r="G92" s="9" t="n">
        <x:f>COUNTIFS('Residual Schedule'!$C$7:$C$98,"Closure",'Residual Schedule'!$J$7:$J$98,"&lt;="&amp;B92)</x:f>
        <x:v>24</x:v>
      </x:c>
      <x:c r="H92" s="9" t="n">
        <x:f>COUNTIFS('Residual Schedule'!$C$7:$C$98,"Damage",'Residual Schedule'!$J$7:$J$98,"&lt;="&amp;B92)</x:f>
        <x:v>9</x:v>
      </x:c>
      <x:c r="I92" s="9" t="str">
        <x:f>IF(C92&lt;='Method Controls'!$D$27,"PASS","FAIL")</x:f>
        <x:v>PASS</x:v>
      </x:c>
      <x:c r="J92" s="9" t="str">
        <x:f>IF(D92&lt;='Method Controls'!$D$28,"PASS","FAIL")</x:f>
        <x:v>PASS</x:v>
      </x:c>
      <x:c r="K92" s="9" t="str">
        <x:f>IF(AND(E92&lt;='Method Controls'!$D$27,F92&lt;='Method Controls'!$D$28),"PASS","FAIL")</x:f>
        <x:v>PASS</x:v>
      </x:c>
      <x:c r="L92" s="9" t="str">
        <x:f>IF(AND(I92="PASS",J92="PASS",K92="PASS"),"PASS","FAIL")</x:f>
        <x:v>PASS</x:v>
      </x:c>
    </x:row>
    <x:row r="93">
      <x:c r="B93" s="9" t="n">
        <x:v>177</x:v>
      </x:c>
      <x:c r="C93" s="9" t="n">
        <x:f>COUNTIFS('Residual Schedule'!$C$7:$C$98,"Closure",'Residual Schedule'!$H$7:$H$98,"&lt;="&amp;B93,'Residual Schedule'!$I$7:$I$98,"&gt;"&amp;B93)</x:f>
        <x:v>4</x:v>
      </x:c>
      <x:c r="D93" s="9" t="n">
        <x:f>COUNTIFS('Residual Schedule'!$C$7:$C$98,"Damage",'Residual Schedule'!$H$7:$H$98,"&lt;="&amp;B93,'Residual Schedule'!$I$7:$I$98,"&gt;"&amp;B93)</x:f>
        <x:v>3</x:v>
      </x:c>
      <x:c r="E93" s="9" t="n">
        <x:f>COUNTIFS('Residual Schedule'!$C$7:$C$98,"Closure",'Residual Schedule'!$I$7:$I$98,"&lt;="&amp;B93,'Residual Schedule'!$J$7:$J$98,"&gt;"&amp;B93)</x:f>
        <x:v>0</x:v>
      </x:c>
      <x:c r="F93" s="9" t="n">
        <x:f>COUNTIFS('Residual Schedule'!$C$7:$C$98,"Damage",'Residual Schedule'!$I$7:$I$98,"&lt;="&amp;B93,'Residual Schedule'!$J$7:$J$98,"&gt;"&amp;B93)</x:f>
        <x:v>0</x:v>
      </x:c>
      <x:c r="G93" s="9" t="n">
        <x:f>COUNTIFS('Residual Schedule'!$C$7:$C$98,"Closure",'Residual Schedule'!$J$7:$J$98,"&lt;="&amp;B93)</x:f>
        <x:v>24</x:v>
      </x:c>
      <x:c r="H93" s="9" t="n">
        <x:f>COUNTIFS('Residual Schedule'!$C$7:$C$98,"Damage",'Residual Schedule'!$J$7:$J$98,"&lt;="&amp;B93)</x:f>
        <x:v>9</x:v>
      </x:c>
      <x:c r="I93" s="9" t="str">
        <x:f>IF(C93&lt;='Method Controls'!$D$27,"PASS","FAIL")</x:f>
        <x:v>PASS</x:v>
      </x:c>
      <x:c r="J93" s="9" t="str">
        <x:f>IF(D93&lt;='Method Controls'!$D$28,"PASS","FAIL")</x:f>
        <x:v>PASS</x:v>
      </x:c>
      <x:c r="K93" s="9" t="str">
        <x:f>IF(AND(E93&lt;='Method Controls'!$D$27,F93&lt;='Method Controls'!$D$28),"PASS","FAIL")</x:f>
        <x:v>PASS</x:v>
      </x:c>
      <x:c r="L93" s="9" t="str">
        <x:f>IF(AND(I93="PASS",J93="PASS",K93="PASS"),"PASS","FAIL")</x:f>
        <x:v>PASS</x:v>
      </x:c>
    </x:row>
    <x:row r="94">
      <x:c r="B94" s="9" t="n">
        <x:v>178</x:v>
      </x:c>
      <x:c r="C94" s="9" t="n">
        <x:f>COUNTIFS('Residual Schedule'!$C$7:$C$98,"Closure",'Residual Schedule'!$H$7:$H$98,"&lt;="&amp;B94,'Residual Schedule'!$I$7:$I$98,"&gt;"&amp;B94)</x:f>
        <x:v>0</x:v>
      </x:c>
      <x:c r="D94" s="9" t="n">
        <x:f>COUNTIFS('Residual Schedule'!$C$7:$C$98,"Damage",'Residual Schedule'!$H$7:$H$98,"&lt;="&amp;B94,'Residual Schedule'!$I$7:$I$98,"&gt;"&amp;B94)</x:f>
        <x:v>3</x:v>
      </x:c>
      <x:c r="E94" s="9" t="n">
        <x:f>COUNTIFS('Residual Schedule'!$C$7:$C$98,"Closure",'Residual Schedule'!$I$7:$I$98,"&lt;="&amp;B94,'Residual Schedule'!$J$7:$J$98,"&gt;"&amp;B94)</x:f>
        <x:v>4</x:v>
      </x:c>
      <x:c r="F94" s="9" t="n">
        <x:f>COUNTIFS('Residual Schedule'!$C$7:$C$98,"Damage",'Residual Schedule'!$I$7:$I$98,"&lt;="&amp;B94,'Residual Schedule'!$J$7:$J$98,"&gt;"&amp;B94)</x:f>
        <x:v>0</x:v>
      </x:c>
      <x:c r="G94" s="9" t="n">
        <x:f>COUNTIFS('Residual Schedule'!$C$7:$C$98,"Closure",'Residual Schedule'!$J$7:$J$98,"&lt;="&amp;B94)</x:f>
        <x:v>24</x:v>
      </x:c>
      <x:c r="H94" s="9" t="n">
        <x:f>COUNTIFS('Residual Schedule'!$C$7:$C$98,"Damage",'Residual Schedule'!$J$7:$J$98,"&lt;="&amp;B94)</x:f>
        <x:v>9</x:v>
      </x:c>
      <x:c r="I94" s="9" t="str">
        <x:f>IF(C94&lt;='Method Controls'!$D$27,"PASS","FAIL")</x:f>
        <x:v>PASS</x:v>
      </x:c>
      <x:c r="J94" s="9" t="str">
        <x:f>IF(D94&lt;='Method Controls'!$D$28,"PASS","FAIL")</x:f>
        <x:v>PASS</x:v>
      </x:c>
      <x:c r="K94" s="9" t="str">
        <x:f>IF(AND(E94&lt;='Method Controls'!$D$27,F94&lt;='Method Controls'!$D$28),"PASS","FAIL")</x:f>
        <x:v>PASS</x:v>
      </x:c>
      <x:c r="L94" s="9" t="str">
        <x:f>IF(AND(I94="PASS",J94="PASS",K94="PASS"),"PASS","FAIL")</x:f>
        <x:v>PASS</x:v>
      </x:c>
    </x:row>
    <x:row r="95">
      <x:c r="B95" s="9" t="n">
        <x:v>179</x:v>
      </x:c>
      <x:c r="C95" s="9" t="n">
        <x:f>COUNTIFS('Residual Schedule'!$C$7:$C$98,"Closure",'Residual Schedule'!$H$7:$H$98,"&lt;="&amp;B95,'Residual Schedule'!$I$7:$I$98,"&gt;"&amp;B95)</x:f>
        <x:v>0</x:v>
      </x:c>
      <x:c r="D95" s="9" t="n">
        <x:f>COUNTIFS('Residual Schedule'!$C$7:$C$98,"Damage",'Residual Schedule'!$H$7:$H$98,"&lt;="&amp;B95,'Residual Schedule'!$I$7:$I$98,"&gt;"&amp;B95)</x:f>
        <x:v>3</x:v>
      </x:c>
      <x:c r="E95" s="9" t="n">
        <x:f>COUNTIFS('Residual Schedule'!$C$7:$C$98,"Closure",'Residual Schedule'!$I$7:$I$98,"&lt;="&amp;B95,'Residual Schedule'!$J$7:$J$98,"&gt;"&amp;B95)</x:f>
        <x:v>4</x:v>
      </x:c>
      <x:c r="F95" s="9" t="n">
        <x:f>COUNTIFS('Residual Schedule'!$C$7:$C$98,"Damage",'Residual Schedule'!$I$7:$I$98,"&lt;="&amp;B95,'Residual Schedule'!$J$7:$J$98,"&gt;"&amp;B95)</x:f>
        <x:v>0</x:v>
      </x:c>
      <x:c r="G95" s="9" t="n">
        <x:f>COUNTIFS('Residual Schedule'!$C$7:$C$98,"Closure",'Residual Schedule'!$J$7:$J$98,"&lt;="&amp;B95)</x:f>
        <x:v>24</x:v>
      </x:c>
      <x:c r="H95" s="9" t="n">
        <x:f>COUNTIFS('Residual Schedule'!$C$7:$C$98,"Damage",'Residual Schedule'!$J$7:$J$98,"&lt;="&amp;B95)</x:f>
        <x:v>9</x:v>
      </x:c>
      <x:c r="I95" s="9" t="str">
        <x:f>IF(C95&lt;='Method Controls'!$D$27,"PASS","FAIL")</x:f>
        <x:v>PASS</x:v>
      </x:c>
      <x:c r="J95" s="9" t="str">
        <x:f>IF(D95&lt;='Method Controls'!$D$28,"PASS","FAIL")</x:f>
        <x:v>PASS</x:v>
      </x:c>
      <x:c r="K95" s="9" t="str">
        <x:f>IF(AND(E95&lt;='Method Controls'!$D$27,F95&lt;='Method Controls'!$D$28),"PASS","FAIL")</x:f>
        <x:v>PASS</x:v>
      </x:c>
      <x:c r="L95" s="9" t="str">
        <x:f>IF(AND(I95="PASS",J95="PASS",K95="PASS"),"PASS","FAIL")</x:f>
        <x:v>PASS</x:v>
      </x:c>
    </x:row>
    <x:row r="96">
      <x:c r="B96" s="9" t="n">
        <x:v>180</x:v>
      </x:c>
      <x:c r="C96" s="9" t="n">
        <x:f>COUNTIFS('Residual Schedule'!$C$7:$C$98,"Closure",'Residual Schedule'!$H$7:$H$98,"&lt;="&amp;B96,'Residual Schedule'!$I$7:$I$98,"&gt;"&amp;B96)</x:f>
        <x:v>0</x:v>
      </x:c>
      <x:c r="D96" s="9" t="n">
        <x:f>COUNTIFS('Residual Schedule'!$C$7:$C$98,"Damage",'Residual Schedule'!$H$7:$H$98,"&lt;="&amp;B96,'Residual Schedule'!$I$7:$I$98,"&gt;"&amp;B96)</x:f>
        <x:v>3</x:v>
      </x:c>
      <x:c r="E96" s="9" t="n">
        <x:f>COUNTIFS('Residual Schedule'!$C$7:$C$98,"Closure",'Residual Schedule'!$I$7:$I$98,"&lt;="&amp;B96,'Residual Schedule'!$J$7:$J$98,"&gt;"&amp;B96)</x:f>
        <x:v>4</x:v>
      </x:c>
      <x:c r="F96" s="9" t="n">
        <x:f>COUNTIFS('Residual Schedule'!$C$7:$C$98,"Damage",'Residual Schedule'!$I$7:$I$98,"&lt;="&amp;B96,'Residual Schedule'!$J$7:$J$98,"&gt;"&amp;B96)</x:f>
        <x:v>0</x:v>
      </x:c>
      <x:c r="G96" s="9" t="n">
        <x:f>COUNTIFS('Residual Schedule'!$C$7:$C$98,"Closure",'Residual Schedule'!$J$7:$J$98,"&lt;="&amp;B96)</x:f>
        <x:v>24</x:v>
      </x:c>
      <x:c r="H96" s="9" t="n">
        <x:f>COUNTIFS('Residual Schedule'!$C$7:$C$98,"Damage",'Residual Schedule'!$J$7:$J$98,"&lt;="&amp;B96)</x:f>
        <x:v>9</x:v>
      </x:c>
      <x:c r="I96" s="9" t="str">
        <x:f>IF(C96&lt;='Method Controls'!$D$27,"PASS","FAIL")</x:f>
        <x:v>PASS</x:v>
      </x:c>
      <x:c r="J96" s="9" t="str">
        <x:f>IF(D96&lt;='Method Controls'!$D$28,"PASS","FAIL")</x:f>
        <x:v>PASS</x:v>
      </x:c>
      <x:c r="K96" s="9" t="str">
        <x:f>IF(AND(E96&lt;='Method Controls'!$D$27,F96&lt;='Method Controls'!$D$28),"PASS","FAIL")</x:f>
        <x:v>PASS</x:v>
      </x:c>
      <x:c r="L96" s="9" t="str">
        <x:f>IF(AND(I96="PASS",J96="PASS",K96="PASS"),"PASS","FAIL")</x:f>
        <x:v>PASS</x:v>
      </x:c>
    </x:row>
    <x:row r="97">
      <x:c r="B97" s="9" t="n">
        <x:v>181</x:v>
      </x:c>
      <x:c r="C97" s="9" t="n">
        <x:f>COUNTIFS('Residual Schedule'!$C$7:$C$98,"Closure",'Residual Schedule'!$H$7:$H$98,"&lt;="&amp;B97,'Residual Schedule'!$I$7:$I$98,"&gt;"&amp;B97)</x:f>
        <x:v>0</x:v>
      </x:c>
      <x:c r="D97" s="9" t="n">
        <x:f>COUNTIFS('Residual Schedule'!$C$7:$C$98,"Damage",'Residual Schedule'!$H$7:$H$98,"&lt;="&amp;B97,'Residual Schedule'!$I$7:$I$98,"&gt;"&amp;B97)</x:f>
        <x:v>3</x:v>
      </x:c>
      <x:c r="E97" s="9" t="n">
        <x:f>COUNTIFS('Residual Schedule'!$C$7:$C$98,"Closure",'Residual Schedule'!$I$7:$I$98,"&lt;="&amp;B97,'Residual Schedule'!$J$7:$J$98,"&gt;"&amp;B97)</x:f>
        <x:v>4</x:v>
      </x:c>
      <x:c r="F97" s="9" t="n">
        <x:f>COUNTIFS('Residual Schedule'!$C$7:$C$98,"Damage",'Residual Schedule'!$I$7:$I$98,"&lt;="&amp;B97,'Residual Schedule'!$J$7:$J$98,"&gt;"&amp;B97)</x:f>
        <x:v>0</x:v>
      </x:c>
      <x:c r="G97" s="9" t="n">
        <x:f>COUNTIFS('Residual Schedule'!$C$7:$C$98,"Closure",'Residual Schedule'!$J$7:$J$98,"&lt;="&amp;B97)</x:f>
        <x:v>24</x:v>
      </x:c>
      <x:c r="H97" s="9" t="n">
        <x:f>COUNTIFS('Residual Schedule'!$C$7:$C$98,"Damage",'Residual Schedule'!$J$7:$J$98,"&lt;="&amp;B97)</x:f>
        <x:v>9</x:v>
      </x:c>
      <x:c r="I97" s="9" t="str">
        <x:f>IF(C97&lt;='Method Controls'!$D$27,"PASS","FAIL")</x:f>
        <x:v>PASS</x:v>
      </x:c>
      <x:c r="J97" s="9" t="str">
        <x:f>IF(D97&lt;='Method Controls'!$D$28,"PASS","FAIL")</x:f>
        <x:v>PASS</x:v>
      </x:c>
      <x:c r="K97" s="9" t="str">
        <x:f>IF(AND(E97&lt;='Method Controls'!$D$27,F97&lt;='Method Controls'!$D$28),"PASS","FAIL")</x:f>
        <x:v>PASS</x:v>
      </x:c>
      <x:c r="L97" s="9" t="str">
        <x:f>IF(AND(I97="PASS",J97="PASS",K97="PASS"),"PASS","FAIL")</x:f>
        <x:v>PASS</x:v>
      </x:c>
    </x:row>
    <x:row r="98">
      <x:c r="B98" s="9" t="n">
        <x:v>182</x:v>
      </x:c>
      <x:c r="C98" s="9" t="n">
        <x:f>COUNTIFS('Residual Schedule'!$C$7:$C$98,"Closure",'Residual Schedule'!$H$7:$H$98,"&lt;="&amp;B98,'Residual Schedule'!$I$7:$I$98,"&gt;"&amp;B98)</x:f>
        <x:v>4</x:v>
      </x:c>
      <x:c r="D98" s="9" t="n">
        <x:f>COUNTIFS('Residual Schedule'!$C$7:$C$98,"Damage",'Residual Schedule'!$H$7:$H$98,"&lt;="&amp;B98,'Residual Schedule'!$I$7:$I$98,"&gt;"&amp;B98)</x:f>
        <x:v>0</x:v>
      </x:c>
      <x:c r="E98" s="9" t="n">
        <x:f>COUNTIFS('Residual Schedule'!$C$7:$C$98,"Closure",'Residual Schedule'!$I$7:$I$98,"&lt;="&amp;B98,'Residual Schedule'!$J$7:$J$98,"&gt;"&amp;B98)</x:f>
        <x:v>4</x:v>
      </x:c>
      <x:c r="F98" s="9" t="n">
        <x:f>COUNTIFS('Residual Schedule'!$C$7:$C$98,"Damage",'Residual Schedule'!$I$7:$I$98,"&lt;="&amp;B98,'Residual Schedule'!$J$7:$J$98,"&gt;"&amp;B98)</x:f>
        <x:v>3</x:v>
      </x:c>
      <x:c r="G98" s="9" t="n">
        <x:f>COUNTIFS('Residual Schedule'!$C$7:$C$98,"Closure",'Residual Schedule'!$J$7:$J$98,"&lt;="&amp;B98)</x:f>
        <x:v>24</x:v>
      </x:c>
      <x:c r="H98" s="9" t="n">
        <x:f>COUNTIFS('Residual Schedule'!$C$7:$C$98,"Damage",'Residual Schedule'!$J$7:$J$98,"&lt;="&amp;B98)</x:f>
        <x:v>9</x:v>
      </x:c>
      <x:c r="I98" s="9" t="str">
        <x:f>IF(C98&lt;='Method Controls'!$D$27,"PASS","FAIL")</x:f>
        <x:v>PASS</x:v>
      </x:c>
      <x:c r="J98" s="9" t="str">
        <x:f>IF(D98&lt;='Method Controls'!$D$28,"PASS","FAIL")</x:f>
        <x:v>PASS</x:v>
      </x:c>
      <x:c r="K98" s="9" t="str">
        <x:f>IF(AND(E98&lt;='Method Controls'!$D$27,F98&lt;='Method Controls'!$D$28),"PASS","FAIL")</x:f>
        <x:v>PASS</x:v>
      </x:c>
      <x:c r="L98" s="9" t="str">
        <x:f>IF(AND(I98="PASS",J98="PASS",K98="PASS"),"PASS","FAIL")</x:f>
        <x:v>PASS</x:v>
      </x:c>
    </x:row>
    <x:row r="99">
      <x:c r="B99" s="9" t="n">
        <x:v>183</x:v>
      </x:c>
      <x:c r="C99" s="9" t="n">
        <x:f>COUNTIFS('Residual Schedule'!$C$7:$C$98,"Closure",'Residual Schedule'!$H$7:$H$98,"&lt;="&amp;B99,'Residual Schedule'!$I$7:$I$98,"&gt;"&amp;B99)</x:f>
        <x:v>4</x:v>
      </x:c>
      <x:c r="D99" s="9" t="n">
        <x:f>COUNTIFS('Residual Schedule'!$C$7:$C$98,"Damage",'Residual Schedule'!$H$7:$H$98,"&lt;="&amp;B99,'Residual Schedule'!$I$7:$I$98,"&gt;"&amp;B99)</x:f>
        <x:v>0</x:v>
      </x:c>
      <x:c r="E99" s="9" t="n">
        <x:f>COUNTIFS('Residual Schedule'!$C$7:$C$98,"Closure",'Residual Schedule'!$I$7:$I$98,"&lt;="&amp;B99,'Residual Schedule'!$J$7:$J$98,"&gt;"&amp;B99)</x:f>
        <x:v>4</x:v>
      </x:c>
      <x:c r="F99" s="9" t="n">
        <x:f>COUNTIFS('Residual Schedule'!$C$7:$C$98,"Damage",'Residual Schedule'!$I$7:$I$98,"&lt;="&amp;B99,'Residual Schedule'!$J$7:$J$98,"&gt;"&amp;B99)</x:f>
        <x:v>3</x:v>
      </x:c>
      <x:c r="G99" s="9" t="n">
        <x:f>COUNTIFS('Residual Schedule'!$C$7:$C$98,"Closure",'Residual Schedule'!$J$7:$J$98,"&lt;="&amp;B99)</x:f>
        <x:v>24</x:v>
      </x:c>
      <x:c r="H99" s="9" t="n">
        <x:f>COUNTIFS('Residual Schedule'!$C$7:$C$98,"Damage",'Residual Schedule'!$J$7:$J$98,"&lt;="&amp;B99)</x:f>
        <x:v>9</x:v>
      </x:c>
      <x:c r="I99" s="9" t="str">
        <x:f>IF(C99&lt;='Method Controls'!$D$27,"PASS","FAIL")</x:f>
        <x:v>PASS</x:v>
      </x:c>
      <x:c r="J99" s="9" t="str">
        <x:f>IF(D99&lt;='Method Controls'!$D$28,"PASS","FAIL")</x:f>
        <x:v>PASS</x:v>
      </x:c>
      <x:c r="K99" s="9" t="str">
        <x:f>IF(AND(E99&lt;='Method Controls'!$D$27,F99&lt;='Method Controls'!$D$28),"PASS","FAIL")</x:f>
        <x:v>PASS</x:v>
      </x:c>
      <x:c r="L99" s="9" t="str">
        <x:f>IF(AND(I99="PASS",J99="PASS",K99="PASS"),"PASS","FAIL")</x:f>
        <x:v>PASS</x:v>
      </x:c>
    </x:row>
    <x:row r="100">
      <x:c r="B100" s="9" t="n">
        <x:v>184</x:v>
      </x:c>
      <x:c r="C100" s="9" t="n">
        <x:f>COUNTIFS('Residual Schedule'!$C$7:$C$98,"Closure",'Residual Schedule'!$H$7:$H$98,"&lt;="&amp;B100,'Residual Schedule'!$I$7:$I$98,"&gt;"&amp;B100)</x:f>
        <x:v>4</x:v>
      </x:c>
      <x:c r="D100" s="9" t="n">
        <x:f>COUNTIFS('Residual Schedule'!$C$7:$C$98,"Damage",'Residual Schedule'!$H$7:$H$98,"&lt;="&amp;B100,'Residual Schedule'!$I$7:$I$98,"&gt;"&amp;B100)</x:f>
        <x:v>0</x:v>
      </x:c>
      <x:c r="E100" s="9" t="n">
        <x:f>COUNTIFS('Residual Schedule'!$C$7:$C$98,"Closure",'Residual Schedule'!$I$7:$I$98,"&lt;="&amp;B100,'Residual Schedule'!$J$7:$J$98,"&gt;"&amp;B100)</x:f>
        <x:v>0</x:v>
      </x:c>
      <x:c r="F100" s="9" t="n">
        <x:f>COUNTIFS('Residual Schedule'!$C$7:$C$98,"Damage",'Residual Schedule'!$I$7:$I$98,"&lt;="&amp;B100,'Residual Schedule'!$J$7:$J$98,"&gt;"&amp;B100)</x:f>
        <x:v>3</x:v>
      </x:c>
      <x:c r="G100" s="9" t="n">
        <x:f>COUNTIFS('Residual Schedule'!$C$7:$C$98,"Closure",'Residual Schedule'!$J$7:$J$98,"&lt;="&amp;B100)</x:f>
        <x:v>28</x:v>
      </x:c>
      <x:c r="H100" s="9" t="n">
        <x:f>COUNTIFS('Residual Schedule'!$C$7:$C$98,"Damage",'Residual Schedule'!$J$7:$J$98,"&lt;="&amp;B100)</x:f>
        <x:v>9</x:v>
      </x:c>
      <x:c r="I100" s="9" t="str">
        <x:f>IF(C100&lt;='Method Controls'!$D$27,"PASS","FAIL")</x:f>
        <x:v>PASS</x:v>
      </x:c>
      <x:c r="J100" s="9" t="str">
        <x:f>IF(D100&lt;='Method Controls'!$D$28,"PASS","FAIL")</x:f>
        <x:v>PASS</x:v>
      </x:c>
      <x:c r="K100" s="9" t="str">
        <x:f>IF(AND(E100&lt;='Method Controls'!$D$27,F100&lt;='Method Controls'!$D$28),"PASS","FAIL")</x:f>
        <x:v>PASS</x:v>
      </x:c>
      <x:c r="L100" s="9" t="str">
        <x:f>IF(AND(I100="PASS",J100="PASS",K100="PASS"),"PASS","FAIL")</x:f>
        <x:v>PASS</x:v>
      </x:c>
    </x:row>
    <x:row r="101">
      <x:c r="B101" s="9" t="n">
        <x:v>185</x:v>
      </x:c>
      <x:c r="C101" s="9" t="n">
        <x:f>COUNTIFS('Residual Schedule'!$C$7:$C$98,"Closure",'Residual Schedule'!$H$7:$H$98,"&lt;="&amp;B101,'Residual Schedule'!$I$7:$I$98,"&gt;"&amp;B101)</x:f>
        <x:v>4</x:v>
      </x:c>
      <x:c r="D101" s="9" t="n">
        <x:f>COUNTIFS('Residual Schedule'!$C$7:$C$98,"Damage",'Residual Schedule'!$H$7:$H$98,"&lt;="&amp;B101,'Residual Schedule'!$I$7:$I$98,"&gt;"&amp;B101)</x:f>
        <x:v>0</x:v>
      </x:c>
      <x:c r="E101" s="9" t="n">
        <x:f>COUNTIFS('Residual Schedule'!$C$7:$C$98,"Closure",'Residual Schedule'!$I$7:$I$98,"&lt;="&amp;B101,'Residual Schedule'!$J$7:$J$98,"&gt;"&amp;B101)</x:f>
        <x:v>0</x:v>
      </x:c>
      <x:c r="F101" s="9" t="n">
        <x:f>COUNTIFS('Residual Schedule'!$C$7:$C$98,"Damage",'Residual Schedule'!$I$7:$I$98,"&lt;="&amp;B101,'Residual Schedule'!$J$7:$J$98,"&gt;"&amp;B101)</x:f>
        <x:v>3</x:v>
      </x:c>
      <x:c r="G101" s="9" t="n">
        <x:f>COUNTIFS('Residual Schedule'!$C$7:$C$98,"Closure",'Residual Schedule'!$J$7:$J$98,"&lt;="&amp;B101)</x:f>
        <x:v>28</x:v>
      </x:c>
      <x:c r="H101" s="9" t="n">
        <x:f>COUNTIFS('Residual Schedule'!$C$7:$C$98,"Damage",'Residual Schedule'!$J$7:$J$98,"&lt;="&amp;B101)</x:f>
        <x:v>9</x:v>
      </x:c>
      <x:c r="I101" s="9" t="str">
        <x:f>IF(C101&lt;='Method Controls'!$D$27,"PASS","FAIL")</x:f>
        <x:v>PASS</x:v>
      </x:c>
      <x:c r="J101" s="9" t="str">
        <x:f>IF(D101&lt;='Method Controls'!$D$28,"PASS","FAIL")</x:f>
        <x:v>PASS</x:v>
      </x:c>
      <x:c r="K101" s="9" t="str">
        <x:f>IF(AND(E101&lt;='Method Controls'!$D$27,F101&lt;='Method Controls'!$D$28),"PASS","FAIL")</x:f>
        <x:v>PASS</x:v>
      </x:c>
      <x:c r="L101" s="9" t="str">
        <x:f>IF(AND(I101="PASS",J101="PASS",K101="PASS"),"PASS","FAIL")</x:f>
        <x:v>PASS</x:v>
      </x:c>
    </x:row>
    <x:row r="102">
      <x:c r="B102" s="9" t="n">
        <x:v>186</x:v>
      </x:c>
      <x:c r="C102" s="9" t="n">
        <x:f>COUNTIFS('Residual Schedule'!$C$7:$C$98,"Closure",'Residual Schedule'!$H$7:$H$98,"&lt;="&amp;B102,'Residual Schedule'!$I$7:$I$98,"&gt;"&amp;B102)</x:f>
        <x:v>4</x:v>
      </x:c>
      <x:c r="D102" s="9" t="n">
        <x:f>COUNTIFS('Residual Schedule'!$C$7:$C$98,"Damage",'Residual Schedule'!$H$7:$H$98,"&lt;="&amp;B102,'Residual Schedule'!$I$7:$I$98,"&gt;"&amp;B102)</x:f>
        <x:v>0</x:v>
      </x:c>
      <x:c r="E102" s="9" t="n">
        <x:f>COUNTIFS('Residual Schedule'!$C$7:$C$98,"Closure",'Residual Schedule'!$I$7:$I$98,"&lt;="&amp;B102,'Residual Schedule'!$J$7:$J$98,"&gt;"&amp;B102)</x:f>
        <x:v>0</x:v>
      </x:c>
      <x:c r="F102" s="9" t="n">
        <x:f>COUNTIFS('Residual Schedule'!$C$7:$C$98,"Damage",'Residual Schedule'!$I$7:$I$98,"&lt;="&amp;B102,'Residual Schedule'!$J$7:$J$98,"&gt;"&amp;B102)</x:f>
        <x:v>3</x:v>
      </x:c>
      <x:c r="G102" s="9" t="n">
        <x:f>COUNTIFS('Residual Schedule'!$C$7:$C$98,"Closure",'Residual Schedule'!$J$7:$J$98,"&lt;="&amp;B102)</x:f>
        <x:v>28</x:v>
      </x:c>
      <x:c r="H102" s="9" t="n">
        <x:f>COUNTIFS('Residual Schedule'!$C$7:$C$98,"Damage",'Residual Schedule'!$J$7:$J$98,"&lt;="&amp;B102)</x:f>
        <x:v>9</x:v>
      </x:c>
      <x:c r="I102" s="9" t="str">
        <x:f>IF(C102&lt;='Method Controls'!$D$27,"PASS","FAIL")</x:f>
        <x:v>PASS</x:v>
      </x:c>
      <x:c r="J102" s="9" t="str">
        <x:f>IF(D102&lt;='Method Controls'!$D$28,"PASS","FAIL")</x:f>
        <x:v>PASS</x:v>
      </x:c>
      <x:c r="K102" s="9" t="str">
        <x:f>IF(AND(E102&lt;='Method Controls'!$D$27,F102&lt;='Method Controls'!$D$28),"PASS","FAIL")</x:f>
        <x:v>PASS</x:v>
      </x:c>
      <x:c r="L102" s="9" t="str">
        <x:f>IF(AND(I102="PASS",J102="PASS",K102="PASS"),"PASS","FAIL")</x:f>
        <x:v>PASS</x:v>
      </x:c>
    </x:row>
    <x:row r="103">
      <x:c r="B103" s="9" t="n">
        <x:v>187</x:v>
      </x:c>
      <x:c r="C103" s="9" t="n">
        <x:f>COUNTIFS('Residual Schedule'!$C$7:$C$98,"Closure",'Residual Schedule'!$H$7:$H$98,"&lt;="&amp;B103,'Residual Schedule'!$I$7:$I$98,"&gt;"&amp;B103)</x:f>
        <x:v>4</x:v>
      </x:c>
      <x:c r="D103" s="9" t="n">
        <x:f>COUNTIFS('Residual Schedule'!$C$7:$C$98,"Damage",'Residual Schedule'!$H$7:$H$98,"&lt;="&amp;B103,'Residual Schedule'!$I$7:$I$98,"&gt;"&amp;B103)</x:f>
        <x:v>0</x:v>
      </x:c>
      <x:c r="E103" s="9" t="n">
        <x:f>COUNTIFS('Residual Schedule'!$C$7:$C$98,"Closure",'Residual Schedule'!$I$7:$I$98,"&lt;="&amp;B103,'Residual Schedule'!$J$7:$J$98,"&gt;"&amp;B103)</x:f>
        <x:v>0</x:v>
      </x:c>
      <x:c r="F103" s="9" t="n">
        <x:f>COUNTIFS('Residual Schedule'!$C$7:$C$98,"Damage",'Residual Schedule'!$I$7:$I$98,"&lt;="&amp;B103,'Residual Schedule'!$J$7:$J$98,"&gt;"&amp;B103)</x:f>
        <x:v>3</x:v>
      </x:c>
      <x:c r="G103" s="9" t="n">
        <x:f>COUNTIFS('Residual Schedule'!$C$7:$C$98,"Closure",'Residual Schedule'!$J$7:$J$98,"&lt;="&amp;B103)</x:f>
        <x:v>28</x:v>
      </x:c>
      <x:c r="H103" s="9" t="n">
        <x:f>COUNTIFS('Residual Schedule'!$C$7:$C$98,"Damage",'Residual Schedule'!$J$7:$J$98,"&lt;="&amp;B103)</x:f>
        <x:v>9</x:v>
      </x:c>
      <x:c r="I103" s="9" t="str">
        <x:f>IF(C103&lt;='Method Controls'!$D$27,"PASS","FAIL")</x:f>
        <x:v>PASS</x:v>
      </x:c>
      <x:c r="J103" s="9" t="str">
        <x:f>IF(D103&lt;='Method Controls'!$D$28,"PASS","FAIL")</x:f>
        <x:v>PASS</x:v>
      </x:c>
      <x:c r="K103" s="9" t="str">
        <x:f>IF(AND(E103&lt;='Method Controls'!$D$27,F103&lt;='Method Controls'!$D$28),"PASS","FAIL")</x:f>
        <x:v>PASS</x:v>
      </x:c>
      <x:c r="L103" s="9" t="str">
        <x:f>IF(AND(I103="PASS",J103="PASS",K103="PASS"),"PASS","FAIL")</x:f>
        <x:v>PASS</x:v>
      </x:c>
    </x:row>
    <x:row r="104">
      <x:c r="B104" s="9" t="n">
        <x:v>188</x:v>
      </x:c>
      <x:c r="C104" s="9" t="n">
        <x:f>COUNTIFS('Residual Schedule'!$C$7:$C$98,"Closure",'Residual Schedule'!$H$7:$H$98,"&lt;="&amp;B104,'Residual Schedule'!$I$7:$I$98,"&gt;"&amp;B104)</x:f>
        <x:v>4</x:v>
      </x:c>
      <x:c r="D104" s="9" t="n">
        <x:f>COUNTIFS('Residual Schedule'!$C$7:$C$98,"Damage",'Residual Schedule'!$H$7:$H$98,"&lt;="&amp;B104,'Residual Schedule'!$I$7:$I$98,"&gt;"&amp;B104)</x:f>
        <x:v>0</x:v>
      </x:c>
      <x:c r="E104" s="9" t="n">
        <x:f>COUNTIFS('Residual Schedule'!$C$7:$C$98,"Closure",'Residual Schedule'!$I$7:$I$98,"&lt;="&amp;B104,'Residual Schedule'!$J$7:$J$98,"&gt;"&amp;B104)</x:f>
        <x:v>0</x:v>
      </x:c>
      <x:c r="F104" s="9" t="n">
        <x:f>COUNTIFS('Residual Schedule'!$C$7:$C$98,"Damage",'Residual Schedule'!$I$7:$I$98,"&lt;="&amp;B104,'Residual Schedule'!$J$7:$J$98,"&gt;"&amp;B104)</x:f>
        <x:v>3</x:v>
      </x:c>
      <x:c r="G104" s="9" t="n">
        <x:f>COUNTIFS('Residual Schedule'!$C$7:$C$98,"Closure",'Residual Schedule'!$J$7:$J$98,"&lt;="&amp;B104)</x:f>
        <x:v>28</x:v>
      </x:c>
      <x:c r="H104" s="9" t="n">
        <x:f>COUNTIFS('Residual Schedule'!$C$7:$C$98,"Damage",'Residual Schedule'!$J$7:$J$98,"&lt;="&amp;B104)</x:f>
        <x:v>9</x:v>
      </x:c>
      <x:c r="I104" s="9" t="str">
        <x:f>IF(C104&lt;='Method Controls'!$D$27,"PASS","FAIL")</x:f>
        <x:v>PASS</x:v>
      </x:c>
      <x:c r="J104" s="9" t="str">
        <x:f>IF(D104&lt;='Method Controls'!$D$28,"PASS","FAIL")</x:f>
        <x:v>PASS</x:v>
      </x:c>
      <x:c r="K104" s="9" t="str">
        <x:f>IF(AND(E104&lt;='Method Controls'!$D$27,F104&lt;='Method Controls'!$D$28),"PASS","FAIL")</x:f>
        <x:v>PASS</x:v>
      </x:c>
      <x:c r="L104" s="9" t="str">
        <x:f>IF(AND(I104="PASS",J104="PASS",K104="PASS"),"PASS","FAIL")</x:f>
        <x:v>PASS</x:v>
      </x:c>
    </x:row>
    <x:row r="105">
      <x:c r="B105" s="9" t="n">
        <x:v>189</x:v>
      </x:c>
      <x:c r="C105" s="9" t="n">
        <x:f>COUNTIFS('Residual Schedule'!$C$7:$C$98,"Closure",'Residual Schedule'!$H$7:$H$98,"&lt;="&amp;B105,'Residual Schedule'!$I$7:$I$98,"&gt;"&amp;B105)</x:f>
        <x:v>4</x:v>
      </x:c>
      <x:c r="D105" s="9" t="n">
        <x:f>COUNTIFS('Residual Schedule'!$C$7:$C$98,"Damage",'Residual Schedule'!$H$7:$H$98,"&lt;="&amp;B105,'Residual Schedule'!$I$7:$I$98,"&gt;"&amp;B105)</x:f>
        <x:v>0</x:v>
      </x:c>
      <x:c r="E105" s="9" t="n">
        <x:f>COUNTIFS('Residual Schedule'!$C$7:$C$98,"Closure",'Residual Schedule'!$I$7:$I$98,"&lt;="&amp;B105,'Residual Schedule'!$J$7:$J$98,"&gt;"&amp;B105)</x:f>
        <x:v>0</x:v>
      </x:c>
      <x:c r="F105" s="9" t="n">
        <x:f>COUNTIFS('Residual Schedule'!$C$7:$C$98,"Damage",'Residual Schedule'!$I$7:$I$98,"&lt;="&amp;B105,'Residual Schedule'!$J$7:$J$98,"&gt;"&amp;B105)</x:f>
        <x:v>3</x:v>
      </x:c>
      <x:c r="G105" s="9" t="n">
        <x:f>COUNTIFS('Residual Schedule'!$C$7:$C$98,"Closure",'Residual Schedule'!$J$7:$J$98,"&lt;="&amp;B105)</x:f>
        <x:v>28</x:v>
      </x:c>
      <x:c r="H105" s="9" t="n">
        <x:f>COUNTIFS('Residual Schedule'!$C$7:$C$98,"Damage",'Residual Schedule'!$J$7:$J$98,"&lt;="&amp;B105)</x:f>
        <x:v>9</x:v>
      </x:c>
      <x:c r="I105" s="9" t="str">
        <x:f>IF(C105&lt;='Method Controls'!$D$27,"PASS","FAIL")</x:f>
        <x:v>PASS</x:v>
      </x:c>
      <x:c r="J105" s="9" t="str">
        <x:f>IF(D105&lt;='Method Controls'!$D$28,"PASS","FAIL")</x:f>
        <x:v>PASS</x:v>
      </x:c>
      <x:c r="K105" s="9" t="str">
        <x:f>IF(AND(E105&lt;='Method Controls'!$D$27,F105&lt;='Method Controls'!$D$28),"PASS","FAIL")</x:f>
        <x:v>PASS</x:v>
      </x:c>
      <x:c r="L105" s="9" t="str">
        <x:f>IF(AND(I105="PASS",J105="PASS",K105="PASS"),"PASS","FAIL")</x:f>
        <x:v>PASS</x:v>
      </x:c>
    </x:row>
    <x:row r="106">
      <x:c r="B106" s="9" t="n">
        <x:v>190</x:v>
      </x:c>
      <x:c r="C106" s="9" t="n">
        <x:f>COUNTIFS('Residual Schedule'!$C$7:$C$98,"Closure",'Residual Schedule'!$H$7:$H$98,"&lt;="&amp;B106,'Residual Schedule'!$I$7:$I$98,"&gt;"&amp;B106)</x:f>
        <x:v>4</x:v>
      </x:c>
      <x:c r="D106" s="9" t="n">
        <x:f>COUNTIFS('Residual Schedule'!$C$7:$C$98,"Damage",'Residual Schedule'!$H$7:$H$98,"&lt;="&amp;B106,'Residual Schedule'!$I$7:$I$98,"&gt;"&amp;B106)</x:f>
        <x:v>0</x:v>
      </x:c>
      <x:c r="E106" s="9" t="n">
        <x:f>COUNTIFS('Residual Schedule'!$C$7:$C$98,"Closure",'Residual Schedule'!$I$7:$I$98,"&lt;="&amp;B106,'Residual Schedule'!$J$7:$J$98,"&gt;"&amp;B106)</x:f>
        <x:v>0</x:v>
      </x:c>
      <x:c r="F106" s="9" t="n">
        <x:f>COUNTIFS('Residual Schedule'!$C$7:$C$98,"Damage",'Residual Schedule'!$I$7:$I$98,"&lt;="&amp;B106,'Residual Schedule'!$J$7:$J$98,"&gt;"&amp;B106)</x:f>
        <x:v>3</x:v>
      </x:c>
      <x:c r="G106" s="9" t="n">
        <x:f>COUNTIFS('Residual Schedule'!$C$7:$C$98,"Closure",'Residual Schedule'!$J$7:$J$98,"&lt;="&amp;B106)</x:f>
        <x:v>28</x:v>
      </x:c>
      <x:c r="H106" s="9" t="n">
        <x:f>COUNTIFS('Residual Schedule'!$C$7:$C$98,"Damage",'Residual Schedule'!$J$7:$J$98,"&lt;="&amp;B106)</x:f>
        <x:v>9</x:v>
      </x:c>
      <x:c r="I106" s="9" t="str">
        <x:f>IF(C106&lt;='Method Controls'!$D$27,"PASS","FAIL")</x:f>
        <x:v>PASS</x:v>
      </x:c>
      <x:c r="J106" s="9" t="str">
        <x:f>IF(D106&lt;='Method Controls'!$D$28,"PASS","FAIL")</x:f>
        <x:v>PASS</x:v>
      </x:c>
      <x:c r="K106" s="9" t="str">
        <x:f>IF(AND(E106&lt;='Method Controls'!$D$27,F106&lt;='Method Controls'!$D$28),"PASS","FAIL")</x:f>
        <x:v>PASS</x:v>
      </x:c>
      <x:c r="L106" s="9" t="str">
        <x:f>IF(AND(I106="PASS",J106="PASS",K106="PASS"),"PASS","FAIL")</x:f>
        <x:v>PASS</x:v>
      </x:c>
    </x:row>
    <x:row r="107">
      <x:c r="B107" s="9" t="n">
        <x:v>191</x:v>
      </x:c>
      <x:c r="C107" s="9" t="n">
        <x:f>COUNTIFS('Residual Schedule'!$C$7:$C$98,"Closure",'Residual Schedule'!$H$7:$H$98,"&lt;="&amp;B107,'Residual Schedule'!$I$7:$I$98,"&gt;"&amp;B107)</x:f>
        <x:v>0</x:v>
      </x:c>
      <x:c r="D107" s="9" t="n">
        <x:f>COUNTIFS('Residual Schedule'!$C$7:$C$98,"Damage",'Residual Schedule'!$H$7:$H$98,"&lt;="&amp;B107,'Residual Schedule'!$I$7:$I$98,"&gt;"&amp;B107)</x:f>
        <x:v>0</x:v>
      </x:c>
      <x:c r="E107" s="9" t="n">
        <x:f>COUNTIFS('Residual Schedule'!$C$7:$C$98,"Closure",'Residual Schedule'!$I$7:$I$98,"&lt;="&amp;B107,'Residual Schedule'!$J$7:$J$98,"&gt;"&amp;B107)</x:f>
        <x:v>4</x:v>
      </x:c>
      <x:c r="F107" s="9" t="n">
        <x:f>COUNTIFS('Residual Schedule'!$C$7:$C$98,"Damage",'Residual Schedule'!$I$7:$I$98,"&lt;="&amp;B107,'Residual Schedule'!$J$7:$J$98,"&gt;"&amp;B107)</x:f>
        <x:v>0</x:v>
      </x:c>
      <x:c r="G107" s="9" t="n">
        <x:f>COUNTIFS('Residual Schedule'!$C$7:$C$98,"Closure",'Residual Schedule'!$J$7:$J$98,"&lt;="&amp;B107)</x:f>
        <x:v>28</x:v>
      </x:c>
      <x:c r="H107" s="9" t="n">
        <x:f>COUNTIFS('Residual Schedule'!$C$7:$C$98,"Damage",'Residual Schedule'!$J$7:$J$98,"&lt;="&amp;B107)</x:f>
        <x:v>12</x:v>
      </x:c>
      <x:c r="I107" s="9" t="str">
        <x:f>IF(C107&lt;='Method Controls'!$D$27,"PASS","FAIL")</x:f>
        <x:v>PASS</x:v>
      </x:c>
      <x:c r="J107" s="9" t="str">
        <x:f>IF(D107&lt;='Method Controls'!$D$28,"PASS","FAIL")</x:f>
        <x:v>PASS</x:v>
      </x:c>
      <x:c r="K107" s="9" t="str">
        <x:f>IF(AND(E107&lt;='Method Controls'!$D$27,F107&lt;='Method Controls'!$D$28),"PASS","FAIL")</x:f>
        <x:v>PASS</x:v>
      </x:c>
      <x:c r="L107" s="9" t="str">
        <x:f>IF(AND(I107="PASS",J107="PASS",K107="PASS"),"PASS","FAIL")</x:f>
        <x:v>PASS</x:v>
      </x:c>
    </x:row>
    <x:row r="108">
      <x:c r="B108" s="9" t="n">
        <x:v>192</x:v>
      </x:c>
      <x:c r="C108" s="9" t="n">
        <x:f>COUNTIFS('Residual Schedule'!$C$7:$C$98,"Closure",'Residual Schedule'!$H$7:$H$98,"&lt;="&amp;B108,'Residual Schedule'!$I$7:$I$98,"&gt;"&amp;B108)</x:f>
        <x:v>0</x:v>
      </x:c>
      <x:c r="D108" s="9" t="n">
        <x:f>COUNTIFS('Residual Schedule'!$C$7:$C$98,"Damage",'Residual Schedule'!$H$7:$H$98,"&lt;="&amp;B108,'Residual Schedule'!$I$7:$I$98,"&gt;"&amp;B108)</x:f>
        <x:v>3</x:v>
      </x:c>
      <x:c r="E108" s="9" t="n">
        <x:f>COUNTIFS('Residual Schedule'!$C$7:$C$98,"Closure",'Residual Schedule'!$I$7:$I$98,"&lt;="&amp;B108,'Residual Schedule'!$J$7:$J$98,"&gt;"&amp;B108)</x:f>
        <x:v>4</x:v>
      </x:c>
      <x:c r="F108" s="9" t="n">
        <x:f>COUNTIFS('Residual Schedule'!$C$7:$C$98,"Damage",'Residual Schedule'!$I$7:$I$98,"&lt;="&amp;B108,'Residual Schedule'!$J$7:$J$98,"&gt;"&amp;B108)</x:f>
        <x:v>0</x:v>
      </x:c>
      <x:c r="G108" s="9" t="n">
        <x:f>COUNTIFS('Residual Schedule'!$C$7:$C$98,"Closure",'Residual Schedule'!$J$7:$J$98,"&lt;="&amp;B108)</x:f>
        <x:v>28</x:v>
      </x:c>
      <x:c r="H108" s="9" t="n">
        <x:f>COUNTIFS('Residual Schedule'!$C$7:$C$98,"Damage",'Residual Schedule'!$J$7:$J$98,"&lt;="&amp;B108)</x:f>
        <x:v>12</x:v>
      </x:c>
      <x:c r="I108" s="9" t="str">
        <x:f>IF(C108&lt;='Method Controls'!$D$27,"PASS","FAIL")</x:f>
        <x:v>PASS</x:v>
      </x:c>
      <x:c r="J108" s="9" t="str">
        <x:f>IF(D108&lt;='Method Controls'!$D$28,"PASS","FAIL")</x:f>
        <x:v>PASS</x:v>
      </x:c>
      <x:c r="K108" s="9" t="str">
        <x:f>IF(AND(E108&lt;='Method Controls'!$D$27,F108&lt;='Method Controls'!$D$28),"PASS","FAIL")</x:f>
        <x:v>PASS</x:v>
      </x:c>
      <x:c r="L108" s="9" t="str">
        <x:f>IF(AND(I108="PASS",J108="PASS",K108="PASS"),"PASS","FAIL")</x:f>
        <x:v>PASS</x:v>
      </x:c>
    </x:row>
    <x:row r="109">
      <x:c r="B109" s="9" t="n">
        <x:v>193</x:v>
      </x:c>
      <x:c r="C109" s="9" t="n">
        <x:f>COUNTIFS('Residual Schedule'!$C$7:$C$98,"Closure",'Residual Schedule'!$H$7:$H$98,"&lt;="&amp;B109,'Residual Schedule'!$I$7:$I$98,"&gt;"&amp;B109)</x:f>
        <x:v>0</x:v>
      </x:c>
      <x:c r="D109" s="9" t="n">
        <x:f>COUNTIFS('Residual Schedule'!$C$7:$C$98,"Damage",'Residual Schedule'!$H$7:$H$98,"&lt;="&amp;B109,'Residual Schedule'!$I$7:$I$98,"&gt;"&amp;B109)</x:f>
        <x:v>3</x:v>
      </x:c>
      <x:c r="E109" s="9" t="n">
        <x:f>COUNTIFS('Residual Schedule'!$C$7:$C$98,"Closure",'Residual Schedule'!$I$7:$I$98,"&lt;="&amp;B109,'Residual Schedule'!$J$7:$J$98,"&gt;"&amp;B109)</x:f>
        <x:v>4</x:v>
      </x:c>
      <x:c r="F109" s="9" t="n">
        <x:f>COUNTIFS('Residual Schedule'!$C$7:$C$98,"Damage",'Residual Schedule'!$I$7:$I$98,"&lt;="&amp;B109,'Residual Schedule'!$J$7:$J$98,"&gt;"&amp;B109)</x:f>
        <x:v>0</x:v>
      </x:c>
      <x:c r="G109" s="9" t="n">
        <x:f>COUNTIFS('Residual Schedule'!$C$7:$C$98,"Closure",'Residual Schedule'!$J$7:$J$98,"&lt;="&amp;B109)</x:f>
        <x:v>28</x:v>
      </x:c>
      <x:c r="H109" s="9" t="n">
        <x:f>COUNTIFS('Residual Schedule'!$C$7:$C$98,"Damage",'Residual Schedule'!$J$7:$J$98,"&lt;="&amp;B109)</x:f>
        <x:v>12</x:v>
      </x:c>
      <x:c r="I109" s="9" t="str">
        <x:f>IF(C109&lt;='Method Controls'!$D$27,"PASS","FAIL")</x:f>
        <x:v>PASS</x:v>
      </x:c>
      <x:c r="J109" s="9" t="str">
        <x:f>IF(D109&lt;='Method Controls'!$D$28,"PASS","FAIL")</x:f>
        <x:v>PASS</x:v>
      </x:c>
      <x:c r="K109" s="9" t="str">
        <x:f>IF(AND(E109&lt;='Method Controls'!$D$27,F109&lt;='Method Controls'!$D$28),"PASS","FAIL")</x:f>
        <x:v>PASS</x:v>
      </x:c>
      <x:c r="L109" s="9" t="str">
        <x:f>IF(AND(I109="PASS",J109="PASS",K109="PASS"),"PASS","FAIL")</x:f>
        <x:v>PASS</x:v>
      </x:c>
    </x:row>
    <x:row r="110">
      <x:c r="B110" s="9" t="n">
        <x:v>194</x:v>
      </x:c>
      <x:c r="C110" s="9" t="n">
        <x:f>COUNTIFS('Residual Schedule'!$C$7:$C$98,"Closure",'Residual Schedule'!$H$7:$H$98,"&lt;="&amp;B110,'Residual Schedule'!$I$7:$I$98,"&gt;"&amp;B110)</x:f>
        <x:v>0</x:v>
      </x:c>
      <x:c r="D110" s="9" t="n">
        <x:f>COUNTIFS('Residual Schedule'!$C$7:$C$98,"Damage",'Residual Schedule'!$H$7:$H$98,"&lt;="&amp;B110,'Residual Schedule'!$I$7:$I$98,"&gt;"&amp;B110)</x:f>
        <x:v>3</x:v>
      </x:c>
      <x:c r="E110" s="9" t="n">
        <x:f>COUNTIFS('Residual Schedule'!$C$7:$C$98,"Closure",'Residual Schedule'!$I$7:$I$98,"&lt;="&amp;B110,'Residual Schedule'!$J$7:$J$98,"&gt;"&amp;B110)</x:f>
        <x:v>4</x:v>
      </x:c>
      <x:c r="F110" s="9" t="n">
        <x:f>COUNTIFS('Residual Schedule'!$C$7:$C$98,"Damage",'Residual Schedule'!$I$7:$I$98,"&lt;="&amp;B110,'Residual Schedule'!$J$7:$J$98,"&gt;"&amp;B110)</x:f>
        <x:v>0</x:v>
      </x:c>
      <x:c r="G110" s="9" t="n">
        <x:f>COUNTIFS('Residual Schedule'!$C$7:$C$98,"Closure",'Residual Schedule'!$J$7:$J$98,"&lt;="&amp;B110)</x:f>
        <x:v>28</x:v>
      </x:c>
      <x:c r="H110" s="9" t="n">
        <x:f>COUNTIFS('Residual Schedule'!$C$7:$C$98,"Damage",'Residual Schedule'!$J$7:$J$98,"&lt;="&amp;B110)</x:f>
        <x:v>12</x:v>
      </x:c>
      <x:c r="I110" s="9" t="str">
        <x:f>IF(C110&lt;='Method Controls'!$D$27,"PASS","FAIL")</x:f>
        <x:v>PASS</x:v>
      </x:c>
      <x:c r="J110" s="9" t="str">
        <x:f>IF(D110&lt;='Method Controls'!$D$28,"PASS","FAIL")</x:f>
        <x:v>PASS</x:v>
      </x:c>
      <x:c r="K110" s="9" t="str">
        <x:f>IF(AND(E110&lt;='Method Controls'!$D$27,F110&lt;='Method Controls'!$D$28),"PASS","FAIL")</x:f>
        <x:v>PASS</x:v>
      </x:c>
      <x:c r="L110" s="9" t="str">
        <x:f>IF(AND(I110="PASS",J110="PASS",K110="PASS"),"PASS","FAIL")</x:f>
        <x:v>PASS</x:v>
      </x:c>
    </x:row>
    <x:row r="111">
      <x:c r="B111" s="9" t="n">
        <x:v>195</x:v>
      </x:c>
      <x:c r="C111" s="9" t="n">
        <x:f>COUNTIFS('Residual Schedule'!$C$7:$C$98,"Closure",'Residual Schedule'!$H$7:$H$98,"&lt;="&amp;B111,'Residual Schedule'!$I$7:$I$98,"&gt;"&amp;B111)</x:f>
        <x:v>4</x:v>
      </x:c>
      <x:c r="D111" s="9" t="n">
        <x:f>COUNTIFS('Residual Schedule'!$C$7:$C$98,"Damage",'Residual Schedule'!$H$7:$H$98,"&lt;="&amp;B111,'Residual Schedule'!$I$7:$I$98,"&gt;"&amp;B111)</x:f>
        <x:v>3</x:v>
      </x:c>
      <x:c r="E111" s="9" t="n">
        <x:f>COUNTIFS('Residual Schedule'!$C$7:$C$98,"Closure",'Residual Schedule'!$I$7:$I$98,"&lt;="&amp;B111,'Residual Schedule'!$J$7:$J$98,"&gt;"&amp;B111)</x:f>
        <x:v>4</x:v>
      </x:c>
      <x:c r="F111" s="9" t="n">
        <x:f>COUNTIFS('Residual Schedule'!$C$7:$C$98,"Damage",'Residual Schedule'!$I$7:$I$98,"&lt;="&amp;B111,'Residual Schedule'!$J$7:$J$98,"&gt;"&amp;B111)</x:f>
        <x:v>0</x:v>
      </x:c>
      <x:c r="G111" s="9" t="n">
        <x:f>COUNTIFS('Residual Schedule'!$C$7:$C$98,"Closure",'Residual Schedule'!$J$7:$J$98,"&lt;="&amp;B111)</x:f>
        <x:v>28</x:v>
      </x:c>
      <x:c r="H111" s="9" t="n">
        <x:f>COUNTIFS('Residual Schedule'!$C$7:$C$98,"Damage",'Residual Schedule'!$J$7:$J$98,"&lt;="&amp;B111)</x:f>
        <x:v>12</x:v>
      </x:c>
      <x:c r="I111" s="9" t="str">
        <x:f>IF(C111&lt;='Method Controls'!$D$27,"PASS","FAIL")</x:f>
        <x:v>PASS</x:v>
      </x:c>
      <x:c r="J111" s="9" t="str">
        <x:f>IF(D111&lt;='Method Controls'!$D$28,"PASS","FAIL")</x:f>
        <x:v>PASS</x:v>
      </x:c>
      <x:c r="K111" s="9" t="str">
        <x:f>IF(AND(E111&lt;='Method Controls'!$D$27,F111&lt;='Method Controls'!$D$28),"PASS","FAIL")</x:f>
        <x:v>PASS</x:v>
      </x:c>
      <x:c r="L111" s="9" t="str">
        <x:f>IF(AND(I111="PASS",J111="PASS",K111="PASS"),"PASS","FAIL")</x:f>
        <x:v>PASS</x:v>
      </x:c>
    </x:row>
    <x:row r="112">
      <x:c r="B112" s="9" t="n">
        <x:v>196</x:v>
      </x:c>
      <x:c r="C112" s="9" t="n">
        <x:f>COUNTIFS('Residual Schedule'!$C$7:$C$98,"Closure",'Residual Schedule'!$H$7:$H$98,"&lt;="&amp;B112,'Residual Schedule'!$I$7:$I$98,"&gt;"&amp;B112)</x:f>
        <x:v>4</x:v>
      </x:c>
      <x:c r="D112" s="9" t="n">
        <x:f>COUNTIFS('Residual Schedule'!$C$7:$C$98,"Damage",'Residual Schedule'!$H$7:$H$98,"&lt;="&amp;B112,'Residual Schedule'!$I$7:$I$98,"&gt;"&amp;B112)</x:f>
        <x:v>3</x:v>
      </x:c>
      <x:c r="E112" s="9" t="n">
        <x:f>COUNTIFS('Residual Schedule'!$C$7:$C$98,"Closure",'Residual Schedule'!$I$7:$I$98,"&lt;="&amp;B112,'Residual Schedule'!$J$7:$J$98,"&gt;"&amp;B112)</x:f>
        <x:v>4</x:v>
      </x:c>
      <x:c r="F112" s="9" t="n">
        <x:f>COUNTIFS('Residual Schedule'!$C$7:$C$98,"Damage",'Residual Schedule'!$I$7:$I$98,"&lt;="&amp;B112,'Residual Schedule'!$J$7:$J$98,"&gt;"&amp;B112)</x:f>
        <x:v>0</x:v>
      </x:c>
      <x:c r="G112" s="9" t="n">
        <x:f>COUNTIFS('Residual Schedule'!$C$7:$C$98,"Closure",'Residual Schedule'!$J$7:$J$98,"&lt;="&amp;B112)</x:f>
        <x:v>28</x:v>
      </x:c>
      <x:c r="H112" s="9" t="n">
        <x:f>COUNTIFS('Residual Schedule'!$C$7:$C$98,"Damage",'Residual Schedule'!$J$7:$J$98,"&lt;="&amp;B112)</x:f>
        <x:v>12</x:v>
      </x:c>
      <x:c r="I112" s="9" t="str">
        <x:f>IF(C112&lt;='Method Controls'!$D$27,"PASS","FAIL")</x:f>
        <x:v>PASS</x:v>
      </x:c>
      <x:c r="J112" s="9" t="str">
        <x:f>IF(D112&lt;='Method Controls'!$D$28,"PASS","FAIL")</x:f>
        <x:v>PASS</x:v>
      </x:c>
      <x:c r="K112" s="9" t="str">
        <x:f>IF(AND(E112&lt;='Method Controls'!$D$27,F112&lt;='Method Controls'!$D$28),"PASS","FAIL")</x:f>
        <x:v>PASS</x:v>
      </x:c>
      <x:c r="L112" s="9" t="str">
        <x:f>IF(AND(I112="PASS",J112="PASS",K112="PASS"),"PASS","FAIL")</x:f>
        <x:v>PASS</x:v>
      </x:c>
    </x:row>
    <x:row r="113">
      <x:c r="B113" s="9" t="n">
        <x:v>197</x:v>
      </x:c>
      <x:c r="C113" s="9" t="n">
        <x:f>COUNTIFS('Residual Schedule'!$C$7:$C$98,"Closure",'Residual Schedule'!$H$7:$H$98,"&lt;="&amp;B113,'Residual Schedule'!$I$7:$I$98,"&gt;"&amp;B113)</x:f>
        <x:v>4</x:v>
      </x:c>
      <x:c r="D113" s="9" t="n">
        <x:f>COUNTIFS('Residual Schedule'!$C$7:$C$98,"Damage",'Residual Schedule'!$H$7:$H$98,"&lt;="&amp;B113,'Residual Schedule'!$I$7:$I$98,"&gt;"&amp;B113)</x:f>
        <x:v>3</x:v>
      </x:c>
      <x:c r="E113" s="9" t="n">
        <x:f>COUNTIFS('Residual Schedule'!$C$7:$C$98,"Closure",'Residual Schedule'!$I$7:$I$98,"&lt;="&amp;B113,'Residual Schedule'!$J$7:$J$98,"&gt;"&amp;B113)</x:f>
        <x:v>0</x:v>
      </x:c>
      <x:c r="F113" s="9" t="n">
        <x:f>COUNTIFS('Residual Schedule'!$C$7:$C$98,"Damage",'Residual Schedule'!$I$7:$I$98,"&lt;="&amp;B113,'Residual Schedule'!$J$7:$J$98,"&gt;"&amp;B113)</x:f>
        <x:v>0</x:v>
      </x:c>
      <x:c r="G113" s="9" t="n">
        <x:f>COUNTIFS('Residual Schedule'!$C$7:$C$98,"Closure",'Residual Schedule'!$J$7:$J$98,"&lt;="&amp;B113)</x:f>
        <x:v>32</x:v>
      </x:c>
      <x:c r="H113" s="9" t="n">
        <x:f>COUNTIFS('Residual Schedule'!$C$7:$C$98,"Damage",'Residual Schedule'!$J$7:$J$98,"&lt;="&amp;B113)</x:f>
        <x:v>12</x:v>
      </x:c>
      <x:c r="I113" s="9" t="str">
        <x:f>IF(C113&lt;='Method Controls'!$D$27,"PASS","FAIL")</x:f>
        <x:v>PASS</x:v>
      </x:c>
      <x:c r="J113" s="9" t="str">
        <x:f>IF(D113&lt;='Method Controls'!$D$28,"PASS","FAIL")</x:f>
        <x:v>PASS</x:v>
      </x:c>
      <x:c r="K113" s="9" t="str">
        <x:f>IF(AND(E113&lt;='Method Controls'!$D$27,F113&lt;='Method Controls'!$D$28),"PASS","FAIL")</x:f>
        <x:v>PASS</x:v>
      </x:c>
      <x:c r="L113" s="9" t="str">
        <x:f>IF(AND(I113="PASS",J113="PASS",K113="PASS"),"PASS","FAIL")</x:f>
        <x:v>PASS</x:v>
      </x:c>
    </x:row>
    <x:row r="114">
      <x:c r="B114" s="9" t="n">
        <x:v>198</x:v>
      </x:c>
      <x:c r="C114" s="9" t="n">
        <x:f>COUNTIFS('Residual Schedule'!$C$7:$C$98,"Closure",'Residual Schedule'!$H$7:$H$98,"&lt;="&amp;B114,'Residual Schedule'!$I$7:$I$98,"&gt;"&amp;B114)</x:f>
        <x:v>4</x:v>
      </x:c>
      <x:c r="D114" s="9" t="n">
        <x:f>COUNTIFS('Residual Schedule'!$C$7:$C$98,"Damage",'Residual Schedule'!$H$7:$H$98,"&lt;="&amp;B114,'Residual Schedule'!$I$7:$I$98,"&gt;"&amp;B114)</x:f>
        <x:v>3</x:v>
      </x:c>
      <x:c r="E114" s="9" t="n">
        <x:f>COUNTIFS('Residual Schedule'!$C$7:$C$98,"Closure",'Residual Schedule'!$I$7:$I$98,"&lt;="&amp;B114,'Residual Schedule'!$J$7:$J$98,"&gt;"&amp;B114)</x:f>
        <x:v>0</x:v>
      </x:c>
      <x:c r="F114" s="9" t="n">
        <x:f>COUNTIFS('Residual Schedule'!$C$7:$C$98,"Damage",'Residual Schedule'!$I$7:$I$98,"&lt;="&amp;B114,'Residual Schedule'!$J$7:$J$98,"&gt;"&amp;B114)</x:f>
        <x:v>0</x:v>
      </x:c>
      <x:c r="G114" s="9" t="n">
        <x:f>COUNTIFS('Residual Schedule'!$C$7:$C$98,"Closure",'Residual Schedule'!$J$7:$J$98,"&lt;="&amp;B114)</x:f>
        <x:v>32</x:v>
      </x:c>
      <x:c r="H114" s="9" t="n">
        <x:f>COUNTIFS('Residual Schedule'!$C$7:$C$98,"Damage",'Residual Schedule'!$J$7:$J$98,"&lt;="&amp;B114)</x:f>
        <x:v>12</x:v>
      </x:c>
      <x:c r="I114" s="9" t="str">
        <x:f>IF(C114&lt;='Method Controls'!$D$27,"PASS","FAIL")</x:f>
        <x:v>PASS</x:v>
      </x:c>
      <x:c r="J114" s="9" t="str">
        <x:f>IF(D114&lt;='Method Controls'!$D$28,"PASS","FAIL")</x:f>
        <x:v>PASS</x:v>
      </x:c>
      <x:c r="K114" s="9" t="str">
        <x:f>IF(AND(E114&lt;='Method Controls'!$D$27,F114&lt;='Method Controls'!$D$28),"PASS","FAIL")</x:f>
        <x:v>PASS</x:v>
      </x:c>
      <x:c r="L114" s="9" t="str">
        <x:f>IF(AND(I114="PASS",J114="PASS",K114="PASS"),"PASS","FAIL")</x:f>
        <x:v>PASS</x:v>
      </x:c>
    </x:row>
    <x:row r="115">
      <x:c r="B115" s="9" t="n">
        <x:v>199</x:v>
      </x:c>
      <x:c r="C115" s="9" t="n">
        <x:f>COUNTIFS('Residual Schedule'!$C$7:$C$98,"Closure",'Residual Schedule'!$H$7:$H$98,"&lt;="&amp;B115,'Residual Schedule'!$I$7:$I$98,"&gt;"&amp;B115)</x:f>
        <x:v>4</x:v>
      </x:c>
      <x:c r="D115" s="9" t="n">
        <x:f>COUNTIFS('Residual Schedule'!$C$7:$C$98,"Damage",'Residual Schedule'!$H$7:$H$98,"&lt;="&amp;B115,'Residual Schedule'!$I$7:$I$98,"&gt;"&amp;B115)</x:f>
        <x:v>3</x:v>
      </x:c>
      <x:c r="E115" s="9" t="n">
        <x:f>COUNTIFS('Residual Schedule'!$C$7:$C$98,"Closure",'Residual Schedule'!$I$7:$I$98,"&lt;="&amp;B115,'Residual Schedule'!$J$7:$J$98,"&gt;"&amp;B115)</x:f>
        <x:v>0</x:v>
      </x:c>
      <x:c r="F115" s="9" t="n">
        <x:f>COUNTIFS('Residual Schedule'!$C$7:$C$98,"Damage",'Residual Schedule'!$I$7:$I$98,"&lt;="&amp;B115,'Residual Schedule'!$J$7:$J$98,"&gt;"&amp;B115)</x:f>
        <x:v>0</x:v>
      </x:c>
      <x:c r="G115" s="9" t="n">
        <x:f>COUNTIFS('Residual Schedule'!$C$7:$C$98,"Closure",'Residual Schedule'!$J$7:$J$98,"&lt;="&amp;B115)</x:f>
        <x:v>32</x:v>
      </x:c>
      <x:c r="H115" s="9" t="n">
        <x:f>COUNTIFS('Residual Schedule'!$C$7:$C$98,"Damage",'Residual Schedule'!$J$7:$J$98,"&lt;="&amp;B115)</x:f>
        <x:v>12</x:v>
      </x:c>
      <x:c r="I115" s="9" t="str">
        <x:f>IF(C115&lt;='Method Controls'!$D$27,"PASS","FAIL")</x:f>
        <x:v>PASS</x:v>
      </x:c>
      <x:c r="J115" s="9" t="str">
        <x:f>IF(D115&lt;='Method Controls'!$D$28,"PASS","FAIL")</x:f>
        <x:v>PASS</x:v>
      </x:c>
      <x:c r="K115" s="9" t="str">
        <x:f>IF(AND(E115&lt;='Method Controls'!$D$27,F115&lt;='Method Controls'!$D$28),"PASS","FAIL")</x:f>
        <x:v>PASS</x:v>
      </x:c>
      <x:c r="L115" s="9" t="str">
        <x:f>IF(AND(I115="PASS",J115="PASS",K115="PASS"),"PASS","FAIL")</x:f>
        <x:v>PASS</x:v>
      </x:c>
    </x:row>
    <x:row r="116">
      <x:c r="B116" s="9" t="n">
        <x:v>200</x:v>
      </x:c>
      <x:c r="C116" s="9" t="n">
        <x:f>COUNTIFS('Residual Schedule'!$C$7:$C$98,"Closure",'Residual Schedule'!$H$7:$H$98,"&lt;="&amp;B116,'Residual Schedule'!$I$7:$I$98,"&gt;"&amp;B116)</x:f>
        <x:v>4</x:v>
      </x:c>
      <x:c r="D116" s="9" t="n">
        <x:f>COUNTIFS('Residual Schedule'!$C$7:$C$98,"Damage",'Residual Schedule'!$H$7:$H$98,"&lt;="&amp;B116,'Residual Schedule'!$I$7:$I$98,"&gt;"&amp;B116)</x:f>
        <x:v>3</x:v>
      </x:c>
      <x:c r="E116" s="9" t="n">
        <x:f>COUNTIFS('Residual Schedule'!$C$7:$C$98,"Closure",'Residual Schedule'!$I$7:$I$98,"&lt;="&amp;B116,'Residual Schedule'!$J$7:$J$98,"&gt;"&amp;B116)</x:f>
        <x:v>0</x:v>
      </x:c>
      <x:c r="F116" s="9" t="n">
        <x:f>COUNTIFS('Residual Schedule'!$C$7:$C$98,"Damage",'Residual Schedule'!$I$7:$I$98,"&lt;="&amp;B116,'Residual Schedule'!$J$7:$J$98,"&gt;"&amp;B116)</x:f>
        <x:v>0</x:v>
      </x:c>
      <x:c r="G116" s="9" t="n">
        <x:f>COUNTIFS('Residual Schedule'!$C$7:$C$98,"Closure",'Residual Schedule'!$J$7:$J$98,"&lt;="&amp;B116)</x:f>
        <x:v>32</x:v>
      </x:c>
      <x:c r="H116" s="9" t="n">
        <x:f>COUNTIFS('Residual Schedule'!$C$7:$C$98,"Damage",'Residual Schedule'!$J$7:$J$98,"&lt;="&amp;B116)</x:f>
        <x:v>12</x:v>
      </x:c>
      <x:c r="I116" s="9" t="str">
        <x:f>IF(C116&lt;='Method Controls'!$D$27,"PASS","FAIL")</x:f>
        <x:v>PASS</x:v>
      </x:c>
      <x:c r="J116" s="9" t="str">
        <x:f>IF(D116&lt;='Method Controls'!$D$28,"PASS","FAIL")</x:f>
        <x:v>PASS</x:v>
      </x:c>
      <x:c r="K116" s="9" t="str">
        <x:f>IF(AND(E116&lt;='Method Controls'!$D$27,F116&lt;='Method Controls'!$D$28),"PASS","FAIL")</x:f>
        <x:v>PASS</x:v>
      </x:c>
      <x:c r="L116" s="9" t="str">
        <x:f>IF(AND(I116="PASS",J116="PASS",K116="PASS"),"PASS","FAIL")</x:f>
        <x:v>PASS</x:v>
      </x:c>
    </x:row>
    <x:row r="117">
      <x:c r="B117" s="9" t="n">
        <x:v>201</x:v>
      </x:c>
      <x:c r="C117" s="9" t="n">
        <x:f>COUNTIFS('Residual Schedule'!$C$7:$C$98,"Closure",'Residual Schedule'!$H$7:$H$98,"&lt;="&amp;B117,'Residual Schedule'!$I$7:$I$98,"&gt;"&amp;B117)</x:f>
        <x:v>4</x:v>
      </x:c>
      <x:c r="D117" s="9" t="n">
        <x:f>COUNTIFS('Residual Schedule'!$C$7:$C$98,"Damage",'Residual Schedule'!$H$7:$H$98,"&lt;="&amp;B117,'Residual Schedule'!$I$7:$I$98,"&gt;"&amp;B117)</x:f>
        <x:v>3</x:v>
      </x:c>
      <x:c r="E117" s="9" t="n">
        <x:f>COUNTIFS('Residual Schedule'!$C$7:$C$98,"Closure",'Residual Schedule'!$I$7:$I$98,"&lt;="&amp;B117,'Residual Schedule'!$J$7:$J$98,"&gt;"&amp;B117)</x:f>
        <x:v>0</x:v>
      </x:c>
      <x:c r="F117" s="9" t="n">
        <x:f>COUNTIFS('Residual Schedule'!$C$7:$C$98,"Damage",'Residual Schedule'!$I$7:$I$98,"&lt;="&amp;B117,'Residual Schedule'!$J$7:$J$98,"&gt;"&amp;B117)</x:f>
        <x:v>0</x:v>
      </x:c>
      <x:c r="G117" s="9" t="n">
        <x:f>COUNTIFS('Residual Schedule'!$C$7:$C$98,"Closure",'Residual Schedule'!$J$7:$J$98,"&lt;="&amp;B117)</x:f>
        <x:v>32</x:v>
      </x:c>
      <x:c r="H117" s="9" t="n">
        <x:f>COUNTIFS('Residual Schedule'!$C$7:$C$98,"Damage",'Residual Schedule'!$J$7:$J$98,"&lt;="&amp;B117)</x:f>
        <x:v>12</x:v>
      </x:c>
      <x:c r="I117" s="9" t="str">
        <x:f>IF(C117&lt;='Method Controls'!$D$27,"PASS","FAIL")</x:f>
        <x:v>PASS</x:v>
      </x:c>
      <x:c r="J117" s="9" t="str">
        <x:f>IF(D117&lt;='Method Controls'!$D$28,"PASS","FAIL")</x:f>
        <x:v>PASS</x:v>
      </x:c>
      <x:c r="K117" s="9" t="str">
        <x:f>IF(AND(E117&lt;='Method Controls'!$D$27,F117&lt;='Method Controls'!$D$28),"PASS","FAIL")</x:f>
        <x:v>PASS</x:v>
      </x:c>
      <x:c r="L117" s="9" t="str">
        <x:f>IF(AND(I117="PASS",J117="PASS",K117="PASS"),"PASS","FAIL")</x:f>
        <x:v>PASS</x:v>
      </x:c>
    </x:row>
    <x:row r="118">
      <x:c r="B118" s="9" t="n">
        <x:v>202</x:v>
      </x:c>
      <x:c r="C118" s="9" t="n">
        <x:f>COUNTIFS('Residual Schedule'!$C$7:$C$98,"Closure",'Residual Schedule'!$H$7:$H$98,"&lt;="&amp;B118,'Residual Schedule'!$I$7:$I$98,"&gt;"&amp;B118)</x:f>
        <x:v>4</x:v>
      </x:c>
      <x:c r="D118" s="9" t="n">
        <x:f>COUNTIFS('Residual Schedule'!$C$7:$C$98,"Damage",'Residual Schedule'!$H$7:$H$98,"&lt;="&amp;B118,'Residual Schedule'!$I$7:$I$98,"&gt;"&amp;B118)</x:f>
        <x:v>3</x:v>
      </x:c>
      <x:c r="E118" s="9" t="n">
        <x:f>COUNTIFS('Residual Schedule'!$C$7:$C$98,"Closure",'Residual Schedule'!$I$7:$I$98,"&lt;="&amp;B118,'Residual Schedule'!$J$7:$J$98,"&gt;"&amp;B118)</x:f>
        <x:v>0</x:v>
      </x:c>
      <x:c r="F118" s="9" t="n">
        <x:f>COUNTIFS('Residual Schedule'!$C$7:$C$98,"Damage",'Residual Schedule'!$I$7:$I$98,"&lt;="&amp;B118,'Residual Schedule'!$J$7:$J$98,"&gt;"&amp;B118)</x:f>
        <x:v>0</x:v>
      </x:c>
      <x:c r="G118" s="9" t="n">
        <x:f>COUNTIFS('Residual Schedule'!$C$7:$C$98,"Closure",'Residual Schedule'!$J$7:$J$98,"&lt;="&amp;B118)</x:f>
        <x:v>32</x:v>
      </x:c>
      <x:c r="H118" s="9" t="n">
        <x:f>COUNTIFS('Residual Schedule'!$C$7:$C$98,"Damage",'Residual Schedule'!$J$7:$J$98,"&lt;="&amp;B118)</x:f>
        <x:v>12</x:v>
      </x:c>
      <x:c r="I118" s="9" t="str">
        <x:f>IF(C118&lt;='Method Controls'!$D$27,"PASS","FAIL")</x:f>
        <x:v>PASS</x:v>
      </x:c>
      <x:c r="J118" s="9" t="str">
        <x:f>IF(D118&lt;='Method Controls'!$D$28,"PASS","FAIL")</x:f>
        <x:v>PASS</x:v>
      </x:c>
      <x:c r="K118" s="9" t="str">
        <x:f>IF(AND(E118&lt;='Method Controls'!$D$27,F118&lt;='Method Controls'!$D$28),"PASS","FAIL")</x:f>
        <x:v>PASS</x:v>
      </x:c>
      <x:c r="L118" s="9" t="str">
        <x:f>IF(AND(I118="PASS",J118="PASS",K118="PASS"),"PASS","FAIL")</x:f>
        <x:v>PASS</x:v>
      </x:c>
    </x:row>
    <x:row r="119">
      <x:c r="B119" s="9" t="n">
        <x:v>203</x:v>
      </x:c>
      <x:c r="C119" s="9" t="n">
        <x:f>COUNTIFS('Residual Schedule'!$C$7:$C$98,"Closure",'Residual Schedule'!$H$7:$H$98,"&lt;="&amp;B119,'Residual Schedule'!$I$7:$I$98,"&gt;"&amp;B119)</x:f>
        <x:v>4</x:v>
      </x:c>
      <x:c r="D119" s="9" t="n">
        <x:f>COUNTIFS('Residual Schedule'!$C$7:$C$98,"Damage",'Residual Schedule'!$H$7:$H$98,"&lt;="&amp;B119,'Residual Schedule'!$I$7:$I$98,"&gt;"&amp;B119)</x:f>
        <x:v>3</x:v>
      </x:c>
      <x:c r="E119" s="9" t="n">
        <x:f>COUNTIFS('Residual Schedule'!$C$7:$C$98,"Closure",'Residual Schedule'!$I$7:$I$98,"&lt;="&amp;B119,'Residual Schedule'!$J$7:$J$98,"&gt;"&amp;B119)</x:f>
        <x:v>0</x:v>
      </x:c>
      <x:c r="F119" s="9" t="n">
        <x:f>COUNTIFS('Residual Schedule'!$C$7:$C$98,"Damage",'Residual Schedule'!$I$7:$I$98,"&lt;="&amp;B119,'Residual Schedule'!$J$7:$J$98,"&gt;"&amp;B119)</x:f>
        <x:v>0</x:v>
      </x:c>
      <x:c r="G119" s="9" t="n">
        <x:f>COUNTIFS('Residual Schedule'!$C$7:$C$98,"Closure",'Residual Schedule'!$J$7:$J$98,"&lt;="&amp;B119)</x:f>
        <x:v>32</x:v>
      </x:c>
      <x:c r="H119" s="9" t="n">
        <x:f>COUNTIFS('Residual Schedule'!$C$7:$C$98,"Damage",'Residual Schedule'!$J$7:$J$98,"&lt;="&amp;B119)</x:f>
        <x:v>12</x:v>
      </x:c>
      <x:c r="I119" s="9" t="str">
        <x:f>IF(C119&lt;='Method Controls'!$D$27,"PASS","FAIL")</x:f>
        <x:v>PASS</x:v>
      </x:c>
      <x:c r="J119" s="9" t="str">
        <x:f>IF(D119&lt;='Method Controls'!$D$28,"PASS","FAIL")</x:f>
        <x:v>PASS</x:v>
      </x:c>
      <x:c r="K119" s="9" t="str">
        <x:f>IF(AND(E119&lt;='Method Controls'!$D$27,F119&lt;='Method Controls'!$D$28),"PASS","FAIL")</x:f>
        <x:v>PASS</x:v>
      </x:c>
      <x:c r="L119" s="9" t="str">
        <x:f>IF(AND(I119="PASS",J119="PASS",K119="PASS"),"PASS","FAIL")</x:f>
        <x:v>PASS</x:v>
      </x:c>
    </x:row>
    <x:row r="120">
      <x:c r="B120" s="9" t="n">
        <x:v>204</x:v>
      </x:c>
      <x:c r="C120" s="9" t="n">
        <x:f>COUNTIFS('Residual Schedule'!$C$7:$C$98,"Closure",'Residual Schedule'!$H$7:$H$98,"&lt;="&amp;B120,'Residual Schedule'!$I$7:$I$98,"&gt;"&amp;B120)</x:f>
        <x:v>0</x:v>
      </x:c>
      <x:c r="D120" s="9" t="n">
        <x:f>COUNTIFS('Residual Schedule'!$C$7:$C$98,"Damage",'Residual Schedule'!$H$7:$H$98,"&lt;="&amp;B120,'Residual Schedule'!$I$7:$I$98,"&gt;"&amp;B120)</x:f>
        <x:v>3</x:v>
      </x:c>
      <x:c r="E120" s="9" t="n">
        <x:f>COUNTIFS('Residual Schedule'!$C$7:$C$98,"Closure",'Residual Schedule'!$I$7:$I$98,"&lt;="&amp;B120,'Residual Schedule'!$J$7:$J$98,"&gt;"&amp;B120)</x:f>
        <x:v>4</x:v>
      </x:c>
      <x:c r="F120" s="9" t="n">
        <x:f>COUNTIFS('Residual Schedule'!$C$7:$C$98,"Damage",'Residual Schedule'!$I$7:$I$98,"&lt;="&amp;B120,'Residual Schedule'!$J$7:$J$98,"&gt;"&amp;B120)</x:f>
        <x:v>0</x:v>
      </x:c>
      <x:c r="G120" s="9" t="n">
        <x:f>COUNTIFS('Residual Schedule'!$C$7:$C$98,"Closure",'Residual Schedule'!$J$7:$J$98,"&lt;="&amp;B120)</x:f>
        <x:v>32</x:v>
      </x:c>
      <x:c r="H120" s="9" t="n">
        <x:f>COUNTIFS('Residual Schedule'!$C$7:$C$98,"Damage",'Residual Schedule'!$J$7:$J$98,"&lt;="&amp;B120)</x:f>
        <x:v>12</x:v>
      </x:c>
      <x:c r="I120" s="9" t="str">
        <x:f>IF(C120&lt;='Method Controls'!$D$27,"PASS","FAIL")</x:f>
        <x:v>PASS</x:v>
      </x:c>
      <x:c r="J120" s="9" t="str">
        <x:f>IF(D120&lt;='Method Controls'!$D$28,"PASS","FAIL")</x:f>
        <x:v>PASS</x:v>
      </x:c>
      <x:c r="K120" s="9" t="str">
        <x:f>IF(AND(E120&lt;='Method Controls'!$D$27,F120&lt;='Method Controls'!$D$28),"PASS","FAIL")</x:f>
        <x:v>PASS</x:v>
      </x:c>
      <x:c r="L120" s="9" t="str">
        <x:f>IF(AND(I120="PASS",J120="PASS",K120="PASS"),"PASS","FAIL")</x:f>
        <x:v>PASS</x:v>
      </x:c>
    </x:row>
    <x:row r="121">
      <x:c r="B121" s="9" t="n">
        <x:v>205</x:v>
      </x:c>
      <x:c r="C121" s="9" t="n">
        <x:f>COUNTIFS('Residual Schedule'!$C$7:$C$98,"Closure",'Residual Schedule'!$H$7:$H$98,"&lt;="&amp;B121,'Residual Schedule'!$I$7:$I$98,"&gt;"&amp;B121)</x:f>
        <x:v>0</x:v>
      </x:c>
      <x:c r="D121" s="9" t="n">
        <x:f>COUNTIFS('Residual Schedule'!$C$7:$C$98,"Damage",'Residual Schedule'!$H$7:$H$98,"&lt;="&amp;B121,'Residual Schedule'!$I$7:$I$98,"&gt;"&amp;B121)</x:f>
        <x:v>3</x:v>
      </x:c>
      <x:c r="E121" s="9" t="n">
        <x:f>COUNTIFS('Residual Schedule'!$C$7:$C$98,"Closure",'Residual Schedule'!$I$7:$I$98,"&lt;="&amp;B121,'Residual Schedule'!$J$7:$J$98,"&gt;"&amp;B121)</x:f>
        <x:v>4</x:v>
      </x:c>
      <x:c r="F121" s="9" t="n">
        <x:f>COUNTIFS('Residual Schedule'!$C$7:$C$98,"Damage",'Residual Schedule'!$I$7:$I$98,"&lt;="&amp;B121,'Residual Schedule'!$J$7:$J$98,"&gt;"&amp;B121)</x:f>
        <x:v>0</x:v>
      </x:c>
      <x:c r="G121" s="9" t="n">
        <x:f>COUNTIFS('Residual Schedule'!$C$7:$C$98,"Closure",'Residual Schedule'!$J$7:$J$98,"&lt;="&amp;B121)</x:f>
        <x:v>32</x:v>
      </x:c>
      <x:c r="H121" s="9" t="n">
        <x:f>COUNTIFS('Residual Schedule'!$C$7:$C$98,"Damage",'Residual Schedule'!$J$7:$J$98,"&lt;="&amp;B121)</x:f>
        <x:v>12</x:v>
      </x:c>
      <x:c r="I121" s="9" t="str">
        <x:f>IF(C121&lt;='Method Controls'!$D$27,"PASS","FAIL")</x:f>
        <x:v>PASS</x:v>
      </x:c>
      <x:c r="J121" s="9" t="str">
        <x:f>IF(D121&lt;='Method Controls'!$D$28,"PASS","FAIL")</x:f>
        <x:v>PASS</x:v>
      </x:c>
      <x:c r="K121" s="9" t="str">
        <x:f>IF(AND(E121&lt;='Method Controls'!$D$27,F121&lt;='Method Controls'!$D$28),"PASS","FAIL")</x:f>
        <x:v>PASS</x:v>
      </x:c>
      <x:c r="L121" s="9" t="str">
        <x:f>IF(AND(I121="PASS",J121="PASS",K121="PASS"),"PASS","FAIL")</x:f>
        <x:v>PASS</x:v>
      </x:c>
    </x:row>
    <x:row r="122">
      <x:c r="B122" s="9" t="n">
        <x:v>206</x:v>
      </x:c>
      <x:c r="C122" s="9" t="n">
        <x:f>COUNTIFS('Residual Schedule'!$C$7:$C$98,"Closure",'Residual Schedule'!$H$7:$H$98,"&lt;="&amp;B122,'Residual Schedule'!$I$7:$I$98,"&gt;"&amp;B122)</x:f>
        <x:v>0</x:v>
      </x:c>
      <x:c r="D122" s="9" t="n">
        <x:f>COUNTIFS('Residual Schedule'!$C$7:$C$98,"Damage",'Residual Schedule'!$H$7:$H$98,"&lt;="&amp;B122,'Residual Schedule'!$I$7:$I$98,"&gt;"&amp;B122)</x:f>
        <x:v>3</x:v>
      </x:c>
      <x:c r="E122" s="9" t="n">
        <x:f>COUNTIFS('Residual Schedule'!$C$7:$C$98,"Closure",'Residual Schedule'!$I$7:$I$98,"&lt;="&amp;B122,'Residual Schedule'!$J$7:$J$98,"&gt;"&amp;B122)</x:f>
        <x:v>4</x:v>
      </x:c>
      <x:c r="F122" s="9" t="n">
        <x:f>COUNTIFS('Residual Schedule'!$C$7:$C$98,"Damage",'Residual Schedule'!$I$7:$I$98,"&lt;="&amp;B122,'Residual Schedule'!$J$7:$J$98,"&gt;"&amp;B122)</x:f>
        <x:v>0</x:v>
      </x:c>
      <x:c r="G122" s="9" t="n">
        <x:f>COUNTIFS('Residual Schedule'!$C$7:$C$98,"Closure",'Residual Schedule'!$J$7:$J$98,"&lt;="&amp;B122)</x:f>
        <x:v>32</x:v>
      </x:c>
      <x:c r="H122" s="9" t="n">
        <x:f>COUNTIFS('Residual Schedule'!$C$7:$C$98,"Damage",'Residual Schedule'!$J$7:$J$98,"&lt;="&amp;B122)</x:f>
        <x:v>12</x:v>
      </x:c>
      <x:c r="I122" s="9" t="str">
        <x:f>IF(C122&lt;='Method Controls'!$D$27,"PASS","FAIL")</x:f>
        <x:v>PASS</x:v>
      </x:c>
      <x:c r="J122" s="9" t="str">
        <x:f>IF(D122&lt;='Method Controls'!$D$28,"PASS","FAIL")</x:f>
        <x:v>PASS</x:v>
      </x:c>
      <x:c r="K122" s="9" t="str">
        <x:f>IF(AND(E122&lt;='Method Controls'!$D$27,F122&lt;='Method Controls'!$D$28),"PASS","FAIL")</x:f>
        <x:v>PASS</x:v>
      </x:c>
      <x:c r="L122" s="9" t="str">
        <x:f>IF(AND(I122="PASS",J122="PASS",K122="PASS"),"PASS","FAIL")</x:f>
        <x:v>PASS</x:v>
      </x:c>
    </x:row>
    <x:row r="123">
      <x:c r="B123" s="9" t="n">
        <x:v>207</x:v>
      </x:c>
      <x:c r="C123" s="9" t="n">
        <x:f>COUNTIFS('Residual Schedule'!$C$7:$C$98,"Closure",'Residual Schedule'!$H$7:$H$98,"&lt;="&amp;B123,'Residual Schedule'!$I$7:$I$98,"&gt;"&amp;B123)</x:f>
        <x:v>0</x:v>
      </x:c>
      <x:c r="D123" s="9" t="n">
        <x:f>COUNTIFS('Residual Schedule'!$C$7:$C$98,"Damage",'Residual Schedule'!$H$7:$H$98,"&lt;="&amp;B123,'Residual Schedule'!$I$7:$I$98,"&gt;"&amp;B123)</x:f>
        <x:v>0</x:v>
      </x:c>
      <x:c r="E123" s="9" t="n">
        <x:f>COUNTIFS('Residual Schedule'!$C$7:$C$98,"Closure",'Residual Schedule'!$I$7:$I$98,"&lt;="&amp;B123,'Residual Schedule'!$J$7:$J$98,"&gt;"&amp;B123)</x:f>
        <x:v>4</x:v>
      </x:c>
      <x:c r="F123" s="9" t="n">
        <x:f>COUNTIFS('Residual Schedule'!$C$7:$C$98,"Damage",'Residual Schedule'!$I$7:$I$98,"&lt;="&amp;B123,'Residual Schedule'!$J$7:$J$98,"&gt;"&amp;B123)</x:f>
        <x:v>3</x:v>
      </x:c>
      <x:c r="G123" s="9" t="n">
        <x:f>COUNTIFS('Residual Schedule'!$C$7:$C$98,"Closure",'Residual Schedule'!$J$7:$J$98,"&lt;="&amp;B123)</x:f>
        <x:v>32</x:v>
      </x:c>
      <x:c r="H123" s="9" t="n">
        <x:f>COUNTIFS('Residual Schedule'!$C$7:$C$98,"Damage",'Residual Schedule'!$J$7:$J$98,"&lt;="&amp;B123)</x:f>
        <x:v>12</x:v>
      </x:c>
      <x:c r="I123" s="9" t="str">
        <x:f>IF(C123&lt;='Method Controls'!$D$27,"PASS","FAIL")</x:f>
        <x:v>PASS</x:v>
      </x:c>
      <x:c r="J123" s="9" t="str">
        <x:f>IF(D123&lt;='Method Controls'!$D$28,"PASS","FAIL")</x:f>
        <x:v>PASS</x:v>
      </x:c>
      <x:c r="K123" s="9" t="str">
        <x:f>IF(AND(E123&lt;='Method Controls'!$D$27,F123&lt;='Method Controls'!$D$28),"PASS","FAIL")</x:f>
        <x:v>PASS</x:v>
      </x:c>
      <x:c r="L123" s="9" t="str">
        <x:f>IF(AND(I123="PASS",J123="PASS",K123="PASS"),"PASS","FAIL")</x:f>
        <x:v>PASS</x:v>
      </x:c>
    </x:row>
    <x:row r="124">
      <x:c r="B124" s="9" t="n">
        <x:v>208</x:v>
      </x:c>
      <x:c r="C124" s="9" t="n">
        <x:f>COUNTIFS('Residual Schedule'!$C$7:$C$98,"Closure",'Residual Schedule'!$H$7:$H$98,"&lt;="&amp;B124,'Residual Schedule'!$I$7:$I$98,"&gt;"&amp;B124)</x:f>
        <x:v>4</x:v>
      </x:c>
      <x:c r="D124" s="9" t="n">
        <x:f>COUNTIFS('Residual Schedule'!$C$7:$C$98,"Damage",'Residual Schedule'!$H$7:$H$98,"&lt;="&amp;B124,'Residual Schedule'!$I$7:$I$98,"&gt;"&amp;B124)</x:f>
        <x:v>0</x:v>
      </x:c>
      <x:c r="E124" s="9" t="n">
        <x:f>COUNTIFS('Residual Schedule'!$C$7:$C$98,"Closure",'Residual Schedule'!$I$7:$I$98,"&lt;="&amp;B124,'Residual Schedule'!$J$7:$J$98,"&gt;"&amp;B124)</x:f>
        <x:v>4</x:v>
      </x:c>
      <x:c r="F124" s="9" t="n">
        <x:f>COUNTIFS('Residual Schedule'!$C$7:$C$98,"Damage",'Residual Schedule'!$I$7:$I$98,"&lt;="&amp;B124,'Residual Schedule'!$J$7:$J$98,"&gt;"&amp;B124)</x:f>
        <x:v>3</x:v>
      </x:c>
      <x:c r="G124" s="9" t="n">
        <x:f>COUNTIFS('Residual Schedule'!$C$7:$C$98,"Closure",'Residual Schedule'!$J$7:$J$98,"&lt;="&amp;B124)</x:f>
        <x:v>32</x:v>
      </x:c>
      <x:c r="H124" s="9" t="n">
        <x:f>COUNTIFS('Residual Schedule'!$C$7:$C$98,"Damage",'Residual Schedule'!$J$7:$J$98,"&lt;="&amp;B124)</x:f>
        <x:v>12</x:v>
      </x:c>
      <x:c r="I124" s="9" t="str">
        <x:f>IF(C124&lt;='Method Controls'!$D$27,"PASS","FAIL")</x:f>
        <x:v>PASS</x:v>
      </x:c>
      <x:c r="J124" s="9" t="str">
        <x:f>IF(D124&lt;='Method Controls'!$D$28,"PASS","FAIL")</x:f>
        <x:v>PASS</x:v>
      </x:c>
      <x:c r="K124" s="9" t="str">
        <x:f>IF(AND(E124&lt;='Method Controls'!$D$27,F124&lt;='Method Controls'!$D$28),"PASS","FAIL")</x:f>
        <x:v>PASS</x:v>
      </x:c>
      <x:c r="L124" s="9" t="str">
        <x:f>IF(AND(I124="PASS",J124="PASS",K124="PASS"),"PASS","FAIL")</x:f>
        <x:v>PASS</x:v>
      </x:c>
    </x:row>
    <x:row r="125">
      <x:c r="B125" s="9" t="n">
        <x:v>209</x:v>
      </x:c>
      <x:c r="C125" s="9" t="n">
        <x:f>COUNTIFS('Residual Schedule'!$C$7:$C$98,"Closure",'Residual Schedule'!$H$7:$H$98,"&lt;="&amp;B125,'Residual Schedule'!$I$7:$I$98,"&gt;"&amp;B125)</x:f>
        <x:v>4</x:v>
      </x:c>
      <x:c r="D125" s="9" t="n">
        <x:f>COUNTIFS('Residual Schedule'!$C$7:$C$98,"Damage",'Residual Schedule'!$H$7:$H$98,"&lt;="&amp;B125,'Residual Schedule'!$I$7:$I$98,"&gt;"&amp;B125)</x:f>
        <x:v>0</x:v>
      </x:c>
      <x:c r="E125" s="9" t="n">
        <x:f>COUNTIFS('Residual Schedule'!$C$7:$C$98,"Closure",'Residual Schedule'!$I$7:$I$98,"&lt;="&amp;B125,'Residual Schedule'!$J$7:$J$98,"&gt;"&amp;B125)</x:f>
        <x:v>4</x:v>
      </x:c>
      <x:c r="F125" s="9" t="n">
        <x:f>COUNTIFS('Residual Schedule'!$C$7:$C$98,"Damage",'Residual Schedule'!$I$7:$I$98,"&lt;="&amp;B125,'Residual Schedule'!$J$7:$J$98,"&gt;"&amp;B125)</x:f>
        <x:v>3</x:v>
      </x:c>
      <x:c r="G125" s="9" t="n">
        <x:f>COUNTIFS('Residual Schedule'!$C$7:$C$98,"Closure",'Residual Schedule'!$J$7:$J$98,"&lt;="&amp;B125)</x:f>
        <x:v>32</x:v>
      </x:c>
      <x:c r="H125" s="9" t="n">
        <x:f>COUNTIFS('Residual Schedule'!$C$7:$C$98,"Damage",'Residual Schedule'!$J$7:$J$98,"&lt;="&amp;B125)</x:f>
        <x:v>12</x:v>
      </x:c>
      <x:c r="I125" s="9" t="str">
        <x:f>IF(C125&lt;='Method Controls'!$D$27,"PASS","FAIL")</x:f>
        <x:v>PASS</x:v>
      </x:c>
      <x:c r="J125" s="9" t="str">
        <x:f>IF(D125&lt;='Method Controls'!$D$28,"PASS","FAIL")</x:f>
        <x:v>PASS</x:v>
      </x:c>
      <x:c r="K125" s="9" t="str">
        <x:f>IF(AND(E125&lt;='Method Controls'!$D$27,F125&lt;='Method Controls'!$D$28),"PASS","FAIL")</x:f>
        <x:v>PASS</x:v>
      </x:c>
      <x:c r="L125" s="9" t="str">
        <x:f>IF(AND(I125="PASS",J125="PASS",K125="PASS"),"PASS","FAIL")</x:f>
        <x:v>PASS</x:v>
      </x:c>
    </x:row>
    <x:row r="126">
      <x:c r="B126" s="9" t="n">
        <x:v>210</x:v>
      </x:c>
      <x:c r="C126" s="9" t="n">
        <x:f>COUNTIFS('Residual Schedule'!$C$7:$C$98,"Closure",'Residual Schedule'!$H$7:$H$98,"&lt;="&amp;B126,'Residual Schedule'!$I$7:$I$98,"&gt;"&amp;B126)</x:f>
        <x:v>4</x:v>
      </x:c>
      <x:c r="D126" s="9" t="n">
        <x:f>COUNTIFS('Residual Schedule'!$C$7:$C$98,"Damage",'Residual Schedule'!$H$7:$H$98,"&lt;="&amp;B126,'Residual Schedule'!$I$7:$I$98,"&gt;"&amp;B126)</x:f>
        <x:v>0</x:v>
      </x:c>
      <x:c r="E126" s="9" t="n">
        <x:f>COUNTIFS('Residual Schedule'!$C$7:$C$98,"Closure",'Residual Schedule'!$I$7:$I$98,"&lt;="&amp;B126,'Residual Schedule'!$J$7:$J$98,"&gt;"&amp;B126)</x:f>
        <x:v>0</x:v>
      </x:c>
      <x:c r="F126" s="9" t="n">
        <x:f>COUNTIFS('Residual Schedule'!$C$7:$C$98,"Damage",'Residual Schedule'!$I$7:$I$98,"&lt;="&amp;B126,'Residual Schedule'!$J$7:$J$98,"&gt;"&amp;B126)</x:f>
        <x:v>3</x:v>
      </x:c>
      <x:c r="G126" s="9" t="n">
        <x:f>COUNTIFS('Residual Schedule'!$C$7:$C$98,"Closure",'Residual Schedule'!$J$7:$J$98,"&lt;="&amp;B126)</x:f>
        <x:v>36</x:v>
      </x:c>
      <x:c r="H126" s="9" t="n">
        <x:f>COUNTIFS('Residual Schedule'!$C$7:$C$98,"Damage",'Residual Schedule'!$J$7:$J$98,"&lt;="&amp;B126)</x:f>
        <x:v>12</x:v>
      </x:c>
      <x:c r="I126" s="9" t="str">
        <x:f>IF(C126&lt;='Method Controls'!$D$27,"PASS","FAIL")</x:f>
        <x:v>PASS</x:v>
      </x:c>
      <x:c r="J126" s="9" t="str">
        <x:f>IF(D126&lt;='Method Controls'!$D$28,"PASS","FAIL")</x:f>
        <x:v>PASS</x:v>
      </x:c>
      <x:c r="K126" s="9" t="str">
        <x:f>IF(AND(E126&lt;='Method Controls'!$D$27,F126&lt;='Method Controls'!$D$28),"PASS","FAIL")</x:f>
        <x:v>PASS</x:v>
      </x:c>
      <x:c r="L126" s="9" t="str">
        <x:f>IF(AND(I126="PASS",J126="PASS",K126="PASS"),"PASS","FAIL")</x:f>
        <x:v>PASS</x:v>
      </x:c>
    </x:row>
    <x:row r="127">
      <x:c r="B127" s="9" t="n">
        <x:v>211</x:v>
      </x:c>
      <x:c r="C127" s="9" t="n">
        <x:f>COUNTIFS('Residual Schedule'!$C$7:$C$98,"Closure",'Residual Schedule'!$H$7:$H$98,"&lt;="&amp;B127,'Residual Schedule'!$I$7:$I$98,"&gt;"&amp;B127)</x:f>
        <x:v>4</x:v>
      </x:c>
      <x:c r="D127" s="9" t="n">
        <x:f>COUNTIFS('Residual Schedule'!$C$7:$C$98,"Damage",'Residual Schedule'!$H$7:$H$98,"&lt;="&amp;B127,'Residual Schedule'!$I$7:$I$98,"&gt;"&amp;B127)</x:f>
        <x:v>0</x:v>
      </x:c>
      <x:c r="E127" s="9" t="n">
        <x:f>COUNTIFS('Residual Schedule'!$C$7:$C$98,"Closure",'Residual Schedule'!$I$7:$I$98,"&lt;="&amp;B127,'Residual Schedule'!$J$7:$J$98,"&gt;"&amp;B127)</x:f>
        <x:v>0</x:v>
      </x:c>
      <x:c r="F127" s="9" t="n">
        <x:f>COUNTIFS('Residual Schedule'!$C$7:$C$98,"Damage",'Residual Schedule'!$I$7:$I$98,"&lt;="&amp;B127,'Residual Schedule'!$J$7:$J$98,"&gt;"&amp;B127)</x:f>
        <x:v>3</x:v>
      </x:c>
      <x:c r="G127" s="9" t="n">
        <x:f>COUNTIFS('Residual Schedule'!$C$7:$C$98,"Closure",'Residual Schedule'!$J$7:$J$98,"&lt;="&amp;B127)</x:f>
        <x:v>36</x:v>
      </x:c>
      <x:c r="H127" s="9" t="n">
        <x:f>COUNTIFS('Residual Schedule'!$C$7:$C$98,"Damage",'Residual Schedule'!$J$7:$J$98,"&lt;="&amp;B127)</x:f>
        <x:v>12</x:v>
      </x:c>
      <x:c r="I127" s="9" t="str">
        <x:f>IF(C127&lt;='Method Controls'!$D$27,"PASS","FAIL")</x:f>
        <x:v>PASS</x:v>
      </x:c>
      <x:c r="J127" s="9" t="str">
        <x:f>IF(D127&lt;='Method Controls'!$D$28,"PASS","FAIL")</x:f>
        <x:v>PASS</x:v>
      </x:c>
      <x:c r="K127" s="9" t="str">
        <x:f>IF(AND(E127&lt;='Method Controls'!$D$27,F127&lt;='Method Controls'!$D$28),"PASS","FAIL")</x:f>
        <x:v>PASS</x:v>
      </x:c>
      <x:c r="L127" s="9" t="str">
        <x:f>IF(AND(I127="PASS",J127="PASS",K127="PASS"),"PASS","FAIL")</x:f>
        <x:v>PASS</x:v>
      </x:c>
    </x:row>
    <x:row r="128">
      <x:c r="B128" s="9" t="n">
        <x:v>212</x:v>
      </x:c>
      <x:c r="C128" s="9" t="n">
        <x:f>COUNTIFS('Residual Schedule'!$C$7:$C$98,"Closure",'Residual Schedule'!$H$7:$H$98,"&lt;="&amp;B128,'Residual Schedule'!$I$7:$I$98,"&gt;"&amp;B128)</x:f>
        <x:v>4</x:v>
      </x:c>
      <x:c r="D128" s="9" t="n">
        <x:f>COUNTIFS('Residual Schedule'!$C$7:$C$98,"Damage",'Residual Schedule'!$H$7:$H$98,"&lt;="&amp;B128,'Residual Schedule'!$I$7:$I$98,"&gt;"&amp;B128)</x:f>
        <x:v>0</x:v>
      </x:c>
      <x:c r="E128" s="9" t="n">
        <x:f>COUNTIFS('Residual Schedule'!$C$7:$C$98,"Closure",'Residual Schedule'!$I$7:$I$98,"&lt;="&amp;B128,'Residual Schedule'!$J$7:$J$98,"&gt;"&amp;B128)</x:f>
        <x:v>0</x:v>
      </x:c>
      <x:c r="F128" s="9" t="n">
        <x:f>COUNTIFS('Residual Schedule'!$C$7:$C$98,"Damage",'Residual Schedule'!$I$7:$I$98,"&lt;="&amp;B128,'Residual Schedule'!$J$7:$J$98,"&gt;"&amp;B128)</x:f>
        <x:v>3</x:v>
      </x:c>
      <x:c r="G128" s="9" t="n">
        <x:f>COUNTIFS('Residual Schedule'!$C$7:$C$98,"Closure",'Residual Schedule'!$J$7:$J$98,"&lt;="&amp;B128)</x:f>
        <x:v>36</x:v>
      </x:c>
      <x:c r="H128" s="9" t="n">
        <x:f>COUNTIFS('Residual Schedule'!$C$7:$C$98,"Damage",'Residual Schedule'!$J$7:$J$98,"&lt;="&amp;B128)</x:f>
        <x:v>12</x:v>
      </x:c>
      <x:c r="I128" s="9" t="str">
        <x:f>IF(C128&lt;='Method Controls'!$D$27,"PASS","FAIL")</x:f>
        <x:v>PASS</x:v>
      </x:c>
      <x:c r="J128" s="9" t="str">
        <x:f>IF(D128&lt;='Method Controls'!$D$28,"PASS","FAIL")</x:f>
        <x:v>PASS</x:v>
      </x:c>
      <x:c r="K128" s="9" t="str">
        <x:f>IF(AND(E128&lt;='Method Controls'!$D$27,F128&lt;='Method Controls'!$D$28),"PASS","FAIL")</x:f>
        <x:v>PASS</x:v>
      </x:c>
      <x:c r="L128" s="9" t="str">
        <x:f>IF(AND(I128="PASS",J128="PASS",K128="PASS"),"PASS","FAIL")</x:f>
        <x:v>PASS</x:v>
      </x:c>
    </x:row>
    <x:row r="129">
      <x:c r="B129" s="9" t="n">
        <x:v>213</x:v>
      </x:c>
      <x:c r="C129" s="9" t="n">
        <x:f>COUNTIFS('Residual Schedule'!$C$7:$C$98,"Closure",'Residual Schedule'!$H$7:$H$98,"&lt;="&amp;B129,'Residual Schedule'!$I$7:$I$98,"&gt;"&amp;B129)</x:f>
        <x:v>4</x:v>
      </x:c>
      <x:c r="D129" s="9" t="n">
        <x:f>COUNTIFS('Residual Schedule'!$C$7:$C$98,"Damage",'Residual Schedule'!$H$7:$H$98,"&lt;="&amp;B129,'Residual Schedule'!$I$7:$I$98,"&gt;"&amp;B129)</x:f>
        <x:v>0</x:v>
      </x:c>
      <x:c r="E129" s="9" t="n">
        <x:f>COUNTIFS('Residual Schedule'!$C$7:$C$98,"Closure",'Residual Schedule'!$I$7:$I$98,"&lt;="&amp;B129,'Residual Schedule'!$J$7:$J$98,"&gt;"&amp;B129)</x:f>
        <x:v>0</x:v>
      </x:c>
      <x:c r="F129" s="9" t="n">
        <x:f>COUNTIFS('Residual Schedule'!$C$7:$C$98,"Damage",'Residual Schedule'!$I$7:$I$98,"&lt;="&amp;B129,'Residual Schedule'!$J$7:$J$98,"&gt;"&amp;B129)</x:f>
        <x:v>3</x:v>
      </x:c>
      <x:c r="G129" s="9" t="n">
        <x:f>COUNTIFS('Residual Schedule'!$C$7:$C$98,"Closure",'Residual Schedule'!$J$7:$J$98,"&lt;="&amp;B129)</x:f>
        <x:v>36</x:v>
      </x:c>
      <x:c r="H129" s="9" t="n">
        <x:f>COUNTIFS('Residual Schedule'!$C$7:$C$98,"Damage",'Residual Schedule'!$J$7:$J$98,"&lt;="&amp;B129)</x:f>
        <x:v>12</x:v>
      </x:c>
      <x:c r="I129" s="9" t="str">
        <x:f>IF(C129&lt;='Method Controls'!$D$27,"PASS","FAIL")</x:f>
        <x:v>PASS</x:v>
      </x:c>
      <x:c r="J129" s="9" t="str">
        <x:f>IF(D129&lt;='Method Controls'!$D$28,"PASS","FAIL")</x:f>
        <x:v>PASS</x:v>
      </x:c>
      <x:c r="K129" s="9" t="str">
        <x:f>IF(AND(E129&lt;='Method Controls'!$D$27,F129&lt;='Method Controls'!$D$28),"PASS","FAIL")</x:f>
        <x:v>PASS</x:v>
      </x:c>
      <x:c r="L129" s="9" t="str">
        <x:f>IF(AND(I129="PASS",J129="PASS",K129="PASS"),"PASS","FAIL")</x:f>
        <x:v>PASS</x:v>
      </x:c>
    </x:row>
    <x:row r="130">
      <x:c r="B130" s="9" t="n">
        <x:v>214</x:v>
      </x:c>
      <x:c r="C130" s="9" t="n">
        <x:f>COUNTIFS('Residual Schedule'!$C$7:$C$98,"Closure",'Residual Schedule'!$H$7:$H$98,"&lt;="&amp;B130,'Residual Schedule'!$I$7:$I$98,"&gt;"&amp;B130)</x:f>
        <x:v>4</x:v>
      </x:c>
      <x:c r="D130" s="9" t="n">
        <x:f>COUNTIFS('Residual Schedule'!$C$7:$C$98,"Damage",'Residual Schedule'!$H$7:$H$98,"&lt;="&amp;B130,'Residual Schedule'!$I$7:$I$98,"&gt;"&amp;B130)</x:f>
        <x:v>0</x:v>
      </x:c>
      <x:c r="E130" s="9" t="n">
        <x:f>COUNTIFS('Residual Schedule'!$C$7:$C$98,"Closure",'Residual Schedule'!$I$7:$I$98,"&lt;="&amp;B130,'Residual Schedule'!$J$7:$J$98,"&gt;"&amp;B130)</x:f>
        <x:v>0</x:v>
      </x:c>
      <x:c r="F130" s="9" t="n">
        <x:f>COUNTIFS('Residual Schedule'!$C$7:$C$98,"Damage",'Residual Schedule'!$I$7:$I$98,"&lt;="&amp;B130,'Residual Schedule'!$J$7:$J$98,"&gt;"&amp;B130)</x:f>
        <x:v>3</x:v>
      </x:c>
      <x:c r="G130" s="9" t="n">
        <x:f>COUNTIFS('Residual Schedule'!$C$7:$C$98,"Closure",'Residual Schedule'!$J$7:$J$98,"&lt;="&amp;B130)</x:f>
        <x:v>36</x:v>
      </x:c>
      <x:c r="H130" s="9" t="n">
        <x:f>COUNTIFS('Residual Schedule'!$C$7:$C$98,"Damage",'Residual Schedule'!$J$7:$J$98,"&lt;="&amp;B130)</x:f>
        <x:v>12</x:v>
      </x:c>
      <x:c r="I130" s="9" t="str">
        <x:f>IF(C130&lt;='Method Controls'!$D$27,"PASS","FAIL")</x:f>
        <x:v>PASS</x:v>
      </x:c>
      <x:c r="J130" s="9" t="str">
        <x:f>IF(D130&lt;='Method Controls'!$D$28,"PASS","FAIL")</x:f>
        <x:v>PASS</x:v>
      </x:c>
      <x:c r="K130" s="9" t="str">
        <x:f>IF(AND(E130&lt;='Method Controls'!$D$27,F130&lt;='Method Controls'!$D$28),"PASS","FAIL")</x:f>
        <x:v>PASS</x:v>
      </x:c>
      <x:c r="L130" s="9" t="str">
        <x:f>IF(AND(I130="PASS",J130="PASS",K130="PASS"),"PASS","FAIL")</x:f>
        <x:v>PASS</x:v>
      </x:c>
    </x:row>
    <x:row r="131">
      <x:c r="B131" s="9" t="n">
        <x:v>215</x:v>
      </x:c>
      <x:c r="C131" s="9" t="n">
        <x:f>COUNTIFS('Residual Schedule'!$C$7:$C$98,"Closure",'Residual Schedule'!$H$7:$H$98,"&lt;="&amp;B131,'Residual Schedule'!$I$7:$I$98,"&gt;"&amp;B131)</x:f>
        <x:v>4</x:v>
      </x:c>
      <x:c r="D131" s="9" t="n">
        <x:f>COUNTIFS('Residual Schedule'!$C$7:$C$98,"Damage",'Residual Schedule'!$H$7:$H$98,"&lt;="&amp;B131,'Residual Schedule'!$I$7:$I$98,"&gt;"&amp;B131)</x:f>
        <x:v>0</x:v>
      </x:c>
      <x:c r="E131" s="9" t="n">
        <x:f>COUNTIFS('Residual Schedule'!$C$7:$C$98,"Closure",'Residual Schedule'!$I$7:$I$98,"&lt;="&amp;B131,'Residual Schedule'!$J$7:$J$98,"&gt;"&amp;B131)</x:f>
        <x:v>0</x:v>
      </x:c>
      <x:c r="F131" s="9" t="n">
        <x:f>COUNTIFS('Residual Schedule'!$C$7:$C$98,"Damage",'Residual Schedule'!$I$7:$I$98,"&lt;="&amp;B131,'Residual Schedule'!$J$7:$J$98,"&gt;"&amp;B131)</x:f>
        <x:v>3</x:v>
      </x:c>
      <x:c r="G131" s="9" t="n">
        <x:f>COUNTIFS('Residual Schedule'!$C$7:$C$98,"Closure",'Residual Schedule'!$J$7:$J$98,"&lt;="&amp;B131)</x:f>
        <x:v>36</x:v>
      </x:c>
      <x:c r="H131" s="9" t="n">
        <x:f>COUNTIFS('Residual Schedule'!$C$7:$C$98,"Damage",'Residual Schedule'!$J$7:$J$98,"&lt;="&amp;B131)</x:f>
        <x:v>12</x:v>
      </x:c>
      <x:c r="I131" s="9" t="str">
        <x:f>IF(C131&lt;='Method Controls'!$D$27,"PASS","FAIL")</x:f>
        <x:v>PASS</x:v>
      </x:c>
      <x:c r="J131" s="9" t="str">
        <x:f>IF(D131&lt;='Method Controls'!$D$28,"PASS","FAIL")</x:f>
        <x:v>PASS</x:v>
      </x:c>
      <x:c r="K131" s="9" t="str">
        <x:f>IF(AND(E131&lt;='Method Controls'!$D$27,F131&lt;='Method Controls'!$D$28),"PASS","FAIL")</x:f>
        <x:v>PASS</x:v>
      </x:c>
      <x:c r="L131" s="9" t="str">
        <x:f>IF(AND(I131="PASS",J131="PASS",K131="PASS"),"PASS","FAIL")</x:f>
        <x:v>PASS</x:v>
      </x:c>
    </x:row>
    <x:row r="132">
      <x:c r="B132" s="9" t="n">
        <x:v>216</x:v>
      </x:c>
      <x:c r="C132" s="9" t="n">
        <x:f>COUNTIFS('Residual Schedule'!$C$7:$C$98,"Closure",'Residual Schedule'!$H$7:$H$98,"&lt;="&amp;B132,'Residual Schedule'!$I$7:$I$98,"&gt;"&amp;B132)</x:f>
        <x:v>4</x:v>
      </x:c>
      <x:c r="D132" s="9" t="n">
        <x:f>COUNTIFS('Residual Schedule'!$C$7:$C$98,"Damage",'Residual Schedule'!$H$7:$H$98,"&lt;="&amp;B132,'Residual Schedule'!$I$7:$I$98,"&gt;"&amp;B132)</x:f>
        <x:v>0</x:v>
      </x:c>
      <x:c r="E132" s="9" t="n">
        <x:f>COUNTIFS('Residual Schedule'!$C$7:$C$98,"Closure",'Residual Schedule'!$I$7:$I$98,"&lt;="&amp;B132,'Residual Schedule'!$J$7:$J$98,"&gt;"&amp;B132)</x:f>
        <x:v>0</x:v>
      </x:c>
      <x:c r="F132" s="9" t="n">
        <x:f>COUNTIFS('Residual Schedule'!$C$7:$C$98,"Damage",'Residual Schedule'!$I$7:$I$98,"&lt;="&amp;B132,'Residual Schedule'!$J$7:$J$98,"&gt;"&amp;B132)</x:f>
        <x:v>0</x:v>
      </x:c>
      <x:c r="G132" s="9" t="n">
        <x:f>COUNTIFS('Residual Schedule'!$C$7:$C$98,"Closure",'Residual Schedule'!$J$7:$J$98,"&lt;="&amp;B132)</x:f>
        <x:v>36</x:v>
      </x:c>
      <x:c r="H132" s="9" t="n">
        <x:f>COUNTIFS('Residual Schedule'!$C$7:$C$98,"Damage",'Residual Schedule'!$J$7:$J$98,"&lt;="&amp;B132)</x:f>
        <x:v>15</x:v>
      </x:c>
      <x:c r="I132" s="9" t="str">
        <x:f>IF(C132&lt;='Method Controls'!$D$27,"PASS","FAIL")</x:f>
        <x:v>PASS</x:v>
      </x:c>
      <x:c r="J132" s="9" t="str">
        <x:f>IF(D132&lt;='Method Controls'!$D$28,"PASS","FAIL")</x:f>
        <x:v>PASS</x:v>
      </x:c>
      <x:c r="K132" s="9" t="str">
        <x:f>IF(AND(E132&lt;='Method Controls'!$D$27,F132&lt;='Method Controls'!$D$28),"PASS","FAIL")</x:f>
        <x:v>PASS</x:v>
      </x:c>
      <x:c r="L132" s="9" t="str">
        <x:f>IF(AND(I132="PASS",J132="PASS",K132="PASS"),"PASS","FAIL")</x:f>
        <x:v>PASS</x:v>
      </x:c>
    </x:row>
    <x:row r="133">
      <x:c r="B133" s="9" t="n">
        <x:v>217</x:v>
      </x:c>
      <x:c r="C133" s="9" t="n">
        <x:f>COUNTIFS('Residual Schedule'!$C$7:$C$98,"Closure",'Residual Schedule'!$H$7:$H$98,"&lt;="&amp;B133,'Residual Schedule'!$I$7:$I$98,"&gt;"&amp;B133)</x:f>
        <x:v>0</x:v>
      </x:c>
      <x:c r="D133" s="9" t="n">
        <x:f>COUNTIFS('Residual Schedule'!$C$7:$C$98,"Damage",'Residual Schedule'!$H$7:$H$98,"&lt;="&amp;B133,'Residual Schedule'!$I$7:$I$98,"&gt;"&amp;B133)</x:f>
        <x:v>3</x:v>
      </x:c>
      <x:c r="E133" s="9" t="n">
        <x:f>COUNTIFS('Residual Schedule'!$C$7:$C$98,"Closure",'Residual Schedule'!$I$7:$I$98,"&lt;="&amp;B133,'Residual Schedule'!$J$7:$J$98,"&gt;"&amp;B133)</x:f>
        <x:v>4</x:v>
      </x:c>
      <x:c r="F133" s="9" t="n">
        <x:f>COUNTIFS('Residual Schedule'!$C$7:$C$98,"Damage",'Residual Schedule'!$I$7:$I$98,"&lt;="&amp;B133,'Residual Schedule'!$J$7:$J$98,"&gt;"&amp;B133)</x:f>
        <x:v>0</x:v>
      </x:c>
      <x:c r="G133" s="9" t="n">
        <x:f>COUNTIFS('Residual Schedule'!$C$7:$C$98,"Closure",'Residual Schedule'!$J$7:$J$98,"&lt;="&amp;B133)</x:f>
        <x:v>36</x:v>
      </x:c>
      <x:c r="H133" s="9" t="n">
        <x:f>COUNTIFS('Residual Schedule'!$C$7:$C$98,"Damage",'Residual Schedule'!$J$7:$J$98,"&lt;="&amp;B133)</x:f>
        <x:v>15</x:v>
      </x:c>
      <x:c r="I133" s="9" t="str">
        <x:f>IF(C133&lt;='Method Controls'!$D$27,"PASS","FAIL")</x:f>
        <x:v>PASS</x:v>
      </x:c>
      <x:c r="J133" s="9" t="str">
        <x:f>IF(D133&lt;='Method Controls'!$D$28,"PASS","FAIL")</x:f>
        <x:v>PASS</x:v>
      </x:c>
      <x:c r="K133" s="9" t="str">
        <x:f>IF(AND(E133&lt;='Method Controls'!$D$27,F133&lt;='Method Controls'!$D$28),"PASS","FAIL")</x:f>
        <x:v>PASS</x:v>
      </x:c>
      <x:c r="L133" s="9" t="str">
        <x:f>IF(AND(I133="PASS",J133="PASS",K133="PASS"),"PASS","FAIL")</x:f>
        <x:v>PASS</x:v>
      </x:c>
    </x:row>
    <x:row r="134">
      <x:c r="B134" s="9" t="n">
        <x:v>218</x:v>
      </x:c>
      <x:c r="C134" s="9" t="n">
        <x:f>COUNTIFS('Residual Schedule'!$C$7:$C$98,"Closure",'Residual Schedule'!$H$7:$H$98,"&lt;="&amp;B134,'Residual Schedule'!$I$7:$I$98,"&gt;"&amp;B134)</x:f>
        <x:v>0</x:v>
      </x:c>
      <x:c r="D134" s="9" t="n">
        <x:f>COUNTIFS('Residual Schedule'!$C$7:$C$98,"Damage",'Residual Schedule'!$H$7:$H$98,"&lt;="&amp;B134,'Residual Schedule'!$I$7:$I$98,"&gt;"&amp;B134)</x:f>
        <x:v>3</x:v>
      </x:c>
      <x:c r="E134" s="9" t="n">
        <x:f>COUNTIFS('Residual Schedule'!$C$7:$C$98,"Closure",'Residual Schedule'!$I$7:$I$98,"&lt;="&amp;B134,'Residual Schedule'!$J$7:$J$98,"&gt;"&amp;B134)</x:f>
        <x:v>4</x:v>
      </x:c>
      <x:c r="F134" s="9" t="n">
        <x:f>COUNTIFS('Residual Schedule'!$C$7:$C$98,"Damage",'Residual Schedule'!$I$7:$I$98,"&lt;="&amp;B134,'Residual Schedule'!$J$7:$J$98,"&gt;"&amp;B134)</x:f>
        <x:v>0</x:v>
      </x:c>
      <x:c r="G134" s="9" t="n">
        <x:f>COUNTIFS('Residual Schedule'!$C$7:$C$98,"Closure",'Residual Schedule'!$J$7:$J$98,"&lt;="&amp;B134)</x:f>
        <x:v>36</x:v>
      </x:c>
      <x:c r="H134" s="9" t="n">
        <x:f>COUNTIFS('Residual Schedule'!$C$7:$C$98,"Damage",'Residual Schedule'!$J$7:$J$98,"&lt;="&amp;B134)</x:f>
        <x:v>15</x:v>
      </x:c>
      <x:c r="I134" s="9" t="str">
        <x:f>IF(C134&lt;='Method Controls'!$D$27,"PASS","FAIL")</x:f>
        <x:v>PASS</x:v>
      </x:c>
      <x:c r="J134" s="9" t="str">
        <x:f>IF(D134&lt;='Method Controls'!$D$28,"PASS","FAIL")</x:f>
        <x:v>PASS</x:v>
      </x:c>
      <x:c r="K134" s="9" t="str">
        <x:f>IF(AND(E134&lt;='Method Controls'!$D$27,F134&lt;='Method Controls'!$D$28),"PASS","FAIL")</x:f>
        <x:v>PASS</x:v>
      </x:c>
      <x:c r="L134" s="9" t="str">
        <x:f>IF(AND(I134="PASS",J134="PASS",K134="PASS"),"PASS","FAIL")</x:f>
        <x:v>PASS</x:v>
      </x:c>
    </x:row>
    <x:row r="135">
      <x:c r="B135" s="9" t="n">
        <x:v>219</x:v>
      </x:c>
      <x:c r="C135" s="9" t="n">
        <x:f>COUNTIFS('Residual Schedule'!$C$7:$C$98,"Closure",'Residual Schedule'!$H$7:$H$98,"&lt;="&amp;B135,'Residual Schedule'!$I$7:$I$98,"&gt;"&amp;B135)</x:f>
        <x:v>0</x:v>
      </x:c>
      <x:c r="D135" s="9" t="n">
        <x:f>COUNTIFS('Residual Schedule'!$C$7:$C$98,"Damage",'Residual Schedule'!$H$7:$H$98,"&lt;="&amp;B135,'Residual Schedule'!$I$7:$I$98,"&gt;"&amp;B135)</x:f>
        <x:v>3</x:v>
      </x:c>
      <x:c r="E135" s="9" t="n">
        <x:f>COUNTIFS('Residual Schedule'!$C$7:$C$98,"Closure",'Residual Schedule'!$I$7:$I$98,"&lt;="&amp;B135,'Residual Schedule'!$J$7:$J$98,"&gt;"&amp;B135)</x:f>
        <x:v>4</x:v>
      </x:c>
      <x:c r="F135" s="9" t="n">
        <x:f>COUNTIFS('Residual Schedule'!$C$7:$C$98,"Damage",'Residual Schedule'!$I$7:$I$98,"&lt;="&amp;B135,'Residual Schedule'!$J$7:$J$98,"&gt;"&amp;B135)</x:f>
        <x:v>0</x:v>
      </x:c>
      <x:c r="G135" s="9" t="n">
        <x:f>COUNTIFS('Residual Schedule'!$C$7:$C$98,"Closure",'Residual Schedule'!$J$7:$J$98,"&lt;="&amp;B135)</x:f>
        <x:v>36</x:v>
      </x:c>
      <x:c r="H135" s="9" t="n">
        <x:f>COUNTIFS('Residual Schedule'!$C$7:$C$98,"Damage",'Residual Schedule'!$J$7:$J$98,"&lt;="&amp;B135)</x:f>
        <x:v>15</x:v>
      </x:c>
      <x:c r="I135" s="9" t="str">
        <x:f>IF(C135&lt;='Method Controls'!$D$27,"PASS","FAIL")</x:f>
        <x:v>PASS</x:v>
      </x:c>
      <x:c r="J135" s="9" t="str">
        <x:f>IF(D135&lt;='Method Controls'!$D$28,"PASS","FAIL")</x:f>
        <x:v>PASS</x:v>
      </x:c>
      <x:c r="K135" s="9" t="str">
        <x:f>IF(AND(E135&lt;='Method Controls'!$D$27,F135&lt;='Method Controls'!$D$28),"PASS","FAIL")</x:f>
        <x:v>PASS</x:v>
      </x:c>
      <x:c r="L135" s="9" t="str">
        <x:f>IF(AND(I135="PASS",J135="PASS",K135="PASS"),"PASS","FAIL")</x:f>
        <x:v>PASS</x:v>
      </x:c>
    </x:row>
    <x:row r="136">
      <x:c r="B136" s="9" t="n">
        <x:v>220</x:v>
      </x:c>
      <x:c r="C136" s="9" t="n">
        <x:f>COUNTIFS('Residual Schedule'!$C$7:$C$98,"Closure",'Residual Schedule'!$H$7:$H$98,"&lt;="&amp;B136,'Residual Schedule'!$I$7:$I$98,"&gt;"&amp;B136)</x:f>
        <x:v>0</x:v>
      </x:c>
      <x:c r="D136" s="9" t="n">
        <x:f>COUNTIFS('Residual Schedule'!$C$7:$C$98,"Damage",'Residual Schedule'!$H$7:$H$98,"&lt;="&amp;B136,'Residual Schedule'!$I$7:$I$98,"&gt;"&amp;B136)</x:f>
        <x:v>3</x:v>
      </x:c>
      <x:c r="E136" s="9" t="n">
        <x:f>COUNTIFS('Residual Schedule'!$C$7:$C$98,"Closure",'Residual Schedule'!$I$7:$I$98,"&lt;="&amp;B136,'Residual Schedule'!$J$7:$J$98,"&gt;"&amp;B136)</x:f>
        <x:v>4</x:v>
      </x:c>
      <x:c r="F136" s="9" t="n">
        <x:f>COUNTIFS('Residual Schedule'!$C$7:$C$98,"Damage",'Residual Schedule'!$I$7:$I$98,"&lt;="&amp;B136,'Residual Schedule'!$J$7:$J$98,"&gt;"&amp;B136)</x:f>
        <x:v>0</x:v>
      </x:c>
      <x:c r="G136" s="9" t="n">
        <x:f>COUNTIFS('Residual Schedule'!$C$7:$C$98,"Closure",'Residual Schedule'!$J$7:$J$98,"&lt;="&amp;B136)</x:f>
        <x:v>36</x:v>
      </x:c>
      <x:c r="H136" s="9" t="n">
        <x:f>COUNTIFS('Residual Schedule'!$C$7:$C$98,"Damage",'Residual Schedule'!$J$7:$J$98,"&lt;="&amp;B136)</x:f>
        <x:v>15</x:v>
      </x:c>
      <x:c r="I136" s="9" t="str">
        <x:f>IF(C136&lt;='Method Controls'!$D$27,"PASS","FAIL")</x:f>
        <x:v>PASS</x:v>
      </x:c>
      <x:c r="J136" s="9" t="str">
        <x:f>IF(D136&lt;='Method Controls'!$D$28,"PASS","FAIL")</x:f>
        <x:v>PASS</x:v>
      </x:c>
      <x:c r="K136" s="9" t="str">
        <x:f>IF(AND(E136&lt;='Method Controls'!$D$27,F136&lt;='Method Controls'!$D$28),"PASS","FAIL")</x:f>
        <x:v>PASS</x:v>
      </x:c>
      <x:c r="L136" s="9" t="str">
        <x:f>IF(AND(I136="PASS",J136="PASS",K136="PASS"),"PASS","FAIL")</x:f>
        <x:v>PASS</x:v>
      </x:c>
    </x:row>
    <x:row r="137">
      <x:c r="B137" s="9" t="n">
        <x:v>221</x:v>
      </x:c>
      <x:c r="C137" s="9" t="n">
        <x:f>COUNTIFS('Residual Schedule'!$C$7:$C$98,"Closure",'Residual Schedule'!$H$7:$H$98,"&lt;="&amp;B137,'Residual Schedule'!$I$7:$I$98,"&gt;"&amp;B137)</x:f>
        <x:v>4</x:v>
      </x:c>
      <x:c r="D137" s="9" t="n">
        <x:f>COUNTIFS('Residual Schedule'!$C$7:$C$98,"Damage",'Residual Schedule'!$H$7:$H$98,"&lt;="&amp;B137,'Residual Schedule'!$I$7:$I$98,"&gt;"&amp;B137)</x:f>
        <x:v>3</x:v>
      </x:c>
      <x:c r="E137" s="9" t="n">
        <x:f>COUNTIFS('Residual Schedule'!$C$7:$C$98,"Closure",'Residual Schedule'!$I$7:$I$98,"&lt;="&amp;B137,'Residual Schedule'!$J$7:$J$98,"&gt;"&amp;B137)</x:f>
        <x:v>4</x:v>
      </x:c>
      <x:c r="F137" s="9" t="n">
        <x:f>COUNTIFS('Residual Schedule'!$C$7:$C$98,"Damage",'Residual Schedule'!$I$7:$I$98,"&lt;="&amp;B137,'Residual Schedule'!$J$7:$J$98,"&gt;"&amp;B137)</x:f>
        <x:v>0</x:v>
      </x:c>
      <x:c r="G137" s="9" t="n">
        <x:f>COUNTIFS('Residual Schedule'!$C$7:$C$98,"Closure",'Residual Schedule'!$J$7:$J$98,"&lt;="&amp;B137)</x:f>
        <x:v>36</x:v>
      </x:c>
      <x:c r="H137" s="9" t="n">
        <x:f>COUNTIFS('Residual Schedule'!$C$7:$C$98,"Damage",'Residual Schedule'!$J$7:$J$98,"&lt;="&amp;B137)</x:f>
        <x:v>15</x:v>
      </x:c>
      <x:c r="I137" s="9" t="str">
        <x:f>IF(C137&lt;='Method Controls'!$D$27,"PASS","FAIL")</x:f>
        <x:v>PASS</x:v>
      </x:c>
      <x:c r="J137" s="9" t="str">
        <x:f>IF(D137&lt;='Method Controls'!$D$28,"PASS","FAIL")</x:f>
        <x:v>PASS</x:v>
      </x:c>
      <x:c r="K137" s="9" t="str">
        <x:f>IF(AND(E137&lt;='Method Controls'!$D$27,F137&lt;='Method Controls'!$D$28),"PASS","FAIL")</x:f>
        <x:v>PASS</x:v>
      </x:c>
      <x:c r="L137" s="9" t="str">
        <x:f>IF(AND(I137="PASS",J137="PASS",K137="PASS"),"PASS","FAIL")</x:f>
        <x:v>PASS</x:v>
      </x:c>
    </x:row>
    <x:row r="138">
      <x:c r="B138" s="9" t="n">
        <x:v>222</x:v>
      </x:c>
      <x:c r="C138" s="9" t="n">
        <x:f>COUNTIFS('Residual Schedule'!$C$7:$C$98,"Closure",'Residual Schedule'!$H$7:$H$98,"&lt;="&amp;B138,'Residual Schedule'!$I$7:$I$98,"&gt;"&amp;B138)</x:f>
        <x:v>4</x:v>
      </x:c>
      <x:c r="D138" s="9" t="n">
        <x:f>COUNTIFS('Residual Schedule'!$C$7:$C$98,"Damage",'Residual Schedule'!$H$7:$H$98,"&lt;="&amp;B138,'Residual Schedule'!$I$7:$I$98,"&gt;"&amp;B138)</x:f>
        <x:v>3</x:v>
      </x:c>
      <x:c r="E138" s="9" t="n">
        <x:f>COUNTIFS('Residual Schedule'!$C$7:$C$98,"Closure",'Residual Schedule'!$I$7:$I$98,"&lt;="&amp;B138,'Residual Schedule'!$J$7:$J$98,"&gt;"&amp;B138)</x:f>
        <x:v>4</x:v>
      </x:c>
      <x:c r="F138" s="9" t="n">
        <x:f>COUNTIFS('Residual Schedule'!$C$7:$C$98,"Damage",'Residual Schedule'!$I$7:$I$98,"&lt;="&amp;B138,'Residual Schedule'!$J$7:$J$98,"&gt;"&amp;B138)</x:f>
        <x:v>0</x:v>
      </x:c>
      <x:c r="G138" s="9" t="n">
        <x:f>COUNTIFS('Residual Schedule'!$C$7:$C$98,"Closure",'Residual Schedule'!$J$7:$J$98,"&lt;="&amp;B138)</x:f>
        <x:v>36</x:v>
      </x:c>
      <x:c r="H138" s="9" t="n">
        <x:f>COUNTIFS('Residual Schedule'!$C$7:$C$98,"Damage",'Residual Schedule'!$J$7:$J$98,"&lt;="&amp;B138)</x:f>
        <x:v>15</x:v>
      </x:c>
      <x:c r="I138" s="9" t="str">
        <x:f>IF(C138&lt;='Method Controls'!$D$27,"PASS","FAIL")</x:f>
        <x:v>PASS</x:v>
      </x:c>
      <x:c r="J138" s="9" t="str">
        <x:f>IF(D138&lt;='Method Controls'!$D$28,"PASS","FAIL")</x:f>
        <x:v>PASS</x:v>
      </x:c>
      <x:c r="K138" s="9" t="str">
        <x:f>IF(AND(E138&lt;='Method Controls'!$D$27,F138&lt;='Method Controls'!$D$28),"PASS","FAIL")</x:f>
        <x:v>PASS</x:v>
      </x:c>
      <x:c r="L138" s="9" t="str">
        <x:f>IF(AND(I138="PASS",J138="PASS",K138="PASS"),"PASS","FAIL")</x:f>
        <x:v>PASS</x:v>
      </x:c>
    </x:row>
    <x:row r="139">
      <x:c r="B139" s="9" t="n">
        <x:v>223</x:v>
      </x:c>
      <x:c r="C139" s="9" t="n">
        <x:f>COUNTIFS('Residual Schedule'!$C$7:$C$98,"Closure",'Residual Schedule'!$H$7:$H$98,"&lt;="&amp;B139,'Residual Schedule'!$I$7:$I$98,"&gt;"&amp;B139)</x:f>
        <x:v>4</x:v>
      </x:c>
      <x:c r="D139" s="9" t="n">
        <x:f>COUNTIFS('Residual Schedule'!$C$7:$C$98,"Damage",'Residual Schedule'!$H$7:$H$98,"&lt;="&amp;B139,'Residual Schedule'!$I$7:$I$98,"&gt;"&amp;B139)</x:f>
        <x:v>3</x:v>
      </x:c>
      <x:c r="E139" s="9" t="n">
        <x:f>COUNTIFS('Residual Schedule'!$C$7:$C$98,"Closure",'Residual Schedule'!$I$7:$I$98,"&lt;="&amp;B139,'Residual Schedule'!$J$7:$J$98,"&gt;"&amp;B139)</x:f>
        <x:v>0</x:v>
      </x:c>
      <x:c r="F139" s="9" t="n">
        <x:f>COUNTIFS('Residual Schedule'!$C$7:$C$98,"Damage",'Residual Schedule'!$I$7:$I$98,"&lt;="&amp;B139,'Residual Schedule'!$J$7:$J$98,"&gt;"&amp;B139)</x:f>
        <x:v>0</x:v>
      </x:c>
      <x:c r="G139" s="9" t="n">
        <x:f>COUNTIFS('Residual Schedule'!$C$7:$C$98,"Closure",'Residual Schedule'!$J$7:$J$98,"&lt;="&amp;B139)</x:f>
        <x:v>40</x:v>
      </x:c>
      <x:c r="H139" s="9" t="n">
        <x:f>COUNTIFS('Residual Schedule'!$C$7:$C$98,"Damage",'Residual Schedule'!$J$7:$J$98,"&lt;="&amp;B139)</x:f>
        <x:v>15</x:v>
      </x:c>
      <x:c r="I139" s="9" t="str">
        <x:f>IF(C139&lt;='Method Controls'!$D$27,"PASS","FAIL")</x:f>
        <x:v>PASS</x:v>
      </x:c>
      <x:c r="J139" s="9" t="str">
        <x:f>IF(D139&lt;='Method Controls'!$D$28,"PASS","FAIL")</x:f>
        <x:v>PASS</x:v>
      </x:c>
      <x:c r="K139" s="9" t="str">
        <x:f>IF(AND(E139&lt;='Method Controls'!$D$27,F139&lt;='Method Controls'!$D$28),"PASS","FAIL")</x:f>
        <x:v>PASS</x:v>
      </x:c>
      <x:c r="L139" s="9" t="str">
        <x:f>IF(AND(I139="PASS",J139="PASS",K139="PASS"),"PASS","FAIL")</x:f>
        <x:v>PASS</x:v>
      </x:c>
    </x:row>
    <x:row r="140">
      <x:c r="B140" s="9" t="n">
        <x:v>224</x:v>
      </x:c>
      <x:c r="C140" s="9" t="n">
        <x:f>COUNTIFS('Residual Schedule'!$C$7:$C$98,"Closure",'Residual Schedule'!$H$7:$H$98,"&lt;="&amp;B140,'Residual Schedule'!$I$7:$I$98,"&gt;"&amp;B140)</x:f>
        <x:v>4</x:v>
      </x:c>
      <x:c r="D140" s="9" t="n">
        <x:f>COUNTIFS('Residual Schedule'!$C$7:$C$98,"Damage",'Residual Schedule'!$H$7:$H$98,"&lt;="&amp;B140,'Residual Schedule'!$I$7:$I$98,"&gt;"&amp;B140)</x:f>
        <x:v>3</x:v>
      </x:c>
      <x:c r="E140" s="9" t="n">
        <x:f>COUNTIFS('Residual Schedule'!$C$7:$C$98,"Closure",'Residual Schedule'!$I$7:$I$98,"&lt;="&amp;B140,'Residual Schedule'!$J$7:$J$98,"&gt;"&amp;B140)</x:f>
        <x:v>0</x:v>
      </x:c>
      <x:c r="F140" s="9" t="n">
        <x:f>COUNTIFS('Residual Schedule'!$C$7:$C$98,"Damage",'Residual Schedule'!$I$7:$I$98,"&lt;="&amp;B140,'Residual Schedule'!$J$7:$J$98,"&gt;"&amp;B140)</x:f>
        <x:v>0</x:v>
      </x:c>
      <x:c r="G140" s="9" t="n">
        <x:f>COUNTIFS('Residual Schedule'!$C$7:$C$98,"Closure",'Residual Schedule'!$J$7:$J$98,"&lt;="&amp;B140)</x:f>
        <x:v>40</x:v>
      </x:c>
      <x:c r="H140" s="9" t="n">
        <x:f>COUNTIFS('Residual Schedule'!$C$7:$C$98,"Damage",'Residual Schedule'!$J$7:$J$98,"&lt;="&amp;B140)</x:f>
        <x:v>15</x:v>
      </x:c>
      <x:c r="I140" s="9" t="str">
        <x:f>IF(C140&lt;='Method Controls'!$D$27,"PASS","FAIL")</x:f>
        <x:v>PASS</x:v>
      </x:c>
      <x:c r="J140" s="9" t="str">
        <x:f>IF(D140&lt;='Method Controls'!$D$28,"PASS","FAIL")</x:f>
        <x:v>PASS</x:v>
      </x:c>
      <x:c r="K140" s="9" t="str">
        <x:f>IF(AND(E140&lt;='Method Controls'!$D$27,F140&lt;='Method Controls'!$D$28),"PASS","FAIL")</x:f>
        <x:v>PASS</x:v>
      </x:c>
      <x:c r="L140" s="9" t="str">
        <x:f>IF(AND(I140="PASS",J140="PASS",K140="PASS"),"PASS","FAIL")</x:f>
        <x:v>PASS</x:v>
      </x:c>
    </x:row>
    <x:row r="141">
      <x:c r="B141" s="9" t="n">
        <x:v>225</x:v>
      </x:c>
      <x:c r="C141" s="9" t="n">
        <x:f>COUNTIFS('Residual Schedule'!$C$7:$C$98,"Closure",'Residual Schedule'!$H$7:$H$98,"&lt;="&amp;B141,'Residual Schedule'!$I$7:$I$98,"&gt;"&amp;B141)</x:f>
        <x:v>4</x:v>
      </x:c>
      <x:c r="D141" s="9" t="n">
        <x:f>COUNTIFS('Residual Schedule'!$C$7:$C$98,"Damage",'Residual Schedule'!$H$7:$H$98,"&lt;="&amp;B141,'Residual Schedule'!$I$7:$I$98,"&gt;"&amp;B141)</x:f>
        <x:v>3</x:v>
      </x:c>
      <x:c r="E141" s="9" t="n">
        <x:f>COUNTIFS('Residual Schedule'!$C$7:$C$98,"Closure",'Residual Schedule'!$I$7:$I$98,"&lt;="&amp;B141,'Residual Schedule'!$J$7:$J$98,"&gt;"&amp;B141)</x:f>
        <x:v>0</x:v>
      </x:c>
      <x:c r="F141" s="9" t="n">
        <x:f>COUNTIFS('Residual Schedule'!$C$7:$C$98,"Damage",'Residual Schedule'!$I$7:$I$98,"&lt;="&amp;B141,'Residual Schedule'!$J$7:$J$98,"&gt;"&amp;B141)</x:f>
        <x:v>0</x:v>
      </x:c>
      <x:c r="G141" s="9" t="n">
        <x:f>COUNTIFS('Residual Schedule'!$C$7:$C$98,"Closure",'Residual Schedule'!$J$7:$J$98,"&lt;="&amp;B141)</x:f>
        <x:v>40</x:v>
      </x:c>
      <x:c r="H141" s="9" t="n">
        <x:f>COUNTIFS('Residual Schedule'!$C$7:$C$98,"Damage",'Residual Schedule'!$J$7:$J$98,"&lt;="&amp;B141)</x:f>
        <x:v>15</x:v>
      </x:c>
      <x:c r="I141" s="9" t="str">
        <x:f>IF(C141&lt;='Method Controls'!$D$27,"PASS","FAIL")</x:f>
        <x:v>PASS</x:v>
      </x:c>
      <x:c r="J141" s="9" t="str">
        <x:f>IF(D141&lt;='Method Controls'!$D$28,"PASS","FAIL")</x:f>
        <x:v>PASS</x:v>
      </x:c>
      <x:c r="K141" s="9" t="str">
        <x:f>IF(AND(E141&lt;='Method Controls'!$D$27,F141&lt;='Method Controls'!$D$28),"PASS","FAIL")</x:f>
        <x:v>PASS</x:v>
      </x:c>
      <x:c r="L141" s="9" t="str">
        <x:f>IF(AND(I141="PASS",J141="PASS",K141="PASS"),"PASS","FAIL")</x:f>
        <x:v>PASS</x:v>
      </x:c>
    </x:row>
    <x:row r="142">
      <x:c r="B142" s="9" t="n">
        <x:v>226</x:v>
      </x:c>
      <x:c r="C142" s="9" t="n">
        <x:f>COUNTIFS('Residual Schedule'!$C$7:$C$98,"Closure",'Residual Schedule'!$H$7:$H$98,"&lt;="&amp;B142,'Residual Schedule'!$I$7:$I$98,"&gt;"&amp;B142)</x:f>
        <x:v>4</x:v>
      </x:c>
      <x:c r="D142" s="9" t="n">
        <x:f>COUNTIFS('Residual Schedule'!$C$7:$C$98,"Damage",'Residual Schedule'!$H$7:$H$98,"&lt;="&amp;B142,'Residual Schedule'!$I$7:$I$98,"&gt;"&amp;B142)</x:f>
        <x:v>3</x:v>
      </x:c>
      <x:c r="E142" s="9" t="n">
        <x:f>COUNTIFS('Residual Schedule'!$C$7:$C$98,"Closure",'Residual Schedule'!$I$7:$I$98,"&lt;="&amp;B142,'Residual Schedule'!$J$7:$J$98,"&gt;"&amp;B142)</x:f>
        <x:v>0</x:v>
      </x:c>
      <x:c r="F142" s="9" t="n">
        <x:f>COUNTIFS('Residual Schedule'!$C$7:$C$98,"Damage",'Residual Schedule'!$I$7:$I$98,"&lt;="&amp;B142,'Residual Schedule'!$J$7:$J$98,"&gt;"&amp;B142)</x:f>
        <x:v>0</x:v>
      </x:c>
      <x:c r="G142" s="9" t="n">
        <x:f>COUNTIFS('Residual Schedule'!$C$7:$C$98,"Closure",'Residual Schedule'!$J$7:$J$98,"&lt;="&amp;B142)</x:f>
        <x:v>40</x:v>
      </x:c>
      <x:c r="H142" s="9" t="n">
        <x:f>COUNTIFS('Residual Schedule'!$C$7:$C$98,"Damage",'Residual Schedule'!$J$7:$J$98,"&lt;="&amp;B142)</x:f>
        <x:v>15</x:v>
      </x:c>
      <x:c r="I142" s="9" t="str">
        <x:f>IF(C142&lt;='Method Controls'!$D$27,"PASS","FAIL")</x:f>
        <x:v>PASS</x:v>
      </x:c>
      <x:c r="J142" s="9" t="str">
        <x:f>IF(D142&lt;='Method Controls'!$D$28,"PASS","FAIL")</x:f>
        <x:v>PASS</x:v>
      </x:c>
      <x:c r="K142" s="9" t="str">
        <x:f>IF(AND(E142&lt;='Method Controls'!$D$27,F142&lt;='Method Controls'!$D$28),"PASS","FAIL")</x:f>
        <x:v>PASS</x:v>
      </x:c>
      <x:c r="L142" s="9" t="str">
        <x:f>IF(AND(I142="PASS",J142="PASS",K142="PASS"),"PASS","FAIL")</x:f>
        <x:v>PASS</x:v>
      </x:c>
    </x:row>
    <x:row r="143">
      <x:c r="B143" s="9" t="n">
        <x:v>227</x:v>
      </x:c>
      <x:c r="C143" s="9" t="n">
        <x:f>COUNTIFS('Residual Schedule'!$C$7:$C$98,"Closure",'Residual Schedule'!$H$7:$H$98,"&lt;="&amp;B143,'Residual Schedule'!$I$7:$I$98,"&gt;"&amp;B143)</x:f>
        <x:v>4</x:v>
      </x:c>
      <x:c r="D143" s="9" t="n">
        <x:f>COUNTIFS('Residual Schedule'!$C$7:$C$98,"Damage",'Residual Schedule'!$H$7:$H$98,"&lt;="&amp;B143,'Residual Schedule'!$I$7:$I$98,"&gt;"&amp;B143)</x:f>
        <x:v>3</x:v>
      </x:c>
      <x:c r="E143" s="9" t="n">
        <x:f>COUNTIFS('Residual Schedule'!$C$7:$C$98,"Closure",'Residual Schedule'!$I$7:$I$98,"&lt;="&amp;B143,'Residual Schedule'!$J$7:$J$98,"&gt;"&amp;B143)</x:f>
        <x:v>0</x:v>
      </x:c>
      <x:c r="F143" s="9" t="n">
        <x:f>COUNTIFS('Residual Schedule'!$C$7:$C$98,"Damage",'Residual Schedule'!$I$7:$I$98,"&lt;="&amp;B143,'Residual Schedule'!$J$7:$J$98,"&gt;"&amp;B143)</x:f>
        <x:v>0</x:v>
      </x:c>
      <x:c r="G143" s="9" t="n">
        <x:f>COUNTIFS('Residual Schedule'!$C$7:$C$98,"Closure",'Residual Schedule'!$J$7:$J$98,"&lt;="&amp;B143)</x:f>
        <x:v>40</x:v>
      </x:c>
      <x:c r="H143" s="9" t="n">
        <x:f>COUNTIFS('Residual Schedule'!$C$7:$C$98,"Damage",'Residual Schedule'!$J$7:$J$98,"&lt;="&amp;B143)</x:f>
        <x:v>15</x:v>
      </x:c>
      <x:c r="I143" s="9" t="str">
        <x:f>IF(C143&lt;='Method Controls'!$D$27,"PASS","FAIL")</x:f>
        <x:v>PASS</x:v>
      </x:c>
      <x:c r="J143" s="9" t="str">
        <x:f>IF(D143&lt;='Method Controls'!$D$28,"PASS","FAIL")</x:f>
        <x:v>PASS</x:v>
      </x:c>
      <x:c r="K143" s="9" t="str">
        <x:f>IF(AND(E143&lt;='Method Controls'!$D$27,F143&lt;='Method Controls'!$D$28),"PASS","FAIL")</x:f>
        <x:v>PASS</x:v>
      </x:c>
      <x:c r="L143" s="9" t="str">
        <x:f>IF(AND(I143="PASS",J143="PASS",K143="PASS"),"PASS","FAIL")</x:f>
        <x:v>PASS</x:v>
      </x:c>
    </x:row>
    <x:row r="144">
      <x:c r="B144" s="9" t="n">
        <x:v>228</x:v>
      </x:c>
      <x:c r="C144" s="9" t="n">
        <x:f>COUNTIFS('Residual Schedule'!$C$7:$C$98,"Closure",'Residual Schedule'!$H$7:$H$98,"&lt;="&amp;B144,'Residual Schedule'!$I$7:$I$98,"&gt;"&amp;B144)</x:f>
        <x:v>4</x:v>
      </x:c>
      <x:c r="D144" s="9" t="n">
        <x:f>COUNTIFS('Residual Schedule'!$C$7:$C$98,"Damage",'Residual Schedule'!$H$7:$H$98,"&lt;="&amp;B144,'Residual Schedule'!$I$7:$I$98,"&gt;"&amp;B144)</x:f>
        <x:v>3</x:v>
      </x:c>
      <x:c r="E144" s="9" t="n">
        <x:f>COUNTIFS('Residual Schedule'!$C$7:$C$98,"Closure",'Residual Schedule'!$I$7:$I$98,"&lt;="&amp;B144,'Residual Schedule'!$J$7:$J$98,"&gt;"&amp;B144)</x:f>
        <x:v>0</x:v>
      </x:c>
      <x:c r="F144" s="9" t="n">
        <x:f>COUNTIFS('Residual Schedule'!$C$7:$C$98,"Damage",'Residual Schedule'!$I$7:$I$98,"&lt;="&amp;B144,'Residual Schedule'!$J$7:$J$98,"&gt;"&amp;B144)</x:f>
        <x:v>0</x:v>
      </x:c>
      <x:c r="G144" s="9" t="n">
        <x:f>COUNTIFS('Residual Schedule'!$C$7:$C$98,"Closure",'Residual Schedule'!$J$7:$J$98,"&lt;="&amp;B144)</x:f>
        <x:v>40</x:v>
      </x:c>
      <x:c r="H144" s="9" t="n">
        <x:f>COUNTIFS('Residual Schedule'!$C$7:$C$98,"Damage",'Residual Schedule'!$J$7:$J$98,"&lt;="&amp;B144)</x:f>
        <x:v>15</x:v>
      </x:c>
      <x:c r="I144" s="9" t="str">
        <x:f>IF(C144&lt;='Method Controls'!$D$27,"PASS","FAIL")</x:f>
        <x:v>PASS</x:v>
      </x:c>
      <x:c r="J144" s="9" t="str">
        <x:f>IF(D144&lt;='Method Controls'!$D$28,"PASS","FAIL")</x:f>
        <x:v>PASS</x:v>
      </x:c>
      <x:c r="K144" s="9" t="str">
        <x:f>IF(AND(E144&lt;='Method Controls'!$D$27,F144&lt;='Method Controls'!$D$28),"PASS","FAIL")</x:f>
        <x:v>PASS</x:v>
      </x:c>
      <x:c r="L144" s="9" t="str">
        <x:f>IF(AND(I144="PASS",J144="PASS",K144="PASS"),"PASS","FAIL")</x:f>
        <x:v>PASS</x:v>
      </x:c>
    </x:row>
    <x:row r="145">
      <x:c r="B145" s="9" t="n">
        <x:v>229</x:v>
      </x:c>
      <x:c r="C145" s="9" t="n">
        <x:f>COUNTIFS('Residual Schedule'!$C$7:$C$98,"Closure",'Residual Schedule'!$H$7:$H$98,"&lt;="&amp;B145,'Residual Schedule'!$I$7:$I$98,"&gt;"&amp;B145)</x:f>
        <x:v>4</x:v>
      </x:c>
      <x:c r="D145" s="9" t="n">
        <x:f>COUNTIFS('Residual Schedule'!$C$7:$C$98,"Damage",'Residual Schedule'!$H$7:$H$98,"&lt;="&amp;B145,'Residual Schedule'!$I$7:$I$98,"&gt;"&amp;B145)</x:f>
        <x:v>3</x:v>
      </x:c>
      <x:c r="E145" s="9" t="n">
        <x:f>COUNTIFS('Residual Schedule'!$C$7:$C$98,"Closure",'Residual Schedule'!$I$7:$I$98,"&lt;="&amp;B145,'Residual Schedule'!$J$7:$J$98,"&gt;"&amp;B145)</x:f>
        <x:v>0</x:v>
      </x:c>
      <x:c r="F145" s="9" t="n">
        <x:f>COUNTIFS('Residual Schedule'!$C$7:$C$98,"Damage",'Residual Schedule'!$I$7:$I$98,"&lt;="&amp;B145,'Residual Schedule'!$J$7:$J$98,"&gt;"&amp;B145)</x:f>
        <x:v>0</x:v>
      </x:c>
      <x:c r="G145" s="9" t="n">
        <x:f>COUNTIFS('Residual Schedule'!$C$7:$C$98,"Closure",'Residual Schedule'!$J$7:$J$98,"&lt;="&amp;B145)</x:f>
        <x:v>40</x:v>
      </x:c>
      <x:c r="H145" s="9" t="n">
        <x:f>COUNTIFS('Residual Schedule'!$C$7:$C$98,"Damage",'Residual Schedule'!$J$7:$J$98,"&lt;="&amp;B145)</x:f>
        <x:v>15</x:v>
      </x:c>
      <x:c r="I145" s="9" t="str">
        <x:f>IF(C145&lt;='Method Controls'!$D$27,"PASS","FAIL")</x:f>
        <x:v>PASS</x:v>
      </x:c>
      <x:c r="J145" s="9" t="str">
        <x:f>IF(D145&lt;='Method Controls'!$D$28,"PASS","FAIL")</x:f>
        <x:v>PASS</x:v>
      </x:c>
      <x:c r="K145" s="9" t="str">
        <x:f>IF(AND(E145&lt;='Method Controls'!$D$27,F145&lt;='Method Controls'!$D$28),"PASS","FAIL")</x:f>
        <x:v>PASS</x:v>
      </x:c>
      <x:c r="L145" s="9" t="str">
        <x:f>IF(AND(I145="PASS",J145="PASS",K145="PASS"),"PASS","FAIL")</x:f>
        <x:v>PASS</x:v>
      </x:c>
    </x:row>
    <x:row r="146">
      <x:c r="B146" s="9" t="n">
        <x:v>230</x:v>
      </x:c>
      <x:c r="C146" s="9" t="n">
        <x:f>COUNTIFS('Residual Schedule'!$C$7:$C$98,"Closure",'Residual Schedule'!$H$7:$H$98,"&lt;="&amp;B146,'Residual Schedule'!$I$7:$I$98,"&gt;"&amp;B146)</x:f>
        <x:v>0</x:v>
      </x:c>
      <x:c r="D146" s="9" t="n">
        <x:f>COUNTIFS('Residual Schedule'!$C$7:$C$98,"Damage",'Residual Schedule'!$H$7:$H$98,"&lt;="&amp;B146,'Residual Schedule'!$I$7:$I$98,"&gt;"&amp;B146)</x:f>
        <x:v>3</x:v>
      </x:c>
      <x:c r="E146" s="9" t="n">
        <x:f>COUNTIFS('Residual Schedule'!$C$7:$C$98,"Closure",'Residual Schedule'!$I$7:$I$98,"&lt;="&amp;B146,'Residual Schedule'!$J$7:$J$98,"&gt;"&amp;B146)</x:f>
        <x:v>4</x:v>
      </x:c>
      <x:c r="F146" s="9" t="n">
        <x:f>COUNTIFS('Residual Schedule'!$C$7:$C$98,"Damage",'Residual Schedule'!$I$7:$I$98,"&lt;="&amp;B146,'Residual Schedule'!$J$7:$J$98,"&gt;"&amp;B146)</x:f>
        <x:v>0</x:v>
      </x:c>
      <x:c r="G146" s="9" t="n">
        <x:f>COUNTIFS('Residual Schedule'!$C$7:$C$98,"Closure",'Residual Schedule'!$J$7:$J$98,"&lt;="&amp;B146)</x:f>
        <x:v>40</x:v>
      </x:c>
      <x:c r="H146" s="9" t="n">
        <x:f>COUNTIFS('Residual Schedule'!$C$7:$C$98,"Damage",'Residual Schedule'!$J$7:$J$98,"&lt;="&amp;B146)</x:f>
        <x:v>15</x:v>
      </x:c>
      <x:c r="I146" s="9" t="str">
        <x:f>IF(C146&lt;='Method Controls'!$D$27,"PASS","FAIL")</x:f>
        <x:v>PASS</x:v>
      </x:c>
      <x:c r="J146" s="9" t="str">
        <x:f>IF(D146&lt;='Method Controls'!$D$28,"PASS","FAIL")</x:f>
        <x:v>PASS</x:v>
      </x:c>
      <x:c r="K146" s="9" t="str">
        <x:f>IF(AND(E146&lt;='Method Controls'!$D$27,F146&lt;='Method Controls'!$D$28),"PASS","FAIL")</x:f>
        <x:v>PASS</x:v>
      </x:c>
      <x:c r="L146" s="9" t="str">
        <x:f>IF(AND(I146="PASS",J146="PASS",K146="PASS"),"PASS","FAIL")</x:f>
        <x:v>PASS</x:v>
      </x:c>
    </x:row>
    <x:row r="147">
      <x:c r="B147" s="9" t="n">
        <x:v>231</x:v>
      </x:c>
      <x:c r="C147" s="9" t="n">
        <x:f>COUNTIFS('Residual Schedule'!$C$7:$C$98,"Closure",'Residual Schedule'!$H$7:$H$98,"&lt;="&amp;B147,'Residual Schedule'!$I$7:$I$98,"&gt;"&amp;B147)</x:f>
        <x:v>0</x:v>
      </x:c>
      <x:c r="D147" s="9" t="n">
        <x:f>COUNTIFS('Residual Schedule'!$C$7:$C$98,"Damage",'Residual Schedule'!$H$7:$H$98,"&lt;="&amp;B147,'Residual Schedule'!$I$7:$I$98,"&gt;"&amp;B147)</x:f>
        <x:v>3</x:v>
      </x:c>
      <x:c r="E147" s="9" t="n">
        <x:f>COUNTIFS('Residual Schedule'!$C$7:$C$98,"Closure",'Residual Schedule'!$I$7:$I$98,"&lt;="&amp;B147,'Residual Schedule'!$J$7:$J$98,"&gt;"&amp;B147)</x:f>
        <x:v>4</x:v>
      </x:c>
      <x:c r="F147" s="9" t="n">
        <x:f>COUNTIFS('Residual Schedule'!$C$7:$C$98,"Damage",'Residual Schedule'!$I$7:$I$98,"&lt;="&amp;B147,'Residual Schedule'!$J$7:$J$98,"&gt;"&amp;B147)</x:f>
        <x:v>0</x:v>
      </x:c>
      <x:c r="G147" s="9" t="n">
        <x:f>COUNTIFS('Residual Schedule'!$C$7:$C$98,"Closure",'Residual Schedule'!$J$7:$J$98,"&lt;="&amp;B147)</x:f>
        <x:v>40</x:v>
      </x:c>
      <x:c r="H147" s="9" t="n">
        <x:f>COUNTIFS('Residual Schedule'!$C$7:$C$98,"Damage",'Residual Schedule'!$J$7:$J$98,"&lt;="&amp;B147)</x:f>
        <x:v>15</x:v>
      </x:c>
      <x:c r="I147" s="9" t="str">
        <x:f>IF(C147&lt;='Method Controls'!$D$27,"PASS","FAIL")</x:f>
        <x:v>PASS</x:v>
      </x:c>
      <x:c r="J147" s="9" t="str">
        <x:f>IF(D147&lt;='Method Controls'!$D$28,"PASS","FAIL")</x:f>
        <x:v>PASS</x:v>
      </x:c>
      <x:c r="K147" s="9" t="str">
        <x:f>IF(AND(E147&lt;='Method Controls'!$D$27,F147&lt;='Method Controls'!$D$28),"PASS","FAIL")</x:f>
        <x:v>PASS</x:v>
      </x:c>
      <x:c r="L147" s="9" t="str">
        <x:f>IF(AND(I147="PASS",J147="PASS",K147="PASS"),"PASS","FAIL")</x:f>
        <x:v>PASS</x:v>
      </x:c>
    </x:row>
    <x:row r="148">
      <x:c r="B148" s="9" t="n">
        <x:v>232</x:v>
      </x:c>
      <x:c r="C148" s="9" t="n">
        <x:f>COUNTIFS('Residual Schedule'!$C$7:$C$98,"Closure",'Residual Schedule'!$H$7:$H$98,"&lt;="&amp;B148,'Residual Schedule'!$I$7:$I$98,"&gt;"&amp;B148)</x:f>
        <x:v>0</x:v>
      </x:c>
      <x:c r="D148" s="9" t="n">
        <x:f>COUNTIFS('Residual Schedule'!$C$7:$C$98,"Damage",'Residual Schedule'!$H$7:$H$98,"&lt;="&amp;B148,'Residual Schedule'!$I$7:$I$98,"&gt;"&amp;B148)</x:f>
        <x:v>0</x:v>
      </x:c>
      <x:c r="E148" s="9" t="n">
        <x:f>COUNTIFS('Residual Schedule'!$C$7:$C$98,"Closure",'Residual Schedule'!$I$7:$I$98,"&lt;="&amp;B148,'Residual Schedule'!$J$7:$J$98,"&gt;"&amp;B148)</x:f>
        <x:v>4</x:v>
      </x:c>
      <x:c r="F148" s="9" t="n">
        <x:f>COUNTIFS('Residual Schedule'!$C$7:$C$98,"Damage",'Residual Schedule'!$I$7:$I$98,"&lt;="&amp;B148,'Residual Schedule'!$J$7:$J$98,"&gt;"&amp;B148)</x:f>
        <x:v>3</x:v>
      </x:c>
      <x:c r="G148" s="9" t="n">
        <x:f>COUNTIFS('Residual Schedule'!$C$7:$C$98,"Closure",'Residual Schedule'!$J$7:$J$98,"&lt;="&amp;B148)</x:f>
        <x:v>40</x:v>
      </x:c>
      <x:c r="H148" s="9" t="n">
        <x:f>COUNTIFS('Residual Schedule'!$C$7:$C$98,"Damage",'Residual Schedule'!$J$7:$J$98,"&lt;="&amp;B148)</x:f>
        <x:v>15</x:v>
      </x:c>
      <x:c r="I148" s="9" t="str">
        <x:f>IF(C148&lt;='Method Controls'!$D$27,"PASS","FAIL")</x:f>
        <x:v>PASS</x:v>
      </x:c>
      <x:c r="J148" s="9" t="str">
        <x:f>IF(D148&lt;='Method Controls'!$D$28,"PASS","FAIL")</x:f>
        <x:v>PASS</x:v>
      </x:c>
      <x:c r="K148" s="9" t="str">
        <x:f>IF(AND(E148&lt;='Method Controls'!$D$27,F148&lt;='Method Controls'!$D$28),"PASS","FAIL")</x:f>
        <x:v>PASS</x:v>
      </x:c>
      <x:c r="L148" s="9" t="str">
        <x:f>IF(AND(I148="PASS",J148="PASS",K148="PASS"),"PASS","FAIL")</x:f>
        <x:v>PASS</x:v>
      </x:c>
    </x:row>
    <x:row r="149">
      <x:c r="B149" s="9" t="n">
        <x:v>233</x:v>
      </x:c>
      <x:c r="C149" s="9" t="n">
        <x:f>COUNTIFS('Residual Schedule'!$C$7:$C$98,"Closure",'Residual Schedule'!$H$7:$H$98,"&lt;="&amp;B149,'Residual Schedule'!$I$7:$I$98,"&gt;"&amp;B149)</x:f>
        <x:v>0</x:v>
      </x:c>
      <x:c r="D149" s="9" t="n">
        <x:f>COUNTIFS('Residual Schedule'!$C$7:$C$98,"Damage",'Residual Schedule'!$H$7:$H$98,"&lt;="&amp;B149,'Residual Schedule'!$I$7:$I$98,"&gt;"&amp;B149)</x:f>
        <x:v>0</x:v>
      </x:c>
      <x:c r="E149" s="9" t="n">
        <x:f>COUNTIFS('Residual Schedule'!$C$7:$C$98,"Closure",'Residual Schedule'!$I$7:$I$98,"&lt;="&amp;B149,'Residual Schedule'!$J$7:$J$98,"&gt;"&amp;B149)</x:f>
        <x:v>4</x:v>
      </x:c>
      <x:c r="F149" s="9" t="n">
        <x:f>COUNTIFS('Residual Schedule'!$C$7:$C$98,"Damage",'Residual Schedule'!$I$7:$I$98,"&lt;="&amp;B149,'Residual Schedule'!$J$7:$J$98,"&gt;"&amp;B149)</x:f>
        <x:v>3</x:v>
      </x:c>
      <x:c r="G149" s="9" t="n">
        <x:f>COUNTIFS('Residual Schedule'!$C$7:$C$98,"Closure",'Residual Schedule'!$J$7:$J$98,"&lt;="&amp;B149)</x:f>
        <x:v>40</x:v>
      </x:c>
      <x:c r="H149" s="9" t="n">
        <x:f>COUNTIFS('Residual Schedule'!$C$7:$C$98,"Damage",'Residual Schedule'!$J$7:$J$98,"&lt;="&amp;B149)</x:f>
        <x:v>15</x:v>
      </x:c>
      <x:c r="I149" s="9" t="str">
        <x:f>IF(C149&lt;='Method Controls'!$D$27,"PASS","FAIL")</x:f>
        <x:v>PASS</x:v>
      </x:c>
      <x:c r="J149" s="9" t="str">
        <x:f>IF(D149&lt;='Method Controls'!$D$28,"PASS","FAIL")</x:f>
        <x:v>PASS</x:v>
      </x:c>
      <x:c r="K149" s="9" t="str">
        <x:f>IF(AND(E149&lt;='Method Controls'!$D$27,F149&lt;='Method Controls'!$D$28),"PASS","FAIL")</x:f>
        <x:v>PASS</x:v>
      </x:c>
      <x:c r="L149" s="9" t="str">
        <x:f>IF(AND(I149="PASS",J149="PASS",K149="PASS"),"PASS","FAIL")</x:f>
        <x:v>PASS</x:v>
      </x:c>
    </x:row>
    <x:row r="150">
      <x:c r="B150" s="9" t="n">
        <x:v>234</x:v>
      </x:c>
      <x:c r="C150" s="9" t="n">
        <x:f>COUNTIFS('Residual Schedule'!$C$7:$C$98,"Closure",'Residual Schedule'!$H$7:$H$98,"&lt;="&amp;B150,'Residual Schedule'!$I$7:$I$98,"&gt;"&amp;B150)</x:f>
        <x:v>4</x:v>
      </x:c>
      <x:c r="D150" s="9" t="n">
        <x:f>COUNTIFS('Residual Schedule'!$C$7:$C$98,"Damage",'Residual Schedule'!$H$7:$H$98,"&lt;="&amp;B150,'Residual Schedule'!$I$7:$I$98,"&gt;"&amp;B150)</x:f>
        <x:v>0</x:v>
      </x:c>
      <x:c r="E150" s="9" t="n">
        <x:f>COUNTIFS('Residual Schedule'!$C$7:$C$98,"Closure",'Residual Schedule'!$I$7:$I$98,"&lt;="&amp;B150,'Residual Schedule'!$J$7:$J$98,"&gt;"&amp;B150)</x:f>
        <x:v>4</x:v>
      </x:c>
      <x:c r="F150" s="9" t="n">
        <x:f>COUNTIFS('Residual Schedule'!$C$7:$C$98,"Damage",'Residual Schedule'!$I$7:$I$98,"&lt;="&amp;B150,'Residual Schedule'!$J$7:$J$98,"&gt;"&amp;B150)</x:f>
        <x:v>3</x:v>
      </x:c>
      <x:c r="G150" s="9" t="n">
        <x:f>COUNTIFS('Residual Schedule'!$C$7:$C$98,"Closure",'Residual Schedule'!$J$7:$J$98,"&lt;="&amp;B150)</x:f>
        <x:v>40</x:v>
      </x:c>
      <x:c r="H150" s="9" t="n">
        <x:f>COUNTIFS('Residual Schedule'!$C$7:$C$98,"Damage",'Residual Schedule'!$J$7:$J$98,"&lt;="&amp;B150)</x:f>
        <x:v>15</x:v>
      </x:c>
      <x:c r="I150" s="9" t="str">
        <x:f>IF(C150&lt;='Method Controls'!$D$27,"PASS","FAIL")</x:f>
        <x:v>PASS</x:v>
      </x:c>
      <x:c r="J150" s="9" t="str">
        <x:f>IF(D150&lt;='Method Controls'!$D$28,"PASS","FAIL")</x:f>
        <x:v>PASS</x:v>
      </x:c>
      <x:c r="K150" s="9" t="str">
        <x:f>IF(AND(E150&lt;='Method Controls'!$D$27,F150&lt;='Method Controls'!$D$28),"PASS","FAIL")</x:f>
        <x:v>PASS</x:v>
      </x:c>
      <x:c r="L150" s="9" t="str">
        <x:f>IF(AND(I150="PASS",J150="PASS",K150="PASS"),"PASS","FAIL")</x:f>
        <x:v>PASS</x:v>
      </x:c>
    </x:row>
    <x:row r="151">
      <x:c r="B151" s="9" t="n">
        <x:v>235</x:v>
      </x:c>
      <x:c r="C151" s="9" t="n">
        <x:f>COUNTIFS('Residual Schedule'!$C$7:$C$98,"Closure",'Residual Schedule'!$H$7:$H$98,"&lt;="&amp;B151,'Residual Schedule'!$I$7:$I$98,"&gt;"&amp;B151)</x:f>
        <x:v>4</x:v>
      </x:c>
      <x:c r="D151" s="9" t="n">
        <x:f>COUNTIFS('Residual Schedule'!$C$7:$C$98,"Damage",'Residual Schedule'!$H$7:$H$98,"&lt;="&amp;B151,'Residual Schedule'!$I$7:$I$98,"&gt;"&amp;B151)</x:f>
        <x:v>0</x:v>
      </x:c>
      <x:c r="E151" s="9" t="n">
        <x:f>COUNTIFS('Residual Schedule'!$C$7:$C$98,"Closure",'Residual Schedule'!$I$7:$I$98,"&lt;="&amp;B151,'Residual Schedule'!$J$7:$J$98,"&gt;"&amp;B151)</x:f>
        <x:v>4</x:v>
      </x:c>
      <x:c r="F151" s="9" t="n">
        <x:f>COUNTIFS('Residual Schedule'!$C$7:$C$98,"Damage",'Residual Schedule'!$I$7:$I$98,"&lt;="&amp;B151,'Residual Schedule'!$J$7:$J$98,"&gt;"&amp;B151)</x:f>
        <x:v>3</x:v>
      </x:c>
      <x:c r="G151" s="9" t="n">
        <x:f>COUNTIFS('Residual Schedule'!$C$7:$C$98,"Closure",'Residual Schedule'!$J$7:$J$98,"&lt;="&amp;B151)</x:f>
        <x:v>40</x:v>
      </x:c>
      <x:c r="H151" s="9" t="n">
        <x:f>COUNTIFS('Residual Schedule'!$C$7:$C$98,"Damage",'Residual Schedule'!$J$7:$J$98,"&lt;="&amp;B151)</x:f>
        <x:v>15</x:v>
      </x:c>
      <x:c r="I151" s="9" t="str">
        <x:f>IF(C151&lt;='Method Controls'!$D$27,"PASS","FAIL")</x:f>
        <x:v>PASS</x:v>
      </x:c>
      <x:c r="J151" s="9" t="str">
        <x:f>IF(D151&lt;='Method Controls'!$D$28,"PASS","FAIL")</x:f>
        <x:v>PASS</x:v>
      </x:c>
      <x:c r="K151" s="9" t="str">
        <x:f>IF(AND(E151&lt;='Method Controls'!$D$27,F151&lt;='Method Controls'!$D$28),"PASS","FAIL")</x:f>
        <x:v>PASS</x:v>
      </x:c>
      <x:c r="L151" s="9" t="str">
        <x:f>IF(AND(I151="PASS",J151="PASS",K151="PASS"),"PASS","FAIL")</x:f>
        <x:v>PASS</x:v>
      </x:c>
    </x:row>
    <x:row r="152">
      <x:c r="B152" s="9" t="n">
        <x:v>236</x:v>
      </x:c>
      <x:c r="C152" s="9" t="n">
        <x:f>COUNTIFS('Residual Schedule'!$C$7:$C$98,"Closure",'Residual Schedule'!$H$7:$H$98,"&lt;="&amp;B152,'Residual Schedule'!$I$7:$I$98,"&gt;"&amp;B152)</x:f>
        <x:v>4</x:v>
      </x:c>
      <x:c r="D152" s="9" t="n">
        <x:f>COUNTIFS('Residual Schedule'!$C$7:$C$98,"Damage",'Residual Schedule'!$H$7:$H$98,"&lt;="&amp;B152,'Residual Schedule'!$I$7:$I$98,"&gt;"&amp;B152)</x:f>
        <x:v>0</x:v>
      </x:c>
      <x:c r="E152" s="9" t="n">
        <x:f>COUNTIFS('Residual Schedule'!$C$7:$C$98,"Closure",'Residual Schedule'!$I$7:$I$98,"&lt;="&amp;B152,'Residual Schedule'!$J$7:$J$98,"&gt;"&amp;B152)</x:f>
        <x:v>0</x:v>
      </x:c>
      <x:c r="F152" s="9" t="n">
        <x:f>COUNTIFS('Residual Schedule'!$C$7:$C$98,"Damage",'Residual Schedule'!$I$7:$I$98,"&lt;="&amp;B152,'Residual Schedule'!$J$7:$J$98,"&gt;"&amp;B152)</x:f>
        <x:v>3</x:v>
      </x:c>
      <x:c r="G152" s="9" t="n">
        <x:f>COUNTIFS('Residual Schedule'!$C$7:$C$98,"Closure",'Residual Schedule'!$J$7:$J$98,"&lt;="&amp;B152)</x:f>
        <x:v>44</x:v>
      </x:c>
      <x:c r="H152" s="9" t="n">
        <x:f>COUNTIFS('Residual Schedule'!$C$7:$C$98,"Damage",'Residual Schedule'!$J$7:$J$98,"&lt;="&amp;B152)</x:f>
        <x:v>15</x:v>
      </x:c>
      <x:c r="I152" s="9" t="str">
        <x:f>IF(C152&lt;='Method Controls'!$D$27,"PASS","FAIL")</x:f>
        <x:v>PASS</x:v>
      </x:c>
      <x:c r="J152" s="9" t="str">
        <x:f>IF(D152&lt;='Method Controls'!$D$28,"PASS","FAIL")</x:f>
        <x:v>PASS</x:v>
      </x:c>
      <x:c r="K152" s="9" t="str">
        <x:f>IF(AND(E152&lt;='Method Controls'!$D$27,F152&lt;='Method Controls'!$D$28),"PASS","FAIL")</x:f>
        <x:v>PASS</x:v>
      </x:c>
      <x:c r="L152" s="9" t="str">
        <x:f>IF(AND(I152="PASS",J152="PASS",K152="PASS"),"PASS","FAIL")</x:f>
        <x:v>PASS</x:v>
      </x:c>
    </x:row>
    <x:row r="153">
      <x:c r="B153" s="9" t="n">
        <x:v>237</x:v>
      </x:c>
      <x:c r="C153" s="9" t="n">
        <x:f>COUNTIFS('Residual Schedule'!$C$7:$C$98,"Closure",'Residual Schedule'!$H$7:$H$98,"&lt;="&amp;B153,'Residual Schedule'!$I$7:$I$98,"&gt;"&amp;B153)</x:f>
        <x:v>4</x:v>
      </x:c>
      <x:c r="D153" s="9" t="n">
        <x:f>COUNTIFS('Residual Schedule'!$C$7:$C$98,"Damage",'Residual Schedule'!$H$7:$H$98,"&lt;="&amp;B153,'Residual Schedule'!$I$7:$I$98,"&gt;"&amp;B153)</x:f>
        <x:v>0</x:v>
      </x:c>
      <x:c r="E153" s="9" t="n">
        <x:f>COUNTIFS('Residual Schedule'!$C$7:$C$98,"Closure",'Residual Schedule'!$I$7:$I$98,"&lt;="&amp;B153,'Residual Schedule'!$J$7:$J$98,"&gt;"&amp;B153)</x:f>
        <x:v>0</x:v>
      </x:c>
      <x:c r="F153" s="9" t="n">
        <x:f>COUNTIFS('Residual Schedule'!$C$7:$C$98,"Damage",'Residual Schedule'!$I$7:$I$98,"&lt;="&amp;B153,'Residual Schedule'!$J$7:$J$98,"&gt;"&amp;B153)</x:f>
        <x:v>3</x:v>
      </x:c>
      <x:c r="G153" s="9" t="n">
        <x:f>COUNTIFS('Residual Schedule'!$C$7:$C$98,"Closure",'Residual Schedule'!$J$7:$J$98,"&lt;="&amp;B153)</x:f>
        <x:v>44</x:v>
      </x:c>
      <x:c r="H153" s="9" t="n">
        <x:f>COUNTIFS('Residual Schedule'!$C$7:$C$98,"Damage",'Residual Schedule'!$J$7:$J$98,"&lt;="&amp;B153)</x:f>
        <x:v>15</x:v>
      </x:c>
      <x:c r="I153" s="9" t="str">
        <x:f>IF(C153&lt;='Method Controls'!$D$27,"PASS","FAIL")</x:f>
        <x:v>PASS</x:v>
      </x:c>
      <x:c r="J153" s="9" t="str">
        <x:f>IF(D153&lt;='Method Controls'!$D$28,"PASS","FAIL")</x:f>
        <x:v>PASS</x:v>
      </x:c>
      <x:c r="K153" s="9" t="str">
        <x:f>IF(AND(E153&lt;='Method Controls'!$D$27,F153&lt;='Method Controls'!$D$28),"PASS","FAIL")</x:f>
        <x:v>PASS</x:v>
      </x:c>
      <x:c r="L153" s="9" t="str">
        <x:f>IF(AND(I153="PASS",J153="PASS",K153="PASS"),"PASS","FAIL")</x:f>
        <x:v>PASS</x:v>
      </x:c>
    </x:row>
    <x:row r="154">
      <x:c r="B154" s="9" t="n">
        <x:v>238</x:v>
      </x:c>
      <x:c r="C154" s="9" t="n">
        <x:f>COUNTIFS('Residual Schedule'!$C$7:$C$98,"Closure",'Residual Schedule'!$H$7:$H$98,"&lt;="&amp;B154,'Residual Schedule'!$I$7:$I$98,"&gt;"&amp;B154)</x:f>
        <x:v>4</x:v>
      </x:c>
      <x:c r="D154" s="9" t="n">
        <x:f>COUNTIFS('Residual Schedule'!$C$7:$C$98,"Damage",'Residual Schedule'!$H$7:$H$98,"&lt;="&amp;B154,'Residual Schedule'!$I$7:$I$98,"&gt;"&amp;B154)</x:f>
        <x:v>0</x:v>
      </x:c>
      <x:c r="E154" s="9" t="n">
        <x:f>COUNTIFS('Residual Schedule'!$C$7:$C$98,"Closure",'Residual Schedule'!$I$7:$I$98,"&lt;="&amp;B154,'Residual Schedule'!$J$7:$J$98,"&gt;"&amp;B154)</x:f>
        <x:v>0</x:v>
      </x:c>
      <x:c r="F154" s="9" t="n">
        <x:f>COUNTIFS('Residual Schedule'!$C$7:$C$98,"Damage",'Residual Schedule'!$I$7:$I$98,"&lt;="&amp;B154,'Residual Schedule'!$J$7:$J$98,"&gt;"&amp;B154)</x:f>
        <x:v>3</x:v>
      </x:c>
      <x:c r="G154" s="9" t="n">
        <x:f>COUNTIFS('Residual Schedule'!$C$7:$C$98,"Closure",'Residual Schedule'!$J$7:$J$98,"&lt;="&amp;B154)</x:f>
        <x:v>44</x:v>
      </x:c>
      <x:c r="H154" s="9" t="n">
        <x:f>COUNTIFS('Residual Schedule'!$C$7:$C$98,"Damage",'Residual Schedule'!$J$7:$J$98,"&lt;="&amp;B154)</x:f>
        <x:v>15</x:v>
      </x:c>
      <x:c r="I154" s="9" t="str">
        <x:f>IF(C154&lt;='Method Controls'!$D$27,"PASS","FAIL")</x:f>
        <x:v>PASS</x:v>
      </x:c>
      <x:c r="J154" s="9" t="str">
        <x:f>IF(D154&lt;='Method Controls'!$D$28,"PASS","FAIL")</x:f>
        <x:v>PASS</x:v>
      </x:c>
      <x:c r="K154" s="9" t="str">
        <x:f>IF(AND(E154&lt;='Method Controls'!$D$27,F154&lt;='Method Controls'!$D$28),"PASS","FAIL")</x:f>
        <x:v>PASS</x:v>
      </x:c>
      <x:c r="L154" s="9" t="str">
        <x:f>IF(AND(I154="PASS",J154="PASS",K154="PASS"),"PASS","FAIL")</x:f>
        <x:v>PASS</x:v>
      </x:c>
    </x:row>
    <x:row r="155">
      <x:c r="B155" s="9" t="n">
        <x:v>239</x:v>
      </x:c>
      <x:c r="C155" s="9" t="n">
        <x:f>COUNTIFS('Residual Schedule'!$C$7:$C$98,"Closure",'Residual Schedule'!$H$7:$H$98,"&lt;="&amp;B155,'Residual Schedule'!$I$7:$I$98,"&gt;"&amp;B155)</x:f>
        <x:v>4</x:v>
      </x:c>
      <x:c r="D155" s="9" t="n">
        <x:f>COUNTIFS('Residual Schedule'!$C$7:$C$98,"Damage",'Residual Schedule'!$H$7:$H$98,"&lt;="&amp;B155,'Residual Schedule'!$I$7:$I$98,"&gt;"&amp;B155)</x:f>
        <x:v>0</x:v>
      </x:c>
      <x:c r="E155" s="9" t="n">
        <x:f>COUNTIFS('Residual Schedule'!$C$7:$C$98,"Closure",'Residual Schedule'!$I$7:$I$98,"&lt;="&amp;B155,'Residual Schedule'!$J$7:$J$98,"&gt;"&amp;B155)</x:f>
        <x:v>0</x:v>
      </x:c>
      <x:c r="F155" s="9" t="n">
        <x:f>COUNTIFS('Residual Schedule'!$C$7:$C$98,"Damage",'Residual Schedule'!$I$7:$I$98,"&lt;="&amp;B155,'Residual Schedule'!$J$7:$J$98,"&gt;"&amp;B155)</x:f>
        <x:v>3</x:v>
      </x:c>
      <x:c r="G155" s="9" t="n">
        <x:f>COUNTIFS('Residual Schedule'!$C$7:$C$98,"Closure",'Residual Schedule'!$J$7:$J$98,"&lt;="&amp;B155)</x:f>
        <x:v>44</x:v>
      </x:c>
      <x:c r="H155" s="9" t="n">
        <x:f>COUNTIFS('Residual Schedule'!$C$7:$C$98,"Damage",'Residual Schedule'!$J$7:$J$98,"&lt;="&amp;B155)</x:f>
        <x:v>15</x:v>
      </x:c>
      <x:c r="I155" s="9" t="str">
        <x:f>IF(C155&lt;='Method Controls'!$D$27,"PASS","FAIL")</x:f>
        <x:v>PASS</x:v>
      </x:c>
      <x:c r="J155" s="9" t="str">
        <x:f>IF(D155&lt;='Method Controls'!$D$28,"PASS","FAIL")</x:f>
        <x:v>PASS</x:v>
      </x:c>
      <x:c r="K155" s="9" t="str">
        <x:f>IF(AND(E155&lt;='Method Controls'!$D$27,F155&lt;='Method Controls'!$D$28),"PASS","FAIL")</x:f>
        <x:v>PASS</x:v>
      </x:c>
      <x:c r="L155" s="9" t="str">
        <x:f>IF(AND(I155="PASS",J155="PASS",K155="PASS"),"PASS","FAIL")</x:f>
        <x:v>PASS</x:v>
      </x:c>
    </x:row>
    <x:row r="156">
      <x:c r="B156" s="9" t="n">
        <x:v>240</x:v>
      </x:c>
      <x:c r="C156" s="9" t="n">
        <x:f>COUNTIFS('Residual Schedule'!$C$7:$C$98,"Closure",'Residual Schedule'!$H$7:$H$98,"&lt;="&amp;B156,'Residual Schedule'!$I$7:$I$98,"&gt;"&amp;B156)</x:f>
        <x:v>4</x:v>
      </x:c>
      <x:c r="D156" s="9" t="n">
        <x:f>COUNTIFS('Residual Schedule'!$C$7:$C$98,"Damage",'Residual Schedule'!$H$7:$H$98,"&lt;="&amp;B156,'Residual Schedule'!$I$7:$I$98,"&gt;"&amp;B156)</x:f>
        <x:v>0</x:v>
      </x:c>
      <x:c r="E156" s="9" t="n">
        <x:f>COUNTIFS('Residual Schedule'!$C$7:$C$98,"Closure",'Residual Schedule'!$I$7:$I$98,"&lt;="&amp;B156,'Residual Schedule'!$J$7:$J$98,"&gt;"&amp;B156)</x:f>
        <x:v>0</x:v>
      </x:c>
      <x:c r="F156" s="9" t="n">
        <x:f>COUNTIFS('Residual Schedule'!$C$7:$C$98,"Damage",'Residual Schedule'!$I$7:$I$98,"&lt;="&amp;B156,'Residual Schedule'!$J$7:$J$98,"&gt;"&amp;B156)</x:f>
        <x:v>3</x:v>
      </x:c>
      <x:c r="G156" s="9" t="n">
        <x:f>COUNTIFS('Residual Schedule'!$C$7:$C$98,"Closure",'Residual Schedule'!$J$7:$J$98,"&lt;="&amp;B156)</x:f>
        <x:v>44</x:v>
      </x:c>
      <x:c r="H156" s="9" t="n">
        <x:f>COUNTIFS('Residual Schedule'!$C$7:$C$98,"Damage",'Residual Schedule'!$J$7:$J$98,"&lt;="&amp;B156)</x:f>
        <x:v>15</x:v>
      </x:c>
      <x:c r="I156" s="9" t="str">
        <x:f>IF(C156&lt;='Method Controls'!$D$27,"PASS","FAIL")</x:f>
        <x:v>PASS</x:v>
      </x:c>
      <x:c r="J156" s="9" t="str">
        <x:f>IF(D156&lt;='Method Controls'!$D$28,"PASS","FAIL")</x:f>
        <x:v>PASS</x:v>
      </x:c>
      <x:c r="K156" s="9" t="str">
        <x:f>IF(AND(E156&lt;='Method Controls'!$D$27,F156&lt;='Method Controls'!$D$28),"PASS","FAIL")</x:f>
        <x:v>PASS</x:v>
      </x:c>
      <x:c r="L156" s="9" t="str">
        <x:f>IF(AND(I156="PASS",J156="PASS",K156="PASS"),"PASS","FAIL")</x:f>
        <x:v>PASS</x:v>
      </x:c>
    </x:row>
    <x:row r="157">
      <x:c r="B157" s="9" t="n">
        <x:v>241</x:v>
      </x:c>
      <x:c r="C157" s="9" t="n">
        <x:f>COUNTIFS('Residual Schedule'!$C$7:$C$98,"Closure",'Residual Schedule'!$H$7:$H$98,"&lt;="&amp;B157,'Residual Schedule'!$I$7:$I$98,"&gt;"&amp;B157)</x:f>
        <x:v>4</x:v>
      </x:c>
      <x:c r="D157" s="9" t="n">
        <x:f>COUNTIFS('Residual Schedule'!$C$7:$C$98,"Damage",'Residual Schedule'!$H$7:$H$98,"&lt;="&amp;B157,'Residual Schedule'!$I$7:$I$98,"&gt;"&amp;B157)</x:f>
        <x:v>0</x:v>
      </x:c>
      <x:c r="E157" s="9" t="n">
        <x:f>COUNTIFS('Residual Schedule'!$C$7:$C$98,"Closure",'Residual Schedule'!$I$7:$I$98,"&lt;="&amp;B157,'Residual Schedule'!$J$7:$J$98,"&gt;"&amp;B157)</x:f>
        <x:v>0</x:v>
      </x:c>
      <x:c r="F157" s="9" t="n">
        <x:f>COUNTIFS('Residual Schedule'!$C$7:$C$98,"Damage",'Residual Schedule'!$I$7:$I$98,"&lt;="&amp;B157,'Residual Schedule'!$J$7:$J$98,"&gt;"&amp;B157)</x:f>
        <x:v>0</x:v>
      </x:c>
      <x:c r="G157" s="9" t="n">
        <x:f>COUNTIFS('Residual Schedule'!$C$7:$C$98,"Closure",'Residual Schedule'!$J$7:$J$98,"&lt;="&amp;B157)</x:f>
        <x:v>44</x:v>
      </x:c>
      <x:c r="H157" s="9" t="n">
        <x:f>COUNTIFS('Residual Schedule'!$C$7:$C$98,"Damage",'Residual Schedule'!$J$7:$J$98,"&lt;="&amp;B157)</x:f>
        <x:v>18</x:v>
      </x:c>
      <x:c r="I157" s="9" t="str">
        <x:f>IF(C157&lt;='Method Controls'!$D$27,"PASS","FAIL")</x:f>
        <x:v>PASS</x:v>
      </x:c>
      <x:c r="J157" s="9" t="str">
        <x:f>IF(D157&lt;='Method Controls'!$D$28,"PASS","FAIL")</x:f>
        <x:v>PASS</x:v>
      </x:c>
      <x:c r="K157" s="9" t="str">
        <x:f>IF(AND(E157&lt;='Method Controls'!$D$27,F157&lt;='Method Controls'!$D$28),"PASS","FAIL")</x:f>
        <x:v>PASS</x:v>
      </x:c>
      <x:c r="L157" s="9" t="str">
        <x:f>IF(AND(I157="PASS",J157="PASS",K157="PASS"),"PASS","FAIL")</x:f>
        <x:v>PASS</x:v>
      </x:c>
    </x:row>
    <x:row r="158">
      <x:c r="B158" s="9" t="n">
        <x:v>242</x:v>
      </x:c>
      <x:c r="C158" s="9" t="n">
        <x:f>COUNTIFS('Residual Schedule'!$C$7:$C$98,"Closure",'Residual Schedule'!$H$7:$H$98,"&lt;="&amp;B158,'Residual Schedule'!$I$7:$I$98,"&gt;"&amp;B158)</x:f>
        <x:v>4</x:v>
      </x:c>
      <x:c r="D158" s="9" t="n">
        <x:f>COUNTIFS('Residual Schedule'!$C$7:$C$98,"Damage",'Residual Schedule'!$H$7:$H$98,"&lt;="&amp;B158,'Residual Schedule'!$I$7:$I$98,"&gt;"&amp;B158)</x:f>
        <x:v>3</x:v>
      </x:c>
      <x:c r="E158" s="9" t="n">
        <x:f>COUNTIFS('Residual Schedule'!$C$7:$C$98,"Closure",'Residual Schedule'!$I$7:$I$98,"&lt;="&amp;B158,'Residual Schedule'!$J$7:$J$98,"&gt;"&amp;B158)</x:f>
        <x:v>0</x:v>
      </x:c>
      <x:c r="F158" s="9" t="n">
        <x:f>COUNTIFS('Residual Schedule'!$C$7:$C$98,"Damage",'Residual Schedule'!$I$7:$I$98,"&lt;="&amp;B158,'Residual Schedule'!$J$7:$J$98,"&gt;"&amp;B158)</x:f>
        <x:v>0</x:v>
      </x:c>
      <x:c r="G158" s="9" t="n">
        <x:f>COUNTIFS('Residual Schedule'!$C$7:$C$98,"Closure",'Residual Schedule'!$J$7:$J$98,"&lt;="&amp;B158)</x:f>
        <x:v>44</x:v>
      </x:c>
      <x:c r="H158" s="9" t="n">
        <x:f>COUNTIFS('Residual Schedule'!$C$7:$C$98,"Damage",'Residual Schedule'!$J$7:$J$98,"&lt;="&amp;B158)</x:f>
        <x:v>18</x:v>
      </x:c>
      <x:c r="I158" s="9" t="str">
        <x:f>IF(C158&lt;='Method Controls'!$D$27,"PASS","FAIL")</x:f>
        <x:v>PASS</x:v>
      </x:c>
      <x:c r="J158" s="9" t="str">
        <x:f>IF(D158&lt;='Method Controls'!$D$28,"PASS","FAIL")</x:f>
        <x:v>PASS</x:v>
      </x:c>
      <x:c r="K158" s="9" t="str">
        <x:f>IF(AND(E158&lt;='Method Controls'!$D$27,F158&lt;='Method Controls'!$D$28),"PASS","FAIL")</x:f>
        <x:v>PASS</x:v>
      </x:c>
      <x:c r="L158" s="9" t="str">
        <x:f>IF(AND(I158="PASS",J158="PASS",K158="PASS"),"PASS","FAIL")</x:f>
        <x:v>PASS</x:v>
      </x:c>
    </x:row>
    <x:row r="159">
      <x:c r="B159" s="9" t="n">
        <x:v>243</x:v>
      </x:c>
      <x:c r="C159" s="9" t="n">
        <x:f>COUNTIFS('Residual Schedule'!$C$7:$C$98,"Closure",'Residual Schedule'!$H$7:$H$98,"&lt;="&amp;B159,'Residual Schedule'!$I$7:$I$98,"&gt;"&amp;B159)</x:f>
        <x:v>0</x:v>
      </x:c>
      <x:c r="D159" s="9" t="n">
        <x:f>COUNTIFS('Residual Schedule'!$C$7:$C$98,"Damage",'Residual Schedule'!$H$7:$H$98,"&lt;="&amp;B159,'Residual Schedule'!$I$7:$I$98,"&gt;"&amp;B159)</x:f>
        <x:v>3</x:v>
      </x:c>
      <x:c r="E159" s="9" t="n">
        <x:f>COUNTIFS('Residual Schedule'!$C$7:$C$98,"Closure",'Residual Schedule'!$I$7:$I$98,"&lt;="&amp;B159,'Residual Schedule'!$J$7:$J$98,"&gt;"&amp;B159)</x:f>
        <x:v>4</x:v>
      </x:c>
      <x:c r="F159" s="9" t="n">
        <x:f>COUNTIFS('Residual Schedule'!$C$7:$C$98,"Damage",'Residual Schedule'!$I$7:$I$98,"&lt;="&amp;B159,'Residual Schedule'!$J$7:$J$98,"&gt;"&amp;B159)</x:f>
        <x:v>0</x:v>
      </x:c>
      <x:c r="G159" s="9" t="n">
        <x:f>COUNTIFS('Residual Schedule'!$C$7:$C$98,"Closure",'Residual Schedule'!$J$7:$J$98,"&lt;="&amp;B159)</x:f>
        <x:v>44</x:v>
      </x:c>
      <x:c r="H159" s="9" t="n">
        <x:f>COUNTIFS('Residual Schedule'!$C$7:$C$98,"Damage",'Residual Schedule'!$J$7:$J$98,"&lt;="&amp;B159)</x:f>
        <x:v>18</x:v>
      </x:c>
      <x:c r="I159" s="9" t="str">
        <x:f>IF(C159&lt;='Method Controls'!$D$27,"PASS","FAIL")</x:f>
        <x:v>PASS</x:v>
      </x:c>
      <x:c r="J159" s="9" t="str">
        <x:f>IF(D159&lt;='Method Controls'!$D$28,"PASS","FAIL")</x:f>
        <x:v>PASS</x:v>
      </x:c>
      <x:c r="K159" s="9" t="str">
        <x:f>IF(AND(E159&lt;='Method Controls'!$D$27,F159&lt;='Method Controls'!$D$28),"PASS","FAIL")</x:f>
        <x:v>PASS</x:v>
      </x:c>
      <x:c r="L159" s="9" t="str">
        <x:f>IF(AND(I159="PASS",J159="PASS",K159="PASS"),"PASS","FAIL")</x:f>
        <x:v>PASS</x:v>
      </x:c>
    </x:row>
    <x:row r="160">
      <x:c r="B160" s="9" t="n">
        <x:v>244</x:v>
      </x:c>
      <x:c r="C160" s="9" t="n">
        <x:f>COUNTIFS('Residual Schedule'!$C$7:$C$98,"Closure",'Residual Schedule'!$H$7:$H$98,"&lt;="&amp;B160,'Residual Schedule'!$I$7:$I$98,"&gt;"&amp;B160)</x:f>
        <x:v>0</x:v>
      </x:c>
      <x:c r="D160" s="9" t="n">
        <x:f>COUNTIFS('Residual Schedule'!$C$7:$C$98,"Damage",'Residual Schedule'!$H$7:$H$98,"&lt;="&amp;B160,'Residual Schedule'!$I$7:$I$98,"&gt;"&amp;B160)</x:f>
        <x:v>3</x:v>
      </x:c>
      <x:c r="E160" s="9" t="n">
        <x:f>COUNTIFS('Residual Schedule'!$C$7:$C$98,"Closure",'Residual Schedule'!$I$7:$I$98,"&lt;="&amp;B160,'Residual Schedule'!$J$7:$J$98,"&gt;"&amp;B160)</x:f>
        <x:v>4</x:v>
      </x:c>
      <x:c r="F160" s="9" t="n">
        <x:f>COUNTIFS('Residual Schedule'!$C$7:$C$98,"Damage",'Residual Schedule'!$I$7:$I$98,"&lt;="&amp;B160,'Residual Schedule'!$J$7:$J$98,"&gt;"&amp;B160)</x:f>
        <x:v>0</x:v>
      </x:c>
      <x:c r="G160" s="9" t="n">
        <x:f>COUNTIFS('Residual Schedule'!$C$7:$C$98,"Closure",'Residual Schedule'!$J$7:$J$98,"&lt;="&amp;B160)</x:f>
        <x:v>44</x:v>
      </x:c>
      <x:c r="H160" s="9" t="n">
        <x:f>COUNTIFS('Residual Schedule'!$C$7:$C$98,"Damage",'Residual Schedule'!$J$7:$J$98,"&lt;="&amp;B160)</x:f>
        <x:v>18</x:v>
      </x:c>
      <x:c r="I160" s="9" t="str">
        <x:f>IF(C160&lt;='Method Controls'!$D$27,"PASS","FAIL")</x:f>
        <x:v>PASS</x:v>
      </x:c>
      <x:c r="J160" s="9" t="str">
        <x:f>IF(D160&lt;='Method Controls'!$D$28,"PASS","FAIL")</x:f>
        <x:v>PASS</x:v>
      </x:c>
      <x:c r="K160" s="9" t="str">
        <x:f>IF(AND(E160&lt;='Method Controls'!$D$27,F160&lt;='Method Controls'!$D$28),"PASS","FAIL")</x:f>
        <x:v>PASS</x:v>
      </x:c>
      <x:c r="L160" s="9" t="str">
        <x:f>IF(AND(I160="PASS",J160="PASS",K160="PASS"),"PASS","FAIL")</x:f>
        <x:v>PASS</x:v>
      </x:c>
    </x:row>
    <x:row r="161">
      <x:c r="B161" s="9" t="n">
        <x:v>245</x:v>
      </x:c>
      <x:c r="C161" s="9" t="n">
        <x:f>COUNTIFS('Residual Schedule'!$C$7:$C$98,"Closure",'Residual Schedule'!$H$7:$H$98,"&lt;="&amp;B161,'Residual Schedule'!$I$7:$I$98,"&gt;"&amp;B161)</x:f>
        <x:v>0</x:v>
      </x:c>
      <x:c r="D161" s="9" t="n">
        <x:f>COUNTIFS('Residual Schedule'!$C$7:$C$98,"Damage",'Residual Schedule'!$H$7:$H$98,"&lt;="&amp;B161,'Residual Schedule'!$I$7:$I$98,"&gt;"&amp;B161)</x:f>
        <x:v>3</x:v>
      </x:c>
      <x:c r="E161" s="9" t="n">
        <x:f>COUNTIFS('Residual Schedule'!$C$7:$C$98,"Closure",'Residual Schedule'!$I$7:$I$98,"&lt;="&amp;B161,'Residual Schedule'!$J$7:$J$98,"&gt;"&amp;B161)</x:f>
        <x:v>4</x:v>
      </x:c>
      <x:c r="F161" s="9" t="n">
        <x:f>COUNTIFS('Residual Schedule'!$C$7:$C$98,"Damage",'Residual Schedule'!$I$7:$I$98,"&lt;="&amp;B161,'Residual Schedule'!$J$7:$J$98,"&gt;"&amp;B161)</x:f>
        <x:v>0</x:v>
      </x:c>
      <x:c r="G161" s="9" t="n">
        <x:f>COUNTIFS('Residual Schedule'!$C$7:$C$98,"Closure",'Residual Schedule'!$J$7:$J$98,"&lt;="&amp;B161)</x:f>
        <x:v>44</x:v>
      </x:c>
      <x:c r="H161" s="9" t="n">
        <x:f>COUNTIFS('Residual Schedule'!$C$7:$C$98,"Damage",'Residual Schedule'!$J$7:$J$98,"&lt;="&amp;B161)</x:f>
        <x:v>18</x:v>
      </x:c>
      <x:c r="I161" s="9" t="str">
        <x:f>IF(C161&lt;='Method Controls'!$D$27,"PASS","FAIL")</x:f>
        <x:v>PASS</x:v>
      </x:c>
      <x:c r="J161" s="9" t="str">
        <x:f>IF(D161&lt;='Method Controls'!$D$28,"PASS","FAIL")</x:f>
        <x:v>PASS</x:v>
      </x:c>
      <x:c r="K161" s="9" t="str">
        <x:f>IF(AND(E161&lt;='Method Controls'!$D$27,F161&lt;='Method Controls'!$D$28),"PASS","FAIL")</x:f>
        <x:v>PASS</x:v>
      </x:c>
      <x:c r="L161" s="9" t="str">
        <x:f>IF(AND(I161="PASS",J161="PASS",K161="PASS"),"PASS","FAIL")</x:f>
        <x:v>PASS</x:v>
      </x:c>
    </x:row>
    <x:row r="162">
      <x:c r="B162" s="9" t="n">
        <x:v>246</x:v>
      </x:c>
      <x:c r="C162" s="9" t="n">
        <x:f>COUNTIFS('Residual Schedule'!$C$7:$C$98,"Closure",'Residual Schedule'!$H$7:$H$98,"&lt;="&amp;B162,'Residual Schedule'!$I$7:$I$98,"&gt;"&amp;B162)</x:f>
        <x:v>0</x:v>
      </x:c>
      <x:c r="D162" s="9" t="n">
        <x:f>COUNTIFS('Residual Schedule'!$C$7:$C$98,"Damage",'Residual Schedule'!$H$7:$H$98,"&lt;="&amp;B162,'Residual Schedule'!$I$7:$I$98,"&gt;"&amp;B162)</x:f>
        <x:v>3</x:v>
      </x:c>
      <x:c r="E162" s="9" t="n">
        <x:f>COUNTIFS('Residual Schedule'!$C$7:$C$98,"Closure",'Residual Schedule'!$I$7:$I$98,"&lt;="&amp;B162,'Residual Schedule'!$J$7:$J$98,"&gt;"&amp;B162)</x:f>
        <x:v>4</x:v>
      </x:c>
      <x:c r="F162" s="9" t="n">
        <x:f>COUNTIFS('Residual Schedule'!$C$7:$C$98,"Damage",'Residual Schedule'!$I$7:$I$98,"&lt;="&amp;B162,'Residual Schedule'!$J$7:$J$98,"&gt;"&amp;B162)</x:f>
        <x:v>0</x:v>
      </x:c>
      <x:c r="G162" s="9" t="n">
        <x:f>COUNTIFS('Residual Schedule'!$C$7:$C$98,"Closure",'Residual Schedule'!$J$7:$J$98,"&lt;="&amp;B162)</x:f>
        <x:v>44</x:v>
      </x:c>
      <x:c r="H162" s="9" t="n">
        <x:f>COUNTIFS('Residual Schedule'!$C$7:$C$98,"Damage",'Residual Schedule'!$J$7:$J$98,"&lt;="&amp;B162)</x:f>
        <x:v>18</x:v>
      </x:c>
      <x:c r="I162" s="9" t="str">
        <x:f>IF(C162&lt;='Method Controls'!$D$27,"PASS","FAIL")</x:f>
        <x:v>PASS</x:v>
      </x:c>
      <x:c r="J162" s="9" t="str">
        <x:f>IF(D162&lt;='Method Controls'!$D$28,"PASS","FAIL")</x:f>
        <x:v>PASS</x:v>
      </x:c>
      <x:c r="K162" s="9" t="str">
        <x:f>IF(AND(E162&lt;='Method Controls'!$D$27,F162&lt;='Method Controls'!$D$28),"PASS","FAIL")</x:f>
        <x:v>PASS</x:v>
      </x:c>
      <x:c r="L162" s="9" t="str">
        <x:f>IF(AND(I162="PASS",J162="PASS",K162="PASS"),"PASS","FAIL")</x:f>
        <x:v>PASS</x:v>
      </x:c>
    </x:row>
    <x:row r="163">
      <x:c r="B163" s="9" t="n">
        <x:v>247</x:v>
      </x:c>
      <x:c r="C163" s="9" t="n">
        <x:f>COUNTIFS('Residual Schedule'!$C$7:$C$98,"Closure",'Residual Schedule'!$H$7:$H$98,"&lt;="&amp;B163,'Residual Schedule'!$I$7:$I$98,"&gt;"&amp;B163)</x:f>
        <x:v>4</x:v>
      </x:c>
      <x:c r="D163" s="9" t="n">
        <x:f>COUNTIFS('Residual Schedule'!$C$7:$C$98,"Damage",'Residual Schedule'!$H$7:$H$98,"&lt;="&amp;B163,'Residual Schedule'!$I$7:$I$98,"&gt;"&amp;B163)</x:f>
        <x:v>3</x:v>
      </x:c>
      <x:c r="E163" s="9" t="n">
        <x:f>COUNTIFS('Residual Schedule'!$C$7:$C$98,"Closure",'Residual Schedule'!$I$7:$I$98,"&lt;="&amp;B163,'Residual Schedule'!$J$7:$J$98,"&gt;"&amp;B163)</x:f>
        <x:v>4</x:v>
      </x:c>
      <x:c r="F163" s="9" t="n">
        <x:f>COUNTIFS('Residual Schedule'!$C$7:$C$98,"Damage",'Residual Schedule'!$I$7:$I$98,"&lt;="&amp;B163,'Residual Schedule'!$J$7:$J$98,"&gt;"&amp;B163)</x:f>
        <x:v>0</x:v>
      </x:c>
      <x:c r="G163" s="9" t="n">
        <x:f>COUNTIFS('Residual Schedule'!$C$7:$C$98,"Closure",'Residual Schedule'!$J$7:$J$98,"&lt;="&amp;B163)</x:f>
        <x:v>44</x:v>
      </x:c>
      <x:c r="H163" s="9" t="n">
        <x:f>COUNTIFS('Residual Schedule'!$C$7:$C$98,"Damage",'Residual Schedule'!$J$7:$J$98,"&lt;="&amp;B163)</x:f>
        <x:v>18</x:v>
      </x:c>
      <x:c r="I163" s="9" t="str">
        <x:f>IF(C163&lt;='Method Controls'!$D$27,"PASS","FAIL")</x:f>
        <x:v>PASS</x:v>
      </x:c>
      <x:c r="J163" s="9" t="str">
        <x:f>IF(D163&lt;='Method Controls'!$D$28,"PASS","FAIL")</x:f>
        <x:v>PASS</x:v>
      </x:c>
      <x:c r="K163" s="9" t="str">
        <x:f>IF(AND(E163&lt;='Method Controls'!$D$27,F163&lt;='Method Controls'!$D$28),"PASS","FAIL")</x:f>
        <x:v>PASS</x:v>
      </x:c>
      <x:c r="L163" s="9" t="str">
        <x:f>IF(AND(I163="PASS",J163="PASS",K163="PASS"),"PASS","FAIL")</x:f>
        <x:v>PASS</x:v>
      </x:c>
    </x:row>
    <x:row r="164">
      <x:c r="B164" s="9" t="n">
        <x:v>248</x:v>
      </x:c>
      <x:c r="C164" s="9" t="n">
        <x:f>COUNTIFS('Residual Schedule'!$C$7:$C$98,"Closure",'Residual Schedule'!$H$7:$H$98,"&lt;="&amp;B164,'Residual Schedule'!$I$7:$I$98,"&gt;"&amp;B164)</x:f>
        <x:v>4</x:v>
      </x:c>
      <x:c r="D164" s="9" t="n">
        <x:f>COUNTIFS('Residual Schedule'!$C$7:$C$98,"Damage",'Residual Schedule'!$H$7:$H$98,"&lt;="&amp;B164,'Residual Schedule'!$I$7:$I$98,"&gt;"&amp;B164)</x:f>
        <x:v>3</x:v>
      </x:c>
      <x:c r="E164" s="9" t="n">
        <x:f>COUNTIFS('Residual Schedule'!$C$7:$C$98,"Closure",'Residual Schedule'!$I$7:$I$98,"&lt;="&amp;B164,'Residual Schedule'!$J$7:$J$98,"&gt;"&amp;B164)</x:f>
        <x:v>4</x:v>
      </x:c>
      <x:c r="F164" s="9" t="n">
        <x:f>COUNTIFS('Residual Schedule'!$C$7:$C$98,"Damage",'Residual Schedule'!$I$7:$I$98,"&lt;="&amp;B164,'Residual Schedule'!$J$7:$J$98,"&gt;"&amp;B164)</x:f>
        <x:v>0</x:v>
      </x:c>
      <x:c r="G164" s="9" t="n">
        <x:f>COUNTIFS('Residual Schedule'!$C$7:$C$98,"Closure",'Residual Schedule'!$J$7:$J$98,"&lt;="&amp;B164)</x:f>
        <x:v>44</x:v>
      </x:c>
      <x:c r="H164" s="9" t="n">
        <x:f>COUNTIFS('Residual Schedule'!$C$7:$C$98,"Damage",'Residual Schedule'!$J$7:$J$98,"&lt;="&amp;B164)</x:f>
        <x:v>18</x:v>
      </x:c>
      <x:c r="I164" s="9" t="str">
        <x:f>IF(C164&lt;='Method Controls'!$D$27,"PASS","FAIL")</x:f>
        <x:v>PASS</x:v>
      </x:c>
      <x:c r="J164" s="9" t="str">
        <x:f>IF(D164&lt;='Method Controls'!$D$28,"PASS","FAIL")</x:f>
        <x:v>PASS</x:v>
      </x:c>
      <x:c r="K164" s="9" t="str">
        <x:f>IF(AND(E164&lt;='Method Controls'!$D$27,F164&lt;='Method Controls'!$D$28),"PASS","FAIL")</x:f>
        <x:v>PASS</x:v>
      </x:c>
      <x:c r="L164" s="9" t="str">
        <x:f>IF(AND(I164="PASS",J164="PASS",K164="PASS"),"PASS","FAIL")</x:f>
        <x:v>PASS</x:v>
      </x:c>
    </x:row>
    <x:row r="165">
      <x:c r="B165" s="9" t="n">
        <x:v>249</x:v>
      </x:c>
      <x:c r="C165" s="9" t="n">
        <x:f>COUNTIFS('Residual Schedule'!$C$7:$C$98,"Closure",'Residual Schedule'!$H$7:$H$98,"&lt;="&amp;B165,'Residual Schedule'!$I$7:$I$98,"&gt;"&amp;B165)</x:f>
        <x:v>4</x:v>
      </x:c>
      <x:c r="D165" s="9" t="n">
        <x:f>COUNTIFS('Residual Schedule'!$C$7:$C$98,"Damage",'Residual Schedule'!$H$7:$H$98,"&lt;="&amp;B165,'Residual Schedule'!$I$7:$I$98,"&gt;"&amp;B165)</x:f>
        <x:v>3</x:v>
      </x:c>
      <x:c r="E165" s="9" t="n">
        <x:f>COUNTIFS('Residual Schedule'!$C$7:$C$98,"Closure",'Residual Schedule'!$I$7:$I$98,"&lt;="&amp;B165,'Residual Schedule'!$J$7:$J$98,"&gt;"&amp;B165)</x:f>
        <x:v>0</x:v>
      </x:c>
      <x:c r="F165" s="9" t="n">
        <x:f>COUNTIFS('Residual Schedule'!$C$7:$C$98,"Damage",'Residual Schedule'!$I$7:$I$98,"&lt;="&amp;B165,'Residual Schedule'!$J$7:$J$98,"&gt;"&amp;B165)</x:f>
        <x:v>0</x:v>
      </x:c>
      <x:c r="G165" s="9" t="n">
        <x:f>COUNTIFS('Residual Schedule'!$C$7:$C$98,"Closure",'Residual Schedule'!$J$7:$J$98,"&lt;="&amp;B165)</x:f>
        <x:v>48</x:v>
      </x:c>
      <x:c r="H165" s="9" t="n">
        <x:f>COUNTIFS('Residual Schedule'!$C$7:$C$98,"Damage",'Residual Schedule'!$J$7:$J$98,"&lt;="&amp;B165)</x:f>
        <x:v>18</x:v>
      </x:c>
      <x:c r="I165" s="9" t="str">
        <x:f>IF(C165&lt;='Method Controls'!$D$27,"PASS","FAIL")</x:f>
        <x:v>PASS</x:v>
      </x:c>
      <x:c r="J165" s="9" t="str">
        <x:f>IF(D165&lt;='Method Controls'!$D$28,"PASS","FAIL")</x:f>
        <x:v>PASS</x:v>
      </x:c>
      <x:c r="K165" s="9" t="str">
        <x:f>IF(AND(E165&lt;='Method Controls'!$D$27,F165&lt;='Method Controls'!$D$28),"PASS","FAIL")</x:f>
        <x:v>PASS</x:v>
      </x:c>
      <x:c r="L165" s="9" t="str">
        <x:f>IF(AND(I165="PASS",J165="PASS",K165="PASS"),"PASS","FAIL")</x:f>
        <x:v>PASS</x:v>
      </x:c>
    </x:row>
    <x:row r="166">
      <x:c r="B166" s="9" t="n">
        <x:v>250</x:v>
      </x:c>
      <x:c r="C166" s="9" t="n">
        <x:f>COUNTIFS('Residual Schedule'!$C$7:$C$98,"Closure",'Residual Schedule'!$H$7:$H$98,"&lt;="&amp;B166,'Residual Schedule'!$I$7:$I$98,"&gt;"&amp;B166)</x:f>
        <x:v>4</x:v>
      </x:c>
      <x:c r="D166" s="9" t="n">
        <x:f>COUNTIFS('Residual Schedule'!$C$7:$C$98,"Damage",'Residual Schedule'!$H$7:$H$98,"&lt;="&amp;B166,'Residual Schedule'!$I$7:$I$98,"&gt;"&amp;B166)</x:f>
        <x:v>3</x:v>
      </x:c>
      <x:c r="E166" s="9" t="n">
        <x:f>COUNTIFS('Residual Schedule'!$C$7:$C$98,"Closure",'Residual Schedule'!$I$7:$I$98,"&lt;="&amp;B166,'Residual Schedule'!$J$7:$J$98,"&gt;"&amp;B166)</x:f>
        <x:v>0</x:v>
      </x:c>
      <x:c r="F166" s="9" t="n">
        <x:f>COUNTIFS('Residual Schedule'!$C$7:$C$98,"Damage",'Residual Schedule'!$I$7:$I$98,"&lt;="&amp;B166,'Residual Schedule'!$J$7:$J$98,"&gt;"&amp;B166)</x:f>
        <x:v>0</x:v>
      </x:c>
      <x:c r="G166" s="9" t="n">
        <x:f>COUNTIFS('Residual Schedule'!$C$7:$C$98,"Closure",'Residual Schedule'!$J$7:$J$98,"&lt;="&amp;B166)</x:f>
        <x:v>48</x:v>
      </x:c>
      <x:c r="H166" s="9" t="n">
        <x:f>COUNTIFS('Residual Schedule'!$C$7:$C$98,"Damage",'Residual Schedule'!$J$7:$J$98,"&lt;="&amp;B166)</x:f>
        <x:v>18</x:v>
      </x:c>
      <x:c r="I166" s="9" t="str">
        <x:f>IF(C166&lt;='Method Controls'!$D$27,"PASS","FAIL")</x:f>
        <x:v>PASS</x:v>
      </x:c>
      <x:c r="J166" s="9" t="str">
        <x:f>IF(D166&lt;='Method Controls'!$D$28,"PASS","FAIL")</x:f>
        <x:v>PASS</x:v>
      </x:c>
      <x:c r="K166" s="9" t="str">
        <x:f>IF(AND(E166&lt;='Method Controls'!$D$27,F166&lt;='Method Controls'!$D$28),"PASS","FAIL")</x:f>
        <x:v>PASS</x:v>
      </x:c>
      <x:c r="L166" s="9" t="str">
        <x:f>IF(AND(I166="PASS",J166="PASS",K166="PASS"),"PASS","FAIL")</x:f>
        <x:v>PASS</x:v>
      </x:c>
    </x:row>
    <x:row r="167">
      <x:c r="B167" s="9" t="n">
        <x:v>251</x:v>
      </x:c>
      <x:c r="C167" s="9" t="n">
        <x:f>COUNTIFS('Residual Schedule'!$C$7:$C$98,"Closure",'Residual Schedule'!$H$7:$H$98,"&lt;="&amp;B167,'Residual Schedule'!$I$7:$I$98,"&gt;"&amp;B167)</x:f>
        <x:v>4</x:v>
      </x:c>
      <x:c r="D167" s="9" t="n">
        <x:f>COUNTIFS('Residual Schedule'!$C$7:$C$98,"Damage",'Residual Schedule'!$H$7:$H$98,"&lt;="&amp;B167,'Residual Schedule'!$I$7:$I$98,"&gt;"&amp;B167)</x:f>
        <x:v>3</x:v>
      </x:c>
      <x:c r="E167" s="9" t="n">
        <x:f>COUNTIFS('Residual Schedule'!$C$7:$C$98,"Closure",'Residual Schedule'!$I$7:$I$98,"&lt;="&amp;B167,'Residual Schedule'!$J$7:$J$98,"&gt;"&amp;B167)</x:f>
        <x:v>0</x:v>
      </x:c>
      <x:c r="F167" s="9" t="n">
        <x:f>COUNTIFS('Residual Schedule'!$C$7:$C$98,"Damage",'Residual Schedule'!$I$7:$I$98,"&lt;="&amp;B167,'Residual Schedule'!$J$7:$J$98,"&gt;"&amp;B167)</x:f>
        <x:v>0</x:v>
      </x:c>
      <x:c r="G167" s="9" t="n">
        <x:f>COUNTIFS('Residual Schedule'!$C$7:$C$98,"Closure",'Residual Schedule'!$J$7:$J$98,"&lt;="&amp;B167)</x:f>
        <x:v>48</x:v>
      </x:c>
      <x:c r="H167" s="9" t="n">
        <x:f>COUNTIFS('Residual Schedule'!$C$7:$C$98,"Damage",'Residual Schedule'!$J$7:$J$98,"&lt;="&amp;B167)</x:f>
        <x:v>18</x:v>
      </x:c>
      <x:c r="I167" s="9" t="str">
        <x:f>IF(C167&lt;='Method Controls'!$D$27,"PASS","FAIL")</x:f>
        <x:v>PASS</x:v>
      </x:c>
      <x:c r="J167" s="9" t="str">
        <x:f>IF(D167&lt;='Method Controls'!$D$28,"PASS","FAIL")</x:f>
        <x:v>PASS</x:v>
      </x:c>
      <x:c r="K167" s="9" t="str">
        <x:f>IF(AND(E167&lt;='Method Controls'!$D$27,F167&lt;='Method Controls'!$D$28),"PASS","FAIL")</x:f>
        <x:v>PASS</x:v>
      </x:c>
      <x:c r="L167" s="9" t="str">
        <x:f>IF(AND(I167="PASS",J167="PASS",K167="PASS"),"PASS","FAIL")</x:f>
        <x:v>PASS</x:v>
      </x:c>
    </x:row>
    <x:row r="168">
      <x:c r="B168" s="9" t="n">
        <x:v>252</x:v>
      </x:c>
      <x:c r="C168" s="9" t="n">
        <x:f>COUNTIFS('Residual Schedule'!$C$7:$C$98,"Closure",'Residual Schedule'!$H$7:$H$98,"&lt;="&amp;B168,'Residual Schedule'!$I$7:$I$98,"&gt;"&amp;B168)</x:f>
        <x:v>4</x:v>
      </x:c>
      <x:c r="D168" s="9" t="n">
        <x:f>COUNTIFS('Residual Schedule'!$C$7:$C$98,"Damage",'Residual Schedule'!$H$7:$H$98,"&lt;="&amp;B168,'Residual Schedule'!$I$7:$I$98,"&gt;"&amp;B168)</x:f>
        <x:v>3</x:v>
      </x:c>
      <x:c r="E168" s="9" t="n">
        <x:f>COUNTIFS('Residual Schedule'!$C$7:$C$98,"Closure",'Residual Schedule'!$I$7:$I$98,"&lt;="&amp;B168,'Residual Schedule'!$J$7:$J$98,"&gt;"&amp;B168)</x:f>
        <x:v>0</x:v>
      </x:c>
      <x:c r="F168" s="9" t="n">
        <x:f>COUNTIFS('Residual Schedule'!$C$7:$C$98,"Damage",'Residual Schedule'!$I$7:$I$98,"&lt;="&amp;B168,'Residual Schedule'!$J$7:$J$98,"&gt;"&amp;B168)</x:f>
        <x:v>0</x:v>
      </x:c>
      <x:c r="G168" s="9" t="n">
        <x:f>COUNTIFS('Residual Schedule'!$C$7:$C$98,"Closure",'Residual Schedule'!$J$7:$J$98,"&lt;="&amp;B168)</x:f>
        <x:v>48</x:v>
      </x:c>
      <x:c r="H168" s="9" t="n">
        <x:f>COUNTIFS('Residual Schedule'!$C$7:$C$98,"Damage",'Residual Schedule'!$J$7:$J$98,"&lt;="&amp;B168)</x:f>
        <x:v>18</x:v>
      </x:c>
      <x:c r="I168" s="9" t="str">
        <x:f>IF(C168&lt;='Method Controls'!$D$27,"PASS","FAIL")</x:f>
        <x:v>PASS</x:v>
      </x:c>
      <x:c r="J168" s="9" t="str">
        <x:f>IF(D168&lt;='Method Controls'!$D$28,"PASS","FAIL")</x:f>
        <x:v>PASS</x:v>
      </x:c>
      <x:c r="K168" s="9" t="str">
        <x:f>IF(AND(E168&lt;='Method Controls'!$D$27,F168&lt;='Method Controls'!$D$28),"PASS","FAIL")</x:f>
        <x:v>PASS</x:v>
      </x:c>
      <x:c r="L168" s="9" t="str">
        <x:f>IF(AND(I168="PASS",J168="PASS",K168="PASS"),"PASS","FAIL")</x:f>
        <x:v>PASS</x:v>
      </x:c>
    </x:row>
    <x:row r="169">
      <x:c r="B169" s="9" t="n">
        <x:v>253</x:v>
      </x:c>
      <x:c r="C169" s="9" t="n">
        <x:f>COUNTIFS('Residual Schedule'!$C$7:$C$98,"Closure",'Residual Schedule'!$H$7:$H$98,"&lt;="&amp;B169,'Residual Schedule'!$I$7:$I$98,"&gt;"&amp;B169)</x:f>
        <x:v>4</x:v>
      </x:c>
      <x:c r="D169" s="9" t="n">
        <x:f>COUNTIFS('Residual Schedule'!$C$7:$C$98,"Damage",'Residual Schedule'!$H$7:$H$98,"&lt;="&amp;B169,'Residual Schedule'!$I$7:$I$98,"&gt;"&amp;B169)</x:f>
        <x:v>3</x:v>
      </x:c>
      <x:c r="E169" s="9" t="n">
        <x:f>COUNTIFS('Residual Schedule'!$C$7:$C$98,"Closure",'Residual Schedule'!$I$7:$I$98,"&lt;="&amp;B169,'Residual Schedule'!$J$7:$J$98,"&gt;"&amp;B169)</x:f>
        <x:v>0</x:v>
      </x:c>
      <x:c r="F169" s="9" t="n">
        <x:f>COUNTIFS('Residual Schedule'!$C$7:$C$98,"Damage",'Residual Schedule'!$I$7:$I$98,"&lt;="&amp;B169,'Residual Schedule'!$J$7:$J$98,"&gt;"&amp;B169)</x:f>
        <x:v>0</x:v>
      </x:c>
      <x:c r="G169" s="9" t="n">
        <x:f>COUNTIFS('Residual Schedule'!$C$7:$C$98,"Closure",'Residual Schedule'!$J$7:$J$98,"&lt;="&amp;B169)</x:f>
        <x:v>48</x:v>
      </x:c>
      <x:c r="H169" s="9" t="n">
        <x:f>COUNTIFS('Residual Schedule'!$C$7:$C$98,"Damage",'Residual Schedule'!$J$7:$J$98,"&lt;="&amp;B169)</x:f>
        <x:v>18</x:v>
      </x:c>
      <x:c r="I169" s="9" t="str">
        <x:f>IF(C169&lt;='Method Controls'!$D$27,"PASS","FAIL")</x:f>
        <x:v>PASS</x:v>
      </x:c>
      <x:c r="J169" s="9" t="str">
        <x:f>IF(D169&lt;='Method Controls'!$D$28,"PASS","FAIL")</x:f>
        <x:v>PASS</x:v>
      </x:c>
      <x:c r="K169" s="9" t="str">
        <x:f>IF(AND(E169&lt;='Method Controls'!$D$27,F169&lt;='Method Controls'!$D$28),"PASS","FAIL")</x:f>
        <x:v>PASS</x:v>
      </x:c>
      <x:c r="L169" s="9" t="str">
        <x:f>IF(AND(I169="PASS",J169="PASS",K169="PASS"),"PASS","FAIL")</x:f>
        <x:v>PASS</x:v>
      </x:c>
    </x:row>
    <x:row r="170">
      <x:c r="B170" s="9" t="n">
        <x:v>254</x:v>
      </x:c>
      <x:c r="C170" s="9" t="n">
        <x:f>COUNTIFS('Residual Schedule'!$C$7:$C$98,"Closure",'Residual Schedule'!$H$7:$H$98,"&lt;="&amp;B170,'Residual Schedule'!$I$7:$I$98,"&gt;"&amp;B170)</x:f>
        <x:v>4</x:v>
      </x:c>
      <x:c r="D170" s="9" t="n">
        <x:f>COUNTIFS('Residual Schedule'!$C$7:$C$98,"Damage",'Residual Schedule'!$H$7:$H$98,"&lt;="&amp;B170,'Residual Schedule'!$I$7:$I$98,"&gt;"&amp;B170)</x:f>
        <x:v>3</x:v>
      </x:c>
      <x:c r="E170" s="9" t="n">
        <x:f>COUNTIFS('Residual Schedule'!$C$7:$C$98,"Closure",'Residual Schedule'!$I$7:$I$98,"&lt;="&amp;B170,'Residual Schedule'!$J$7:$J$98,"&gt;"&amp;B170)</x:f>
        <x:v>0</x:v>
      </x:c>
      <x:c r="F170" s="9" t="n">
        <x:f>COUNTIFS('Residual Schedule'!$C$7:$C$98,"Damage",'Residual Schedule'!$I$7:$I$98,"&lt;="&amp;B170,'Residual Schedule'!$J$7:$J$98,"&gt;"&amp;B170)</x:f>
        <x:v>0</x:v>
      </x:c>
      <x:c r="G170" s="9" t="n">
        <x:f>COUNTIFS('Residual Schedule'!$C$7:$C$98,"Closure",'Residual Schedule'!$J$7:$J$98,"&lt;="&amp;B170)</x:f>
        <x:v>48</x:v>
      </x:c>
      <x:c r="H170" s="9" t="n">
        <x:f>COUNTIFS('Residual Schedule'!$C$7:$C$98,"Damage",'Residual Schedule'!$J$7:$J$98,"&lt;="&amp;B170)</x:f>
        <x:v>18</x:v>
      </x:c>
      <x:c r="I170" s="9" t="str">
        <x:f>IF(C170&lt;='Method Controls'!$D$27,"PASS","FAIL")</x:f>
        <x:v>PASS</x:v>
      </x:c>
      <x:c r="J170" s="9" t="str">
        <x:f>IF(D170&lt;='Method Controls'!$D$28,"PASS","FAIL")</x:f>
        <x:v>PASS</x:v>
      </x:c>
      <x:c r="K170" s="9" t="str">
        <x:f>IF(AND(E170&lt;='Method Controls'!$D$27,F170&lt;='Method Controls'!$D$28),"PASS","FAIL")</x:f>
        <x:v>PASS</x:v>
      </x:c>
      <x:c r="L170" s="9" t="str">
        <x:f>IF(AND(I170="PASS",J170="PASS",K170="PASS"),"PASS","FAIL")</x:f>
        <x:v>PASS</x:v>
      </x:c>
    </x:row>
    <x:row r="171">
      <x:c r="B171" s="9" t="n">
        <x:v>255</x:v>
      </x:c>
      <x:c r="C171" s="9" t="n">
        <x:f>COUNTIFS('Residual Schedule'!$C$7:$C$98,"Closure",'Residual Schedule'!$H$7:$H$98,"&lt;="&amp;B171,'Residual Schedule'!$I$7:$I$98,"&gt;"&amp;B171)</x:f>
        <x:v>4</x:v>
      </x:c>
      <x:c r="D171" s="9" t="n">
        <x:f>COUNTIFS('Residual Schedule'!$C$7:$C$98,"Damage",'Residual Schedule'!$H$7:$H$98,"&lt;="&amp;B171,'Residual Schedule'!$I$7:$I$98,"&gt;"&amp;B171)</x:f>
        <x:v>3</x:v>
      </x:c>
      <x:c r="E171" s="9" t="n">
        <x:f>COUNTIFS('Residual Schedule'!$C$7:$C$98,"Closure",'Residual Schedule'!$I$7:$I$98,"&lt;="&amp;B171,'Residual Schedule'!$J$7:$J$98,"&gt;"&amp;B171)</x:f>
        <x:v>0</x:v>
      </x:c>
      <x:c r="F171" s="9" t="n">
        <x:f>COUNTIFS('Residual Schedule'!$C$7:$C$98,"Damage",'Residual Schedule'!$I$7:$I$98,"&lt;="&amp;B171,'Residual Schedule'!$J$7:$J$98,"&gt;"&amp;B171)</x:f>
        <x:v>0</x:v>
      </x:c>
      <x:c r="G171" s="9" t="n">
        <x:f>COUNTIFS('Residual Schedule'!$C$7:$C$98,"Closure",'Residual Schedule'!$J$7:$J$98,"&lt;="&amp;B171)</x:f>
        <x:v>48</x:v>
      </x:c>
      <x:c r="H171" s="9" t="n">
        <x:f>COUNTIFS('Residual Schedule'!$C$7:$C$98,"Damage",'Residual Schedule'!$J$7:$J$98,"&lt;="&amp;B171)</x:f>
        <x:v>18</x:v>
      </x:c>
      <x:c r="I171" s="9" t="str">
        <x:f>IF(C171&lt;='Method Controls'!$D$27,"PASS","FAIL")</x:f>
        <x:v>PASS</x:v>
      </x:c>
      <x:c r="J171" s="9" t="str">
        <x:f>IF(D171&lt;='Method Controls'!$D$28,"PASS","FAIL")</x:f>
        <x:v>PASS</x:v>
      </x:c>
      <x:c r="K171" s="9" t="str">
        <x:f>IF(AND(E171&lt;='Method Controls'!$D$27,F171&lt;='Method Controls'!$D$28),"PASS","FAIL")</x:f>
        <x:v>PASS</x:v>
      </x:c>
      <x:c r="L171" s="9" t="str">
        <x:f>IF(AND(I171="PASS",J171="PASS",K171="PASS"),"PASS","FAIL")</x:f>
        <x:v>PASS</x:v>
      </x:c>
    </x:row>
    <x:row r="172">
      <x:c r="B172" s="9" t="n">
        <x:v>256</x:v>
      </x:c>
      <x:c r="C172" s="9" t="n">
        <x:f>COUNTIFS('Residual Schedule'!$C$7:$C$98,"Closure",'Residual Schedule'!$H$7:$H$98,"&lt;="&amp;B172,'Residual Schedule'!$I$7:$I$98,"&gt;"&amp;B172)</x:f>
        <x:v>0</x:v>
      </x:c>
      <x:c r="D172" s="9" t="n">
        <x:f>COUNTIFS('Residual Schedule'!$C$7:$C$98,"Damage",'Residual Schedule'!$H$7:$H$98,"&lt;="&amp;B172,'Residual Schedule'!$I$7:$I$98,"&gt;"&amp;B172)</x:f>
        <x:v>3</x:v>
      </x:c>
      <x:c r="E172" s="9" t="n">
        <x:f>COUNTIFS('Residual Schedule'!$C$7:$C$98,"Closure",'Residual Schedule'!$I$7:$I$98,"&lt;="&amp;B172,'Residual Schedule'!$J$7:$J$98,"&gt;"&amp;B172)</x:f>
        <x:v>4</x:v>
      </x:c>
      <x:c r="F172" s="9" t="n">
        <x:f>COUNTIFS('Residual Schedule'!$C$7:$C$98,"Damage",'Residual Schedule'!$I$7:$I$98,"&lt;="&amp;B172,'Residual Schedule'!$J$7:$J$98,"&gt;"&amp;B172)</x:f>
        <x:v>0</x:v>
      </x:c>
      <x:c r="G172" s="9" t="n">
        <x:f>COUNTIFS('Residual Schedule'!$C$7:$C$98,"Closure",'Residual Schedule'!$J$7:$J$98,"&lt;="&amp;B172)</x:f>
        <x:v>48</x:v>
      </x:c>
      <x:c r="H172" s="9" t="n">
        <x:f>COUNTIFS('Residual Schedule'!$C$7:$C$98,"Damage",'Residual Schedule'!$J$7:$J$98,"&lt;="&amp;B172)</x:f>
        <x:v>18</x:v>
      </x:c>
      <x:c r="I172" s="9" t="str">
        <x:f>IF(C172&lt;='Method Controls'!$D$27,"PASS","FAIL")</x:f>
        <x:v>PASS</x:v>
      </x:c>
      <x:c r="J172" s="9" t="str">
        <x:f>IF(D172&lt;='Method Controls'!$D$28,"PASS","FAIL")</x:f>
        <x:v>PASS</x:v>
      </x:c>
      <x:c r="K172" s="9" t="str">
        <x:f>IF(AND(E172&lt;='Method Controls'!$D$27,F172&lt;='Method Controls'!$D$28),"PASS","FAIL")</x:f>
        <x:v>PASS</x:v>
      </x:c>
      <x:c r="L172" s="9" t="str">
        <x:f>IF(AND(I172="PASS",J172="PASS",K172="PASS"),"PASS","FAIL")</x:f>
        <x:v>PASS</x:v>
      </x:c>
    </x:row>
    <x:row r="173">
      <x:c r="B173" s="9" t="n">
        <x:v>257</x:v>
      </x:c>
      <x:c r="C173" s="9" t="n">
        <x:f>COUNTIFS('Residual Schedule'!$C$7:$C$98,"Closure",'Residual Schedule'!$H$7:$H$98,"&lt;="&amp;B173,'Residual Schedule'!$I$7:$I$98,"&gt;"&amp;B173)</x:f>
        <x:v>0</x:v>
      </x:c>
      <x:c r="D173" s="9" t="n">
        <x:f>COUNTIFS('Residual Schedule'!$C$7:$C$98,"Damage",'Residual Schedule'!$H$7:$H$98,"&lt;="&amp;B173,'Residual Schedule'!$I$7:$I$98,"&gt;"&amp;B173)</x:f>
        <x:v>0</x:v>
      </x:c>
      <x:c r="E173" s="9" t="n">
        <x:f>COUNTIFS('Residual Schedule'!$C$7:$C$98,"Closure",'Residual Schedule'!$I$7:$I$98,"&lt;="&amp;B173,'Residual Schedule'!$J$7:$J$98,"&gt;"&amp;B173)</x:f>
        <x:v>4</x:v>
      </x:c>
      <x:c r="F173" s="9" t="n">
        <x:f>COUNTIFS('Residual Schedule'!$C$7:$C$98,"Damage",'Residual Schedule'!$I$7:$I$98,"&lt;="&amp;B173,'Residual Schedule'!$J$7:$J$98,"&gt;"&amp;B173)</x:f>
        <x:v>3</x:v>
      </x:c>
      <x:c r="G173" s="9" t="n">
        <x:f>COUNTIFS('Residual Schedule'!$C$7:$C$98,"Closure",'Residual Schedule'!$J$7:$J$98,"&lt;="&amp;B173)</x:f>
        <x:v>48</x:v>
      </x:c>
      <x:c r="H173" s="9" t="n">
        <x:f>COUNTIFS('Residual Schedule'!$C$7:$C$98,"Damage",'Residual Schedule'!$J$7:$J$98,"&lt;="&amp;B173)</x:f>
        <x:v>18</x:v>
      </x:c>
      <x:c r="I173" s="9" t="str">
        <x:f>IF(C173&lt;='Method Controls'!$D$27,"PASS","FAIL")</x:f>
        <x:v>PASS</x:v>
      </x:c>
      <x:c r="J173" s="9" t="str">
        <x:f>IF(D173&lt;='Method Controls'!$D$28,"PASS","FAIL")</x:f>
        <x:v>PASS</x:v>
      </x:c>
      <x:c r="K173" s="9" t="str">
        <x:f>IF(AND(E173&lt;='Method Controls'!$D$27,F173&lt;='Method Controls'!$D$28),"PASS","FAIL")</x:f>
        <x:v>PASS</x:v>
      </x:c>
      <x:c r="L173" s="9" t="str">
        <x:f>IF(AND(I173="PASS",J173="PASS",K173="PASS"),"PASS","FAIL")</x:f>
        <x:v>PASS</x:v>
      </x:c>
    </x:row>
    <x:row r="174">
      <x:c r="B174" s="9" t="n">
        <x:v>258</x:v>
      </x:c>
      <x:c r="C174" s="9" t="n">
        <x:f>COUNTIFS('Residual Schedule'!$C$7:$C$98,"Closure",'Residual Schedule'!$H$7:$H$98,"&lt;="&amp;B174,'Residual Schedule'!$I$7:$I$98,"&gt;"&amp;B174)</x:f>
        <x:v>0</x:v>
      </x:c>
      <x:c r="D174" s="9" t="n">
        <x:f>COUNTIFS('Residual Schedule'!$C$7:$C$98,"Damage",'Residual Schedule'!$H$7:$H$98,"&lt;="&amp;B174,'Residual Schedule'!$I$7:$I$98,"&gt;"&amp;B174)</x:f>
        <x:v>0</x:v>
      </x:c>
      <x:c r="E174" s="9" t="n">
        <x:f>COUNTIFS('Residual Schedule'!$C$7:$C$98,"Closure",'Residual Schedule'!$I$7:$I$98,"&lt;="&amp;B174,'Residual Schedule'!$J$7:$J$98,"&gt;"&amp;B174)</x:f>
        <x:v>4</x:v>
      </x:c>
      <x:c r="F174" s="9" t="n">
        <x:f>COUNTIFS('Residual Schedule'!$C$7:$C$98,"Damage",'Residual Schedule'!$I$7:$I$98,"&lt;="&amp;B174,'Residual Schedule'!$J$7:$J$98,"&gt;"&amp;B174)</x:f>
        <x:v>3</x:v>
      </x:c>
      <x:c r="G174" s="9" t="n">
        <x:f>COUNTIFS('Residual Schedule'!$C$7:$C$98,"Closure",'Residual Schedule'!$J$7:$J$98,"&lt;="&amp;B174)</x:f>
        <x:v>48</x:v>
      </x:c>
      <x:c r="H174" s="9" t="n">
        <x:f>COUNTIFS('Residual Schedule'!$C$7:$C$98,"Damage",'Residual Schedule'!$J$7:$J$98,"&lt;="&amp;B174)</x:f>
        <x:v>18</x:v>
      </x:c>
      <x:c r="I174" s="9" t="str">
        <x:f>IF(C174&lt;='Method Controls'!$D$27,"PASS","FAIL")</x:f>
        <x:v>PASS</x:v>
      </x:c>
      <x:c r="J174" s="9" t="str">
        <x:f>IF(D174&lt;='Method Controls'!$D$28,"PASS","FAIL")</x:f>
        <x:v>PASS</x:v>
      </x:c>
      <x:c r="K174" s="9" t="str">
        <x:f>IF(AND(E174&lt;='Method Controls'!$D$27,F174&lt;='Method Controls'!$D$28),"PASS","FAIL")</x:f>
        <x:v>PASS</x:v>
      </x:c>
      <x:c r="L174" s="9" t="str">
        <x:f>IF(AND(I174="PASS",J174="PASS",K174="PASS"),"PASS","FAIL")</x:f>
        <x:v>PASS</x:v>
      </x:c>
    </x:row>
    <x:row r="175">
      <x:c r="B175" s="9" t="n">
        <x:v>259</x:v>
      </x:c>
      <x:c r="C175" s="9" t="n">
        <x:f>COUNTIFS('Residual Schedule'!$C$7:$C$98,"Closure",'Residual Schedule'!$H$7:$H$98,"&lt;="&amp;B175,'Residual Schedule'!$I$7:$I$98,"&gt;"&amp;B175)</x:f>
        <x:v>0</x:v>
      </x:c>
      <x:c r="D175" s="9" t="n">
        <x:f>COUNTIFS('Residual Schedule'!$C$7:$C$98,"Damage",'Residual Schedule'!$H$7:$H$98,"&lt;="&amp;B175,'Residual Schedule'!$I$7:$I$98,"&gt;"&amp;B175)</x:f>
        <x:v>0</x:v>
      </x:c>
      <x:c r="E175" s="9" t="n">
        <x:f>COUNTIFS('Residual Schedule'!$C$7:$C$98,"Closure",'Residual Schedule'!$I$7:$I$98,"&lt;="&amp;B175,'Residual Schedule'!$J$7:$J$98,"&gt;"&amp;B175)</x:f>
        <x:v>4</x:v>
      </x:c>
      <x:c r="F175" s="9" t="n">
        <x:f>COUNTIFS('Residual Schedule'!$C$7:$C$98,"Damage",'Residual Schedule'!$I$7:$I$98,"&lt;="&amp;B175,'Residual Schedule'!$J$7:$J$98,"&gt;"&amp;B175)</x:f>
        <x:v>3</x:v>
      </x:c>
      <x:c r="G175" s="9" t="n">
        <x:f>COUNTIFS('Residual Schedule'!$C$7:$C$98,"Closure",'Residual Schedule'!$J$7:$J$98,"&lt;="&amp;B175)</x:f>
        <x:v>48</x:v>
      </x:c>
      <x:c r="H175" s="9" t="n">
        <x:f>COUNTIFS('Residual Schedule'!$C$7:$C$98,"Damage",'Residual Schedule'!$J$7:$J$98,"&lt;="&amp;B175)</x:f>
        <x:v>18</x:v>
      </x:c>
      <x:c r="I175" s="9" t="str">
        <x:f>IF(C175&lt;='Method Controls'!$D$27,"PASS","FAIL")</x:f>
        <x:v>PASS</x:v>
      </x:c>
      <x:c r="J175" s="9" t="str">
        <x:f>IF(D175&lt;='Method Controls'!$D$28,"PASS","FAIL")</x:f>
        <x:v>PASS</x:v>
      </x:c>
      <x:c r="K175" s="9" t="str">
        <x:f>IF(AND(E175&lt;='Method Controls'!$D$27,F175&lt;='Method Controls'!$D$28),"PASS","FAIL")</x:f>
        <x:v>PASS</x:v>
      </x:c>
      <x:c r="L175" s="9" t="str">
        <x:f>IF(AND(I175="PASS",J175="PASS",K175="PASS"),"PASS","FAIL")</x:f>
        <x:v>PASS</x:v>
      </x:c>
    </x:row>
    <x:row r="176">
      <x:c r="B176" s="9" t="n">
        <x:v>260</x:v>
      </x:c>
      <x:c r="C176" s="9" t="n">
        <x:f>COUNTIFS('Residual Schedule'!$C$7:$C$98,"Closure",'Residual Schedule'!$H$7:$H$98,"&lt;="&amp;B176,'Residual Schedule'!$I$7:$I$98,"&gt;"&amp;B176)</x:f>
        <x:v>4</x:v>
      </x:c>
      <x:c r="D176" s="9" t="n">
        <x:f>COUNTIFS('Residual Schedule'!$C$7:$C$98,"Damage",'Residual Schedule'!$H$7:$H$98,"&lt;="&amp;B176,'Residual Schedule'!$I$7:$I$98,"&gt;"&amp;B176)</x:f>
        <x:v>0</x:v>
      </x:c>
      <x:c r="E176" s="9" t="n">
        <x:f>COUNTIFS('Residual Schedule'!$C$7:$C$98,"Closure",'Residual Schedule'!$I$7:$I$98,"&lt;="&amp;B176,'Residual Schedule'!$J$7:$J$98,"&gt;"&amp;B176)</x:f>
        <x:v>4</x:v>
      </x:c>
      <x:c r="F176" s="9" t="n">
        <x:f>COUNTIFS('Residual Schedule'!$C$7:$C$98,"Damage",'Residual Schedule'!$I$7:$I$98,"&lt;="&amp;B176,'Residual Schedule'!$J$7:$J$98,"&gt;"&amp;B176)</x:f>
        <x:v>3</x:v>
      </x:c>
      <x:c r="G176" s="9" t="n">
        <x:f>COUNTIFS('Residual Schedule'!$C$7:$C$98,"Closure",'Residual Schedule'!$J$7:$J$98,"&lt;="&amp;B176)</x:f>
        <x:v>48</x:v>
      </x:c>
      <x:c r="H176" s="9" t="n">
        <x:f>COUNTIFS('Residual Schedule'!$C$7:$C$98,"Damage",'Residual Schedule'!$J$7:$J$98,"&lt;="&amp;B176)</x:f>
        <x:v>18</x:v>
      </x:c>
      <x:c r="I176" s="9" t="str">
        <x:f>IF(C176&lt;='Method Controls'!$D$27,"PASS","FAIL")</x:f>
        <x:v>PASS</x:v>
      </x:c>
      <x:c r="J176" s="9" t="str">
        <x:f>IF(D176&lt;='Method Controls'!$D$28,"PASS","FAIL")</x:f>
        <x:v>PASS</x:v>
      </x:c>
      <x:c r="K176" s="9" t="str">
        <x:f>IF(AND(E176&lt;='Method Controls'!$D$27,F176&lt;='Method Controls'!$D$28),"PASS","FAIL")</x:f>
        <x:v>PASS</x:v>
      </x:c>
      <x:c r="L176" s="9" t="str">
        <x:f>IF(AND(I176="PASS",J176="PASS",K176="PASS"),"PASS","FAIL")</x:f>
        <x:v>PASS</x:v>
      </x:c>
    </x:row>
    <x:row r="177">
      <x:c r="B177" s="9" t="n">
        <x:v>261</x:v>
      </x:c>
      <x:c r="C177" s="9" t="n">
        <x:f>COUNTIFS('Residual Schedule'!$C$7:$C$98,"Closure",'Residual Schedule'!$H$7:$H$98,"&lt;="&amp;B177,'Residual Schedule'!$I$7:$I$98,"&gt;"&amp;B177)</x:f>
        <x:v>4</x:v>
      </x:c>
      <x:c r="D177" s="9" t="n">
        <x:f>COUNTIFS('Residual Schedule'!$C$7:$C$98,"Damage",'Residual Schedule'!$H$7:$H$98,"&lt;="&amp;B177,'Residual Schedule'!$I$7:$I$98,"&gt;"&amp;B177)</x:f>
        <x:v>0</x:v>
      </x:c>
      <x:c r="E177" s="9" t="n">
        <x:f>COUNTIFS('Residual Schedule'!$C$7:$C$98,"Closure",'Residual Schedule'!$I$7:$I$98,"&lt;="&amp;B177,'Residual Schedule'!$J$7:$J$98,"&gt;"&amp;B177)</x:f>
        <x:v>4</x:v>
      </x:c>
      <x:c r="F177" s="9" t="n">
        <x:f>COUNTIFS('Residual Schedule'!$C$7:$C$98,"Damage",'Residual Schedule'!$I$7:$I$98,"&lt;="&amp;B177,'Residual Schedule'!$J$7:$J$98,"&gt;"&amp;B177)</x:f>
        <x:v>3</x:v>
      </x:c>
      <x:c r="G177" s="9" t="n">
        <x:f>COUNTIFS('Residual Schedule'!$C$7:$C$98,"Closure",'Residual Schedule'!$J$7:$J$98,"&lt;="&amp;B177)</x:f>
        <x:v>48</x:v>
      </x:c>
      <x:c r="H177" s="9" t="n">
        <x:f>COUNTIFS('Residual Schedule'!$C$7:$C$98,"Damage",'Residual Schedule'!$J$7:$J$98,"&lt;="&amp;B177)</x:f>
        <x:v>18</x:v>
      </x:c>
      <x:c r="I177" s="9" t="str">
        <x:f>IF(C177&lt;='Method Controls'!$D$27,"PASS","FAIL")</x:f>
        <x:v>PASS</x:v>
      </x:c>
      <x:c r="J177" s="9" t="str">
        <x:f>IF(D177&lt;='Method Controls'!$D$28,"PASS","FAIL")</x:f>
        <x:v>PASS</x:v>
      </x:c>
      <x:c r="K177" s="9" t="str">
        <x:f>IF(AND(E177&lt;='Method Controls'!$D$27,F177&lt;='Method Controls'!$D$28),"PASS","FAIL")</x:f>
        <x:v>PASS</x:v>
      </x:c>
      <x:c r="L177" s="9" t="str">
        <x:f>IF(AND(I177="PASS",J177="PASS",K177="PASS"),"PASS","FAIL")</x:f>
        <x:v>PASS</x:v>
      </x:c>
    </x:row>
    <x:row r="178">
      <x:c r="B178" s="9" t="n">
        <x:v>262</x:v>
      </x:c>
      <x:c r="C178" s="9" t="n">
        <x:f>COUNTIFS('Residual Schedule'!$C$7:$C$98,"Closure",'Residual Schedule'!$H$7:$H$98,"&lt;="&amp;B178,'Residual Schedule'!$I$7:$I$98,"&gt;"&amp;B178)</x:f>
        <x:v>4</x:v>
      </x:c>
      <x:c r="D178" s="9" t="n">
        <x:f>COUNTIFS('Residual Schedule'!$C$7:$C$98,"Damage",'Residual Schedule'!$H$7:$H$98,"&lt;="&amp;B178,'Residual Schedule'!$I$7:$I$98,"&gt;"&amp;B178)</x:f>
        <x:v>0</x:v>
      </x:c>
      <x:c r="E178" s="9" t="n">
        <x:f>COUNTIFS('Residual Schedule'!$C$7:$C$98,"Closure",'Residual Schedule'!$I$7:$I$98,"&lt;="&amp;B178,'Residual Schedule'!$J$7:$J$98,"&gt;"&amp;B178)</x:f>
        <x:v>0</x:v>
      </x:c>
      <x:c r="F178" s="9" t="n">
        <x:f>COUNTIFS('Residual Schedule'!$C$7:$C$98,"Damage",'Residual Schedule'!$I$7:$I$98,"&lt;="&amp;B178,'Residual Schedule'!$J$7:$J$98,"&gt;"&amp;B178)</x:f>
        <x:v>3</x:v>
      </x:c>
      <x:c r="G178" s="9" t="n">
        <x:f>COUNTIFS('Residual Schedule'!$C$7:$C$98,"Closure",'Residual Schedule'!$J$7:$J$98,"&lt;="&amp;B178)</x:f>
        <x:v>52</x:v>
      </x:c>
      <x:c r="H178" s="9" t="n">
        <x:f>COUNTIFS('Residual Schedule'!$C$7:$C$98,"Damage",'Residual Schedule'!$J$7:$J$98,"&lt;="&amp;B178)</x:f>
        <x:v>18</x:v>
      </x:c>
      <x:c r="I178" s="9" t="str">
        <x:f>IF(C178&lt;='Method Controls'!$D$27,"PASS","FAIL")</x:f>
        <x:v>PASS</x:v>
      </x:c>
      <x:c r="J178" s="9" t="str">
        <x:f>IF(D178&lt;='Method Controls'!$D$28,"PASS","FAIL")</x:f>
        <x:v>PASS</x:v>
      </x:c>
      <x:c r="K178" s="9" t="str">
        <x:f>IF(AND(E178&lt;='Method Controls'!$D$27,F178&lt;='Method Controls'!$D$28),"PASS","FAIL")</x:f>
        <x:v>PASS</x:v>
      </x:c>
      <x:c r="L178" s="9" t="str">
        <x:f>IF(AND(I178="PASS",J178="PASS",K178="PASS"),"PASS","FAIL")</x:f>
        <x:v>PASS</x:v>
      </x:c>
    </x:row>
    <x:row r="179">
      <x:c r="B179" s="9" t="n">
        <x:v>263</x:v>
      </x:c>
      <x:c r="C179" s="9" t="n">
        <x:f>COUNTIFS('Residual Schedule'!$C$7:$C$98,"Closure",'Residual Schedule'!$H$7:$H$98,"&lt;="&amp;B179,'Residual Schedule'!$I$7:$I$98,"&gt;"&amp;B179)</x:f>
        <x:v>4</x:v>
      </x:c>
      <x:c r="D179" s="9" t="n">
        <x:f>COUNTIFS('Residual Schedule'!$C$7:$C$98,"Damage",'Residual Schedule'!$H$7:$H$98,"&lt;="&amp;B179,'Residual Schedule'!$I$7:$I$98,"&gt;"&amp;B179)</x:f>
        <x:v>0</x:v>
      </x:c>
      <x:c r="E179" s="9" t="n">
        <x:f>COUNTIFS('Residual Schedule'!$C$7:$C$98,"Closure",'Residual Schedule'!$I$7:$I$98,"&lt;="&amp;B179,'Residual Schedule'!$J$7:$J$98,"&gt;"&amp;B179)</x:f>
        <x:v>0</x:v>
      </x:c>
      <x:c r="F179" s="9" t="n">
        <x:f>COUNTIFS('Residual Schedule'!$C$7:$C$98,"Damage",'Residual Schedule'!$I$7:$I$98,"&lt;="&amp;B179,'Residual Schedule'!$J$7:$J$98,"&gt;"&amp;B179)</x:f>
        <x:v>3</x:v>
      </x:c>
      <x:c r="G179" s="9" t="n">
        <x:f>COUNTIFS('Residual Schedule'!$C$7:$C$98,"Closure",'Residual Schedule'!$J$7:$J$98,"&lt;="&amp;B179)</x:f>
        <x:v>52</x:v>
      </x:c>
      <x:c r="H179" s="9" t="n">
        <x:f>COUNTIFS('Residual Schedule'!$C$7:$C$98,"Damage",'Residual Schedule'!$J$7:$J$98,"&lt;="&amp;B179)</x:f>
        <x:v>18</x:v>
      </x:c>
      <x:c r="I179" s="9" t="str">
        <x:f>IF(C179&lt;='Method Controls'!$D$27,"PASS","FAIL")</x:f>
        <x:v>PASS</x:v>
      </x:c>
      <x:c r="J179" s="9" t="str">
        <x:f>IF(D179&lt;='Method Controls'!$D$28,"PASS","FAIL")</x:f>
        <x:v>PASS</x:v>
      </x:c>
      <x:c r="K179" s="9" t="str">
        <x:f>IF(AND(E179&lt;='Method Controls'!$D$27,F179&lt;='Method Controls'!$D$28),"PASS","FAIL")</x:f>
        <x:v>PASS</x:v>
      </x:c>
      <x:c r="L179" s="9" t="str">
        <x:f>IF(AND(I179="PASS",J179="PASS",K179="PASS"),"PASS","FAIL")</x:f>
        <x:v>PASS</x:v>
      </x:c>
    </x:row>
    <x:row r="180">
      <x:c r="B180" s="9" t="n">
        <x:v>264</x:v>
      </x:c>
      <x:c r="C180" s="9" t="n">
        <x:f>COUNTIFS('Residual Schedule'!$C$7:$C$98,"Closure",'Residual Schedule'!$H$7:$H$98,"&lt;="&amp;B180,'Residual Schedule'!$I$7:$I$98,"&gt;"&amp;B180)</x:f>
        <x:v>4</x:v>
      </x:c>
      <x:c r="D180" s="9" t="n">
        <x:f>COUNTIFS('Residual Schedule'!$C$7:$C$98,"Damage",'Residual Schedule'!$H$7:$H$98,"&lt;="&amp;B180,'Residual Schedule'!$I$7:$I$98,"&gt;"&amp;B180)</x:f>
        <x:v>0</x:v>
      </x:c>
      <x:c r="E180" s="9" t="n">
        <x:f>COUNTIFS('Residual Schedule'!$C$7:$C$98,"Closure",'Residual Schedule'!$I$7:$I$98,"&lt;="&amp;B180,'Residual Schedule'!$J$7:$J$98,"&gt;"&amp;B180)</x:f>
        <x:v>0</x:v>
      </x:c>
      <x:c r="F180" s="9" t="n">
        <x:f>COUNTIFS('Residual Schedule'!$C$7:$C$98,"Damage",'Residual Schedule'!$I$7:$I$98,"&lt;="&amp;B180,'Residual Schedule'!$J$7:$J$98,"&gt;"&amp;B180)</x:f>
        <x:v>3</x:v>
      </x:c>
      <x:c r="G180" s="9" t="n">
        <x:f>COUNTIFS('Residual Schedule'!$C$7:$C$98,"Closure",'Residual Schedule'!$J$7:$J$98,"&lt;="&amp;B180)</x:f>
        <x:v>52</x:v>
      </x:c>
      <x:c r="H180" s="9" t="n">
        <x:f>COUNTIFS('Residual Schedule'!$C$7:$C$98,"Damage",'Residual Schedule'!$J$7:$J$98,"&lt;="&amp;B180)</x:f>
        <x:v>18</x:v>
      </x:c>
      <x:c r="I180" s="9" t="str">
        <x:f>IF(C180&lt;='Method Controls'!$D$27,"PASS","FAIL")</x:f>
        <x:v>PASS</x:v>
      </x:c>
      <x:c r="J180" s="9" t="str">
        <x:f>IF(D180&lt;='Method Controls'!$D$28,"PASS","FAIL")</x:f>
        <x:v>PASS</x:v>
      </x:c>
      <x:c r="K180" s="9" t="str">
        <x:f>IF(AND(E180&lt;='Method Controls'!$D$27,F180&lt;='Method Controls'!$D$28),"PASS","FAIL")</x:f>
        <x:v>PASS</x:v>
      </x:c>
      <x:c r="L180" s="9" t="str">
        <x:f>IF(AND(I180="PASS",J180="PASS",K180="PASS"),"PASS","FAIL")</x:f>
        <x:v>PASS</x:v>
      </x:c>
    </x:row>
    <x:row r="181">
      <x:c r="B181" s="9" t="n">
        <x:v>265</x:v>
      </x:c>
      <x:c r="C181" s="9" t="n">
        <x:f>COUNTIFS('Residual Schedule'!$C$7:$C$98,"Closure",'Residual Schedule'!$H$7:$H$98,"&lt;="&amp;B181,'Residual Schedule'!$I$7:$I$98,"&gt;"&amp;B181)</x:f>
        <x:v>4</x:v>
      </x:c>
      <x:c r="D181" s="9" t="n">
        <x:f>COUNTIFS('Residual Schedule'!$C$7:$C$98,"Damage",'Residual Schedule'!$H$7:$H$98,"&lt;="&amp;B181,'Residual Schedule'!$I$7:$I$98,"&gt;"&amp;B181)</x:f>
        <x:v>0</x:v>
      </x:c>
      <x:c r="E181" s="9" t="n">
        <x:f>COUNTIFS('Residual Schedule'!$C$7:$C$98,"Closure",'Residual Schedule'!$I$7:$I$98,"&lt;="&amp;B181,'Residual Schedule'!$J$7:$J$98,"&gt;"&amp;B181)</x:f>
        <x:v>0</x:v>
      </x:c>
      <x:c r="F181" s="9" t="n">
        <x:f>COUNTIFS('Residual Schedule'!$C$7:$C$98,"Damage",'Residual Schedule'!$I$7:$I$98,"&lt;="&amp;B181,'Residual Schedule'!$J$7:$J$98,"&gt;"&amp;B181)</x:f>
        <x:v>3</x:v>
      </x:c>
      <x:c r="G181" s="9" t="n">
        <x:f>COUNTIFS('Residual Schedule'!$C$7:$C$98,"Closure",'Residual Schedule'!$J$7:$J$98,"&lt;="&amp;B181)</x:f>
        <x:v>52</x:v>
      </x:c>
      <x:c r="H181" s="9" t="n">
        <x:f>COUNTIFS('Residual Schedule'!$C$7:$C$98,"Damage",'Residual Schedule'!$J$7:$J$98,"&lt;="&amp;B181)</x:f>
        <x:v>18</x:v>
      </x:c>
      <x:c r="I181" s="9" t="str">
        <x:f>IF(C181&lt;='Method Controls'!$D$27,"PASS","FAIL")</x:f>
        <x:v>PASS</x:v>
      </x:c>
      <x:c r="J181" s="9" t="str">
        <x:f>IF(D181&lt;='Method Controls'!$D$28,"PASS","FAIL")</x:f>
        <x:v>PASS</x:v>
      </x:c>
      <x:c r="K181" s="9" t="str">
        <x:f>IF(AND(E181&lt;='Method Controls'!$D$27,F181&lt;='Method Controls'!$D$28),"PASS","FAIL")</x:f>
        <x:v>PASS</x:v>
      </x:c>
      <x:c r="L181" s="9" t="str">
        <x:f>IF(AND(I181="PASS",J181="PASS",K181="PASS"),"PASS","FAIL")</x:f>
        <x:v>PASS</x:v>
      </x:c>
    </x:row>
    <x:row r="182">
      <x:c r="B182" s="9" t="n">
        <x:v>266</x:v>
      </x:c>
      <x:c r="C182" s="9" t="n">
        <x:f>COUNTIFS('Residual Schedule'!$C$7:$C$98,"Closure",'Residual Schedule'!$H$7:$H$98,"&lt;="&amp;B182,'Residual Schedule'!$I$7:$I$98,"&gt;"&amp;B182)</x:f>
        <x:v>4</x:v>
      </x:c>
      <x:c r="D182" s="9" t="n">
        <x:f>COUNTIFS('Residual Schedule'!$C$7:$C$98,"Damage",'Residual Schedule'!$H$7:$H$98,"&lt;="&amp;B182,'Residual Schedule'!$I$7:$I$98,"&gt;"&amp;B182)</x:f>
        <x:v>0</x:v>
      </x:c>
      <x:c r="E182" s="9" t="n">
        <x:f>COUNTIFS('Residual Schedule'!$C$7:$C$98,"Closure",'Residual Schedule'!$I$7:$I$98,"&lt;="&amp;B182,'Residual Schedule'!$J$7:$J$98,"&gt;"&amp;B182)</x:f>
        <x:v>0</x:v>
      </x:c>
      <x:c r="F182" s="9" t="n">
        <x:f>COUNTIFS('Residual Schedule'!$C$7:$C$98,"Damage",'Residual Schedule'!$I$7:$I$98,"&lt;="&amp;B182,'Residual Schedule'!$J$7:$J$98,"&gt;"&amp;B182)</x:f>
        <x:v>0</x:v>
      </x:c>
      <x:c r="G182" s="9" t="n">
        <x:f>COUNTIFS('Residual Schedule'!$C$7:$C$98,"Closure",'Residual Schedule'!$J$7:$J$98,"&lt;="&amp;B182)</x:f>
        <x:v>52</x:v>
      </x:c>
      <x:c r="H182" s="9" t="n">
        <x:f>COUNTIFS('Residual Schedule'!$C$7:$C$98,"Damage",'Residual Schedule'!$J$7:$J$98,"&lt;="&amp;B182)</x:f>
        <x:v>21</x:v>
      </x:c>
      <x:c r="I182" s="9" t="str">
        <x:f>IF(C182&lt;='Method Controls'!$D$27,"PASS","FAIL")</x:f>
        <x:v>PASS</x:v>
      </x:c>
      <x:c r="J182" s="9" t="str">
        <x:f>IF(D182&lt;='Method Controls'!$D$28,"PASS","FAIL")</x:f>
        <x:v>PASS</x:v>
      </x:c>
      <x:c r="K182" s="9" t="str">
        <x:f>IF(AND(E182&lt;='Method Controls'!$D$27,F182&lt;='Method Controls'!$D$28),"PASS","FAIL")</x:f>
        <x:v>PASS</x:v>
      </x:c>
      <x:c r="L182" s="9" t="str">
        <x:f>IF(AND(I182="PASS",J182="PASS",K182="PASS"),"PASS","FAIL")</x:f>
        <x:v>PASS</x:v>
      </x:c>
    </x:row>
    <x:row r="183">
      <x:c r="B183" s="9" t="n">
        <x:v>267</x:v>
      </x:c>
      <x:c r="C183" s="9" t="n">
        <x:f>COUNTIFS('Residual Schedule'!$C$7:$C$98,"Closure",'Residual Schedule'!$H$7:$H$98,"&lt;="&amp;B183,'Residual Schedule'!$I$7:$I$98,"&gt;"&amp;B183)</x:f>
        <x:v>4</x:v>
      </x:c>
      <x:c r="D183" s="9" t="n">
        <x:f>COUNTIFS('Residual Schedule'!$C$7:$C$98,"Damage",'Residual Schedule'!$H$7:$H$98,"&lt;="&amp;B183,'Residual Schedule'!$I$7:$I$98,"&gt;"&amp;B183)</x:f>
        <x:v>3</x:v>
      </x:c>
      <x:c r="E183" s="9" t="n">
        <x:f>COUNTIFS('Residual Schedule'!$C$7:$C$98,"Closure",'Residual Schedule'!$I$7:$I$98,"&lt;="&amp;B183,'Residual Schedule'!$J$7:$J$98,"&gt;"&amp;B183)</x:f>
        <x:v>0</x:v>
      </x:c>
      <x:c r="F183" s="9" t="n">
        <x:f>COUNTIFS('Residual Schedule'!$C$7:$C$98,"Damage",'Residual Schedule'!$I$7:$I$98,"&lt;="&amp;B183,'Residual Schedule'!$J$7:$J$98,"&gt;"&amp;B183)</x:f>
        <x:v>0</x:v>
      </x:c>
      <x:c r="G183" s="9" t="n">
        <x:f>COUNTIFS('Residual Schedule'!$C$7:$C$98,"Closure",'Residual Schedule'!$J$7:$J$98,"&lt;="&amp;B183)</x:f>
        <x:v>52</x:v>
      </x:c>
      <x:c r="H183" s="9" t="n">
        <x:f>COUNTIFS('Residual Schedule'!$C$7:$C$98,"Damage",'Residual Schedule'!$J$7:$J$98,"&lt;="&amp;B183)</x:f>
        <x:v>21</x:v>
      </x:c>
      <x:c r="I183" s="9" t="str">
        <x:f>IF(C183&lt;='Method Controls'!$D$27,"PASS","FAIL")</x:f>
        <x:v>PASS</x:v>
      </x:c>
      <x:c r="J183" s="9" t="str">
        <x:f>IF(D183&lt;='Method Controls'!$D$28,"PASS","FAIL")</x:f>
        <x:v>PASS</x:v>
      </x:c>
      <x:c r="K183" s="9" t="str">
        <x:f>IF(AND(E183&lt;='Method Controls'!$D$27,F183&lt;='Method Controls'!$D$28),"PASS","FAIL")</x:f>
        <x:v>PASS</x:v>
      </x:c>
      <x:c r="L183" s="9" t="str">
        <x:f>IF(AND(I183="PASS",J183="PASS",K183="PASS"),"PASS","FAIL")</x:f>
        <x:v>PASS</x:v>
      </x:c>
    </x:row>
    <x:row r="184">
      <x:c r="B184" s="9" t="n">
        <x:v>268</x:v>
      </x:c>
      <x:c r="C184" s="9" t="n">
        <x:f>COUNTIFS('Residual Schedule'!$C$7:$C$98,"Closure",'Residual Schedule'!$H$7:$H$98,"&lt;="&amp;B184,'Residual Schedule'!$I$7:$I$98,"&gt;"&amp;B184)</x:f>
        <x:v>4</x:v>
      </x:c>
      <x:c r="D184" s="9" t="n">
        <x:f>COUNTIFS('Residual Schedule'!$C$7:$C$98,"Damage",'Residual Schedule'!$H$7:$H$98,"&lt;="&amp;B184,'Residual Schedule'!$I$7:$I$98,"&gt;"&amp;B184)</x:f>
        <x:v>3</x:v>
      </x:c>
      <x:c r="E184" s="9" t="n">
        <x:f>COUNTIFS('Residual Schedule'!$C$7:$C$98,"Closure",'Residual Schedule'!$I$7:$I$98,"&lt;="&amp;B184,'Residual Schedule'!$J$7:$J$98,"&gt;"&amp;B184)</x:f>
        <x:v>0</x:v>
      </x:c>
      <x:c r="F184" s="9" t="n">
        <x:f>COUNTIFS('Residual Schedule'!$C$7:$C$98,"Damage",'Residual Schedule'!$I$7:$I$98,"&lt;="&amp;B184,'Residual Schedule'!$J$7:$J$98,"&gt;"&amp;B184)</x:f>
        <x:v>0</x:v>
      </x:c>
      <x:c r="G184" s="9" t="n">
        <x:f>COUNTIFS('Residual Schedule'!$C$7:$C$98,"Closure",'Residual Schedule'!$J$7:$J$98,"&lt;="&amp;B184)</x:f>
        <x:v>52</x:v>
      </x:c>
      <x:c r="H184" s="9" t="n">
        <x:f>COUNTIFS('Residual Schedule'!$C$7:$C$98,"Damage",'Residual Schedule'!$J$7:$J$98,"&lt;="&amp;B184)</x:f>
        <x:v>21</x:v>
      </x:c>
      <x:c r="I184" s="9" t="str">
        <x:f>IF(C184&lt;='Method Controls'!$D$27,"PASS","FAIL")</x:f>
        <x:v>PASS</x:v>
      </x:c>
      <x:c r="J184" s="9" t="str">
        <x:f>IF(D184&lt;='Method Controls'!$D$28,"PASS","FAIL")</x:f>
        <x:v>PASS</x:v>
      </x:c>
      <x:c r="K184" s="9" t="str">
        <x:f>IF(AND(E184&lt;='Method Controls'!$D$27,F184&lt;='Method Controls'!$D$28),"PASS","FAIL")</x:f>
        <x:v>PASS</x:v>
      </x:c>
      <x:c r="L184" s="9" t="str">
        <x:f>IF(AND(I184="PASS",J184="PASS",K184="PASS"),"PASS","FAIL")</x:f>
        <x:v>PASS</x:v>
      </x:c>
    </x:row>
    <x:row r="185">
      <x:c r="B185" s="9" t="n">
        <x:v>269</x:v>
      </x:c>
      <x:c r="C185" s="9" t="n">
        <x:f>COUNTIFS('Residual Schedule'!$C$7:$C$98,"Closure",'Residual Schedule'!$H$7:$H$98,"&lt;="&amp;B185,'Residual Schedule'!$I$7:$I$98,"&gt;"&amp;B185)</x:f>
        <x:v>0</x:v>
      </x:c>
      <x:c r="D185" s="9" t="n">
        <x:f>COUNTIFS('Residual Schedule'!$C$7:$C$98,"Damage",'Residual Schedule'!$H$7:$H$98,"&lt;="&amp;B185,'Residual Schedule'!$I$7:$I$98,"&gt;"&amp;B185)</x:f>
        <x:v>3</x:v>
      </x:c>
      <x:c r="E185" s="9" t="n">
        <x:f>COUNTIFS('Residual Schedule'!$C$7:$C$98,"Closure",'Residual Schedule'!$I$7:$I$98,"&lt;="&amp;B185,'Residual Schedule'!$J$7:$J$98,"&gt;"&amp;B185)</x:f>
        <x:v>4</x:v>
      </x:c>
      <x:c r="F185" s="9" t="n">
        <x:f>COUNTIFS('Residual Schedule'!$C$7:$C$98,"Damage",'Residual Schedule'!$I$7:$I$98,"&lt;="&amp;B185,'Residual Schedule'!$J$7:$J$98,"&gt;"&amp;B185)</x:f>
        <x:v>0</x:v>
      </x:c>
      <x:c r="G185" s="9" t="n">
        <x:f>COUNTIFS('Residual Schedule'!$C$7:$C$98,"Closure",'Residual Schedule'!$J$7:$J$98,"&lt;="&amp;B185)</x:f>
        <x:v>52</x:v>
      </x:c>
      <x:c r="H185" s="9" t="n">
        <x:f>COUNTIFS('Residual Schedule'!$C$7:$C$98,"Damage",'Residual Schedule'!$J$7:$J$98,"&lt;="&amp;B185)</x:f>
        <x:v>21</x:v>
      </x:c>
      <x:c r="I185" s="9" t="str">
        <x:f>IF(C185&lt;='Method Controls'!$D$27,"PASS","FAIL")</x:f>
        <x:v>PASS</x:v>
      </x:c>
      <x:c r="J185" s="9" t="str">
        <x:f>IF(D185&lt;='Method Controls'!$D$28,"PASS","FAIL")</x:f>
        <x:v>PASS</x:v>
      </x:c>
      <x:c r="K185" s="9" t="str">
        <x:f>IF(AND(E185&lt;='Method Controls'!$D$27,F185&lt;='Method Controls'!$D$28),"PASS","FAIL")</x:f>
        <x:v>PASS</x:v>
      </x:c>
      <x:c r="L185" s="9" t="str">
        <x:f>IF(AND(I185="PASS",J185="PASS",K185="PASS"),"PASS","FAIL")</x:f>
        <x:v>PASS</x:v>
      </x:c>
    </x:row>
    <x:row r="186">
      <x:c r="B186" s="9" t="n">
        <x:v>270</x:v>
      </x:c>
      <x:c r="C186" s="9" t="n">
        <x:f>COUNTIFS('Residual Schedule'!$C$7:$C$98,"Closure",'Residual Schedule'!$H$7:$H$98,"&lt;="&amp;B186,'Residual Schedule'!$I$7:$I$98,"&gt;"&amp;B186)</x:f>
        <x:v>0</x:v>
      </x:c>
      <x:c r="D186" s="9" t="n">
        <x:f>COUNTIFS('Residual Schedule'!$C$7:$C$98,"Damage",'Residual Schedule'!$H$7:$H$98,"&lt;="&amp;B186,'Residual Schedule'!$I$7:$I$98,"&gt;"&amp;B186)</x:f>
        <x:v>3</x:v>
      </x:c>
      <x:c r="E186" s="9" t="n">
        <x:f>COUNTIFS('Residual Schedule'!$C$7:$C$98,"Closure",'Residual Schedule'!$I$7:$I$98,"&lt;="&amp;B186,'Residual Schedule'!$J$7:$J$98,"&gt;"&amp;B186)</x:f>
        <x:v>4</x:v>
      </x:c>
      <x:c r="F186" s="9" t="n">
        <x:f>COUNTIFS('Residual Schedule'!$C$7:$C$98,"Damage",'Residual Schedule'!$I$7:$I$98,"&lt;="&amp;B186,'Residual Schedule'!$J$7:$J$98,"&gt;"&amp;B186)</x:f>
        <x:v>0</x:v>
      </x:c>
      <x:c r="G186" s="9" t="n">
        <x:f>COUNTIFS('Residual Schedule'!$C$7:$C$98,"Closure",'Residual Schedule'!$J$7:$J$98,"&lt;="&amp;B186)</x:f>
        <x:v>52</x:v>
      </x:c>
      <x:c r="H186" s="9" t="n">
        <x:f>COUNTIFS('Residual Schedule'!$C$7:$C$98,"Damage",'Residual Schedule'!$J$7:$J$98,"&lt;="&amp;B186)</x:f>
        <x:v>21</x:v>
      </x:c>
      <x:c r="I186" s="9" t="str">
        <x:f>IF(C186&lt;='Method Controls'!$D$27,"PASS","FAIL")</x:f>
        <x:v>PASS</x:v>
      </x:c>
      <x:c r="J186" s="9" t="str">
        <x:f>IF(D186&lt;='Method Controls'!$D$28,"PASS","FAIL")</x:f>
        <x:v>PASS</x:v>
      </x:c>
      <x:c r="K186" s="9" t="str">
        <x:f>IF(AND(E186&lt;='Method Controls'!$D$27,F186&lt;='Method Controls'!$D$28),"PASS","FAIL")</x:f>
        <x:v>PASS</x:v>
      </x:c>
      <x:c r="L186" s="9" t="str">
        <x:f>IF(AND(I186="PASS",J186="PASS",K186="PASS"),"PASS","FAIL")</x:f>
        <x:v>PASS</x:v>
      </x:c>
    </x:row>
    <x:row r="187">
      <x:c r="B187" s="9" t="n">
        <x:v>271</x:v>
      </x:c>
      <x:c r="C187" s="9" t="n">
        <x:f>COUNTIFS('Residual Schedule'!$C$7:$C$98,"Closure",'Residual Schedule'!$H$7:$H$98,"&lt;="&amp;B187,'Residual Schedule'!$I$7:$I$98,"&gt;"&amp;B187)</x:f>
        <x:v>0</x:v>
      </x:c>
      <x:c r="D187" s="9" t="n">
        <x:f>COUNTIFS('Residual Schedule'!$C$7:$C$98,"Damage",'Residual Schedule'!$H$7:$H$98,"&lt;="&amp;B187,'Residual Schedule'!$I$7:$I$98,"&gt;"&amp;B187)</x:f>
        <x:v>3</x:v>
      </x:c>
      <x:c r="E187" s="9" t="n">
        <x:f>COUNTIFS('Residual Schedule'!$C$7:$C$98,"Closure",'Residual Schedule'!$I$7:$I$98,"&lt;="&amp;B187,'Residual Schedule'!$J$7:$J$98,"&gt;"&amp;B187)</x:f>
        <x:v>4</x:v>
      </x:c>
      <x:c r="F187" s="9" t="n">
        <x:f>COUNTIFS('Residual Schedule'!$C$7:$C$98,"Damage",'Residual Schedule'!$I$7:$I$98,"&lt;="&amp;B187,'Residual Schedule'!$J$7:$J$98,"&gt;"&amp;B187)</x:f>
        <x:v>0</x:v>
      </x:c>
      <x:c r="G187" s="9" t="n">
        <x:f>COUNTIFS('Residual Schedule'!$C$7:$C$98,"Closure",'Residual Schedule'!$J$7:$J$98,"&lt;="&amp;B187)</x:f>
        <x:v>52</x:v>
      </x:c>
      <x:c r="H187" s="9" t="n">
        <x:f>COUNTIFS('Residual Schedule'!$C$7:$C$98,"Damage",'Residual Schedule'!$J$7:$J$98,"&lt;="&amp;B187)</x:f>
        <x:v>21</x:v>
      </x:c>
      <x:c r="I187" s="9" t="str">
        <x:f>IF(C187&lt;='Method Controls'!$D$27,"PASS","FAIL")</x:f>
        <x:v>PASS</x:v>
      </x:c>
      <x:c r="J187" s="9" t="str">
        <x:f>IF(D187&lt;='Method Controls'!$D$28,"PASS","FAIL")</x:f>
        <x:v>PASS</x:v>
      </x:c>
      <x:c r="K187" s="9" t="str">
        <x:f>IF(AND(E187&lt;='Method Controls'!$D$27,F187&lt;='Method Controls'!$D$28),"PASS","FAIL")</x:f>
        <x:v>PASS</x:v>
      </x:c>
      <x:c r="L187" s="9" t="str">
        <x:f>IF(AND(I187="PASS",J187="PASS",K187="PASS"),"PASS","FAIL")</x:f>
        <x:v>PASS</x:v>
      </x:c>
    </x:row>
    <x:row r="188">
      <x:c r="B188" s="9" t="n">
        <x:v>272</x:v>
      </x:c>
      <x:c r="C188" s="9" t="n">
        <x:f>COUNTIFS('Residual Schedule'!$C$7:$C$98,"Closure",'Residual Schedule'!$H$7:$H$98,"&lt;="&amp;B188,'Residual Schedule'!$I$7:$I$98,"&gt;"&amp;B188)</x:f>
        <x:v>0</x:v>
      </x:c>
      <x:c r="D188" s="9" t="n">
        <x:f>COUNTIFS('Residual Schedule'!$C$7:$C$98,"Damage",'Residual Schedule'!$H$7:$H$98,"&lt;="&amp;B188,'Residual Schedule'!$I$7:$I$98,"&gt;"&amp;B188)</x:f>
        <x:v>3</x:v>
      </x:c>
      <x:c r="E188" s="9" t="n">
        <x:f>COUNTIFS('Residual Schedule'!$C$7:$C$98,"Closure",'Residual Schedule'!$I$7:$I$98,"&lt;="&amp;B188,'Residual Schedule'!$J$7:$J$98,"&gt;"&amp;B188)</x:f>
        <x:v>4</x:v>
      </x:c>
      <x:c r="F188" s="9" t="n">
        <x:f>COUNTIFS('Residual Schedule'!$C$7:$C$98,"Damage",'Residual Schedule'!$I$7:$I$98,"&lt;="&amp;B188,'Residual Schedule'!$J$7:$J$98,"&gt;"&amp;B188)</x:f>
        <x:v>0</x:v>
      </x:c>
      <x:c r="G188" s="9" t="n">
        <x:f>COUNTIFS('Residual Schedule'!$C$7:$C$98,"Closure",'Residual Schedule'!$J$7:$J$98,"&lt;="&amp;B188)</x:f>
        <x:v>52</x:v>
      </x:c>
      <x:c r="H188" s="9" t="n">
        <x:f>COUNTIFS('Residual Schedule'!$C$7:$C$98,"Damage",'Residual Schedule'!$J$7:$J$98,"&lt;="&amp;B188)</x:f>
        <x:v>21</x:v>
      </x:c>
      <x:c r="I188" s="9" t="str">
        <x:f>IF(C188&lt;='Method Controls'!$D$27,"PASS","FAIL")</x:f>
        <x:v>PASS</x:v>
      </x:c>
      <x:c r="J188" s="9" t="str">
        <x:f>IF(D188&lt;='Method Controls'!$D$28,"PASS","FAIL")</x:f>
        <x:v>PASS</x:v>
      </x:c>
      <x:c r="K188" s="9" t="str">
        <x:f>IF(AND(E188&lt;='Method Controls'!$D$27,F188&lt;='Method Controls'!$D$28),"PASS","FAIL")</x:f>
        <x:v>PASS</x:v>
      </x:c>
      <x:c r="L188" s="9" t="str">
        <x:f>IF(AND(I188="PASS",J188="PASS",K188="PASS"),"PASS","FAIL")</x:f>
        <x:v>PASS</x:v>
      </x:c>
    </x:row>
    <x:row r="189">
      <x:c r="B189" s="9" t="n">
        <x:v>273</x:v>
      </x:c>
      <x:c r="C189" s="9" t="n">
        <x:f>COUNTIFS('Residual Schedule'!$C$7:$C$98,"Closure",'Residual Schedule'!$H$7:$H$98,"&lt;="&amp;B189,'Residual Schedule'!$I$7:$I$98,"&gt;"&amp;B189)</x:f>
        <x:v>4</x:v>
      </x:c>
      <x:c r="D189" s="9" t="n">
        <x:f>COUNTIFS('Residual Schedule'!$C$7:$C$98,"Damage",'Residual Schedule'!$H$7:$H$98,"&lt;="&amp;B189,'Residual Schedule'!$I$7:$I$98,"&gt;"&amp;B189)</x:f>
        <x:v>3</x:v>
      </x:c>
      <x:c r="E189" s="9" t="n">
        <x:f>COUNTIFS('Residual Schedule'!$C$7:$C$98,"Closure",'Residual Schedule'!$I$7:$I$98,"&lt;="&amp;B189,'Residual Schedule'!$J$7:$J$98,"&gt;"&amp;B189)</x:f>
        <x:v>4</x:v>
      </x:c>
      <x:c r="F189" s="9" t="n">
        <x:f>COUNTIFS('Residual Schedule'!$C$7:$C$98,"Damage",'Residual Schedule'!$I$7:$I$98,"&lt;="&amp;B189,'Residual Schedule'!$J$7:$J$98,"&gt;"&amp;B189)</x:f>
        <x:v>0</x:v>
      </x:c>
      <x:c r="G189" s="9" t="n">
        <x:f>COUNTIFS('Residual Schedule'!$C$7:$C$98,"Closure",'Residual Schedule'!$J$7:$J$98,"&lt;="&amp;B189)</x:f>
        <x:v>52</x:v>
      </x:c>
      <x:c r="H189" s="9" t="n">
        <x:f>COUNTIFS('Residual Schedule'!$C$7:$C$98,"Damage",'Residual Schedule'!$J$7:$J$98,"&lt;="&amp;B189)</x:f>
        <x:v>21</x:v>
      </x:c>
      <x:c r="I189" s="9" t="str">
        <x:f>IF(C189&lt;='Method Controls'!$D$27,"PASS","FAIL")</x:f>
        <x:v>PASS</x:v>
      </x:c>
      <x:c r="J189" s="9" t="str">
        <x:f>IF(D189&lt;='Method Controls'!$D$28,"PASS","FAIL")</x:f>
        <x:v>PASS</x:v>
      </x:c>
      <x:c r="K189" s="9" t="str">
        <x:f>IF(AND(E189&lt;='Method Controls'!$D$27,F189&lt;='Method Controls'!$D$28),"PASS","FAIL")</x:f>
        <x:v>PASS</x:v>
      </x:c>
      <x:c r="L189" s="9" t="str">
        <x:f>IF(AND(I189="PASS",J189="PASS",K189="PASS"),"PASS","FAIL")</x:f>
        <x:v>PASS</x:v>
      </x:c>
    </x:row>
    <x:row r="190">
      <x:c r="B190" s="9" t="n">
        <x:v>274</x:v>
      </x:c>
      <x:c r="C190" s="9" t="n">
        <x:f>COUNTIFS('Residual Schedule'!$C$7:$C$98,"Closure",'Residual Schedule'!$H$7:$H$98,"&lt;="&amp;B190,'Residual Schedule'!$I$7:$I$98,"&gt;"&amp;B190)</x:f>
        <x:v>4</x:v>
      </x:c>
      <x:c r="D190" s="9" t="n">
        <x:f>COUNTIFS('Residual Schedule'!$C$7:$C$98,"Damage",'Residual Schedule'!$H$7:$H$98,"&lt;="&amp;B190,'Residual Schedule'!$I$7:$I$98,"&gt;"&amp;B190)</x:f>
        <x:v>3</x:v>
      </x:c>
      <x:c r="E190" s="9" t="n">
        <x:f>COUNTIFS('Residual Schedule'!$C$7:$C$98,"Closure",'Residual Schedule'!$I$7:$I$98,"&lt;="&amp;B190,'Residual Schedule'!$J$7:$J$98,"&gt;"&amp;B190)</x:f>
        <x:v>4</x:v>
      </x:c>
      <x:c r="F190" s="9" t="n">
        <x:f>COUNTIFS('Residual Schedule'!$C$7:$C$98,"Damage",'Residual Schedule'!$I$7:$I$98,"&lt;="&amp;B190,'Residual Schedule'!$J$7:$J$98,"&gt;"&amp;B190)</x:f>
        <x:v>0</x:v>
      </x:c>
      <x:c r="G190" s="9" t="n">
        <x:f>COUNTIFS('Residual Schedule'!$C$7:$C$98,"Closure",'Residual Schedule'!$J$7:$J$98,"&lt;="&amp;B190)</x:f>
        <x:v>52</x:v>
      </x:c>
      <x:c r="H190" s="9" t="n">
        <x:f>COUNTIFS('Residual Schedule'!$C$7:$C$98,"Damage",'Residual Schedule'!$J$7:$J$98,"&lt;="&amp;B190)</x:f>
        <x:v>21</x:v>
      </x:c>
      <x:c r="I190" s="9" t="str">
        <x:f>IF(C190&lt;='Method Controls'!$D$27,"PASS","FAIL")</x:f>
        <x:v>PASS</x:v>
      </x:c>
      <x:c r="J190" s="9" t="str">
        <x:f>IF(D190&lt;='Method Controls'!$D$28,"PASS","FAIL")</x:f>
        <x:v>PASS</x:v>
      </x:c>
      <x:c r="K190" s="9" t="str">
        <x:f>IF(AND(E190&lt;='Method Controls'!$D$27,F190&lt;='Method Controls'!$D$28),"PASS","FAIL")</x:f>
        <x:v>PASS</x:v>
      </x:c>
      <x:c r="L190" s="9" t="str">
        <x:f>IF(AND(I190="PASS",J190="PASS",K190="PASS"),"PASS","FAIL")</x:f>
        <x:v>PASS</x:v>
      </x:c>
    </x:row>
    <x:row r="191">
      <x:c r="B191" s="9" t="n">
        <x:v>275</x:v>
      </x:c>
      <x:c r="C191" s="9" t="n">
        <x:f>COUNTIFS('Residual Schedule'!$C$7:$C$98,"Closure",'Residual Schedule'!$H$7:$H$98,"&lt;="&amp;B191,'Residual Schedule'!$I$7:$I$98,"&gt;"&amp;B191)</x:f>
        <x:v>4</x:v>
      </x:c>
      <x:c r="D191" s="9" t="n">
        <x:f>COUNTIFS('Residual Schedule'!$C$7:$C$98,"Damage",'Residual Schedule'!$H$7:$H$98,"&lt;="&amp;B191,'Residual Schedule'!$I$7:$I$98,"&gt;"&amp;B191)</x:f>
        <x:v>3</x:v>
      </x:c>
      <x:c r="E191" s="9" t="n">
        <x:f>COUNTIFS('Residual Schedule'!$C$7:$C$98,"Closure",'Residual Schedule'!$I$7:$I$98,"&lt;="&amp;B191,'Residual Schedule'!$J$7:$J$98,"&gt;"&amp;B191)</x:f>
        <x:v>0</x:v>
      </x:c>
      <x:c r="F191" s="9" t="n">
        <x:f>COUNTIFS('Residual Schedule'!$C$7:$C$98,"Damage",'Residual Schedule'!$I$7:$I$98,"&lt;="&amp;B191,'Residual Schedule'!$J$7:$J$98,"&gt;"&amp;B191)</x:f>
        <x:v>0</x:v>
      </x:c>
      <x:c r="G191" s="9" t="n">
        <x:f>COUNTIFS('Residual Schedule'!$C$7:$C$98,"Closure",'Residual Schedule'!$J$7:$J$98,"&lt;="&amp;B191)</x:f>
        <x:v>56</x:v>
      </x:c>
      <x:c r="H191" s="9" t="n">
        <x:f>COUNTIFS('Residual Schedule'!$C$7:$C$98,"Damage",'Residual Schedule'!$J$7:$J$98,"&lt;="&amp;B191)</x:f>
        <x:v>21</x:v>
      </x:c>
      <x:c r="I191" s="9" t="str">
        <x:f>IF(C191&lt;='Method Controls'!$D$27,"PASS","FAIL")</x:f>
        <x:v>PASS</x:v>
      </x:c>
      <x:c r="J191" s="9" t="str">
        <x:f>IF(D191&lt;='Method Controls'!$D$28,"PASS","FAIL")</x:f>
        <x:v>PASS</x:v>
      </x:c>
      <x:c r="K191" s="9" t="str">
        <x:f>IF(AND(E191&lt;='Method Controls'!$D$27,F191&lt;='Method Controls'!$D$28),"PASS","FAIL")</x:f>
        <x:v>PASS</x:v>
      </x:c>
      <x:c r="L191" s="9" t="str">
        <x:f>IF(AND(I191="PASS",J191="PASS",K191="PASS"),"PASS","FAIL")</x:f>
        <x:v>PASS</x:v>
      </x:c>
    </x:row>
    <x:row r="192">
      <x:c r="B192" s="9" t="n">
        <x:v>276</x:v>
      </x:c>
      <x:c r="C192" s="9" t="n">
        <x:f>COUNTIFS('Residual Schedule'!$C$7:$C$98,"Closure",'Residual Schedule'!$H$7:$H$98,"&lt;="&amp;B192,'Residual Schedule'!$I$7:$I$98,"&gt;"&amp;B192)</x:f>
        <x:v>4</x:v>
      </x:c>
      <x:c r="D192" s="9" t="n">
        <x:f>COUNTIFS('Residual Schedule'!$C$7:$C$98,"Damage",'Residual Schedule'!$H$7:$H$98,"&lt;="&amp;B192,'Residual Schedule'!$I$7:$I$98,"&gt;"&amp;B192)</x:f>
        <x:v>3</x:v>
      </x:c>
      <x:c r="E192" s="9" t="n">
        <x:f>COUNTIFS('Residual Schedule'!$C$7:$C$98,"Closure",'Residual Schedule'!$I$7:$I$98,"&lt;="&amp;B192,'Residual Schedule'!$J$7:$J$98,"&gt;"&amp;B192)</x:f>
        <x:v>0</x:v>
      </x:c>
      <x:c r="F192" s="9" t="n">
        <x:f>COUNTIFS('Residual Schedule'!$C$7:$C$98,"Damage",'Residual Schedule'!$I$7:$I$98,"&lt;="&amp;B192,'Residual Schedule'!$J$7:$J$98,"&gt;"&amp;B192)</x:f>
        <x:v>0</x:v>
      </x:c>
      <x:c r="G192" s="9" t="n">
        <x:f>COUNTIFS('Residual Schedule'!$C$7:$C$98,"Closure",'Residual Schedule'!$J$7:$J$98,"&lt;="&amp;B192)</x:f>
        <x:v>56</x:v>
      </x:c>
      <x:c r="H192" s="9" t="n">
        <x:f>COUNTIFS('Residual Schedule'!$C$7:$C$98,"Damage",'Residual Schedule'!$J$7:$J$98,"&lt;="&amp;B192)</x:f>
        <x:v>21</x:v>
      </x:c>
      <x:c r="I192" s="9" t="str">
        <x:f>IF(C192&lt;='Method Controls'!$D$27,"PASS","FAIL")</x:f>
        <x:v>PASS</x:v>
      </x:c>
      <x:c r="J192" s="9" t="str">
        <x:f>IF(D192&lt;='Method Controls'!$D$28,"PASS","FAIL")</x:f>
        <x:v>PASS</x:v>
      </x:c>
      <x:c r="K192" s="9" t="str">
        <x:f>IF(AND(E192&lt;='Method Controls'!$D$27,F192&lt;='Method Controls'!$D$28),"PASS","FAIL")</x:f>
        <x:v>PASS</x:v>
      </x:c>
      <x:c r="L192" s="9" t="str">
        <x:f>IF(AND(I192="PASS",J192="PASS",K192="PASS"),"PASS","FAIL")</x:f>
        <x:v>PASS</x:v>
      </x:c>
    </x:row>
    <x:row r="193">
      <x:c r="B193" s="9" t="n">
        <x:v>277</x:v>
      </x:c>
      <x:c r="C193" s="9" t="n">
        <x:f>COUNTIFS('Residual Schedule'!$C$7:$C$98,"Closure",'Residual Schedule'!$H$7:$H$98,"&lt;="&amp;B193,'Residual Schedule'!$I$7:$I$98,"&gt;"&amp;B193)</x:f>
        <x:v>4</x:v>
      </x:c>
      <x:c r="D193" s="9" t="n">
        <x:f>COUNTIFS('Residual Schedule'!$C$7:$C$98,"Damage",'Residual Schedule'!$H$7:$H$98,"&lt;="&amp;B193,'Residual Schedule'!$I$7:$I$98,"&gt;"&amp;B193)</x:f>
        <x:v>3</x:v>
      </x:c>
      <x:c r="E193" s="9" t="n">
        <x:f>COUNTIFS('Residual Schedule'!$C$7:$C$98,"Closure",'Residual Schedule'!$I$7:$I$98,"&lt;="&amp;B193,'Residual Schedule'!$J$7:$J$98,"&gt;"&amp;B193)</x:f>
        <x:v>0</x:v>
      </x:c>
      <x:c r="F193" s="9" t="n">
        <x:f>COUNTIFS('Residual Schedule'!$C$7:$C$98,"Damage",'Residual Schedule'!$I$7:$I$98,"&lt;="&amp;B193,'Residual Schedule'!$J$7:$J$98,"&gt;"&amp;B193)</x:f>
        <x:v>0</x:v>
      </x:c>
      <x:c r="G193" s="9" t="n">
        <x:f>COUNTIFS('Residual Schedule'!$C$7:$C$98,"Closure",'Residual Schedule'!$J$7:$J$98,"&lt;="&amp;B193)</x:f>
        <x:v>56</x:v>
      </x:c>
      <x:c r="H193" s="9" t="n">
        <x:f>COUNTIFS('Residual Schedule'!$C$7:$C$98,"Damage",'Residual Schedule'!$J$7:$J$98,"&lt;="&amp;B193)</x:f>
        <x:v>21</x:v>
      </x:c>
      <x:c r="I193" s="9" t="str">
        <x:f>IF(C193&lt;='Method Controls'!$D$27,"PASS","FAIL")</x:f>
        <x:v>PASS</x:v>
      </x:c>
      <x:c r="J193" s="9" t="str">
        <x:f>IF(D193&lt;='Method Controls'!$D$28,"PASS","FAIL")</x:f>
        <x:v>PASS</x:v>
      </x:c>
      <x:c r="K193" s="9" t="str">
        <x:f>IF(AND(E193&lt;='Method Controls'!$D$27,F193&lt;='Method Controls'!$D$28),"PASS","FAIL")</x:f>
        <x:v>PASS</x:v>
      </x:c>
      <x:c r="L193" s="9" t="str">
        <x:f>IF(AND(I193="PASS",J193="PASS",K193="PASS"),"PASS","FAIL")</x:f>
        <x:v>PASS</x:v>
      </x:c>
    </x:row>
    <x:row r="194">
      <x:c r="B194" s="9" t="n">
        <x:v>278</x:v>
      </x:c>
      <x:c r="C194" s="9" t="n">
        <x:f>COUNTIFS('Residual Schedule'!$C$7:$C$98,"Closure",'Residual Schedule'!$H$7:$H$98,"&lt;="&amp;B194,'Residual Schedule'!$I$7:$I$98,"&gt;"&amp;B194)</x:f>
        <x:v>4</x:v>
      </x:c>
      <x:c r="D194" s="9" t="n">
        <x:f>COUNTIFS('Residual Schedule'!$C$7:$C$98,"Damage",'Residual Schedule'!$H$7:$H$98,"&lt;="&amp;B194,'Residual Schedule'!$I$7:$I$98,"&gt;"&amp;B194)</x:f>
        <x:v>3</x:v>
      </x:c>
      <x:c r="E194" s="9" t="n">
        <x:f>COUNTIFS('Residual Schedule'!$C$7:$C$98,"Closure",'Residual Schedule'!$I$7:$I$98,"&lt;="&amp;B194,'Residual Schedule'!$J$7:$J$98,"&gt;"&amp;B194)</x:f>
        <x:v>0</x:v>
      </x:c>
      <x:c r="F194" s="9" t="n">
        <x:f>COUNTIFS('Residual Schedule'!$C$7:$C$98,"Damage",'Residual Schedule'!$I$7:$I$98,"&lt;="&amp;B194,'Residual Schedule'!$J$7:$J$98,"&gt;"&amp;B194)</x:f>
        <x:v>0</x:v>
      </x:c>
      <x:c r="G194" s="9" t="n">
        <x:f>COUNTIFS('Residual Schedule'!$C$7:$C$98,"Closure",'Residual Schedule'!$J$7:$J$98,"&lt;="&amp;B194)</x:f>
        <x:v>56</x:v>
      </x:c>
      <x:c r="H194" s="9" t="n">
        <x:f>COUNTIFS('Residual Schedule'!$C$7:$C$98,"Damage",'Residual Schedule'!$J$7:$J$98,"&lt;="&amp;B194)</x:f>
        <x:v>21</x:v>
      </x:c>
      <x:c r="I194" s="9" t="str">
        <x:f>IF(C194&lt;='Method Controls'!$D$27,"PASS","FAIL")</x:f>
        <x:v>PASS</x:v>
      </x:c>
      <x:c r="J194" s="9" t="str">
        <x:f>IF(D194&lt;='Method Controls'!$D$28,"PASS","FAIL")</x:f>
        <x:v>PASS</x:v>
      </x:c>
      <x:c r="K194" s="9" t="str">
        <x:f>IF(AND(E194&lt;='Method Controls'!$D$27,F194&lt;='Method Controls'!$D$28),"PASS","FAIL")</x:f>
        <x:v>PASS</x:v>
      </x:c>
      <x:c r="L194" s="9" t="str">
        <x:f>IF(AND(I194="PASS",J194="PASS",K194="PASS"),"PASS","FAIL")</x:f>
        <x:v>PASS</x:v>
      </x:c>
    </x:row>
    <x:row r="195">
      <x:c r="B195" s="9" t="n">
        <x:v>279</x:v>
      </x:c>
      <x:c r="C195" s="9" t="n">
        <x:f>COUNTIFS('Residual Schedule'!$C$7:$C$98,"Closure",'Residual Schedule'!$H$7:$H$98,"&lt;="&amp;B195,'Residual Schedule'!$I$7:$I$98,"&gt;"&amp;B195)</x:f>
        <x:v>4</x:v>
      </x:c>
      <x:c r="D195" s="9" t="n">
        <x:f>COUNTIFS('Residual Schedule'!$C$7:$C$98,"Damage",'Residual Schedule'!$H$7:$H$98,"&lt;="&amp;B195,'Residual Schedule'!$I$7:$I$98,"&gt;"&amp;B195)</x:f>
        <x:v>3</x:v>
      </x:c>
      <x:c r="E195" s="9" t="n">
        <x:f>COUNTIFS('Residual Schedule'!$C$7:$C$98,"Closure",'Residual Schedule'!$I$7:$I$98,"&lt;="&amp;B195,'Residual Schedule'!$J$7:$J$98,"&gt;"&amp;B195)</x:f>
        <x:v>0</x:v>
      </x:c>
      <x:c r="F195" s="9" t="n">
        <x:f>COUNTIFS('Residual Schedule'!$C$7:$C$98,"Damage",'Residual Schedule'!$I$7:$I$98,"&lt;="&amp;B195,'Residual Schedule'!$J$7:$J$98,"&gt;"&amp;B195)</x:f>
        <x:v>0</x:v>
      </x:c>
      <x:c r="G195" s="9" t="n">
        <x:f>COUNTIFS('Residual Schedule'!$C$7:$C$98,"Closure",'Residual Schedule'!$J$7:$J$98,"&lt;="&amp;B195)</x:f>
        <x:v>56</x:v>
      </x:c>
      <x:c r="H195" s="9" t="n">
        <x:f>COUNTIFS('Residual Schedule'!$C$7:$C$98,"Damage",'Residual Schedule'!$J$7:$J$98,"&lt;="&amp;B195)</x:f>
        <x:v>21</x:v>
      </x:c>
      <x:c r="I195" s="9" t="str">
        <x:f>IF(C195&lt;='Method Controls'!$D$27,"PASS","FAIL")</x:f>
        <x:v>PASS</x:v>
      </x:c>
      <x:c r="J195" s="9" t="str">
        <x:f>IF(D195&lt;='Method Controls'!$D$28,"PASS","FAIL")</x:f>
        <x:v>PASS</x:v>
      </x:c>
      <x:c r="K195" s="9" t="str">
        <x:f>IF(AND(E195&lt;='Method Controls'!$D$27,F195&lt;='Method Controls'!$D$28),"PASS","FAIL")</x:f>
        <x:v>PASS</x:v>
      </x:c>
      <x:c r="L195" s="9" t="str">
        <x:f>IF(AND(I195="PASS",J195="PASS",K195="PASS"),"PASS","FAIL")</x:f>
        <x:v>PASS</x:v>
      </x:c>
    </x:row>
    <x:row r="196">
      <x:c r="B196" s="9" t="n">
        <x:v>280</x:v>
      </x:c>
      <x:c r="C196" s="9" t="n">
        <x:f>COUNTIFS('Residual Schedule'!$C$7:$C$98,"Closure",'Residual Schedule'!$H$7:$H$98,"&lt;="&amp;B196,'Residual Schedule'!$I$7:$I$98,"&gt;"&amp;B196)</x:f>
        <x:v>4</x:v>
      </x:c>
      <x:c r="D196" s="9" t="n">
        <x:f>COUNTIFS('Residual Schedule'!$C$7:$C$98,"Damage",'Residual Schedule'!$H$7:$H$98,"&lt;="&amp;B196,'Residual Schedule'!$I$7:$I$98,"&gt;"&amp;B196)</x:f>
        <x:v>3</x:v>
      </x:c>
      <x:c r="E196" s="9" t="n">
        <x:f>COUNTIFS('Residual Schedule'!$C$7:$C$98,"Closure",'Residual Schedule'!$I$7:$I$98,"&lt;="&amp;B196,'Residual Schedule'!$J$7:$J$98,"&gt;"&amp;B196)</x:f>
        <x:v>0</x:v>
      </x:c>
      <x:c r="F196" s="9" t="n">
        <x:f>COUNTIFS('Residual Schedule'!$C$7:$C$98,"Damage",'Residual Schedule'!$I$7:$I$98,"&lt;="&amp;B196,'Residual Schedule'!$J$7:$J$98,"&gt;"&amp;B196)</x:f>
        <x:v>0</x:v>
      </x:c>
      <x:c r="G196" s="9" t="n">
        <x:f>COUNTIFS('Residual Schedule'!$C$7:$C$98,"Closure",'Residual Schedule'!$J$7:$J$98,"&lt;="&amp;B196)</x:f>
        <x:v>56</x:v>
      </x:c>
      <x:c r="H196" s="9" t="n">
        <x:f>COUNTIFS('Residual Schedule'!$C$7:$C$98,"Damage",'Residual Schedule'!$J$7:$J$98,"&lt;="&amp;B196)</x:f>
        <x:v>21</x:v>
      </x:c>
      <x:c r="I196" s="9" t="str">
        <x:f>IF(C196&lt;='Method Controls'!$D$27,"PASS","FAIL")</x:f>
        <x:v>PASS</x:v>
      </x:c>
      <x:c r="J196" s="9" t="str">
        <x:f>IF(D196&lt;='Method Controls'!$D$28,"PASS","FAIL")</x:f>
        <x:v>PASS</x:v>
      </x:c>
      <x:c r="K196" s="9" t="str">
        <x:f>IF(AND(E196&lt;='Method Controls'!$D$27,F196&lt;='Method Controls'!$D$28),"PASS","FAIL")</x:f>
        <x:v>PASS</x:v>
      </x:c>
      <x:c r="L196" s="9" t="str">
        <x:f>IF(AND(I196="PASS",J196="PASS",K196="PASS"),"PASS","FAIL")</x:f>
        <x:v>PASS</x:v>
      </x:c>
    </x:row>
    <x:row r="197">
      <x:c r="B197" s="9" t="n">
        <x:v>281</x:v>
      </x:c>
      <x:c r="C197" s="9" t="n">
        <x:f>COUNTIFS('Residual Schedule'!$C$7:$C$98,"Closure",'Residual Schedule'!$H$7:$H$98,"&lt;="&amp;B197,'Residual Schedule'!$I$7:$I$98,"&gt;"&amp;B197)</x:f>
        <x:v>0</x:v>
      </x:c>
      <x:c r="D197" s="9" t="n">
        <x:f>COUNTIFS('Residual Schedule'!$C$7:$C$98,"Damage",'Residual Schedule'!$H$7:$H$98,"&lt;="&amp;B197,'Residual Schedule'!$I$7:$I$98,"&gt;"&amp;B197)</x:f>
        <x:v>3</x:v>
      </x:c>
      <x:c r="E197" s="9" t="n">
        <x:f>COUNTIFS('Residual Schedule'!$C$7:$C$98,"Closure",'Residual Schedule'!$I$7:$I$98,"&lt;="&amp;B197,'Residual Schedule'!$J$7:$J$98,"&gt;"&amp;B197)</x:f>
        <x:v>4</x:v>
      </x:c>
      <x:c r="F197" s="9" t="n">
        <x:f>COUNTIFS('Residual Schedule'!$C$7:$C$98,"Damage",'Residual Schedule'!$I$7:$I$98,"&lt;="&amp;B197,'Residual Schedule'!$J$7:$J$98,"&gt;"&amp;B197)</x:f>
        <x:v>0</x:v>
      </x:c>
      <x:c r="G197" s="9" t="n">
        <x:f>COUNTIFS('Residual Schedule'!$C$7:$C$98,"Closure",'Residual Schedule'!$J$7:$J$98,"&lt;="&amp;B197)</x:f>
        <x:v>56</x:v>
      </x:c>
      <x:c r="H197" s="9" t="n">
        <x:f>COUNTIFS('Residual Schedule'!$C$7:$C$98,"Damage",'Residual Schedule'!$J$7:$J$98,"&lt;="&amp;B197)</x:f>
        <x:v>21</x:v>
      </x:c>
      <x:c r="I197" s="9" t="str">
        <x:f>IF(C197&lt;='Method Controls'!$D$27,"PASS","FAIL")</x:f>
        <x:v>PASS</x:v>
      </x:c>
      <x:c r="J197" s="9" t="str">
        <x:f>IF(D197&lt;='Method Controls'!$D$28,"PASS","FAIL")</x:f>
        <x:v>PASS</x:v>
      </x:c>
      <x:c r="K197" s="9" t="str">
        <x:f>IF(AND(E197&lt;='Method Controls'!$D$27,F197&lt;='Method Controls'!$D$28),"PASS","FAIL")</x:f>
        <x:v>PASS</x:v>
      </x:c>
      <x:c r="L197" s="9" t="str">
        <x:f>IF(AND(I197="PASS",J197="PASS",K197="PASS"),"PASS","FAIL")</x:f>
        <x:v>PASS</x:v>
      </x:c>
    </x:row>
    <x:row r="198">
      <x:c r="B198" s="9" t="n">
        <x:v>282</x:v>
      </x:c>
      <x:c r="C198" s="9" t="n">
        <x:f>COUNTIFS('Residual Schedule'!$C$7:$C$98,"Closure",'Residual Schedule'!$H$7:$H$98,"&lt;="&amp;B198,'Residual Schedule'!$I$7:$I$98,"&gt;"&amp;B198)</x:f>
        <x:v>0</x:v>
      </x:c>
      <x:c r="D198" s="9" t="n">
        <x:f>COUNTIFS('Residual Schedule'!$C$7:$C$98,"Damage",'Residual Schedule'!$H$7:$H$98,"&lt;="&amp;B198,'Residual Schedule'!$I$7:$I$98,"&gt;"&amp;B198)</x:f>
        <x:v>0</x:v>
      </x:c>
      <x:c r="E198" s="9" t="n">
        <x:f>COUNTIFS('Residual Schedule'!$C$7:$C$98,"Closure",'Residual Schedule'!$I$7:$I$98,"&lt;="&amp;B198,'Residual Schedule'!$J$7:$J$98,"&gt;"&amp;B198)</x:f>
        <x:v>4</x:v>
      </x:c>
      <x:c r="F198" s="9" t="n">
        <x:f>COUNTIFS('Residual Schedule'!$C$7:$C$98,"Damage",'Residual Schedule'!$I$7:$I$98,"&lt;="&amp;B198,'Residual Schedule'!$J$7:$J$98,"&gt;"&amp;B198)</x:f>
        <x:v>3</x:v>
      </x:c>
      <x:c r="G198" s="9" t="n">
        <x:f>COUNTIFS('Residual Schedule'!$C$7:$C$98,"Closure",'Residual Schedule'!$J$7:$J$98,"&lt;="&amp;B198)</x:f>
        <x:v>56</x:v>
      </x:c>
      <x:c r="H198" s="9" t="n">
        <x:f>COUNTIFS('Residual Schedule'!$C$7:$C$98,"Damage",'Residual Schedule'!$J$7:$J$98,"&lt;="&amp;B198)</x:f>
        <x:v>21</x:v>
      </x:c>
      <x:c r="I198" s="9" t="str">
        <x:f>IF(C198&lt;='Method Controls'!$D$27,"PASS","FAIL")</x:f>
        <x:v>PASS</x:v>
      </x:c>
      <x:c r="J198" s="9" t="str">
        <x:f>IF(D198&lt;='Method Controls'!$D$28,"PASS","FAIL")</x:f>
        <x:v>PASS</x:v>
      </x:c>
      <x:c r="K198" s="9" t="str">
        <x:f>IF(AND(E198&lt;='Method Controls'!$D$27,F198&lt;='Method Controls'!$D$28),"PASS","FAIL")</x:f>
        <x:v>PASS</x:v>
      </x:c>
      <x:c r="L198" s="9" t="str">
        <x:f>IF(AND(I198="PASS",J198="PASS",K198="PASS"),"PASS","FAIL")</x:f>
        <x:v>PASS</x:v>
      </x:c>
    </x:row>
    <x:row r="199">
      <x:c r="B199" s="9" t="n">
        <x:v>283</x:v>
      </x:c>
      <x:c r="C199" s="9" t="n">
        <x:f>COUNTIFS('Residual Schedule'!$C$7:$C$98,"Closure",'Residual Schedule'!$H$7:$H$98,"&lt;="&amp;B199,'Residual Schedule'!$I$7:$I$98,"&gt;"&amp;B199)</x:f>
        <x:v>0</x:v>
      </x:c>
      <x:c r="D199" s="9" t="n">
        <x:f>COUNTIFS('Residual Schedule'!$C$7:$C$98,"Damage",'Residual Schedule'!$H$7:$H$98,"&lt;="&amp;B199,'Residual Schedule'!$I$7:$I$98,"&gt;"&amp;B199)</x:f>
        <x:v>0</x:v>
      </x:c>
      <x:c r="E199" s="9" t="n">
        <x:f>COUNTIFS('Residual Schedule'!$C$7:$C$98,"Closure",'Residual Schedule'!$I$7:$I$98,"&lt;="&amp;B199,'Residual Schedule'!$J$7:$J$98,"&gt;"&amp;B199)</x:f>
        <x:v>4</x:v>
      </x:c>
      <x:c r="F199" s="9" t="n">
        <x:f>COUNTIFS('Residual Schedule'!$C$7:$C$98,"Damage",'Residual Schedule'!$I$7:$I$98,"&lt;="&amp;B199,'Residual Schedule'!$J$7:$J$98,"&gt;"&amp;B199)</x:f>
        <x:v>3</x:v>
      </x:c>
      <x:c r="G199" s="9" t="n">
        <x:f>COUNTIFS('Residual Schedule'!$C$7:$C$98,"Closure",'Residual Schedule'!$J$7:$J$98,"&lt;="&amp;B199)</x:f>
        <x:v>56</x:v>
      </x:c>
      <x:c r="H199" s="9" t="n">
        <x:f>COUNTIFS('Residual Schedule'!$C$7:$C$98,"Damage",'Residual Schedule'!$J$7:$J$98,"&lt;="&amp;B199)</x:f>
        <x:v>21</x:v>
      </x:c>
      <x:c r="I199" s="9" t="str">
        <x:f>IF(C199&lt;='Method Controls'!$D$27,"PASS","FAIL")</x:f>
        <x:v>PASS</x:v>
      </x:c>
      <x:c r="J199" s="9" t="str">
        <x:f>IF(D199&lt;='Method Controls'!$D$28,"PASS","FAIL")</x:f>
        <x:v>PASS</x:v>
      </x:c>
      <x:c r="K199" s="9" t="str">
        <x:f>IF(AND(E199&lt;='Method Controls'!$D$27,F199&lt;='Method Controls'!$D$28),"PASS","FAIL")</x:f>
        <x:v>PASS</x:v>
      </x:c>
      <x:c r="L199" s="9" t="str">
        <x:f>IF(AND(I199="PASS",J199="PASS",K199="PASS"),"PASS","FAIL")</x:f>
        <x:v>PASS</x:v>
      </x:c>
    </x:row>
    <x:row r="200">
      <x:c r="B200" s="9" t="n">
        <x:v>284</x:v>
      </x:c>
      <x:c r="C200" s="9" t="n">
        <x:f>COUNTIFS('Residual Schedule'!$C$7:$C$98,"Closure",'Residual Schedule'!$H$7:$H$98,"&lt;="&amp;B200,'Residual Schedule'!$I$7:$I$98,"&gt;"&amp;B200)</x:f>
        <x:v>0</x:v>
      </x:c>
      <x:c r="D200" s="9" t="n">
        <x:f>COUNTIFS('Residual Schedule'!$C$7:$C$98,"Damage",'Residual Schedule'!$H$7:$H$98,"&lt;="&amp;B200,'Residual Schedule'!$I$7:$I$98,"&gt;"&amp;B200)</x:f>
        <x:v>0</x:v>
      </x:c>
      <x:c r="E200" s="9" t="n">
        <x:f>COUNTIFS('Residual Schedule'!$C$7:$C$98,"Closure",'Residual Schedule'!$I$7:$I$98,"&lt;="&amp;B200,'Residual Schedule'!$J$7:$J$98,"&gt;"&amp;B200)</x:f>
        <x:v>4</x:v>
      </x:c>
      <x:c r="F200" s="9" t="n">
        <x:f>COUNTIFS('Residual Schedule'!$C$7:$C$98,"Damage",'Residual Schedule'!$I$7:$I$98,"&lt;="&amp;B200,'Residual Schedule'!$J$7:$J$98,"&gt;"&amp;B200)</x:f>
        <x:v>3</x:v>
      </x:c>
      <x:c r="G200" s="9" t="n">
        <x:f>COUNTIFS('Residual Schedule'!$C$7:$C$98,"Closure",'Residual Schedule'!$J$7:$J$98,"&lt;="&amp;B200)</x:f>
        <x:v>56</x:v>
      </x:c>
      <x:c r="H200" s="9" t="n">
        <x:f>COUNTIFS('Residual Schedule'!$C$7:$C$98,"Damage",'Residual Schedule'!$J$7:$J$98,"&lt;="&amp;B200)</x:f>
        <x:v>21</x:v>
      </x:c>
      <x:c r="I200" s="9" t="str">
        <x:f>IF(C200&lt;='Method Controls'!$D$27,"PASS","FAIL")</x:f>
        <x:v>PASS</x:v>
      </x:c>
      <x:c r="J200" s="9" t="str">
        <x:f>IF(D200&lt;='Method Controls'!$D$28,"PASS","FAIL")</x:f>
        <x:v>PASS</x:v>
      </x:c>
      <x:c r="K200" s="9" t="str">
        <x:f>IF(AND(E200&lt;='Method Controls'!$D$27,F200&lt;='Method Controls'!$D$28),"PASS","FAIL")</x:f>
        <x:v>PASS</x:v>
      </x:c>
      <x:c r="L200" s="9" t="str">
        <x:f>IF(AND(I200="PASS",J200="PASS",K200="PASS"),"PASS","FAIL")</x:f>
        <x:v>PASS</x:v>
      </x:c>
    </x:row>
    <x:row r="201">
      <x:c r="B201" s="9" t="n">
        <x:v>285</x:v>
      </x:c>
      <x:c r="C201" s="9" t="n">
        <x:f>COUNTIFS('Residual Schedule'!$C$7:$C$98,"Closure",'Residual Schedule'!$H$7:$H$98,"&lt;="&amp;B201,'Residual Schedule'!$I$7:$I$98,"&gt;"&amp;B201)</x:f>
        <x:v>0</x:v>
      </x:c>
      <x:c r="D201" s="9" t="n">
        <x:f>COUNTIFS('Residual Schedule'!$C$7:$C$98,"Damage",'Residual Schedule'!$H$7:$H$98,"&lt;="&amp;B201,'Residual Schedule'!$I$7:$I$98,"&gt;"&amp;B201)</x:f>
        <x:v>0</x:v>
      </x:c>
      <x:c r="E201" s="9" t="n">
        <x:f>COUNTIFS('Residual Schedule'!$C$7:$C$98,"Closure",'Residual Schedule'!$I$7:$I$98,"&lt;="&amp;B201,'Residual Schedule'!$J$7:$J$98,"&gt;"&amp;B201)</x:f>
        <x:v>4</x:v>
      </x:c>
      <x:c r="F201" s="9" t="n">
        <x:f>COUNTIFS('Residual Schedule'!$C$7:$C$98,"Damage",'Residual Schedule'!$I$7:$I$98,"&lt;="&amp;B201,'Residual Schedule'!$J$7:$J$98,"&gt;"&amp;B201)</x:f>
        <x:v>3</x:v>
      </x:c>
      <x:c r="G201" s="9" t="n">
        <x:f>COUNTIFS('Residual Schedule'!$C$7:$C$98,"Closure",'Residual Schedule'!$J$7:$J$98,"&lt;="&amp;B201)</x:f>
        <x:v>56</x:v>
      </x:c>
      <x:c r="H201" s="9" t="n">
        <x:f>COUNTIFS('Residual Schedule'!$C$7:$C$98,"Damage",'Residual Schedule'!$J$7:$J$98,"&lt;="&amp;B201)</x:f>
        <x:v>21</x:v>
      </x:c>
      <x:c r="I201" s="9" t="str">
        <x:f>IF(C201&lt;='Method Controls'!$D$27,"PASS","FAIL")</x:f>
        <x:v>PASS</x:v>
      </x:c>
      <x:c r="J201" s="9" t="str">
        <x:f>IF(D201&lt;='Method Controls'!$D$28,"PASS","FAIL")</x:f>
        <x:v>PASS</x:v>
      </x:c>
      <x:c r="K201" s="9" t="str">
        <x:f>IF(AND(E201&lt;='Method Controls'!$D$27,F201&lt;='Method Controls'!$D$28),"PASS","FAIL")</x:f>
        <x:v>PASS</x:v>
      </x:c>
      <x:c r="L201" s="9" t="str">
        <x:f>IF(AND(I201="PASS",J201="PASS",K201="PASS"),"PASS","FAIL")</x:f>
        <x:v>PASS</x:v>
      </x:c>
    </x:row>
    <x:row r="202">
      <x:c r="B202" s="9" t="n">
        <x:v>286</x:v>
      </x:c>
      <x:c r="C202" s="9" t="n">
        <x:f>COUNTIFS('Residual Schedule'!$C$7:$C$98,"Closure",'Residual Schedule'!$H$7:$H$98,"&lt;="&amp;B202,'Residual Schedule'!$I$7:$I$98,"&gt;"&amp;B202)</x:f>
        <x:v>4</x:v>
      </x:c>
      <x:c r="D202" s="9" t="n">
        <x:f>COUNTIFS('Residual Schedule'!$C$7:$C$98,"Damage",'Residual Schedule'!$H$7:$H$98,"&lt;="&amp;B202,'Residual Schedule'!$I$7:$I$98,"&gt;"&amp;B202)</x:f>
        <x:v>0</x:v>
      </x:c>
      <x:c r="E202" s="9" t="n">
        <x:f>COUNTIFS('Residual Schedule'!$C$7:$C$98,"Closure",'Residual Schedule'!$I$7:$I$98,"&lt;="&amp;B202,'Residual Schedule'!$J$7:$J$98,"&gt;"&amp;B202)</x:f>
        <x:v>4</x:v>
      </x:c>
      <x:c r="F202" s="9" t="n">
        <x:f>COUNTIFS('Residual Schedule'!$C$7:$C$98,"Damage",'Residual Schedule'!$I$7:$I$98,"&lt;="&amp;B202,'Residual Schedule'!$J$7:$J$98,"&gt;"&amp;B202)</x:f>
        <x:v>3</x:v>
      </x:c>
      <x:c r="G202" s="9" t="n">
        <x:f>COUNTIFS('Residual Schedule'!$C$7:$C$98,"Closure",'Residual Schedule'!$J$7:$J$98,"&lt;="&amp;B202)</x:f>
        <x:v>56</x:v>
      </x:c>
      <x:c r="H202" s="9" t="n">
        <x:f>COUNTIFS('Residual Schedule'!$C$7:$C$98,"Damage",'Residual Schedule'!$J$7:$J$98,"&lt;="&amp;B202)</x:f>
        <x:v>21</x:v>
      </x:c>
      <x:c r="I202" s="9" t="str">
        <x:f>IF(C202&lt;='Method Controls'!$D$27,"PASS","FAIL")</x:f>
        <x:v>PASS</x:v>
      </x:c>
      <x:c r="J202" s="9" t="str">
        <x:f>IF(D202&lt;='Method Controls'!$D$28,"PASS","FAIL")</x:f>
        <x:v>PASS</x:v>
      </x:c>
      <x:c r="K202" s="9" t="str">
        <x:f>IF(AND(E202&lt;='Method Controls'!$D$27,F202&lt;='Method Controls'!$D$28),"PASS","FAIL")</x:f>
        <x:v>PASS</x:v>
      </x:c>
      <x:c r="L202" s="9" t="str">
        <x:f>IF(AND(I202="PASS",J202="PASS",K202="PASS"),"PASS","FAIL")</x:f>
        <x:v>PASS</x:v>
      </x:c>
    </x:row>
    <x:row r="203">
      <x:c r="B203" s="9" t="n">
        <x:v>287</x:v>
      </x:c>
      <x:c r="C203" s="9" t="n">
        <x:f>COUNTIFS('Residual Schedule'!$C$7:$C$98,"Closure",'Residual Schedule'!$H$7:$H$98,"&lt;="&amp;B203,'Residual Schedule'!$I$7:$I$98,"&gt;"&amp;B203)</x:f>
        <x:v>4</x:v>
      </x:c>
      <x:c r="D203" s="9" t="n">
        <x:f>COUNTIFS('Residual Schedule'!$C$7:$C$98,"Damage",'Residual Schedule'!$H$7:$H$98,"&lt;="&amp;B203,'Residual Schedule'!$I$7:$I$98,"&gt;"&amp;B203)</x:f>
        <x:v>0</x:v>
      </x:c>
      <x:c r="E203" s="9" t="n">
        <x:f>COUNTIFS('Residual Schedule'!$C$7:$C$98,"Closure",'Residual Schedule'!$I$7:$I$98,"&lt;="&amp;B203,'Residual Schedule'!$J$7:$J$98,"&gt;"&amp;B203)</x:f>
        <x:v>4</x:v>
      </x:c>
      <x:c r="F203" s="9" t="n">
        <x:f>COUNTIFS('Residual Schedule'!$C$7:$C$98,"Damage",'Residual Schedule'!$I$7:$I$98,"&lt;="&amp;B203,'Residual Schedule'!$J$7:$J$98,"&gt;"&amp;B203)</x:f>
        <x:v>3</x:v>
      </x:c>
      <x:c r="G203" s="9" t="n">
        <x:f>COUNTIFS('Residual Schedule'!$C$7:$C$98,"Closure",'Residual Schedule'!$J$7:$J$98,"&lt;="&amp;B203)</x:f>
        <x:v>56</x:v>
      </x:c>
      <x:c r="H203" s="9" t="n">
        <x:f>COUNTIFS('Residual Schedule'!$C$7:$C$98,"Damage",'Residual Schedule'!$J$7:$J$98,"&lt;="&amp;B203)</x:f>
        <x:v>21</x:v>
      </x:c>
      <x:c r="I203" s="9" t="str">
        <x:f>IF(C203&lt;='Method Controls'!$D$27,"PASS","FAIL")</x:f>
        <x:v>PASS</x:v>
      </x:c>
      <x:c r="J203" s="9" t="str">
        <x:f>IF(D203&lt;='Method Controls'!$D$28,"PASS","FAIL")</x:f>
        <x:v>PASS</x:v>
      </x:c>
      <x:c r="K203" s="9" t="str">
        <x:f>IF(AND(E203&lt;='Method Controls'!$D$27,F203&lt;='Method Controls'!$D$28),"PASS","FAIL")</x:f>
        <x:v>PASS</x:v>
      </x:c>
      <x:c r="L203" s="9" t="str">
        <x:f>IF(AND(I203="PASS",J203="PASS",K203="PASS"),"PASS","FAIL")</x:f>
        <x:v>PASS</x:v>
      </x:c>
    </x:row>
    <x:row r="204">
      <x:c r="B204" s="9" t="n">
        <x:v>288</x:v>
      </x:c>
      <x:c r="C204" s="9" t="n">
        <x:f>COUNTIFS('Residual Schedule'!$C$7:$C$98,"Closure",'Residual Schedule'!$H$7:$H$98,"&lt;="&amp;B204,'Residual Schedule'!$I$7:$I$98,"&gt;"&amp;B204)</x:f>
        <x:v>4</x:v>
      </x:c>
      <x:c r="D204" s="9" t="n">
        <x:f>COUNTIFS('Residual Schedule'!$C$7:$C$98,"Damage",'Residual Schedule'!$H$7:$H$98,"&lt;="&amp;B204,'Residual Schedule'!$I$7:$I$98,"&gt;"&amp;B204)</x:f>
        <x:v>0</x:v>
      </x:c>
      <x:c r="E204" s="9" t="n">
        <x:f>COUNTIFS('Residual Schedule'!$C$7:$C$98,"Closure",'Residual Schedule'!$I$7:$I$98,"&lt;="&amp;B204,'Residual Schedule'!$J$7:$J$98,"&gt;"&amp;B204)</x:f>
        <x:v>0</x:v>
      </x:c>
      <x:c r="F204" s="9" t="n">
        <x:f>COUNTIFS('Residual Schedule'!$C$7:$C$98,"Damage",'Residual Schedule'!$I$7:$I$98,"&lt;="&amp;B204,'Residual Schedule'!$J$7:$J$98,"&gt;"&amp;B204)</x:f>
        <x:v>3</x:v>
      </x:c>
      <x:c r="G204" s="9" t="n">
        <x:f>COUNTIFS('Residual Schedule'!$C$7:$C$98,"Closure",'Residual Schedule'!$J$7:$J$98,"&lt;="&amp;B204)</x:f>
        <x:v>60</x:v>
      </x:c>
      <x:c r="H204" s="9" t="n">
        <x:f>COUNTIFS('Residual Schedule'!$C$7:$C$98,"Damage",'Residual Schedule'!$J$7:$J$98,"&lt;="&amp;B204)</x:f>
        <x:v>21</x:v>
      </x:c>
      <x:c r="I204" s="9" t="str">
        <x:f>IF(C204&lt;='Method Controls'!$D$27,"PASS","FAIL")</x:f>
        <x:v>PASS</x:v>
      </x:c>
      <x:c r="J204" s="9" t="str">
        <x:f>IF(D204&lt;='Method Controls'!$D$28,"PASS","FAIL")</x:f>
        <x:v>PASS</x:v>
      </x:c>
      <x:c r="K204" s="9" t="str">
        <x:f>IF(AND(E204&lt;='Method Controls'!$D$27,F204&lt;='Method Controls'!$D$28),"PASS","FAIL")</x:f>
        <x:v>PASS</x:v>
      </x:c>
      <x:c r="L204" s="9" t="str">
        <x:f>IF(AND(I204="PASS",J204="PASS",K204="PASS"),"PASS","FAIL")</x:f>
        <x:v>PASS</x:v>
      </x:c>
    </x:row>
    <x:row r="205">
      <x:c r="B205" s="9" t="n">
        <x:v>289</x:v>
      </x:c>
      <x:c r="C205" s="9" t="n">
        <x:f>COUNTIFS('Residual Schedule'!$C$7:$C$98,"Closure",'Residual Schedule'!$H$7:$H$98,"&lt;="&amp;B205,'Residual Schedule'!$I$7:$I$98,"&gt;"&amp;B205)</x:f>
        <x:v>4</x:v>
      </x:c>
      <x:c r="D205" s="9" t="n">
        <x:f>COUNTIFS('Residual Schedule'!$C$7:$C$98,"Damage",'Residual Schedule'!$H$7:$H$98,"&lt;="&amp;B205,'Residual Schedule'!$I$7:$I$98,"&gt;"&amp;B205)</x:f>
        <x:v>0</x:v>
      </x:c>
      <x:c r="E205" s="9" t="n">
        <x:f>COUNTIFS('Residual Schedule'!$C$7:$C$98,"Closure",'Residual Schedule'!$I$7:$I$98,"&lt;="&amp;B205,'Residual Schedule'!$J$7:$J$98,"&gt;"&amp;B205)</x:f>
        <x:v>0</x:v>
      </x:c>
      <x:c r="F205" s="9" t="n">
        <x:f>COUNTIFS('Residual Schedule'!$C$7:$C$98,"Damage",'Residual Schedule'!$I$7:$I$98,"&lt;="&amp;B205,'Residual Schedule'!$J$7:$J$98,"&gt;"&amp;B205)</x:f>
        <x:v>3</x:v>
      </x:c>
      <x:c r="G205" s="9" t="n">
        <x:f>COUNTIFS('Residual Schedule'!$C$7:$C$98,"Closure",'Residual Schedule'!$J$7:$J$98,"&lt;="&amp;B205)</x:f>
        <x:v>60</x:v>
      </x:c>
      <x:c r="H205" s="9" t="n">
        <x:f>COUNTIFS('Residual Schedule'!$C$7:$C$98,"Damage",'Residual Schedule'!$J$7:$J$98,"&lt;="&amp;B205)</x:f>
        <x:v>21</x:v>
      </x:c>
      <x:c r="I205" s="9" t="str">
        <x:f>IF(C205&lt;='Method Controls'!$D$27,"PASS","FAIL")</x:f>
        <x:v>PASS</x:v>
      </x:c>
      <x:c r="J205" s="9" t="str">
        <x:f>IF(D205&lt;='Method Controls'!$D$28,"PASS","FAIL")</x:f>
        <x:v>PASS</x:v>
      </x:c>
      <x:c r="K205" s="9" t="str">
        <x:f>IF(AND(E205&lt;='Method Controls'!$D$27,F205&lt;='Method Controls'!$D$28),"PASS","FAIL")</x:f>
        <x:v>PASS</x:v>
      </x:c>
      <x:c r="L205" s="9" t="str">
        <x:f>IF(AND(I205="PASS",J205="PASS",K205="PASS"),"PASS","FAIL")</x:f>
        <x:v>PASS</x:v>
      </x:c>
    </x:row>
    <x:row r="206">
      <x:c r="B206" s="9" t="n">
        <x:v>290</x:v>
      </x:c>
      <x:c r="C206" s="9" t="n">
        <x:f>COUNTIFS('Residual Schedule'!$C$7:$C$98,"Closure",'Residual Schedule'!$H$7:$H$98,"&lt;="&amp;B206,'Residual Schedule'!$I$7:$I$98,"&gt;"&amp;B206)</x:f>
        <x:v>4</x:v>
      </x:c>
      <x:c r="D206" s="9" t="n">
        <x:f>COUNTIFS('Residual Schedule'!$C$7:$C$98,"Damage",'Residual Schedule'!$H$7:$H$98,"&lt;="&amp;B206,'Residual Schedule'!$I$7:$I$98,"&gt;"&amp;B206)</x:f>
        <x:v>0</x:v>
      </x:c>
      <x:c r="E206" s="9" t="n">
        <x:f>COUNTIFS('Residual Schedule'!$C$7:$C$98,"Closure",'Residual Schedule'!$I$7:$I$98,"&lt;="&amp;B206,'Residual Schedule'!$J$7:$J$98,"&gt;"&amp;B206)</x:f>
        <x:v>0</x:v>
      </x:c>
      <x:c r="F206" s="9" t="n">
        <x:f>COUNTIFS('Residual Schedule'!$C$7:$C$98,"Damage",'Residual Schedule'!$I$7:$I$98,"&lt;="&amp;B206,'Residual Schedule'!$J$7:$J$98,"&gt;"&amp;B206)</x:f>
        <x:v>3</x:v>
      </x:c>
      <x:c r="G206" s="9" t="n">
        <x:f>COUNTIFS('Residual Schedule'!$C$7:$C$98,"Closure",'Residual Schedule'!$J$7:$J$98,"&lt;="&amp;B206)</x:f>
        <x:v>60</x:v>
      </x:c>
      <x:c r="H206" s="9" t="n">
        <x:f>COUNTIFS('Residual Schedule'!$C$7:$C$98,"Damage",'Residual Schedule'!$J$7:$J$98,"&lt;="&amp;B206)</x:f>
        <x:v>21</x:v>
      </x:c>
      <x:c r="I206" s="9" t="str">
        <x:f>IF(C206&lt;='Method Controls'!$D$27,"PASS","FAIL")</x:f>
        <x:v>PASS</x:v>
      </x:c>
      <x:c r="J206" s="9" t="str">
        <x:f>IF(D206&lt;='Method Controls'!$D$28,"PASS","FAIL")</x:f>
        <x:v>PASS</x:v>
      </x:c>
      <x:c r="K206" s="9" t="str">
        <x:f>IF(AND(E206&lt;='Method Controls'!$D$27,F206&lt;='Method Controls'!$D$28),"PASS","FAIL")</x:f>
        <x:v>PASS</x:v>
      </x:c>
      <x:c r="L206" s="9" t="str">
        <x:f>IF(AND(I206="PASS",J206="PASS",K206="PASS"),"PASS","FAIL")</x:f>
        <x:v>PASS</x:v>
      </x:c>
    </x:row>
    <x:row r="207">
      <x:c r="B207" s="9" t="n">
        <x:v>291</x:v>
      </x:c>
      <x:c r="C207" s="9" t="n">
        <x:f>COUNTIFS('Residual Schedule'!$C$7:$C$98,"Closure",'Residual Schedule'!$H$7:$H$98,"&lt;="&amp;B207,'Residual Schedule'!$I$7:$I$98,"&gt;"&amp;B207)</x:f>
        <x:v>4</x:v>
      </x:c>
      <x:c r="D207" s="9" t="n">
        <x:f>COUNTIFS('Residual Schedule'!$C$7:$C$98,"Damage",'Residual Schedule'!$H$7:$H$98,"&lt;="&amp;B207,'Residual Schedule'!$I$7:$I$98,"&gt;"&amp;B207)</x:f>
        <x:v>0</x:v>
      </x:c>
      <x:c r="E207" s="9" t="n">
        <x:f>COUNTIFS('Residual Schedule'!$C$7:$C$98,"Closure",'Residual Schedule'!$I$7:$I$98,"&lt;="&amp;B207,'Residual Schedule'!$J$7:$J$98,"&gt;"&amp;B207)</x:f>
        <x:v>0</x:v>
      </x:c>
      <x:c r="F207" s="9" t="n">
        <x:f>COUNTIFS('Residual Schedule'!$C$7:$C$98,"Damage",'Residual Schedule'!$I$7:$I$98,"&lt;="&amp;B207,'Residual Schedule'!$J$7:$J$98,"&gt;"&amp;B207)</x:f>
        <x:v>0</x:v>
      </x:c>
      <x:c r="G207" s="9" t="n">
        <x:f>COUNTIFS('Residual Schedule'!$C$7:$C$98,"Closure",'Residual Schedule'!$J$7:$J$98,"&lt;="&amp;B207)</x:f>
        <x:v>60</x:v>
      </x:c>
      <x:c r="H207" s="9" t="n">
        <x:f>COUNTIFS('Residual Schedule'!$C$7:$C$98,"Damage",'Residual Schedule'!$J$7:$J$98,"&lt;="&amp;B207)</x:f>
        <x:v>24</x:v>
      </x:c>
      <x:c r="I207" s="9" t="str">
        <x:f>IF(C207&lt;='Method Controls'!$D$27,"PASS","FAIL")</x:f>
        <x:v>PASS</x:v>
      </x:c>
      <x:c r="J207" s="9" t="str">
        <x:f>IF(D207&lt;='Method Controls'!$D$28,"PASS","FAIL")</x:f>
        <x:v>PASS</x:v>
      </x:c>
      <x:c r="K207" s="9" t="str">
        <x:f>IF(AND(E207&lt;='Method Controls'!$D$27,F207&lt;='Method Controls'!$D$28),"PASS","FAIL")</x:f>
        <x:v>PASS</x:v>
      </x:c>
      <x:c r="L207" s="9" t="str">
        <x:f>IF(AND(I207="PASS",J207="PASS",K207="PASS"),"PASS","FAIL")</x:f>
        <x:v>PASS</x:v>
      </x:c>
    </x:row>
    <x:row r="208">
      <x:c r="B208" s="9" t="n">
        <x:v>292</x:v>
      </x:c>
      <x:c r="C208" s="9" t="n">
        <x:f>COUNTIFS('Residual Schedule'!$C$7:$C$98,"Closure",'Residual Schedule'!$H$7:$H$98,"&lt;="&amp;B208,'Residual Schedule'!$I$7:$I$98,"&gt;"&amp;B208)</x:f>
        <x:v>4</x:v>
      </x:c>
      <x:c r="D208" s="9" t="n">
        <x:f>COUNTIFS('Residual Schedule'!$C$7:$C$98,"Damage",'Residual Schedule'!$H$7:$H$98,"&lt;="&amp;B208,'Residual Schedule'!$I$7:$I$98,"&gt;"&amp;B208)</x:f>
        <x:v>3</x:v>
      </x:c>
      <x:c r="E208" s="9" t="n">
        <x:f>COUNTIFS('Residual Schedule'!$C$7:$C$98,"Closure",'Residual Schedule'!$I$7:$I$98,"&lt;="&amp;B208,'Residual Schedule'!$J$7:$J$98,"&gt;"&amp;B208)</x:f>
        <x:v>0</x:v>
      </x:c>
      <x:c r="F208" s="9" t="n">
        <x:f>COUNTIFS('Residual Schedule'!$C$7:$C$98,"Damage",'Residual Schedule'!$I$7:$I$98,"&lt;="&amp;B208,'Residual Schedule'!$J$7:$J$98,"&gt;"&amp;B208)</x:f>
        <x:v>0</x:v>
      </x:c>
      <x:c r="G208" s="9" t="n">
        <x:f>COUNTIFS('Residual Schedule'!$C$7:$C$98,"Closure",'Residual Schedule'!$J$7:$J$98,"&lt;="&amp;B208)</x:f>
        <x:v>60</x:v>
      </x:c>
      <x:c r="H208" s="9" t="n">
        <x:f>COUNTIFS('Residual Schedule'!$C$7:$C$98,"Damage",'Residual Schedule'!$J$7:$J$98,"&lt;="&amp;B208)</x:f>
        <x:v>24</x:v>
      </x:c>
      <x:c r="I208" s="9" t="str">
        <x:f>IF(C208&lt;='Method Controls'!$D$27,"PASS","FAIL")</x:f>
        <x:v>PASS</x:v>
      </x:c>
      <x:c r="J208" s="9" t="str">
        <x:f>IF(D208&lt;='Method Controls'!$D$28,"PASS","FAIL")</x:f>
        <x:v>PASS</x:v>
      </x:c>
      <x:c r="K208" s="9" t="str">
        <x:f>IF(AND(E208&lt;='Method Controls'!$D$27,F208&lt;='Method Controls'!$D$28),"PASS","FAIL")</x:f>
        <x:v>PASS</x:v>
      </x:c>
      <x:c r="L208" s="9" t="str">
        <x:f>IF(AND(I208="PASS",J208="PASS",K208="PASS"),"PASS","FAIL")</x:f>
        <x:v>PASS</x:v>
      </x:c>
    </x:row>
    <x:row r="209">
      <x:c r="B209" s="9" t="n">
        <x:v>293</x:v>
      </x:c>
      <x:c r="C209" s="9" t="n">
        <x:f>COUNTIFS('Residual Schedule'!$C$7:$C$98,"Closure",'Residual Schedule'!$H$7:$H$98,"&lt;="&amp;B209,'Residual Schedule'!$I$7:$I$98,"&gt;"&amp;B209)</x:f>
        <x:v>4</x:v>
      </x:c>
      <x:c r="D209" s="9" t="n">
        <x:f>COUNTIFS('Residual Schedule'!$C$7:$C$98,"Damage",'Residual Schedule'!$H$7:$H$98,"&lt;="&amp;B209,'Residual Schedule'!$I$7:$I$98,"&gt;"&amp;B209)</x:f>
        <x:v>3</x:v>
      </x:c>
      <x:c r="E209" s="9" t="n">
        <x:f>COUNTIFS('Residual Schedule'!$C$7:$C$98,"Closure",'Residual Schedule'!$I$7:$I$98,"&lt;="&amp;B209,'Residual Schedule'!$J$7:$J$98,"&gt;"&amp;B209)</x:f>
        <x:v>0</x:v>
      </x:c>
      <x:c r="F209" s="9" t="n">
        <x:f>COUNTIFS('Residual Schedule'!$C$7:$C$98,"Damage",'Residual Schedule'!$I$7:$I$98,"&lt;="&amp;B209,'Residual Schedule'!$J$7:$J$98,"&gt;"&amp;B209)</x:f>
        <x:v>0</x:v>
      </x:c>
      <x:c r="G209" s="9" t="n">
        <x:f>COUNTIFS('Residual Schedule'!$C$7:$C$98,"Closure",'Residual Schedule'!$J$7:$J$98,"&lt;="&amp;B209)</x:f>
        <x:v>60</x:v>
      </x:c>
      <x:c r="H209" s="9" t="n">
        <x:f>COUNTIFS('Residual Schedule'!$C$7:$C$98,"Damage",'Residual Schedule'!$J$7:$J$98,"&lt;="&amp;B209)</x:f>
        <x:v>24</x:v>
      </x:c>
      <x:c r="I209" s="9" t="str">
        <x:f>IF(C209&lt;='Method Controls'!$D$27,"PASS","FAIL")</x:f>
        <x:v>PASS</x:v>
      </x:c>
      <x:c r="J209" s="9" t="str">
        <x:f>IF(D209&lt;='Method Controls'!$D$28,"PASS","FAIL")</x:f>
        <x:v>PASS</x:v>
      </x:c>
      <x:c r="K209" s="9" t="str">
        <x:f>IF(AND(E209&lt;='Method Controls'!$D$27,F209&lt;='Method Controls'!$D$28),"PASS","FAIL")</x:f>
        <x:v>PASS</x:v>
      </x:c>
      <x:c r="L209" s="9" t="str">
        <x:f>IF(AND(I209="PASS",J209="PASS",K209="PASS"),"PASS","FAIL")</x:f>
        <x:v>PASS</x:v>
      </x:c>
    </x:row>
    <x:row r="210">
      <x:c r="B210" s="9" t="n">
        <x:v>294</x:v>
      </x:c>
      <x:c r="C210" s="9" t="n">
        <x:f>COUNTIFS('Residual Schedule'!$C$7:$C$98,"Closure",'Residual Schedule'!$H$7:$H$98,"&lt;="&amp;B210,'Residual Schedule'!$I$7:$I$98,"&gt;"&amp;B210)</x:f>
        <x:v>0</x:v>
      </x:c>
      <x:c r="D210" s="9" t="n">
        <x:f>COUNTIFS('Residual Schedule'!$C$7:$C$98,"Damage",'Residual Schedule'!$H$7:$H$98,"&lt;="&amp;B210,'Residual Schedule'!$I$7:$I$98,"&gt;"&amp;B210)</x:f>
        <x:v>3</x:v>
      </x:c>
      <x:c r="E210" s="9" t="n">
        <x:f>COUNTIFS('Residual Schedule'!$C$7:$C$98,"Closure",'Residual Schedule'!$I$7:$I$98,"&lt;="&amp;B210,'Residual Schedule'!$J$7:$J$98,"&gt;"&amp;B210)</x:f>
        <x:v>4</x:v>
      </x:c>
      <x:c r="F210" s="9" t="n">
        <x:f>COUNTIFS('Residual Schedule'!$C$7:$C$98,"Damage",'Residual Schedule'!$I$7:$I$98,"&lt;="&amp;B210,'Residual Schedule'!$J$7:$J$98,"&gt;"&amp;B210)</x:f>
        <x:v>0</x:v>
      </x:c>
      <x:c r="G210" s="9" t="n">
        <x:f>COUNTIFS('Residual Schedule'!$C$7:$C$98,"Closure",'Residual Schedule'!$J$7:$J$98,"&lt;="&amp;B210)</x:f>
        <x:v>60</x:v>
      </x:c>
      <x:c r="H210" s="9" t="n">
        <x:f>COUNTIFS('Residual Schedule'!$C$7:$C$98,"Damage",'Residual Schedule'!$J$7:$J$98,"&lt;="&amp;B210)</x:f>
        <x:v>24</x:v>
      </x:c>
      <x:c r="I210" s="9" t="str">
        <x:f>IF(C210&lt;='Method Controls'!$D$27,"PASS","FAIL")</x:f>
        <x:v>PASS</x:v>
      </x:c>
      <x:c r="J210" s="9" t="str">
        <x:f>IF(D210&lt;='Method Controls'!$D$28,"PASS","FAIL")</x:f>
        <x:v>PASS</x:v>
      </x:c>
      <x:c r="K210" s="9" t="str">
        <x:f>IF(AND(E210&lt;='Method Controls'!$D$27,F210&lt;='Method Controls'!$D$28),"PASS","FAIL")</x:f>
        <x:v>PASS</x:v>
      </x:c>
      <x:c r="L210" s="9" t="str">
        <x:f>IF(AND(I210="PASS",J210="PASS",K210="PASS"),"PASS","FAIL")</x:f>
        <x:v>PASS</x:v>
      </x:c>
    </x:row>
    <x:row r="211">
      <x:c r="B211" s="9" t="n">
        <x:v>295</x:v>
      </x:c>
      <x:c r="C211" s="9" t="n">
        <x:f>COUNTIFS('Residual Schedule'!$C$7:$C$98,"Closure",'Residual Schedule'!$H$7:$H$98,"&lt;="&amp;B211,'Residual Schedule'!$I$7:$I$98,"&gt;"&amp;B211)</x:f>
        <x:v>0</x:v>
      </x:c>
      <x:c r="D211" s="9" t="n">
        <x:f>COUNTIFS('Residual Schedule'!$C$7:$C$98,"Damage",'Residual Schedule'!$H$7:$H$98,"&lt;="&amp;B211,'Residual Schedule'!$I$7:$I$98,"&gt;"&amp;B211)</x:f>
        <x:v>3</x:v>
      </x:c>
      <x:c r="E211" s="9" t="n">
        <x:f>COUNTIFS('Residual Schedule'!$C$7:$C$98,"Closure",'Residual Schedule'!$I$7:$I$98,"&lt;="&amp;B211,'Residual Schedule'!$J$7:$J$98,"&gt;"&amp;B211)</x:f>
        <x:v>4</x:v>
      </x:c>
      <x:c r="F211" s="9" t="n">
        <x:f>COUNTIFS('Residual Schedule'!$C$7:$C$98,"Damage",'Residual Schedule'!$I$7:$I$98,"&lt;="&amp;B211,'Residual Schedule'!$J$7:$J$98,"&gt;"&amp;B211)</x:f>
        <x:v>0</x:v>
      </x:c>
      <x:c r="G211" s="9" t="n">
        <x:f>COUNTIFS('Residual Schedule'!$C$7:$C$98,"Closure",'Residual Schedule'!$J$7:$J$98,"&lt;="&amp;B211)</x:f>
        <x:v>60</x:v>
      </x:c>
      <x:c r="H211" s="9" t="n">
        <x:f>COUNTIFS('Residual Schedule'!$C$7:$C$98,"Damage",'Residual Schedule'!$J$7:$J$98,"&lt;="&amp;B211)</x:f>
        <x:v>24</x:v>
      </x:c>
      <x:c r="I211" s="9" t="str">
        <x:f>IF(C211&lt;='Method Controls'!$D$27,"PASS","FAIL")</x:f>
        <x:v>PASS</x:v>
      </x:c>
      <x:c r="J211" s="9" t="str">
        <x:f>IF(D211&lt;='Method Controls'!$D$28,"PASS","FAIL")</x:f>
        <x:v>PASS</x:v>
      </x:c>
      <x:c r="K211" s="9" t="str">
        <x:f>IF(AND(E211&lt;='Method Controls'!$D$27,F211&lt;='Method Controls'!$D$28),"PASS","FAIL")</x:f>
        <x:v>PASS</x:v>
      </x:c>
      <x:c r="L211" s="9" t="str">
        <x:f>IF(AND(I211="PASS",J211="PASS",K211="PASS"),"PASS","FAIL")</x:f>
        <x:v>PASS</x:v>
      </x:c>
    </x:row>
    <x:row r="212">
      <x:c r="B212" s="9" t="n">
        <x:v>296</x:v>
      </x:c>
      <x:c r="C212" s="9" t="n">
        <x:f>COUNTIFS('Residual Schedule'!$C$7:$C$98,"Closure",'Residual Schedule'!$H$7:$H$98,"&lt;="&amp;B212,'Residual Schedule'!$I$7:$I$98,"&gt;"&amp;B212)</x:f>
        <x:v>0</x:v>
      </x:c>
      <x:c r="D212" s="9" t="n">
        <x:f>COUNTIFS('Residual Schedule'!$C$7:$C$98,"Damage",'Residual Schedule'!$H$7:$H$98,"&lt;="&amp;B212,'Residual Schedule'!$I$7:$I$98,"&gt;"&amp;B212)</x:f>
        <x:v>3</x:v>
      </x:c>
      <x:c r="E212" s="9" t="n">
        <x:f>COUNTIFS('Residual Schedule'!$C$7:$C$98,"Closure",'Residual Schedule'!$I$7:$I$98,"&lt;="&amp;B212,'Residual Schedule'!$J$7:$J$98,"&gt;"&amp;B212)</x:f>
        <x:v>4</x:v>
      </x:c>
      <x:c r="F212" s="9" t="n">
        <x:f>COUNTIFS('Residual Schedule'!$C$7:$C$98,"Damage",'Residual Schedule'!$I$7:$I$98,"&lt;="&amp;B212,'Residual Schedule'!$J$7:$J$98,"&gt;"&amp;B212)</x:f>
        <x:v>0</x:v>
      </x:c>
      <x:c r="G212" s="9" t="n">
        <x:f>COUNTIFS('Residual Schedule'!$C$7:$C$98,"Closure",'Residual Schedule'!$J$7:$J$98,"&lt;="&amp;B212)</x:f>
        <x:v>60</x:v>
      </x:c>
      <x:c r="H212" s="9" t="n">
        <x:f>COUNTIFS('Residual Schedule'!$C$7:$C$98,"Damage",'Residual Schedule'!$J$7:$J$98,"&lt;="&amp;B212)</x:f>
        <x:v>24</x:v>
      </x:c>
      <x:c r="I212" s="9" t="str">
        <x:f>IF(C212&lt;='Method Controls'!$D$27,"PASS","FAIL")</x:f>
        <x:v>PASS</x:v>
      </x:c>
      <x:c r="J212" s="9" t="str">
        <x:f>IF(D212&lt;='Method Controls'!$D$28,"PASS","FAIL")</x:f>
        <x:v>PASS</x:v>
      </x:c>
      <x:c r="K212" s="9" t="str">
        <x:f>IF(AND(E212&lt;='Method Controls'!$D$27,F212&lt;='Method Controls'!$D$28),"PASS","FAIL")</x:f>
        <x:v>PASS</x:v>
      </x:c>
      <x:c r="L212" s="9" t="str">
        <x:f>IF(AND(I212="PASS",J212="PASS",K212="PASS"),"PASS","FAIL")</x:f>
        <x:v>PASS</x:v>
      </x:c>
    </x:row>
    <x:row r="213">
      <x:c r="B213" s="9" t="n">
        <x:v>297</x:v>
      </x:c>
      <x:c r="C213" s="9" t="n">
        <x:f>COUNTIFS('Residual Schedule'!$C$7:$C$98,"Closure",'Residual Schedule'!$H$7:$H$98,"&lt;="&amp;B213,'Residual Schedule'!$I$7:$I$98,"&gt;"&amp;B213)</x:f>
        <x:v>0</x:v>
      </x:c>
      <x:c r="D213" s="9" t="n">
        <x:f>COUNTIFS('Residual Schedule'!$C$7:$C$98,"Damage",'Residual Schedule'!$H$7:$H$98,"&lt;="&amp;B213,'Residual Schedule'!$I$7:$I$98,"&gt;"&amp;B213)</x:f>
        <x:v>3</x:v>
      </x:c>
      <x:c r="E213" s="9" t="n">
        <x:f>COUNTIFS('Residual Schedule'!$C$7:$C$98,"Closure",'Residual Schedule'!$I$7:$I$98,"&lt;="&amp;B213,'Residual Schedule'!$J$7:$J$98,"&gt;"&amp;B213)</x:f>
        <x:v>4</x:v>
      </x:c>
      <x:c r="F213" s="9" t="n">
        <x:f>COUNTIFS('Residual Schedule'!$C$7:$C$98,"Damage",'Residual Schedule'!$I$7:$I$98,"&lt;="&amp;B213,'Residual Schedule'!$J$7:$J$98,"&gt;"&amp;B213)</x:f>
        <x:v>0</x:v>
      </x:c>
      <x:c r="G213" s="9" t="n">
        <x:f>COUNTIFS('Residual Schedule'!$C$7:$C$98,"Closure",'Residual Schedule'!$J$7:$J$98,"&lt;="&amp;B213)</x:f>
        <x:v>60</x:v>
      </x:c>
      <x:c r="H213" s="9" t="n">
        <x:f>COUNTIFS('Residual Schedule'!$C$7:$C$98,"Damage",'Residual Schedule'!$J$7:$J$98,"&lt;="&amp;B213)</x:f>
        <x:v>24</x:v>
      </x:c>
      <x:c r="I213" s="9" t="str">
        <x:f>IF(C213&lt;='Method Controls'!$D$27,"PASS","FAIL")</x:f>
        <x:v>PASS</x:v>
      </x:c>
      <x:c r="J213" s="9" t="str">
        <x:f>IF(D213&lt;='Method Controls'!$D$28,"PASS","FAIL")</x:f>
        <x:v>PASS</x:v>
      </x:c>
      <x:c r="K213" s="9" t="str">
        <x:f>IF(AND(E213&lt;='Method Controls'!$D$27,F213&lt;='Method Controls'!$D$28),"PASS","FAIL")</x:f>
        <x:v>PASS</x:v>
      </x:c>
      <x:c r="L213" s="9" t="str">
        <x:f>IF(AND(I213="PASS",J213="PASS",K213="PASS"),"PASS","FAIL")</x:f>
        <x:v>PASS</x:v>
      </x:c>
    </x:row>
    <x:row r="214">
      <x:c r="B214" s="9" t="n">
        <x:v>298</x:v>
      </x:c>
      <x:c r="C214" s="9" t="n">
        <x:f>COUNTIFS('Residual Schedule'!$C$7:$C$98,"Closure",'Residual Schedule'!$H$7:$H$98,"&lt;="&amp;B214,'Residual Schedule'!$I$7:$I$98,"&gt;"&amp;B214)</x:f>
        <x:v>0</x:v>
      </x:c>
      <x:c r="D214" s="9" t="n">
        <x:f>COUNTIFS('Residual Schedule'!$C$7:$C$98,"Damage",'Residual Schedule'!$H$7:$H$98,"&lt;="&amp;B214,'Residual Schedule'!$I$7:$I$98,"&gt;"&amp;B214)</x:f>
        <x:v>3</x:v>
      </x:c>
      <x:c r="E214" s="9" t="n">
        <x:f>COUNTIFS('Residual Schedule'!$C$7:$C$98,"Closure",'Residual Schedule'!$I$7:$I$98,"&lt;="&amp;B214,'Residual Schedule'!$J$7:$J$98,"&gt;"&amp;B214)</x:f>
        <x:v>4</x:v>
      </x:c>
      <x:c r="F214" s="9" t="n">
        <x:f>COUNTIFS('Residual Schedule'!$C$7:$C$98,"Damage",'Residual Schedule'!$I$7:$I$98,"&lt;="&amp;B214,'Residual Schedule'!$J$7:$J$98,"&gt;"&amp;B214)</x:f>
        <x:v>0</x:v>
      </x:c>
      <x:c r="G214" s="9" t="n">
        <x:f>COUNTIFS('Residual Schedule'!$C$7:$C$98,"Closure",'Residual Schedule'!$J$7:$J$98,"&lt;="&amp;B214)</x:f>
        <x:v>60</x:v>
      </x:c>
      <x:c r="H214" s="9" t="n">
        <x:f>COUNTIFS('Residual Schedule'!$C$7:$C$98,"Damage",'Residual Schedule'!$J$7:$J$98,"&lt;="&amp;B214)</x:f>
        <x:v>24</x:v>
      </x:c>
      <x:c r="I214" s="9" t="str">
        <x:f>IF(C214&lt;='Method Controls'!$D$27,"PASS","FAIL")</x:f>
        <x:v>PASS</x:v>
      </x:c>
      <x:c r="J214" s="9" t="str">
        <x:f>IF(D214&lt;='Method Controls'!$D$28,"PASS","FAIL")</x:f>
        <x:v>PASS</x:v>
      </x:c>
      <x:c r="K214" s="9" t="str">
        <x:f>IF(AND(E214&lt;='Method Controls'!$D$27,F214&lt;='Method Controls'!$D$28),"PASS","FAIL")</x:f>
        <x:v>PASS</x:v>
      </x:c>
      <x:c r="L214" s="9" t="str">
        <x:f>IF(AND(I214="PASS",J214="PASS",K214="PASS"),"PASS","FAIL")</x:f>
        <x:v>PASS</x:v>
      </x:c>
    </x:row>
    <x:row r="215">
      <x:c r="B215" s="9" t="n">
        <x:v>299</x:v>
      </x:c>
      <x:c r="C215" s="9" t="n">
        <x:f>COUNTIFS('Residual Schedule'!$C$7:$C$98,"Closure",'Residual Schedule'!$H$7:$H$98,"&lt;="&amp;B215,'Residual Schedule'!$I$7:$I$98,"&gt;"&amp;B215)</x:f>
        <x:v>0</x:v>
      </x:c>
      <x:c r="D215" s="9" t="n">
        <x:f>COUNTIFS('Residual Schedule'!$C$7:$C$98,"Damage",'Residual Schedule'!$H$7:$H$98,"&lt;="&amp;B215,'Residual Schedule'!$I$7:$I$98,"&gt;"&amp;B215)</x:f>
        <x:v>3</x:v>
      </x:c>
      <x:c r="E215" s="9" t="n">
        <x:f>COUNTIFS('Residual Schedule'!$C$7:$C$98,"Closure",'Residual Schedule'!$I$7:$I$98,"&lt;="&amp;B215,'Residual Schedule'!$J$7:$J$98,"&gt;"&amp;B215)</x:f>
        <x:v>4</x:v>
      </x:c>
      <x:c r="F215" s="9" t="n">
        <x:f>COUNTIFS('Residual Schedule'!$C$7:$C$98,"Damage",'Residual Schedule'!$I$7:$I$98,"&lt;="&amp;B215,'Residual Schedule'!$J$7:$J$98,"&gt;"&amp;B215)</x:f>
        <x:v>0</x:v>
      </x:c>
      <x:c r="G215" s="9" t="n">
        <x:f>COUNTIFS('Residual Schedule'!$C$7:$C$98,"Closure",'Residual Schedule'!$J$7:$J$98,"&lt;="&amp;B215)</x:f>
        <x:v>60</x:v>
      </x:c>
      <x:c r="H215" s="9" t="n">
        <x:f>COUNTIFS('Residual Schedule'!$C$7:$C$98,"Damage",'Residual Schedule'!$J$7:$J$98,"&lt;="&amp;B215)</x:f>
        <x:v>24</x:v>
      </x:c>
      <x:c r="I215" s="9" t="str">
        <x:f>IF(C215&lt;='Method Controls'!$D$27,"PASS","FAIL")</x:f>
        <x:v>PASS</x:v>
      </x:c>
      <x:c r="J215" s="9" t="str">
        <x:f>IF(D215&lt;='Method Controls'!$D$28,"PASS","FAIL")</x:f>
        <x:v>PASS</x:v>
      </x:c>
      <x:c r="K215" s="9" t="str">
        <x:f>IF(AND(E215&lt;='Method Controls'!$D$27,F215&lt;='Method Controls'!$D$28),"PASS","FAIL")</x:f>
        <x:v>PASS</x:v>
      </x:c>
      <x:c r="L215" s="9" t="str">
        <x:f>IF(AND(I215="PASS",J215="PASS",K215="PASS"),"PASS","FAIL")</x:f>
        <x:v>PASS</x:v>
      </x:c>
    </x:row>
    <x:row r="216">
      <x:c r="B216" s="9" t="n">
        <x:v>300</x:v>
      </x:c>
      <x:c r="C216" s="9" t="n">
        <x:f>COUNTIFS('Residual Schedule'!$C$7:$C$98,"Closure",'Residual Schedule'!$H$7:$H$98,"&lt;="&amp;B216,'Residual Schedule'!$I$7:$I$98,"&gt;"&amp;B216)</x:f>
        <x:v>0</x:v>
      </x:c>
      <x:c r="D216" s="9" t="n">
        <x:f>COUNTIFS('Residual Schedule'!$C$7:$C$98,"Damage",'Residual Schedule'!$H$7:$H$98,"&lt;="&amp;B216,'Residual Schedule'!$I$7:$I$98,"&gt;"&amp;B216)</x:f>
        <x:v>3</x:v>
      </x:c>
      <x:c r="E216" s="9" t="n">
        <x:f>COUNTIFS('Residual Schedule'!$C$7:$C$98,"Closure",'Residual Schedule'!$I$7:$I$98,"&lt;="&amp;B216,'Residual Schedule'!$J$7:$J$98,"&gt;"&amp;B216)</x:f>
        <x:v>4</x:v>
      </x:c>
      <x:c r="F216" s="9" t="n">
        <x:f>COUNTIFS('Residual Schedule'!$C$7:$C$98,"Damage",'Residual Schedule'!$I$7:$I$98,"&lt;="&amp;B216,'Residual Schedule'!$J$7:$J$98,"&gt;"&amp;B216)</x:f>
        <x:v>0</x:v>
      </x:c>
      <x:c r="G216" s="9" t="n">
        <x:f>COUNTIFS('Residual Schedule'!$C$7:$C$98,"Closure",'Residual Schedule'!$J$7:$J$98,"&lt;="&amp;B216)</x:f>
        <x:v>60</x:v>
      </x:c>
      <x:c r="H216" s="9" t="n">
        <x:f>COUNTIFS('Residual Schedule'!$C$7:$C$98,"Damage",'Residual Schedule'!$J$7:$J$98,"&lt;="&amp;B216)</x:f>
        <x:v>24</x:v>
      </x:c>
      <x:c r="I216" s="9" t="str">
        <x:f>IF(C216&lt;='Method Controls'!$D$27,"PASS","FAIL")</x:f>
        <x:v>PASS</x:v>
      </x:c>
      <x:c r="J216" s="9" t="str">
        <x:f>IF(D216&lt;='Method Controls'!$D$28,"PASS","FAIL")</x:f>
        <x:v>PASS</x:v>
      </x:c>
      <x:c r="K216" s="9" t="str">
        <x:f>IF(AND(E216&lt;='Method Controls'!$D$27,F216&lt;='Method Controls'!$D$28),"PASS","FAIL")</x:f>
        <x:v>PASS</x:v>
      </x:c>
      <x:c r="L216" s="9" t="str">
        <x:f>IF(AND(I216="PASS",J216="PASS",K216="PASS"),"PASS","FAIL")</x:f>
        <x:v>PASS</x:v>
      </x:c>
    </x:row>
    <x:row r="217">
      <x:c r="B217" s="9" t="n">
        <x:v>301</x:v>
      </x:c>
      <x:c r="C217" s="9" t="n">
        <x:f>COUNTIFS('Residual Schedule'!$C$7:$C$98,"Closure",'Residual Schedule'!$H$7:$H$98,"&lt;="&amp;B217,'Residual Schedule'!$I$7:$I$98,"&gt;"&amp;B217)</x:f>
        <x:v>0</x:v>
      </x:c>
      <x:c r="D217" s="9" t="n">
        <x:f>COUNTIFS('Residual Schedule'!$C$7:$C$98,"Damage",'Residual Schedule'!$H$7:$H$98,"&lt;="&amp;B217,'Residual Schedule'!$I$7:$I$98,"&gt;"&amp;B217)</x:f>
        <x:v>3</x:v>
      </x:c>
      <x:c r="E217" s="9" t="n">
        <x:f>COUNTIFS('Residual Schedule'!$C$7:$C$98,"Closure",'Residual Schedule'!$I$7:$I$98,"&lt;="&amp;B217,'Residual Schedule'!$J$7:$J$98,"&gt;"&amp;B217)</x:f>
        <x:v>0</x:v>
      </x:c>
      <x:c r="F217" s="9" t="n">
        <x:f>COUNTIFS('Residual Schedule'!$C$7:$C$98,"Damage",'Residual Schedule'!$I$7:$I$98,"&lt;="&amp;B217,'Residual Schedule'!$J$7:$J$98,"&gt;"&amp;B217)</x:f>
        <x:v>0</x:v>
      </x:c>
      <x:c r="G217" s="9" t="n">
        <x:f>COUNTIFS('Residual Schedule'!$C$7:$C$98,"Closure",'Residual Schedule'!$J$7:$J$98,"&lt;="&amp;B217)</x:f>
        <x:v>64</x:v>
      </x:c>
      <x:c r="H217" s="9" t="n">
        <x:f>COUNTIFS('Residual Schedule'!$C$7:$C$98,"Damage",'Residual Schedule'!$J$7:$J$98,"&lt;="&amp;B217)</x:f>
        <x:v>24</x:v>
      </x:c>
      <x:c r="I217" s="9" t="str">
        <x:f>IF(C217&lt;='Method Controls'!$D$27,"PASS","FAIL")</x:f>
        <x:v>PASS</x:v>
      </x:c>
      <x:c r="J217" s="9" t="str">
        <x:f>IF(D217&lt;='Method Controls'!$D$28,"PASS","FAIL")</x:f>
        <x:v>PASS</x:v>
      </x:c>
      <x:c r="K217" s="9" t="str">
        <x:f>IF(AND(E217&lt;='Method Controls'!$D$27,F217&lt;='Method Controls'!$D$28),"PASS","FAIL")</x:f>
        <x:v>PASS</x:v>
      </x:c>
      <x:c r="L217" s="9" t="str">
        <x:f>IF(AND(I217="PASS",J217="PASS",K217="PASS"),"PASS","FAIL")</x:f>
        <x:v>PASS</x:v>
      </x:c>
    </x:row>
    <x:row r="218">
      <x:c r="B218" s="9" t="n">
        <x:v>302</x:v>
      </x:c>
      <x:c r="C218" s="9" t="n">
        <x:f>COUNTIFS('Residual Schedule'!$C$7:$C$98,"Closure",'Residual Schedule'!$H$7:$H$98,"&lt;="&amp;B218,'Residual Schedule'!$I$7:$I$98,"&gt;"&amp;B218)</x:f>
        <x:v>0</x:v>
      </x:c>
      <x:c r="D218" s="9" t="n">
        <x:f>COUNTIFS('Residual Schedule'!$C$7:$C$98,"Damage",'Residual Schedule'!$H$7:$H$98,"&lt;="&amp;B218,'Residual Schedule'!$I$7:$I$98,"&gt;"&amp;B218)</x:f>
        <x:v>3</x:v>
      </x:c>
      <x:c r="E218" s="9" t="n">
        <x:f>COUNTIFS('Residual Schedule'!$C$7:$C$98,"Closure",'Residual Schedule'!$I$7:$I$98,"&lt;="&amp;B218,'Residual Schedule'!$J$7:$J$98,"&gt;"&amp;B218)</x:f>
        <x:v>0</x:v>
      </x:c>
      <x:c r="F218" s="9" t="n">
        <x:f>COUNTIFS('Residual Schedule'!$C$7:$C$98,"Damage",'Residual Schedule'!$I$7:$I$98,"&lt;="&amp;B218,'Residual Schedule'!$J$7:$J$98,"&gt;"&amp;B218)</x:f>
        <x:v>0</x:v>
      </x:c>
      <x:c r="G218" s="9" t="n">
        <x:f>COUNTIFS('Residual Schedule'!$C$7:$C$98,"Closure",'Residual Schedule'!$J$7:$J$98,"&lt;="&amp;B218)</x:f>
        <x:v>64</x:v>
      </x:c>
      <x:c r="H218" s="9" t="n">
        <x:f>COUNTIFS('Residual Schedule'!$C$7:$C$98,"Damage",'Residual Schedule'!$J$7:$J$98,"&lt;="&amp;B218)</x:f>
        <x:v>24</x:v>
      </x:c>
      <x:c r="I218" s="9" t="str">
        <x:f>IF(C218&lt;='Method Controls'!$D$27,"PASS","FAIL")</x:f>
        <x:v>PASS</x:v>
      </x:c>
      <x:c r="J218" s="9" t="str">
        <x:f>IF(D218&lt;='Method Controls'!$D$28,"PASS","FAIL")</x:f>
        <x:v>PASS</x:v>
      </x:c>
      <x:c r="K218" s="9" t="str">
        <x:f>IF(AND(E218&lt;='Method Controls'!$D$27,F218&lt;='Method Controls'!$D$28),"PASS","FAIL")</x:f>
        <x:v>PASS</x:v>
      </x:c>
      <x:c r="L218" s="9" t="str">
        <x:f>IF(AND(I218="PASS",J218="PASS",K218="PASS"),"PASS","FAIL")</x:f>
        <x:v>PASS</x:v>
      </x:c>
    </x:row>
    <x:row r="219">
      <x:c r="B219" s="9" t="n">
        <x:v>303</x:v>
      </x:c>
      <x:c r="C219" s="9" t="n">
        <x:f>COUNTIFS('Residual Schedule'!$C$7:$C$98,"Closure",'Residual Schedule'!$H$7:$H$98,"&lt;="&amp;B219,'Residual Schedule'!$I$7:$I$98,"&gt;"&amp;B219)</x:f>
        <x:v>0</x:v>
      </x:c>
      <x:c r="D219" s="9" t="n">
        <x:f>COUNTIFS('Residual Schedule'!$C$7:$C$98,"Damage",'Residual Schedule'!$H$7:$H$98,"&lt;="&amp;B219,'Residual Schedule'!$I$7:$I$98,"&gt;"&amp;B219)</x:f>
        <x:v>3</x:v>
      </x:c>
      <x:c r="E219" s="9" t="n">
        <x:f>COUNTIFS('Residual Schedule'!$C$7:$C$98,"Closure",'Residual Schedule'!$I$7:$I$98,"&lt;="&amp;B219,'Residual Schedule'!$J$7:$J$98,"&gt;"&amp;B219)</x:f>
        <x:v>0</x:v>
      </x:c>
      <x:c r="F219" s="9" t="n">
        <x:f>COUNTIFS('Residual Schedule'!$C$7:$C$98,"Damage",'Residual Schedule'!$I$7:$I$98,"&lt;="&amp;B219,'Residual Schedule'!$J$7:$J$98,"&gt;"&amp;B219)</x:f>
        <x:v>0</x:v>
      </x:c>
      <x:c r="G219" s="9" t="n">
        <x:f>COUNTIFS('Residual Schedule'!$C$7:$C$98,"Closure",'Residual Schedule'!$J$7:$J$98,"&lt;="&amp;B219)</x:f>
        <x:v>64</x:v>
      </x:c>
      <x:c r="H219" s="9" t="n">
        <x:f>COUNTIFS('Residual Schedule'!$C$7:$C$98,"Damage",'Residual Schedule'!$J$7:$J$98,"&lt;="&amp;B219)</x:f>
        <x:v>24</x:v>
      </x:c>
      <x:c r="I219" s="9" t="str">
        <x:f>IF(C219&lt;='Method Controls'!$D$27,"PASS","FAIL")</x:f>
        <x:v>PASS</x:v>
      </x:c>
      <x:c r="J219" s="9" t="str">
        <x:f>IF(D219&lt;='Method Controls'!$D$28,"PASS","FAIL")</x:f>
        <x:v>PASS</x:v>
      </x:c>
      <x:c r="K219" s="9" t="str">
        <x:f>IF(AND(E219&lt;='Method Controls'!$D$27,F219&lt;='Method Controls'!$D$28),"PASS","FAIL")</x:f>
        <x:v>PASS</x:v>
      </x:c>
      <x:c r="L219" s="9" t="str">
        <x:f>IF(AND(I219="PASS",J219="PASS",K219="PASS"),"PASS","FAIL")</x:f>
        <x:v>PASS</x:v>
      </x:c>
    </x:row>
    <x:row r="220">
      <x:c r="B220" s="9" t="n">
        <x:v>304</x:v>
      </x:c>
      <x:c r="C220" s="9" t="n">
        <x:f>COUNTIFS('Residual Schedule'!$C$7:$C$98,"Closure",'Residual Schedule'!$H$7:$H$98,"&lt;="&amp;B220,'Residual Schedule'!$I$7:$I$98,"&gt;"&amp;B220)</x:f>
        <x:v>0</x:v>
      </x:c>
      <x:c r="D220" s="9" t="n">
        <x:f>COUNTIFS('Residual Schedule'!$C$7:$C$98,"Damage",'Residual Schedule'!$H$7:$H$98,"&lt;="&amp;B220,'Residual Schedule'!$I$7:$I$98,"&gt;"&amp;B220)</x:f>
        <x:v>3</x:v>
      </x:c>
      <x:c r="E220" s="9" t="n">
        <x:f>COUNTIFS('Residual Schedule'!$C$7:$C$98,"Closure",'Residual Schedule'!$I$7:$I$98,"&lt;="&amp;B220,'Residual Schedule'!$J$7:$J$98,"&gt;"&amp;B220)</x:f>
        <x:v>0</x:v>
      </x:c>
      <x:c r="F220" s="9" t="n">
        <x:f>COUNTIFS('Residual Schedule'!$C$7:$C$98,"Damage",'Residual Schedule'!$I$7:$I$98,"&lt;="&amp;B220,'Residual Schedule'!$J$7:$J$98,"&gt;"&amp;B220)</x:f>
        <x:v>0</x:v>
      </x:c>
      <x:c r="G220" s="9" t="n">
        <x:f>COUNTIFS('Residual Schedule'!$C$7:$C$98,"Closure",'Residual Schedule'!$J$7:$J$98,"&lt;="&amp;B220)</x:f>
        <x:v>64</x:v>
      </x:c>
      <x:c r="H220" s="9" t="n">
        <x:f>COUNTIFS('Residual Schedule'!$C$7:$C$98,"Damage",'Residual Schedule'!$J$7:$J$98,"&lt;="&amp;B220)</x:f>
        <x:v>24</x:v>
      </x:c>
      <x:c r="I220" s="9" t="str">
        <x:f>IF(C220&lt;='Method Controls'!$D$27,"PASS","FAIL")</x:f>
        <x:v>PASS</x:v>
      </x:c>
      <x:c r="J220" s="9" t="str">
        <x:f>IF(D220&lt;='Method Controls'!$D$28,"PASS","FAIL")</x:f>
        <x:v>PASS</x:v>
      </x:c>
      <x:c r="K220" s="9" t="str">
        <x:f>IF(AND(E220&lt;='Method Controls'!$D$27,F220&lt;='Method Controls'!$D$28),"PASS","FAIL")</x:f>
        <x:v>PASS</x:v>
      </x:c>
      <x:c r="L220" s="9" t="str">
        <x:f>IF(AND(I220="PASS",J220="PASS",K220="PASS"),"PASS","FAIL")</x:f>
        <x:v>PASS</x:v>
      </x:c>
    </x:row>
    <x:row r="221">
      <x:c r="B221" s="9" t="n">
        <x:v>305</x:v>
      </x:c>
      <x:c r="C221" s="9" t="n">
        <x:f>COUNTIFS('Residual Schedule'!$C$7:$C$98,"Closure",'Residual Schedule'!$H$7:$H$98,"&lt;="&amp;B221,'Residual Schedule'!$I$7:$I$98,"&gt;"&amp;B221)</x:f>
        <x:v>0</x:v>
      </x:c>
      <x:c r="D221" s="9" t="n">
        <x:f>COUNTIFS('Residual Schedule'!$C$7:$C$98,"Damage",'Residual Schedule'!$H$7:$H$98,"&lt;="&amp;B221,'Residual Schedule'!$I$7:$I$98,"&gt;"&amp;B221)</x:f>
        <x:v>3</x:v>
      </x:c>
      <x:c r="E221" s="9" t="n">
        <x:f>COUNTIFS('Residual Schedule'!$C$7:$C$98,"Closure",'Residual Schedule'!$I$7:$I$98,"&lt;="&amp;B221,'Residual Schedule'!$J$7:$J$98,"&gt;"&amp;B221)</x:f>
        <x:v>0</x:v>
      </x:c>
      <x:c r="F221" s="9" t="n">
        <x:f>COUNTIFS('Residual Schedule'!$C$7:$C$98,"Damage",'Residual Schedule'!$I$7:$I$98,"&lt;="&amp;B221,'Residual Schedule'!$J$7:$J$98,"&gt;"&amp;B221)</x:f>
        <x:v>0</x:v>
      </x:c>
      <x:c r="G221" s="9" t="n">
        <x:f>COUNTIFS('Residual Schedule'!$C$7:$C$98,"Closure",'Residual Schedule'!$J$7:$J$98,"&lt;="&amp;B221)</x:f>
        <x:v>64</x:v>
      </x:c>
      <x:c r="H221" s="9" t="n">
        <x:f>COUNTIFS('Residual Schedule'!$C$7:$C$98,"Damage",'Residual Schedule'!$J$7:$J$98,"&lt;="&amp;B221)</x:f>
        <x:v>24</x:v>
      </x:c>
      <x:c r="I221" s="9" t="str">
        <x:f>IF(C221&lt;='Method Controls'!$D$27,"PASS","FAIL")</x:f>
        <x:v>PASS</x:v>
      </x:c>
      <x:c r="J221" s="9" t="str">
        <x:f>IF(D221&lt;='Method Controls'!$D$28,"PASS","FAIL")</x:f>
        <x:v>PASS</x:v>
      </x:c>
      <x:c r="K221" s="9" t="str">
        <x:f>IF(AND(E221&lt;='Method Controls'!$D$27,F221&lt;='Method Controls'!$D$28),"PASS","FAIL")</x:f>
        <x:v>PASS</x:v>
      </x:c>
      <x:c r="L221" s="9" t="str">
        <x:f>IF(AND(I221="PASS",J221="PASS",K221="PASS"),"PASS","FAIL")</x:f>
        <x:v>PASS</x:v>
      </x:c>
    </x:row>
    <x:row r="222">
      <x:c r="B222" s="9" t="n">
        <x:v>306</x:v>
      </x:c>
      <x:c r="C222" s="9" t="n">
        <x:f>COUNTIFS('Residual Schedule'!$C$7:$C$98,"Closure",'Residual Schedule'!$H$7:$H$98,"&lt;="&amp;B222,'Residual Schedule'!$I$7:$I$98,"&gt;"&amp;B222)</x:f>
        <x:v>0</x:v>
      </x:c>
      <x:c r="D222" s="9" t="n">
        <x:f>COUNTIFS('Residual Schedule'!$C$7:$C$98,"Damage",'Residual Schedule'!$H$7:$H$98,"&lt;="&amp;B222,'Residual Schedule'!$I$7:$I$98,"&gt;"&amp;B222)</x:f>
        <x:v>3</x:v>
      </x:c>
      <x:c r="E222" s="9" t="n">
        <x:f>COUNTIFS('Residual Schedule'!$C$7:$C$98,"Closure",'Residual Schedule'!$I$7:$I$98,"&lt;="&amp;B222,'Residual Schedule'!$J$7:$J$98,"&gt;"&amp;B222)</x:f>
        <x:v>0</x:v>
      </x:c>
      <x:c r="F222" s="9" t="n">
        <x:f>COUNTIFS('Residual Schedule'!$C$7:$C$98,"Damage",'Residual Schedule'!$I$7:$I$98,"&lt;="&amp;B222,'Residual Schedule'!$J$7:$J$98,"&gt;"&amp;B222)</x:f>
        <x:v>0</x:v>
      </x:c>
      <x:c r="G222" s="9" t="n">
        <x:f>COUNTIFS('Residual Schedule'!$C$7:$C$98,"Closure",'Residual Schedule'!$J$7:$J$98,"&lt;="&amp;B222)</x:f>
        <x:v>64</x:v>
      </x:c>
      <x:c r="H222" s="9" t="n">
        <x:f>COUNTIFS('Residual Schedule'!$C$7:$C$98,"Damage",'Residual Schedule'!$J$7:$J$98,"&lt;="&amp;B222)</x:f>
        <x:v>24</x:v>
      </x:c>
      <x:c r="I222" s="9" t="str">
        <x:f>IF(C222&lt;='Method Controls'!$D$27,"PASS","FAIL")</x:f>
        <x:v>PASS</x:v>
      </x:c>
      <x:c r="J222" s="9" t="str">
        <x:f>IF(D222&lt;='Method Controls'!$D$28,"PASS","FAIL")</x:f>
        <x:v>PASS</x:v>
      </x:c>
      <x:c r="K222" s="9" t="str">
        <x:f>IF(AND(E222&lt;='Method Controls'!$D$27,F222&lt;='Method Controls'!$D$28),"PASS","FAIL")</x:f>
        <x:v>PASS</x:v>
      </x:c>
      <x:c r="L222" s="9" t="str">
        <x:f>IF(AND(I222="PASS",J222="PASS",K222="PASS"),"PASS","FAIL")</x:f>
        <x:v>PASS</x:v>
      </x:c>
    </x:row>
    <x:row r="223">
      <x:c r="B223" s="9" t="n">
        <x:v>307</x:v>
      </x:c>
      <x:c r="C223" s="9" t="n">
        <x:f>COUNTIFS('Residual Schedule'!$C$7:$C$98,"Closure",'Residual Schedule'!$H$7:$H$98,"&lt;="&amp;B223,'Residual Schedule'!$I$7:$I$98,"&gt;"&amp;B223)</x:f>
        <x:v>0</x:v>
      </x:c>
      <x:c r="D223" s="9" t="n">
        <x:f>COUNTIFS('Residual Schedule'!$C$7:$C$98,"Damage",'Residual Schedule'!$H$7:$H$98,"&lt;="&amp;B223,'Residual Schedule'!$I$7:$I$98,"&gt;"&amp;B223)</x:f>
        <x:v>0</x:v>
      </x:c>
      <x:c r="E223" s="9" t="n">
        <x:f>COUNTIFS('Residual Schedule'!$C$7:$C$98,"Closure",'Residual Schedule'!$I$7:$I$98,"&lt;="&amp;B223,'Residual Schedule'!$J$7:$J$98,"&gt;"&amp;B223)</x:f>
        <x:v>0</x:v>
      </x:c>
      <x:c r="F223" s="9" t="n">
        <x:f>COUNTIFS('Residual Schedule'!$C$7:$C$98,"Damage",'Residual Schedule'!$I$7:$I$98,"&lt;="&amp;B223,'Residual Schedule'!$J$7:$J$98,"&gt;"&amp;B223)</x:f>
        <x:v>3</x:v>
      </x:c>
      <x:c r="G223" s="9" t="n">
        <x:f>COUNTIFS('Residual Schedule'!$C$7:$C$98,"Closure",'Residual Schedule'!$J$7:$J$98,"&lt;="&amp;B223)</x:f>
        <x:v>64</x:v>
      </x:c>
      <x:c r="H223" s="9" t="n">
        <x:f>COUNTIFS('Residual Schedule'!$C$7:$C$98,"Damage",'Residual Schedule'!$J$7:$J$98,"&lt;="&amp;B223)</x:f>
        <x:v>24</x:v>
      </x:c>
      <x:c r="I223" s="9" t="str">
        <x:f>IF(C223&lt;='Method Controls'!$D$27,"PASS","FAIL")</x:f>
        <x:v>PASS</x:v>
      </x:c>
      <x:c r="J223" s="9" t="str">
        <x:f>IF(D223&lt;='Method Controls'!$D$28,"PASS","FAIL")</x:f>
        <x:v>PASS</x:v>
      </x:c>
      <x:c r="K223" s="9" t="str">
        <x:f>IF(AND(E223&lt;='Method Controls'!$D$27,F223&lt;='Method Controls'!$D$28),"PASS","FAIL")</x:f>
        <x:v>PASS</x:v>
      </x:c>
      <x:c r="L223" s="9" t="str">
        <x:f>IF(AND(I223="PASS",J223="PASS",K223="PASS"),"PASS","FAIL")</x:f>
        <x:v>PASS</x:v>
      </x:c>
    </x:row>
    <x:row r="224">
      <x:c r="B224" s="9" t="n">
        <x:v>308</x:v>
      </x:c>
      <x:c r="C224" s="9" t="n">
        <x:f>COUNTIFS('Residual Schedule'!$C$7:$C$98,"Closure",'Residual Schedule'!$H$7:$H$98,"&lt;="&amp;B224,'Residual Schedule'!$I$7:$I$98,"&gt;"&amp;B224)</x:f>
        <x:v>0</x:v>
      </x:c>
      <x:c r="D224" s="9" t="n">
        <x:f>COUNTIFS('Residual Schedule'!$C$7:$C$98,"Damage",'Residual Schedule'!$H$7:$H$98,"&lt;="&amp;B224,'Residual Schedule'!$I$7:$I$98,"&gt;"&amp;B224)</x:f>
        <x:v>0</x:v>
      </x:c>
      <x:c r="E224" s="9" t="n">
        <x:f>COUNTIFS('Residual Schedule'!$C$7:$C$98,"Closure",'Residual Schedule'!$I$7:$I$98,"&lt;="&amp;B224,'Residual Schedule'!$J$7:$J$98,"&gt;"&amp;B224)</x:f>
        <x:v>0</x:v>
      </x:c>
      <x:c r="F224" s="9" t="n">
        <x:f>COUNTIFS('Residual Schedule'!$C$7:$C$98,"Damage",'Residual Schedule'!$I$7:$I$98,"&lt;="&amp;B224,'Residual Schedule'!$J$7:$J$98,"&gt;"&amp;B224)</x:f>
        <x:v>3</x:v>
      </x:c>
      <x:c r="G224" s="9" t="n">
        <x:f>COUNTIFS('Residual Schedule'!$C$7:$C$98,"Closure",'Residual Schedule'!$J$7:$J$98,"&lt;="&amp;B224)</x:f>
        <x:v>64</x:v>
      </x:c>
      <x:c r="H224" s="9" t="n">
        <x:f>COUNTIFS('Residual Schedule'!$C$7:$C$98,"Damage",'Residual Schedule'!$J$7:$J$98,"&lt;="&amp;B224)</x:f>
        <x:v>24</x:v>
      </x:c>
      <x:c r="I224" s="9" t="str">
        <x:f>IF(C224&lt;='Method Controls'!$D$27,"PASS","FAIL")</x:f>
        <x:v>PASS</x:v>
      </x:c>
      <x:c r="J224" s="9" t="str">
        <x:f>IF(D224&lt;='Method Controls'!$D$28,"PASS","FAIL")</x:f>
        <x:v>PASS</x:v>
      </x:c>
      <x:c r="K224" s="9" t="str">
        <x:f>IF(AND(E224&lt;='Method Controls'!$D$27,F224&lt;='Method Controls'!$D$28),"PASS","FAIL")</x:f>
        <x:v>PASS</x:v>
      </x:c>
      <x:c r="L224" s="9" t="str">
        <x:f>IF(AND(I224="PASS",J224="PASS",K224="PASS"),"PASS","FAIL")</x:f>
        <x:v>PASS</x:v>
      </x:c>
    </x:row>
    <x:row r="225">
      <x:c r="B225" s="9" t="n">
        <x:v>309</x:v>
      </x:c>
      <x:c r="C225" s="9" t="n">
        <x:f>COUNTIFS('Residual Schedule'!$C$7:$C$98,"Closure",'Residual Schedule'!$H$7:$H$98,"&lt;="&amp;B225,'Residual Schedule'!$I$7:$I$98,"&gt;"&amp;B225)</x:f>
        <x:v>0</x:v>
      </x:c>
      <x:c r="D225" s="9" t="n">
        <x:f>COUNTIFS('Residual Schedule'!$C$7:$C$98,"Damage",'Residual Schedule'!$H$7:$H$98,"&lt;="&amp;B225,'Residual Schedule'!$I$7:$I$98,"&gt;"&amp;B225)</x:f>
        <x:v>0</x:v>
      </x:c>
      <x:c r="E225" s="9" t="n">
        <x:f>COUNTIFS('Residual Schedule'!$C$7:$C$98,"Closure",'Residual Schedule'!$I$7:$I$98,"&lt;="&amp;B225,'Residual Schedule'!$J$7:$J$98,"&gt;"&amp;B225)</x:f>
        <x:v>0</x:v>
      </x:c>
      <x:c r="F225" s="9" t="n">
        <x:f>COUNTIFS('Residual Schedule'!$C$7:$C$98,"Damage",'Residual Schedule'!$I$7:$I$98,"&lt;="&amp;B225,'Residual Schedule'!$J$7:$J$98,"&gt;"&amp;B225)</x:f>
        <x:v>3</x:v>
      </x:c>
      <x:c r="G225" s="9" t="n">
        <x:f>COUNTIFS('Residual Schedule'!$C$7:$C$98,"Closure",'Residual Schedule'!$J$7:$J$98,"&lt;="&amp;B225)</x:f>
        <x:v>64</x:v>
      </x:c>
      <x:c r="H225" s="9" t="n">
        <x:f>COUNTIFS('Residual Schedule'!$C$7:$C$98,"Damage",'Residual Schedule'!$J$7:$J$98,"&lt;="&amp;B225)</x:f>
        <x:v>24</x:v>
      </x:c>
      <x:c r="I225" s="9" t="str">
        <x:f>IF(C225&lt;='Method Controls'!$D$27,"PASS","FAIL")</x:f>
        <x:v>PASS</x:v>
      </x:c>
      <x:c r="J225" s="9" t="str">
        <x:f>IF(D225&lt;='Method Controls'!$D$28,"PASS","FAIL")</x:f>
        <x:v>PASS</x:v>
      </x:c>
      <x:c r="K225" s="9" t="str">
        <x:f>IF(AND(E225&lt;='Method Controls'!$D$27,F225&lt;='Method Controls'!$D$28),"PASS","FAIL")</x:f>
        <x:v>PASS</x:v>
      </x:c>
      <x:c r="L225" s="9" t="str">
        <x:f>IF(AND(I225="PASS",J225="PASS",K225="PASS"),"PASS","FAIL")</x:f>
        <x:v>PASS</x:v>
      </x:c>
    </x:row>
    <x:row r="226">
      <x:c r="B226" s="9" t="n">
        <x:v>310</x:v>
      </x:c>
      <x:c r="C226" s="9" t="n">
        <x:f>COUNTIFS('Residual Schedule'!$C$7:$C$98,"Closure",'Residual Schedule'!$H$7:$H$98,"&lt;="&amp;B226,'Residual Schedule'!$I$7:$I$98,"&gt;"&amp;B226)</x:f>
        <x:v>0</x:v>
      </x:c>
      <x:c r="D226" s="9" t="n">
        <x:f>COUNTIFS('Residual Schedule'!$C$7:$C$98,"Damage",'Residual Schedule'!$H$7:$H$98,"&lt;="&amp;B226,'Residual Schedule'!$I$7:$I$98,"&gt;"&amp;B226)</x:f>
        <x:v>0</x:v>
      </x:c>
      <x:c r="E226" s="9" t="n">
        <x:f>COUNTIFS('Residual Schedule'!$C$7:$C$98,"Closure",'Residual Schedule'!$I$7:$I$98,"&lt;="&amp;B226,'Residual Schedule'!$J$7:$J$98,"&gt;"&amp;B226)</x:f>
        <x:v>0</x:v>
      </x:c>
      <x:c r="F226" s="9" t="n">
        <x:f>COUNTIFS('Residual Schedule'!$C$7:$C$98,"Damage",'Residual Schedule'!$I$7:$I$98,"&lt;="&amp;B226,'Residual Schedule'!$J$7:$J$98,"&gt;"&amp;B226)</x:f>
        <x:v>3</x:v>
      </x:c>
      <x:c r="G226" s="9" t="n">
        <x:f>COUNTIFS('Residual Schedule'!$C$7:$C$98,"Closure",'Residual Schedule'!$J$7:$J$98,"&lt;="&amp;B226)</x:f>
        <x:v>64</x:v>
      </x:c>
      <x:c r="H226" s="9" t="n">
        <x:f>COUNTIFS('Residual Schedule'!$C$7:$C$98,"Damage",'Residual Schedule'!$J$7:$J$98,"&lt;="&amp;B226)</x:f>
        <x:v>24</x:v>
      </x:c>
      <x:c r="I226" s="9" t="str">
        <x:f>IF(C226&lt;='Method Controls'!$D$27,"PASS","FAIL")</x:f>
        <x:v>PASS</x:v>
      </x:c>
      <x:c r="J226" s="9" t="str">
        <x:f>IF(D226&lt;='Method Controls'!$D$28,"PASS","FAIL")</x:f>
        <x:v>PASS</x:v>
      </x:c>
      <x:c r="K226" s="9" t="str">
        <x:f>IF(AND(E226&lt;='Method Controls'!$D$27,F226&lt;='Method Controls'!$D$28),"PASS","FAIL")</x:f>
        <x:v>PASS</x:v>
      </x:c>
      <x:c r="L226" s="9" t="str">
        <x:f>IF(AND(I226="PASS",J226="PASS",K226="PASS"),"PASS","FAIL")</x:f>
        <x:v>PASS</x:v>
      </x:c>
    </x:row>
    <x:row r="227">
      <x:c r="B227" s="9" t="n">
        <x:v>311</x:v>
      </x:c>
      <x:c r="C227" s="9" t="n">
        <x:f>COUNTIFS('Residual Schedule'!$C$7:$C$98,"Closure",'Residual Schedule'!$H$7:$H$98,"&lt;="&amp;B227,'Residual Schedule'!$I$7:$I$98,"&gt;"&amp;B227)</x:f>
        <x:v>0</x:v>
      </x:c>
      <x:c r="D227" s="9" t="n">
        <x:f>COUNTIFS('Residual Schedule'!$C$7:$C$98,"Damage",'Residual Schedule'!$H$7:$H$98,"&lt;="&amp;B227,'Residual Schedule'!$I$7:$I$98,"&gt;"&amp;B227)</x:f>
        <x:v>0</x:v>
      </x:c>
      <x:c r="E227" s="9" t="n">
        <x:f>COUNTIFS('Residual Schedule'!$C$7:$C$98,"Closure",'Residual Schedule'!$I$7:$I$98,"&lt;="&amp;B227,'Residual Schedule'!$J$7:$J$98,"&gt;"&amp;B227)</x:f>
        <x:v>0</x:v>
      </x:c>
      <x:c r="F227" s="9" t="n">
        <x:f>COUNTIFS('Residual Schedule'!$C$7:$C$98,"Damage",'Residual Schedule'!$I$7:$I$98,"&lt;="&amp;B227,'Residual Schedule'!$J$7:$J$98,"&gt;"&amp;B227)</x:f>
        <x:v>3</x:v>
      </x:c>
      <x:c r="G227" s="9" t="n">
        <x:f>COUNTIFS('Residual Schedule'!$C$7:$C$98,"Closure",'Residual Schedule'!$J$7:$J$98,"&lt;="&amp;B227)</x:f>
        <x:v>64</x:v>
      </x:c>
      <x:c r="H227" s="9" t="n">
        <x:f>COUNTIFS('Residual Schedule'!$C$7:$C$98,"Damage",'Residual Schedule'!$J$7:$J$98,"&lt;="&amp;B227)</x:f>
        <x:v>24</x:v>
      </x:c>
      <x:c r="I227" s="9" t="str">
        <x:f>IF(C227&lt;='Method Controls'!$D$27,"PASS","FAIL")</x:f>
        <x:v>PASS</x:v>
      </x:c>
      <x:c r="J227" s="9" t="str">
        <x:f>IF(D227&lt;='Method Controls'!$D$28,"PASS","FAIL")</x:f>
        <x:v>PASS</x:v>
      </x:c>
      <x:c r="K227" s="9" t="str">
        <x:f>IF(AND(E227&lt;='Method Controls'!$D$27,F227&lt;='Method Controls'!$D$28),"PASS","FAIL")</x:f>
        <x:v>PASS</x:v>
      </x:c>
      <x:c r="L227" s="9" t="str">
        <x:f>IF(AND(I227="PASS",J227="PASS",K227="PASS"),"PASS","FAIL")</x:f>
        <x:v>PASS</x:v>
      </x:c>
    </x:row>
    <x:row r="228">
      <x:c r="B228" s="9" t="n">
        <x:v>312</x:v>
      </x:c>
      <x:c r="C228" s="9" t="n">
        <x:f>COUNTIFS('Residual Schedule'!$C$7:$C$98,"Closure",'Residual Schedule'!$H$7:$H$98,"&lt;="&amp;B228,'Residual Schedule'!$I$7:$I$98,"&gt;"&amp;B228)</x:f>
        <x:v>0</x:v>
      </x:c>
      <x:c r="D228" s="9" t="n">
        <x:f>COUNTIFS('Residual Schedule'!$C$7:$C$98,"Damage",'Residual Schedule'!$H$7:$H$98,"&lt;="&amp;B228,'Residual Schedule'!$I$7:$I$98,"&gt;"&amp;B228)</x:f>
        <x:v>0</x:v>
      </x:c>
      <x:c r="E228" s="9" t="n">
        <x:f>COUNTIFS('Residual Schedule'!$C$7:$C$98,"Closure",'Residual Schedule'!$I$7:$I$98,"&lt;="&amp;B228,'Residual Schedule'!$J$7:$J$98,"&gt;"&amp;B228)</x:f>
        <x:v>0</x:v>
      </x:c>
      <x:c r="F228" s="9" t="n">
        <x:f>COUNTIFS('Residual Schedule'!$C$7:$C$98,"Damage",'Residual Schedule'!$I$7:$I$98,"&lt;="&amp;B228,'Residual Schedule'!$J$7:$J$98,"&gt;"&amp;B228)</x:f>
        <x:v>3</x:v>
      </x:c>
      <x:c r="G228" s="9" t="n">
        <x:f>COUNTIFS('Residual Schedule'!$C$7:$C$98,"Closure",'Residual Schedule'!$J$7:$J$98,"&lt;="&amp;B228)</x:f>
        <x:v>64</x:v>
      </x:c>
      <x:c r="H228" s="9" t="n">
        <x:f>COUNTIFS('Residual Schedule'!$C$7:$C$98,"Damage",'Residual Schedule'!$J$7:$J$98,"&lt;="&amp;B228)</x:f>
        <x:v>24</x:v>
      </x:c>
      <x:c r="I228" s="9" t="str">
        <x:f>IF(C228&lt;='Method Controls'!$D$27,"PASS","FAIL")</x:f>
        <x:v>PASS</x:v>
      </x:c>
      <x:c r="J228" s="9" t="str">
        <x:f>IF(D228&lt;='Method Controls'!$D$28,"PASS","FAIL")</x:f>
        <x:v>PASS</x:v>
      </x:c>
      <x:c r="K228" s="9" t="str">
        <x:f>IF(AND(E228&lt;='Method Controls'!$D$27,F228&lt;='Method Controls'!$D$28),"PASS","FAIL")</x:f>
        <x:v>PASS</x:v>
      </x:c>
      <x:c r="L228" s="9" t="str">
        <x:f>IF(AND(I228="PASS",J228="PASS",K228="PASS"),"PASS","FAIL")</x:f>
        <x:v>PASS</x:v>
      </x:c>
    </x:row>
    <x:row r="229">
      <x:c r="B229" s="9" t="n">
        <x:v>313</x:v>
      </x:c>
      <x:c r="C229" s="9" t="n">
        <x:f>COUNTIFS('Residual Schedule'!$C$7:$C$98,"Closure",'Residual Schedule'!$H$7:$H$98,"&lt;="&amp;B229,'Residual Schedule'!$I$7:$I$98,"&gt;"&amp;B229)</x:f>
        <x:v>0</x:v>
      </x:c>
      <x:c r="D229" s="9" t="n">
        <x:f>COUNTIFS('Residual Schedule'!$C$7:$C$98,"Damage",'Residual Schedule'!$H$7:$H$98,"&lt;="&amp;B229,'Residual Schedule'!$I$7:$I$98,"&gt;"&amp;B229)</x:f>
        <x:v>0</x:v>
      </x:c>
      <x:c r="E229" s="9" t="n">
        <x:f>COUNTIFS('Residual Schedule'!$C$7:$C$98,"Closure",'Residual Schedule'!$I$7:$I$98,"&lt;="&amp;B229,'Residual Schedule'!$J$7:$J$98,"&gt;"&amp;B229)</x:f>
        <x:v>0</x:v>
      </x:c>
      <x:c r="F229" s="9" t="n">
        <x:f>COUNTIFS('Residual Schedule'!$C$7:$C$98,"Damage",'Residual Schedule'!$I$7:$I$98,"&lt;="&amp;B229,'Residual Schedule'!$J$7:$J$98,"&gt;"&amp;B229)</x:f>
        <x:v>3</x:v>
      </x:c>
      <x:c r="G229" s="9" t="n">
        <x:f>COUNTIFS('Residual Schedule'!$C$7:$C$98,"Closure",'Residual Schedule'!$J$7:$J$98,"&lt;="&amp;B229)</x:f>
        <x:v>64</x:v>
      </x:c>
      <x:c r="H229" s="9" t="n">
        <x:f>COUNTIFS('Residual Schedule'!$C$7:$C$98,"Damage",'Residual Schedule'!$J$7:$J$98,"&lt;="&amp;B229)</x:f>
        <x:v>24</x:v>
      </x:c>
      <x:c r="I229" s="9" t="str">
        <x:f>IF(C229&lt;='Method Controls'!$D$27,"PASS","FAIL")</x:f>
        <x:v>PASS</x:v>
      </x:c>
      <x:c r="J229" s="9" t="str">
        <x:f>IF(D229&lt;='Method Controls'!$D$28,"PASS","FAIL")</x:f>
        <x:v>PASS</x:v>
      </x:c>
      <x:c r="K229" s="9" t="str">
        <x:f>IF(AND(E229&lt;='Method Controls'!$D$27,F229&lt;='Method Controls'!$D$28),"PASS","FAIL")</x:f>
        <x:v>PASS</x:v>
      </x:c>
      <x:c r="L229" s="9" t="str">
        <x:f>IF(AND(I229="PASS",J229="PASS",K229="PASS"),"PASS","FAIL")</x:f>
        <x:v>PASS</x:v>
      </x:c>
    </x:row>
    <x:row r="230">
      <x:c r="B230" s="9" t="n">
        <x:v>314</x:v>
      </x:c>
      <x:c r="C230" s="9" t="n">
        <x:f>COUNTIFS('Residual Schedule'!$C$7:$C$98,"Closure",'Residual Schedule'!$H$7:$H$98,"&lt;="&amp;B230,'Residual Schedule'!$I$7:$I$98,"&gt;"&amp;B230)</x:f>
        <x:v>0</x:v>
      </x:c>
      <x:c r="D230" s="9" t="n">
        <x:f>COUNTIFS('Residual Schedule'!$C$7:$C$98,"Damage",'Residual Schedule'!$H$7:$H$98,"&lt;="&amp;B230,'Residual Schedule'!$I$7:$I$98,"&gt;"&amp;B230)</x:f>
        <x:v>0</x:v>
      </x:c>
      <x:c r="E230" s="9" t="n">
        <x:f>COUNTIFS('Residual Schedule'!$C$7:$C$98,"Closure",'Residual Schedule'!$I$7:$I$98,"&lt;="&amp;B230,'Residual Schedule'!$J$7:$J$98,"&gt;"&amp;B230)</x:f>
        <x:v>0</x:v>
      </x:c>
      <x:c r="F230" s="9" t="n">
        <x:f>COUNTIFS('Residual Schedule'!$C$7:$C$98,"Damage",'Residual Schedule'!$I$7:$I$98,"&lt;="&amp;B230,'Residual Schedule'!$J$7:$J$98,"&gt;"&amp;B230)</x:f>
        <x:v>3</x:v>
      </x:c>
      <x:c r="G230" s="9" t="n">
        <x:f>COUNTIFS('Residual Schedule'!$C$7:$C$98,"Closure",'Residual Schedule'!$J$7:$J$98,"&lt;="&amp;B230)</x:f>
        <x:v>64</x:v>
      </x:c>
      <x:c r="H230" s="9" t="n">
        <x:f>COUNTIFS('Residual Schedule'!$C$7:$C$98,"Damage",'Residual Schedule'!$J$7:$J$98,"&lt;="&amp;B230)</x:f>
        <x:v>24</x:v>
      </x:c>
      <x:c r="I230" s="9" t="str">
        <x:f>IF(C230&lt;='Method Controls'!$D$27,"PASS","FAIL")</x:f>
        <x:v>PASS</x:v>
      </x:c>
      <x:c r="J230" s="9" t="str">
        <x:f>IF(D230&lt;='Method Controls'!$D$28,"PASS","FAIL")</x:f>
        <x:v>PASS</x:v>
      </x:c>
      <x:c r="K230" s="9" t="str">
        <x:f>IF(AND(E230&lt;='Method Controls'!$D$27,F230&lt;='Method Controls'!$D$28),"PASS","FAIL")</x:f>
        <x:v>PASS</x:v>
      </x:c>
      <x:c r="L230" s="9" t="str">
        <x:f>IF(AND(I230="PASS",J230="PASS",K230="PASS"),"PASS","FAIL")</x:f>
        <x:v>PASS</x:v>
      </x:c>
    </x:row>
    <x:row r="231">
      <x:c r="B231" s="9" t="n">
        <x:v>315</x:v>
      </x:c>
      <x:c r="C231" s="9" t="n">
        <x:f>COUNTIFS('Residual Schedule'!$C$7:$C$98,"Closure",'Residual Schedule'!$H$7:$H$98,"&lt;="&amp;B231,'Residual Schedule'!$I$7:$I$98,"&gt;"&amp;B231)</x:f>
        <x:v>0</x:v>
      </x:c>
      <x:c r="D231" s="9" t="n">
        <x:f>COUNTIFS('Residual Schedule'!$C$7:$C$98,"Damage",'Residual Schedule'!$H$7:$H$98,"&lt;="&amp;B231,'Residual Schedule'!$I$7:$I$98,"&gt;"&amp;B231)</x:f>
        <x:v>0</x:v>
      </x:c>
      <x:c r="E231" s="9" t="n">
        <x:f>COUNTIFS('Residual Schedule'!$C$7:$C$98,"Closure",'Residual Schedule'!$I$7:$I$98,"&lt;="&amp;B231,'Residual Schedule'!$J$7:$J$98,"&gt;"&amp;B231)</x:f>
        <x:v>0</x:v>
      </x:c>
      <x:c r="F231" s="9" t="n">
        <x:f>COUNTIFS('Residual Schedule'!$C$7:$C$98,"Damage",'Residual Schedule'!$I$7:$I$98,"&lt;="&amp;B231,'Residual Schedule'!$J$7:$J$98,"&gt;"&amp;B231)</x:f>
        <x:v>3</x:v>
      </x:c>
      <x:c r="G231" s="9" t="n">
        <x:f>COUNTIFS('Residual Schedule'!$C$7:$C$98,"Closure",'Residual Schedule'!$J$7:$J$98,"&lt;="&amp;B231)</x:f>
        <x:v>64</x:v>
      </x:c>
      <x:c r="H231" s="9" t="n">
        <x:f>COUNTIFS('Residual Schedule'!$C$7:$C$98,"Damage",'Residual Schedule'!$J$7:$J$98,"&lt;="&amp;B231)</x:f>
        <x:v>24</x:v>
      </x:c>
      <x:c r="I231" s="9" t="str">
        <x:f>IF(C231&lt;='Method Controls'!$D$27,"PASS","FAIL")</x:f>
        <x:v>PASS</x:v>
      </x:c>
      <x:c r="J231" s="9" t="str">
        <x:f>IF(D231&lt;='Method Controls'!$D$28,"PASS","FAIL")</x:f>
        <x:v>PASS</x:v>
      </x:c>
      <x:c r="K231" s="9" t="str">
        <x:f>IF(AND(E231&lt;='Method Controls'!$D$27,F231&lt;='Method Controls'!$D$28),"PASS","FAIL")</x:f>
        <x:v>PASS</x:v>
      </x:c>
      <x:c r="L231" s="9" t="str">
        <x:f>IF(AND(I231="PASS",J231="PASS",K231="PASS"),"PASS","FAIL")</x:f>
        <x:v>PASS</x:v>
      </x:c>
    </x:row>
    <x:row r="232">
      <x:c r="B232" s="9" t="n">
        <x:v>316</x:v>
      </x:c>
      <x:c r="C232" s="9" t="n">
        <x:f>COUNTIFS('Residual Schedule'!$C$7:$C$98,"Closure",'Residual Schedule'!$H$7:$H$98,"&lt;="&amp;B232,'Residual Schedule'!$I$7:$I$98,"&gt;"&amp;B232)</x:f>
        <x:v>0</x:v>
      </x:c>
      <x:c r="D232" s="9" t="n">
        <x:f>COUNTIFS('Residual Schedule'!$C$7:$C$98,"Damage",'Residual Schedule'!$H$7:$H$98,"&lt;="&amp;B232,'Residual Schedule'!$I$7:$I$98,"&gt;"&amp;B232)</x:f>
        <x:v>0</x:v>
      </x:c>
      <x:c r="E232" s="9" t="n">
        <x:f>COUNTIFS('Residual Schedule'!$C$7:$C$98,"Closure",'Residual Schedule'!$I$7:$I$98,"&lt;="&amp;B232,'Residual Schedule'!$J$7:$J$98,"&gt;"&amp;B232)</x:f>
        <x:v>0</x:v>
      </x:c>
      <x:c r="F232" s="9" t="n">
        <x:f>COUNTIFS('Residual Schedule'!$C$7:$C$98,"Damage",'Residual Schedule'!$I$7:$I$98,"&lt;="&amp;B232,'Residual Schedule'!$J$7:$J$98,"&gt;"&amp;B232)</x:f>
        <x:v>0</x:v>
      </x:c>
      <x:c r="G232" s="9" t="n">
        <x:f>COUNTIFS('Residual Schedule'!$C$7:$C$98,"Closure",'Residual Schedule'!$J$7:$J$98,"&lt;="&amp;B232)</x:f>
        <x:v>64</x:v>
      </x:c>
      <x:c r="H232" s="9" t="n">
        <x:f>COUNTIFS('Residual Schedule'!$C$7:$C$98,"Damage",'Residual Schedule'!$J$7:$J$98,"&lt;="&amp;B232)</x:f>
        <x:v>27</x:v>
      </x:c>
      <x:c r="I232" s="9" t="str">
        <x:f>IF(C232&lt;='Method Controls'!$D$27,"PASS","FAIL")</x:f>
        <x:v>PASS</x:v>
      </x:c>
      <x:c r="J232" s="9" t="str">
        <x:f>IF(D232&lt;='Method Controls'!$D$28,"PASS","FAIL")</x:f>
        <x:v>PASS</x:v>
      </x:c>
      <x:c r="K232" s="9" t="str">
        <x:f>IF(AND(E232&lt;='Method Controls'!$D$27,F232&lt;='Method Controls'!$D$28),"PASS","FAIL")</x:f>
        <x:v>PASS</x:v>
      </x:c>
      <x:c r="L232" s="9" t="str">
        <x:f>IF(AND(I232="PASS",J232="PASS",K232="PASS"),"PASS","FAIL")</x:f>
        <x:v>PASS</x:v>
      </x:c>
    </x:row>
    <x:row r="233">
      <x:c r="B233" s="9" t="n">
        <x:v>317</x:v>
      </x:c>
      <x:c r="C233" s="9" t="n">
        <x:f>COUNTIFS('Residual Schedule'!$C$7:$C$98,"Closure",'Residual Schedule'!$H$7:$H$98,"&lt;="&amp;B233,'Residual Schedule'!$I$7:$I$98,"&gt;"&amp;B233)</x:f>
        <x:v>0</x:v>
      </x:c>
      <x:c r="D233" s="9" t="n">
        <x:f>COUNTIFS('Residual Schedule'!$C$7:$C$98,"Damage",'Residual Schedule'!$H$7:$H$98,"&lt;="&amp;B233,'Residual Schedule'!$I$7:$I$98,"&gt;"&amp;B233)</x:f>
        <x:v>1</x:v>
      </x:c>
      <x:c r="E233" s="9" t="n">
        <x:f>COUNTIFS('Residual Schedule'!$C$7:$C$98,"Closure",'Residual Schedule'!$I$7:$I$98,"&lt;="&amp;B233,'Residual Schedule'!$J$7:$J$98,"&gt;"&amp;B233)</x:f>
        <x:v>0</x:v>
      </x:c>
      <x:c r="F233" s="9" t="n">
        <x:f>COUNTIFS('Residual Schedule'!$C$7:$C$98,"Damage",'Residual Schedule'!$I$7:$I$98,"&lt;="&amp;B233,'Residual Schedule'!$J$7:$J$98,"&gt;"&amp;B233)</x:f>
        <x:v>0</x:v>
      </x:c>
      <x:c r="G233" s="9" t="n">
        <x:f>COUNTIFS('Residual Schedule'!$C$7:$C$98,"Closure",'Residual Schedule'!$J$7:$J$98,"&lt;="&amp;B233)</x:f>
        <x:v>64</x:v>
      </x:c>
      <x:c r="H233" s="9" t="n">
        <x:f>COUNTIFS('Residual Schedule'!$C$7:$C$98,"Damage",'Residual Schedule'!$J$7:$J$98,"&lt;="&amp;B233)</x:f>
        <x:v>27</x:v>
      </x:c>
      <x:c r="I233" s="9" t="str">
        <x:f>IF(C233&lt;='Method Controls'!$D$27,"PASS","FAIL")</x:f>
        <x:v>PASS</x:v>
      </x:c>
      <x:c r="J233" s="9" t="str">
        <x:f>IF(D233&lt;='Method Controls'!$D$28,"PASS","FAIL")</x:f>
        <x:v>PASS</x:v>
      </x:c>
      <x:c r="K233" s="9" t="str">
        <x:f>IF(AND(E233&lt;='Method Controls'!$D$27,F233&lt;='Method Controls'!$D$28),"PASS","FAIL")</x:f>
        <x:v>PASS</x:v>
      </x:c>
      <x:c r="L233" s="9" t="str">
        <x:f>IF(AND(I233="PASS",J233="PASS",K233="PASS"),"PASS","FAIL")</x:f>
        <x:v>PASS</x:v>
      </x:c>
    </x:row>
    <x:row r="234">
      <x:c r="B234" s="9" t="n">
        <x:v>318</x:v>
      </x:c>
      <x:c r="C234" s="9" t="n">
        <x:f>COUNTIFS('Residual Schedule'!$C$7:$C$98,"Closure",'Residual Schedule'!$H$7:$H$98,"&lt;="&amp;B234,'Residual Schedule'!$I$7:$I$98,"&gt;"&amp;B234)</x:f>
        <x:v>0</x:v>
      </x:c>
      <x:c r="D234" s="9" t="n">
        <x:f>COUNTIFS('Residual Schedule'!$C$7:$C$98,"Damage",'Residual Schedule'!$H$7:$H$98,"&lt;="&amp;B234,'Residual Schedule'!$I$7:$I$98,"&gt;"&amp;B234)</x:f>
        <x:v>1</x:v>
      </x:c>
      <x:c r="E234" s="9" t="n">
        <x:f>COUNTIFS('Residual Schedule'!$C$7:$C$98,"Closure",'Residual Schedule'!$I$7:$I$98,"&lt;="&amp;B234,'Residual Schedule'!$J$7:$J$98,"&gt;"&amp;B234)</x:f>
        <x:v>0</x:v>
      </x:c>
      <x:c r="F234" s="9" t="n">
        <x:f>COUNTIFS('Residual Schedule'!$C$7:$C$98,"Damage",'Residual Schedule'!$I$7:$I$98,"&lt;="&amp;B234,'Residual Schedule'!$J$7:$J$98,"&gt;"&amp;B234)</x:f>
        <x:v>0</x:v>
      </x:c>
      <x:c r="G234" s="9" t="n">
        <x:f>COUNTIFS('Residual Schedule'!$C$7:$C$98,"Closure",'Residual Schedule'!$J$7:$J$98,"&lt;="&amp;B234)</x:f>
        <x:v>64</x:v>
      </x:c>
      <x:c r="H234" s="9" t="n">
        <x:f>COUNTIFS('Residual Schedule'!$C$7:$C$98,"Damage",'Residual Schedule'!$J$7:$J$98,"&lt;="&amp;B234)</x:f>
        <x:v>27</x:v>
      </x:c>
      <x:c r="I234" s="9" t="str">
        <x:f>IF(C234&lt;='Method Controls'!$D$27,"PASS","FAIL")</x:f>
        <x:v>PASS</x:v>
      </x:c>
      <x:c r="J234" s="9" t="str">
        <x:f>IF(D234&lt;='Method Controls'!$D$28,"PASS","FAIL")</x:f>
        <x:v>PASS</x:v>
      </x:c>
      <x:c r="K234" s="9" t="str">
        <x:f>IF(AND(E234&lt;='Method Controls'!$D$27,F234&lt;='Method Controls'!$D$28),"PASS","FAIL")</x:f>
        <x:v>PASS</x:v>
      </x:c>
      <x:c r="L234" s="9" t="str">
        <x:f>IF(AND(I234="PASS",J234="PASS",K234="PASS"),"PASS","FAIL")</x:f>
        <x:v>PASS</x:v>
      </x:c>
    </x:row>
    <x:row r="235">
      <x:c r="B235" s="9" t="n">
        <x:v>319</x:v>
      </x:c>
      <x:c r="C235" s="9" t="n">
        <x:f>COUNTIFS('Residual Schedule'!$C$7:$C$98,"Closure",'Residual Schedule'!$H$7:$H$98,"&lt;="&amp;B235,'Residual Schedule'!$I$7:$I$98,"&gt;"&amp;B235)</x:f>
        <x:v>0</x:v>
      </x:c>
      <x:c r="D235" s="9" t="n">
        <x:f>COUNTIFS('Residual Schedule'!$C$7:$C$98,"Damage",'Residual Schedule'!$H$7:$H$98,"&lt;="&amp;B235,'Residual Schedule'!$I$7:$I$98,"&gt;"&amp;B235)</x:f>
        <x:v>1</x:v>
      </x:c>
      <x:c r="E235" s="9" t="n">
        <x:f>COUNTIFS('Residual Schedule'!$C$7:$C$98,"Closure",'Residual Schedule'!$I$7:$I$98,"&lt;="&amp;B235,'Residual Schedule'!$J$7:$J$98,"&gt;"&amp;B235)</x:f>
        <x:v>0</x:v>
      </x:c>
      <x:c r="F235" s="9" t="n">
        <x:f>COUNTIFS('Residual Schedule'!$C$7:$C$98,"Damage",'Residual Schedule'!$I$7:$I$98,"&lt;="&amp;B235,'Residual Schedule'!$J$7:$J$98,"&gt;"&amp;B235)</x:f>
        <x:v>0</x:v>
      </x:c>
      <x:c r="G235" s="9" t="n">
        <x:f>COUNTIFS('Residual Schedule'!$C$7:$C$98,"Closure",'Residual Schedule'!$J$7:$J$98,"&lt;="&amp;B235)</x:f>
        <x:v>64</x:v>
      </x:c>
      <x:c r="H235" s="9" t="n">
        <x:f>COUNTIFS('Residual Schedule'!$C$7:$C$98,"Damage",'Residual Schedule'!$J$7:$J$98,"&lt;="&amp;B235)</x:f>
        <x:v>27</x:v>
      </x:c>
      <x:c r="I235" s="9" t="str">
        <x:f>IF(C235&lt;='Method Controls'!$D$27,"PASS","FAIL")</x:f>
        <x:v>PASS</x:v>
      </x:c>
      <x:c r="J235" s="9" t="str">
        <x:f>IF(D235&lt;='Method Controls'!$D$28,"PASS","FAIL")</x:f>
        <x:v>PASS</x:v>
      </x:c>
      <x:c r="K235" s="9" t="str">
        <x:f>IF(AND(E235&lt;='Method Controls'!$D$27,F235&lt;='Method Controls'!$D$28),"PASS","FAIL")</x:f>
        <x:v>PASS</x:v>
      </x:c>
      <x:c r="L235" s="9" t="str">
        <x:f>IF(AND(I235="PASS",J235="PASS",K235="PASS"),"PASS","FAIL")</x:f>
        <x:v>PASS</x:v>
      </x:c>
    </x:row>
    <x:row r="236">
      <x:c r="B236" s="9" t="n">
        <x:v>320</x:v>
      </x:c>
      <x:c r="C236" s="9" t="n">
        <x:f>COUNTIFS('Residual Schedule'!$C$7:$C$98,"Closure",'Residual Schedule'!$H$7:$H$98,"&lt;="&amp;B236,'Residual Schedule'!$I$7:$I$98,"&gt;"&amp;B236)</x:f>
        <x:v>0</x:v>
      </x:c>
      <x:c r="D236" s="9" t="n">
        <x:f>COUNTIFS('Residual Schedule'!$C$7:$C$98,"Damage",'Residual Schedule'!$H$7:$H$98,"&lt;="&amp;B236,'Residual Schedule'!$I$7:$I$98,"&gt;"&amp;B236)</x:f>
        <x:v>1</x:v>
      </x:c>
      <x:c r="E236" s="9" t="n">
        <x:f>COUNTIFS('Residual Schedule'!$C$7:$C$98,"Closure",'Residual Schedule'!$I$7:$I$98,"&lt;="&amp;B236,'Residual Schedule'!$J$7:$J$98,"&gt;"&amp;B236)</x:f>
        <x:v>0</x:v>
      </x:c>
      <x:c r="F236" s="9" t="n">
        <x:f>COUNTIFS('Residual Schedule'!$C$7:$C$98,"Damage",'Residual Schedule'!$I$7:$I$98,"&lt;="&amp;B236,'Residual Schedule'!$J$7:$J$98,"&gt;"&amp;B236)</x:f>
        <x:v>0</x:v>
      </x:c>
      <x:c r="G236" s="9" t="n">
        <x:f>COUNTIFS('Residual Schedule'!$C$7:$C$98,"Closure",'Residual Schedule'!$J$7:$J$98,"&lt;="&amp;B236)</x:f>
        <x:v>64</x:v>
      </x:c>
      <x:c r="H236" s="9" t="n">
        <x:f>COUNTIFS('Residual Schedule'!$C$7:$C$98,"Damage",'Residual Schedule'!$J$7:$J$98,"&lt;="&amp;B236)</x:f>
        <x:v>27</x:v>
      </x:c>
      <x:c r="I236" s="9" t="str">
        <x:f>IF(C236&lt;='Method Controls'!$D$27,"PASS","FAIL")</x:f>
        <x:v>PASS</x:v>
      </x:c>
      <x:c r="J236" s="9" t="str">
        <x:f>IF(D236&lt;='Method Controls'!$D$28,"PASS","FAIL")</x:f>
        <x:v>PASS</x:v>
      </x:c>
      <x:c r="K236" s="9" t="str">
        <x:f>IF(AND(E236&lt;='Method Controls'!$D$27,F236&lt;='Method Controls'!$D$28),"PASS","FAIL")</x:f>
        <x:v>PASS</x:v>
      </x:c>
      <x:c r="L236" s="9" t="str">
        <x:f>IF(AND(I236="PASS",J236="PASS",K236="PASS"),"PASS","FAIL")</x:f>
        <x:v>PASS</x:v>
      </x:c>
    </x:row>
    <x:row r="237">
      <x:c r="B237" s="9" t="n">
        <x:v>321</x:v>
      </x:c>
      <x:c r="C237" s="9" t="n">
        <x:f>COUNTIFS('Residual Schedule'!$C$7:$C$98,"Closure",'Residual Schedule'!$H$7:$H$98,"&lt;="&amp;B237,'Residual Schedule'!$I$7:$I$98,"&gt;"&amp;B237)</x:f>
        <x:v>0</x:v>
      </x:c>
      <x:c r="D237" s="9" t="n">
        <x:f>COUNTIFS('Residual Schedule'!$C$7:$C$98,"Damage",'Residual Schedule'!$H$7:$H$98,"&lt;="&amp;B237,'Residual Schedule'!$I$7:$I$98,"&gt;"&amp;B237)</x:f>
        <x:v>1</x:v>
      </x:c>
      <x:c r="E237" s="9" t="n">
        <x:f>COUNTIFS('Residual Schedule'!$C$7:$C$98,"Closure",'Residual Schedule'!$I$7:$I$98,"&lt;="&amp;B237,'Residual Schedule'!$J$7:$J$98,"&gt;"&amp;B237)</x:f>
        <x:v>0</x:v>
      </x:c>
      <x:c r="F237" s="9" t="n">
        <x:f>COUNTIFS('Residual Schedule'!$C$7:$C$98,"Damage",'Residual Schedule'!$I$7:$I$98,"&lt;="&amp;B237,'Residual Schedule'!$J$7:$J$98,"&gt;"&amp;B237)</x:f>
        <x:v>0</x:v>
      </x:c>
      <x:c r="G237" s="9" t="n">
        <x:f>COUNTIFS('Residual Schedule'!$C$7:$C$98,"Closure",'Residual Schedule'!$J$7:$J$98,"&lt;="&amp;B237)</x:f>
        <x:v>64</x:v>
      </x:c>
      <x:c r="H237" s="9" t="n">
        <x:f>COUNTIFS('Residual Schedule'!$C$7:$C$98,"Damage",'Residual Schedule'!$J$7:$J$98,"&lt;="&amp;B237)</x:f>
        <x:v>27</x:v>
      </x:c>
      <x:c r="I237" s="9" t="str">
        <x:f>IF(C237&lt;='Method Controls'!$D$27,"PASS","FAIL")</x:f>
        <x:v>PASS</x:v>
      </x:c>
      <x:c r="J237" s="9" t="str">
        <x:f>IF(D237&lt;='Method Controls'!$D$28,"PASS","FAIL")</x:f>
        <x:v>PASS</x:v>
      </x:c>
      <x:c r="K237" s="9" t="str">
        <x:f>IF(AND(E237&lt;='Method Controls'!$D$27,F237&lt;='Method Controls'!$D$28),"PASS","FAIL")</x:f>
        <x:v>PASS</x:v>
      </x:c>
      <x:c r="L237" s="9" t="str">
        <x:f>IF(AND(I237="PASS",J237="PASS",K237="PASS"),"PASS","FAIL")</x:f>
        <x:v>PASS</x:v>
      </x:c>
    </x:row>
    <x:row r="238">
      <x:c r="B238" s="9" t="n">
        <x:v>322</x:v>
      </x:c>
      <x:c r="C238" s="9" t="n">
        <x:f>COUNTIFS('Residual Schedule'!$C$7:$C$98,"Closure",'Residual Schedule'!$H$7:$H$98,"&lt;="&amp;B238,'Residual Schedule'!$I$7:$I$98,"&gt;"&amp;B238)</x:f>
        <x:v>0</x:v>
      </x:c>
      <x:c r="D238" s="9" t="n">
        <x:f>COUNTIFS('Residual Schedule'!$C$7:$C$98,"Damage",'Residual Schedule'!$H$7:$H$98,"&lt;="&amp;B238,'Residual Schedule'!$I$7:$I$98,"&gt;"&amp;B238)</x:f>
        <x:v>1</x:v>
      </x:c>
      <x:c r="E238" s="9" t="n">
        <x:f>COUNTIFS('Residual Schedule'!$C$7:$C$98,"Closure",'Residual Schedule'!$I$7:$I$98,"&lt;="&amp;B238,'Residual Schedule'!$J$7:$J$98,"&gt;"&amp;B238)</x:f>
        <x:v>0</x:v>
      </x:c>
      <x:c r="F238" s="9" t="n">
        <x:f>COUNTIFS('Residual Schedule'!$C$7:$C$98,"Damage",'Residual Schedule'!$I$7:$I$98,"&lt;="&amp;B238,'Residual Schedule'!$J$7:$J$98,"&gt;"&amp;B238)</x:f>
        <x:v>0</x:v>
      </x:c>
      <x:c r="G238" s="9" t="n">
        <x:f>COUNTIFS('Residual Schedule'!$C$7:$C$98,"Closure",'Residual Schedule'!$J$7:$J$98,"&lt;="&amp;B238)</x:f>
        <x:v>64</x:v>
      </x:c>
      <x:c r="H238" s="9" t="n">
        <x:f>COUNTIFS('Residual Schedule'!$C$7:$C$98,"Damage",'Residual Schedule'!$J$7:$J$98,"&lt;="&amp;B238)</x:f>
        <x:v>27</x:v>
      </x:c>
      <x:c r="I238" s="9" t="str">
        <x:f>IF(C238&lt;='Method Controls'!$D$27,"PASS","FAIL")</x:f>
        <x:v>PASS</x:v>
      </x:c>
      <x:c r="J238" s="9" t="str">
        <x:f>IF(D238&lt;='Method Controls'!$D$28,"PASS","FAIL")</x:f>
        <x:v>PASS</x:v>
      </x:c>
      <x:c r="K238" s="9" t="str">
        <x:f>IF(AND(E238&lt;='Method Controls'!$D$27,F238&lt;='Method Controls'!$D$28),"PASS","FAIL")</x:f>
        <x:v>PASS</x:v>
      </x:c>
      <x:c r="L238" s="9" t="str">
        <x:f>IF(AND(I238="PASS",J238="PASS",K238="PASS"),"PASS","FAIL")</x:f>
        <x:v>PASS</x:v>
      </x:c>
    </x:row>
    <x:row r="239">
      <x:c r="B239" s="9" t="n">
        <x:v>323</x:v>
      </x:c>
      <x:c r="C239" s="9" t="n">
        <x:f>COUNTIFS('Residual Schedule'!$C$7:$C$98,"Closure",'Residual Schedule'!$H$7:$H$98,"&lt;="&amp;B239,'Residual Schedule'!$I$7:$I$98,"&gt;"&amp;B239)</x:f>
        <x:v>0</x:v>
      </x:c>
      <x:c r="D239" s="9" t="n">
        <x:f>COUNTIFS('Residual Schedule'!$C$7:$C$98,"Damage",'Residual Schedule'!$H$7:$H$98,"&lt;="&amp;B239,'Residual Schedule'!$I$7:$I$98,"&gt;"&amp;B239)</x:f>
        <x:v>1</x:v>
      </x:c>
      <x:c r="E239" s="9" t="n">
        <x:f>COUNTIFS('Residual Schedule'!$C$7:$C$98,"Closure",'Residual Schedule'!$I$7:$I$98,"&lt;="&amp;B239,'Residual Schedule'!$J$7:$J$98,"&gt;"&amp;B239)</x:f>
        <x:v>0</x:v>
      </x:c>
      <x:c r="F239" s="9" t="n">
        <x:f>COUNTIFS('Residual Schedule'!$C$7:$C$98,"Damage",'Residual Schedule'!$I$7:$I$98,"&lt;="&amp;B239,'Residual Schedule'!$J$7:$J$98,"&gt;"&amp;B239)</x:f>
        <x:v>0</x:v>
      </x:c>
      <x:c r="G239" s="9" t="n">
        <x:f>COUNTIFS('Residual Schedule'!$C$7:$C$98,"Closure",'Residual Schedule'!$J$7:$J$98,"&lt;="&amp;B239)</x:f>
        <x:v>64</x:v>
      </x:c>
      <x:c r="H239" s="9" t="n">
        <x:f>COUNTIFS('Residual Schedule'!$C$7:$C$98,"Damage",'Residual Schedule'!$J$7:$J$98,"&lt;="&amp;B239)</x:f>
        <x:v>27</x:v>
      </x:c>
      <x:c r="I239" s="9" t="str">
        <x:f>IF(C239&lt;='Method Controls'!$D$27,"PASS","FAIL")</x:f>
        <x:v>PASS</x:v>
      </x:c>
      <x:c r="J239" s="9" t="str">
        <x:f>IF(D239&lt;='Method Controls'!$D$28,"PASS","FAIL")</x:f>
        <x:v>PASS</x:v>
      </x:c>
      <x:c r="K239" s="9" t="str">
        <x:f>IF(AND(E239&lt;='Method Controls'!$D$27,F239&lt;='Method Controls'!$D$28),"PASS","FAIL")</x:f>
        <x:v>PASS</x:v>
      </x:c>
      <x:c r="L239" s="9" t="str">
        <x:f>IF(AND(I239="PASS",J239="PASS",K239="PASS"),"PASS","FAIL")</x:f>
        <x:v>PASS</x:v>
      </x:c>
    </x:row>
    <x:row r="240">
      <x:c r="B240" s="9" t="n">
        <x:v>324</x:v>
      </x:c>
      <x:c r="C240" s="9" t="n">
        <x:f>COUNTIFS('Residual Schedule'!$C$7:$C$98,"Closure",'Residual Schedule'!$H$7:$H$98,"&lt;="&amp;B240,'Residual Schedule'!$I$7:$I$98,"&gt;"&amp;B240)</x:f>
        <x:v>0</x:v>
      </x:c>
      <x:c r="D240" s="9" t="n">
        <x:f>COUNTIFS('Residual Schedule'!$C$7:$C$98,"Damage",'Residual Schedule'!$H$7:$H$98,"&lt;="&amp;B240,'Residual Schedule'!$I$7:$I$98,"&gt;"&amp;B240)</x:f>
        <x:v>1</x:v>
      </x:c>
      <x:c r="E240" s="9" t="n">
        <x:f>COUNTIFS('Residual Schedule'!$C$7:$C$98,"Closure",'Residual Schedule'!$I$7:$I$98,"&lt;="&amp;B240,'Residual Schedule'!$J$7:$J$98,"&gt;"&amp;B240)</x:f>
        <x:v>0</x:v>
      </x:c>
      <x:c r="F240" s="9" t="n">
        <x:f>COUNTIFS('Residual Schedule'!$C$7:$C$98,"Damage",'Residual Schedule'!$I$7:$I$98,"&lt;="&amp;B240,'Residual Schedule'!$J$7:$J$98,"&gt;"&amp;B240)</x:f>
        <x:v>0</x:v>
      </x:c>
      <x:c r="G240" s="9" t="n">
        <x:f>COUNTIFS('Residual Schedule'!$C$7:$C$98,"Closure",'Residual Schedule'!$J$7:$J$98,"&lt;="&amp;B240)</x:f>
        <x:v>64</x:v>
      </x:c>
      <x:c r="H240" s="9" t="n">
        <x:f>COUNTIFS('Residual Schedule'!$C$7:$C$98,"Damage",'Residual Schedule'!$J$7:$J$98,"&lt;="&amp;B240)</x:f>
        <x:v>27</x:v>
      </x:c>
      <x:c r="I240" s="9" t="str">
        <x:f>IF(C240&lt;='Method Controls'!$D$27,"PASS","FAIL")</x:f>
        <x:v>PASS</x:v>
      </x:c>
      <x:c r="J240" s="9" t="str">
        <x:f>IF(D240&lt;='Method Controls'!$D$28,"PASS","FAIL")</x:f>
        <x:v>PASS</x:v>
      </x:c>
      <x:c r="K240" s="9" t="str">
        <x:f>IF(AND(E240&lt;='Method Controls'!$D$27,F240&lt;='Method Controls'!$D$28),"PASS","FAIL")</x:f>
        <x:v>PASS</x:v>
      </x:c>
      <x:c r="L240" s="9" t="str">
        <x:f>IF(AND(I240="PASS",J240="PASS",K240="PASS"),"PASS","FAIL")</x:f>
        <x:v>PASS</x:v>
      </x:c>
    </x:row>
    <x:row r="241">
      <x:c r="B241" s="9" t="n">
        <x:v>325</x:v>
      </x:c>
      <x:c r="C241" s="9" t="n">
        <x:f>COUNTIFS('Residual Schedule'!$C$7:$C$98,"Closure",'Residual Schedule'!$H$7:$H$98,"&lt;="&amp;B241,'Residual Schedule'!$I$7:$I$98,"&gt;"&amp;B241)</x:f>
        <x:v>0</x:v>
      </x:c>
      <x:c r="D241" s="9" t="n">
        <x:f>COUNTIFS('Residual Schedule'!$C$7:$C$98,"Damage",'Residual Schedule'!$H$7:$H$98,"&lt;="&amp;B241,'Residual Schedule'!$I$7:$I$98,"&gt;"&amp;B241)</x:f>
        <x:v>1</x:v>
      </x:c>
      <x:c r="E241" s="9" t="n">
        <x:f>COUNTIFS('Residual Schedule'!$C$7:$C$98,"Closure",'Residual Schedule'!$I$7:$I$98,"&lt;="&amp;B241,'Residual Schedule'!$J$7:$J$98,"&gt;"&amp;B241)</x:f>
        <x:v>0</x:v>
      </x:c>
      <x:c r="F241" s="9" t="n">
        <x:f>COUNTIFS('Residual Schedule'!$C$7:$C$98,"Damage",'Residual Schedule'!$I$7:$I$98,"&lt;="&amp;B241,'Residual Schedule'!$J$7:$J$98,"&gt;"&amp;B241)</x:f>
        <x:v>0</x:v>
      </x:c>
      <x:c r="G241" s="9" t="n">
        <x:f>COUNTIFS('Residual Schedule'!$C$7:$C$98,"Closure",'Residual Schedule'!$J$7:$J$98,"&lt;="&amp;B241)</x:f>
        <x:v>64</x:v>
      </x:c>
      <x:c r="H241" s="9" t="n">
        <x:f>COUNTIFS('Residual Schedule'!$C$7:$C$98,"Damage",'Residual Schedule'!$J$7:$J$98,"&lt;="&amp;B241)</x:f>
        <x:v>27</x:v>
      </x:c>
      <x:c r="I241" s="9" t="str">
        <x:f>IF(C241&lt;='Method Controls'!$D$27,"PASS","FAIL")</x:f>
        <x:v>PASS</x:v>
      </x:c>
      <x:c r="J241" s="9" t="str">
        <x:f>IF(D241&lt;='Method Controls'!$D$28,"PASS","FAIL")</x:f>
        <x:v>PASS</x:v>
      </x:c>
      <x:c r="K241" s="9" t="str">
        <x:f>IF(AND(E241&lt;='Method Controls'!$D$27,F241&lt;='Method Controls'!$D$28),"PASS","FAIL")</x:f>
        <x:v>PASS</x:v>
      </x:c>
      <x:c r="L241" s="9" t="str">
        <x:f>IF(AND(I241="PASS",J241="PASS",K241="PASS"),"PASS","FAIL")</x:f>
        <x:v>PASS</x:v>
      </x:c>
    </x:row>
    <x:row r="242">
      <x:c r="B242" s="9" t="n">
        <x:v>326</x:v>
      </x:c>
      <x:c r="C242" s="9" t="n">
        <x:f>COUNTIFS('Residual Schedule'!$C$7:$C$98,"Closure",'Residual Schedule'!$H$7:$H$98,"&lt;="&amp;B242,'Residual Schedule'!$I$7:$I$98,"&gt;"&amp;B242)</x:f>
        <x:v>0</x:v>
      </x:c>
      <x:c r="D242" s="9" t="n">
        <x:f>COUNTIFS('Residual Schedule'!$C$7:$C$98,"Damage",'Residual Schedule'!$H$7:$H$98,"&lt;="&amp;B242,'Residual Schedule'!$I$7:$I$98,"&gt;"&amp;B242)</x:f>
        <x:v>1</x:v>
      </x:c>
      <x:c r="E242" s="9" t="n">
        <x:f>COUNTIFS('Residual Schedule'!$C$7:$C$98,"Closure",'Residual Schedule'!$I$7:$I$98,"&lt;="&amp;B242,'Residual Schedule'!$J$7:$J$98,"&gt;"&amp;B242)</x:f>
        <x:v>0</x:v>
      </x:c>
      <x:c r="F242" s="9" t="n">
        <x:f>COUNTIFS('Residual Schedule'!$C$7:$C$98,"Damage",'Residual Schedule'!$I$7:$I$98,"&lt;="&amp;B242,'Residual Schedule'!$J$7:$J$98,"&gt;"&amp;B242)</x:f>
        <x:v>0</x:v>
      </x:c>
      <x:c r="G242" s="9" t="n">
        <x:f>COUNTIFS('Residual Schedule'!$C$7:$C$98,"Closure",'Residual Schedule'!$J$7:$J$98,"&lt;="&amp;B242)</x:f>
        <x:v>64</x:v>
      </x:c>
      <x:c r="H242" s="9" t="n">
        <x:f>COUNTIFS('Residual Schedule'!$C$7:$C$98,"Damage",'Residual Schedule'!$J$7:$J$98,"&lt;="&amp;B242)</x:f>
        <x:v>27</x:v>
      </x:c>
      <x:c r="I242" s="9" t="str">
        <x:f>IF(C242&lt;='Method Controls'!$D$27,"PASS","FAIL")</x:f>
        <x:v>PASS</x:v>
      </x:c>
      <x:c r="J242" s="9" t="str">
        <x:f>IF(D242&lt;='Method Controls'!$D$28,"PASS","FAIL")</x:f>
        <x:v>PASS</x:v>
      </x:c>
      <x:c r="K242" s="9" t="str">
        <x:f>IF(AND(E242&lt;='Method Controls'!$D$27,F242&lt;='Method Controls'!$D$28),"PASS","FAIL")</x:f>
        <x:v>PASS</x:v>
      </x:c>
      <x:c r="L242" s="9" t="str">
        <x:f>IF(AND(I242="PASS",J242="PASS",K242="PASS"),"PASS","FAIL")</x:f>
        <x:v>PASS</x:v>
      </x:c>
    </x:row>
    <x:row r="243">
      <x:c r="B243" s="9" t="n">
        <x:v>327</x:v>
      </x:c>
      <x:c r="C243" s="9" t="n">
        <x:f>COUNTIFS('Residual Schedule'!$C$7:$C$98,"Closure",'Residual Schedule'!$H$7:$H$98,"&lt;="&amp;B243,'Residual Schedule'!$I$7:$I$98,"&gt;"&amp;B243)</x:f>
        <x:v>0</x:v>
      </x:c>
      <x:c r="D243" s="9" t="n">
        <x:f>COUNTIFS('Residual Schedule'!$C$7:$C$98,"Damage",'Residual Schedule'!$H$7:$H$98,"&lt;="&amp;B243,'Residual Schedule'!$I$7:$I$98,"&gt;"&amp;B243)</x:f>
        <x:v>1</x:v>
      </x:c>
      <x:c r="E243" s="9" t="n">
        <x:f>COUNTIFS('Residual Schedule'!$C$7:$C$98,"Closure",'Residual Schedule'!$I$7:$I$98,"&lt;="&amp;B243,'Residual Schedule'!$J$7:$J$98,"&gt;"&amp;B243)</x:f>
        <x:v>0</x:v>
      </x:c>
      <x:c r="F243" s="9" t="n">
        <x:f>COUNTIFS('Residual Schedule'!$C$7:$C$98,"Damage",'Residual Schedule'!$I$7:$I$98,"&lt;="&amp;B243,'Residual Schedule'!$J$7:$J$98,"&gt;"&amp;B243)</x:f>
        <x:v>0</x:v>
      </x:c>
      <x:c r="G243" s="9" t="n">
        <x:f>COUNTIFS('Residual Schedule'!$C$7:$C$98,"Closure",'Residual Schedule'!$J$7:$J$98,"&lt;="&amp;B243)</x:f>
        <x:v>64</x:v>
      </x:c>
      <x:c r="H243" s="9" t="n">
        <x:f>COUNTIFS('Residual Schedule'!$C$7:$C$98,"Damage",'Residual Schedule'!$J$7:$J$98,"&lt;="&amp;B243)</x:f>
        <x:v>27</x:v>
      </x:c>
      <x:c r="I243" s="9" t="str">
        <x:f>IF(C243&lt;='Method Controls'!$D$27,"PASS","FAIL")</x:f>
        <x:v>PASS</x:v>
      </x:c>
      <x:c r="J243" s="9" t="str">
        <x:f>IF(D243&lt;='Method Controls'!$D$28,"PASS","FAIL")</x:f>
        <x:v>PASS</x:v>
      </x:c>
      <x:c r="K243" s="9" t="str">
        <x:f>IF(AND(E243&lt;='Method Controls'!$D$27,F243&lt;='Method Controls'!$D$28),"PASS","FAIL")</x:f>
        <x:v>PASS</x:v>
      </x:c>
      <x:c r="L243" s="9" t="str">
        <x:f>IF(AND(I243="PASS",J243="PASS",K243="PASS"),"PASS","FAIL")</x:f>
        <x:v>PASS</x:v>
      </x:c>
    </x:row>
    <x:row r="244">
      <x:c r="B244" s="9" t="n">
        <x:v>328</x:v>
      </x:c>
      <x:c r="C244" s="9" t="n">
        <x:f>COUNTIFS('Residual Schedule'!$C$7:$C$98,"Closure",'Residual Schedule'!$H$7:$H$98,"&lt;="&amp;B244,'Residual Schedule'!$I$7:$I$98,"&gt;"&amp;B244)</x:f>
        <x:v>0</x:v>
      </x:c>
      <x:c r="D244" s="9" t="n">
        <x:f>COUNTIFS('Residual Schedule'!$C$7:$C$98,"Damage",'Residual Schedule'!$H$7:$H$98,"&lt;="&amp;B244,'Residual Schedule'!$I$7:$I$98,"&gt;"&amp;B244)</x:f>
        <x:v>1</x:v>
      </x:c>
      <x:c r="E244" s="9" t="n">
        <x:f>COUNTIFS('Residual Schedule'!$C$7:$C$98,"Closure",'Residual Schedule'!$I$7:$I$98,"&lt;="&amp;B244,'Residual Schedule'!$J$7:$J$98,"&gt;"&amp;B244)</x:f>
        <x:v>0</x:v>
      </x:c>
      <x:c r="F244" s="9" t="n">
        <x:f>COUNTIFS('Residual Schedule'!$C$7:$C$98,"Damage",'Residual Schedule'!$I$7:$I$98,"&lt;="&amp;B244,'Residual Schedule'!$J$7:$J$98,"&gt;"&amp;B244)</x:f>
        <x:v>0</x:v>
      </x:c>
      <x:c r="G244" s="9" t="n">
        <x:f>COUNTIFS('Residual Schedule'!$C$7:$C$98,"Closure",'Residual Schedule'!$J$7:$J$98,"&lt;="&amp;B244)</x:f>
        <x:v>64</x:v>
      </x:c>
      <x:c r="H244" s="9" t="n">
        <x:f>COUNTIFS('Residual Schedule'!$C$7:$C$98,"Damage",'Residual Schedule'!$J$7:$J$98,"&lt;="&amp;B244)</x:f>
        <x:v>27</x:v>
      </x:c>
      <x:c r="I244" s="9" t="str">
        <x:f>IF(C244&lt;='Method Controls'!$D$27,"PASS","FAIL")</x:f>
        <x:v>PASS</x:v>
      </x:c>
      <x:c r="J244" s="9" t="str">
        <x:f>IF(D244&lt;='Method Controls'!$D$28,"PASS","FAIL")</x:f>
        <x:v>PASS</x:v>
      </x:c>
      <x:c r="K244" s="9" t="str">
        <x:f>IF(AND(E244&lt;='Method Controls'!$D$27,F244&lt;='Method Controls'!$D$28),"PASS","FAIL")</x:f>
        <x:v>PASS</x:v>
      </x:c>
      <x:c r="L244" s="9" t="str">
        <x:f>IF(AND(I244="PASS",J244="PASS",K244="PASS"),"PASS","FAIL")</x:f>
        <x:v>PASS</x:v>
      </x:c>
    </x:row>
    <x:row r="245">
      <x:c r="B245" s="9" t="n">
        <x:v>329</x:v>
      </x:c>
      <x:c r="C245" s="9" t="n">
        <x:f>COUNTIFS('Residual Schedule'!$C$7:$C$98,"Closure",'Residual Schedule'!$H$7:$H$98,"&lt;="&amp;B245,'Residual Schedule'!$I$7:$I$98,"&gt;"&amp;B245)</x:f>
        <x:v>0</x:v>
      </x:c>
      <x:c r="D245" s="9" t="n">
        <x:f>COUNTIFS('Residual Schedule'!$C$7:$C$98,"Damage",'Residual Schedule'!$H$7:$H$98,"&lt;="&amp;B245,'Residual Schedule'!$I$7:$I$98,"&gt;"&amp;B245)</x:f>
        <x:v>1</x:v>
      </x:c>
      <x:c r="E245" s="9" t="n">
        <x:f>COUNTIFS('Residual Schedule'!$C$7:$C$98,"Closure",'Residual Schedule'!$I$7:$I$98,"&lt;="&amp;B245,'Residual Schedule'!$J$7:$J$98,"&gt;"&amp;B245)</x:f>
        <x:v>0</x:v>
      </x:c>
      <x:c r="F245" s="9" t="n">
        <x:f>COUNTIFS('Residual Schedule'!$C$7:$C$98,"Damage",'Residual Schedule'!$I$7:$I$98,"&lt;="&amp;B245,'Residual Schedule'!$J$7:$J$98,"&gt;"&amp;B245)</x:f>
        <x:v>0</x:v>
      </x:c>
      <x:c r="G245" s="9" t="n">
        <x:f>COUNTIFS('Residual Schedule'!$C$7:$C$98,"Closure",'Residual Schedule'!$J$7:$J$98,"&lt;="&amp;B245)</x:f>
        <x:v>64</x:v>
      </x:c>
      <x:c r="H245" s="9" t="n">
        <x:f>COUNTIFS('Residual Schedule'!$C$7:$C$98,"Damage",'Residual Schedule'!$J$7:$J$98,"&lt;="&amp;B245)</x:f>
        <x:v>27</x:v>
      </x:c>
      <x:c r="I245" s="9" t="str">
        <x:f>IF(C245&lt;='Method Controls'!$D$27,"PASS","FAIL")</x:f>
        <x:v>PASS</x:v>
      </x:c>
      <x:c r="J245" s="9" t="str">
        <x:f>IF(D245&lt;='Method Controls'!$D$28,"PASS","FAIL")</x:f>
        <x:v>PASS</x:v>
      </x:c>
      <x:c r="K245" s="9" t="str">
        <x:f>IF(AND(E245&lt;='Method Controls'!$D$27,F245&lt;='Method Controls'!$D$28),"PASS","FAIL")</x:f>
        <x:v>PASS</x:v>
      </x:c>
      <x:c r="L245" s="9" t="str">
        <x:f>IF(AND(I245="PASS",J245="PASS",K245="PASS"),"PASS","FAIL")</x:f>
        <x:v>PASS</x:v>
      </x:c>
    </x:row>
    <x:row r="246">
      <x:c r="B246" s="9" t="n">
        <x:v>330</x:v>
      </x:c>
      <x:c r="C246" s="9" t="n">
        <x:f>COUNTIFS('Residual Schedule'!$C$7:$C$98,"Closure",'Residual Schedule'!$H$7:$H$98,"&lt;="&amp;B246,'Residual Schedule'!$I$7:$I$98,"&gt;"&amp;B246)</x:f>
        <x:v>0</x:v>
      </x:c>
      <x:c r="D246" s="9" t="n">
        <x:f>COUNTIFS('Residual Schedule'!$C$7:$C$98,"Damage",'Residual Schedule'!$H$7:$H$98,"&lt;="&amp;B246,'Residual Schedule'!$I$7:$I$98,"&gt;"&amp;B246)</x:f>
        <x:v>1</x:v>
      </x:c>
      <x:c r="E246" s="9" t="n">
        <x:f>COUNTIFS('Residual Schedule'!$C$7:$C$98,"Closure",'Residual Schedule'!$I$7:$I$98,"&lt;="&amp;B246,'Residual Schedule'!$J$7:$J$98,"&gt;"&amp;B246)</x:f>
        <x:v>0</x:v>
      </x:c>
      <x:c r="F246" s="9" t="n">
        <x:f>COUNTIFS('Residual Schedule'!$C$7:$C$98,"Damage",'Residual Schedule'!$I$7:$I$98,"&lt;="&amp;B246,'Residual Schedule'!$J$7:$J$98,"&gt;"&amp;B246)</x:f>
        <x:v>0</x:v>
      </x:c>
      <x:c r="G246" s="9" t="n">
        <x:f>COUNTIFS('Residual Schedule'!$C$7:$C$98,"Closure",'Residual Schedule'!$J$7:$J$98,"&lt;="&amp;B246)</x:f>
        <x:v>64</x:v>
      </x:c>
      <x:c r="H246" s="9" t="n">
        <x:f>COUNTIFS('Residual Schedule'!$C$7:$C$98,"Damage",'Residual Schedule'!$J$7:$J$98,"&lt;="&amp;B246)</x:f>
        <x:v>27</x:v>
      </x:c>
      <x:c r="I246" s="9" t="str">
        <x:f>IF(C246&lt;='Method Controls'!$D$27,"PASS","FAIL")</x:f>
        <x:v>PASS</x:v>
      </x:c>
      <x:c r="J246" s="9" t="str">
        <x:f>IF(D246&lt;='Method Controls'!$D$28,"PASS","FAIL")</x:f>
        <x:v>PASS</x:v>
      </x:c>
      <x:c r="K246" s="9" t="str">
        <x:f>IF(AND(E246&lt;='Method Controls'!$D$27,F246&lt;='Method Controls'!$D$28),"PASS","FAIL")</x:f>
        <x:v>PASS</x:v>
      </x:c>
      <x:c r="L246" s="9" t="str">
        <x:f>IF(AND(I246="PASS",J246="PASS",K246="PASS"),"PASS","FAIL")</x:f>
        <x:v>PASS</x:v>
      </x:c>
    </x:row>
    <x:row r="247">
      <x:c r="B247" s="9" t="n">
        <x:v>331</x:v>
      </x:c>
      <x:c r="C247" s="9" t="n">
        <x:f>COUNTIFS('Residual Schedule'!$C$7:$C$98,"Closure",'Residual Schedule'!$H$7:$H$98,"&lt;="&amp;B247,'Residual Schedule'!$I$7:$I$98,"&gt;"&amp;B247)</x:f>
        <x:v>0</x:v>
      </x:c>
      <x:c r="D247" s="9" t="n">
        <x:f>COUNTIFS('Residual Schedule'!$C$7:$C$98,"Damage",'Residual Schedule'!$H$7:$H$98,"&lt;="&amp;B247,'Residual Schedule'!$I$7:$I$98,"&gt;"&amp;B247)</x:f>
        <x:v>1</x:v>
      </x:c>
      <x:c r="E247" s="9" t="n">
        <x:f>COUNTIFS('Residual Schedule'!$C$7:$C$98,"Closure",'Residual Schedule'!$I$7:$I$98,"&lt;="&amp;B247,'Residual Schedule'!$J$7:$J$98,"&gt;"&amp;B247)</x:f>
        <x:v>0</x:v>
      </x:c>
      <x:c r="F247" s="9" t="n">
        <x:f>COUNTIFS('Residual Schedule'!$C$7:$C$98,"Damage",'Residual Schedule'!$I$7:$I$98,"&lt;="&amp;B247,'Residual Schedule'!$J$7:$J$98,"&gt;"&amp;B247)</x:f>
        <x:v>0</x:v>
      </x:c>
      <x:c r="G247" s="9" t="n">
        <x:f>COUNTIFS('Residual Schedule'!$C$7:$C$98,"Closure",'Residual Schedule'!$J$7:$J$98,"&lt;="&amp;B247)</x:f>
        <x:v>64</x:v>
      </x:c>
      <x:c r="H247" s="9" t="n">
        <x:f>COUNTIFS('Residual Schedule'!$C$7:$C$98,"Damage",'Residual Schedule'!$J$7:$J$98,"&lt;="&amp;B247)</x:f>
        <x:v>27</x:v>
      </x:c>
      <x:c r="I247" s="9" t="str">
        <x:f>IF(C247&lt;='Method Controls'!$D$27,"PASS","FAIL")</x:f>
        <x:v>PASS</x:v>
      </x:c>
      <x:c r="J247" s="9" t="str">
        <x:f>IF(D247&lt;='Method Controls'!$D$28,"PASS","FAIL")</x:f>
        <x:v>PASS</x:v>
      </x:c>
      <x:c r="K247" s="9" t="str">
        <x:f>IF(AND(E247&lt;='Method Controls'!$D$27,F247&lt;='Method Controls'!$D$28),"PASS","FAIL")</x:f>
        <x:v>PASS</x:v>
      </x:c>
      <x:c r="L247" s="9" t="str">
        <x:f>IF(AND(I247="PASS",J247="PASS",K247="PASS"),"PASS","FAIL")</x:f>
        <x:v>PASS</x:v>
      </x:c>
    </x:row>
    <x:row r="248">
      <x:c r="B248" s="9" t="n">
        <x:v>332</x:v>
      </x:c>
      <x:c r="C248" s="9" t="n">
        <x:f>COUNTIFS('Residual Schedule'!$C$7:$C$98,"Closure",'Residual Schedule'!$H$7:$H$98,"&lt;="&amp;B248,'Residual Schedule'!$I$7:$I$98,"&gt;"&amp;B248)</x:f>
        <x:v>0</x:v>
      </x:c>
      <x:c r="D248" s="9" t="n">
        <x:f>COUNTIFS('Residual Schedule'!$C$7:$C$98,"Damage",'Residual Schedule'!$H$7:$H$98,"&lt;="&amp;B248,'Residual Schedule'!$I$7:$I$98,"&gt;"&amp;B248)</x:f>
        <x:v>0</x:v>
      </x:c>
      <x:c r="E248" s="9" t="n">
        <x:f>COUNTIFS('Residual Schedule'!$C$7:$C$98,"Closure",'Residual Schedule'!$I$7:$I$98,"&lt;="&amp;B248,'Residual Schedule'!$J$7:$J$98,"&gt;"&amp;B248)</x:f>
        <x:v>0</x:v>
      </x:c>
      <x:c r="F248" s="9" t="n">
        <x:f>COUNTIFS('Residual Schedule'!$C$7:$C$98,"Damage",'Residual Schedule'!$I$7:$I$98,"&lt;="&amp;B248,'Residual Schedule'!$J$7:$J$98,"&gt;"&amp;B248)</x:f>
        <x:v>1</x:v>
      </x:c>
      <x:c r="G248" s="9" t="n">
        <x:f>COUNTIFS('Residual Schedule'!$C$7:$C$98,"Closure",'Residual Schedule'!$J$7:$J$98,"&lt;="&amp;B248)</x:f>
        <x:v>64</x:v>
      </x:c>
      <x:c r="H248" s="9" t="n">
        <x:f>COUNTIFS('Residual Schedule'!$C$7:$C$98,"Damage",'Residual Schedule'!$J$7:$J$98,"&lt;="&amp;B248)</x:f>
        <x:v>27</x:v>
      </x:c>
      <x:c r="I248" s="9" t="str">
        <x:f>IF(C248&lt;='Method Controls'!$D$27,"PASS","FAIL")</x:f>
        <x:v>PASS</x:v>
      </x:c>
      <x:c r="J248" s="9" t="str">
        <x:f>IF(D248&lt;='Method Controls'!$D$28,"PASS","FAIL")</x:f>
        <x:v>PASS</x:v>
      </x:c>
      <x:c r="K248" s="9" t="str">
        <x:f>IF(AND(E248&lt;='Method Controls'!$D$27,F248&lt;='Method Controls'!$D$28),"PASS","FAIL")</x:f>
        <x:v>PASS</x:v>
      </x:c>
      <x:c r="L248" s="9" t="str">
        <x:f>IF(AND(I248="PASS",J248="PASS",K248="PASS"),"PASS","FAIL")</x:f>
        <x:v>PASS</x:v>
      </x:c>
    </x:row>
    <x:row r="249">
      <x:c r="B249" s="9" t="n">
        <x:v>333</x:v>
      </x:c>
      <x:c r="C249" s="9" t="n">
        <x:f>COUNTIFS('Residual Schedule'!$C$7:$C$98,"Closure",'Residual Schedule'!$H$7:$H$98,"&lt;="&amp;B249,'Residual Schedule'!$I$7:$I$98,"&gt;"&amp;B249)</x:f>
        <x:v>0</x:v>
      </x:c>
      <x:c r="D249" s="9" t="n">
        <x:f>COUNTIFS('Residual Schedule'!$C$7:$C$98,"Damage",'Residual Schedule'!$H$7:$H$98,"&lt;="&amp;B249,'Residual Schedule'!$I$7:$I$98,"&gt;"&amp;B249)</x:f>
        <x:v>0</x:v>
      </x:c>
      <x:c r="E249" s="9" t="n">
        <x:f>COUNTIFS('Residual Schedule'!$C$7:$C$98,"Closure",'Residual Schedule'!$I$7:$I$98,"&lt;="&amp;B249,'Residual Schedule'!$J$7:$J$98,"&gt;"&amp;B249)</x:f>
        <x:v>0</x:v>
      </x:c>
      <x:c r="F249" s="9" t="n">
        <x:f>COUNTIFS('Residual Schedule'!$C$7:$C$98,"Damage",'Residual Schedule'!$I$7:$I$98,"&lt;="&amp;B249,'Residual Schedule'!$J$7:$J$98,"&gt;"&amp;B249)</x:f>
        <x:v>1</x:v>
      </x:c>
      <x:c r="G249" s="9" t="n">
        <x:f>COUNTIFS('Residual Schedule'!$C$7:$C$98,"Closure",'Residual Schedule'!$J$7:$J$98,"&lt;="&amp;B249)</x:f>
        <x:v>64</x:v>
      </x:c>
      <x:c r="H249" s="9" t="n">
        <x:f>COUNTIFS('Residual Schedule'!$C$7:$C$98,"Damage",'Residual Schedule'!$J$7:$J$98,"&lt;="&amp;B249)</x:f>
        <x:v>27</x:v>
      </x:c>
      <x:c r="I249" s="9" t="str">
        <x:f>IF(C249&lt;='Method Controls'!$D$27,"PASS","FAIL")</x:f>
        <x:v>PASS</x:v>
      </x:c>
      <x:c r="J249" s="9" t="str">
        <x:f>IF(D249&lt;='Method Controls'!$D$28,"PASS","FAIL")</x:f>
        <x:v>PASS</x:v>
      </x:c>
      <x:c r="K249" s="9" t="str">
        <x:f>IF(AND(E249&lt;='Method Controls'!$D$27,F249&lt;='Method Controls'!$D$28),"PASS","FAIL")</x:f>
        <x:v>PASS</x:v>
      </x:c>
      <x:c r="L249" s="9" t="str">
        <x:f>IF(AND(I249="PASS",J249="PASS",K249="PASS"),"PASS","FAIL")</x:f>
        <x:v>PASS</x:v>
      </x:c>
    </x:row>
    <x:row r="250">
      <x:c r="B250" s="9" t="n">
        <x:v>334</x:v>
      </x:c>
      <x:c r="C250" s="9" t="n">
        <x:f>COUNTIFS('Residual Schedule'!$C$7:$C$98,"Closure",'Residual Schedule'!$H$7:$H$98,"&lt;="&amp;B250,'Residual Schedule'!$I$7:$I$98,"&gt;"&amp;B250)</x:f>
        <x:v>0</x:v>
      </x:c>
      <x:c r="D250" s="9" t="n">
        <x:f>COUNTIFS('Residual Schedule'!$C$7:$C$98,"Damage",'Residual Schedule'!$H$7:$H$98,"&lt;="&amp;B250,'Residual Schedule'!$I$7:$I$98,"&gt;"&amp;B250)</x:f>
        <x:v>0</x:v>
      </x:c>
      <x:c r="E250" s="9" t="n">
        <x:f>COUNTIFS('Residual Schedule'!$C$7:$C$98,"Closure",'Residual Schedule'!$I$7:$I$98,"&lt;="&amp;B250,'Residual Schedule'!$J$7:$J$98,"&gt;"&amp;B250)</x:f>
        <x:v>0</x:v>
      </x:c>
      <x:c r="F250" s="9" t="n">
        <x:f>COUNTIFS('Residual Schedule'!$C$7:$C$98,"Damage",'Residual Schedule'!$I$7:$I$98,"&lt;="&amp;B250,'Residual Schedule'!$J$7:$J$98,"&gt;"&amp;B250)</x:f>
        <x:v>1</x:v>
      </x:c>
      <x:c r="G250" s="9" t="n">
        <x:f>COUNTIFS('Residual Schedule'!$C$7:$C$98,"Closure",'Residual Schedule'!$J$7:$J$98,"&lt;="&amp;B250)</x:f>
        <x:v>64</x:v>
      </x:c>
      <x:c r="H250" s="9" t="n">
        <x:f>COUNTIFS('Residual Schedule'!$C$7:$C$98,"Damage",'Residual Schedule'!$J$7:$J$98,"&lt;="&amp;B250)</x:f>
        <x:v>27</x:v>
      </x:c>
      <x:c r="I250" s="9" t="str">
        <x:f>IF(C250&lt;='Method Controls'!$D$27,"PASS","FAIL")</x:f>
        <x:v>PASS</x:v>
      </x:c>
      <x:c r="J250" s="9" t="str">
        <x:f>IF(D250&lt;='Method Controls'!$D$28,"PASS","FAIL")</x:f>
        <x:v>PASS</x:v>
      </x:c>
      <x:c r="K250" s="9" t="str">
        <x:f>IF(AND(E250&lt;='Method Controls'!$D$27,F250&lt;='Method Controls'!$D$28),"PASS","FAIL")</x:f>
        <x:v>PASS</x:v>
      </x:c>
      <x:c r="L250" s="9" t="str">
        <x:f>IF(AND(I250="PASS",J250="PASS",K250="PASS"),"PASS","FAIL")</x:f>
        <x:v>PASS</x:v>
      </x:c>
    </x:row>
    <x:row r="251">
      <x:c r="B251" s="9" t="n">
        <x:v>335</x:v>
      </x:c>
      <x:c r="C251" s="9" t="n">
        <x:f>COUNTIFS('Residual Schedule'!$C$7:$C$98,"Closure",'Residual Schedule'!$H$7:$H$98,"&lt;="&amp;B251,'Residual Schedule'!$I$7:$I$98,"&gt;"&amp;B251)</x:f>
        <x:v>0</x:v>
      </x:c>
      <x:c r="D251" s="9" t="n">
        <x:f>COUNTIFS('Residual Schedule'!$C$7:$C$98,"Damage",'Residual Schedule'!$H$7:$H$98,"&lt;="&amp;B251,'Residual Schedule'!$I$7:$I$98,"&gt;"&amp;B251)</x:f>
        <x:v>0</x:v>
      </x:c>
      <x:c r="E251" s="9" t="n">
        <x:f>COUNTIFS('Residual Schedule'!$C$7:$C$98,"Closure",'Residual Schedule'!$I$7:$I$98,"&lt;="&amp;B251,'Residual Schedule'!$J$7:$J$98,"&gt;"&amp;B251)</x:f>
        <x:v>0</x:v>
      </x:c>
      <x:c r="F251" s="9" t="n">
        <x:f>COUNTIFS('Residual Schedule'!$C$7:$C$98,"Damage",'Residual Schedule'!$I$7:$I$98,"&lt;="&amp;B251,'Residual Schedule'!$J$7:$J$98,"&gt;"&amp;B251)</x:f>
        <x:v>1</x:v>
      </x:c>
      <x:c r="G251" s="9" t="n">
        <x:f>COUNTIFS('Residual Schedule'!$C$7:$C$98,"Closure",'Residual Schedule'!$J$7:$J$98,"&lt;="&amp;B251)</x:f>
        <x:v>64</x:v>
      </x:c>
      <x:c r="H251" s="9" t="n">
        <x:f>COUNTIFS('Residual Schedule'!$C$7:$C$98,"Damage",'Residual Schedule'!$J$7:$J$98,"&lt;="&amp;B251)</x:f>
        <x:v>27</x:v>
      </x:c>
      <x:c r="I251" s="9" t="str">
        <x:f>IF(C251&lt;='Method Controls'!$D$27,"PASS","FAIL")</x:f>
        <x:v>PASS</x:v>
      </x:c>
      <x:c r="J251" s="9" t="str">
        <x:f>IF(D251&lt;='Method Controls'!$D$28,"PASS","FAIL")</x:f>
        <x:v>PASS</x:v>
      </x:c>
      <x:c r="K251" s="9" t="str">
        <x:f>IF(AND(E251&lt;='Method Controls'!$D$27,F251&lt;='Method Controls'!$D$28),"PASS","FAIL")</x:f>
        <x:v>PASS</x:v>
      </x:c>
      <x:c r="L251" s="9" t="str">
        <x:f>IF(AND(I251="PASS",J251="PASS",K251="PASS"),"PASS","FAIL")</x:f>
        <x:v>PASS</x:v>
      </x:c>
    </x:row>
    <x:row r="252">
      <x:c r="B252" s="9" t="n">
        <x:v>336</x:v>
      </x:c>
      <x:c r="C252" s="9" t="n">
        <x:f>COUNTIFS('Residual Schedule'!$C$7:$C$98,"Closure",'Residual Schedule'!$H$7:$H$98,"&lt;="&amp;B252,'Residual Schedule'!$I$7:$I$98,"&gt;"&amp;B252)</x:f>
        <x:v>0</x:v>
      </x:c>
      <x:c r="D252" s="9" t="n">
        <x:f>COUNTIFS('Residual Schedule'!$C$7:$C$98,"Damage",'Residual Schedule'!$H$7:$H$98,"&lt;="&amp;B252,'Residual Schedule'!$I$7:$I$98,"&gt;"&amp;B252)</x:f>
        <x:v>0</x:v>
      </x:c>
      <x:c r="E252" s="9" t="n">
        <x:f>COUNTIFS('Residual Schedule'!$C$7:$C$98,"Closure",'Residual Schedule'!$I$7:$I$98,"&lt;="&amp;B252,'Residual Schedule'!$J$7:$J$98,"&gt;"&amp;B252)</x:f>
        <x:v>0</x:v>
      </x:c>
      <x:c r="F252" s="9" t="n">
        <x:f>COUNTIFS('Residual Schedule'!$C$7:$C$98,"Damage",'Residual Schedule'!$I$7:$I$98,"&lt;="&amp;B252,'Residual Schedule'!$J$7:$J$98,"&gt;"&amp;B252)</x:f>
        <x:v>1</x:v>
      </x:c>
      <x:c r="G252" s="9" t="n">
        <x:f>COUNTIFS('Residual Schedule'!$C$7:$C$98,"Closure",'Residual Schedule'!$J$7:$J$98,"&lt;="&amp;B252)</x:f>
        <x:v>64</x:v>
      </x:c>
      <x:c r="H252" s="9" t="n">
        <x:f>COUNTIFS('Residual Schedule'!$C$7:$C$98,"Damage",'Residual Schedule'!$J$7:$J$98,"&lt;="&amp;B252)</x:f>
        <x:v>27</x:v>
      </x:c>
      <x:c r="I252" s="9" t="str">
        <x:f>IF(C252&lt;='Method Controls'!$D$27,"PASS","FAIL")</x:f>
        <x:v>PASS</x:v>
      </x:c>
      <x:c r="J252" s="9" t="str">
        <x:f>IF(D252&lt;='Method Controls'!$D$28,"PASS","FAIL")</x:f>
        <x:v>PASS</x:v>
      </x:c>
      <x:c r="K252" s="9" t="str">
        <x:f>IF(AND(E252&lt;='Method Controls'!$D$27,F252&lt;='Method Controls'!$D$28),"PASS","FAIL")</x:f>
        <x:v>PASS</x:v>
      </x:c>
      <x:c r="L252" s="9" t="str">
        <x:f>IF(AND(I252="PASS",J252="PASS",K252="PASS"),"PASS","FAIL")</x:f>
        <x:v>PASS</x:v>
      </x:c>
    </x:row>
    <x:row r="253">
      <x:c r="B253" s="9" t="n">
        <x:v>337</x:v>
      </x:c>
      <x:c r="C253" s="9" t="n">
        <x:f>COUNTIFS('Residual Schedule'!$C$7:$C$98,"Closure",'Residual Schedule'!$H$7:$H$98,"&lt;="&amp;B253,'Residual Schedule'!$I$7:$I$98,"&gt;"&amp;B253)</x:f>
        <x:v>0</x:v>
      </x:c>
      <x:c r="D253" s="9" t="n">
        <x:f>COUNTIFS('Residual Schedule'!$C$7:$C$98,"Damage",'Residual Schedule'!$H$7:$H$98,"&lt;="&amp;B253,'Residual Schedule'!$I$7:$I$98,"&gt;"&amp;B253)</x:f>
        <x:v>0</x:v>
      </x:c>
      <x:c r="E253" s="9" t="n">
        <x:f>COUNTIFS('Residual Schedule'!$C$7:$C$98,"Closure",'Residual Schedule'!$I$7:$I$98,"&lt;="&amp;B253,'Residual Schedule'!$J$7:$J$98,"&gt;"&amp;B253)</x:f>
        <x:v>0</x:v>
      </x:c>
      <x:c r="F253" s="9" t="n">
        <x:f>COUNTIFS('Residual Schedule'!$C$7:$C$98,"Damage",'Residual Schedule'!$I$7:$I$98,"&lt;="&amp;B253,'Residual Schedule'!$J$7:$J$98,"&gt;"&amp;B253)</x:f>
        <x:v>1</x:v>
      </x:c>
      <x:c r="G253" s="9" t="n">
        <x:f>COUNTIFS('Residual Schedule'!$C$7:$C$98,"Closure",'Residual Schedule'!$J$7:$J$98,"&lt;="&amp;B253)</x:f>
        <x:v>64</x:v>
      </x:c>
      <x:c r="H253" s="9" t="n">
        <x:f>COUNTIFS('Residual Schedule'!$C$7:$C$98,"Damage",'Residual Schedule'!$J$7:$J$98,"&lt;="&amp;B253)</x:f>
        <x:v>27</x:v>
      </x:c>
      <x:c r="I253" s="9" t="str">
        <x:f>IF(C253&lt;='Method Controls'!$D$27,"PASS","FAIL")</x:f>
        <x:v>PASS</x:v>
      </x:c>
      <x:c r="J253" s="9" t="str">
        <x:f>IF(D253&lt;='Method Controls'!$D$28,"PASS","FAIL")</x:f>
        <x:v>PASS</x:v>
      </x:c>
      <x:c r="K253" s="9" t="str">
        <x:f>IF(AND(E253&lt;='Method Controls'!$D$27,F253&lt;='Method Controls'!$D$28),"PASS","FAIL")</x:f>
        <x:v>PASS</x:v>
      </x:c>
      <x:c r="L253" s="9" t="str">
        <x:f>IF(AND(I253="PASS",J253="PASS",K253="PASS"),"PASS","FAIL")</x:f>
        <x:v>PASS</x:v>
      </x:c>
    </x:row>
    <x:row r="254">
      <x:c r="B254" s="9" t="n">
        <x:v>338</x:v>
      </x:c>
      <x:c r="C254" s="9" t="n">
        <x:f>COUNTIFS('Residual Schedule'!$C$7:$C$98,"Closure",'Residual Schedule'!$H$7:$H$98,"&lt;="&amp;B254,'Residual Schedule'!$I$7:$I$98,"&gt;"&amp;B254)</x:f>
        <x:v>0</x:v>
      </x:c>
      <x:c r="D254" s="9" t="n">
        <x:f>COUNTIFS('Residual Schedule'!$C$7:$C$98,"Damage",'Residual Schedule'!$H$7:$H$98,"&lt;="&amp;B254,'Residual Schedule'!$I$7:$I$98,"&gt;"&amp;B254)</x:f>
        <x:v>0</x:v>
      </x:c>
      <x:c r="E254" s="9" t="n">
        <x:f>COUNTIFS('Residual Schedule'!$C$7:$C$98,"Closure",'Residual Schedule'!$I$7:$I$98,"&lt;="&amp;B254,'Residual Schedule'!$J$7:$J$98,"&gt;"&amp;B254)</x:f>
        <x:v>0</x:v>
      </x:c>
      <x:c r="F254" s="9" t="n">
        <x:f>COUNTIFS('Residual Schedule'!$C$7:$C$98,"Damage",'Residual Schedule'!$I$7:$I$98,"&lt;="&amp;B254,'Residual Schedule'!$J$7:$J$98,"&gt;"&amp;B254)</x:f>
        <x:v>1</x:v>
      </x:c>
      <x:c r="G254" s="9" t="n">
        <x:f>COUNTIFS('Residual Schedule'!$C$7:$C$98,"Closure",'Residual Schedule'!$J$7:$J$98,"&lt;="&amp;B254)</x:f>
        <x:v>64</x:v>
      </x:c>
      <x:c r="H254" s="9" t="n">
        <x:f>COUNTIFS('Residual Schedule'!$C$7:$C$98,"Damage",'Residual Schedule'!$J$7:$J$98,"&lt;="&amp;B254)</x:f>
        <x:v>27</x:v>
      </x:c>
      <x:c r="I254" s="9" t="str">
        <x:f>IF(C254&lt;='Method Controls'!$D$27,"PASS","FAIL")</x:f>
        <x:v>PASS</x:v>
      </x:c>
      <x:c r="J254" s="9" t="str">
        <x:f>IF(D254&lt;='Method Controls'!$D$28,"PASS","FAIL")</x:f>
        <x:v>PASS</x:v>
      </x:c>
      <x:c r="K254" s="9" t="str">
        <x:f>IF(AND(E254&lt;='Method Controls'!$D$27,F254&lt;='Method Controls'!$D$28),"PASS","FAIL")</x:f>
        <x:v>PASS</x:v>
      </x:c>
      <x:c r="L254" s="9" t="str">
        <x:f>IF(AND(I254="PASS",J254="PASS",K254="PASS"),"PASS","FAIL")</x:f>
        <x:v>PASS</x:v>
      </x:c>
    </x:row>
    <x:row r="255">
      <x:c r="B255" s="9" t="n">
        <x:v>339</x:v>
      </x:c>
      <x:c r="C255" s="9" t="n">
        <x:f>COUNTIFS('Residual Schedule'!$C$7:$C$98,"Closure",'Residual Schedule'!$H$7:$H$98,"&lt;="&amp;B255,'Residual Schedule'!$I$7:$I$98,"&gt;"&amp;B255)</x:f>
        <x:v>0</x:v>
      </x:c>
      <x:c r="D255" s="9" t="n">
        <x:f>COUNTIFS('Residual Schedule'!$C$7:$C$98,"Damage",'Residual Schedule'!$H$7:$H$98,"&lt;="&amp;B255,'Residual Schedule'!$I$7:$I$98,"&gt;"&amp;B255)</x:f>
        <x:v>0</x:v>
      </x:c>
      <x:c r="E255" s="9" t="n">
        <x:f>COUNTIFS('Residual Schedule'!$C$7:$C$98,"Closure",'Residual Schedule'!$I$7:$I$98,"&lt;="&amp;B255,'Residual Schedule'!$J$7:$J$98,"&gt;"&amp;B255)</x:f>
        <x:v>0</x:v>
      </x:c>
      <x:c r="F255" s="9" t="n">
        <x:f>COUNTIFS('Residual Schedule'!$C$7:$C$98,"Damage",'Residual Schedule'!$I$7:$I$98,"&lt;="&amp;B255,'Residual Schedule'!$J$7:$J$98,"&gt;"&amp;B255)</x:f>
        <x:v>1</x:v>
      </x:c>
      <x:c r="G255" s="9" t="n">
        <x:f>COUNTIFS('Residual Schedule'!$C$7:$C$98,"Closure",'Residual Schedule'!$J$7:$J$98,"&lt;="&amp;B255)</x:f>
        <x:v>64</x:v>
      </x:c>
      <x:c r="H255" s="9" t="n">
        <x:f>COUNTIFS('Residual Schedule'!$C$7:$C$98,"Damage",'Residual Schedule'!$J$7:$J$98,"&lt;="&amp;B255)</x:f>
        <x:v>27</x:v>
      </x:c>
      <x:c r="I255" s="9" t="str">
        <x:f>IF(C255&lt;='Method Controls'!$D$27,"PASS","FAIL")</x:f>
        <x:v>PASS</x:v>
      </x:c>
      <x:c r="J255" s="9" t="str">
        <x:f>IF(D255&lt;='Method Controls'!$D$28,"PASS","FAIL")</x:f>
        <x:v>PASS</x:v>
      </x:c>
      <x:c r="K255" s="9" t="str">
        <x:f>IF(AND(E255&lt;='Method Controls'!$D$27,F255&lt;='Method Controls'!$D$28),"PASS","FAIL")</x:f>
        <x:v>PASS</x:v>
      </x:c>
      <x:c r="L255" s="9" t="str">
        <x:f>IF(AND(I255="PASS",J255="PASS",K255="PASS"),"PASS","FAIL")</x:f>
        <x:v>PASS</x:v>
      </x:c>
    </x:row>
    <x:row r="256">
      <x:c r="B256" s="9" t="n">
        <x:v>340</x:v>
      </x:c>
      <x:c r="C256" s="9" t="n">
        <x:f>COUNTIFS('Residual Schedule'!$C$7:$C$98,"Closure",'Residual Schedule'!$H$7:$H$98,"&lt;="&amp;B256,'Residual Schedule'!$I$7:$I$98,"&gt;"&amp;B256)</x:f>
        <x:v>0</x:v>
      </x:c>
      <x:c r="D256" s="9" t="n">
        <x:f>COUNTIFS('Residual Schedule'!$C$7:$C$98,"Damage",'Residual Schedule'!$H$7:$H$98,"&lt;="&amp;B256,'Residual Schedule'!$I$7:$I$98,"&gt;"&amp;B256)</x:f>
        <x:v>0</x:v>
      </x:c>
      <x:c r="E256" s="9" t="n">
        <x:f>COUNTIFS('Residual Schedule'!$C$7:$C$98,"Closure",'Residual Schedule'!$I$7:$I$98,"&lt;="&amp;B256,'Residual Schedule'!$J$7:$J$98,"&gt;"&amp;B256)</x:f>
        <x:v>0</x:v>
      </x:c>
      <x:c r="F256" s="9" t="n">
        <x:f>COUNTIFS('Residual Schedule'!$C$7:$C$98,"Damage",'Residual Schedule'!$I$7:$I$98,"&lt;="&amp;B256,'Residual Schedule'!$J$7:$J$98,"&gt;"&amp;B256)</x:f>
        <x:v>1</x:v>
      </x:c>
      <x:c r="G256" s="9" t="n">
        <x:f>COUNTIFS('Residual Schedule'!$C$7:$C$98,"Closure",'Residual Schedule'!$J$7:$J$98,"&lt;="&amp;B256)</x:f>
        <x:v>64</x:v>
      </x:c>
      <x:c r="H256" s="9" t="n">
        <x:f>COUNTIFS('Residual Schedule'!$C$7:$C$98,"Damage",'Residual Schedule'!$J$7:$J$98,"&lt;="&amp;B256)</x:f>
        <x:v>27</x:v>
      </x:c>
      <x:c r="I256" s="9" t="str">
        <x:f>IF(C256&lt;='Method Controls'!$D$27,"PASS","FAIL")</x:f>
        <x:v>PASS</x:v>
      </x:c>
      <x:c r="J256" s="9" t="str">
        <x:f>IF(D256&lt;='Method Controls'!$D$28,"PASS","FAIL")</x:f>
        <x:v>PASS</x:v>
      </x:c>
      <x:c r="K256" s="9" t="str">
        <x:f>IF(AND(E256&lt;='Method Controls'!$D$27,F256&lt;='Method Controls'!$D$28),"PASS","FAIL")</x:f>
        <x:v>PASS</x:v>
      </x:c>
      <x:c r="L256" s="9" t="str">
        <x:f>IF(AND(I256="PASS",J256="PASS",K256="PASS"),"PASS","FAIL")</x:f>
        <x:v>PASS</x:v>
      </x:c>
    </x:row>
    <x:row r="257">
      <x:c r="B257" s="9" t="n">
        <x:v>341</x:v>
      </x:c>
      <x:c r="C257" s="9" t="n">
        <x:f>COUNTIFS('Residual Schedule'!$C$7:$C$98,"Closure",'Residual Schedule'!$H$7:$H$98,"&lt;="&amp;B257,'Residual Schedule'!$I$7:$I$98,"&gt;"&amp;B257)</x:f>
        <x:v>0</x:v>
      </x:c>
      <x:c r="D257" s="9" t="n">
        <x:f>COUNTIFS('Residual Schedule'!$C$7:$C$98,"Damage",'Residual Schedule'!$H$7:$H$98,"&lt;="&amp;B257,'Residual Schedule'!$I$7:$I$98,"&gt;"&amp;B257)</x:f>
        <x:v>0</x:v>
      </x:c>
      <x:c r="E257" s="9" t="n">
        <x:f>COUNTIFS('Residual Schedule'!$C$7:$C$98,"Closure",'Residual Schedule'!$I$7:$I$98,"&lt;="&amp;B257,'Residual Schedule'!$J$7:$J$98,"&gt;"&amp;B257)</x:f>
        <x:v>0</x:v>
      </x:c>
      <x:c r="F257" s="9" t="n">
        <x:f>COUNTIFS('Residual Schedule'!$C$7:$C$98,"Damage",'Residual Schedule'!$I$7:$I$98,"&lt;="&amp;B257,'Residual Schedule'!$J$7:$J$98,"&gt;"&amp;B257)</x:f>
        <x:v>0</x:v>
      </x:c>
      <x:c r="G257" s="9" t="n">
        <x:f>COUNTIFS('Residual Schedule'!$C$7:$C$98,"Closure",'Residual Schedule'!$J$7:$J$98,"&lt;="&amp;B257)</x:f>
        <x:v>64</x:v>
      </x:c>
      <x:c r="H257" s="9" t="n">
        <x:f>COUNTIFS('Residual Schedule'!$C$7:$C$98,"Damage",'Residual Schedule'!$J$7:$J$98,"&lt;="&amp;B257)</x:f>
        <x:v>28</x:v>
      </x:c>
      <x:c r="I257" s="9" t="str">
        <x:f>IF(C257&lt;='Method Controls'!$D$27,"PASS","FAIL")</x:f>
        <x:v>PASS</x:v>
      </x:c>
      <x:c r="J257" s="9" t="str">
        <x:f>IF(D257&lt;='Method Controls'!$D$28,"PASS","FAIL")</x:f>
        <x:v>PASS</x:v>
      </x:c>
      <x:c r="K257" s="9" t="str">
        <x:f>IF(AND(E257&lt;='Method Controls'!$D$27,F257&lt;='Method Controls'!$D$28),"PASS","FAIL")</x:f>
        <x:v>PASS</x:v>
      </x:c>
      <x:c r="L257" s="9" t="str">
        <x:f>IF(AND(I257="PASS",J257="PASS",K257="PASS"),"PASS","FAIL")</x:f>
        <x:v>PASS</x:v>
      </x:c>
    </x:row>
    <x:row r="258">
      <x:c r="B258" s="9" t="n">
        <x:v>342</x:v>
      </x:c>
      <x:c r="C258" s="9" t="n">
        <x:f>COUNTIFS('Residual Schedule'!$C$7:$C$98,"Closure",'Residual Schedule'!$H$7:$H$98,"&lt;="&amp;B258,'Residual Schedule'!$I$7:$I$98,"&gt;"&amp;B258)</x:f>
        <x:v>0</x:v>
      </x:c>
      <x:c r="D258" s="9" t="n">
        <x:f>COUNTIFS('Residual Schedule'!$C$7:$C$98,"Damage",'Residual Schedule'!$H$7:$H$98,"&lt;="&amp;B258,'Residual Schedule'!$I$7:$I$98,"&gt;"&amp;B258)</x:f>
        <x:v>0</x:v>
      </x:c>
      <x:c r="E258" s="9" t="n">
        <x:f>COUNTIFS('Residual Schedule'!$C$7:$C$98,"Closure",'Residual Schedule'!$I$7:$I$98,"&lt;="&amp;B258,'Residual Schedule'!$J$7:$J$98,"&gt;"&amp;B258)</x:f>
        <x:v>0</x:v>
      </x:c>
      <x:c r="F258" s="9" t="n">
        <x:f>COUNTIFS('Residual Schedule'!$C$7:$C$98,"Damage",'Residual Schedule'!$I$7:$I$98,"&lt;="&amp;B258,'Residual Schedule'!$J$7:$J$98,"&gt;"&amp;B258)</x:f>
        <x:v>0</x:v>
      </x:c>
      <x:c r="G258" s="9" t="n">
        <x:f>COUNTIFS('Residual Schedule'!$C$7:$C$98,"Closure",'Residual Schedule'!$J$7:$J$98,"&lt;="&amp;B258)</x:f>
        <x:v>64</x:v>
      </x:c>
      <x:c r="H258" s="9" t="n">
        <x:f>COUNTIFS('Residual Schedule'!$C$7:$C$98,"Damage",'Residual Schedule'!$J$7:$J$98,"&lt;="&amp;B258)</x:f>
        <x:v>28</x:v>
      </x:c>
      <x:c r="I258" s="9" t="str">
        <x:f>IF(C258&lt;='Method Controls'!$D$27,"PASS","FAIL")</x:f>
        <x:v>PASS</x:v>
      </x:c>
      <x:c r="J258" s="9" t="str">
        <x:f>IF(D258&lt;='Method Controls'!$D$28,"PASS","FAIL")</x:f>
        <x:v>PASS</x:v>
      </x:c>
      <x:c r="K258" s="9" t="str">
        <x:f>IF(AND(E258&lt;='Method Controls'!$D$27,F258&lt;='Method Controls'!$D$28),"PASS","FAIL")</x:f>
        <x:v>PASS</x:v>
      </x:c>
      <x:c r="L258" s="9" t="str">
        <x:f>IF(AND(I258="PASS",J258="PASS",K258="PASS"),"PASS","FAIL")</x:f>
        <x:v>PASS</x:v>
      </x:c>
    </x:row>
    <x:row r="259">
      <x:c r="B259" s="9" t="n">
        <x:v>343</x:v>
      </x:c>
      <x:c r="C259" s="9" t="n">
        <x:f>COUNTIFS('Residual Schedule'!$C$7:$C$98,"Closure",'Residual Schedule'!$H$7:$H$98,"&lt;="&amp;B259,'Residual Schedule'!$I$7:$I$98,"&gt;"&amp;B259)</x:f>
        <x:v>0</x:v>
      </x:c>
      <x:c r="D259" s="9" t="n">
        <x:f>COUNTIFS('Residual Schedule'!$C$7:$C$98,"Damage",'Residual Schedule'!$H$7:$H$98,"&lt;="&amp;B259,'Residual Schedule'!$I$7:$I$98,"&gt;"&amp;B259)</x:f>
        <x:v>0</x:v>
      </x:c>
      <x:c r="E259" s="9" t="n">
        <x:f>COUNTIFS('Residual Schedule'!$C$7:$C$98,"Closure",'Residual Schedule'!$I$7:$I$98,"&lt;="&amp;B259,'Residual Schedule'!$J$7:$J$98,"&gt;"&amp;B259)</x:f>
        <x:v>0</x:v>
      </x:c>
      <x:c r="F259" s="9" t="n">
        <x:f>COUNTIFS('Residual Schedule'!$C$7:$C$98,"Damage",'Residual Schedule'!$I$7:$I$98,"&lt;="&amp;B259,'Residual Schedule'!$J$7:$J$98,"&gt;"&amp;B259)</x:f>
        <x:v>0</x:v>
      </x:c>
      <x:c r="G259" s="9" t="n">
        <x:f>COUNTIFS('Residual Schedule'!$C$7:$C$98,"Closure",'Residual Schedule'!$J$7:$J$98,"&lt;="&amp;B259)</x:f>
        <x:v>64</x:v>
      </x:c>
      <x:c r="H259" s="9" t="n">
        <x:f>COUNTIFS('Residual Schedule'!$C$7:$C$98,"Damage",'Residual Schedule'!$J$7:$J$98,"&lt;="&amp;B259)</x:f>
        <x:v>28</x:v>
      </x:c>
      <x:c r="I259" s="9" t="str">
        <x:f>IF(C259&lt;='Method Controls'!$D$27,"PASS","FAIL")</x:f>
        <x:v>PASS</x:v>
      </x:c>
      <x:c r="J259" s="9" t="str">
        <x:f>IF(D259&lt;='Method Controls'!$D$28,"PASS","FAIL")</x:f>
        <x:v>PASS</x:v>
      </x:c>
      <x:c r="K259" s="9" t="str">
        <x:f>IF(AND(E259&lt;='Method Controls'!$D$27,F259&lt;='Method Controls'!$D$28),"PASS","FAIL")</x:f>
        <x:v>PASS</x:v>
      </x:c>
      <x:c r="L259" s="9" t="str">
        <x:f>IF(AND(I259="PASS",J259="PASS",K259="PASS"),"PASS","FAIL")</x:f>
        <x:v>PASS</x:v>
      </x:c>
    </x:row>
    <x:row r="260">
      <x:c r="B260" s="9" t="n">
        <x:v>344</x:v>
      </x:c>
      <x:c r="C260" s="9" t="n">
        <x:f>COUNTIFS('Residual Schedule'!$C$7:$C$98,"Closure",'Residual Schedule'!$H$7:$H$98,"&lt;="&amp;B260,'Residual Schedule'!$I$7:$I$98,"&gt;"&amp;B260)</x:f>
        <x:v>0</x:v>
      </x:c>
      <x:c r="D260" s="9" t="n">
        <x:f>COUNTIFS('Residual Schedule'!$C$7:$C$98,"Damage",'Residual Schedule'!$H$7:$H$98,"&lt;="&amp;B260,'Residual Schedule'!$I$7:$I$98,"&gt;"&amp;B260)</x:f>
        <x:v>0</x:v>
      </x:c>
      <x:c r="E260" s="9" t="n">
        <x:f>COUNTIFS('Residual Schedule'!$C$7:$C$98,"Closure",'Residual Schedule'!$I$7:$I$98,"&lt;="&amp;B260,'Residual Schedule'!$J$7:$J$98,"&gt;"&amp;B260)</x:f>
        <x:v>0</x:v>
      </x:c>
      <x:c r="F260" s="9" t="n">
        <x:f>COUNTIFS('Residual Schedule'!$C$7:$C$98,"Damage",'Residual Schedule'!$I$7:$I$98,"&lt;="&amp;B260,'Residual Schedule'!$J$7:$J$98,"&gt;"&amp;B260)</x:f>
        <x:v>0</x:v>
      </x:c>
      <x:c r="G260" s="9" t="n">
        <x:f>COUNTIFS('Residual Schedule'!$C$7:$C$98,"Closure",'Residual Schedule'!$J$7:$J$98,"&lt;="&amp;B260)</x:f>
        <x:v>64</x:v>
      </x:c>
      <x:c r="H260" s="9" t="n">
        <x:f>COUNTIFS('Residual Schedule'!$C$7:$C$98,"Damage",'Residual Schedule'!$J$7:$J$98,"&lt;="&amp;B260)</x:f>
        <x:v>28</x:v>
      </x:c>
      <x:c r="I260" s="9" t="str">
        <x:f>IF(C260&lt;='Method Controls'!$D$27,"PASS","FAIL")</x:f>
        <x:v>PASS</x:v>
      </x:c>
      <x:c r="J260" s="9" t="str">
        <x:f>IF(D260&lt;='Method Controls'!$D$28,"PASS","FAIL")</x:f>
        <x:v>PASS</x:v>
      </x:c>
      <x:c r="K260" s="9" t="str">
        <x:f>IF(AND(E260&lt;='Method Controls'!$D$27,F260&lt;='Method Controls'!$D$28),"PASS","FAIL")</x:f>
        <x:v>PASS</x:v>
      </x:c>
      <x:c r="L260" s="9" t="str">
        <x:f>IF(AND(I260="PASS",J260="PASS",K260="PASS"),"PASS","FAIL")</x:f>
        <x:v>PASS</x:v>
      </x:c>
    </x:row>
    <x:row r="261">
      <x:c r="B261" s="9" t="n">
        <x:v>345</x:v>
      </x:c>
      <x:c r="C261" s="9" t="n">
        <x:f>COUNTIFS('Residual Schedule'!$C$7:$C$98,"Closure",'Residual Schedule'!$H$7:$H$98,"&lt;="&amp;B261,'Residual Schedule'!$I$7:$I$98,"&gt;"&amp;B261)</x:f>
        <x:v>0</x:v>
      </x:c>
      <x:c r="D261" s="9" t="n">
        <x:f>COUNTIFS('Residual Schedule'!$C$7:$C$98,"Damage",'Residual Schedule'!$H$7:$H$98,"&lt;="&amp;B261,'Residual Schedule'!$I$7:$I$98,"&gt;"&amp;B261)</x:f>
        <x:v>0</x:v>
      </x:c>
      <x:c r="E261" s="9" t="n">
        <x:f>COUNTIFS('Residual Schedule'!$C$7:$C$98,"Closure",'Residual Schedule'!$I$7:$I$98,"&lt;="&amp;B261,'Residual Schedule'!$J$7:$J$98,"&gt;"&amp;B261)</x:f>
        <x:v>0</x:v>
      </x:c>
      <x:c r="F261" s="9" t="n">
        <x:f>COUNTIFS('Residual Schedule'!$C$7:$C$98,"Damage",'Residual Schedule'!$I$7:$I$98,"&lt;="&amp;B261,'Residual Schedule'!$J$7:$J$98,"&gt;"&amp;B261)</x:f>
        <x:v>0</x:v>
      </x:c>
      <x:c r="G261" s="9" t="n">
        <x:f>COUNTIFS('Residual Schedule'!$C$7:$C$98,"Closure",'Residual Schedule'!$J$7:$J$98,"&lt;="&amp;B261)</x:f>
        <x:v>64</x:v>
      </x:c>
      <x:c r="H261" s="9" t="n">
        <x:f>COUNTIFS('Residual Schedule'!$C$7:$C$98,"Damage",'Residual Schedule'!$J$7:$J$98,"&lt;="&amp;B261)</x:f>
        <x:v>28</x:v>
      </x:c>
      <x:c r="I261" s="9" t="str">
        <x:f>IF(C261&lt;='Method Controls'!$D$27,"PASS","FAIL")</x:f>
        <x:v>PASS</x:v>
      </x:c>
      <x:c r="J261" s="9" t="str">
        <x:f>IF(D261&lt;='Method Controls'!$D$28,"PASS","FAIL")</x:f>
        <x:v>PASS</x:v>
      </x:c>
      <x:c r="K261" s="9" t="str">
        <x:f>IF(AND(E261&lt;='Method Controls'!$D$27,F261&lt;='Method Controls'!$D$28),"PASS","FAIL")</x:f>
        <x:v>PASS</x:v>
      </x:c>
      <x:c r="L261" s="9" t="str">
        <x:f>IF(AND(I261="PASS",J261="PASS",K261="PASS"),"PASS","FAIL")</x:f>
        <x:v>PASS</x:v>
      </x:c>
    </x:row>
    <x:row r="262">
      <x:c r="B262" s="9" t="n">
        <x:v>346</x:v>
      </x:c>
      <x:c r="C262" s="9" t="n">
        <x:f>COUNTIFS('Residual Schedule'!$C$7:$C$98,"Closure",'Residual Schedule'!$H$7:$H$98,"&lt;="&amp;B262,'Residual Schedule'!$I$7:$I$98,"&gt;"&amp;B262)</x:f>
        <x:v>0</x:v>
      </x:c>
      <x:c r="D262" s="9" t="n">
        <x:f>COUNTIFS('Residual Schedule'!$C$7:$C$98,"Damage",'Residual Schedule'!$H$7:$H$98,"&lt;="&amp;B262,'Residual Schedule'!$I$7:$I$98,"&gt;"&amp;B262)</x:f>
        <x:v>0</x:v>
      </x:c>
      <x:c r="E262" s="9" t="n">
        <x:f>COUNTIFS('Residual Schedule'!$C$7:$C$98,"Closure",'Residual Schedule'!$I$7:$I$98,"&lt;="&amp;B262,'Residual Schedule'!$J$7:$J$98,"&gt;"&amp;B262)</x:f>
        <x:v>0</x:v>
      </x:c>
      <x:c r="F262" s="9" t="n">
        <x:f>COUNTIFS('Residual Schedule'!$C$7:$C$98,"Damage",'Residual Schedule'!$I$7:$I$98,"&lt;="&amp;B262,'Residual Schedule'!$J$7:$J$98,"&gt;"&amp;B262)</x:f>
        <x:v>0</x:v>
      </x:c>
      <x:c r="G262" s="9" t="n">
        <x:f>COUNTIFS('Residual Schedule'!$C$7:$C$98,"Closure",'Residual Schedule'!$J$7:$J$98,"&lt;="&amp;B262)</x:f>
        <x:v>64</x:v>
      </x:c>
      <x:c r="H262" s="9" t="n">
        <x:f>COUNTIFS('Residual Schedule'!$C$7:$C$98,"Damage",'Residual Schedule'!$J$7:$J$98,"&lt;="&amp;B262)</x:f>
        <x:v>28</x:v>
      </x:c>
      <x:c r="I262" s="9" t="str">
        <x:f>IF(C262&lt;='Method Controls'!$D$27,"PASS","FAIL")</x:f>
        <x:v>PASS</x:v>
      </x:c>
      <x:c r="J262" s="9" t="str">
        <x:f>IF(D262&lt;='Method Controls'!$D$28,"PASS","FAIL")</x:f>
        <x:v>PASS</x:v>
      </x:c>
      <x:c r="K262" s="9" t="str">
        <x:f>IF(AND(E262&lt;='Method Controls'!$D$27,F262&lt;='Method Controls'!$D$28),"PASS","FAIL")</x:f>
        <x:v>PASS</x:v>
      </x:c>
      <x:c r="L262" s="9" t="str">
        <x:f>IF(AND(I262="PASS",J262="PASS",K262="PASS"),"PASS","FAIL")</x:f>
        <x:v>PASS</x:v>
      </x:c>
    </x:row>
    <x:row r="263">
      <x:c r="B263" s="9" t="n">
        <x:v>347</x:v>
      </x:c>
      <x:c r="C263" s="9" t="n">
        <x:f>COUNTIFS('Residual Schedule'!$C$7:$C$98,"Closure",'Residual Schedule'!$H$7:$H$98,"&lt;="&amp;B263,'Residual Schedule'!$I$7:$I$98,"&gt;"&amp;B263)</x:f>
        <x:v>0</x:v>
      </x:c>
      <x:c r="D263" s="9" t="n">
        <x:f>COUNTIFS('Residual Schedule'!$C$7:$C$98,"Damage",'Residual Schedule'!$H$7:$H$98,"&lt;="&amp;B263,'Residual Schedule'!$I$7:$I$98,"&gt;"&amp;B263)</x:f>
        <x:v>0</x:v>
      </x:c>
      <x:c r="E263" s="9" t="n">
        <x:f>COUNTIFS('Residual Schedule'!$C$7:$C$98,"Closure",'Residual Schedule'!$I$7:$I$98,"&lt;="&amp;B263,'Residual Schedule'!$J$7:$J$98,"&gt;"&amp;B263)</x:f>
        <x:v>0</x:v>
      </x:c>
      <x:c r="F263" s="9" t="n">
        <x:f>COUNTIFS('Residual Schedule'!$C$7:$C$98,"Damage",'Residual Schedule'!$I$7:$I$98,"&lt;="&amp;B263,'Residual Schedule'!$J$7:$J$98,"&gt;"&amp;B263)</x:f>
        <x:v>0</x:v>
      </x:c>
      <x:c r="G263" s="9" t="n">
        <x:f>COUNTIFS('Residual Schedule'!$C$7:$C$98,"Closure",'Residual Schedule'!$J$7:$J$98,"&lt;="&amp;B263)</x:f>
        <x:v>64</x:v>
      </x:c>
      <x:c r="H263" s="9" t="n">
        <x:f>COUNTIFS('Residual Schedule'!$C$7:$C$98,"Damage",'Residual Schedule'!$J$7:$J$98,"&lt;="&amp;B263)</x:f>
        <x:v>28</x:v>
      </x:c>
      <x:c r="I263" s="9" t="str">
        <x:f>IF(C263&lt;='Method Controls'!$D$27,"PASS","FAIL")</x:f>
        <x:v>PASS</x:v>
      </x:c>
      <x:c r="J263" s="9" t="str">
        <x:f>IF(D263&lt;='Method Controls'!$D$28,"PASS","FAIL")</x:f>
        <x:v>PASS</x:v>
      </x:c>
      <x:c r="K263" s="9" t="str">
        <x:f>IF(AND(E263&lt;='Method Controls'!$D$27,F263&lt;='Method Controls'!$D$28),"PASS","FAIL")</x:f>
        <x:v>PASS</x:v>
      </x:c>
      <x:c r="L263" s="9" t="str">
        <x:f>IF(AND(I263="PASS",J263="PASS",K263="PASS"),"PASS","FAIL")</x:f>
        <x:v>PASS</x:v>
      </x:c>
    </x:row>
    <x:row r="264">
      <x:c r="B264" s="9" t="n">
        <x:v>348</x:v>
      </x:c>
      <x:c r="C264" s="9" t="n">
        <x:f>COUNTIFS('Residual Schedule'!$C$7:$C$98,"Closure",'Residual Schedule'!$H$7:$H$98,"&lt;="&amp;B264,'Residual Schedule'!$I$7:$I$98,"&gt;"&amp;B264)</x:f>
        <x:v>0</x:v>
      </x:c>
      <x:c r="D264" s="9" t="n">
        <x:f>COUNTIFS('Residual Schedule'!$C$7:$C$98,"Damage",'Residual Schedule'!$H$7:$H$98,"&lt;="&amp;B264,'Residual Schedule'!$I$7:$I$98,"&gt;"&amp;B264)</x:f>
        <x:v>0</x:v>
      </x:c>
      <x:c r="E264" s="9" t="n">
        <x:f>COUNTIFS('Residual Schedule'!$C$7:$C$98,"Closure",'Residual Schedule'!$I$7:$I$98,"&lt;="&amp;B264,'Residual Schedule'!$J$7:$J$98,"&gt;"&amp;B264)</x:f>
        <x:v>0</x:v>
      </x:c>
      <x:c r="F264" s="9" t="n">
        <x:f>COUNTIFS('Residual Schedule'!$C$7:$C$98,"Damage",'Residual Schedule'!$I$7:$I$98,"&lt;="&amp;B264,'Residual Schedule'!$J$7:$J$98,"&gt;"&amp;B264)</x:f>
        <x:v>0</x:v>
      </x:c>
      <x:c r="G264" s="9" t="n">
        <x:f>COUNTIFS('Residual Schedule'!$C$7:$C$98,"Closure",'Residual Schedule'!$J$7:$J$98,"&lt;="&amp;B264)</x:f>
        <x:v>64</x:v>
      </x:c>
      <x:c r="H264" s="9" t="n">
        <x:f>COUNTIFS('Residual Schedule'!$C$7:$C$98,"Damage",'Residual Schedule'!$J$7:$J$98,"&lt;="&amp;B264)</x:f>
        <x:v>28</x:v>
      </x:c>
      <x:c r="I264" s="9" t="str">
        <x:f>IF(C264&lt;='Method Controls'!$D$27,"PASS","FAIL")</x:f>
        <x:v>PASS</x:v>
      </x:c>
      <x:c r="J264" s="9" t="str">
        <x:f>IF(D264&lt;='Method Controls'!$D$28,"PASS","FAIL")</x:f>
        <x:v>PASS</x:v>
      </x:c>
      <x:c r="K264" s="9" t="str">
        <x:f>IF(AND(E264&lt;='Method Controls'!$D$27,F264&lt;='Method Controls'!$D$28),"PASS","FAIL")</x:f>
        <x:v>PASS</x:v>
      </x:c>
      <x:c r="L264" s="9" t="str">
        <x:f>IF(AND(I264="PASS",J264="PASS",K264="PASS"),"PASS","FAIL")</x:f>
        <x:v>PASS</x:v>
      </x:c>
    </x:row>
    <x:row r="265">
      <x:c r="B265" s="9" t="n">
        <x:v>349</x:v>
      </x:c>
      <x:c r="C265" s="9" t="n">
        <x:f>COUNTIFS('Residual Schedule'!$C$7:$C$98,"Closure",'Residual Schedule'!$H$7:$H$98,"&lt;="&amp;B265,'Residual Schedule'!$I$7:$I$98,"&gt;"&amp;B265)</x:f>
        <x:v>0</x:v>
      </x:c>
      <x:c r="D265" s="9" t="n">
        <x:f>COUNTIFS('Residual Schedule'!$C$7:$C$98,"Damage",'Residual Schedule'!$H$7:$H$98,"&lt;="&amp;B265,'Residual Schedule'!$I$7:$I$98,"&gt;"&amp;B265)</x:f>
        <x:v>0</x:v>
      </x:c>
      <x:c r="E265" s="9" t="n">
        <x:f>COUNTIFS('Residual Schedule'!$C$7:$C$98,"Closure",'Residual Schedule'!$I$7:$I$98,"&lt;="&amp;B265,'Residual Schedule'!$J$7:$J$98,"&gt;"&amp;B265)</x:f>
        <x:v>0</x:v>
      </x:c>
      <x:c r="F265" s="9" t="n">
        <x:f>COUNTIFS('Residual Schedule'!$C$7:$C$98,"Damage",'Residual Schedule'!$I$7:$I$98,"&lt;="&amp;B265,'Residual Schedule'!$J$7:$J$98,"&gt;"&amp;B265)</x:f>
        <x:v>0</x:v>
      </x:c>
      <x:c r="G265" s="9" t="n">
        <x:f>COUNTIFS('Residual Schedule'!$C$7:$C$98,"Closure",'Residual Schedule'!$J$7:$J$98,"&lt;="&amp;B265)</x:f>
        <x:v>64</x:v>
      </x:c>
      <x:c r="H265" s="9" t="n">
        <x:f>COUNTIFS('Residual Schedule'!$C$7:$C$98,"Damage",'Residual Schedule'!$J$7:$J$98,"&lt;="&amp;B265)</x:f>
        <x:v>28</x:v>
      </x:c>
      <x:c r="I265" s="9" t="str">
        <x:f>IF(C265&lt;='Method Controls'!$D$27,"PASS","FAIL")</x:f>
        <x:v>PASS</x:v>
      </x:c>
      <x:c r="J265" s="9" t="str">
        <x:f>IF(D265&lt;='Method Controls'!$D$28,"PASS","FAIL")</x:f>
        <x:v>PASS</x:v>
      </x:c>
      <x:c r="K265" s="9" t="str">
        <x:f>IF(AND(E265&lt;='Method Controls'!$D$27,F265&lt;='Method Controls'!$D$28),"PASS","FAIL")</x:f>
        <x:v>PASS</x:v>
      </x:c>
      <x:c r="L265" s="9" t="str">
        <x:f>IF(AND(I265="PASS",J265="PASS",K265="PASS"),"PASS","FAIL")</x:f>
        <x:v>PASS</x:v>
      </x:c>
    </x:row>
    <x:row r="266">
      <x:c r="B266" s="9" t="n">
        <x:v>350</x:v>
      </x:c>
      <x:c r="C266" s="9" t="n">
        <x:f>COUNTIFS('Residual Schedule'!$C$7:$C$98,"Closure",'Residual Schedule'!$H$7:$H$98,"&lt;="&amp;B266,'Residual Schedule'!$I$7:$I$98,"&gt;"&amp;B266)</x:f>
        <x:v>0</x:v>
      </x:c>
      <x:c r="D266" s="9" t="n">
        <x:f>COUNTIFS('Residual Schedule'!$C$7:$C$98,"Damage",'Residual Schedule'!$H$7:$H$98,"&lt;="&amp;B266,'Residual Schedule'!$I$7:$I$98,"&gt;"&amp;B266)</x:f>
        <x:v>0</x:v>
      </x:c>
      <x:c r="E266" s="9" t="n">
        <x:f>COUNTIFS('Residual Schedule'!$C$7:$C$98,"Closure",'Residual Schedule'!$I$7:$I$98,"&lt;="&amp;B266,'Residual Schedule'!$J$7:$J$98,"&gt;"&amp;B266)</x:f>
        <x:v>0</x:v>
      </x:c>
      <x:c r="F266" s="9" t="n">
        <x:f>COUNTIFS('Residual Schedule'!$C$7:$C$98,"Damage",'Residual Schedule'!$I$7:$I$98,"&lt;="&amp;B266,'Residual Schedule'!$J$7:$J$98,"&gt;"&amp;B266)</x:f>
        <x:v>0</x:v>
      </x:c>
      <x:c r="G266" s="9" t="n">
        <x:f>COUNTIFS('Residual Schedule'!$C$7:$C$98,"Closure",'Residual Schedule'!$J$7:$J$98,"&lt;="&amp;B266)</x:f>
        <x:v>64</x:v>
      </x:c>
      <x:c r="H266" s="9" t="n">
        <x:f>COUNTIFS('Residual Schedule'!$C$7:$C$98,"Damage",'Residual Schedule'!$J$7:$J$98,"&lt;="&amp;B266)</x:f>
        <x:v>28</x:v>
      </x:c>
      <x:c r="I266" s="9" t="str">
        <x:f>IF(C266&lt;='Method Controls'!$D$27,"PASS","FAIL")</x:f>
        <x:v>PASS</x:v>
      </x:c>
      <x:c r="J266" s="9" t="str">
        <x:f>IF(D266&lt;='Method Controls'!$D$28,"PASS","FAIL")</x:f>
        <x:v>PASS</x:v>
      </x:c>
      <x:c r="K266" s="9" t="str">
        <x:f>IF(AND(E266&lt;='Method Controls'!$D$27,F266&lt;='Method Controls'!$D$28),"PASS","FAIL")</x:f>
        <x:v>PASS</x:v>
      </x:c>
      <x:c r="L266" s="9" t="str">
        <x:f>IF(AND(I266="PASS",J266="PASS",K266="PASS"),"PASS","FAIL")</x:f>
        <x:v>PASS</x:v>
      </x:c>
    </x:row>
    <x:row r="267">
      <x:c r="B267" s="9" t="n">
        <x:v>351</x:v>
      </x:c>
      <x:c r="C267" s="9" t="n">
        <x:f>COUNTIFS('Residual Schedule'!$C$7:$C$98,"Closure",'Residual Schedule'!$H$7:$H$98,"&lt;="&amp;B267,'Residual Schedule'!$I$7:$I$98,"&gt;"&amp;B267)</x:f>
        <x:v>0</x:v>
      </x:c>
      <x:c r="D267" s="9" t="n">
        <x:f>COUNTIFS('Residual Schedule'!$C$7:$C$98,"Damage",'Residual Schedule'!$H$7:$H$98,"&lt;="&amp;B267,'Residual Schedule'!$I$7:$I$98,"&gt;"&amp;B267)</x:f>
        <x:v>0</x:v>
      </x:c>
      <x:c r="E267" s="9" t="n">
        <x:f>COUNTIFS('Residual Schedule'!$C$7:$C$98,"Closure",'Residual Schedule'!$I$7:$I$98,"&lt;="&amp;B267,'Residual Schedule'!$J$7:$J$98,"&gt;"&amp;B267)</x:f>
        <x:v>0</x:v>
      </x:c>
      <x:c r="F267" s="9" t="n">
        <x:f>COUNTIFS('Residual Schedule'!$C$7:$C$98,"Damage",'Residual Schedule'!$I$7:$I$98,"&lt;="&amp;B267,'Residual Schedule'!$J$7:$J$98,"&gt;"&amp;B267)</x:f>
        <x:v>0</x:v>
      </x:c>
      <x:c r="G267" s="9" t="n">
        <x:f>COUNTIFS('Residual Schedule'!$C$7:$C$98,"Closure",'Residual Schedule'!$J$7:$J$98,"&lt;="&amp;B267)</x:f>
        <x:v>64</x:v>
      </x:c>
      <x:c r="H267" s="9" t="n">
        <x:f>COUNTIFS('Residual Schedule'!$C$7:$C$98,"Damage",'Residual Schedule'!$J$7:$J$98,"&lt;="&amp;B267)</x:f>
        <x:v>28</x:v>
      </x:c>
      <x:c r="I267" s="9" t="str">
        <x:f>IF(C267&lt;='Method Controls'!$D$27,"PASS","FAIL")</x:f>
        <x:v>PASS</x:v>
      </x:c>
      <x:c r="J267" s="9" t="str">
        <x:f>IF(D267&lt;='Method Controls'!$D$28,"PASS","FAIL")</x:f>
        <x:v>PASS</x:v>
      </x:c>
      <x:c r="K267" s="9" t="str">
        <x:f>IF(AND(E267&lt;='Method Controls'!$D$27,F267&lt;='Method Controls'!$D$28),"PASS","FAIL")</x:f>
        <x:v>PASS</x:v>
      </x:c>
      <x:c r="L267" s="9" t="str">
        <x:f>IF(AND(I267="PASS",J267="PASS",K267="PASS"),"PASS","FAIL")</x:f>
        <x:v>PASS</x:v>
      </x:c>
    </x:row>
    <x:row r="268">
      <x:c r="B268" s="9" t="n">
        <x:v>352</x:v>
      </x:c>
      <x:c r="C268" s="9" t="n">
        <x:f>COUNTIFS('Residual Schedule'!$C$7:$C$98,"Closure",'Residual Schedule'!$H$7:$H$98,"&lt;="&amp;B268,'Residual Schedule'!$I$7:$I$98,"&gt;"&amp;B268)</x:f>
        <x:v>0</x:v>
      </x:c>
      <x:c r="D268" s="9" t="n">
        <x:f>COUNTIFS('Residual Schedule'!$C$7:$C$98,"Damage",'Residual Schedule'!$H$7:$H$98,"&lt;="&amp;B268,'Residual Schedule'!$I$7:$I$98,"&gt;"&amp;B268)</x:f>
        <x:v>0</x:v>
      </x:c>
      <x:c r="E268" s="9" t="n">
        <x:f>COUNTIFS('Residual Schedule'!$C$7:$C$98,"Closure",'Residual Schedule'!$I$7:$I$98,"&lt;="&amp;B268,'Residual Schedule'!$J$7:$J$98,"&gt;"&amp;B268)</x:f>
        <x:v>0</x:v>
      </x:c>
      <x:c r="F268" s="9" t="n">
        <x:f>COUNTIFS('Residual Schedule'!$C$7:$C$98,"Damage",'Residual Schedule'!$I$7:$I$98,"&lt;="&amp;B268,'Residual Schedule'!$J$7:$J$98,"&gt;"&amp;B268)</x:f>
        <x:v>0</x:v>
      </x:c>
      <x:c r="G268" s="9" t="n">
        <x:f>COUNTIFS('Residual Schedule'!$C$7:$C$98,"Closure",'Residual Schedule'!$J$7:$J$98,"&lt;="&amp;B268)</x:f>
        <x:v>64</x:v>
      </x:c>
      <x:c r="H268" s="9" t="n">
        <x:f>COUNTIFS('Residual Schedule'!$C$7:$C$98,"Damage",'Residual Schedule'!$J$7:$J$98,"&lt;="&amp;B268)</x:f>
        <x:v>28</x:v>
      </x:c>
      <x:c r="I268" s="9" t="str">
        <x:f>IF(C268&lt;='Method Controls'!$D$27,"PASS","FAIL")</x:f>
        <x:v>PASS</x:v>
      </x:c>
      <x:c r="J268" s="9" t="str">
        <x:f>IF(D268&lt;='Method Controls'!$D$28,"PASS","FAIL")</x:f>
        <x:v>PASS</x:v>
      </x:c>
      <x:c r="K268" s="9" t="str">
        <x:f>IF(AND(E268&lt;='Method Controls'!$D$27,F268&lt;='Method Controls'!$D$28),"PASS","FAIL")</x:f>
        <x:v>PASS</x:v>
      </x:c>
      <x:c r="L268" s="9" t="str">
        <x:f>IF(AND(I268="PASS",J268="PASS",K268="PASS"),"PASS","FAIL")</x:f>
        <x:v>PASS</x:v>
      </x:c>
    </x:row>
    <x:row r="269">
      <x:c r="B269" s="9" t="n">
        <x:v>353</x:v>
      </x:c>
      <x:c r="C269" s="9" t="n">
        <x:f>COUNTIFS('Residual Schedule'!$C$7:$C$98,"Closure",'Residual Schedule'!$H$7:$H$98,"&lt;="&amp;B269,'Residual Schedule'!$I$7:$I$98,"&gt;"&amp;B269)</x:f>
        <x:v>0</x:v>
      </x:c>
      <x:c r="D269" s="9" t="n">
        <x:f>COUNTIFS('Residual Schedule'!$C$7:$C$98,"Damage",'Residual Schedule'!$H$7:$H$98,"&lt;="&amp;B269,'Residual Schedule'!$I$7:$I$98,"&gt;"&amp;B269)</x:f>
        <x:v>0</x:v>
      </x:c>
      <x:c r="E269" s="9" t="n">
        <x:f>COUNTIFS('Residual Schedule'!$C$7:$C$98,"Closure",'Residual Schedule'!$I$7:$I$98,"&lt;="&amp;B269,'Residual Schedule'!$J$7:$J$98,"&gt;"&amp;B269)</x:f>
        <x:v>0</x:v>
      </x:c>
      <x:c r="F269" s="9" t="n">
        <x:f>COUNTIFS('Residual Schedule'!$C$7:$C$98,"Damage",'Residual Schedule'!$I$7:$I$98,"&lt;="&amp;B269,'Residual Schedule'!$J$7:$J$98,"&gt;"&amp;B269)</x:f>
        <x:v>0</x:v>
      </x:c>
      <x:c r="G269" s="9" t="n">
        <x:f>COUNTIFS('Residual Schedule'!$C$7:$C$98,"Closure",'Residual Schedule'!$J$7:$J$98,"&lt;="&amp;B269)</x:f>
        <x:v>64</x:v>
      </x:c>
      <x:c r="H269" s="9" t="n">
        <x:f>COUNTIFS('Residual Schedule'!$C$7:$C$98,"Damage",'Residual Schedule'!$J$7:$J$98,"&lt;="&amp;B269)</x:f>
        <x:v>28</x:v>
      </x:c>
      <x:c r="I269" s="9" t="str">
        <x:f>IF(C269&lt;='Method Controls'!$D$27,"PASS","FAIL")</x:f>
        <x:v>PASS</x:v>
      </x:c>
      <x:c r="J269" s="9" t="str">
        <x:f>IF(D269&lt;='Method Controls'!$D$28,"PASS","FAIL")</x:f>
        <x:v>PASS</x:v>
      </x:c>
      <x:c r="K269" s="9" t="str">
        <x:f>IF(AND(E269&lt;='Method Controls'!$D$27,F269&lt;='Method Controls'!$D$28),"PASS","FAIL")</x:f>
        <x:v>PASS</x:v>
      </x:c>
      <x:c r="L269" s="9" t="str">
        <x:f>IF(AND(I269="PASS",J269="PASS",K269="PASS"),"PASS","FAIL")</x:f>
        <x:v>PASS</x:v>
      </x:c>
    </x:row>
    <x:row r="270">
      <x:c r="B270" s="9" t="n">
        <x:v>354</x:v>
      </x:c>
      <x:c r="C270" s="9" t="n">
        <x:f>COUNTIFS('Residual Schedule'!$C$7:$C$98,"Closure",'Residual Schedule'!$H$7:$H$98,"&lt;="&amp;B270,'Residual Schedule'!$I$7:$I$98,"&gt;"&amp;B270)</x:f>
        <x:v>0</x:v>
      </x:c>
      <x:c r="D270" s="9" t="n">
        <x:f>COUNTIFS('Residual Schedule'!$C$7:$C$98,"Damage",'Residual Schedule'!$H$7:$H$98,"&lt;="&amp;B270,'Residual Schedule'!$I$7:$I$98,"&gt;"&amp;B270)</x:f>
        <x:v>0</x:v>
      </x:c>
      <x:c r="E270" s="9" t="n">
        <x:f>COUNTIFS('Residual Schedule'!$C$7:$C$98,"Closure",'Residual Schedule'!$I$7:$I$98,"&lt;="&amp;B270,'Residual Schedule'!$J$7:$J$98,"&gt;"&amp;B270)</x:f>
        <x:v>0</x:v>
      </x:c>
      <x:c r="F270" s="9" t="n">
        <x:f>COUNTIFS('Residual Schedule'!$C$7:$C$98,"Damage",'Residual Schedule'!$I$7:$I$98,"&lt;="&amp;B270,'Residual Schedule'!$J$7:$J$98,"&gt;"&amp;B270)</x:f>
        <x:v>0</x:v>
      </x:c>
      <x:c r="G270" s="9" t="n">
        <x:f>COUNTIFS('Residual Schedule'!$C$7:$C$98,"Closure",'Residual Schedule'!$J$7:$J$98,"&lt;="&amp;B270)</x:f>
        <x:v>64</x:v>
      </x:c>
      <x:c r="H270" s="9" t="n">
        <x:f>COUNTIFS('Residual Schedule'!$C$7:$C$98,"Damage",'Residual Schedule'!$J$7:$J$98,"&lt;="&amp;B270)</x:f>
        <x:v>28</x:v>
      </x:c>
      <x:c r="I270" s="9" t="str">
        <x:f>IF(C270&lt;='Method Controls'!$D$27,"PASS","FAIL")</x:f>
        <x:v>PASS</x:v>
      </x:c>
      <x:c r="J270" s="9" t="str">
        <x:f>IF(D270&lt;='Method Controls'!$D$28,"PASS","FAIL")</x:f>
        <x:v>PASS</x:v>
      </x:c>
      <x:c r="K270" s="9" t="str">
        <x:f>IF(AND(E270&lt;='Method Controls'!$D$27,F270&lt;='Method Controls'!$D$28),"PASS","FAIL")</x:f>
        <x:v>PASS</x:v>
      </x:c>
      <x:c r="L270" s="9" t="str">
        <x:f>IF(AND(I270="PASS",J270="PASS",K270="PASS"),"PASS","FAIL")</x:f>
        <x:v>PASS</x:v>
      </x:c>
    </x:row>
    <x:row r="271">
      <x:c r="B271" s="9" t="n">
        <x:v>355</x:v>
      </x:c>
      <x:c r="C271" s="9" t="n">
        <x:f>COUNTIFS('Residual Schedule'!$C$7:$C$98,"Closure",'Residual Schedule'!$H$7:$H$98,"&lt;="&amp;B271,'Residual Schedule'!$I$7:$I$98,"&gt;"&amp;B271)</x:f>
        <x:v>0</x:v>
      </x:c>
      <x:c r="D271" s="9" t="n">
        <x:f>COUNTIFS('Residual Schedule'!$C$7:$C$98,"Damage",'Residual Schedule'!$H$7:$H$98,"&lt;="&amp;B271,'Residual Schedule'!$I$7:$I$98,"&gt;"&amp;B271)</x:f>
        <x:v>0</x:v>
      </x:c>
      <x:c r="E271" s="9" t="n">
        <x:f>COUNTIFS('Residual Schedule'!$C$7:$C$98,"Closure",'Residual Schedule'!$I$7:$I$98,"&lt;="&amp;B271,'Residual Schedule'!$J$7:$J$98,"&gt;"&amp;B271)</x:f>
        <x:v>0</x:v>
      </x:c>
      <x:c r="F271" s="9" t="n">
        <x:f>COUNTIFS('Residual Schedule'!$C$7:$C$98,"Damage",'Residual Schedule'!$I$7:$I$98,"&lt;="&amp;B271,'Residual Schedule'!$J$7:$J$98,"&gt;"&amp;B271)</x:f>
        <x:v>0</x:v>
      </x:c>
      <x:c r="G271" s="9" t="n">
        <x:f>COUNTIFS('Residual Schedule'!$C$7:$C$98,"Closure",'Residual Schedule'!$J$7:$J$98,"&lt;="&amp;B271)</x:f>
        <x:v>64</x:v>
      </x:c>
      <x:c r="H271" s="9" t="n">
        <x:f>COUNTIFS('Residual Schedule'!$C$7:$C$98,"Damage",'Residual Schedule'!$J$7:$J$98,"&lt;="&amp;B271)</x:f>
        <x:v>28</x:v>
      </x:c>
      <x:c r="I271" s="9" t="str">
        <x:f>IF(C271&lt;='Method Controls'!$D$27,"PASS","FAIL")</x:f>
        <x:v>PASS</x:v>
      </x:c>
      <x:c r="J271" s="9" t="str">
        <x:f>IF(D271&lt;='Method Controls'!$D$28,"PASS","FAIL")</x:f>
        <x:v>PASS</x:v>
      </x:c>
      <x:c r="K271" s="9" t="str">
        <x:f>IF(AND(E271&lt;='Method Controls'!$D$27,F271&lt;='Method Controls'!$D$28),"PASS","FAIL")</x:f>
        <x:v>PASS</x:v>
      </x:c>
      <x:c r="L271" s="9" t="str">
        <x:f>IF(AND(I271="PASS",J271="PASS",K271="PASS"),"PASS","FAIL")</x:f>
        <x:v>PASS</x:v>
      </x:c>
    </x:row>
    <x:row r="272">
      <x:c r="B272" s="9" t="n">
        <x:v>356</x:v>
      </x:c>
      <x:c r="C272" s="9" t="n">
        <x:f>COUNTIFS('Residual Schedule'!$C$7:$C$98,"Closure",'Residual Schedule'!$H$7:$H$98,"&lt;="&amp;B272,'Residual Schedule'!$I$7:$I$98,"&gt;"&amp;B272)</x:f>
        <x:v>0</x:v>
      </x:c>
      <x:c r="D272" s="9" t="n">
        <x:f>COUNTIFS('Residual Schedule'!$C$7:$C$98,"Damage",'Residual Schedule'!$H$7:$H$98,"&lt;="&amp;B272,'Residual Schedule'!$I$7:$I$98,"&gt;"&amp;B272)</x:f>
        <x:v>0</x:v>
      </x:c>
      <x:c r="E272" s="9" t="n">
        <x:f>COUNTIFS('Residual Schedule'!$C$7:$C$98,"Closure",'Residual Schedule'!$I$7:$I$98,"&lt;="&amp;B272,'Residual Schedule'!$J$7:$J$98,"&gt;"&amp;B272)</x:f>
        <x:v>0</x:v>
      </x:c>
      <x:c r="F272" s="9" t="n">
        <x:f>COUNTIFS('Residual Schedule'!$C$7:$C$98,"Damage",'Residual Schedule'!$I$7:$I$98,"&lt;="&amp;B272,'Residual Schedule'!$J$7:$J$98,"&gt;"&amp;B272)</x:f>
        <x:v>0</x:v>
      </x:c>
      <x:c r="G272" s="9" t="n">
        <x:f>COUNTIFS('Residual Schedule'!$C$7:$C$98,"Closure",'Residual Schedule'!$J$7:$J$98,"&lt;="&amp;B272)</x:f>
        <x:v>64</x:v>
      </x:c>
      <x:c r="H272" s="9" t="n">
        <x:f>COUNTIFS('Residual Schedule'!$C$7:$C$98,"Damage",'Residual Schedule'!$J$7:$J$98,"&lt;="&amp;B272)</x:f>
        <x:v>28</x:v>
      </x:c>
      <x:c r="I272" s="9" t="str">
        <x:f>IF(C272&lt;='Method Controls'!$D$27,"PASS","FAIL")</x:f>
        <x:v>PASS</x:v>
      </x:c>
      <x:c r="J272" s="9" t="str">
        <x:f>IF(D272&lt;='Method Controls'!$D$28,"PASS","FAIL")</x:f>
        <x:v>PASS</x:v>
      </x:c>
      <x:c r="K272" s="9" t="str">
        <x:f>IF(AND(E272&lt;='Method Controls'!$D$27,F272&lt;='Method Controls'!$D$28),"PASS","FAIL")</x:f>
        <x:v>PASS</x:v>
      </x:c>
      <x:c r="L272" s="9" t="str">
        <x:f>IF(AND(I272="PASS",J272="PASS",K272="PASS"),"PASS","FAIL")</x:f>
        <x:v>PASS</x:v>
      </x:c>
    </x:row>
    <x:row r="273">
      <x:c r="B273" s="9" t="n">
        <x:v>357</x:v>
      </x:c>
      <x:c r="C273" s="9" t="n">
        <x:f>COUNTIFS('Residual Schedule'!$C$7:$C$98,"Closure",'Residual Schedule'!$H$7:$H$98,"&lt;="&amp;B273,'Residual Schedule'!$I$7:$I$98,"&gt;"&amp;B273)</x:f>
        <x:v>0</x:v>
      </x:c>
      <x:c r="D273" s="9" t="n">
        <x:f>COUNTIFS('Residual Schedule'!$C$7:$C$98,"Damage",'Residual Schedule'!$H$7:$H$98,"&lt;="&amp;B273,'Residual Schedule'!$I$7:$I$98,"&gt;"&amp;B273)</x:f>
        <x:v>0</x:v>
      </x:c>
      <x:c r="E273" s="9" t="n">
        <x:f>COUNTIFS('Residual Schedule'!$C$7:$C$98,"Closure",'Residual Schedule'!$I$7:$I$98,"&lt;="&amp;B273,'Residual Schedule'!$J$7:$J$98,"&gt;"&amp;B273)</x:f>
        <x:v>0</x:v>
      </x:c>
      <x:c r="F273" s="9" t="n">
        <x:f>COUNTIFS('Residual Schedule'!$C$7:$C$98,"Damage",'Residual Schedule'!$I$7:$I$98,"&lt;="&amp;B273,'Residual Schedule'!$J$7:$J$98,"&gt;"&amp;B273)</x:f>
        <x:v>0</x:v>
      </x:c>
      <x:c r="G273" s="9" t="n">
        <x:f>COUNTIFS('Residual Schedule'!$C$7:$C$98,"Closure",'Residual Schedule'!$J$7:$J$98,"&lt;="&amp;B273)</x:f>
        <x:v>64</x:v>
      </x:c>
      <x:c r="H273" s="9" t="n">
        <x:f>COUNTIFS('Residual Schedule'!$C$7:$C$98,"Damage",'Residual Schedule'!$J$7:$J$98,"&lt;="&amp;B273)</x:f>
        <x:v>28</x:v>
      </x:c>
      <x:c r="I273" s="9" t="str">
        <x:f>IF(C273&lt;='Method Controls'!$D$27,"PASS","FAIL")</x:f>
        <x:v>PASS</x:v>
      </x:c>
      <x:c r="J273" s="9" t="str">
        <x:f>IF(D273&lt;='Method Controls'!$D$28,"PASS","FAIL")</x:f>
        <x:v>PASS</x:v>
      </x:c>
      <x:c r="K273" s="9" t="str">
        <x:f>IF(AND(E273&lt;='Method Controls'!$D$27,F273&lt;='Method Controls'!$D$28),"PASS","FAIL")</x:f>
        <x:v>PASS</x:v>
      </x:c>
      <x:c r="L273" s="9" t="str">
        <x:f>IF(AND(I273="PASS",J273="PASS",K273="PASS"),"PASS","FAIL")</x:f>
        <x:v>PASS</x:v>
      </x:c>
    </x:row>
    <x:row r="274">
      <x:c r="B274" s="9" t="n">
        <x:v>358</x:v>
      </x:c>
      <x:c r="C274" s="9" t="n">
        <x:f>COUNTIFS('Residual Schedule'!$C$7:$C$98,"Closure",'Residual Schedule'!$H$7:$H$98,"&lt;="&amp;B274,'Residual Schedule'!$I$7:$I$98,"&gt;"&amp;B274)</x:f>
        <x:v>0</x:v>
      </x:c>
      <x:c r="D274" s="9" t="n">
        <x:f>COUNTIFS('Residual Schedule'!$C$7:$C$98,"Damage",'Residual Schedule'!$H$7:$H$98,"&lt;="&amp;B274,'Residual Schedule'!$I$7:$I$98,"&gt;"&amp;B274)</x:f>
        <x:v>0</x:v>
      </x:c>
      <x:c r="E274" s="9" t="n">
        <x:f>COUNTIFS('Residual Schedule'!$C$7:$C$98,"Closure",'Residual Schedule'!$I$7:$I$98,"&lt;="&amp;B274,'Residual Schedule'!$J$7:$J$98,"&gt;"&amp;B274)</x:f>
        <x:v>0</x:v>
      </x:c>
      <x:c r="F274" s="9" t="n">
        <x:f>COUNTIFS('Residual Schedule'!$C$7:$C$98,"Damage",'Residual Schedule'!$I$7:$I$98,"&lt;="&amp;B274,'Residual Schedule'!$J$7:$J$98,"&gt;"&amp;B274)</x:f>
        <x:v>0</x:v>
      </x:c>
      <x:c r="G274" s="9" t="n">
        <x:f>COUNTIFS('Residual Schedule'!$C$7:$C$98,"Closure",'Residual Schedule'!$J$7:$J$98,"&lt;="&amp;B274)</x:f>
        <x:v>64</x:v>
      </x:c>
      <x:c r="H274" s="9" t="n">
        <x:f>COUNTIFS('Residual Schedule'!$C$7:$C$98,"Damage",'Residual Schedule'!$J$7:$J$98,"&lt;="&amp;B274)</x:f>
        <x:v>28</x:v>
      </x:c>
      <x:c r="I274" s="9" t="str">
        <x:f>IF(C274&lt;='Method Controls'!$D$27,"PASS","FAIL")</x:f>
        <x:v>PASS</x:v>
      </x:c>
      <x:c r="J274" s="9" t="str">
        <x:f>IF(D274&lt;='Method Controls'!$D$28,"PASS","FAIL")</x:f>
        <x:v>PASS</x:v>
      </x:c>
      <x:c r="K274" s="9" t="str">
        <x:f>IF(AND(E274&lt;='Method Controls'!$D$27,F274&lt;='Method Controls'!$D$28),"PASS","FAIL")</x:f>
        <x:v>PASS</x:v>
      </x:c>
      <x:c r="L274" s="9" t="str">
        <x:f>IF(AND(I274="PASS",J274="PASS",K274="PASS"),"PASS","FAIL")</x:f>
        <x:v>PASS</x:v>
      </x:c>
    </x:row>
    <x:row r="275">
      <x:c r="B275" s="9" t="n">
        <x:v>359</x:v>
      </x:c>
      <x:c r="C275" s="9" t="n">
        <x:f>COUNTIFS('Residual Schedule'!$C$7:$C$98,"Closure",'Residual Schedule'!$H$7:$H$98,"&lt;="&amp;B275,'Residual Schedule'!$I$7:$I$98,"&gt;"&amp;B275)</x:f>
        <x:v>0</x:v>
      </x:c>
      <x:c r="D275" s="9" t="n">
        <x:f>COUNTIFS('Residual Schedule'!$C$7:$C$98,"Damage",'Residual Schedule'!$H$7:$H$98,"&lt;="&amp;B275,'Residual Schedule'!$I$7:$I$98,"&gt;"&amp;B275)</x:f>
        <x:v>0</x:v>
      </x:c>
      <x:c r="E275" s="9" t="n">
        <x:f>COUNTIFS('Residual Schedule'!$C$7:$C$98,"Closure",'Residual Schedule'!$I$7:$I$98,"&lt;="&amp;B275,'Residual Schedule'!$J$7:$J$98,"&gt;"&amp;B275)</x:f>
        <x:v>0</x:v>
      </x:c>
      <x:c r="F275" s="9" t="n">
        <x:f>COUNTIFS('Residual Schedule'!$C$7:$C$98,"Damage",'Residual Schedule'!$I$7:$I$98,"&lt;="&amp;B275,'Residual Schedule'!$J$7:$J$98,"&gt;"&amp;B275)</x:f>
        <x:v>0</x:v>
      </x:c>
      <x:c r="G275" s="9" t="n">
        <x:f>COUNTIFS('Residual Schedule'!$C$7:$C$98,"Closure",'Residual Schedule'!$J$7:$J$98,"&lt;="&amp;B275)</x:f>
        <x:v>64</x:v>
      </x:c>
      <x:c r="H275" s="9" t="n">
        <x:f>COUNTIFS('Residual Schedule'!$C$7:$C$98,"Damage",'Residual Schedule'!$J$7:$J$98,"&lt;="&amp;B275)</x:f>
        <x:v>28</x:v>
      </x:c>
      <x:c r="I275" s="9" t="str">
        <x:f>IF(C275&lt;='Method Controls'!$D$27,"PASS","FAIL")</x:f>
        <x:v>PASS</x:v>
      </x:c>
      <x:c r="J275" s="9" t="str">
        <x:f>IF(D275&lt;='Method Controls'!$D$28,"PASS","FAIL")</x:f>
        <x:v>PASS</x:v>
      </x:c>
      <x:c r="K275" s="9" t="str">
        <x:f>IF(AND(E275&lt;='Method Controls'!$D$27,F275&lt;='Method Controls'!$D$28),"PASS","FAIL")</x:f>
        <x:v>PASS</x:v>
      </x:c>
      <x:c r="L275" s="9" t="str">
        <x:f>IF(AND(I275="PASS",J275="PASS",K275="PASS"),"PASS","FAIL")</x:f>
        <x:v>PASS</x:v>
      </x:c>
    </x:row>
    <x:row r="276">
      <x:c r="B276" s="9" t="n">
        <x:v>360</x:v>
      </x:c>
      <x:c r="C276" s="9" t="n">
        <x:f>COUNTIFS('Residual Schedule'!$C$7:$C$98,"Closure",'Residual Schedule'!$H$7:$H$98,"&lt;="&amp;B276,'Residual Schedule'!$I$7:$I$98,"&gt;"&amp;B276)</x:f>
        <x:v>0</x:v>
      </x:c>
      <x:c r="D276" s="9" t="n">
        <x:f>COUNTIFS('Residual Schedule'!$C$7:$C$98,"Damage",'Residual Schedule'!$H$7:$H$98,"&lt;="&amp;B276,'Residual Schedule'!$I$7:$I$98,"&gt;"&amp;B276)</x:f>
        <x:v>0</x:v>
      </x:c>
      <x:c r="E276" s="9" t="n">
        <x:f>COUNTIFS('Residual Schedule'!$C$7:$C$98,"Closure",'Residual Schedule'!$I$7:$I$98,"&lt;="&amp;B276,'Residual Schedule'!$J$7:$J$98,"&gt;"&amp;B276)</x:f>
        <x:v>0</x:v>
      </x:c>
      <x:c r="F276" s="9" t="n">
        <x:f>COUNTIFS('Residual Schedule'!$C$7:$C$98,"Damage",'Residual Schedule'!$I$7:$I$98,"&lt;="&amp;B276,'Residual Schedule'!$J$7:$J$98,"&gt;"&amp;B276)</x:f>
        <x:v>0</x:v>
      </x:c>
      <x:c r="G276" s="9" t="n">
        <x:f>COUNTIFS('Residual Schedule'!$C$7:$C$98,"Closure",'Residual Schedule'!$J$7:$J$98,"&lt;="&amp;B276)</x:f>
        <x:v>64</x:v>
      </x:c>
      <x:c r="H276" s="9" t="n">
        <x:f>COUNTIFS('Residual Schedule'!$C$7:$C$98,"Damage",'Residual Schedule'!$J$7:$J$98,"&lt;="&amp;B276)</x:f>
        <x:v>28</x:v>
      </x:c>
      <x:c r="I276" s="9" t="str">
        <x:f>IF(C276&lt;='Method Controls'!$D$27,"PASS","FAIL")</x:f>
        <x:v>PASS</x:v>
      </x:c>
      <x:c r="J276" s="9" t="str">
        <x:f>IF(D276&lt;='Method Controls'!$D$28,"PASS","FAIL")</x:f>
        <x:v>PASS</x:v>
      </x:c>
      <x:c r="K276" s="9" t="str">
        <x:f>IF(AND(E276&lt;='Method Controls'!$D$27,F276&lt;='Method Controls'!$D$28),"PASS","FAIL")</x:f>
        <x:v>PASS</x:v>
      </x:c>
      <x:c r="L276" s="9" t="str">
        <x:f>IF(AND(I276="PASS",J276="PASS",K276="PASS"),"PASS","FAIL")</x:f>
        <x:v>PASS</x:v>
      </x:c>
    </x:row>
    <x:row r="277">
      <x:c r="B277" s="9" t="n">
        <x:v>361</x:v>
      </x:c>
      <x:c r="C277" s="9" t="n">
        <x:f>COUNTIFS('Residual Schedule'!$C$7:$C$98,"Closure",'Residual Schedule'!$H$7:$H$98,"&lt;="&amp;B277,'Residual Schedule'!$I$7:$I$98,"&gt;"&amp;B277)</x:f>
        <x:v>0</x:v>
      </x:c>
      <x:c r="D277" s="9" t="n">
        <x:f>COUNTIFS('Residual Schedule'!$C$7:$C$98,"Damage",'Residual Schedule'!$H$7:$H$98,"&lt;="&amp;B277,'Residual Schedule'!$I$7:$I$98,"&gt;"&amp;B277)</x:f>
        <x:v>0</x:v>
      </x:c>
      <x:c r="E277" s="9" t="n">
        <x:f>COUNTIFS('Residual Schedule'!$C$7:$C$98,"Closure",'Residual Schedule'!$I$7:$I$98,"&lt;="&amp;B277,'Residual Schedule'!$J$7:$J$98,"&gt;"&amp;B277)</x:f>
        <x:v>0</x:v>
      </x:c>
      <x:c r="F277" s="9" t="n">
        <x:f>COUNTIFS('Residual Schedule'!$C$7:$C$98,"Damage",'Residual Schedule'!$I$7:$I$98,"&lt;="&amp;B277,'Residual Schedule'!$J$7:$J$98,"&gt;"&amp;B277)</x:f>
        <x:v>0</x:v>
      </x:c>
      <x:c r="G277" s="9" t="n">
        <x:f>COUNTIFS('Residual Schedule'!$C$7:$C$98,"Closure",'Residual Schedule'!$J$7:$J$98,"&lt;="&amp;B277)</x:f>
        <x:v>64</x:v>
      </x:c>
      <x:c r="H277" s="9" t="n">
        <x:f>COUNTIFS('Residual Schedule'!$C$7:$C$98,"Damage",'Residual Schedule'!$J$7:$J$98,"&lt;="&amp;B277)</x:f>
        <x:v>28</x:v>
      </x:c>
      <x:c r="I277" s="9" t="str">
        <x:f>IF(C277&lt;='Method Controls'!$D$27,"PASS","FAIL")</x:f>
        <x:v>PASS</x:v>
      </x:c>
      <x:c r="J277" s="9" t="str">
        <x:f>IF(D277&lt;='Method Controls'!$D$28,"PASS","FAIL")</x:f>
        <x:v>PASS</x:v>
      </x:c>
      <x:c r="K277" s="9" t="str">
        <x:f>IF(AND(E277&lt;='Method Controls'!$D$27,F277&lt;='Method Controls'!$D$28),"PASS","FAIL")</x:f>
        <x:v>PASS</x:v>
      </x:c>
      <x:c r="L277" s="9" t="str">
        <x:f>IF(AND(I277="PASS",J277="PASS",K277="PASS"),"PASS","FAIL")</x:f>
        <x:v>PASS</x:v>
      </x:c>
    </x:row>
    <x:row r="278">
      <x:c r="B278" s="9" t="n">
        <x:v>362</x:v>
      </x:c>
      <x:c r="C278" s="9" t="n">
        <x:f>COUNTIFS('Residual Schedule'!$C$7:$C$98,"Closure",'Residual Schedule'!$H$7:$H$98,"&lt;="&amp;B278,'Residual Schedule'!$I$7:$I$98,"&gt;"&amp;B278)</x:f>
        <x:v>0</x:v>
      </x:c>
      <x:c r="D278" s="9" t="n">
        <x:f>COUNTIFS('Residual Schedule'!$C$7:$C$98,"Damage",'Residual Schedule'!$H$7:$H$98,"&lt;="&amp;B278,'Residual Schedule'!$I$7:$I$98,"&gt;"&amp;B278)</x:f>
        <x:v>0</x:v>
      </x:c>
      <x:c r="E278" s="9" t="n">
        <x:f>COUNTIFS('Residual Schedule'!$C$7:$C$98,"Closure",'Residual Schedule'!$I$7:$I$98,"&lt;="&amp;B278,'Residual Schedule'!$J$7:$J$98,"&gt;"&amp;B278)</x:f>
        <x:v>0</x:v>
      </x:c>
      <x:c r="F278" s="9" t="n">
        <x:f>COUNTIFS('Residual Schedule'!$C$7:$C$98,"Damage",'Residual Schedule'!$I$7:$I$98,"&lt;="&amp;B278,'Residual Schedule'!$J$7:$J$98,"&gt;"&amp;B278)</x:f>
        <x:v>0</x:v>
      </x:c>
      <x:c r="G278" s="9" t="n">
        <x:f>COUNTIFS('Residual Schedule'!$C$7:$C$98,"Closure",'Residual Schedule'!$J$7:$J$98,"&lt;="&amp;B278)</x:f>
        <x:v>64</x:v>
      </x:c>
      <x:c r="H278" s="9" t="n">
        <x:f>COUNTIFS('Residual Schedule'!$C$7:$C$98,"Damage",'Residual Schedule'!$J$7:$J$98,"&lt;="&amp;B278)</x:f>
        <x:v>28</x:v>
      </x:c>
      <x:c r="I278" s="9" t="str">
        <x:f>IF(C278&lt;='Method Controls'!$D$27,"PASS","FAIL")</x:f>
        <x:v>PASS</x:v>
      </x:c>
      <x:c r="J278" s="9" t="str">
        <x:f>IF(D278&lt;='Method Controls'!$D$28,"PASS","FAIL")</x:f>
        <x:v>PASS</x:v>
      </x:c>
      <x:c r="K278" s="9" t="str">
        <x:f>IF(AND(E278&lt;='Method Controls'!$D$27,F278&lt;='Method Controls'!$D$28),"PASS","FAIL")</x:f>
        <x:v>PASS</x:v>
      </x:c>
      <x:c r="L278" s="9" t="str">
        <x:f>IF(AND(I278="PASS",J278="PASS",K278="PASS"),"PASS","FAIL")</x:f>
        <x:v>PASS</x:v>
      </x:c>
    </x:row>
    <x:row r="279">
      <x:c r="B279" s="9" t="n">
        <x:v>363</x:v>
      </x:c>
      <x:c r="C279" s="9" t="n">
        <x:f>COUNTIFS('Residual Schedule'!$C$7:$C$98,"Closure",'Residual Schedule'!$H$7:$H$98,"&lt;="&amp;B279,'Residual Schedule'!$I$7:$I$98,"&gt;"&amp;B279)</x:f>
        <x:v>0</x:v>
      </x:c>
      <x:c r="D279" s="9" t="n">
        <x:f>COUNTIFS('Residual Schedule'!$C$7:$C$98,"Damage",'Residual Schedule'!$H$7:$H$98,"&lt;="&amp;B279,'Residual Schedule'!$I$7:$I$98,"&gt;"&amp;B279)</x:f>
        <x:v>0</x:v>
      </x:c>
      <x:c r="E279" s="9" t="n">
        <x:f>COUNTIFS('Residual Schedule'!$C$7:$C$98,"Closure",'Residual Schedule'!$I$7:$I$98,"&lt;="&amp;B279,'Residual Schedule'!$J$7:$J$98,"&gt;"&amp;B279)</x:f>
        <x:v>0</x:v>
      </x:c>
      <x:c r="F279" s="9" t="n">
        <x:f>COUNTIFS('Residual Schedule'!$C$7:$C$98,"Damage",'Residual Schedule'!$I$7:$I$98,"&lt;="&amp;B279,'Residual Schedule'!$J$7:$J$98,"&gt;"&amp;B279)</x:f>
        <x:v>0</x:v>
      </x:c>
      <x:c r="G279" s="9" t="n">
        <x:f>COUNTIFS('Residual Schedule'!$C$7:$C$98,"Closure",'Residual Schedule'!$J$7:$J$98,"&lt;="&amp;B279)</x:f>
        <x:v>64</x:v>
      </x:c>
      <x:c r="H279" s="9" t="n">
        <x:f>COUNTIFS('Residual Schedule'!$C$7:$C$98,"Damage",'Residual Schedule'!$J$7:$J$98,"&lt;="&amp;B279)</x:f>
        <x:v>28</x:v>
      </x:c>
      <x:c r="I279" s="9" t="str">
        <x:f>IF(C279&lt;='Method Controls'!$D$27,"PASS","FAIL")</x:f>
        <x:v>PASS</x:v>
      </x:c>
      <x:c r="J279" s="9" t="str">
        <x:f>IF(D279&lt;='Method Controls'!$D$28,"PASS","FAIL")</x:f>
        <x:v>PASS</x:v>
      </x:c>
      <x:c r="K279" s="9" t="str">
        <x:f>IF(AND(E279&lt;='Method Controls'!$D$27,F279&lt;='Method Controls'!$D$28),"PASS","FAIL")</x:f>
        <x:v>PASS</x:v>
      </x:c>
      <x:c r="L279" s="9" t="str">
        <x:f>IF(AND(I279="PASS",J279="PASS",K279="PASS"),"PASS","FAIL")</x:f>
        <x:v>PASS</x:v>
      </x:c>
    </x:row>
    <x:row r="280">
      <x:c r="B280" s="9" t="n">
        <x:v>364</x:v>
      </x:c>
      <x:c r="C280" s="9" t="n">
        <x:f>COUNTIFS('Residual Schedule'!$C$7:$C$98,"Closure",'Residual Schedule'!$H$7:$H$98,"&lt;="&amp;B280,'Residual Schedule'!$I$7:$I$98,"&gt;"&amp;B280)</x:f>
        <x:v>0</x:v>
      </x:c>
      <x:c r="D280" s="9" t="n">
        <x:f>COUNTIFS('Residual Schedule'!$C$7:$C$98,"Damage",'Residual Schedule'!$H$7:$H$98,"&lt;="&amp;B280,'Residual Schedule'!$I$7:$I$98,"&gt;"&amp;B280)</x:f>
        <x:v>0</x:v>
      </x:c>
      <x:c r="E280" s="9" t="n">
        <x:f>COUNTIFS('Residual Schedule'!$C$7:$C$98,"Closure",'Residual Schedule'!$I$7:$I$98,"&lt;="&amp;B280,'Residual Schedule'!$J$7:$J$98,"&gt;"&amp;B280)</x:f>
        <x:v>0</x:v>
      </x:c>
      <x:c r="F280" s="9" t="n">
        <x:f>COUNTIFS('Residual Schedule'!$C$7:$C$98,"Damage",'Residual Schedule'!$I$7:$I$98,"&lt;="&amp;B280,'Residual Schedule'!$J$7:$J$98,"&gt;"&amp;B280)</x:f>
        <x:v>0</x:v>
      </x:c>
      <x:c r="G280" s="9" t="n">
        <x:f>COUNTIFS('Residual Schedule'!$C$7:$C$98,"Closure",'Residual Schedule'!$J$7:$J$98,"&lt;="&amp;B280)</x:f>
        <x:v>64</x:v>
      </x:c>
      <x:c r="H280" s="9" t="n">
        <x:f>COUNTIFS('Residual Schedule'!$C$7:$C$98,"Damage",'Residual Schedule'!$J$7:$J$98,"&lt;="&amp;B280)</x:f>
        <x:v>28</x:v>
      </x:c>
      <x:c r="I280" s="9" t="str">
        <x:f>IF(C280&lt;='Method Controls'!$D$27,"PASS","FAIL")</x:f>
        <x:v>PASS</x:v>
      </x:c>
      <x:c r="J280" s="9" t="str">
        <x:f>IF(D280&lt;='Method Controls'!$D$28,"PASS","FAIL")</x:f>
        <x:v>PASS</x:v>
      </x:c>
      <x:c r="K280" s="9" t="str">
        <x:f>IF(AND(E280&lt;='Method Controls'!$D$27,F280&lt;='Method Controls'!$D$28),"PASS","FAIL")</x:f>
        <x:v>PASS</x:v>
      </x:c>
      <x:c r="L280" s="9" t="str">
        <x:f>IF(AND(I280="PASS",J280="PASS",K280="PASS"),"PASS","FAIL")</x:f>
        <x:v>PASS</x:v>
      </x:c>
    </x:row>
    <x:row r="281">
      <x:c r="B281" s="9" t="n">
        <x:v>365</x:v>
      </x:c>
      <x:c r="C281" s="9" t="n">
        <x:f>COUNTIFS('Residual Schedule'!$C$7:$C$98,"Closure",'Residual Schedule'!$H$7:$H$98,"&lt;="&amp;B281,'Residual Schedule'!$I$7:$I$98,"&gt;"&amp;B281)</x:f>
        <x:v>0</x:v>
      </x:c>
      <x:c r="D281" s="9" t="n">
        <x:f>COUNTIFS('Residual Schedule'!$C$7:$C$98,"Damage",'Residual Schedule'!$H$7:$H$98,"&lt;="&amp;B281,'Residual Schedule'!$I$7:$I$98,"&gt;"&amp;B281)</x:f>
        <x:v>0</x:v>
      </x:c>
      <x:c r="E281" s="9" t="n">
        <x:f>COUNTIFS('Residual Schedule'!$C$7:$C$98,"Closure",'Residual Schedule'!$I$7:$I$98,"&lt;="&amp;B281,'Residual Schedule'!$J$7:$J$98,"&gt;"&amp;B281)</x:f>
        <x:v>0</x:v>
      </x:c>
      <x:c r="F281" s="9" t="n">
        <x:f>COUNTIFS('Residual Schedule'!$C$7:$C$98,"Damage",'Residual Schedule'!$I$7:$I$98,"&lt;="&amp;B281,'Residual Schedule'!$J$7:$J$98,"&gt;"&amp;B281)</x:f>
        <x:v>0</x:v>
      </x:c>
      <x:c r="G281" s="9" t="n">
        <x:f>COUNTIFS('Residual Schedule'!$C$7:$C$98,"Closure",'Residual Schedule'!$J$7:$J$98,"&lt;="&amp;B281)</x:f>
        <x:v>64</x:v>
      </x:c>
      <x:c r="H281" s="9" t="n">
        <x:f>COUNTIFS('Residual Schedule'!$C$7:$C$98,"Damage",'Residual Schedule'!$J$7:$J$98,"&lt;="&amp;B281)</x:f>
        <x:v>28</x:v>
      </x:c>
      <x:c r="I281" s="9" t="str">
        <x:f>IF(C281&lt;='Method Controls'!$D$27,"PASS","FAIL")</x:f>
        <x:v>PASS</x:v>
      </x:c>
      <x:c r="J281" s="9" t="str">
        <x:f>IF(D281&lt;='Method Controls'!$D$28,"PASS","FAIL")</x:f>
        <x:v>PASS</x:v>
      </x:c>
      <x:c r="K281" s="9" t="str">
        <x:f>IF(AND(E281&lt;='Method Controls'!$D$27,F281&lt;='Method Controls'!$D$28),"PASS","FAIL")</x:f>
        <x:v>PASS</x:v>
      </x:c>
      <x:c r="L281" s="9" t="str">
        <x:f>IF(AND(I281="PASS",J281="PASS",K281="PASS"),"PASS","FAIL")</x:f>
        <x:v>PASS</x:v>
      </x:c>
    </x:row>
    <x:row r="282">
      <x:c r="B282" s="9" t="n">
        <x:v>366</x:v>
      </x:c>
      <x:c r="C282" s="9" t="n">
        <x:f>COUNTIFS('Residual Schedule'!$C$7:$C$98,"Closure",'Residual Schedule'!$H$7:$H$98,"&lt;="&amp;B282,'Residual Schedule'!$I$7:$I$98,"&gt;"&amp;B282)</x:f>
        <x:v>0</x:v>
      </x:c>
      <x:c r="D282" s="9" t="n">
        <x:f>COUNTIFS('Residual Schedule'!$C$7:$C$98,"Damage",'Residual Schedule'!$H$7:$H$98,"&lt;="&amp;B282,'Residual Schedule'!$I$7:$I$98,"&gt;"&amp;B282)</x:f>
        <x:v>0</x:v>
      </x:c>
      <x:c r="E282" s="9" t="n">
        <x:f>COUNTIFS('Residual Schedule'!$C$7:$C$98,"Closure",'Residual Schedule'!$I$7:$I$98,"&lt;="&amp;B282,'Residual Schedule'!$J$7:$J$98,"&gt;"&amp;B282)</x:f>
        <x:v>0</x:v>
      </x:c>
      <x:c r="F282" s="9" t="n">
        <x:f>COUNTIFS('Residual Schedule'!$C$7:$C$98,"Damage",'Residual Schedule'!$I$7:$I$98,"&lt;="&amp;B282,'Residual Schedule'!$J$7:$J$98,"&gt;"&amp;B282)</x:f>
        <x:v>0</x:v>
      </x:c>
      <x:c r="G282" s="9" t="n">
        <x:f>COUNTIFS('Residual Schedule'!$C$7:$C$98,"Closure",'Residual Schedule'!$J$7:$J$98,"&lt;="&amp;B282)</x:f>
        <x:v>64</x:v>
      </x:c>
      <x:c r="H282" s="9" t="n">
        <x:f>COUNTIFS('Residual Schedule'!$C$7:$C$98,"Damage",'Residual Schedule'!$J$7:$J$98,"&lt;="&amp;B282)</x:f>
        <x:v>28</x:v>
      </x:c>
      <x:c r="I282" s="9" t="str">
        <x:f>IF(C282&lt;='Method Controls'!$D$27,"PASS","FAIL")</x:f>
        <x:v>PASS</x:v>
      </x:c>
      <x:c r="J282" s="9" t="str">
        <x:f>IF(D282&lt;='Method Controls'!$D$28,"PASS","FAIL")</x:f>
        <x:v>PASS</x:v>
      </x:c>
      <x:c r="K282" s="9" t="str">
        <x:f>IF(AND(E282&lt;='Method Controls'!$D$27,F282&lt;='Method Controls'!$D$28),"PASS","FAIL")</x:f>
        <x:v>PASS</x:v>
      </x:c>
      <x:c r="L282" s="9" t="str">
        <x:f>IF(AND(I282="PASS",J282="PASS",K282="PASS"),"PASS","FAIL")</x:f>
        <x:v>PASS</x:v>
      </x:c>
    </x:row>
    <x:row r="283">
      <x:c r="B283" s="9" t="n">
        <x:v>367</x:v>
      </x:c>
      <x:c r="C283" s="9" t="n">
        <x:f>COUNTIFS('Residual Schedule'!$C$7:$C$98,"Closure",'Residual Schedule'!$H$7:$H$98,"&lt;="&amp;B283,'Residual Schedule'!$I$7:$I$98,"&gt;"&amp;B283)</x:f>
        <x:v>0</x:v>
      </x:c>
      <x:c r="D283" s="9" t="n">
        <x:f>COUNTIFS('Residual Schedule'!$C$7:$C$98,"Damage",'Residual Schedule'!$H$7:$H$98,"&lt;="&amp;B283,'Residual Schedule'!$I$7:$I$98,"&gt;"&amp;B283)</x:f>
        <x:v>0</x:v>
      </x:c>
      <x:c r="E283" s="9" t="n">
        <x:f>COUNTIFS('Residual Schedule'!$C$7:$C$98,"Closure",'Residual Schedule'!$I$7:$I$98,"&lt;="&amp;B283,'Residual Schedule'!$J$7:$J$98,"&gt;"&amp;B283)</x:f>
        <x:v>0</x:v>
      </x:c>
      <x:c r="F283" s="9" t="n">
        <x:f>COUNTIFS('Residual Schedule'!$C$7:$C$98,"Damage",'Residual Schedule'!$I$7:$I$98,"&lt;="&amp;B283,'Residual Schedule'!$J$7:$J$98,"&gt;"&amp;B283)</x:f>
        <x:v>0</x:v>
      </x:c>
      <x:c r="G283" s="9" t="n">
        <x:f>COUNTIFS('Residual Schedule'!$C$7:$C$98,"Closure",'Residual Schedule'!$J$7:$J$98,"&lt;="&amp;B283)</x:f>
        <x:v>64</x:v>
      </x:c>
      <x:c r="H283" s="9" t="n">
        <x:f>COUNTIFS('Residual Schedule'!$C$7:$C$98,"Damage",'Residual Schedule'!$J$7:$J$98,"&lt;="&amp;B283)</x:f>
        <x:v>28</x:v>
      </x:c>
      <x:c r="I283" s="9" t="str">
        <x:f>IF(C283&lt;='Method Controls'!$D$27,"PASS","FAIL")</x:f>
        <x:v>PASS</x:v>
      </x:c>
      <x:c r="J283" s="9" t="str">
        <x:f>IF(D283&lt;='Method Controls'!$D$28,"PASS","FAIL")</x:f>
        <x:v>PASS</x:v>
      </x:c>
      <x:c r="K283" s="9" t="str">
        <x:f>IF(AND(E283&lt;='Method Controls'!$D$27,F283&lt;='Method Controls'!$D$28),"PASS","FAIL")</x:f>
        <x:v>PASS</x:v>
      </x:c>
      <x:c r="L283" s="9" t="str">
        <x:f>IF(AND(I283="PASS",J283="PASS",K283="PASS"),"PASS","FAIL")</x:f>
        <x:v>PASS</x:v>
      </x:c>
    </x:row>
    <x:row r="284">
      <x:c r="B284" s="9" t="n">
        <x:v>368</x:v>
      </x:c>
      <x:c r="C284" s="9" t="n">
        <x:f>COUNTIFS('Residual Schedule'!$C$7:$C$98,"Closure",'Residual Schedule'!$H$7:$H$98,"&lt;="&amp;B284,'Residual Schedule'!$I$7:$I$98,"&gt;"&amp;B284)</x:f>
        <x:v>0</x:v>
      </x:c>
      <x:c r="D284" s="9" t="n">
        <x:f>COUNTIFS('Residual Schedule'!$C$7:$C$98,"Damage",'Residual Schedule'!$H$7:$H$98,"&lt;="&amp;B284,'Residual Schedule'!$I$7:$I$98,"&gt;"&amp;B284)</x:f>
        <x:v>0</x:v>
      </x:c>
      <x:c r="E284" s="9" t="n">
        <x:f>COUNTIFS('Residual Schedule'!$C$7:$C$98,"Closure",'Residual Schedule'!$I$7:$I$98,"&lt;="&amp;B284,'Residual Schedule'!$J$7:$J$98,"&gt;"&amp;B284)</x:f>
        <x:v>0</x:v>
      </x:c>
      <x:c r="F284" s="9" t="n">
        <x:f>COUNTIFS('Residual Schedule'!$C$7:$C$98,"Damage",'Residual Schedule'!$I$7:$I$98,"&lt;="&amp;B284,'Residual Schedule'!$J$7:$J$98,"&gt;"&amp;B284)</x:f>
        <x:v>0</x:v>
      </x:c>
      <x:c r="G284" s="9" t="n">
        <x:f>COUNTIFS('Residual Schedule'!$C$7:$C$98,"Closure",'Residual Schedule'!$J$7:$J$98,"&lt;="&amp;B284)</x:f>
        <x:v>64</x:v>
      </x:c>
      <x:c r="H284" s="9" t="n">
        <x:f>COUNTIFS('Residual Schedule'!$C$7:$C$98,"Damage",'Residual Schedule'!$J$7:$J$98,"&lt;="&amp;B284)</x:f>
        <x:v>28</x:v>
      </x:c>
      <x:c r="I284" s="9" t="str">
        <x:f>IF(C284&lt;='Method Controls'!$D$27,"PASS","FAIL")</x:f>
        <x:v>PASS</x:v>
      </x:c>
      <x:c r="J284" s="9" t="str">
        <x:f>IF(D284&lt;='Method Controls'!$D$28,"PASS","FAIL")</x:f>
        <x:v>PASS</x:v>
      </x:c>
      <x:c r="K284" s="9" t="str">
        <x:f>IF(AND(E284&lt;='Method Controls'!$D$27,F284&lt;='Method Controls'!$D$28),"PASS","FAIL")</x:f>
        <x:v>PASS</x:v>
      </x:c>
      <x:c r="L284" s="9" t="str">
        <x:f>IF(AND(I284="PASS",J284="PASS",K284="PASS"),"PASS","FAIL")</x:f>
        <x:v>PASS</x:v>
      </x:c>
    </x:row>
    <x:row r="285">
      <x:c r="B285" s="9" t="n">
        <x:v>369</x:v>
      </x:c>
      <x:c r="C285" s="9" t="n">
        <x:f>COUNTIFS('Residual Schedule'!$C$7:$C$98,"Closure",'Residual Schedule'!$H$7:$H$98,"&lt;="&amp;B285,'Residual Schedule'!$I$7:$I$98,"&gt;"&amp;B285)</x:f>
        <x:v>0</x:v>
      </x:c>
      <x:c r="D285" s="9" t="n">
        <x:f>COUNTIFS('Residual Schedule'!$C$7:$C$98,"Damage",'Residual Schedule'!$H$7:$H$98,"&lt;="&amp;B285,'Residual Schedule'!$I$7:$I$98,"&gt;"&amp;B285)</x:f>
        <x:v>0</x:v>
      </x:c>
      <x:c r="E285" s="9" t="n">
        <x:f>COUNTIFS('Residual Schedule'!$C$7:$C$98,"Closure",'Residual Schedule'!$I$7:$I$98,"&lt;="&amp;B285,'Residual Schedule'!$J$7:$J$98,"&gt;"&amp;B285)</x:f>
        <x:v>0</x:v>
      </x:c>
      <x:c r="F285" s="9" t="n">
        <x:f>COUNTIFS('Residual Schedule'!$C$7:$C$98,"Damage",'Residual Schedule'!$I$7:$I$98,"&lt;="&amp;B285,'Residual Schedule'!$J$7:$J$98,"&gt;"&amp;B285)</x:f>
        <x:v>0</x:v>
      </x:c>
      <x:c r="G285" s="9" t="n">
        <x:f>COUNTIFS('Residual Schedule'!$C$7:$C$98,"Closure",'Residual Schedule'!$J$7:$J$98,"&lt;="&amp;B285)</x:f>
        <x:v>64</x:v>
      </x:c>
      <x:c r="H285" s="9" t="n">
        <x:f>COUNTIFS('Residual Schedule'!$C$7:$C$98,"Damage",'Residual Schedule'!$J$7:$J$98,"&lt;="&amp;B285)</x:f>
        <x:v>28</x:v>
      </x:c>
      <x:c r="I285" s="9" t="str">
        <x:f>IF(C285&lt;='Method Controls'!$D$27,"PASS","FAIL")</x:f>
        <x:v>PASS</x:v>
      </x:c>
      <x:c r="J285" s="9" t="str">
        <x:f>IF(D285&lt;='Method Controls'!$D$28,"PASS","FAIL")</x:f>
        <x:v>PASS</x:v>
      </x:c>
      <x:c r="K285" s="9" t="str">
        <x:f>IF(AND(E285&lt;='Method Controls'!$D$27,F285&lt;='Method Controls'!$D$28),"PASS","FAIL")</x:f>
        <x:v>PASS</x:v>
      </x:c>
      <x:c r="L285" s="9" t="str">
        <x:f>IF(AND(I285="PASS",J285="PASS",K285="PASS"),"PASS","FAIL")</x:f>
        <x:v>PASS</x:v>
      </x:c>
    </x:row>
    <x:row r="286">
      <x:c r="B286" s="9" t="n">
        <x:v>370</x:v>
      </x:c>
      <x:c r="C286" s="9" t="n">
        <x:f>COUNTIFS('Residual Schedule'!$C$7:$C$98,"Closure",'Residual Schedule'!$H$7:$H$98,"&lt;="&amp;B286,'Residual Schedule'!$I$7:$I$98,"&gt;"&amp;B286)</x:f>
        <x:v>0</x:v>
      </x:c>
      <x:c r="D286" s="9" t="n">
        <x:f>COUNTIFS('Residual Schedule'!$C$7:$C$98,"Damage",'Residual Schedule'!$H$7:$H$98,"&lt;="&amp;B286,'Residual Schedule'!$I$7:$I$98,"&gt;"&amp;B286)</x:f>
        <x:v>0</x:v>
      </x:c>
      <x:c r="E286" s="9" t="n">
        <x:f>COUNTIFS('Residual Schedule'!$C$7:$C$98,"Closure",'Residual Schedule'!$I$7:$I$98,"&lt;="&amp;B286,'Residual Schedule'!$J$7:$J$98,"&gt;"&amp;B286)</x:f>
        <x:v>0</x:v>
      </x:c>
      <x:c r="F286" s="9" t="n">
        <x:f>COUNTIFS('Residual Schedule'!$C$7:$C$98,"Damage",'Residual Schedule'!$I$7:$I$98,"&lt;="&amp;B286,'Residual Schedule'!$J$7:$J$98,"&gt;"&amp;B286)</x:f>
        <x:v>0</x:v>
      </x:c>
      <x:c r="G286" s="9" t="n">
        <x:f>COUNTIFS('Residual Schedule'!$C$7:$C$98,"Closure",'Residual Schedule'!$J$7:$J$98,"&lt;="&amp;B286)</x:f>
        <x:v>64</x:v>
      </x:c>
      <x:c r="H286" s="9" t="n">
        <x:f>COUNTIFS('Residual Schedule'!$C$7:$C$98,"Damage",'Residual Schedule'!$J$7:$J$98,"&lt;="&amp;B286)</x:f>
        <x:v>28</x:v>
      </x:c>
      <x:c r="I286" s="9" t="str">
        <x:f>IF(C286&lt;='Method Controls'!$D$27,"PASS","FAIL")</x:f>
        <x:v>PASS</x:v>
      </x:c>
      <x:c r="J286" s="9" t="str">
        <x:f>IF(D286&lt;='Method Controls'!$D$28,"PASS","FAIL")</x:f>
        <x:v>PASS</x:v>
      </x:c>
      <x:c r="K286" s="9" t="str">
        <x:f>IF(AND(E286&lt;='Method Controls'!$D$27,F286&lt;='Method Controls'!$D$28),"PASS","FAIL")</x:f>
        <x:v>PASS</x:v>
      </x:c>
      <x:c r="L286" s="9" t="str">
        <x:f>IF(AND(I286="PASS",J286="PASS",K286="PASS"),"PASS","FAIL")</x:f>
        <x:v>PASS</x:v>
      </x:c>
    </x:row>
    <x:row r="287">
      <x:c r="B287" s="9" t="n">
        <x:v>371</x:v>
      </x:c>
      <x:c r="C287" s="9" t="n">
        <x:f>COUNTIFS('Residual Schedule'!$C$7:$C$98,"Closure",'Residual Schedule'!$H$7:$H$98,"&lt;="&amp;B287,'Residual Schedule'!$I$7:$I$98,"&gt;"&amp;B287)</x:f>
        <x:v>0</x:v>
      </x:c>
      <x:c r="D287" s="9" t="n">
        <x:f>COUNTIFS('Residual Schedule'!$C$7:$C$98,"Damage",'Residual Schedule'!$H$7:$H$98,"&lt;="&amp;B287,'Residual Schedule'!$I$7:$I$98,"&gt;"&amp;B287)</x:f>
        <x:v>0</x:v>
      </x:c>
      <x:c r="E287" s="9" t="n">
        <x:f>COUNTIFS('Residual Schedule'!$C$7:$C$98,"Closure",'Residual Schedule'!$I$7:$I$98,"&lt;="&amp;B287,'Residual Schedule'!$J$7:$J$98,"&gt;"&amp;B287)</x:f>
        <x:v>0</x:v>
      </x:c>
      <x:c r="F287" s="9" t="n">
        <x:f>COUNTIFS('Residual Schedule'!$C$7:$C$98,"Damage",'Residual Schedule'!$I$7:$I$98,"&lt;="&amp;B287,'Residual Schedule'!$J$7:$J$98,"&gt;"&amp;B287)</x:f>
        <x:v>0</x:v>
      </x:c>
      <x:c r="G287" s="9" t="n">
        <x:f>COUNTIFS('Residual Schedule'!$C$7:$C$98,"Closure",'Residual Schedule'!$J$7:$J$98,"&lt;="&amp;B287)</x:f>
        <x:v>64</x:v>
      </x:c>
      <x:c r="H287" s="9" t="n">
        <x:f>COUNTIFS('Residual Schedule'!$C$7:$C$98,"Damage",'Residual Schedule'!$J$7:$J$98,"&lt;="&amp;B287)</x:f>
        <x:v>28</x:v>
      </x:c>
      <x:c r="I287" s="9" t="str">
        <x:f>IF(C287&lt;='Method Controls'!$D$27,"PASS","FAIL")</x:f>
        <x:v>PASS</x:v>
      </x:c>
      <x:c r="J287" s="9" t="str">
        <x:f>IF(D287&lt;='Method Controls'!$D$28,"PASS","FAIL")</x:f>
        <x:v>PASS</x:v>
      </x:c>
      <x:c r="K287" s="9" t="str">
        <x:f>IF(AND(E287&lt;='Method Controls'!$D$27,F287&lt;='Method Controls'!$D$28),"PASS","FAIL")</x:f>
        <x:v>PASS</x:v>
      </x:c>
      <x:c r="L287" s="9" t="str">
        <x:f>IF(AND(I287="PASS",J287="PASS",K287="PASS"),"PASS","FAIL")</x:f>
        <x:v>PASS</x:v>
      </x:c>
    </x:row>
    <x:row r="288">
      <x:c r="B288" s="9" t="n">
        <x:v>372</x:v>
      </x:c>
      <x:c r="C288" s="9" t="n">
        <x:f>COUNTIFS('Residual Schedule'!$C$7:$C$98,"Closure",'Residual Schedule'!$H$7:$H$98,"&lt;="&amp;B288,'Residual Schedule'!$I$7:$I$98,"&gt;"&amp;B288)</x:f>
        <x:v>0</x:v>
      </x:c>
      <x:c r="D288" s="9" t="n">
        <x:f>COUNTIFS('Residual Schedule'!$C$7:$C$98,"Damage",'Residual Schedule'!$H$7:$H$98,"&lt;="&amp;B288,'Residual Schedule'!$I$7:$I$98,"&gt;"&amp;B288)</x:f>
        <x:v>0</x:v>
      </x:c>
      <x:c r="E288" s="9" t="n">
        <x:f>COUNTIFS('Residual Schedule'!$C$7:$C$98,"Closure",'Residual Schedule'!$I$7:$I$98,"&lt;="&amp;B288,'Residual Schedule'!$J$7:$J$98,"&gt;"&amp;B288)</x:f>
        <x:v>0</x:v>
      </x:c>
      <x:c r="F288" s="9" t="n">
        <x:f>COUNTIFS('Residual Schedule'!$C$7:$C$98,"Damage",'Residual Schedule'!$I$7:$I$98,"&lt;="&amp;B288,'Residual Schedule'!$J$7:$J$98,"&gt;"&amp;B288)</x:f>
        <x:v>0</x:v>
      </x:c>
      <x:c r="G288" s="9" t="n">
        <x:f>COUNTIFS('Residual Schedule'!$C$7:$C$98,"Closure",'Residual Schedule'!$J$7:$J$98,"&lt;="&amp;B288)</x:f>
        <x:v>64</x:v>
      </x:c>
      <x:c r="H288" s="9" t="n">
        <x:f>COUNTIFS('Residual Schedule'!$C$7:$C$98,"Damage",'Residual Schedule'!$J$7:$J$98,"&lt;="&amp;B288)</x:f>
        <x:v>28</x:v>
      </x:c>
      <x:c r="I288" s="9" t="str">
        <x:f>IF(C288&lt;='Method Controls'!$D$27,"PASS","FAIL")</x:f>
        <x:v>PASS</x:v>
      </x:c>
      <x:c r="J288" s="9" t="str">
        <x:f>IF(D288&lt;='Method Controls'!$D$28,"PASS","FAIL")</x:f>
        <x:v>PASS</x:v>
      </x:c>
      <x:c r="K288" s="9" t="str">
        <x:f>IF(AND(E288&lt;='Method Controls'!$D$27,F288&lt;='Method Controls'!$D$28),"PASS","FAIL")</x:f>
        <x:v>PASS</x:v>
      </x:c>
      <x:c r="L288" s="9" t="str">
        <x:f>IF(AND(I288="PASS",J288="PASS",K288="PASS"),"PASS","FAIL")</x:f>
        <x:v>PASS</x:v>
      </x:c>
    </x:row>
    <x:row r="289">
      <x:c r="B289" s="9" t="n">
        <x:v>373</x:v>
      </x:c>
      <x:c r="C289" s="9" t="n">
        <x:f>COUNTIFS('Residual Schedule'!$C$7:$C$98,"Closure",'Residual Schedule'!$H$7:$H$98,"&lt;="&amp;B289,'Residual Schedule'!$I$7:$I$98,"&gt;"&amp;B289)</x:f>
        <x:v>0</x:v>
      </x:c>
      <x:c r="D289" s="9" t="n">
        <x:f>COUNTIFS('Residual Schedule'!$C$7:$C$98,"Damage",'Residual Schedule'!$H$7:$H$98,"&lt;="&amp;B289,'Residual Schedule'!$I$7:$I$98,"&gt;"&amp;B289)</x:f>
        <x:v>0</x:v>
      </x:c>
      <x:c r="E289" s="9" t="n">
        <x:f>COUNTIFS('Residual Schedule'!$C$7:$C$98,"Closure",'Residual Schedule'!$I$7:$I$98,"&lt;="&amp;B289,'Residual Schedule'!$J$7:$J$98,"&gt;"&amp;B289)</x:f>
        <x:v>0</x:v>
      </x:c>
      <x:c r="F289" s="9" t="n">
        <x:f>COUNTIFS('Residual Schedule'!$C$7:$C$98,"Damage",'Residual Schedule'!$I$7:$I$98,"&lt;="&amp;B289,'Residual Schedule'!$J$7:$J$98,"&gt;"&amp;B289)</x:f>
        <x:v>0</x:v>
      </x:c>
      <x:c r="G289" s="9" t="n">
        <x:f>COUNTIFS('Residual Schedule'!$C$7:$C$98,"Closure",'Residual Schedule'!$J$7:$J$98,"&lt;="&amp;B289)</x:f>
        <x:v>64</x:v>
      </x:c>
      <x:c r="H289" s="9" t="n">
        <x:f>COUNTIFS('Residual Schedule'!$C$7:$C$98,"Damage",'Residual Schedule'!$J$7:$J$98,"&lt;="&amp;B289)</x:f>
        <x:v>28</x:v>
      </x:c>
      <x:c r="I289" s="9" t="str">
        <x:f>IF(C289&lt;='Method Controls'!$D$27,"PASS","FAIL")</x:f>
        <x:v>PASS</x:v>
      </x:c>
      <x:c r="J289" s="9" t="str">
        <x:f>IF(D289&lt;='Method Controls'!$D$28,"PASS","FAIL")</x:f>
        <x:v>PASS</x:v>
      </x:c>
      <x:c r="K289" s="9" t="str">
        <x:f>IF(AND(E289&lt;='Method Controls'!$D$27,F289&lt;='Method Controls'!$D$28),"PASS","FAIL")</x:f>
        <x:v>PASS</x:v>
      </x:c>
      <x:c r="L289" s="9" t="str">
        <x:f>IF(AND(I289="PASS",J289="PASS",K289="PASS"),"PASS","FAIL")</x:f>
        <x:v>PASS</x:v>
      </x:c>
    </x:row>
    <x:row r="290">
      <x:c r="B290" s="9" t="n">
        <x:v>374</x:v>
      </x:c>
      <x:c r="C290" s="9" t="n">
        <x:f>COUNTIFS('Residual Schedule'!$C$7:$C$98,"Closure",'Residual Schedule'!$H$7:$H$98,"&lt;="&amp;B290,'Residual Schedule'!$I$7:$I$98,"&gt;"&amp;B290)</x:f>
        <x:v>0</x:v>
      </x:c>
      <x:c r="D290" s="9" t="n">
        <x:f>COUNTIFS('Residual Schedule'!$C$7:$C$98,"Damage",'Residual Schedule'!$H$7:$H$98,"&lt;="&amp;B290,'Residual Schedule'!$I$7:$I$98,"&gt;"&amp;B290)</x:f>
        <x:v>0</x:v>
      </x:c>
      <x:c r="E290" s="9" t="n">
        <x:f>COUNTIFS('Residual Schedule'!$C$7:$C$98,"Closure",'Residual Schedule'!$I$7:$I$98,"&lt;="&amp;B290,'Residual Schedule'!$J$7:$J$98,"&gt;"&amp;B290)</x:f>
        <x:v>0</x:v>
      </x:c>
      <x:c r="F290" s="9" t="n">
        <x:f>COUNTIFS('Residual Schedule'!$C$7:$C$98,"Damage",'Residual Schedule'!$I$7:$I$98,"&lt;="&amp;B290,'Residual Schedule'!$J$7:$J$98,"&gt;"&amp;B290)</x:f>
        <x:v>0</x:v>
      </x:c>
      <x:c r="G290" s="9" t="n">
        <x:f>COUNTIFS('Residual Schedule'!$C$7:$C$98,"Closure",'Residual Schedule'!$J$7:$J$98,"&lt;="&amp;B290)</x:f>
        <x:v>64</x:v>
      </x:c>
      <x:c r="H290" s="9" t="n">
        <x:f>COUNTIFS('Residual Schedule'!$C$7:$C$98,"Damage",'Residual Schedule'!$J$7:$J$98,"&lt;="&amp;B290)</x:f>
        <x:v>28</x:v>
      </x:c>
      <x:c r="I290" s="9" t="str">
        <x:f>IF(C290&lt;='Method Controls'!$D$27,"PASS","FAIL")</x:f>
        <x:v>PASS</x:v>
      </x:c>
      <x:c r="J290" s="9" t="str">
        <x:f>IF(D290&lt;='Method Controls'!$D$28,"PASS","FAIL")</x:f>
        <x:v>PASS</x:v>
      </x:c>
      <x:c r="K290" s="9" t="str">
        <x:f>IF(AND(E290&lt;='Method Controls'!$D$27,F290&lt;='Method Controls'!$D$28),"PASS","FAIL")</x:f>
        <x:v>PASS</x:v>
      </x:c>
      <x:c r="L290" s="9" t="str">
        <x:f>IF(AND(I290="PASS",J290="PASS",K290="PASS"),"PASS","FAIL")</x:f>
        <x:v>PASS</x:v>
      </x:c>
    </x:row>
    <x:row r="291">
      <x:c r="B291" s="9" t="n">
        <x:v>375</x:v>
      </x:c>
      <x:c r="C291" s="9" t="n">
        <x:f>COUNTIFS('Residual Schedule'!$C$7:$C$98,"Closure",'Residual Schedule'!$H$7:$H$98,"&lt;="&amp;B291,'Residual Schedule'!$I$7:$I$98,"&gt;"&amp;B291)</x:f>
        <x:v>0</x:v>
      </x:c>
      <x:c r="D291" s="9" t="n">
        <x:f>COUNTIFS('Residual Schedule'!$C$7:$C$98,"Damage",'Residual Schedule'!$H$7:$H$98,"&lt;="&amp;B291,'Residual Schedule'!$I$7:$I$98,"&gt;"&amp;B291)</x:f>
        <x:v>0</x:v>
      </x:c>
      <x:c r="E291" s="9" t="n">
        <x:f>COUNTIFS('Residual Schedule'!$C$7:$C$98,"Closure",'Residual Schedule'!$I$7:$I$98,"&lt;="&amp;B291,'Residual Schedule'!$J$7:$J$98,"&gt;"&amp;B291)</x:f>
        <x:v>0</x:v>
      </x:c>
      <x:c r="F291" s="9" t="n">
        <x:f>COUNTIFS('Residual Schedule'!$C$7:$C$98,"Damage",'Residual Schedule'!$I$7:$I$98,"&lt;="&amp;B291,'Residual Schedule'!$J$7:$J$98,"&gt;"&amp;B291)</x:f>
        <x:v>0</x:v>
      </x:c>
      <x:c r="G291" s="9" t="n">
        <x:f>COUNTIFS('Residual Schedule'!$C$7:$C$98,"Closure",'Residual Schedule'!$J$7:$J$98,"&lt;="&amp;B291)</x:f>
        <x:v>64</x:v>
      </x:c>
      <x:c r="H291" s="9" t="n">
        <x:f>COUNTIFS('Residual Schedule'!$C$7:$C$98,"Damage",'Residual Schedule'!$J$7:$J$98,"&lt;="&amp;B291)</x:f>
        <x:v>28</x:v>
      </x:c>
      <x:c r="I291" s="9" t="str">
        <x:f>IF(C291&lt;='Method Controls'!$D$27,"PASS","FAIL")</x:f>
        <x:v>PASS</x:v>
      </x:c>
      <x:c r="J291" s="9" t="str">
        <x:f>IF(D291&lt;='Method Controls'!$D$28,"PASS","FAIL")</x:f>
        <x:v>PASS</x:v>
      </x:c>
      <x:c r="K291" s="9" t="str">
        <x:f>IF(AND(E291&lt;='Method Controls'!$D$27,F291&lt;='Method Controls'!$D$28),"PASS","FAIL")</x:f>
        <x:v>PASS</x:v>
      </x:c>
      <x:c r="L291" s="9" t="str">
        <x:f>IF(AND(I291="PASS",J291="PASS",K291="PASS"),"PASS","FAIL")</x:f>
        <x:v>PASS</x:v>
      </x:c>
    </x:row>
    <x:row r="292">
      <x:c r="B292" s="9" t="n">
        <x:v>376</x:v>
      </x:c>
      <x:c r="C292" s="9" t="n">
        <x:f>COUNTIFS('Residual Schedule'!$C$7:$C$98,"Closure",'Residual Schedule'!$H$7:$H$98,"&lt;="&amp;B292,'Residual Schedule'!$I$7:$I$98,"&gt;"&amp;B292)</x:f>
        <x:v>0</x:v>
      </x:c>
      <x:c r="D292" s="9" t="n">
        <x:f>COUNTIFS('Residual Schedule'!$C$7:$C$98,"Damage",'Residual Schedule'!$H$7:$H$98,"&lt;="&amp;B292,'Residual Schedule'!$I$7:$I$98,"&gt;"&amp;B292)</x:f>
        <x:v>0</x:v>
      </x:c>
      <x:c r="E292" s="9" t="n">
        <x:f>COUNTIFS('Residual Schedule'!$C$7:$C$98,"Closure",'Residual Schedule'!$I$7:$I$98,"&lt;="&amp;B292,'Residual Schedule'!$J$7:$J$98,"&gt;"&amp;B292)</x:f>
        <x:v>0</x:v>
      </x:c>
      <x:c r="F292" s="9" t="n">
        <x:f>COUNTIFS('Residual Schedule'!$C$7:$C$98,"Damage",'Residual Schedule'!$I$7:$I$98,"&lt;="&amp;B292,'Residual Schedule'!$J$7:$J$98,"&gt;"&amp;B292)</x:f>
        <x:v>0</x:v>
      </x:c>
      <x:c r="G292" s="9" t="n">
        <x:f>COUNTIFS('Residual Schedule'!$C$7:$C$98,"Closure",'Residual Schedule'!$J$7:$J$98,"&lt;="&amp;B292)</x:f>
        <x:v>64</x:v>
      </x:c>
      <x:c r="H292" s="9" t="n">
        <x:f>COUNTIFS('Residual Schedule'!$C$7:$C$98,"Damage",'Residual Schedule'!$J$7:$J$98,"&lt;="&amp;B292)</x:f>
        <x:v>28</x:v>
      </x:c>
      <x:c r="I292" s="9" t="str">
        <x:f>IF(C292&lt;='Method Controls'!$D$27,"PASS","FAIL")</x:f>
        <x:v>PASS</x:v>
      </x:c>
      <x:c r="J292" s="9" t="str">
        <x:f>IF(D292&lt;='Method Controls'!$D$28,"PASS","FAIL")</x:f>
        <x:v>PASS</x:v>
      </x:c>
      <x:c r="K292" s="9" t="str">
        <x:f>IF(AND(E292&lt;='Method Controls'!$D$27,F292&lt;='Method Controls'!$D$28),"PASS","FAIL")</x:f>
        <x:v>PASS</x:v>
      </x:c>
      <x:c r="L292" s="9" t="str">
        <x:f>IF(AND(I292="PASS",J292="PASS",K292="PASS"),"PASS","FAIL")</x:f>
        <x:v>PASS</x:v>
      </x:c>
    </x:row>
    <x:row r="293">
      <x:c r="B293" s="9" t="n">
        <x:v>377</x:v>
      </x:c>
      <x:c r="C293" s="9" t="n">
        <x:f>COUNTIFS('Residual Schedule'!$C$7:$C$98,"Closure",'Residual Schedule'!$H$7:$H$98,"&lt;="&amp;B293,'Residual Schedule'!$I$7:$I$98,"&gt;"&amp;B293)</x:f>
        <x:v>0</x:v>
      </x:c>
      <x:c r="D293" s="9" t="n">
        <x:f>COUNTIFS('Residual Schedule'!$C$7:$C$98,"Damage",'Residual Schedule'!$H$7:$H$98,"&lt;="&amp;B293,'Residual Schedule'!$I$7:$I$98,"&gt;"&amp;B293)</x:f>
        <x:v>0</x:v>
      </x:c>
      <x:c r="E293" s="9" t="n">
        <x:f>COUNTIFS('Residual Schedule'!$C$7:$C$98,"Closure",'Residual Schedule'!$I$7:$I$98,"&lt;="&amp;B293,'Residual Schedule'!$J$7:$J$98,"&gt;"&amp;B293)</x:f>
        <x:v>0</x:v>
      </x:c>
      <x:c r="F293" s="9" t="n">
        <x:f>COUNTIFS('Residual Schedule'!$C$7:$C$98,"Damage",'Residual Schedule'!$I$7:$I$98,"&lt;="&amp;B293,'Residual Schedule'!$J$7:$J$98,"&gt;"&amp;B293)</x:f>
        <x:v>0</x:v>
      </x:c>
      <x:c r="G293" s="9" t="n">
        <x:f>COUNTIFS('Residual Schedule'!$C$7:$C$98,"Closure",'Residual Schedule'!$J$7:$J$98,"&lt;="&amp;B293)</x:f>
        <x:v>64</x:v>
      </x:c>
      <x:c r="H293" s="9" t="n">
        <x:f>COUNTIFS('Residual Schedule'!$C$7:$C$98,"Damage",'Residual Schedule'!$J$7:$J$98,"&lt;="&amp;B293)</x:f>
        <x:v>28</x:v>
      </x:c>
      <x:c r="I293" s="9" t="str">
        <x:f>IF(C293&lt;='Method Controls'!$D$27,"PASS","FAIL")</x:f>
        <x:v>PASS</x:v>
      </x:c>
      <x:c r="J293" s="9" t="str">
        <x:f>IF(D293&lt;='Method Controls'!$D$28,"PASS","FAIL")</x:f>
        <x:v>PASS</x:v>
      </x:c>
      <x:c r="K293" s="9" t="str">
        <x:f>IF(AND(E293&lt;='Method Controls'!$D$27,F293&lt;='Method Controls'!$D$28),"PASS","FAIL")</x:f>
        <x:v>PASS</x:v>
      </x:c>
      <x:c r="L293" s="9" t="str">
        <x:f>IF(AND(I293="PASS",J293="PASS",K293="PASS"),"PASS","FAIL")</x:f>
        <x:v>PASS</x:v>
      </x:c>
    </x:row>
    <x:row r="294">
      <x:c r="B294" s="9" t="n">
        <x:v>378</x:v>
      </x:c>
      <x:c r="C294" s="9" t="n">
        <x:f>COUNTIFS('Residual Schedule'!$C$7:$C$98,"Closure",'Residual Schedule'!$H$7:$H$98,"&lt;="&amp;B294,'Residual Schedule'!$I$7:$I$98,"&gt;"&amp;B294)</x:f>
        <x:v>0</x:v>
      </x:c>
      <x:c r="D294" s="9" t="n">
        <x:f>COUNTIFS('Residual Schedule'!$C$7:$C$98,"Damage",'Residual Schedule'!$H$7:$H$98,"&lt;="&amp;B294,'Residual Schedule'!$I$7:$I$98,"&gt;"&amp;B294)</x:f>
        <x:v>0</x:v>
      </x:c>
      <x:c r="E294" s="9" t="n">
        <x:f>COUNTIFS('Residual Schedule'!$C$7:$C$98,"Closure",'Residual Schedule'!$I$7:$I$98,"&lt;="&amp;B294,'Residual Schedule'!$J$7:$J$98,"&gt;"&amp;B294)</x:f>
        <x:v>0</x:v>
      </x:c>
      <x:c r="F294" s="9" t="n">
        <x:f>COUNTIFS('Residual Schedule'!$C$7:$C$98,"Damage",'Residual Schedule'!$I$7:$I$98,"&lt;="&amp;B294,'Residual Schedule'!$J$7:$J$98,"&gt;"&amp;B294)</x:f>
        <x:v>0</x:v>
      </x:c>
      <x:c r="G294" s="9" t="n">
        <x:f>COUNTIFS('Residual Schedule'!$C$7:$C$98,"Closure",'Residual Schedule'!$J$7:$J$98,"&lt;="&amp;B294)</x:f>
        <x:v>64</x:v>
      </x:c>
      <x:c r="H294" s="9" t="n">
        <x:f>COUNTIFS('Residual Schedule'!$C$7:$C$98,"Damage",'Residual Schedule'!$J$7:$J$98,"&lt;="&amp;B294)</x:f>
        <x:v>28</x:v>
      </x:c>
      <x:c r="I294" s="9" t="str">
        <x:f>IF(C294&lt;='Method Controls'!$D$27,"PASS","FAIL")</x:f>
        <x:v>PASS</x:v>
      </x:c>
      <x:c r="J294" s="9" t="str">
        <x:f>IF(D294&lt;='Method Controls'!$D$28,"PASS","FAIL")</x:f>
        <x:v>PASS</x:v>
      </x:c>
      <x:c r="K294" s="9" t="str">
        <x:f>IF(AND(E294&lt;='Method Controls'!$D$27,F294&lt;='Method Controls'!$D$28),"PASS","FAIL")</x:f>
        <x:v>PASS</x:v>
      </x:c>
      <x:c r="L294" s="9" t="str">
        <x:f>IF(AND(I294="PASS",J294="PASS",K294="PASS"),"PASS","FAIL")</x:f>
        <x:v>PASS</x:v>
      </x:c>
    </x:row>
    <x:row r="295">
      <x:c r="B295" s="9" t="n">
        <x:v>379</x:v>
      </x:c>
      <x:c r="C295" s="9" t="n">
        <x:f>COUNTIFS('Residual Schedule'!$C$7:$C$98,"Closure",'Residual Schedule'!$H$7:$H$98,"&lt;="&amp;B295,'Residual Schedule'!$I$7:$I$98,"&gt;"&amp;B295)</x:f>
        <x:v>0</x:v>
      </x:c>
      <x:c r="D295" s="9" t="n">
        <x:f>COUNTIFS('Residual Schedule'!$C$7:$C$98,"Damage",'Residual Schedule'!$H$7:$H$98,"&lt;="&amp;B295,'Residual Schedule'!$I$7:$I$98,"&gt;"&amp;B295)</x:f>
        <x:v>0</x:v>
      </x:c>
      <x:c r="E295" s="9" t="n">
        <x:f>COUNTIFS('Residual Schedule'!$C$7:$C$98,"Closure",'Residual Schedule'!$I$7:$I$98,"&lt;="&amp;B295,'Residual Schedule'!$J$7:$J$98,"&gt;"&amp;B295)</x:f>
        <x:v>0</x:v>
      </x:c>
      <x:c r="F295" s="9" t="n">
        <x:f>COUNTIFS('Residual Schedule'!$C$7:$C$98,"Damage",'Residual Schedule'!$I$7:$I$98,"&lt;="&amp;B295,'Residual Schedule'!$J$7:$J$98,"&gt;"&amp;B295)</x:f>
        <x:v>0</x:v>
      </x:c>
      <x:c r="G295" s="9" t="n">
        <x:f>COUNTIFS('Residual Schedule'!$C$7:$C$98,"Closure",'Residual Schedule'!$J$7:$J$98,"&lt;="&amp;B295)</x:f>
        <x:v>64</x:v>
      </x:c>
      <x:c r="H295" s="9" t="n">
        <x:f>COUNTIFS('Residual Schedule'!$C$7:$C$98,"Damage",'Residual Schedule'!$J$7:$J$98,"&lt;="&amp;B295)</x:f>
        <x:v>28</x:v>
      </x:c>
      <x:c r="I295" s="9" t="str">
        <x:f>IF(C295&lt;='Method Controls'!$D$27,"PASS","FAIL")</x:f>
        <x:v>PASS</x:v>
      </x:c>
      <x:c r="J295" s="9" t="str">
        <x:f>IF(D295&lt;='Method Controls'!$D$28,"PASS","FAIL")</x:f>
        <x:v>PASS</x:v>
      </x:c>
      <x:c r="K295" s="9" t="str">
        <x:f>IF(AND(E295&lt;='Method Controls'!$D$27,F295&lt;='Method Controls'!$D$28),"PASS","FAIL")</x:f>
        <x:v>PASS</x:v>
      </x:c>
      <x:c r="L295" s="9" t="str">
        <x:f>IF(AND(I295="PASS",J295="PASS",K295="PASS"),"PASS","FAIL")</x:f>
        <x:v>PASS</x:v>
      </x:c>
    </x:row>
    <x:row r="296">
      <x:c r="B296" s="9" t="n">
        <x:v>380</x:v>
      </x:c>
      <x:c r="C296" s="9" t="n">
        <x:f>COUNTIFS('Residual Schedule'!$C$7:$C$98,"Closure",'Residual Schedule'!$H$7:$H$98,"&lt;="&amp;B296,'Residual Schedule'!$I$7:$I$98,"&gt;"&amp;B296)</x:f>
        <x:v>0</x:v>
      </x:c>
      <x:c r="D296" s="9" t="n">
        <x:f>COUNTIFS('Residual Schedule'!$C$7:$C$98,"Damage",'Residual Schedule'!$H$7:$H$98,"&lt;="&amp;B296,'Residual Schedule'!$I$7:$I$98,"&gt;"&amp;B296)</x:f>
        <x:v>0</x:v>
      </x:c>
      <x:c r="E296" s="9" t="n">
        <x:f>COUNTIFS('Residual Schedule'!$C$7:$C$98,"Closure",'Residual Schedule'!$I$7:$I$98,"&lt;="&amp;B296,'Residual Schedule'!$J$7:$J$98,"&gt;"&amp;B296)</x:f>
        <x:v>0</x:v>
      </x:c>
      <x:c r="F296" s="9" t="n">
        <x:f>COUNTIFS('Residual Schedule'!$C$7:$C$98,"Damage",'Residual Schedule'!$I$7:$I$98,"&lt;="&amp;B296,'Residual Schedule'!$J$7:$J$98,"&gt;"&amp;B296)</x:f>
        <x:v>0</x:v>
      </x:c>
      <x:c r="G296" s="9" t="n">
        <x:f>COUNTIFS('Residual Schedule'!$C$7:$C$98,"Closure",'Residual Schedule'!$J$7:$J$98,"&lt;="&amp;B296)</x:f>
        <x:v>64</x:v>
      </x:c>
      <x:c r="H296" s="9" t="n">
        <x:f>COUNTIFS('Residual Schedule'!$C$7:$C$98,"Damage",'Residual Schedule'!$J$7:$J$98,"&lt;="&amp;B296)</x:f>
        <x:v>28</x:v>
      </x:c>
      <x:c r="I296" s="9" t="str">
        <x:f>IF(C296&lt;='Method Controls'!$D$27,"PASS","FAIL")</x:f>
        <x:v>PASS</x:v>
      </x:c>
      <x:c r="J296" s="9" t="str">
        <x:f>IF(D296&lt;='Method Controls'!$D$28,"PASS","FAIL")</x:f>
        <x:v>PASS</x:v>
      </x:c>
      <x:c r="K296" s="9" t="str">
        <x:f>IF(AND(E296&lt;='Method Controls'!$D$27,F296&lt;='Method Controls'!$D$28),"PASS","FAIL")</x:f>
        <x:v>PASS</x:v>
      </x:c>
      <x:c r="L296" s="9" t="str">
        <x:f>IF(AND(I296="PASS",J296="PASS",K296="PASS"),"PASS","FAIL")</x:f>
        <x:v>PASS</x:v>
      </x:c>
    </x:row>
    <x:row r="297">
      <x:c r="B297" s="9" t="n">
        <x:v>381</x:v>
      </x:c>
      <x:c r="C297" s="9" t="n">
        <x:f>COUNTIFS('Residual Schedule'!$C$7:$C$98,"Closure",'Residual Schedule'!$H$7:$H$98,"&lt;="&amp;B297,'Residual Schedule'!$I$7:$I$98,"&gt;"&amp;B297)</x:f>
        <x:v>0</x:v>
      </x:c>
      <x:c r="D297" s="9" t="n">
        <x:f>COUNTIFS('Residual Schedule'!$C$7:$C$98,"Damage",'Residual Schedule'!$H$7:$H$98,"&lt;="&amp;B297,'Residual Schedule'!$I$7:$I$98,"&gt;"&amp;B297)</x:f>
        <x:v>0</x:v>
      </x:c>
      <x:c r="E297" s="9" t="n">
        <x:f>COUNTIFS('Residual Schedule'!$C$7:$C$98,"Closure",'Residual Schedule'!$I$7:$I$98,"&lt;="&amp;B297,'Residual Schedule'!$J$7:$J$98,"&gt;"&amp;B297)</x:f>
        <x:v>0</x:v>
      </x:c>
      <x:c r="F297" s="9" t="n">
        <x:f>COUNTIFS('Residual Schedule'!$C$7:$C$98,"Damage",'Residual Schedule'!$I$7:$I$98,"&lt;="&amp;B297,'Residual Schedule'!$J$7:$J$98,"&gt;"&amp;B297)</x:f>
        <x:v>0</x:v>
      </x:c>
      <x:c r="G297" s="9" t="n">
        <x:f>COUNTIFS('Residual Schedule'!$C$7:$C$98,"Closure",'Residual Schedule'!$J$7:$J$98,"&lt;="&amp;B297)</x:f>
        <x:v>64</x:v>
      </x:c>
      <x:c r="H297" s="9" t="n">
        <x:f>COUNTIFS('Residual Schedule'!$C$7:$C$98,"Damage",'Residual Schedule'!$J$7:$J$98,"&lt;="&amp;B297)</x:f>
        <x:v>28</x:v>
      </x:c>
      <x:c r="I297" s="9" t="str">
        <x:f>IF(C297&lt;='Method Controls'!$D$27,"PASS","FAIL")</x:f>
        <x:v>PASS</x:v>
      </x:c>
      <x:c r="J297" s="9" t="str">
        <x:f>IF(D297&lt;='Method Controls'!$D$28,"PASS","FAIL")</x:f>
        <x:v>PASS</x:v>
      </x:c>
      <x:c r="K297" s="9" t="str">
        <x:f>IF(AND(E297&lt;='Method Controls'!$D$27,F297&lt;='Method Controls'!$D$28),"PASS","FAIL")</x:f>
        <x:v>PASS</x:v>
      </x:c>
      <x:c r="L297" s="9" t="str">
        <x:f>IF(AND(I297="PASS",J297="PASS",K297="PASS"),"PASS","FAIL")</x:f>
        <x:v>PASS</x:v>
      </x:c>
    </x:row>
    <x:row r="298">
      <x:c r="B298" s="9" t="n">
        <x:v>382</x:v>
      </x:c>
      <x:c r="C298" s="9" t="n">
        <x:f>COUNTIFS('Residual Schedule'!$C$7:$C$98,"Closure",'Residual Schedule'!$H$7:$H$98,"&lt;="&amp;B298,'Residual Schedule'!$I$7:$I$98,"&gt;"&amp;B298)</x:f>
        <x:v>0</x:v>
      </x:c>
      <x:c r="D298" s="9" t="n">
        <x:f>COUNTIFS('Residual Schedule'!$C$7:$C$98,"Damage",'Residual Schedule'!$H$7:$H$98,"&lt;="&amp;B298,'Residual Schedule'!$I$7:$I$98,"&gt;"&amp;B298)</x:f>
        <x:v>0</x:v>
      </x:c>
      <x:c r="E298" s="9" t="n">
        <x:f>COUNTIFS('Residual Schedule'!$C$7:$C$98,"Closure",'Residual Schedule'!$I$7:$I$98,"&lt;="&amp;B298,'Residual Schedule'!$J$7:$J$98,"&gt;"&amp;B298)</x:f>
        <x:v>0</x:v>
      </x:c>
      <x:c r="F298" s="9" t="n">
        <x:f>COUNTIFS('Residual Schedule'!$C$7:$C$98,"Damage",'Residual Schedule'!$I$7:$I$98,"&lt;="&amp;B298,'Residual Schedule'!$J$7:$J$98,"&gt;"&amp;B298)</x:f>
        <x:v>0</x:v>
      </x:c>
      <x:c r="G298" s="9" t="n">
        <x:f>COUNTIFS('Residual Schedule'!$C$7:$C$98,"Closure",'Residual Schedule'!$J$7:$J$98,"&lt;="&amp;B298)</x:f>
        <x:v>64</x:v>
      </x:c>
      <x:c r="H298" s="9" t="n">
        <x:f>COUNTIFS('Residual Schedule'!$C$7:$C$98,"Damage",'Residual Schedule'!$J$7:$J$98,"&lt;="&amp;B298)</x:f>
        <x:v>28</x:v>
      </x:c>
      <x:c r="I298" s="9" t="str">
        <x:f>IF(C298&lt;='Method Controls'!$D$27,"PASS","FAIL")</x:f>
        <x:v>PASS</x:v>
      </x:c>
      <x:c r="J298" s="9" t="str">
        <x:f>IF(D298&lt;='Method Controls'!$D$28,"PASS","FAIL")</x:f>
        <x:v>PASS</x:v>
      </x:c>
      <x:c r="K298" s="9" t="str">
        <x:f>IF(AND(E298&lt;='Method Controls'!$D$27,F298&lt;='Method Controls'!$D$28),"PASS","FAIL")</x:f>
        <x:v>PASS</x:v>
      </x:c>
      <x:c r="L298" s="9" t="str">
        <x:f>IF(AND(I298="PASS",J298="PASS",K298="PASS"),"PASS","FAIL")</x:f>
        <x:v>PASS</x:v>
      </x:c>
    </x:row>
    <x:row r="299">
      <x:c r="B299" s="9" t="n">
        <x:v>383</x:v>
      </x:c>
      <x:c r="C299" s="9" t="n">
        <x:f>COUNTIFS('Residual Schedule'!$C$7:$C$98,"Closure",'Residual Schedule'!$H$7:$H$98,"&lt;="&amp;B299,'Residual Schedule'!$I$7:$I$98,"&gt;"&amp;B299)</x:f>
        <x:v>0</x:v>
      </x:c>
      <x:c r="D299" s="9" t="n">
        <x:f>COUNTIFS('Residual Schedule'!$C$7:$C$98,"Damage",'Residual Schedule'!$H$7:$H$98,"&lt;="&amp;B299,'Residual Schedule'!$I$7:$I$98,"&gt;"&amp;B299)</x:f>
        <x:v>0</x:v>
      </x:c>
      <x:c r="E299" s="9" t="n">
        <x:f>COUNTIFS('Residual Schedule'!$C$7:$C$98,"Closure",'Residual Schedule'!$I$7:$I$98,"&lt;="&amp;B299,'Residual Schedule'!$J$7:$J$98,"&gt;"&amp;B299)</x:f>
        <x:v>0</x:v>
      </x:c>
      <x:c r="F299" s="9" t="n">
        <x:f>COUNTIFS('Residual Schedule'!$C$7:$C$98,"Damage",'Residual Schedule'!$I$7:$I$98,"&lt;="&amp;B299,'Residual Schedule'!$J$7:$J$98,"&gt;"&amp;B299)</x:f>
        <x:v>0</x:v>
      </x:c>
      <x:c r="G299" s="9" t="n">
        <x:f>COUNTIFS('Residual Schedule'!$C$7:$C$98,"Closure",'Residual Schedule'!$J$7:$J$98,"&lt;="&amp;B299)</x:f>
        <x:v>64</x:v>
      </x:c>
      <x:c r="H299" s="9" t="n">
        <x:f>COUNTIFS('Residual Schedule'!$C$7:$C$98,"Damage",'Residual Schedule'!$J$7:$J$98,"&lt;="&amp;B299)</x:f>
        <x:v>28</x:v>
      </x:c>
      <x:c r="I299" s="9" t="str">
        <x:f>IF(C299&lt;='Method Controls'!$D$27,"PASS","FAIL")</x:f>
        <x:v>PASS</x:v>
      </x:c>
      <x:c r="J299" s="9" t="str">
        <x:f>IF(D299&lt;='Method Controls'!$D$28,"PASS","FAIL")</x:f>
        <x:v>PASS</x:v>
      </x:c>
      <x:c r="K299" s="9" t="str">
        <x:f>IF(AND(E299&lt;='Method Controls'!$D$27,F299&lt;='Method Controls'!$D$28),"PASS","FAIL")</x:f>
        <x:v>PASS</x:v>
      </x:c>
      <x:c r="L299" s="9" t="str">
        <x:f>IF(AND(I299="PASS",J299="PASS",K299="PASS"),"PASS","FAIL")</x:f>
        <x:v>PASS</x:v>
      </x:c>
    </x:row>
    <x:row r="300">
      <x:c r="B300" s="9" t="n">
        <x:v>384</x:v>
      </x:c>
      <x:c r="C300" s="9" t="n">
        <x:f>COUNTIFS('Residual Schedule'!$C$7:$C$98,"Closure",'Residual Schedule'!$H$7:$H$98,"&lt;="&amp;B300,'Residual Schedule'!$I$7:$I$98,"&gt;"&amp;B300)</x:f>
        <x:v>0</x:v>
      </x:c>
      <x:c r="D300" s="9" t="n">
        <x:f>COUNTIFS('Residual Schedule'!$C$7:$C$98,"Damage",'Residual Schedule'!$H$7:$H$98,"&lt;="&amp;B300,'Residual Schedule'!$I$7:$I$98,"&gt;"&amp;B300)</x:f>
        <x:v>0</x:v>
      </x:c>
      <x:c r="E300" s="9" t="n">
        <x:f>COUNTIFS('Residual Schedule'!$C$7:$C$98,"Closure",'Residual Schedule'!$I$7:$I$98,"&lt;="&amp;B300,'Residual Schedule'!$J$7:$J$98,"&gt;"&amp;B300)</x:f>
        <x:v>0</x:v>
      </x:c>
      <x:c r="F300" s="9" t="n">
        <x:f>COUNTIFS('Residual Schedule'!$C$7:$C$98,"Damage",'Residual Schedule'!$I$7:$I$98,"&lt;="&amp;B300,'Residual Schedule'!$J$7:$J$98,"&gt;"&amp;B300)</x:f>
        <x:v>0</x:v>
      </x:c>
      <x:c r="G300" s="9" t="n">
        <x:f>COUNTIFS('Residual Schedule'!$C$7:$C$98,"Closure",'Residual Schedule'!$J$7:$J$98,"&lt;="&amp;B300)</x:f>
        <x:v>64</x:v>
      </x:c>
      <x:c r="H300" s="9" t="n">
        <x:f>COUNTIFS('Residual Schedule'!$C$7:$C$98,"Damage",'Residual Schedule'!$J$7:$J$98,"&lt;="&amp;B300)</x:f>
        <x:v>28</x:v>
      </x:c>
      <x:c r="I300" s="9" t="str">
        <x:f>IF(C300&lt;='Method Controls'!$D$27,"PASS","FAIL")</x:f>
        <x:v>PASS</x:v>
      </x:c>
      <x:c r="J300" s="9" t="str">
        <x:f>IF(D300&lt;='Method Controls'!$D$28,"PASS","FAIL")</x:f>
        <x:v>PASS</x:v>
      </x:c>
      <x:c r="K300" s="9" t="str">
        <x:f>IF(AND(E300&lt;='Method Controls'!$D$27,F300&lt;='Method Controls'!$D$28),"PASS","FAIL")</x:f>
        <x:v>PASS</x:v>
      </x:c>
      <x:c r="L300" s="9" t="str">
        <x:f>IF(AND(I300="PASS",J300="PASS",K300="PASS"),"PASS","FAIL")</x:f>
        <x:v>PASS</x:v>
      </x:c>
    </x:row>
    <x:row r="301">
      <x:c r="B301" s="9" t="n">
        <x:v>385</x:v>
      </x:c>
      <x:c r="C301" s="9" t="n">
        <x:f>COUNTIFS('Residual Schedule'!$C$7:$C$98,"Closure",'Residual Schedule'!$H$7:$H$98,"&lt;="&amp;B301,'Residual Schedule'!$I$7:$I$98,"&gt;"&amp;B301)</x:f>
        <x:v>0</x:v>
      </x:c>
      <x:c r="D301" s="9" t="n">
        <x:f>COUNTIFS('Residual Schedule'!$C$7:$C$98,"Damage",'Residual Schedule'!$H$7:$H$98,"&lt;="&amp;B301,'Residual Schedule'!$I$7:$I$98,"&gt;"&amp;B301)</x:f>
        <x:v>0</x:v>
      </x:c>
      <x:c r="E301" s="9" t="n">
        <x:f>COUNTIFS('Residual Schedule'!$C$7:$C$98,"Closure",'Residual Schedule'!$I$7:$I$98,"&lt;="&amp;B301,'Residual Schedule'!$J$7:$J$98,"&gt;"&amp;B301)</x:f>
        <x:v>0</x:v>
      </x:c>
      <x:c r="F301" s="9" t="n">
        <x:f>COUNTIFS('Residual Schedule'!$C$7:$C$98,"Damage",'Residual Schedule'!$I$7:$I$98,"&lt;="&amp;B301,'Residual Schedule'!$J$7:$J$98,"&gt;"&amp;B301)</x:f>
        <x:v>0</x:v>
      </x:c>
      <x:c r="G301" s="9" t="n">
        <x:f>COUNTIFS('Residual Schedule'!$C$7:$C$98,"Closure",'Residual Schedule'!$J$7:$J$98,"&lt;="&amp;B301)</x:f>
        <x:v>64</x:v>
      </x:c>
      <x:c r="H301" s="9" t="n">
        <x:f>COUNTIFS('Residual Schedule'!$C$7:$C$98,"Damage",'Residual Schedule'!$J$7:$J$98,"&lt;="&amp;B301)</x:f>
        <x:v>28</x:v>
      </x:c>
      <x:c r="I301" s="9" t="str">
        <x:f>IF(C301&lt;='Method Controls'!$D$27,"PASS","FAIL")</x:f>
        <x:v>PASS</x:v>
      </x:c>
      <x:c r="J301" s="9" t="str">
        <x:f>IF(D301&lt;='Method Controls'!$D$28,"PASS","FAIL")</x:f>
        <x:v>PASS</x:v>
      </x:c>
      <x:c r="K301" s="9" t="str">
        <x:f>IF(AND(E301&lt;='Method Controls'!$D$27,F301&lt;='Method Controls'!$D$28),"PASS","FAIL")</x:f>
        <x:v>PASS</x:v>
      </x:c>
      <x:c r="L301" s="9" t="str">
        <x:f>IF(AND(I301="PASS",J301="PASS",K301="PASS"),"PASS","FAIL")</x:f>
        <x:v>PASS</x:v>
      </x:c>
    </x:row>
    <x:row r="302">
      <x:c r="B302" s="9" t="n">
        <x:v>386</x:v>
      </x:c>
      <x:c r="C302" s="9" t="n">
        <x:f>COUNTIFS('Residual Schedule'!$C$7:$C$98,"Closure",'Residual Schedule'!$H$7:$H$98,"&lt;="&amp;B302,'Residual Schedule'!$I$7:$I$98,"&gt;"&amp;B302)</x:f>
        <x:v>0</x:v>
      </x:c>
      <x:c r="D302" s="9" t="n">
        <x:f>COUNTIFS('Residual Schedule'!$C$7:$C$98,"Damage",'Residual Schedule'!$H$7:$H$98,"&lt;="&amp;B302,'Residual Schedule'!$I$7:$I$98,"&gt;"&amp;B302)</x:f>
        <x:v>0</x:v>
      </x:c>
      <x:c r="E302" s="9" t="n">
        <x:f>COUNTIFS('Residual Schedule'!$C$7:$C$98,"Closure",'Residual Schedule'!$I$7:$I$98,"&lt;="&amp;B302,'Residual Schedule'!$J$7:$J$98,"&gt;"&amp;B302)</x:f>
        <x:v>0</x:v>
      </x:c>
      <x:c r="F302" s="9" t="n">
        <x:f>COUNTIFS('Residual Schedule'!$C$7:$C$98,"Damage",'Residual Schedule'!$I$7:$I$98,"&lt;="&amp;B302,'Residual Schedule'!$J$7:$J$98,"&gt;"&amp;B302)</x:f>
        <x:v>0</x:v>
      </x:c>
      <x:c r="G302" s="9" t="n">
        <x:f>COUNTIFS('Residual Schedule'!$C$7:$C$98,"Closure",'Residual Schedule'!$J$7:$J$98,"&lt;="&amp;B302)</x:f>
        <x:v>64</x:v>
      </x:c>
      <x:c r="H302" s="9" t="n">
        <x:f>COUNTIFS('Residual Schedule'!$C$7:$C$98,"Damage",'Residual Schedule'!$J$7:$J$98,"&lt;="&amp;B302)</x:f>
        <x:v>28</x:v>
      </x:c>
      <x:c r="I302" s="9" t="str">
        <x:f>IF(C302&lt;='Method Controls'!$D$27,"PASS","FAIL")</x:f>
        <x:v>PASS</x:v>
      </x:c>
      <x:c r="J302" s="9" t="str">
        <x:f>IF(D302&lt;='Method Controls'!$D$28,"PASS","FAIL")</x:f>
        <x:v>PASS</x:v>
      </x:c>
      <x:c r="K302" s="9" t="str">
        <x:f>IF(AND(E302&lt;='Method Controls'!$D$27,F302&lt;='Method Controls'!$D$28),"PASS","FAIL")</x:f>
        <x:v>PASS</x:v>
      </x:c>
      <x:c r="L302" s="9" t="str">
        <x:f>IF(AND(I302="PASS",J302="PASS",K302="PASS"),"PASS","FAIL")</x:f>
        <x:v>PASS</x:v>
      </x:c>
    </x:row>
    <x:row r="303">
      <x:c r="B303" s="9" t="n">
        <x:v>387</x:v>
      </x:c>
      <x:c r="C303" s="9" t="n">
        <x:f>COUNTIFS('Residual Schedule'!$C$7:$C$98,"Closure",'Residual Schedule'!$H$7:$H$98,"&lt;="&amp;B303,'Residual Schedule'!$I$7:$I$98,"&gt;"&amp;B303)</x:f>
        <x:v>0</x:v>
      </x:c>
      <x:c r="D303" s="9" t="n">
        <x:f>COUNTIFS('Residual Schedule'!$C$7:$C$98,"Damage",'Residual Schedule'!$H$7:$H$98,"&lt;="&amp;B303,'Residual Schedule'!$I$7:$I$98,"&gt;"&amp;B303)</x:f>
        <x:v>0</x:v>
      </x:c>
      <x:c r="E303" s="9" t="n">
        <x:f>COUNTIFS('Residual Schedule'!$C$7:$C$98,"Closure",'Residual Schedule'!$I$7:$I$98,"&lt;="&amp;B303,'Residual Schedule'!$J$7:$J$98,"&gt;"&amp;B303)</x:f>
        <x:v>0</x:v>
      </x:c>
      <x:c r="F303" s="9" t="n">
        <x:f>COUNTIFS('Residual Schedule'!$C$7:$C$98,"Damage",'Residual Schedule'!$I$7:$I$98,"&lt;="&amp;B303,'Residual Schedule'!$J$7:$J$98,"&gt;"&amp;B303)</x:f>
        <x:v>0</x:v>
      </x:c>
      <x:c r="G303" s="9" t="n">
        <x:f>COUNTIFS('Residual Schedule'!$C$7:$C$98,"Closure",'Residual Schedule'!$J$7:$J$98,"&lt;="&amp;B303)</x:f>
        <x:v>64</x:v>
      </x:c>
      <x:c r="H303" s="9" t="n">
        <x:f>COUNTIFS('Residual Schedule'!$C$7:$C$98,"Damage",'Residual Schedule'!$J$7:$J$98,"&lt;="&amp;B303)</x:f>
        <x:v>28</x:v>
      </x:c>
      <x:c r="I303" s="9" t="str">
        <x:f>IF(C303&lt;='Method Controls'!$D$27,"PASS","FAIL")</x:f>
        <x:v>PASS</x:v>
      </x:c>
      <x:c r="J303" s="9" t="str">
        <x:f>IF(D303&lt;='Method Controls'!$D$28,"PASS","FAIL")</x:f>
        <x:v>PASS</x:v>
      </x:c>
      <x:c r="K303" s="9" t="str">
        <x:f>IF(AND(E303&lt;='Method Controls'!$D$27,F303&lt;='Method Controls'!$D$28),"PASS","FAIL")</x:f>
        <x:v>PASS</x:v>
      </x:c>
      <x:c r="L303" s="9" t="str">
        <x:f>IF(AND(I303="PASS",J303="PASS",K303="PASS"),"PASS","FAIL")</x:f>
        <x:v>PASS</x:v>
      </x:c>
    </x:row>
    <x:row r="304">
      <x:c r="B304" s="9" t="n">
        <x:v>388</x:v>
      </x:c>
      <x:c r="C304" s="9" t="n">
        <x:f>COUNTIFS('Residual Schedule'!$C$7:$C$98,"Closure",'Residual Schedule'!$H$7:$H$98,"&lt;="&amp;B304,'Residual Schedule'!$I$7:$I$98,"&gt;"&amp;B304)</x:f>
        <x:v>0</x:v>
      </x:c>
      <x:c r="D304" s="9" t="n">
        <x:f>COUNTIFS('Residual Schedule'!$C$7:$C$98,"Damage",'Residual Schedule'!$H$7:$H$98,"&lt;="&amp;B304,'Residual Schedule'!$I$7:$I$98,"&gt;"&amp;B304)</x:f>
        <x:v>0</x:v>
      </x:c>
      <x:c r="E304" s="9" t="n">
        <x:f>COUNTIFS('Residual Schedule'!$C$7:$C$98,"Closure",'Residual Schedule'!$I$7:$I$98,"&lt;="&amp;B304,'Residual Schedule'!$J$7:$J$98,"&gt;"&amp;B304)</x:f>
        <x:v>0</x:v>
      </x:c>
      <x:c r="F304" s="9" t="n">
        <x:f>COUNTIFS('Residual Schedule'!$C$7:$C$98,"Damage",'Residual Schedule'!$I$7:$I$98,"&lt;="&amp;B304,'Residual Schedule'!$J$7:$J$98,"&gt;"&amp;B304)</x:f>
        <x:v>0</x:v>
      </x:c>
      <x:c r="G304" s="9" t="n">
        <x:f>COUNTIFS('Residual Schedule'!$C$7:$C$98,"Closure",'Residual Schedule'!$J$7:$J$98,"&lt;="&amp;B304)</x:f>
        <x:v>64</x:v>
      </x:c>
      <x:c r="H304" s="9" t="n">
        <x:f>COUNTIFS('Residual Schedule'!$C$7:$C$98,"Damage",'Residual Schedule'!$J$7:$J$98,"&lt;="&amp;B304)</x:f>
        <x:v>28</x:v>
      </x:c>
      <x:c r="I304" s="9" t="str">
        <x:f>IF(C304&lt;='Method Controls'!$D$27,"PASS","FAIL")</x:f>
        <x:v>PASS</x:v>
      </x:c>
      <x:c r="J304" s="9" t="str">
        <x:f>IF(D304&lt;='Method Controls'!$D$28,"PASS","FAIL")</x:f>
        <x:v>PASS</x:v>
      </x:c>
      <x:c r="K304" s="9" t="str">
        <x:f>IF(AND(E304&lt;='Method Controls'!$D$27,F304&lt;='Method Controls'!$D$28),"PASS","FAIL")</x:f>
        <x:v>PASS</x:v>
      </x:c>
      <x:c r="L304" s="9" t="str">
        <x:f>IF(AND(I304="PASS",J304="PASS",K304="PASS"),"PASS","FAIL")</x:f>
        <x:v>PASS</x:v>
      </x:c>
    </x:row>
    <x:row r="305">
      <x:c r="B305" s="9" t="n">
        <x:v>389</x:v>
      </x:c>
      <x:c r="C305" s="9" t="n">
        <x:f>COUNTIFS('Residual Schedule'!$C$7:$C$98,"Closure",'Residual Schedule'!$H$7:$H$98,"&lt;="&amp;B305,'Residual Schedule'!$I$7:$I$98,"&gt;"&amp;B305)</x:f>
        <x:v>0</x:v>
      </x:c>
      <x:c r="D305" s="9" t="n">
        <x:f>COUNTIFS('Residual Schedule'!$C$7:$C$98,"Damage",'Residual Schedule'!$H$7:$H$98,"&lt;="&amp;B305,'Residual Schedule'!$I$7:$I$98,"&gt;"&amp;B305)</x:f>
        <x:v>0</x:v>
      </x:c>
      <x:c r="E305" s="9" t="n">
        <x:f>COUNTIFS('Residual Schedule'!$C$7:$C$98,"Closure",'Residual Schedule'!$I$7:$I$98,"&lt;="&amp;B305,'Residual Schedule'!$J$7:$J$98,"&gt;"&amp;B305)</x:f>
        <x:v>0</x:v>
      </x:c>
      <x:c r="F305" s="9" t="n">
        <x:f>COUNTIFS('Residual Schedule'!$C$7:$C$98,"Damage",'Residual Schedule'!$I$7:$I$98,"&lt;="&amp;B305,'Residual Schedule'!$J$7:$J$98,"&gt;"&amp;B305)</x:f>
        <x:v>0</x:v>
      </x:c>
      <x:c r="G305" s="9" t="n">
        <x:f>COUNTIFS('Residual Schedule'!$C$7:$C$98,"Closure",'Residual Schedule'!$J$7:$J$98,"&lt;="&amp;B305)</x:f>
        <x:v>64</x:v>
      </x:c>
      <x:c r="H305" s="9" t="n">
        <x:f>COUNTIFS('Residual Schedule'!$C$7:$C$98,"Damage",'Residual Schedule'!$J$7:$J$98,"&lt;="&amp;B305)</x:f>
        <x:v>28</x:v>
      </x:c>
      <x:c r="I305" s="9" t="str">
        <x:f>IF(C305&lt;='Method Controls'!$D$27,"PASS","FAIL")</x:f>
        <x:v>PASS</x:v>
      </x:c>
      <x:c r="J305" s="9" t="str">
        <x:f>IF(D305&lt;='Method Controls'!$D$28,"PASS","FAIL")</x:f>
        <x:v>PASS</x:v>
      </x:c>
      <x:c r="K305" s="9" t="str">
        <x:f>IF(AND(E305&lt;='Method Controls'!$D$27,F305&lt;='Method Controls'!$D$28),"PASS","FAIL")</x:f>
        <x:v>PASS</x:v>
      </x:c>
      <x:c r="L305" s="9" t="str">
        <x:f>IF(AND(I305="PASS",J305="PASS",K305="PASS"),"PASS","FAIL")</x:f>
        <x:v>PASS</x:v>
      </x:c>
    </x:row>
    <x:row r="306">
      <x:c r="B306" s="9" t="n">
        <x:v>390</x:v>
      </x:c>
      <x:c r="C306" s="9" t="n">
        <x:f>COUNTIFS('Residual Schedule'!$C$7:$C$98,"Closure",'Residual Schedule'!$H$7:$H$98,"&lt;="&amp;B306,'Residual Schedule'!$I$7:$I$98,"&gt;"&amp;B306)</x:f>
        <x:v>0</x:v>
      </x:c>
      <x:c r="D306" s="9" t="n">
        <x:f>COUNTIFS('Residual Schedule'!$C$7:$C$98,"Damage",'Residual Schedule'!$H$7:$H$98,"&lt;="&amp;B306,'Residual Schedule'!$I$7:$I$98,"&gt;"&amp;B306)</x:f>
        <x:v>0</x:v>
      </x:c>
      <x:c r="E306" s="9" t="n">
        <x:f>COUNTIFS('Residual Schedule'!$C$7:$C$98,"Closure",'Residual Schedule'!$I$7:$I$98,"&lt;="&amp;B306,'Residual Schedule'!$J$7:$J$98,"&gt;"&amp;B306)</x:f>
        <x:v>0</x:v>
      </x:c>
      <x:c r="F306" s="9" t="n">
        <x:f>COUNTIFS('Residual Schedule'!$C$7:$C$98,"Damage",'Residual Schedule'!$I$7:$I$98,"&lt;="&amp;B306,'Residual Schedule'!$J$7:$J$98,"&gt;"&amp;B306)</x:f>
        <x:v>0</x:v>
      </x:c>
      <x:c r="G306" s="9" t="n">
        <x:f>COUNTIFS('Residual Schedule'!$C$7:$C$98,"Closure",'Residual Schedule'!$J$7:$J$98,"&lt;="&amp;B306)</x:f>
        <x:v>64</x:v>
      </x:c>
      <x:c r="H306" s="9" t="n">
        <x:f>COUNTIFS('Residual Schedule'!$C$7:$C$98,"Damage",'Residual Schedule'!$J$7:$J$98,"&lt;="&amp;B306)</x:f>
        <x:v>28</x:v>
      </x:c>
      <x:c r="I306" s="9" t="str">
        <x:f>IF(C306&lt;='Method Controls'!$D$27,"PASS","FAIL")</x:f>
        <x:v>PASS</x:v>
      </x:c>
      <x:c r="J306" s="9" t="str">
        <x:f>IF(D306&lt;='Method Controls'!$D$28,"PASS","FAIL")</x:f>
        <x:v>PASS</x:v>
      </x:c>
      <x:c r="K306" s="9" t="str">
        <x:f>IF(AND(E306&lt;='Method Controls'!$D$27,F306&lt;='Method Controls'!$D$28),"PASS","FAIL")</x:f>
        <x:v>PASS</x:v>
      </x:c>
      <x:c r="L306" s="9" t="str">
        <x:f>IF(AND(I306="PASS",J306="PASS",K306="PASS"),"PASS","FAIL")</x:f>
        <x:v>PASS</x:v>
      </x:c>
    </x:row>
    <x:row r="307">
      <x:c r="B307" s="9" t="n">
        <x:v>391</x:v>
      </x:c>
      <x:c r="C307" s="9" t="n">
        <x:f>COUNTIFS('Residual Schedule'!$C$7:$C$98,"Closure",'Residual Schedule'!$H$7:$H$98,"&lt;="&amp;B307,'Residual Schedule'!$I$7:$I$98,"&gt;"&amp;B307)</x:f>
        <x:v>0</x:v>
      </x:c>
      <x:c r="D307" s="9" t="n">
        <x:f>COUNTIFS('Residual Schedule'!$C$7:$C$98,"Damage",'Residual Schedule'!$H$7:$H$98,"&lt;="&amp;B307,'Residual Schedule'!$I$7:$I$98,"&gt;"&amp;B307)</x:f>
        <x:v>0</x:v>
      </x:c>
      <x:c r="E307" s="9" t="n">
        <x:f>COUNTIFS('Residual Schedule'!$C$7:$C$98,"Closure",'Residual Schedule'!$I$7:$I$98,"&lt;="&amp;B307,'Residual Schedule'!$J$7:$J$98,"&gt;"&amp;B307)</x:f>
        <x:v>0</x:v>
      </x:c>
      <x:c r="F307" s="9" t="n">
        <x:f>COUNTIFS('Residual Schedule'!$C$7:$C$98,"Damage",'Residual Schedule'!$I$7:$I$98,"&lt;="&amp;B307,'Residual Schedule'!$J$7:$J$98,"&gt;"&amp;B307)</x:f>
        <x:v>0</x:v>
      </x:c>
      <x:c r="G307" s="9" t="n">
        <x:f>COUNTIFS('Residual Schedule'!$C$7:$C$98,"Closure",'Residual Schedule'!$J$7:$J$98,"&lt;="&amp;B307)</x:f>
        <x:v>64</x:v>
      </x:c>
      <x:c r="H307" s="9" t="n">
        <x:f>COUNTIFS('Residual Schedule'!$C$7:$C$98,"Damage",'Residual Schedule'!$J$7:$J$98,"&lt;="&amp;B307)</x:f>
        <x:v>28</x:v>
      </x:c>
      <x:c r="I307" s="9" t="str">
        <x:f>IF(C307&lt;='Method Controls'!$D$27,"PASS","FAIL")</x:f>
        <x:v>PASS</x:v>
      </x:c>
      <x:c r="J307" s="9" t="str">
        <x:f>IF(D307&lt;='Method Controls'!$D$28,"PASS","FAIL")</x:f>
        <x:v>PASS</x:v>
      </x:c>
      <x:c r="K307" s="9" t="str">
        <x:f>IF(AND(E307&lt;='Method Controls'!$D$27,F307&lt;='Method Controls'!$D$28),"PASS","FAIL")</x:f>
        <x:v>PASS</x:v>
      </x:c>
      <x:c r="L307" s="9" t="str">
        <x:f>IF(AND(I307="PASS",J307="PASS",K307="PASS"),"PASS","FAIL")</x:f>
        <x:v>PASS</x:v>
      </x:c>
    </x:row>
    <x:row r="308">
      <x:c r="B308" s="9" t="n">
        <x:v>392</x:v>
      </x:c>
      <x:c r="C308" s="9" t="n">
        <x:f>COUNTIFS('Residual Schedule'!$C$7:$C$98,"Closure",'Residual Schedule'!$H$7:$H$98,"&lt;="&amp;B308,'Residual Schedule'!$I$7:$I$98,"&gt;"&amp;B308)</x:f>
        <x:v>0</x:v>
      </x:c>
      <x:c r="D308" s="9" t="n">
        <x:f>COUNTIFS('Residual Schedule'!$C$7:$C$98,"Damage",'Residual Schedule'!$H$7:$H$98,"&lt;="&amp;B308,'Residual Schedule'!$I$7:$I$98,"&gt;"&amp;B308)</x:f>
        <x:v>0</x:v>
      </x:c>
      <x:c r="E308" s="9" t="n">
        <x:f>COUNTIFS('Residual Schedule'!$C$7:$C$98,"Closure",'Residual Schedule'!$I$7:$I$98,"&lt;="&amp;B308,'Residual Schedule'!$J$7:$J$98,"&gt;"&amp;B308)</x:f>
        <x:v>0</x:v>
      </x:c>
      <x:c r="F308" s="9" t="n">
        <x:f>COUNTIFS('Residual Schedule'!$C$7:$C$98,"Damage",'Residual Schedule'!$I$7:$I$98,"&lt;="&amp;B308,'Residual Schedule'!$J$7:$J$98,"&gt;"&amp;B308)</x:f>
        <x:v>0</x:v>
      </x:c>
      <x:c r="G308" s="9" t="n">
        <x:f>COUNTIFS('Residual Schedule'!$C$7:$C$98,"Closure",'Residual Schedule'!$J$7:$J$98,"&lt;="&amp;B308)</x:f>
        <x:v>64</x:v>
      </x:c>
      <x:c r="H308" s="9" t="n">
        <x:f>COUNTIFS('Residual Schedule'!$C$7:$C$98,"Damage",'Residual Schedule'!$J$7:$J$98,"&lt;="&amp;B308)</x:f>
        <x:v>28</x:v>
      </x:c>
      <x:c r="I308" s="9" t="str">
        <x:f>IF(C308&lt;='Method Controls'!$D$27,"PASS","FAIL")</x:f>
        <x:v>PASS</x:v>
      </x:c>
      <x:c r="J308" s="9" t="str">
        <x:f>IF(D308&lt;='Method Controls'!$D$28,"PASS","FAIL")</x:f>
        <x:v>PASS</x:v>
      </x:c>
      <x:c r="K308" s="9" t="str">
        <x:f>IF(AND(E308&lt;='Method Controls'!$D$27,F308&lt;='Method Controls'!$D$28),"PASS","FAIL")</x:f>
        <x:v>PASS</x:v>
      </x:c>
      <x:c r="L308" s="9" t="str">
        <x:f>IF(AND(I308="PASS",J308="PASS",K308="PASS"),"PASS","FAIL")</x:f>
        <x:v>PASS</x:v>
      </x:c>
    </x:row>
    <x:row r="309">
      <x:c r="B309" s="9" t="n">
        <x:v>393</x:v>
      </x:c>
      <x:c r="C309" s="9" t="n">
        <x:f>COUNTIFS('Residual Schedule'!$C$7:$C$98,"Closure",'Residual Schedule'!$H$7:$H$98,"&lt;="&amp;B309,'Residual Schedule'!$I$7:$I$98,"&gt;"&amp;B309)</x:f>
        <x:v>0</x:v>
      </x:c>
      <x:c r="D309" s="9" t="n">
        <x:f>COUNTIFS('Residual Schedule'!$C$7:$C$98,"Damage",'Residual Schedule'!$H$7:$H$98,"&lt;="&amp;B309,'Residual Schedule'!$I$7:$I$98,"&gt;"&amp;B309)</x:f>
        <x:v>0</x:v>
      </x:c>
      <x:c r="E309" s="9" t="n">
        <x:f>COUNTIFS('Residual Schedule'!$C$7:$C$98,"Closure",'Residual Schedule'!$I$7:$I$98,"&lt;="&amp;B309,'Residual Schedule'!$J$7:$J$98,"&gt;"&amp;B309)</x:f>
        <x:v>0</x:v>
      </x:c>
      <x:c r="F309" s="9" t="n">
        <x:f>COUNTIFS('Residual Schedule'!$C$7:$C$98,"Damage",'Residual Schedule'!$I$7:$I$98,"&lt;="&amp;B309,'Residual Schedule'!$J$7:$J$98,"&gt;"&amp;B309)</x:f>
        <x:v>0</x:v>
      </x:c>
      <x:c r="G309" s="9" t="n">
        <x:f>COUNTIFS('Residual Schedule'!$C$7:$C$98,"Closure",'Residual Schedule'!$J$7:$J$98,"&lt;="&amp;B309)</x:f>
        <x:v>64</x:v>
      </x:c>
      <x:c r="H309" s="9" t="n">
        <x:f>COUNTIFS('Residual Schedule'!$C$7:$C$98,"Damage",'Residual Schedule'!$J$7:$J$98,"&lt;="&amp;B309)</x:f>
        <x:v>28</x:v>
      </x:c>
      <x:c r="I309" s="9" t="str">
        <x:f>IF(C309&lt;='Method Controls'!$D$27,"PASS","FAIL")</x:f>
        <x:v>PASS</x:v>
      </x:c>
      <x:c r="J309" s="9" t="str">
        <x:f>IF(D309&lt;='Method Controls'!$D$28,"PASS","FAIL")</x:f>
        <x:v>PASS</x:v>
      </x:c>
      <x:c r="K309" s="9" t="str">
        <x:f>IF(AND(E309&lt;='Method Controls'!$D$27,F309&lt;='Method Controls'!$D$28),"PASS","FAIL")</x:f>
        <x:v>PASS</x:v>
      </x:c>
      <x:c r="L309" s="9" t="str">
        <x:f>IF(AND(I309="PASS",J309="PASS",K309="PASS"),"PASS","FAIL")</x:f>
        <x:v>PASS</x:v>
      </x:c>
    </x:row>
    <x:row r="310">
      <x:c r="B310" s="9" t="n">
        <x:v>394</x:v>
      </x:c>
      <x:c r="C310" s="9" t="n">
        <x:f>COUNTIFS('Residual Schedule'!$C$7:$C$98,"Closure",'Residual Schedule'!$H$7:$H$98,"&lt;="&amp;B310,'Residual Schedule'!$I$7:$I$98,"&gt;"&amp;B310)</x:f>
        <x:v>0</x:v>
      </x:c>
      <x:c r="D310" s="9" t="n">
        <x:f>COUNTIFS('Residual Schedule'!$C$7:$C$98,"Damage",'Residual Schedule'!$H$7:$H$98,"&lt;="&amp;B310,'Residual Schedule'!$I$7:$I$98,"&gt;"&amp;B310)</x:f>
        <x:v>0</x:v>
      </x:c>
      <x:c r="E310" s="9" t="n">
        <x:f>COUNTIFS('Residual Schedule'!$C$7:$C$98,"Closure",'Residual Schedule'!$I$7:$I$98,"&lt;="&amp;B310,'Residual Schedule'!$J$7:$J$98,"&gt;"&amp;B310)</x:f>
        <x:v>0</x:v>
      </x:c>
      <x:c r="F310" s="9" t="n">
        <x:f>COUNTIFS('Residual Schedule'!$C$7:$C$98,"Damage",'Residual Schedule'!$I$7:$I$98,"&lt;="&amp;B310,'Residual Schedule'!$J$7:$J$98,"&gt;"&amp;B310)</x:f>
        <x:v>0</x:v>
      </x:c>
      <x:c r="G310" s="9" t="n">
        <x:f>COUNTIFS('Residual Schedule'!$C$7:$C$98,"Closure",'Residual Schedule'!$J$7:$J$98,"&lt;="&amp;B310)</x:f>
        <x:v>64</x:v>
      </x:c>
      <x:c r="H310" s="9" t="n">
        <x:f>COUNTIFS('Residual Schedule'!$C$7:$C$98,"Damage",'Residual Schedule'!$J$7:$J$98,"&lt;="&amp;B310)</x:f>
        <x:v>28</x:v>
      </x:c>
      <x:c r="I310" s="9" t="str">
        <x:f>IF(C310&lt;='Method Controls'!$D$27,"PASS","FAIL")</x:f>
        <x:v>PASS</x:v>
      </x:c>
      <x:c r="J310" s="9" t="str">
        <x:f>IF(D310&lt;='Method Controls'!$D$28,"PASS","FAIL")</x:f>
        <x:v>PASS</x:v>
      </x:c>
      <x:c r="K310" s="9" t="str">
        <x:f>IF(AND(E310&lt;='Method Controls'!$D$27,F310&lt;='Method Controls'!$D$28),"PASS","FAIL")</x:f>
        <x:v>PASS</x:v>
      </x:c>
      <x:c r="L310" s="9" t="str">
        <x:f>IF(AND(I310="PASS",J310="PASS",K310="PASS"),"PASS","FAIL")</x:f>
        <x:v>PASS</x:v>
      </x:c>
    </x:row>
    <x:row r="311">
      <x:c r="B311" s="9" t="n">
        <x:v>395</x:v>
      </x:c>
      <x:c r="C311" s="9" t="n">
        <x:f>COUNTIFS('Residual Schedule'!$C$7:$C$98,"Closure",'Residual Schedule'!$H$7:$H$98,"&lt;="&amp;B311,'Residual Schedule'!$I$7:$I$98,"&gt;"&amp;B311)</x:f>
        <x:v>0</x:v>
      </x:c>
      <x:c r="D311" s="9" t="n">
        <x:f>COUNTIFS('Residual Schedule'!$C$7:$C$98,"Damage",'Residual Schedule'!$H$7:$H$98,"&lt;="&amp;B311,'Residual Schedule'!$I$7:$I$98,"&gt;"&amp;B311)</x:f>
        <x:v>0</x:v>
      </x:c>
      <x:c r="E311" s="9" t="n">
        <x:f>COUNTIFS('Residual Schedule'!$C$7:$C$98,"Closure",'Residual Schedule'!$I$7:$I$98,"&lt;="&amp;B311,'Residual Schedule'!$J$7:$J$98,"&gt;"&amp;B311)</x:f>
        <x:v>0</x:v>
      </x:c>
      <x:c r="F311" s="9" t="n">
        <x:f>COUNTIFS('Residual Schedule'!$C$7:$C$98,"Damage",'Residual Schedule'!$I$7:$I$98,"&lt;="&amp;B311,'Residual Schedule'!$J$7:$J$98,"&gt;"&amp;B311)</x:f>
        <x:v>0</x:v>
      </x:c>
      <x:c r="G311" s="9" t="n">
        <x:f>COUNTIFS('Residual Schedule'!$C$7:$C$98,"Closure",'Residual Schedule'!$J$7:$J$98,"&lt;="&amp;B311)</x:f>
        <x:v>64</x:v>
      </x:c>
      <x:c r="H311" s="9" t="n">
        <x:f>COUNTIFS('Residual Schedule'!$C$7:$C$98,"Damage",'Residual Schedule'!$J$7:$J$98,"&lt;="&amp;B311)</x:f>
        <x:v>28</x:v>
      </x:c>
      <x:c r="I311" s="9" t="str">
        <x:f>IF(C311&lt;='Method Controls'!$D$27,"PASS","FAIL")</x:f>
        <x:v>PASS</x:v>
      </x:c>
      <x:c r="J311" s="9" t="str">
        <x:f>IF(D311&lt;='Method Controls'!$D$28,"PASS","FAIL")</x:f>
        <x:v>PASS</x:v>
      </x:c>
      <x:c r="K311" s="9" t="str">
        <x:f>IF(AND(E311&lt;='Method Controls'!$D$27,F311&lt;='Method Controls'!$D$28),"PASS","FAIL")</x:f>
        <x:v>PASS</x:v>
      </x:c>
      <x:c r="L311" s="9" t="str">
        <x:f>IF(AND(I311="PASS",J311="PASS",K311="PASS"),"PASS","FAIL")</x:f>
        <x:v>PASS</x:v>
      </x:c>
    </x:row>
    <x:row r="312">
      <x:c r="B312" s="9" t="n">
        <x:v>396</x:v>
      </x:c>
      <x:c r="C312" s="9" t="n">
        <x:f>COUNTIFS('Residual Schedule'!$C$7:$C$98,"Closure",'Residual Schedule'!$H$7:$H$98,"&lt;="&amp;B312,'Residual Schedule'!$I$7:$I$98,"&gt;"&amp;B312)</x:f>
        <x:v>0</x:v>
      </x:c>
      <x:c r="D312" s="9" t="n">
        <x:f>COUNTIFS('Residual Schedule'!$C$7:$C$98,"Damage",'Residual Schedule'!$H$7:$H$98,"&lt;="&amp;B312,'Residual Schedule'!$I$7:$I$98,"&gt;"&amp;B312)</x:f>
        <x:v>0</x:v>
      </x:c>
      <x:c r="E312" s="9" t="n">
        <x:f>COUNTIFS('Residual Schedule'!$C$7:$C$98,"Closure",'Residual Schedule'!$I$7:$I$98,"&lt;="&amp;B312,'Residual Schedule'!$J$7:$J$98,"&gt;"&amp;B312)</x:f>
        <x:v>0</x:v>
      </x:c>
      <x:c r="F312" s="9" t="n">
        <x:f>COUNTIFS('Residual Schedule'!$C$7:$C$98,"Damage",'Residual Schedule'!$I$7:$I$98,"&lt;="&amp;B312,'Residual Schedule'!$J$7:$J$98,"&gt;"&amp;B312)</x:f>
        <x:v>0</x:v>
      </x:c>
      <x:c r="G312" s="9" t="n">
        <x:f>COUNTIFS('Residual Schedule'!$C$7:$C$98,"Closure",'Residual Schedule'!$J$7:$J$98,"&lt;="&amp;B312)</x:f>
        <x:v>64</x:v>
      </x:c>
      <x:c r="H312" s="9" t="n">
        <x:f>COUNTIFS('Residual Schedule'!$C$7:$C$98,"Damage",'Residual Schedule'!$J$7:$J$98,"&lt;="&amp;B312)</x:f>
        <x:v>28</x:v>
      </x:c>
      <x:c r="I312" s="9" t="str">
        <x:f>IF(C312&lt;='Method Controls'!$D$27,"PASS","FAIL")</x:f>
        <x:v>PASS</x:v>
      </x:c>
      <x:c r="J312" s="9" t="str">
        <x:f>IF(D312&lt;='Method Controls'!$D$28,"PASS","FAIL")</x:f>
        <x:v>PASS</x:v>
      </x:c>
      <x:c r="K312" s="9" t="str">
        <x:f>IF(AND(E312&lt;='Method Controls'!$D$27,F312&lt;='Method Controls'!$D$28),"PASS","FAIL")</x:f>
        <x:v>PASS</x:v>
      </x:c>
      <x:c r="L312" s="9" t="str">
        <x:f>IF(AND(I312="PASS",J312="PASS",K312="PASS"),"PASS","FAIL")</x:f>
        <x:v>PASS</x:v>
      </x:c>
    </x:row>
    <x:row r="313">
      <x:c r="B313" s="9" t="n">
        <x:v>397</x:v>
      </x:c>
      <x:c r="C313" s="9" t="n">
        <x:f>COUNTIFS('Residual Schedule'!$C$7:$C$98,"Closure",'Residual Schedule'!$H$7:$H$98,"&lt;="&amp;B313,'Residual Schedule'!$I$7:$I$98,"&gt;"&amp;B313)</x:f>
        <x:v>0</x:v>
      </x:c>
      <x:c r="D313" s="9" t="n">
        <x:f>COUNTIFS('Residual Schedule'!$C$7:$C$98,"Damage",'Residual Schedule'!$H$7:$H$98,"&lt;="&amp;B313,'Residual Schedule'!$I$7:$I$98,"&gt;"&amp;B313)</x:f>
        <x:v>0</x:v>
      </x:c>
      <x:c r="E313" s="9" t="n">
        <x:f>COUNTIFS('Residual Schedule'!$C$7:$C$98,"Closure",'Residual Schedule'!$I$7:$I$98,"&lt;="&amp;B313,'Residual Schedule'!$J$7:$J$98,"&gt;"&amp;B313)</x:f>
        <x:v>0</x:v>
      </x:c>
      <x:c r="F313" s="9" t="n">
        <x:f>COUNTIFS('Residual Schedule'!$C$7:$C$98,"Damage",'Residual Schedule'!$I$7:$I$98,"&lt;="&amp;B313,'Residual Schedule'!$J$7:$J$98,"&gt;"&amp;B313)</x:f>
        <x:v>0</x:v>
      </x:c>
      <x:c r="G313" s="9" t="n">
        <x:f>COUNTIFS('Residual Schedule'!$C$7:$C$98,"Closure",'Residual Schedule'!$J$7:$J$98,"&lt;="&amp;B313)</x:f>
        <x:v>64</x:v>
      </x:c>
      <x:c r="H313" s="9" t="n">
        <x:f>COUNTIFS('Residual Schedule'!$C$7:$C$98,"Damage",'Residual Schedule'!$J$7:$J$98,"&lt;="&amp;B313)</x:f>
        <x:v>28</x:v>
      </x:c>
      <x:c r="I313" s="9" t="str">
        <x:f>IF(C313&lt;='Method Controls'!$D$27,"PASS","FAIL")</x:f>
        <x:v>PASS</x:v>
      </x:c>
      <x:c r="J313" s="9" t="str">
        <x:f>IF(D313&lt;='Method Controls'!$D$28,"PASS","FAIL")</x:f>
        <x:v>PASS</x:v>
      </x:c>
      <x:c r="K313" s="9" t="str">
        <x:f>IF(AND(E313&lt;='Method Controls'!$D$27,F313&lt;='Method Controls'!$D$28),"PASS","FAIL")</x:f>
        <x:v>PASS</x:v>
      </x:c>
      <x:c r="L313" s="9" t="str">
        <x:f>IF(AND(I313="PASS",J313="PASS",K313="PASS"),"PASS","FAIL")</x:f>
        <x:v>PASS</x:v>
      </x:c>
    </x:row>
    <x:row r="314">
      <x:c r="B314" s="9" t="n">
        <x:v>398</x:v>
      </x:c>
      <x:c r="C314" s="9" t="n">
        <x:f>COUNTIFS('Residual Schedule'!$C$7:$C$98,"Closure",'Residual Schedule'!$H$7:$H$98,"&lt;="&amp;B314,'Residual Schedule'!$I$7:$I$98,"&gt;"&amp;B314)</x:f>
        <x:v>0</x:v>
      </x:c>
      <x:c r="D314" s="9" t="n">
        <x:f>COUNTIFS('Residual Schedule'!$C$7:$C$98,"Damage",'Residual Schedule'!$H$7:$H$98,"&lt;="&amp;B314,'Residual Schedule'!$I$7:$I$98,"&gt;"&amp;B314)</x:f>
        <x:v>0</x:v>
      </x:c>
      <x:c r="E314" s="9" t="n">
        <x:f>COUNTIFS('Residual Schedule'!$C$7:$C$98,"Closure",'Residual Schedule'!$I$7:$I$98,"&lt;="&amp;B314,'Residual Schedule'!$J$7:$J$98,"&gt;"&amp;B314)</x:f>
        <x:v>0</x:v>
      </x:c>
      <x:c r="F314" s="9" t="n">
        <x:f>COUNTIFS('Residual Schedule'!$C$7:$C$98,"Damage",'Residual Schedule'!$I$7:$I$98,"&lt;="&amp;B314,'Residual Schedule'!$J$7:$J$98,"&gt;"&amp;B314)</x:f>
        <x:v>0</x:v>
      </x:c>
      <x:c r="G314" s="9" t="n">
        <x:f>COUNTIFS('Residual Schedule'!$C$7:$C$98,"Closure",'Residual Schedule'!$J$7:$J$98,"&lt;="&amp;B314)</x:f>
        <x:v>64</x:v>
      </x:c>
      <x:c r="H314" s="9" t="n">
        <x:f>COUNTIFS('Residual Schedule'!$C$7:$C$98,"Damage",'Residual Schedule'!$J$7:$J$98,"&lt;="&amp;B314)</x:f>
        <x:v>28</x:v>
      </x:c>
      <x:c r="I314" s="9" t="str">
        <x:f>IF(C314&lt;='Method Controls'!$D$27,"PASS","FAIL")</x:f>
        <x:v>PASS</x:v>
      </x:c>
      <x:c r="J314" s="9" t="str">
        <x:f>IF(D314&lt;='Method Controls'!$D$28,"PASS","FAIL")</x:f>
        <x:v>PASS</x:v>
      </x:c>
      <x:c r="K314" s="9" t="str">
        <x:f>IF(AND(E314&lt;='Method Controls'!$D$27,F314&lt;='Method Controls'!$D$28),"PASS","FAIL")</x:f>
        <x:v>PASS</x:v>
      </x:c>
      <x:c r="L314" s="9" t="str">
        <x:f>IF(AND(I314="PASS",J314="PASS",K314="PASS"),"PASS","FAIL")</x:f>
        <x:v>PASS</x:v>
      </x:c>
    </x:row>
    <x:row r="315">
      <x:c r="B315" s="9" t="n">
        <x:v>399</x:v>
      </x:c>
      <x:c r="C315" s="9" t="n">
        <x:f>COUNTIFS('Residual Schedule'!$C$7:$C$98,"Closure",'Residual Schedule'!$H$7:$H$98,"&lt;="&amp;B315,'Residual Schedule'!$I$7:$I$98,"&gt;"&amp;B315)</x:f>
        <x:v>0</x:v>
      </x:c>
      <x:c r="D315" s="9" t="n">
        <x:f>COUNTIFS('Residual Schedule'!$C$7:$C$98,"Damage",'Residual Schedule'!$H$7:$H$98,"&lt;="&amp;B315,'Residual Schedule'!$I$7:$I$98,"&gt;"&amp;B315)</x:f>
        <x:v>0</x:v>
      </x:c>
      <x:c r="E315" s="9" t="n">
        <x:f>COUNTIFS('Residual Schedule'!$C$7:$C$98,"Closure",'Residual Schedule'!$I$7:$I$98,"&lt;="&amp;B315,'Residual Schedule'!$J$7:$J$98,"&gt;"&amp;B315)</x:f>
        <x:v>0</x:v>
      </x:c>
      <x:c r="F315" s="9" t="n">
        <x:f>COUNTIFS('Residual Schedule'!$C$7:$C$98,"Damage",'Residual Schedule'!$I$7:$I$98,"&lt;="&amp;B315,'Residual Schedule'!$J$7:$J$98,"&gt;"&amp;B315)</x:f>
        <x:v>0</x:v>
      </x:c>
      <x:c r="G315" s="9" t="n">
        <x:f>COUNTIFS('Residual Schedule'!$C$7:$C$98,"Closure",'Residual Schedule'!$J$7:$J$98,"&lt;="&amp;B315)</x:f>
        <x:v>64</x:v>
      </x:c>
      <x:c r="H315" s="9" t="n">
        <x:f>COUNTIFS('Residual Schedule'!$C$7:$C$98,"Damage",'Residual Schedule'!$J$7:$J$98,"&lt;="&amp;B315)</x:f>
        <x:v>28</x:v>
      </x:c>
      <x:c r="I315" s="9" t="str">
        <x:f>IF(C315&lt;='Method Controls'!$D$27,"PASS","FAIL")</x:f>
        <x:v>PASS</x:v>
      </x:c>
      <x:c r="J315" s="9" t="str">
        <x:f>IF(D315&lt;='Method Controls'!$D$28,"PASS","FAIL")</x:f>
        <x:v>PASS</x:v>
      </x:c>
      <x:c r="K315" s="9" t="str">
        <x:f>IF(AND(E315&lt;='Method Controls'!$D$27,F315&lt;='Method Controls'!$D$28),"PASS","FAIL")</x:f>
        <x:v>PASS</x:v>
      </x:c>
      <x:c r="L315" s="9" t="str">
        <x:f>IF(AND(I315="PASS",J315="PASS",K315="PASS"),"PASS","FAIL")</x:f>
        <x:v>PASS</x:v>
      </x:c>
    </x:row>
    <x:row r="316">
      <x:c r="B316" s="9" t="n">
        <x:v>400</x:v>
      </x:c>
      <x:c r="C316" s="9" t="n">
        <x:f>COUNTIFS('Residual Schedule'!$C$7:$C$98,"Closure",'Residual Schedule'!$H$7:$H$98,"&lt;="&amp;B316,'Residual Schedule'!$I$7:$I$98,"&gt;"&amp;B316)</x:f>
        <x:v>0</x:v>
      </x:c>
      <x:c r="D316" s="9" t="n">
        <x:f>COUNTIFS('Residual Schedule'!$C$7:$C$98,"Damage",'Residual Schedule'!$H$7:$H$98,"&lt;="&amp;B316,'Residual Schedule'!$I$7:$I$98,"&gt;"&amp;B316)</x:f>
        <x:v>0</x:v>
      </x:c>
      <x:c r="E316" s="9" t="n">
        <x:f>COUNTIFS('Residual Schedule'!$C$7:$C$98,"Closure",'Residual Schedule'!$I$7:$I$98,"&lt;="&amp;B316,'Residual Schedule'!$J$7:$J$98,"&gt;"&amp;B316)</x:f>
        <x:v>0</x:v>
      </x:c>
      <x:c r="F316" s="9" t="n">
        <x:f>COUNTIFS('Residual Schedule'!$C$7:$C$98,"Damage",'Residual Schedule'!$I$7:$I$98,"&lt;="&amp;B316,'Residual Schedule'!$J$7:$J$98,"&gt;"&amp;B316)</x:f>
        <x:v>0</x:v>
      </x:c>
      <x:c r="G316" s="9" t="n">
        <x:f>COUNTIFS('Residual Schedule'!$C$7:$C$98,"Closure",'Residual Schedule'!$J$7:$J$98,"&lt;="&amp;B316)</x:f>
        <x:v>64</x:v>
      </x:c>
      <x:c r="H316" s="9" t="n">
        <x:f>COUNTIFS('Residual Schedule'!$C$7:$C$98,"Damage",'Residual Schedule'!$J$7:$J$98,"&lt;="&amp;B316)</x:f>
        <x:v>28</x:v>
      </x:c>
      <x:c r="I316" s="9" t="str">
        <x:f>IF(C316&lt;='Method Controls'!$D$27,"PASS","FAIL")</x:f>
        <x:v>PASS</x:v>
      </x:c>
      <x:c r="J316" s="9" t="str">
        <x:f>IF(D316&lt;='Method Controls'!$D$28,"PASS","FAIL")</x:f>
        <x:v>PASS</x:v>
      </x:c>
      <x:c r="K316" s="9" t="str">
        <x:f>IF(AND(E316&lt;='Method Controls'!$D$27,F316&lt;='Method Controls'!$D$28),"PASS","FAIL")</x:f>
        <x:v>PASS</x:v>
      </x:c>
      <x:c r="L316" s="9" t="str">
        <x:f>IF(AND(I316="PASS",J316="PASS",K316="PASS"),"PASS","FAIL")</x:f>
        <x:v>PASS</x:v>
      </x:c>
    </x:row>
    <x:row r="317">
      <x:c r="B317" s="9" t="n">
        <x:v>401</x:v>
      </x:c>
      <x:c r="C317" s="9" t="n">
        <x:f>COUNTIFS('Residual Schedule'!$C$7:$C$98,"Closure",'Residual Schedule'!$H$7:$H$98,"&lt;="&amp;B317,'Residual Schedule'!$I$7:$I$98,"&gt;"&amp;B317)</x:f>
        <x:v>0</x:v>
      </x:c>
      <x:c r="D317" s="9" t="n">
        <x:f>COUNTIFS('Residual Schedule'!$C$7:$C$98,"Damage",'Residual Schedule'!$H$7:$H$98,"&lt;="&amp;B317,'Residual Schedule'!$I$7:$I$98,"&gt;"&amp;B317)</x:f>
        <x:v>0</x:v>
      </x:c>
      <x:c r="E317" s="9" t="n">
        <x:f>COUNTIFS('Residual Schedule'!$C$7:$C$98,"Closure",'Residual Schedule'!$I$7:$I$98,"&lt;="&amp;B317,'Residual Schedule'!$J$7:$J$98,"&gt;"&amp;B317)</x:f>
        <x:v>0</x:v>
      </x:c>
      <x:c r="F317" s="9" t="n">
        <x:f>COUNTIFS('Residual Schedule'!$C$7:$C$98,"Damage",'Residual Schedule'!$I$7:$I$98,"&lt;="&amp;B317,'Residual Schedule'!$J$7:$J$98,"&gt;"&amp;B317)</x:f>
        <x:v>0</x:v>
      </x:c>
      <x:c r="G317" s="9" t="n">
        <x:f>COUNTIFS('Residual Schedule'!$C$7:$C$98,"Closure",'Residual Schedule'!$J$7:$J$98,"&lt;="&amp;B317)</x:f>
        <x:v>64</x:v>
      </x:c>
      <x:c r="H317" s="9" t="n">
        <x:f>COUNTIFS('Residual Schedule'!$C$7:$C$98,"Damage",'Residual Schedule'!$J$7:$J$98,"&lt;="&amp;B317)</x:f>
        <x:v>28</x:v>
      </x:c>
      <x:c r="I317" s="9" t="str">
        <x:f>IF(C317&lt;='Method Controls'!$D$27,"PASS","FAIL")</x:f>
        <x:v>PASS</x:v>
      </x:c>
      <x:c r="J317" s="9" t="str">
        <x:f>IF(D317&lt;='Method Controls'!$D$28,"PASS","FAIL")</x:f>
        <x:v>PASS</x:v>
      </x:c>
      <x:c r="K317" s="9" t="str">
        <x:f>IF(AND(E317&lt;='Method Controls'!$D$27,F317&lt;='Method Controls'!$D$28),"PASS","FAIL")</x:f>
        <x:v>PASS</x:v>
      </x:c>
      <x:c r="L317" s="9" t="str">
        <x:f>IF(AND(I317="PASS",J317="PASS",K317="PASS"),"PASS","FAIL")</x:f>
        <x:v>PASS</x:v>
      </x:c>
    </x:row>
    <x:row r="318">
      <x:c r="B318" s="9" t="n">
        <x:v>402</x:v>
      </x:c>
      <x:c r="C318" s="9" t="n">
        <x:f>COUNTIFS('Residual Schedule'!$C$7:$C$98,"Closure",'Residual Schedule'!$H$7:$H$98,"&lt;="&amp;B318,'Residual Schedule'!$I$7:$I$98,"&gt;"&amp;B318)</x:f>
        <x:v>0</x:v>
      </x:c>
      <x:c r="D318" s="9" t="n">
        <x:f>COUNTIFS('Residual Schedule'!$C$7:$C$98,"Damage",'Residual Schedule'!$H$7:$H$98,"&lt;="&amp;B318,'Residual Schedule'!$I$7:$I$98,"&gt;"&amp;B318)</x:f>
        <x:v>0</x:v>
      </x:c>
      <x:c r="E318" s="9" t="n">
        <x:f>COUNTIFS('Residual Schedule'!$C$7:$C$98,"Closure",'Residual Schedule'!$I$7:$I$98,"&lt;="&amp;B318,'Residual Schedule'!$J$7:$J$98,"&gt;"&amp;B318)</x:f>
        <x:v>0</x:v>
      </x:c>
      <x:c r="F318" s="9" t="n">
        <x:f>COUNTIFS('Residual Schedule'!$C$7:$C$98,"Damage",'Residual Schedule'!$I$7:$I$98,"&lt;="&amp;B318,'Residual Schedule'!$J$7:$J$98,"&gt;"&amp;B318)</x:f>
        <x:v>0</x:v>
      </x:c>
      <x:c r="G318" s="9" t="n">
        <x:f>COUNTIFS('Residual Schedule'!$C$7:$C$98,"Closure",'Residual Schedule'!$J$7:$J$98,"&lt;="&amp;B318)</x:f>
        <x:v>64</x:v>
      </x:c>
      <x:c r="H318" s="9" t="n">
        <x:f>COUNTIFS('Residual Schedule'!$C$7:$C$98,"Damage",'Residual Schedule'!$J$7:$J$98,"&lt;="&amp;B318)</x:f>
        <x:v>28</x:v>
      </x:c>
      <x:c r="I318" s="9" t="str">
        <x:f>IF(C318&lt;='Method Controls'!$D$27,"PASS","FAIL")</x:f>
        <x:v>PASS</x:v>
      </x:c>
      <x:c r="J318" s="9" t="str">
        <x:f>IF(D318&lt;='Method Controls'!$D$28,"PASS","FAIL")</x:f>
        <x:v>PASS</x:v>
      </x:c>
      <x:c r="K318" s="9" t="str">
        <x:f>IF(AND(E318&lt;='Method Controls'!$D$27,F318&lt;='Method Controls'!$D$28),"PASS","FAIL")</x:f>
        <x:v>PASS</x:v>
      </x:c>
      <x:c r="L318" s="9" t="str">
        <x:f>IF(AND(I318="PASS",J318="PASS",K318="PASS"),"PASS","FAIL")</x:f>
        <x:v>PASS</x:v>
      </x:c>
    </x:row>
    <x:row r="319">
      <x:c r="B319" s="9" t="n">
        <x:v>403</x:v>
      </x:c>
      <x:c r="C319" s="9" t="n">
        <x:f>COUNTIFS('Residual Schedule'!$C$7:$C$98,"Closure",'Residual Schedule'!$H$7:$H$98,"&lt;="&amp;B319,'Residual Schedule'!$I$7:$I$98,"&gt;"&amp;B319)</x:f>
        <x:v>0</x:v>
      </x:c>
      <x:c r="D319" s="9" t="n">
        <x:f>COUNTIFS('Residual Schedule'!$C$7:$C$98,"Damage",'Residual Schedule'!$H$7:$H$98,"&lt;="&amp;B319,'Residual Schedule'!$I$7:$I$98,"&gt;"&amp;B319)</x:f>
        <x:v>0</x:v>
      </x:c>
      <x:c r="E319" s="9" t="n">
        <x:f>COUNTIFS('Residual Schedule'!$C$7:$C$98,"Closure",'Residual Schedule'!$I$7:$I$98,"&lt;="&amp;B319,'Residual Schedule'!$J$7:$J$98,"&gt;"&amp;B319)</x:f>
        <x:v>0</x:v>
      </x:c>
      <x:c r="F319" s="9" t="n">
        <x:f>COUNTIFS('Residual Schedule'!$C$7:$C$98,"Damage",'Residual Schedule'!$I$7:$I$98,"&lt;="&amp;B319,'Residual Schedule'!$J$7:$J$98,"&gt;"&amp;B319)</x:f>
        <x:v>0</x:v>
      </x:c>
      <x:c r="G319" s="9" t="n">
        <x:f>COUNTIFS('Residual Schedule'!$C$7:$C$98,"Closure",'Residual Schedule'!$J$7:$J$98,"&lt;="&amp;B319)</x:f>
        <x:v>64</x:v>
      </x:c>
      <x:c r="H319" s="9" t="n">
        <x:f>COUNTIFS('Residual Schedule'!$C$7:$C$98,"Damage",'Residual Schedule'!$J$7:$J$98,"&lt;="&amp;B319)</x:f>
        <x:v>28</x:v>
      </x:c>
      <x:c r="I319" s="9" t="str">
        <x:f>IF(C319&lt;='Method Controls'!$D$27,"PASS","FAIL")</x:f>
        <x:v>PASS</x:v>
      </x:c>
      <x:c r="J319" s="9" t="str">
        <x:f>IF(D319&lt;='Method Controls'!$D$28,"PASS","FAIL")</x:f>
        <x:v>PASS</x:v>
      </x:c>
      <x:c r="K319" s="9" t="str">
        <x:f>IF(AND(E319&lt;='Method Controls'!$D$27,F319&lt;='Method Controls'!$D$28),"PASS","FAIL")</x:f>
        <x:v>PASS</x:v>
      </x:c>
      <x:c r="L319" s="9" t="str">
        <x:f>IF(AND(I319="PASS",J319="PASS",K319="PASS"),"PASS","FAIL")</x:f>
        <x:v>PASS</x:v>
      </x:c>
    </x:row>
    <x:row r="320">
      <x:c r="B320" s="9" t="n">
        <x:v>404</x:v>
      </x:c>
      <x:c r="C320" s="9" t="n">
        <x:f>COUNTIFS('Residual Schedule'!$C$7:$C$98,"Closure",'Residual Schedule'!$H$7:$H$98,"&lt;="&amp;B320,'Residual Schedule'!$I$7:$I$98,"&gt;"&amp;B320)</x:f>
        <x:v>0</x:v>
      </x:c>
      <x:c r="D320" s="9" t="n">
        <x:f>COUNTIFS('Residual Schedule'!$C$7:$C$98,"Damage",'Residual Schedule'!$H$7:$H$98,"&lt;="&amp;B320,'Residual Schedule'!$I$7:$I$98,"&gt;"&amp;B320)</x:f>
        <x:v>0</x:v>
      </x:c>
      <x:c r="E320" s="9" t="n">
        <x:f>COUNTIFS('Residual Schedule'!$C$7:$C$98,"Closure",'Residual Schedule'!$I$7:$I$98,"&lt;="&amp;B320,'Residual Schedule'!$J$7:$J$98,"&gt;"&amp;B320)</x:f>
        <x:v>0</x:v>
      </x:c>
      <x:c r="F320" s="9" t="n">
        <x:f>COUNTIFS('Residual Schedule'!$C$7:$C$98,"Damage",'Residual Schedule'!$I$7:$I$98,"&lt;="&amp;B320,'Residual Schedule'!$J$7:$J$98,"&gt;"&amp;B320)</x:f>
        <x:v>0</x:v>
      </x:c>
      <x:c r="G320" s="9" t="n">
        <x:f>COUNTIFS('Residual Schedule'!$C$7:$C$98,"Closure",'Residual Schedule'!$J$7:$J$98,"&lt;="&amp;B320)</x:f>
        <x:v>64</x:v>
      </x:c>
      <x:c r="H320" s="9" t="n">
        <x:f>COUNTIFS('Residual Schedule'!$C$7:$C$98,"Damage",'Residual Schedule'!$J$7:$J$98,"&lt;="&amp;B320)</x:f>
        <x:v>28</x:v>
      </x:c>
      <x:c r="I320" s="9" t="str">
        <x:f>IF(C320&lt;='Method Controls'!$D$27,"PASS","FAIL")</x:f>
        <x:v>PASS</x:v>
      </x:c>
      <x:c r="J320" s="9" t="str">
        <x:f>IF(D320&lt;='Method Controls'!$D$28,"PASS","FAIL")</x:f>
        <x:v>PASS</x:v>
      </x:c>
      <x:c r="K320" s="9" t="str">
        <x:f>IF(AND(E320&lt;='Method Controls'!$D$27,F320&lt;='Method Controls'!$D$28),"PASS","FAIL")</x:f>
        <x:v>PASS</x:v>
      </x:c>
      <x:c r="L320" s="9" t="str">
        <x:f>IF(AND(I320="PASS",J320="PASS",K320="PASS"),"PASS","FAIL")</x:f>
        <x:v>PASS</x:v>
      </x:c>
    </x:row>
    <x:row r="321">
      <x:c r="B321" s="9" t="n">
        <x:v>405</x:v>
      </x:c>
      <x:c r="C321" s="9" t="n">
        <x:f>COUNTIFS('Residual Schedule'!$C$7:$C$98,"Closure",'Residual Schedule'!$H$7:$H$98,"&lt;="&amp;B321,'Residual Schedule'!$I$7:$I$98,"&gt;"&amp;B321)</x:f>
        <x:v>0</x:v>
      </x:c>
      <x:c r="D321" s="9" t="n">
        <x:f>COUNTIFS('Residual Schedule'!$C$7:$C$98,"Damage",'Residual Schedule'!$H$7:$H$98,"&lt;="&amp;B321,'Residual Schedule'!$I$7:$I$98,"&gt;"&amp;B321)</x:f>
        <x:v>0</x:v>
      </x:c>
      <x:c r="E321" s="9" t="n">
        <x:f>COUNTIFS('Residual Schedule'!$C$7:$C$98,"Closure",'Residual Schedule'!$I$7:$I$98,"&lt;="&amp;B321,'Residual Schedule'!$J$7:$J$98,"&gt;"&amp;B321)</x:f>
        <x:v>0</x:v>
      </x:c>
      <x:c r="F321" s="9" t="n">
        <x:f>COUNTIFS('Residual Schedule'!$C$7:$C$98,"Damage",'Residual Schedule'!$I$7:$I$98,"&lt;="&amp;B321,'Residual Schedule'!$J$7:$J$98,"&gt;"&amp;B321)</x:f>
        <x:v>0</x:v>
      </x:c>
      <x:c r="G321" s="9" t="n">
        <x:f>COUNTIFS('Residual Schedule'!$C$7:$C$98,"Closure",'Residual Schedule'!$J$7:$J$98,"&lt;="&amp;B321)</x:f>
        <x:v>64</x:v>
      </x:c>
      <x:c r="H321" s="9" t="n">
        <x:f>COUNTIFS('Residual Schedule'!$C$7:$C$98,"Damage",'Residual Schedule'!$J$7:$J$98,"&lt;="&amp;B321)</x:f>
        <x:v>28</x:v>
      </x:c>
      <x:c r="I321" s="9" t="str">
        <x:f>IF(C321&lt;='Method Controls'!$D$27,"PASS","FAIL")</x:f>
        <x:v>PASS</x:v>
      </x:c>
      <x:c r="J321" s="9" t="str">
        <x:f>IF(D321&lt;='Method Controls'!$D$28,"PASS","FAIL")</x:f>
        <x:v>PASS</x:v>
      </x:c>
      <x:c r="K321" s="9" t="str">
        <x:f>IF(AND(E321&lt;='Method Controls'!$D$27,F321&lt;='Method Controls'!$D$28),"PASS","FAIL")</x:f>
        <x:v>PASS</x:v>
      </x:c>
      <x:c r="L321" s="9" t="str">
        <x:f>IF(AND(I321="PASS",J321="PASS",K321="PASS"),"PASS","FAIL")</x:f>
        <x:v>PASS</x:v>
      </x:c>
    </x:row>
    <x:row r="322">
      <x:c r="B322" s="9" t="n">
        <x:v>406</x:v>
      </x:c>
      <x:c r="C322" s="9" t="n">
        <x:f>COUNTIFS('Residual Schedule'!$C$7:$C$98,"Closure",'Residual Schedule'!$H$7:$H$98,"&lt;="&amp;B322,'Residual Schedule'!$I$7:$I$98,"&gt;"&amp;B322)</x:f>
        <x:v>0</x:v>
      </x:c>
      <x:c r="D322" s="9" t="n">
        <x:f>COUNTIFS('Residual Schedule'!$C$7:$C$98,"Damage",'Residual Schedule'!$H$7:$H$98,"&lt;="&amp;B322,'Residual Schedule'!$I$7:$I$98,"&gt;"&amp;B322)</x:f>
        <x:v>0</x:v>
      </x:c>
      <x:c r="E322" s="9" t="n">
        <x:f>COUNTIFS('Residual Schedule'!$C$7:$C$98,"Closure",'Residual Schedule'!$I$7:$I$98,"&lt;="&amp;B322,'Residual Schedule'!$J$7:$J$98,"&gt;"&amp;B322)</x:f>
        <x:v>0</x:v>
      </x:c>
      <x:c r="F322" s="9" t="n">
        <x:f>COUNTIFS('Residual Schedule'!$C$7:$C$98,"Damage",'Residual Schedule'!$I$7:$I$98,"&lt;="&amp;B322,'Residual Schedule'!$J$7:$J$98,"&gt;"&amp;B322)</x:f>
        <x:v>0</x:v>
      </x:c>
      <x:c r="G322" s="9" t="n">
        <x:f>COUNTIFS('Residual Schedule'!$C$7:$C$98,"Closure",'Residual Schedule'!$J$7:$J$98,"&lt;="&amp;B322)</x:f>
        <x:v>64</x:v>
      </x:c>
      <x:c r="H322" s="9" t="n">
        <x:f>COUNTIFS('Residual Schedule'!$C$7:$C$98,"Damage",'Residual Schedule'!$J$7:$J$98,"&lt;="&amp;B322)</x:f>
        <x:v>28</x:v>
      </x:c>
      <x:c r="I322" s="9" t="str">
        <x:f>IF(C322&lt;='Method Controls'!$D$27,"PASS","FAIL")</x:f>
        <x:v>PASS</x:v>
      </x:c>
      <x:c r="J322" s="9" t="str">
        <x:f>IF(D322&lt;='Method Controls'!$D$28,"PASS","FAIL")</x:f>
        <x:v>PASS</x:v>
      </x:c>
      <x:c r="K322" s="9" t="str">
        <x:f>IF(AND(E322&lt;='Method Controls'!$D$27,F322&lt;='Method Controls'!$D$28),"PASS","FAIL")</x:f>
        <x:v>PASS</x:v>
      </x:c>
      <x:c r="L322" s="9" t="str">
        <x:f>IF(AND(I322="PASS",J322="PASS",K322="PASS"),"PASS","FAIL")</x:f>
        <x:v>PASS</x:v>
      </x:c>
    </x:row>
    <x:row r="323">
      <x:c r="B323" s="9" t="n">
        <x:v>407</x:v>
      </x:c>
      <x:c r="C323" s="9" t="n">
        <x:f>COUNTIFS('Residual Schedule'!$C$7:$C$98,"Closure",'Residual Schedule'!$H$7:$H$98,"&lt;="&amp;B323,'Residual Schedule'!$I$7:$I$98,"&gt;"&amp;B323)</x:f>
        <x:v>0</x:v>
      </x:c>
      <x:c r="D323" s="9" t="n">
        <x:f>COUNTIFS('Residual Schedule'!$C$7:$C$98,"Damage",'Residual Schedule'!$H$7:$H$98,"&lt;="&amp;B323,'Residual Schedule'!$I$7:$I$98,"&gt;"&amp;B323)</x:f>
        <x:v>0</x:v>
      </x:c>
      <x:c r="E323" s="9" t="n">
        <x:f>COUNTIFS('Residual Schedule'!$C$7:$C$98,"Closure",'Residual Schedule'!$I$7:$I$98,"&lt;="&amp;B323,'Residual Schedule'!$J$7:$J$98,"&gt;"&amp;B323)</x:f>
        <x:v>0</x:v>
      </x:c>
      <x:c r="F323" s="9" t="n">
        <x:f>COUNTIFS('Residual Schedule'!$C$7:$C$98,"Damage",'Residual Schedule'!$I$7:$I$98,"&lt;="&amp;B323,'Residual Schedule'!$J$7:$J$98,"&gt;"&amp;B323)</x:f>
        <x:v>0</x:v>
      </x:c>
      <x:c r="G323" s="9" t="n">
        <x:f>COUNTIFS('Residual Schedule'!$C$7:$C$98,"Closure",'Residual Schedule'!$J$7:$J$98,"&lt;="&amp;B323)</x:f>
        <x:v>64</x:v>
      </x:c>
      <x:c r="H323" s="9" t="n">
        <x:f>COUNTIFS('Residual Schedule'!$C$7:$C$98,"Damage",'Residual Schedule'!$J$7:$J$98,"&lt;="&amp;B323)</x:f>
        <x:v>28</x:v>
      </x:c>
      <x:c r="I323" s="9" t="str">
        <x:f>IF(C323&lt;='Method Controls'!$D$27,"PASS","FAIL")</x:f>
        <x:v>PASS</x:v>
      </x:c>
      <x:c r="J323" s="9" t="str">
        <x:f>IF(D323&lt;='Method Controls'!$D$28,"PASS","FAIL")</x:f>
        <x:v>PASS</x:v>
      </x:c>
      <x:c r="K323" s="9" t="str">
        <x:f>IF(AND(E323&lt;='Method Controls'!$D$27,F323&lt;='Method Controls'!$D$28),"PASS","FAIL")</x:f>
        <x:v>PASS</x:v>
      </x:c>
      <x:c r="L323" s="9" t="str">
        <x:f>IF(AND(I323="PASS",J323="PASS",K323="PASS"),"PASS","FAIL")</x:f>
        <x:v>PASS</x:v>
      </x:c>
    </x:row>
    <x:row r="324">
      <x:c r="B324" s="9" t="n">
        <x:v>408</x:v>
      </x:c>
      <x:c r="C324" s="9" t="n">
        <x:f>COUNTIFS('Residual Schedule'!$C$7:$C$98,"Closure",'Residual Schedule'!$H$7:$H$98,"&lt;="&amp;B324,'Residual Schedule'!$I$7:$I$98,"&gt;"&amp;B324)</x:f>
        <x:v>0</x:v>
      </x:c>
      <x:c r="D324" s="9" t="n">
        <x:f>COUNTIFS('Residual Schedule'!$C$7:$C$98,"Damage",'Residual Schedule'!$H$7:$H$98,"&lt;="&amp;B324,'Residual Schedule'!$I$7:$I$98,"&gt;"&amp;B324)</x:f>
        <x:v>0</x:v>
      </x:c>
      <x:c r="E324" s="9" t="n">
        <x:f>COUNTIFS('Residual Schedule'!$C$7:$C$98,"Closure",'Residual Schedule'!$I$7:$I$98,"&lt;="&amp;B324,'Residual Schedule'!$J$7:$J$98,"&gt;"&amp;B324)</x:f>
        <x:v>0</x:v>
      </x:c>
      <x:c r="F324" s="9" t="n">
        <x:f>COUNTIFS('Residual Schedule'!$C$7:$C$98,"Damage",'Residual Schedule'!$I$7:$I$98,"&lt;="&amp;B324,'Residual Schedule'!$J$7:$J$98,"&gt;"&amp;B324)</x:f>
        <x:v>0</x:v>
      </x:c>
      <x:c r="G324" s="9" t="n">
        <x:f>COUNTIFS('Residual Schedule'!$C$7:$C$98,"Closure",'Residual Schedule'!$J$7:$J$98,"&lt;="&amp;B324)</x:f>
        <x:v>64</x:v>
      </x:c>
      <x:c r="H324" s="9" t="n">
        <x:f>COUNTIFS('Residual Schedule'!$C$7:$C$98,"Damage",'Residual Schedule'!$J$7:$J$98,"&lt;="&amp;B324)</x:f>
        <x:v>28</x:v>
      </x:c>
      <x:c r="I324" s="9" t="str">
        <x:f>IF(C324&lt;='Method Controls'!$D$27,"PASS","FAIL")</x:f>
        <x:v>PASS</x:v>
      </x:c>
      <x:c r="J324" s="9" t="str">
        <x:f>IF(D324&lt;='Method Controls'!$D$28,"PASS","FAIL")</x:f>
        <x:v>PASS</x:v>
      </x:c>
      <x:c r="K324" s="9" t="str">
        <x:f>IF(AND(E324&lt;='Method Controls'!$D$27,F324&lt;='Method Controls'!$D$28),"PASS","FAIL")</x:f>
        <x:v>PASS</x:v>
      </x:c>
      <x:c r="L324" s="9" t="str">
        <x:f>IF(AND(I324="PASS",J324="PASS",K324="PASS"),"PASS","FAIL")</x:f>
        <x:v>PASS</x:v>
      </x:c>
    </x:row>
    <x:row r="325">
      <x:c r="B325" s="9" t="n">
        <x:v>409</x:v>
      </x:c>
      <x:c r="C325" s="9" t="n">
        <x:f>COUNTIFS('Residual Schedule'!$C$7:$C$98,"Closure",'Residual Schedule'!$H$7:$H$98,"&lt;="&amp;B325,'Residual Schedule'!$I$7:$I$98,"&gt;"&amp;B325)</x:f>
        <x:v>0</x:v>
      </x:c>
      <x:c r="D325" s="9" t="n">
        <x:f>COUNTIFS('Residual Schedule'!$C$7:$C$98,"Damage",'Residual Schedule'!$H$7:$H$98,"&lt;="&amp;B325,'Residual Schedule'!$I$7:$I$98,"&gt;"&amp;B325)</x:f>
        <x:v>0</x:v>
      </x:c>
      <x:c r="E325" s="9" t="n">
        <x:f>COUNTIFS('Residual Schedule'!$C$7:$C$98,"Closure",'Residual Schedule'!$I$7:$I$98,"&lt;="&amp;B325,'Residual Schedule'!$J$7:$J$98,"&gt;"&amp;B325)</x:f>
        <x:v>0</x:v>
      </x:c>
      <x:c r="F325" s="9" t="n">
        <x:f>COUNTIFS('Residual Schedule'!$C$7:$C$98,"Damage",'Residual Schedule'!$I$7:$I$98,"&lt;="&amp;B325,'Residual Schedule'!$J$7:$J$98,"&gt;"&amp;B325)</x:f>
        <x:v>0</x:v>
      </x:c>
      <x:c r="G325" s="9" t="n">
        <x:f>COUNTIFS('Residual Schedule'!$C$7:$C$98,"Closure",'Residual Schedule'!$J$7:$J$98,"&lt;="&amp;B325)</x:f>
        <x:v>64</x:v>
      </x:c>
      <x:c r="H325" s="9" t="n">
        <x:f>COUNTIFS('Residual Schedule'!$C$7:$C$98,"Damage",'Residual Schedule'!$J$7:$J$98,"&lt;="&amp;B325)</x:f>
        <x:v>28</x:v>
      </x:c>
      <x:c r="I325" s="9" t="str">
        <x:f>IF(C325&lt;='Method Controls'!$D$27,"PASS","FAIL")</x:f>
        <x:v>PASS</x:v>
      </x:c>
      <x:c r="J325" s="9" t="str">
        <x:f>IF(D325&lt;='Method Controls'!$D$28,"PASS","FAIL")</x:f>
        <x:v>PASS</x:v>
      </x:c>
      <x:c r="K325" s="9" t="str">
        <x:f>IF(AND(E325&lt;='Method Controls'!$D$27,F325&lt;='Method Controls'!$D$28),"PASS","FAIL")</x:f>
        <x:v>PASS</x:v>
      </x:c>
      <x:c r="L325" s="9" t="str">
        <x:f>IF(AND(I325="PASS",J325="PASS",K325="PASS"),"PASS","FAIL")</x:f>
        <x:v>PASS</x:v>
      </x:c>
    </x:row>
    <x:row r="326">
      <x:c r="B326" s="9" t="n">
        <x:v>410</x:v>
      </x:c>
      <x:c r="C326" s="9" t="n">
        <x:f>COUNTIFS('Residual Schedule'!$C$7:$C$98,"Closure",'Residual Schedule'!$H$7:$H$98,"&lt;="&amp;B326,'Residual Schedule'!$I$7:$I$98,"&gt;"&amp;B326)</x:f>
        <x:v>0</x:v>
      </x:c>
      <x:c r="D326" s="9" t="n">
        <x:f>COUNTIFS('Residual Schedule'!$C$7:$C$98,"Damage",'Residual Schedule'!$H$7:$H$98,"&lt;="&amp;B326,'Residual Schedule'!$I$7:$I$98,"&gt;"&amp;B326)</x:f>
        <x:v>0</x:v>
      </x:c>
      <x:c r="E326" s="9" t="n">
        <x:f>COUNTIFS('Residual Schedule'!$C$7:$C$98,"Closure",'Residual Schedule'!$I$7:$I$98,"&lt;="&amp;B326,'Residual Schedule'!$J$7:$J$98,"&gt;"&amp;B326)</x:f>
        <x:v>0</x:v>
      </x:c>
      <x:c r="F326" s="9" t="n">
        <x:f>COUNTIFS('Residual Schedule'!$C$7:$C$98,"Damage",'Residual Schedule'!$I$7:$I$98,"&lt;="&amp;B326,'Residual Schedule'!$J$7:$J$98,"&gt;"&amp;B326)</x:f>
        <x:v>0</x:v>
      </x:c>
      <x:c r="G326" s="9" t="n">
        <x:f>COUNTIFS('Residual Schedule'!$C$7:$C$98,"Closure",'Residual Schedule'!$J$7:$J$98,"&lt;="&amp;B326)</x:f>
        <x:v>64</x:v>
      </x:c>
      <x:c r="H326" s="9" t="n">
        <x:f>COUNTIFS('Residual Schedule'!$C$7:$C$98,"Damage",'Residual Schedule'!$J$7:$J$98,"&lt;="&amp;B326)</x:f>
        <x:v>28</x:v>
      </x:c>
      <x:c r="I326" s="9" t="str">
        <x:f>IF(C326&lt;='Method Controls'!$D$27,"PASS","FAIL")</x:f>
        <x:v>PASS</x:v>
      </x:c>
      <x:c r="J326" s="9" t="str">
        <x:f>IF(D326&lt;='Method Controls'!$D$28,"PASS","FAIL")</x:f>
        <x:v>PASS</x:v>
      </x:c>
      <x:c r="K326" s="9" t="str">
        <x:f>IF(AND(E326&lt;='Method Controls'!$D$27,F326&lt;='Method Controls'!$D$28),"PASS","FAIL")</x:f>
        <x:v>PASS</x:v>
      </x:c>
      <x:c r="L326" s="9" t="str">
        <x:f>IF(AND(I326="PASS",J326="PASS",K326="PASS"),"PASS","FAIL")</x:f>
        <x:v>PASS</x:v>
      </x:c>
    </x:row>
    <x:row r="327">
      <x:c r="B327" s="9" t="n">
        <x:v>411</x:v>
      </x:c>
      <x:c r="C327" s="9" t="n">
        <x:f>COUNTIFS('Residual Schedule'!$C$7:$C$98,"Closure",'Residual Schedule'!$H$7:$H$98,"&lt;="&amp;B327,'Residual Schedule'!$I$7:$I$98,"&gt;"&amp;B327)</x:f>
        <x:v>0</x:v>
      </x:c>
      <x:c r="D327" s="9" t="n">
        <x:f>COUNTIFS('Residual Schedule'!$C$7:$C$98,"Damage",'Residual Schedule'!$H$7:$H$98,"&lt;="&amp;B327,'Residual Schedule'!$I$7:$I$98,"&gt;"&amp;B327)</x:f>
        <x:v>0</x:v>
      </x:c>
      <x:c r="E327" s="9" t="n">
        <x:f>COUNTIFS('Residual Schedule'!$C$7:$C$98,"Closure",'Residual Schedule'!$I$7:$I$98,"&lt;="&amp;B327,'Residual Schedule'!$J$7:$J$98,"&gt;"&amp;B327)</x:f>
        <x:v>0</x:v>
      </x:c>
      <x:c r="F327" s="9" t="n">
        <x:f>COUNTIFS('Residual Schedule'!$C$7:$C$98,"Damage",'Residual Schedule'!$I$7:$I$98,"&lt;="&amp;B327,'Residual Schedule'!$J$7:$J$98,"&gt;"&amp;B327)</x:f>
        <x:v>0</x:v>
      </x:c>
      <x:c r="G327" s="9" t="n">
        <x:f>COUNTIFS('Residual Schedule'!$C$7:$C$98,"Closure",'Residual Schedule'!$J$7:$J$98,"&lt;="&amp;B327)</x:f>
        <x:v>64</x:v>
      </x:c>
      <x:c r="H327" s="9" t="n">
        <x:f>COUNTIFS('Residual Schedule'!$C$7:$C$98,"Damage",'Residual Schedule'!$J$7:$J$98,"&lt;="&amp;B327)</x:f>
        <x:v>28</x:v>
      </x:c>
      <x:c r="I327" s="9" t="str">
        <x:f>IF(C327&lt;='Method Controls'!$D$27,"PASS","FAIL")</x:f>
        <x:v>PASS</x:v>
      </x:c>
      <x:c r="J327" s="9" t="str">
        <x:f>IF(D327&lt;='Method Controls'!$D$28,"PASS","FAIL")</x:f>
        <x:v>PASS</x:v>
      </x:c>
      <x:c r="K327" s="9" t="str">
        <x:f>IF(AND(E327&lt;='Method Controls'!$D$27,F327&lt;='Method Controls'!$D$28),"PASS","FAIL")</x:f>
        <x:v>PASS</x:v>
      </x:c>
      <x:c r="L327" s="9" t="str">
        <x:f>IF(AND(I327="PASS",J327="PASS",K327="PASS"),"PASS","FAIL")</x:f>
        <x:v>PASS</x:v>
      </x:c>
    </x:row>
    <x:row r="328">
      <x:c r="B328" s="9" t="n">
        <x:v>412</x:v>
      </x:c>
      <x:c r="C328" s="9" t="n">
        <x:f>COUNTIFS('Residual Schedule'!$C$7:$C$98,"Closure",'Residual Schedule'!$H$7:$H$98,"&lt;="&amp;B328,'Residual Schedule'!$I$7:$I$98,"&gt;"&amp;B328)</x:f>
        <x:v>0</x:v>
      </x:c>
      <x:c r="D328" s="9" t="n">
        <x:f>COUNTIFS('Residual Schedule'!$C$7:$C$98,"Damage",'Residual Schedule'!$H$7:$H$98,"&lt;="&amp;B328,'Residual Schedule'!$I$7:$I$98,"&gt;"&amp;B328)</x:f>
        <x:v>0</x:v>
      </x:c>
      <x:c r="E328" s="9" t="n">
        <x:f>COUNTIFS('Residual Schedule'!$C$7:$C$98,"Closure",'Residual Schedule'!$I$7:$I$98,"&lt;="&amp;B328,'Residual Schedule'!$J$7:$J$98,"&gt;"&amp;B328)</x:f>
        <x:v>0</x:v>
      </x:c>
      <x:c r="F328" s="9" t="n">
        <x:f>COUNTIFS('Residual Schedule'!$C$7:$C$98,"Damage",'Residual Schedule'!$I$7:$I$98,"&lt;="&amp;B328,'Residual Schedule'!$J$7:$J$98,"&gt;"&amp;B328)</x:f>
        <x:v>0</x:v>
      </x:c>
      <x:c r="G328" s="9" t="n">
        <x:f>COUNTIFS('Residual Schedule'!$C$7:$C$98,"Closure",'Residual Schedule'!$J$7:$J$98,"&lt;="&amp;B328)</x:f>
        <x:v>64</x:v>
      </x:c>
      <x:c r="H328" s="9" t="n">
        <x:f>COUNTIFS('Residual Schedule'!$C$7:$C$98,"Damage",'Residual Schedule'!$J$7:$J$98,"&lt;="&amp;B328)</x:f>
        <x:v>28</x:v>
      </x:c>
      <x:c r="I328" s="9" t="str">
        <x:f>IF(C328&lt;='Method Controls'!$D$27,"PASS","FAIL")</x:f>
        <x:v>PASS</x:v>
      </x:c>
      <x:c r="J328" s="9" t="str">
        <x:f>IF(D328&lt;='Method Controls'!$D$28,"PASS","FAIL")</x:f>
        <x:v>PASS</x:v>
      </x:c>
      <x:c r="K328" s="9" t="str">
        <x:f>IF(AND(E328&lt;='Method Controls'!$D$27,F328&lt;='Method Controls'!$D$28),"PASS","FAIL")</x:f>
        <x:v>PASS</x:v>
      </x:c>
      <x:c r="L328" s="9" t="str">
        <x:f>IF(AND(I328="PASS",J328="PASS",K328="PASS"),"PASS","FAIL")</x:f>
        <x:v>PASS</x:v>
      </x:c>
    </x:row>
    <x:row r="329">
      <x:c r="B329" s="9" t="n">
        <x:v>413</x:v>
      </x:c>
      <x:c r="C329" s="9" t="n">
        <x:f>COUNTIFS('Residual Schedule'!$C$7:$C$98,"Closure",'Residual Schedule'!$H$7:$H$98,"&lt;="&amp;B329,'Residual Schedule'!$I$7:$I$98,"&gt;"&amp;B329)</x:f>
        <x:v>0</x:v>
      </x:c>
      <x:c r="D329" s="9" t="n">
        <x:f>COUNTIFS('Residual Schedule'!$C$7:$C$98,"Damage",'Residual Schedule'!$H$7:$H$98,"&lt;="&amp;B329,'Residual Schedule'!$I$7:$I$98,"&gt;"&amp;B329)</x:f>
        <x:v>0</x:v>
      </x:c>
      <x:c r="E329" s="9" t="n">
        <x:f>COUNTIFS('Residual Schedule'!$C$7:$C$98,"Closure",'Residual Schedule'!$I$7:$I$98,"&lt;="&amp;B329,'Residual Schedule'!$J$7:$J$98,"&gt;"&amp;B329)</x:f>
        <x:v>0</x:v>
      </x:c>
      <x:c r="F329" s="9" t="n">
        <x:f>COUNTIFS('Residual Schedule'!$C$7:$C$98,"Damage",'Residual Schedule'!$I$7:$I$98,"&lt;="&amp;B329,'Residual Schedule'!$J$7:$J$98,"&gt;"&amp;B329)</x:f>
        <x:v>0</x:v>
      </x:c>
      <x:c r="G329" s="9" t="n">
        <x:f>COUNTIFS('Residual Schedule'!$C$7:$C$98,"Closure",'Residual Schedule'!$J$7:$J$98,"&lt;="&amp;B329)</x:f>
        <x:v>64</x:v>
      </x:c>
      <x:c r="H329" s="9" t="n">
        <x:f>COUNTIFS('Residual Schedule'!$C$7:$C$98,"Damage",'Residual Schedule'!$J$7:$J$98,"&lt;="&amp;B329)</x:f>
        <x:v>28</x:v>
      </x:c>
      <x:c r="I329" s="9" t="str">
        <x:f>IF(C329&lt;='Method Controls'!$D$27,"PASS","FAIL")</x:f>
        <x:v>PASS</x:v>
      </x:c>
      <x:c r="J329" s="9" t="str">
        <x:f>IF(D329&lt;='Method Controls'!$D$28,"PASS","FAIL")</x:f>
        <x:v>PASS</x:v>
      </x:c>
      <x:c r="K329" s="9" t="str">
        <x:f>IF(AND(E329&lt;='Method Controls'!$D$27,F329&lt;='Method Controls'!$D$28),"PASS","FAIL")</x:f>
        <x:v>PASS</x:v>
      </x:c>
      <x:c r="L329" s="9" t="str">
        <x:f>IF(AND(I329="PASS",J329="PASS",K329="PASS"),"PASS","FAIL")</x:f>
        <x:v>PASS</x:v>
      </x:c>
    </x:row>
    <x:row r="330">
      <x:c r="B330" s="9" t="n">
        <x:v>414</x:v>
      </x:c>
      <x:c r="C330" s="9" t="n">
        <x:f>COUNTIFS('Residual Schedule'!$C$7:$C$98,"Closure",'Residual Schedule'!$H$7:$H$98,"&lt;="&amp;B330,'Residual Schedule'!$I$7:$I$98,"&gt;"&amp;B330)</x:f>
        <x:v>0</x:v>
      </x:c>
      <x:c r="D330" s="9" t="n">
        <x:f>COUNTIFS('Residual Schedule'!$C$7:$C$98,"Damage",'Residual Schedule'!$H$7:$H$98,"&lt;="&amp;B330,'Residual Schedule'!$I$7:$I$98,"&gt;"&amp;B330)</x:f>
        <x:v>0</x:v>
      </x:c>
      <x:c r="E330" s="9" t="n">
        <x:f>COUNTIFS('Residual Schedule'!$C$7:$C$98,"Closure",'Residual Schedule'!$I$7:$I$98,"&lt;="&amp;B330,'Residual Schedule'!$J$7:$J$98,"&gt;"&amp;B330)</x:f>
        <x:v>0</x:v>
      </x:c>
      <x:c r="F330" s="9" t="n">
        <x:f>COUNTIFS('Residual Schedule'!$C$7:$C$98,"Damage",'Residual Schedule'!$I$7:$I$98,"&lt;="&amp;B330,'Residual Schedule'!$J$7:$J$98,"&gt;"&amp;B330)</x:f>
        <x:v>0</x:v>
      </x:c>
      <x:c r="G330" s="9" t="n">
        <x:f>COUNTIFS('Residual Schedule'!$C$7:$C$98,"Closure",'Residual Schedule'!$J$7:$J$98,"&lt;="&amp;B330)</x:f>
        <x:v>64</x:v>
      </x:c>
      <x:c r="H330" s="9" t="n">
        <x:f>COUNTIFS('Residual Schedule'!$C$7:$C$98,"Damage",'Residual Schedule'!$J$7:$J$98,"&lt;="&amp;B330)</x:f>
        <x:v>28</x:v>
      </x:c>
      <x:c r="I330" s="9" t="str">
        <x:f>IF(C330&lt;='Method Controls'!$D$27,"PASS","FAIL")</x:f>
        <x:v>PASS</x:v>
      </x:c>
      <x:c r="J330" s="9" t="str">
        <x:f>IF(D330&lt;='Method Controls'!$D$28,"PASS","FAIL")</x:f>
        <x:v>PASS</x:v>
      </x:c>
      <x:c r="K330" s="9" t="str">
        <x:f>IF(AND(E330&lt;='Method Controls'!$D$27,F330&lt;='Method Controls'!$D$28),"PASS","FAIL")</x:f>
        <x:v>PASS</x:v>
      </x:c>
      <x:c r="L330" s="9" t="str">
        <x:f>IF(AND(I330="PASS",J330="PASS",K330="PASS"),"PASS","FAIL")</x:f>
        <x:v>PASS</x:v>
      </x:c>
    </x:row>
    <x:row r="331">
      <x:c r="B331" s="9" t="n">
        <x:v>415</x:v>
      </x:c>
      <x:c r="C331" s="9" t="n">
        <x:f>COUNTIFS('Residual Schedule'!$C$7:$C$98,"Closure",'Residual Schedule'!$H$7:$H$98,"&lt;="&amp;B331,'Residual Schedule'!$I$7:$I$98,"&gt;"&amp;B331)</x:f>
        <x:v>0</x:v>
      </x:c>
      <x:c r="D331" s="9" t="n">
        <x:f>COUNTIFS('Residual Schedule'!$C$7:$C$98,"Damage",'Residual Schedule'!$H$7:$H$98,"&lt;="&amp;B331,'Residual Schedule'!$I$7:$I$98,"&gt;"&amp;B331)</x:f>
        <x:v>0</x:v>
      </x:c>
      <x:c r="E331" s="9" t="n">
        <x:f>COUNTIFS('Residual Schedule'!$C$7:$C$98,"Closure",'Residual Schedule'!$I$7:$I$98,"&lt;="&amp;B331,'Residual Schedule'!$J$7:$J$98,"&gt;"&amp;B331)</x:f>
        <x:v>0</x:v>
      </x:c>
      <x:c r="F331" s="9" t="n">
        <x:f>COUNTIFS('Residual Schedule'!$C$7:$C$98,"Damage",'Residual Schedule'!$I$7:$I$98,"&lt;="&amp;B331,'Residual Schedule'!$J$7:$J$98,"&gt;"&amp;B331)</x:f>
        <x:v>0</x:v>
      </x:c>
      <x:c r="G331" s="9" t="n">
        <x:f>COUNTIFS('Residual Schedule'!$C$7:$C$98,"Closure",'Residual Schedule'!$J$7:$J$98,"&lt;="&amp;B331)</x:f>
        <x:v>64</x:v>
      </x:c>
      <x:c r="H331" s="9" t="n">
        <x:f>COUNTIFS('Residual Schedule'!$C$7:$C$98,"Damage",'Residual Schedule'!$J$7:$J$98,"&lt;="&amp;B331)</x:f>
        <x:v>28</x:v>
      </x:c>
      <x:c r="I331" s="9" t="str">
        <x:f>IF(C331&lt;='Method Controls'!$D$27,"PASS","FAIL")</x:f>
        <x:v>PASS</x:v>
      </x:c>
      <x:c r="J331" s="9" t="str">
        <x:f>IF(D331&lt;='Method Controls'!$D$28,"PASS","FAIL")</x:f>
        <x:v>PASS</x:v>
      </x:c>
      <x:c r="K331" s="9" t="str">
        <x:f>IF(AND(E331&lt;='Method Controls'!$D$27,F331&lt;='Method Controls'!$D$28),"PASS","FAIL")</x:f>
        <x:v>PASS</x:v>
      </x:c>
      <x:c r="L331" s="9" t="str">
        <x:f>IF(AND(I331="PASS",J331="PASS",K331="PASS"),"PASS","FAIL")</x:f>
        <x:v>PASS</x:v>
      </x:c>
    </x:row>
    <x:row r="332">
      <x:c r="B332" s="9" t="n">
        <x:v>416</x:v>
      </x:c>
      <x:c r="C332" s="9" t="n">
        <x:f>COUNTIFS('Residual Schedule'!$C$7:$C$98,"Closure",'Residual Schedule'!$H$7:$H$98,"&lt;="&amp;B332,'Residual Schedule'!$I$7:$I$98,"&gt;"&amp;B332)</x:f>
        <x:v>0</x:v>
      </x:c>
      <x:c r="D332" s="9" t="n">
        <x:f>COUNTIFS('Residual Schedule'!$C$7:$C$98,"Damage",'Residual Schedule'!$H$7:$H$98,"&lt;="&amp;B332,'Residual Schedule'!$I$7:$I$98,"&gt;"&amp;B332)</x:f>
        <x:v>0</x:v>
      </x:c>
      <x:c r="E332" s="9" t="n">
        <x:f>COUNTIFS('Residual Schedule'!$C$7:$C$98,"Closure",'Residual Schedule'!$I$7:$I$98,"&lt;="&amp;B332,'Residual Schedule'!$J$7:$J$98,"&gt;"&amp;B332)</x:f>
        <x:v>0</x:v>
      </x:c>
      <x:c r="F332" s="9" t="n">
        <x:f>COUNTIFS('Residual Schedule'!$C$7:$C$98,"Damage",'Residual Schedule'!$I$7:$I$98,"&lt;="&amp;B332,'Residual Schedule'!$J$7:$J$98,"&gt;"&amp;B332)</x:f>
        <x:v>0</x:v>
      </x:c>
      <x:c r="G332" s="9" t="n">
        <x:f>COUNTIFS('Residual Schedule'!$C$7:$C$98,"Closure",'Residual Schedule'!$J$7:$J$98,"&lt;="&amp;B332)</x:f>
        <x:v>64</x:v>
      </x:c>
      <x:c r="H332" s="9" t="n">
        <x:f>COUNTIFS('Residual Schedule'!$C$7:$C$98,"Damage",'Residual Schedule'!$J$7:$J$98,"&lt;="&amp;B332)</x:f>
        <x:v>28</x:v>
      </x:c>
      <x:c r="I332" s="9" t="str">
        <x:f>IF(C332&lt;='Method Controls'!$D$27,"PASS","FAIL")</x:f>
        <x:v>PASS</x:v>
      </x:c>
      <x:c r="J332" s="9" t="str">
        <x:f>IF(D332&lt;='Method Controls'!$D$28,"PASS","FAIL")</x:f>
        <x:v>PASS</x:v>
      </x:c>
      <x:c r="K332" s="9" t="str">
        <x:f>IF(AND(E332&lt;='Method Controls'!$D$27,F332&lt;='Method Controls'!$D$28),"PASS","FAIL")</x:f>
        <x:v>PASS</x:v>
      </x:c>
      <x:c r="L332" s="9" t="str">
        <x:f>IF(AND(I332="PASS",J332="PASS",K332="PASS"),"PASS","FAIL")</x:f>
        <x:v>PASS</x:v>
      </x:c>
    </x:row>
    <x:row r="333">
      <x:c r="B333" s="9" t="n">
        <x:v>417</x:v>
      </x:c>
      <x:c r="C333" s="9" t="n">
        <x:f>COUNTIFS('Residual Schedule'!$C$7:$C$98,"Closure",'Residual Schedule'!$H$7:$H$98,"&lt;="&amp;B333,'Residual Schedule'!$I$7:$I$98,"&gt;"&amp;B333)</x:f>
        <x:v>0</x:v>
      </x:c>
      <x:c r="D333" s="9" t="n">
        <x:f>COUNTIFS('Residual Schedule'!$C$7:$C$98,"Damage",'Residual Schedule'!$H$7:$H$98,"&lt;="&amp;B333,'Residual Schedule'!$I$7:$I$98,"&gt;"&amp;B333)</x:f>
        <x:v>0</x:v>
      </x:c>
      <x:c r="E333" s="9" t="n">
        <x:f>COUNTIFS('Residual Schedule'!$C$7:$C$98,"Closure",'Residual Schedule'!$I$7:$I$98,"&lt;="&amp;B333,'Residual Schedule'!$J$7:$J$98,"&gt;"&amp;B333)</x:f>
        <x:v>0</x:v>
      </x:c>
      <x:c r="F333" s="9" t="n">
        <x:f>COUNTIFS('Residual Schedule'!$C$7:$C$98,"Damage",'Residual Schedule'!$I$7:$I$98,"&lt;="&amp;B333,'Residual Schedule'!$J$7:$J$98,"&gt;"&amp;B333)</x:f>
        <x:v>0</x:v>
      </x:c>
      <x:c r="G333" s="9" t="n">
        <x:f>COUNTIFS('Residual Schedule'!$C$7:$C$98,"Closure",'Residual Schedule'!$J$7:$J$98,"&lt;="&amp;B333)</x:f>
        <x:v>64</x:v>
      </x:c>
      <x:c r="H333" s="9" t="n">
        <x:f>COUNTIFS('Residual Schedule'!$C$7:$C$98,"Damage",'Residual Schedule'!$J$7:$J$98,"&lt;="&amp;B333)</x:f>
        <x:v>28</x:v>
      </x:c>
      <x:c r="I333" s="9" t="str">
        <x:f>IF(C333&lt;='Method Controls'!$D$27,"PASS","FAIL")</x:f>
        <x:v>PASS</x:v>
      </x:c>
      <x:c r="J333" s="9" t="str">
        <x:f>IF(D333&lt;='Method Controls'!$D$28,"PASS","FAIL")</x:f>
        <x:v>PASS</x:v>
      </x:c>
      <x:c r="K333" s="9" t="str">
        <x:f>IF(AND(E333&lt;='Method Controls'!$D$27,F333&lt;='Method Controls'!$D$28),"PASS","FAIL")</x:f>
        <x:v>PASS</x:v>
      </x:c>
      <x:c r="L333" s="9" t="str">
        <x:f>IF(AND(I333="PASS",J333="PASS",K333="PASS"),"PASS","FAIL")</x:f>
        <x:v>PASS</x:v>
      </x:c>
    </x:row>
    <x:row r="334">
      <x:c r="B334" s="9" t="n">
        <x:v>418</x:v>
      </x:c>
      <x:c r="C334" s="9" t="n">
        <x:f>COUNTIFS('Residual Schedule'!$C$7:$C$98,"Closure",'Residual Schedule'!$H$7:$H$98,"&lt;="&amp;B334,'Residual Schedule'!$I$7:$I$98,"&gt;"&amp;B334)</x:f>
        <x:v>0</x:v>
      </x:c>
      <x:c r="D334" s="9" t="n">
        <x:f>COUNTIFS('Residual Schedule'!$C$7:$C$98,"Damage",'Residual Schedule'!$H$7:$H$98,"&lt;="&amp;B334,'Residual Schedule'!$I$7:$I$98,"&gt;"&amp;B334)</x:f>
        <x:v>0</x:v>
      </x:c>
      <x:c r="E334" s="9" t="n">
        <x:f>COUNTIFS('Residual Schedule'!$C$7:$C$98,"Closure",'Residual Schedule'!$I$7:$I$98,"&lt;="&amp;B334,'Residual Schedule'!$J$7:$J$98,"&gt;"&amp;B334)</x:f>
        <x:v>0</x:v>
      </x:c>
      <x:c r="F334" s="9" t="n">
        <x:f>COUNTIFS('Residual Schedule'!$C$7:$C$98,"Damage",'Residual Schedule'!$I$7:$I$98,"&lt;="&amp;B334,'Residual Schedule'!$J$7:$J$98,"&gt;"&amp;B334)</x:f>
        <x:v>0</x:v>
      </x:c>
      <x:c r="G334" s="9" t="n">
        <x:f>COUNTIFS('Residual Schedule'!$C$7:$C$98,"Closure",'Residual Schedule'!$J$7:$J$98,"&lt;="&amp;B334)</x:f>
        <x:v>64</x:v>
      </x:c>
      <x:c r="H334" s="9" t="n">
        <x:f>COUNTIFS('Residual Schedule'!$C$7:$C$98,"Damage",'Residual Schedule'!$J$7:$J$98,"&lt;="&amp;B334)</x:f>
        <x:v>28</x:v>
      </x:c>
      <x:c r="I334" s="9" t="str">
        <x:f>IF(C334&lt;='Method Controls'!$D$27,"PASS","FAIL")</x:f>
        <x:v>PASS</x:v>
      </x:c>
      <x:c r="J334" s="9" t="str">
        <x:f>IF(D334&lt;='Method Controls'!$D$28,"PASS","FAIL")</x:f>
        <x:v>PASS</x:v>
      </x:c>
      <x:c r="K334" s="9" t="str">
        <x:f>IF(AND(E334&lt;='Method Controls'!$D$27,F334&lt;='Method Controls'!$D$28),"PASS","FAIL")</x:f>
        <x:v>PASS</x:v>
      </x:c>
      <x:c r="L334" s="9" t="str">
        <x:f>IF(AND(I334="PASS",J334="PASS",K334="PASS"),"PASS","FAIL")</x:f>
        <x:v>PASS</x:v>
      </x:c>
    </x:row>
    <x:row r="335">
      <x:c r="B335" s="9" t="n">
        <x:v>419</x:v>
      </x:c>
      <x:c r="C335" s="9" t="n">
        <x:f>COUNTIFS('Residual Schedule'!$C$7:$C$98,"Closure",'Residual Schedule'!$H$7:$H$98,"&lt;="&amp;B335,'Residual Schedule'!$I$7:$I$98,"&gt;"&amp;B335)</x:f>
        <x:v>0</x:v>
      </x:c>
      <x:c r="D335" s="9" t="n">
        <x:f>COUNTIFS('Residual Schedule'!$C$7:$C$98,"Damage",'Residual Schedule'!$H$7:$H$98,"&lt;="&amp;B335,'Residual Schedule'!$I$7:$I$98,"&gt;"&amp;B335)</x:f>
        <x:v>0</x:v>
      </x:c>
      <x:c r="E335" s="9" t="n">
        <x:f>COUNTIFS('Residual Schedule'!$C$7:$C$98,"Closure",'Residual Schedule'!$I$7:$I$98,"&lt;="&amp;B335,'Residual Schedule'!$J$7:$J$98,"&gt;"&amp;B335)</x:f>
        <x:v>0</x:v>
      </x:c>
      <x:c r="F335" s="9" t="n">
        <x:f>COUNTIFS('Residual Schedule'!$C$7:$C$98,"Damage",'Residual Schedule'!$I$7:$I$98,"&lt;="&amp;B335,'Residual Schedule'!$J$7:$J$98,"&gt;"&amp;B335)</x:f>
        <x:v>0</x:v>
      </x:c>
      <x:c r="G335" s="9" t="n">
        <x:f>COUNTIFS('Residual Schedule'!$C$7:$C$98,"Closure",'Residual Schedule'!$J$7:$J$98,"&lt;="&amp;B335)</x:f>
        <x:v>64</x:v>
      </x:c>
      <x:c r="H335" s="9" t="n">
        <x:f>COUNTIFS('Residual Schedule'!$C$7:$C$98,"Damage",'Residual Schedule'!$J$7:$J$98,"&lt;="&amp;B335)</x:f>
        <x:v>28</x:v>
      </x:c>
      <x:c r="I335" s="9" t="str">
        <x:f>IF(C335&lt;='Method Controls'!$D$27,"PASS","FAIL")</x:f>
        <x:v>PASS</x:v>
      </x:c>
      <x:c r="J335" s="9" t="str">
        <x:f>IF(D335&lt;='Method Controls'!$D$28,"PASS","FAIL")</x:f>
        <x:v>PASS</x:v>
      </x:c>
      <x:c r="K335" s="9" t="str">
        <x:f>IF(AND(E335&lt;='Method Controls'!$D$27,F335&lt;='Method Controls'!$D$28),"PASS","FAIL")</x:f>
        <x:v>PASS</x:v>
      </x:c>
      <x:c r="L335" s="9" t="str">
        <x:f>IF(AND(I335="PASS",J335="PASS",K335="PASS"),"PASS","FAIL")</x:f>
        <x:v>PASS</x:v>
      </x:c>
    </x:row>
    <x:row r="336">
      <x:c r="B336" s="9" t="n">
        <x:v>420</x:v>
      </x:c>
      <x:c r="C336" s="9" t="n">
        <x:f>COUNTIFS('Residual Schedule'!$C$7:$C$98,"Closure",'Residual Schedule'!$H$7:$H$98,"&lt;="&amp;B336,'Residual Schedule'!$I$7:$I$98,"&gt;"&amp;B336)</x:f>
        <x:v>0</x:v>
      </x:c>
      <x:c r="D336" s="9" t="n">
        <x:f>COUNTIFS('Residual Schedule'!$C$7:$C$98,"Damage",'Residual Schedule'!$H$7:$H$98,"&lt;="&amp;B336,'Residual Schedule'!$I$7:$I$98,"&gt;"&amp;B336)</x:f>
        <x:v>0</x:v>
      </x:c>
      <x:c r="E336" s="9" t="n">
        <x:f>COUNTIFS('Residual Schedule'!$C$7:$C$98,"Closure",'Residual Schedule'!$I$7:$I$98,"&lt;="&amp;B336,'Residual Schedule'!$J$7:$J$98,"&gt;"&amp;B336)</x:f>
        <x:v>0</x:v>
      </x:c>
      <x:c r="F336" s="9" t="n">
        <x:f>COUNTIFS('Residual Schedule'!$C$7:$C$98,"Damage",'Residual Schedule'!$I$7:$I$98,"&lt;="&amp;B336,'Residual Schedule'!$J$7:$J$98,"&gt;"&amp;B336)</x:f>
        <x:v>0</x:v>
      </x:c>
      <x:c r="G336" s="9" t="n">
        <x:f>COUNTIFS('Residual Schedule'!$C$7:$C$98,"Closure",'Residual Schedule'!$J$7:$J$98,"&lt;="&amp;B336)</x:f>
        <x:v>64</x:v>
      </x:c>
      <x:c r="H336" s="9" t="n">
        <x:f>COUNTIFS('Residual Schedule'!$C$7:$C$98,"Damage",'Residual Schedule'!$J$7:$J$98,"&lt;="&amp;B336)</x:f>
        <x:v>28</x:v>
      </x:c>
      <x:c r="I336" s="9" t="str">
        <x:f>IF(C336&lt;='Method Controls'!$D$27,"PASS","FAIL")</x:f>
        <x:v>PASS</x:v>
      </x:c>
      <x:c r="J336" s="9" t="str">
        <x:f>IF(D336&lt;='Method Controls'!$D$28,"PASS","FAIL")</x:f>
        <x:v>PASS</x:v>
      </x:c>
      <x:c r="K336" s="9" t="str">
        <x:f>IF(AND(E336&lt;='Method Controls'!$D$27,F336&lt;='Method Controls'!$D$28),"PASS","FAIL")</x:f>
        <x:v>PASS</x:v>
      </x:c>
      <x:c r="L336" s="9" t="str">
        <x:f>IF(AND(I336="PASS",J336="PASS",K336="PASS"),"PASS","FAIL")</x:f>
        <x:v>PASS</x:v>
      </x:c>
    </x:row>
    <x:row r="337">
      <x:c r="B337" s="9" t="n">
        <x:v>421</x:v>
      </x:c>
      <x:c r="C337" s="9" t="n">
        <x:f>COUNTIFS('Residual Schedule'!$C$7:$C$98,"Closure",'Residual Schedule'!$H$7:$H$98,"&lt;="&amp;B337,'Residual Schedule'!$I$7:$I$98,"&gt;"&amp;B337)</x:f>
        <x:v>0</x:v>
      </x:c>
      <x:c r="D337" s="9" t="n">
        <x:f>COUNTIFS('Residual Schedule'!$C$7:$C$98,"Damage",'Residual Schedule'!$H$7:$H$98,"&lt;="&amp;B337,'Residual Schedule'!$I$7:$I$98,"&gt;"&amp;B337)</x:f>
        <x:v>0</x:v>
      </x:c>
      <x:c r="E337" s="9" t="n">
        <x:f>COUNTIFS('Residual Schedule'!$C$7:$C$98,"Closure",'Residual Schedule'!$I$7:$I$98,"&lt;="&amp;B337,'Residual Schedule'!$J$7:$J$98,"&gt;"&amp;B337)</x:f>
        <x:v>0</x:v>
      </x:c>
      <x:c r="F337" s="9" t="n">
        <x:f>COUNTIFS('Residual Schedule'!$C$7:$C$98,"Damage",'Residual Schedule'!$I$7:$I$98,"&lt;="&amp;B337,'Residual Schedule'!$J$7:$J$98,"&gt;"&amp;B337)</x:f>
        <x:v>0</x:v>
      </x:c>
      <x:c r="G337" s="9" t="n">
        <x:f>COUNTIFS('Residual Schedule'!$C$7:$C$98,"Closure",'Residual Schedule'!$J$7:$J$98,"&lt;="&amp;B337)</x:f>
        <x:v>64</x:v>
      </x:c>
      <x:c r="H337" s="9" t="n">
        <x:f>COUNTIFS('Residual Schedule'!$C$7:$C$98,"Damage",'Residual Schedule'!$J$7:$J$98,"&lt;="&amp;B337)</x:f>
        <x:v>28</x:v>
      </x:c>
      <x:c r="I337" s="9" t="str">
        <x:f>IF(C337&lt;='Method Controls'!$D$27,"PASS","FAIL")</x:f>
        <x:v>PASS</x:v>
      </x:c>
      <x:c r="J337" s="9" t="str">
        <x:f>IF(D337&lt;='Method Controls'!$D$28,"PASS","FAIL")</x:f>
        <x:v>PASS</x:v>
      </x:c>
      <x:c r="K337" s="9" t="str">
        <x:f>IF(AND(E337&lt;='Method Controls'!$D$27,F337&lt;='Method Controls'!$D$28),"PASS","FAIL")</x:f>
        <x:v>PASS</x:v>
      </x:c>
      <x:c r="L337" s="9" t="str">
        <x:f>IF(AND(I337="PASS",J337="PASS",K337="PASS"),"PASS","FAIL")</x:f>
        <x:v>PASS</x:v>
      </x:c>
    </x:row>
    <x:row r="338">
      <x:c r="B338" s="9" t="n">
        <x:v>422</x:v>
      </x:c>
      <x:c r="C338" s="9" t="n">
        <x:f>COUNTIFS('Residual Schedule'!$C$7:$C$98,"Closure",'Residual Schedule'!$H$7:$H$98,"&lt;="&amp;B338,'Residual Schedule'!$I$7:$I$98,"&gt;"&amp;B338)</x:f>
        <x:v>0</x:v>
      </x:c>
      <x:c r="D338" s="9" t="n">
        <x:f>COUNTIFS('Residual Schedule'!$C$7:$C$98,"Damage",'Residual Schedule'!$H$7:$H$98,"&lt;="&amp;B338,'Residual Schedule'!$I$7:$I$98,"&gt;"&amp;B338)</x:f>
        <x:v>0</x:v>
      </x:c>
      <x:c r="E338" s="9" t="n">
        <x:f>COUNTIFS('Residual Schedule'!$C$7:$C$98,"Closure",'Residual Schedule'!$I$7:$I$98,"&lt;="&amp;B338,'Residual Schedule'!$J$7:$J$98,"&gt;"&amp;B338)</x:f>
        <x:v>0</x:v>
      </x:c>
      <x:c r="F338" s="9" t="n">
        <x:f>COUNTIFS('Residual Schedule'!$C$7:$C$98,"Damage",'Residual Schedule'!$I$7:$I$98,"&lt;="&amp;B338,'Residual Schedule'!$J$7:$J$98,"&gt;"&amp;B338)</x:f>
        <x:v>0</x:v>
      </x:c>
      <x:c r="G338" s="9" t="n">
        <x:f>COUNTIFS('Residual Schedule'!$C$7:$C$98,"Closure",'Residual Schedule'!$J$7:$J$98,"&lt;="&amp;B338)</x:f>
        <x:v>64</x:v>
      </x:c>
      <x:c r="H338" s="9" t="n">
        <x:f>COUNTIFS('Residual Schedule'!$C$7:$C$98,"Damage",'Residual Schedule'!$J$7:$J$98,"&lt;="&amp;B338)</x:f>
        <x:v>28</x:v>
      </x:c>
      <x:c r="I338" s="9" t="str">
        <x:f>IF(C338&lt;='Method Controls'!$D$27,"PASS","FAIL")</x:f>
        <x:v>PASS</x:v>
      </x:c>
      <x:c r="J338" s="9" t="str">
        <x:f>IF(D338&lt;='Method Controls'!$D$28,"PASS","FAIL")</x:f>
        <x:v>PASS</x:v>
      </x:c>
      <x:c r="K338" s="9" t="str">
        <x:f>IF(AND(E338&lt;='Method Controls'!$D$27,F338&lt;='Method Controls'!$D$28),"PASS","FAIL")</x:f>
        <x:v>PASS</x:v>
      </x:c>
      <x:c r="L338" s="9" t="str">
        <x:f>IF(AND(I338="PASS",J338="PASS",K338="PASS"),"PASS","FAIL")</x:f>
        <x:v>PASS</x:v>
      </x:c>
    </x:row>
    <x:row r="339">
      <x:c r="B339" s="9" t="n">
        <x:v>423</x:v>
      </x:c>
      <x:c r="C339" s="9" t="n">
        <x:f>COUNTIFS('Residual Schedule'!$C$7:$C$98,"Closure",'Residual Schedule'!$H$7:$H$98,"&lt;="&amp;B339,'Residual Schedule'!$I$7:$I$98,"&gt;"&amp;B339)</x:f>
        <x:v>0</x:v>
      </x:c>
      <x:c r="D339" s="9" t="n">
        <x:f>COUNTIFS('Residual Schedule'!$C$7:$C$98,"Damage",'Residual Schedule'!$H$7:$H$98,"&lt;="&amp;B339,'Residual Schedule'!$I$7:$I$98,"&gt;"&amp;B339)</x:f>
        <x:v>0</x:v>
      </x:c>
      <x:c r="E339" s="9" t="n">
        <x:f>COUNTIFS('Residual Schedule'!$C$7:$C$98,"Closure",'Residual Schedule'!$I$7:$I$98,"&lt;="&amp;B339,'Residual Schedule'!$J$7:$J$98,"&gt;"&amp;B339)</x:f>
        <x:v>0</x:v>
      </x:c>
      <x:c r="F339" s="9" t="n">
        <x:f>COUNTIFS('Residual Schedule'!$C$7:$C$98,"Damage",'Residual Schedule'!$I$7:$I$98,"&lt;="&amp;B339,'Residual Schedule'!$J$7:$J$98,"&gt;"&amp;B339)</x:f>
        <x:v>0</x:v>
      </x:c>
      <x:c r="G339" s="9" t="n">
        <x:f>COUNTIFS('Residual Schedule'!$C$7:$C$98,"Closure",'Residual Schedule'!$J$7:$J$98,"&lt;="&amp;B339)</x:f>
        <x:v>64</x:v>
      </x:c>
      <x:c r="H339" s="9" t="n">
        <x:f>COUNTIFS('Residual Schedule'!$C$7:$C$98,"Damage",'Residual Schedule'!$J$7:$J$98,"&lt;="&amp;B339)</x:f>
        <x:v>28</x:v>
      </x:c>
      <x:c r="I339" s="9" t="str">
        <x:f>IF(C339&lt;='Method Controls'!$D$27,"PASS","FAIL")</x:f>
        <x:v>PASS</x:v>
      </x:c>
      <x:c r="J339" s="9" t="str">
        <x:f>IF(D339&lt;='Method Controls'!$D$28,"PASS","FAIL")</x:f>
        <x:v>PASS</x:v>
      </x:c>
      <x:c r="K339" s="9" t="str">
        <x:f>IF(AND(E339&lt;='Method Controls'!$D$27,F339&lt;='Method Controls'!$D$28),"PASS","FAIL")</x:f>
        <x:v>PASS</x:v>
      </x:c>
      <x:c r="L339" s="9" t="str">
        <x:f>IF(AND(I339="PASS",J339="PASS",K339="PASS"),"PASS","FAIL")</x:f>
        <x:v>PASS</x:v>
      </x:c>
    </x:row>
    <x:row r="340">
      <x:c r="B340" s="9" t="n">
        <x:v>424</x:v>
      </x:c>
      <x:c r="C340" s="9" t="n">
        <x:f>COUNTIFS('Residual Schedule'!$C$7:$C$98,"Closure",'Residual Schedule'!$H$7:$H$98,"&lt;="&amp;B340,'Residual Schedule'!$I$7:$I$98,"&gt;"&amp;B340)</x:f>
        <x:v>0</x:v>
      </x:c>
      <x:c r="D340" s="9" t="n">
        <x:f>COUNTIFS('Residual Schedule'!$C$7:$C$98,"Damage",'Residual Schedule'!$H$7:$H$98,"&lt;="&amp;B340,'Residual Schedule'!$I$7:$I$98,"&gt;"&amp;B340)</x:f>
        <x:v>0</x:v>
      </x:c>
      <x:c r="E340" s="9" t="n">
        <x:f>COUNTIFS('Residual Schedule'!$C$7:$C$98,"Closure",'Residual Schedule'!$I$7:$I$98,"&lt;="&amp;B340,'Residual Schedule'!$J$7:$J$98,"&gt;"&amp;B340)</x:f>
        <x:v>0</x:v>
      </x:c>
      <x:c r="F340" s="9" t="n">
        <x:f>COUNTIFS('Residual Schedule'!$C$7:$C$98,"Damage",'Residual Schedule'!$I$7:$I$98,"&lt;="&amp;B340,'Residual Schedule'!$J$7:$J$98,"&gt;"&amp;B340)</x:f>
        <x:v>0</x:v>
      </x:c>
      <x:c r="G340" s="9" t="n">
        <x:f>COUNTIFS('Residual Schedule'!$C$7:$C$98,"Closure",'Residual Schedule'!$J$7:$J$98,"&lt;="&amp;B340)</x:f>
        <x:v>64</x:v>
      </x:c>
      <x:c r="H340" s="9" t="n">
        <x:f>COUNTIFS('Residual Schedule'!$C$7:$C$98,"Damage",'Residual Schedule'!$J$7:$J$98,"&lt;="&amp;B340)</x:f>
        <x:v>28</x:v>
      </x:c>
      <x:c r="I340" s="9" t="str">
        <x:f>IF(C340&lt;='Method Controls'!$D$27,"PASS","FAIL")</x:f>
        <x:v>PASS</x:v>
      </x:c>
      <x:c r="J340" s="9" t="str">
        <x:f>IF(D340&lt;='Method Controls'!$D$28,"PASS","FAIL")</x:f>
        <x:v>PASS</x:v>
      </x:c>
      <x:c r="K340" s="9" t="str">
        <x:f>IF(AND(E340&lt;='Method Controls'!$D$27,F340&lt;='Method Controls'!$D$28),"PASS","FAIL")</x:f>
        <x:v>PASS</x:v>
      </x:c>
      <x:c r="L340" s="9" t="str">
        <x:f>IF(AND(I340="PASS",J340="PASS",K340="PASS"),"PASS","FAIL")</x:f>
        <x:v>PASS</x:v>
      </x:c>
    </x:row>
    <x:row r="341">
      <x:c r="B341" s="10" t="n">
        <x:v>425</x:v>
      </x:c>
      <x:c r="C341" s="10" t="n">
        <x:f>COUNTIFS('Residual Schedule'!$C$7:$C$98,"Closure",'Residual Schedule'!$H$7:$H$98,"&lt;="&amp;B341,'Residual Schedule'!$I$7:$I$98,"&gt;"&amp;B341)</x:f>
        <x:v>0</x:v>
      </x:c>
      <x:c r="D341" s="10" t="n">
        <x:f>COUNTIFS('Residual Schedule'!$C$7:$C$98,"Damage",'Residual Schedule'!$H$7:$H$98,"&lt;="&amp;B341,'Residual Schedule'!$I$7:$I$98,"&gt;"&amp;B341)</x:f>
        <x:v>0</x:v>
      </x:c>
      <x:c r="E341" s="10" t="n">
        <x:f>COUNTIFS('Residual Schedule'!$C$7:$C$98,"Closure",'Residual Schedule'!$I$7:$I$98,"&lt;="&amp;B341,'Residual Schedule'!$J$7:$J$98,"&gt;"&amp;B341)</x:f>
        <x:v>0</x:v>
      </x:c>
      <x:c r="F341" s="10" t="n">
        <x:f>COUNTIFS('Residual Schedule'!$C$7:$C$98,"Damage",'Residual Schedule'!$I$7:$I$98,"&lt;="&amp;B341,'Residual Schedule'!$J$7:$J$98,"&gt;"&amp;B341)</x:f>
        <x:v>0</x:v>
      </x:c>
      <x:c r="G341" s="10" t="n">
        <x:f>COUNTIFS('Residual Schedule'!$C$7:$C$98,"Closure",'Residual Schedule'!$J$7:$J$98,"&lt;="&amp;B341)</x:f>
        <x:v>64</x:v>
      </x:c>
      <x:c r="H341" s="10" t="n">
        <x:f>COUNTIFS('Residual Schedule'!$C$7:$C$98,"Damage",'Residual Schedule'!$J$7:$J$98,"&lt;="&amp;B341)</x:f>
        <x:v>28</x:v>
      </x:c>
      <x:c r="I341" s="10" t="str">
        <x:f>IF(C341&lt;='Method Controls'!$D$27,"PASS","FAIL")</x:f>
        <x:v>PASS</x:v>
      </x:c>
      <x:c r="J341" s="10" t="str">
        <x:f>IF(D341&lt;='Method Controls'!$D$28,"PASS","FAIL")</x:f>
        <x:v>PASS</x:v>
      </x:c>
      <x:c r="K341" s="10" t="str">
        <x:f>IF(AND(E341&lt;='Method Controls'!$D$27,F341&lt;='Method Controls'!$D$28),"PASS","FAIL")</x:f>
        <x:v>PASS</x:v>
      </x:c>
      <x:c r="L341" s="10" t="str">
        <x:f>IF(AND(I341="PASS",J341="PASS",K341="PASS"),"PASS","FAIL")</x:f>
        <x:v>PASS</x:v>
      </x:c>
    </x:row>
  </x:sheetData>
  <x:mergeCells>
    <x:mergeCell ref="B2:L2"/>
    <x:mergeCell ref="B3:L3"/>
  </x:mergeCells>
  <x:conditionalFormatting sqref="I7:L341">
    <x:cfRule type="containsText" dxfId="36" priority="1" operator="containsText" text="PASS"/>
    <x:cfRule type="containsText" dxfId="37" priority="2" operator="containsText" text="AUTHORIZED"/>
    <x:cfRule type="containsText" dxfId="38" priority="3" operator="containsText" text="PRESERVE"/>
    <x:cfRule type="containsText" dxfId="39" priority="4" operator="containsText" text="HOLD"/>
    <x:cfRule type="containsText" dxfId="40" priority="5" operator="containsText" text="OPEN"/>
    <x:cfRule type="containsText" dxfId="41" priority="6" operator="containsText" text="BLOCKED"/>
    <x:cfRule type="containsText" dxfId="42" priority="7" operator="containsText" text="FAIL"/>
    <x:cfRule type="containsText" dxfId="43" priority="8" operator="containsText" text="REDESIGN"/>
    <x:cfRule type="containsText" dxfId="44" priority="9" operator="containsText" text="INDETERMINATE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23" hidden="0" customWidth="1"/>
    <x:col min="3" max="3" width="18" hidden="0" customWidth="1"/>
    <x:col min="4" max="4" width="23" hidden="0" customWidth="1"/>
    <x:col min="5" max="5" width="27" hidden="0" customWidth="1"/>
    <x:col min="6" max="6" width="19" hidden="0" customWidth="1"/>
    <x:col min="7" max="7" width="18" hidden="0" customWidth="1"/>
    <x:col min="8" max="8" width="35" hidden="0" customWidth="1"/>
    <x:col min="9" max="9" width="18" hidden="0" customWidth="1"/>
    <x:col min="10" max="10" width="17" hidden="0" customWidth="1"/>
    <x:col min="11" max="11" width="16" hidden="0" customWidth="1"/>
    <x:col min="12" max="12" width="17" hidden="0" customWidth="1"/>
    <x:col min="13" max="13" width="15" hidden="0" customWidth="1"/>
    <x:col min="14" max="14" width="15" hidden="0" customWidth="1"/>
  </x:cols>
  <x:sheetData>
    <x:row r="2">
      <x:c r="B2" s="1" t="str">
        <x:v>Observation partition and schedule controls</x:v>
      </x:c>
      <x:c r="C2" s="36"/>
      <x:c r="D2" s="36"/>
      <x:c r="E2" s="36"/>
      <x:c r="F2" s="36"/>
      <x:c r="G2" s="36"/>
      <x:c r="H2" s="36"/>
      <x:c r="I2" s="36"/>
      <x:c r="J2" s="36"/>
      <x:c r="K2" s="36"/>
      <x:c r="L2" s="36"/>
      <x:c r="M2" s="36"/>
      <x:c r="N2" s="36"/>
    </x:row>
    <x:row r="3">
      <x:c r="B3" s="2" t="str">
        <x:v>Derived flags expose eligibility, censoring and overlap. They never alter the raw observation tables.</x:v>
      </x:c>
      <x:c r="C3" s="36"/>
      <x:c r="D3" s="36"/>
      <x:c r="E3" s="36"/>
      <x:c r="F3" s="36"/>
      <x:c r="G3" s="36"/>
      <x:c r="H3" s="36"/>
      <x:c r="I3" s="36"/>
      <x:c r="J3" s="36"/>
      <x:c r="K3" s="36"/>
      <x:c r="L3" s="36"/>
      <x:c r="M3" s="36"/>
      <x:c r="N3" s="36"/>
    </x:row>
    <x:row r="4">
      <x:c r="B4" s="37"/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</x:row>
    <x:row r="5">
      <x:c r="B5" s="36"/>
      <x:c r="C5" s="36"/>
      <x:c r="D5" s="36"/>
      <x:c r="E5" s="36"/>
      <x:c r="F5" s="36"/>
      <x:c r="G5" s="36"/>
      <x:c r="H5" s="36"/>
      <x:c r="I5" s="36"/>
      <x:c r="J5" s="36"/>
      <x:c r="K5" s="36"/>
      <x:c r="L5" s="36"/>
      <x:c r="M5" s="36"/>
      <x:c r="N5" s="36"/>
    </x:row>
    <x:row r="6">
      <x:c r="B6" s="7" t="str">
        <x:v>Token</x:v>
      </x:c>
      <x:c r="C6" s="7" t="str">
        <x:v>Lane</x:v>
      </x:c>
      <x:c r="D6" s="7" t="str">
        <x:v>Exposure</x:v>
      </x:c>
      <x:c r="E6" s="7" t="str">
        <x:v>Disposition</x:v>
      </x:c>
      <x:c r="F6" s="7" t="str">
        <x:v>Terminal</x:v>
      </x:c>
      <x:c r="G6" s="7" t="str">
        <x:v>Record complete</x:v>
      </x:c>
      <x:c r="H6" s="7" t="str">
        <x:v>Intrinsic eligible</x:v>
      </x:c>
      <x:c r="I6" s="7" t="str">
        <x:v>Intrinsic invalid</x:v>
      </x:c>
      <x:c r="J6" s="7" t="str">
        <x:v>Forced invalid</x:v>
      </x:c>
      <x:c r="K6" s="7" t="str">
        <x:v>Cycle eligible</x:v>
      </x:c>
      <x:c r="L6" s="7" t="str">
        <x:v>Packet eligible</x:v>
      </x:c>
      <x:c r="M6" s="7" t="str">
        <x:v>Overlap count</x:v>
      </x:c>
      <x:c r="N6" s="7" t="str">
        <x:v>Overlap gate</x:v>
      </x:c>
    </x:row>
    <x:row r="7">
      <x:c r="B7" s="9" t="str">
        <x:f>'Event Observations'!B7</x:f>
        <x:v>CW-C001</x:v>
      </x:c>
      <x:c r="C7" s="9" t="str">
        <x:f>'Event Observations'!C7</x:f>
        <x:v>Closure</x:v>
      </x:c>
      <x:c r="D7" s="9" t="str">
        <x:f>'Event Observations'!G7</x:f>
        <x:v>ROUTINE</x:v>
      </x:c>
      <x:c r="E7" s="9" t="str">
        <x:f>'Event Observations'!H7</x:f>
        <x:v>CREDITED</x:v>
      </x:c>
      <x:c r="F7" s="9" t="n">
        <x:f>'Event Observations'!J7</x:f>
        <x:v>1</x:v>
      </x:c>
      <x:c r="G7" s="9" t="n">
        <x:f>'Event Observations'!U7</x:f>
        <x:v>1</x:v>
      </x:c>
      <x:c r="H7" s="9" t="n">
        <x:f>IF(AND(D7="ROUTINE",F7=1,G7=1,OR(E7="CREDITED",E7="ARTICLE_FAILED",E7="INTRINSIC_RANGE_INVALID")),1,0)</x:f>
        <x:v>1</x:v>
      </x:c>
      <x:c r="I7" s="9" t="n">
        <x:f>IF(AND(H7=1,E7="INTRINSIC_RANGE_INVALID"),1,0)</x:f>
        <x:v>0</x:v>
      </x:c>
      <x:c r="J7" s="9" t="n">
        <x:f>IF(E7="FORCED_DENIAL_INVALID",1,0)</x:f>
        <x:v>0</x:v>
      </x:c>
      <x:c r="K7" s="9" t="n">
        <x:f>IF(AND('Event Observations'!K7=1,'Event Observations'!L7=0,G7=1),1,0)</x:f>
        <x:v>1</x:v>
      </x:c>
      <x:c r="L7" s="9" t="n">
        <x:f>IF(AND('Event Observations'!N7&lt;&gt;"",G7=1,'Event Observations'!L7=0),1,0)</x:f>
        <x:v>1</x:v>
      </x:c>
      <x:c r="M7" s="9" t="n">
        <x:v>0</x:v>
      </x:c>
      <x:c r="N7" s="9" t="str">
        <x:v>n.a.</x:v>
      </x:c>
    </x:row>
    <x:row r="8">
      <x:c r="B8" s="9" t="str">
        <x:f>'Event Observations'!B8</x:f>
        <x:v>CW-C002</x:v>
      </x:c>
      <x:c r="C8" s="9" t="str">
        <x:f>'Event Observations'!C8</x:f>
        <x:v>Closure</x:v>
      </x:c>
      <x:c r="D8" s="9" t="str">
        <x:f>'Event Observations'!G8</x:f>
        <x:v>ROUTINE</x:v>
      </x:c>
      <x:c r="E8" s="9" t="str">
        <x:f>'Event Observations'!H8</x:f>
        <x:v>CREDITED</x:v>
      </x:c>
      <x:c r="F8" s="9" t="n">
        <x:f>'Event Observations'!J8</x:f>
        <x:v>1</x:v>
      </x:c>
      <x:c r="G8" s="9" t="n">
        <x:f>'Event Observations'!U8</x:f>
        <x:v>1</x:v>
      </x:c>
      <x:c r="H8" s="9" t="n">
        <x:f>IF(AND(D8="ROUTINE",F8=1,G8=1,OR(E8="CREDITED",E8="ARTICLE_FAILED",E8="INTRINSIC_RANGE_INVALID")),1,0)</x:f>
        <x:v>1</x:v>
      </x:c>
      <x:c r="I8" s="9" t="n">
        <x:f>IF(AND(H8=1,E8="INTRINSIC_RANGE_INVALID"),1,0)</x:f>
        <x:v>0</x:v>
      </x:c>
      <x:c r="J8" s="9" t="n">
        <x:f>IF(E8="FORCED_DENIAL_INVALID",1,0)</x:f>
        <x:v>0</x:v>
      </x:c>
      <x:c r="K8" s="9" t="n">
        <x:f>IF(AND('Event Observations'!K8=1,'Event Observations'!L8=0,G8=1),1,0)</x:f>
        <x:v>1</x:v>
      </x:c>
      <x:c r="L8" s="9" t="n">
        <x:f>IF(AND('Event Observations'!N8&lt;&gt;"",G8=1,'Event Observations'!L8=0),1,0)</x:f>
        <x:v>1</x:v>
      </x:c>
      <x:c r="M8" s="9" t="n">
        <x:v>0</x:v>
      </x:c>
      <x:c r="N8" s="9" t="str">
        <x:v>n.a.</x:v>
      </x:c>
    </x:row>
    <x:row r="9">
      <x:c r="B9" s="9" t="str">
        <x:f>'Event Observations'!B9</x:f>
        <x:v>CW-C003</x:v>
      </x:c>
      <x:c r="C9" s="9" t="str">
        <x:f>'Event Observations'!C9</x:f>
        <x:v>Closure</x:v>
      </x:c>
      <x:c r="D9" s="9" t="str">
        <x:f>'Event Observations'!G9</x:f>
        <x:v>ROUTINE</x:v>
      </x:c>
      <x:c r="E9" s="9" t="str">
        <x:f>'Event Observations'!H9</x:f>
        <x:v>CREDITED</x:v>
      </x:c>
      <x:c r="F9" s="9" t="n">
        <x:f>'Event Observations'!J9</x:f>
        <x:v>1</x:v>
      </x:c>
      <x:c r="G9" s="9" t="n">
        <x:f>'Event Observations'!U9</x:f>
        <x:v>1</x:v>
      </x:c>
      <x:c r="H9" s="9" t="n">
        <x:f>IF(AND(D9="ROUTINE",F9=1,G9=1,OR(E9="CREDITED",E9="ARTICLE_FAILED",E9="INTRINSIC_RANGE_INVALID")),1,0)</x:f>
        <x:v>1</x:v>
      </x:c>
      <x:c r="I9" s="9" t="n">
        <x:f>IF(AND(H9=1,E9="INTRINSIC_RANGE_INVALID"),1,0)</x:f>
        <x:v>0</x:v>
      </x:c>
      <x:c r="J9" s="9" t="n">
        <x:f>IF(E9="FORCED_DENIAL_INVALID",1,0)</x:f>
        <x:v>0</x:v>
      </x:c>
      <x:c r="K9" s="9" t="n">
        <x:f>IF(AND('Event Observations'!K9=1,'Event Observations'!L9=0,G9=1),1,0)</x:f>
        <x:v>1</x:v>
      </x:c>
      <x:c r="L9" s="9" t="n">
        <x:f>IF(AND('Event Observations'!N9&lt;&gt;"",G9=1,'Event Observations'!L9=0),1,0)</x:f>
        <x:v>1</x:v>
      </x:c>
      <x:c r="M9" s="9" t="n">
        <x:v>0</x:v>
      </x:c>
      <x:c r="N9" s="9" t="str">
        <x:v>n.a.</x:v>
      </x:c>
    </x:row>
    <x:row r="10">
      <x:c r="B10" s="9" t="str">
        <x:f>'Event Observations'!B10</x:f>
        <x:v>CW-C004</x:v>
      </x:c>
      <x:c r="C10" s="9" t="str">
        <x:f>'Event Observations'!C10</x:f>
        <x:v>Closure</x:v>
      </x:c>
      <x:c r="D10" s="9" t="str">
        <x:f>'Event Observations'!G10</x:f>
        <x:v>ROUTINE</x:v>
      </x:c>
      <x:c r="E10" s="9" t="str">
        <x:f>'Event Observations'!H10</x:f>
        <x:v>CREDITED</x:v>
      </x:c>
      <x:c r="F10" s="9" t="n">
        <x:f>'Event Observations'!J10</x:f>
        <x:v>1</x:v>
      </x:c>
      <x:c r="G10" s="9" t="n">
        <x:f>'Event Observations'!U10</x:f>
        <x:v>1</x:v>
      </x:c>
      <x:c r="H10" s="9" t="n">
        <x:f>IF(AND(D10="ROUTINE",F10=1,G10=1,OR(E10="CREDITED",E10="ARTICLE_FAILED",E10="INTRINSIC_RANGE_INVALID")),1,0)</x:f>
        <x:v>1</x:v>
      </x:c>
      <x:c r="I10" s="9" t="n">
        <x:f>IF(AND(H10=1,E10="INTRINSIC_RANGE_INVALID"),1,0)</x:f>
        <x:v>0</x:v>
      </x:c>
      <x:c r="J10" s="9" t="n">
        <x:f>IF(E10="FORCED_DENIAL_INVALID",1,0)</x:f>
        <x:v>0</x:v>
      </x:c>
      <x:c r="K10" s="9" t="n">
        <x:f>IF(AND('Event Observations'!K10=1,'Event Observations'!L10=0,G10=1),1,0)</x:f>
        <x:v>1</x:v>
      </x:c>
      <x:c r="L10" s="9" t="n">
        <x:f>IF(AND('Event Observations'!N10&lt;&gt;"",G10=1,'Event Observations'!L10=0),1,0)</x:f>
        <x:v>1</x:v>
      </x:c>
      <x:c r="M10" s="9" t="n">
        <x:v>0</x:v>
      </x:c>
      <x:c r="N10" s="9" t="str">
        <x:v>n.a.</x:v>
      </x:c>
    </x:row>
    <x:row r="11">
      <x:c r="B11" s="9" t="str">
        <x:f>'Event Observations'!B11</x:f>
        <x:v>CW-C005</x:v>
      </x:c>
      <x:c r="C11" s="9" t="str">
        <x:f>'Event Observations'!C11</x:f>
        <x:v>Closure</x:v>
      </x:c>
      <x:c r="D11" s="9" t="str">
        <x:f>'Event Observations'!G11</x:f>
        <x:v>ROUTINE</x:v>
      </x:c>
      <x:c r="E11" s="9" t="str">
        <x:f>'Event Observations'!H11</x:f>
        <x:v>CREDITED</x:v>
      </x:c>
      <x:c r="F11" s="9" t="n">
        <x:f>'Event Observations'!J11</x:f>
        <x:v>1</x:v>
      </x:c>
      <x:c r="G11" s="9" t="n">
        <x:f>'Event Observations'!U11</x:f>
        <x:v>1</x:v>
      </x:c>
      <x:c r="H11" s="9" t="n">
        <x:f>IF(AND(D11="ROUTINE",F11=1,G11=1,OR(E11="CREDITED",E11="ARTICLE_FAILED",E11="INTRINSIC_RANGE_INVALID")),1,0)</x:f>
        <x:v>1</x:v>
      </x:c>
      <x:c r="I11" s="9" t="n">
        <x:f>IF(AND(H11=1,E11="INTRINSIC_RANGE_INVALID"),1,0)</x:f>
        <x:v>0</x:v>
      </x:c>
      <x:c r="J11" s="9" t="n">
        <x:f>IF(E11="FORCED_DENIAL_INVALID",1,0)</x:f>
        <x:v>0</x:v>
      </x:c>
      <x:c r="K11" s="9" t="n">
        <x:f>IF(AND('Event Observations'!K11=1,'Event Observations'!L11=0,G11=1),1,0)</x:f>
        <x:v>1</x:v>
      </x:c>
      <x:c r="L11" s="9" t="n">
        <x:f>IF(AND('Event Observations'!N11&lt;&gt;"",G11=1,'Event Observations'!L11=0),1,0)</x:f>
        <x:v>1</x:v>
      </x:c>
      <x:c r="M11" s="9" t="n">
        <x:v>0</x:v>
      </x:c>
      <x:c r="N11" s="9" t="str">
        <x:v>n.a.</x:v>
      </x:c>
    </x:row>
    <x:row r="12">
      <x:c r="B12" s="9" t="str">
        <x:f>'Event Observations'!B12</x:f>
        <x:v>CW-C006</x:v>
      </x:c>
      <x:c r="C12" s="9" t="str">
        <x:f>'Event Observations'!C12</x:f>
        <x:v>Closure</x:v>
      </x:c>
      <x:c r="D12" s="9" t="str">
        <x:f>'Event Observations'!G12</x:f>
        <x:v>ROUTINE</x:v>
      </x:c>
      <x:c r="E12" s="9" t="str">
        <x:f>'Event Observations'!H12</x:f>
        <x:v>CREDITED</x:v>
      </x:c>
      <x:c r="F12" s="9" t="n">
        <x:f>'Event Observations'!J12</x:f>
        <x:v>1</x:v>
      </x:c>
      <x:c r="G12" s="9" t="n">
        <x:f>'Event Observations'!U12</x:f>
        <x:v>1</x:v>
      </x:c>
      <x:c r="H12" s="9" t="n">
        <x:f>IF(AND(D12="ROUTINE",F12=1,G12=1,OR(E12="CREDITED",E12="ARTICLE_FAILED",E12="INTRINSIC_RANGE_INVALID")),1,0)</x:f>
        <x:v>1</x:v>
      </x:c>
      <x:c r="I12" s="9" t="n">
        <x:f>IF(AND(H12=1,E12="INTRINSIC_RANGE_INVALID"),1,0)</x:f>
        <x:v>0</x:v>
      </x:c>
      <x:c r="J12" s="9" t="n">
        <x:f>IF(E12="FORCED_DENIAL_INVALID",1,0)</x:f>
        <x:v>0</x:v>
      </x:c>
      <x:c r="K12" s="9" t="n">
        <x:f>IF(AND('Event Observations'!K12=1,'Event Observations'!L12=0,G12=1),1,0)</x:f>
        <x:v>1</x:v>
      </x:c>
      <x:c r="L12" s="9" t="n">
        <x:f>IF(AND('Event Observations'!N12&lt;&gt;"",G12=1,'Event Observations'!L12=0),1,0)</x:f>
        <x:v>1</x:v>
      </x:c>
      <x:c r="M12" s="9" t="n">
        <x:v>0</x:v>
      </x:c>
      <x:c r="N12" s="9" t="str">
        <x:v>n.a.</x:v>
      </x:c>
    </x:row>
    <x:row r="13">
      <x:c r="B13" s="9" t="str">
        <x:f>'Event Observations'!B13</x:f>
        <x:v>CW-C007</x:v>
      </x:c>
      <x:c r="C13" s="9" t="str">
        <x:f>'Event Observations'!C13</x:f>
        <x:v>Closure</x:v>
      </x:c>
      <x:c r="D13" s="9" t="str">
        <x:f>'Event Observations'!G13</x:f>
        <x:v>ROUTINE</x:v>
      </x:c>
      <x:c r="E13" s="9" t="str">
        <x:f>'Event Observations'!H13</x:f>
        <x:v>CREDITED</x:v>
      </x:c>
      <x:c r="F13" s="9" t="n">
        <x:f>'Event Observations'!J13</x:f>
        <x:v>1</x:v>
      </x:c>
      <x:c r="G13" s="9" t="n">
        <x:f>'Event Observations'!U13</x:f>
        <x:v>1</x:v>
      </x:c>
      <x:c r="H13" s="9" t="n">
        <x:f>IF(AND(D13="ROUTINE",F13=1,G13=1,OR(E13="CREDITED",E13="ARTICLE_FAILED",E13="INTRINSIC_RANGE_INVALID")),1,0)</x:f>
        <x:v>1</x:v>
      </x:c>
      <x:c r="I13" s="9" t="n">
        <x:f>IF(AND(H13=1,E13="INTRINSIC_RANGE_INVALID"),1,0)</x:f>
        <x:v>0</x:v>
      </x:c>
      <x:c r="J13" s="9" t="n">
        <x:f>IF(E13="FORCED_DENIAL_INVALID",1,0)</x:f>
        <x:v>0</x:v>
      </x:c>
      <x:c r="K13" s="9" t="n">
        <x:f>IF(AND('Event Observations'!K13=1,'Event Observations'!L13=0,G13=1),1,0)</x:f>
        <x:v>1</x:v>
      </x:c>
      <x:c r="L13" s="9" t="n">
        <x:f>IF(AND('Event Observations'!N13&lt;&gt;"",G13=1,'Event Observations'!L13=0),1,0)</x:f>
        <x:v>1</x:v>
      </x:c>
      <x:c r="M13" s="9" t="n">
        <x:v>0</x:v>
      </x:c>
      <x:c r="N13" s="9" t="str">
        <x:v>n.a.</x:v>
      </x:c>
    </x:row>
    <x:row r="14">
      <x:c r="B14" s="9" t="str">
        <x:f>'Event Observations'!B14</x:f>
        <x:v>CW-C008</x:v>
      </x:c>
      <x:c r="C14" s="9" t="str">
        <x:f>'Event Observations'!C14</x:f>
        <x:v>Closure</x:v>
      </x:c>
      <x:c r="D14" s="9" t="str">
        <x:f>'Event Observations'!G14</x:f>
        <x:v>ROUTINE</x:v>
      </x:c>
      <x:c r="E14" s="9" t="str">
        <x:f>'Event Observations'!H14</x:f>
        <x:v>CREDITED</x:v>
      </x:c>
      <x:c r="F14" s="9" t="n">
        <x:f>'Event Observations'!J14</x:f>
        <x:v>1</x:v>
      </x:c>
      <x:c r="G14" s="9" t="n">
        <x:f>'Event Observations'!U14</x:f>
        <x:v>1</x:v>
      </x:c>
      <x:c r="H14" s="9" t="n">
        <x:f>IF(AND(D14="ROUTINE",F14=1,G14=1,OR(E14="CREDITED",E14="ARTICLE_FAILED",E14="INTRINSIC_RANGE_INVALID")),1,0)</x:f>
        <x:v>1</x:v>
      </x:c>
      <x:c r="I14" s="9" t="n">
        <x:f>IF(AND(H14=1,E14="INTRINSIC_RANGE_INVALID"),1,0)</x:f>
        <x:v>0</x:v>
      </x:c>
      <x:c r="J14" s="9" t="n">
        <x:f>IF(E14="FORCED_DENIAL_INVALID",1,0)</x:f>
        <x:v>0</x:v>
      </x:c>
      <x:c r="K14" s="9" t="n">
        <x:f>IF(AND('Event Observations'!K14=1,'Event Observations'!L14=0,G14=1),1,0)</x:f>
        <x:v>1</x:v>
      </x:c>
      <x:c r="L14" s="9" t="n">
        <x:f>IF(AND('Event Observations'!N14&lt;&gt;"",G14=1,'Event Observations'!L14=0),1,0)</x:f>
        <x:v>1</x:v>
      </x:c>
      <x:c r="M14" s="9" t="n">
        <x:v>0</x:v>
      </x:c>
      <x:c r="N14" s="9" t="str">
        <x:v>n.a.</x:v>
      </x:c>
    </x:row>
    <x:row r="15">
      <x:c r="B15" s="9" t="str">
        <x:f>'Event Observations'!B15</x:f>
        <x:v>CW-C009</x:v>
      </x:c>
      <x:c r="C15" s="9" t="str">
        <x:f>'Event Observations'!C15</x:f>
        <x:v>Closure</x:v>
      </x:c>
      <x:c r="D15" s="9" t="str">
        <x:f>'Event Observations'!G15</x:f>
        <x:v>ROUTINE</x:v>
      </x:c>
      <x:c r="E15" s="9" t="str">
        <x:f>'Event Observations'!H15</x:f>
        <x:v>CREDITED</x:v>
      </x:c>
      <x:c r="F15" s="9" t="n">
        <x:f>'Event Observations'!J15</x:f>
        <x:v>1</x:v>
      </x:c>
      <x:c r="G15" s="9" t="n">
        <x:f>'Event Observations'!U15</x:f>
        <x:v>1</x:v>
      </x:c>
      <x:c r="H15" s="9" t="n">
        <x:f>IF(AND(D15="ROUTINE",F15=1,G15=1,OR(E15="CREDITED",E15="ARTICLE_FAILED",E15="INTRINSIC_RANGE_INVALID")),1,0)</x:f>
        <x:v>1</x:v>
      </x:c>
      <x:c r="I15" s="9" t="n">
        <x:f>IF(AND(H15=1,E15="INTRINSIC_RANGE_INVALID"),1,0)</x:f>
        <x:v>0</x:v>
      </x:c>
      <x:c r="J15" s="9" t="n">
        <x:f>IF(E15="FORCED_DENIAL_INVALID",1,0)</x:f>
        <x:v>0</x:v>
      </x:c>
      <x:c r="K15" s="9" t="n">
        <x:f>IF(AND('Event Observations'!K15=1,'Event Observations'!L15=0,G15=1),1,0)</x:f>
        <x:v>1</x:v>
      </x:c>
      <x:c r="L15" s="9" t="n">
        <x:f>IF(AND('Event Observations'!N15&lt;&gt;"",G15=1,'Event Observations'!L15=0),1,0)</x:f>
        <x:v>1</x:v>
      </x:c>
      <x:c r="M15" s="9" t="n">
        <x:v>0</x:v>
      </x:c>
      <x:c r="N15" s="9" t="str">
        <x:v>n.a.</x:v>
      </x:c>
    </x:row>
    <x:row r="16">
      <x:c r="B16" s="9" t="str">
        <x:f>'Event Observations'!B16</x:f>
        <x:v>CW-C010</x:v>
      </x:c>
      <x:c r="C16" s="9" t="str">
        <x:f>'Event Observations'!C16</x:f>
        <x:v>Closure</x:v>
      </x:c>
      <x:c r="D16" s="9" t="str">
        <x:f>'Event Observations'!G16</x:f>
        <x:v>ROUTINE</x:v>
      </x:c>
      <x:c r="E16" s="9" t="str">
        <x:f>'Event Observations'!H16</x:f>
        <x:v>CREDITED</x:v>
      </x:c>
      <x:c r="F16" s="9" t="n">
        <x:f>'Event Observations'!J16</x:f>
        <x:v>1</x:v>
      </x:c>
      <x:c r="G16" s="9" t="n">
        <x:f>'Event Observations'!U16</x:f>
        <x:v>1</x:v>
      </x:c>
      <x:c r="H16" s="9" t="n">
        <x:f>IF(AND(D16="ROUTINE",F16=1,G16=1,OR(E16="CREDITED",E16="ARTICLE_FAILED",E16="INTRINSIC_RANGE_INVALID")),1,0)</x:f>
        <x:v>1</x:v>
      </x:c>
      <x:c r="I16" s="9" t="n">
        <x:f>IF(AND(H16=1,E16="INTRINSIC_RANGE_INVALID"),1,0)</x:f>
        <x:v>0</x:v>
      </x:c>
      <x:c r="J16" s="9" t="n">
        <x:f>IF(E16="FORCED_DENIAL_INVALID",1,0)</x:f>
        <x:v>0</x:v>
      </x:c>
      <x:c r="K16" s="9" t="n">
        <x:f>IF(AND('Event Observations'!K16=1,'Event Observations'!L16=0,G16=1),1,0)</x:f>
        <x:v>1</x:v>
      </x:c>
      <x:c r="L16" s="9" t="n">
        <x:f>IF(AND('Event Observations'!N16&lt;&gt;"",G16=1,'Event Observations'!L16=0),1,0)</x:f>
        <x:v>1</x:v>
      </x:c>
      <x:c r="M16" s="9" t="n">
        <x:v>0</x:v>
      </x:c>
      <x:c r="N16" s="9" t="str">
        <x:v>n.a.</x:v>
      </x:c>
    </x:row>
    <x:row r="17">
      <x:c r="B17" s="9" t="str">
        <x:f>'Event Observations'!B17</x:f>
        <x:v>CW-C011</x:v>
      </x:c>
      <x:c r="C17" s="9" t="str">
        <x:f>'Event Observations'!C17</x:f>
        <x:v>Closure</x:v>
      </x:c>
      <x:c r="D17" s="9" t="str">
        <x:f>'Event Observations'!G17</x:f>
        <x:v>ROUTINE</x:v>
      </x:c>
      <x:c r="E17" s="9" t="str">
        <x:f>'Event Observations'!H17</x:f>
        <x:v>CREDITED</x:v>
      </x:c>
      <x:c r="F17" s="9" t="n">
        <x:f>'Event Observations'!J17</x:f>
        <x:v>1</x:v>
      </x:c>
      <x:c r="G17" s="9" t="n">
        <x:f>'Event Observations'!U17</x:f>
        <x:v>1</x:v>
      </x:c>
      <x:c r="H17" s="9" t="n">
        <x:f>IF(AND(D17="ROUTINE",F17=1,G17=1,OR(E17="CREDITED",E17="ARTICLE_FAILED",E17="INTRINSIC_RANGE_INVALID")),1,0)</x:f>
        <x:v>1</x:v>
      </x:c>
      <x:c r="I17" s="9" t="n">
        <x:f>IF(AND(H17=1,E17="INTRINSIC_RANGE_INVALID"),1,0)</x:f>
        <x:v>0</x:v>
      </x:c>
      <x:c r="J17" s="9" t="n">
        <x:f>IF(E17="FORCED_DENIAL_INVALID",1,0)</x:f>
        <x:v>0</x:v>
      </x:c>
      <x:c r="K17" s="9" t="n">
        <x:f>IF(AND('Event Observations'!K17=1,'Event Observations'!L17=0,G17=1),1,0)</x:f>
        <x:v>1</x:v>
      </x:c>
      <x:c r="L17" s="9" t="n">
        <x:f>IF(AND('Event Observations'!N17&lt;&gt;"",G17=1,'Event Observations'!L17=0),1,0)</x:f>
        <x:v>1</x:v>
      </x:c>
      <x:c r="M17" s="9" t="n">
        <x:v>0</x:v>
      </x:c>
      <x:c r="N17" s="9" t="str">
        <x:v>n.a.</x:v>
      </x:c>
    </x:row>
    <x:row r="18">
      <x:c r="B18" s="9" t="str">
        <x:f>'Event Observations'!B18</x:f>
        <x:v>CW-C012</x:v>
      </x:c>
      <x:c r="C18" s="9" t="str">
        <x:f>'Event Observations'!C18</x:f>
        <x:v>Closure</x:v>
      </x:c>
      <x:c r="D18" s="9" t="str">
        <x:f>'Event Observations'!G18</x:f>
        <x:v>ROUTINE</x:v>
      </x:c>
      <x:c r="E18" s="9" t="str">
        <x:f>'Event Observations'!H18</x:f>
        <x:v>CREDITED</x:v>
      </x:c>
      <x:c r="F18" s="9" t="n">
        <x:f>'Event Observations'!J18</x:f>
        <x:v>1</x:v>
      </x:c>
      <x:c r="G18" s="9" t="n">
        <x:f>'Event Observations'!U18</x:f>
        <x:v>1</x:v>
      </x:c>
      <x:c r="H18" s="9" t="n">
        <x:f>IF(AND(D18="ROUTINE",F18=1,G18=1,OR(E18="CREDITED",E18="ARTICLE_FAILED",E18="INTRINSIC_RANGE_INVALID")),1,0)</x:f>
        <x:v>1</x:v>
      </x:c>
      <x:c r="I18" s="9" t="n">
        <x:f>IF(AND(H18=1,E18="INTRINSIC_RANGE_INVALID"),1,0)</x:f>
        <x:v>0</x:v>
      </x:c>
      <x:c r="J18" s="9" t="n">
        <x:f>IF(E18="FORCED_DENIAL_INVALID",1,0)</x:f>
        <x:v>0</x:v>
      </x:c>
      <x:c r="K18" s="9" t="n">
        <x:f>IF(AND('Event Observations'!K18=1,'Event Observations'!L18=0,G18=1),1,0)</x:f>
        <x:v>1</x:v>
      </x:c>
      <x:c r="L18" s="9" t="n">
        <x:f>IF(AND('Event Observations'!N18&lt;&gt;"",G18=1,'Event Observations'!L18=0),1,0)</x:f>
        <x:v>1</x:v>
      </x:c>
      <x:c r="M18" s="9" t="n">
        <x:v>0</x:v>
      </x:c>
      <x:c r="N18" s="9" t="str">
        <x:v>n.a.</x:v>
      </x:c>
    </x:row>
    <x:row r="19">
      <x:c r="B19" s="9" t="str">
        <x:f>'Event Observations'!B19</x:f>
        <x:v>CW-C013</x:v>
      </x:c>
      <x:c r="C19" s="9" t="str">
        <x:f>'Event Observations'!C19</x:f>
        <x:v>Closure</x:v>
      </x:c>
      <x:c r="D19" s="9" t="str">
        <x:f>'Event Observations'!G19</x:f>
        <x:v>ROUTINE</x:v>
      </x:c>
      <x:c r="E19" s="9" t="str">
        <x:f>'Event Observations'!H19</x:f>
        <x:v>CREDITED</x:v>
      </x:c>
      <x:c r="F19" s="9" t="n">
        <x:f>'Event Observations'!J19</x:f>
        <x:v>1</x:v>
      </x:c>
      <x:c r="G19" s="9" t="n">
        <x:f>'Event Observations'!U19</x:f>
        <x:v>1</x:v>
      </x:c>
      <x:c r="H19" s="9" t="n">
        <x:f>IF(AND(D19="ROUTINE",F19=1,G19=1,OR(E19="CREDITED",E19="ARTICLE_FAILED",E19="INTRINSIC_RANGE_INVALID")),1,0)</x:f>
        <x:v>1</x:v>
      </x:c>
      <x:c r="I19" s="9" t="n">
        <x:f>IF(AND(H19=1,E19="INTRINSIC_RANGE_INVALID"),1,0)</x:f>
        <x:v>0</x:v>
      </x:c>
      <x:c r="J19" s="9" t="n">
        <x:f>IF(E19="FORCED_DENIAL_INVALID",1,0)</x:f>
        <x:v>0</x:v>
      </x:c>
      <x:c r="K19" s="9" t="n">
        <x:f>IF(AND('Event Observations'!K19=1,'Event Observations'!L19=0,G19=1),1,0)</x:f>
        <x:v>1</x:v>
      </x:c>
      <x:c r="L19" s="9" t="n">
        <x:f>IF(AND('Event Observations'!N19&lt;&gt;"",G19=1,'Event Observations'!L19=0),1,0)</x:f>
        <x:v>1</x:v>
      </x:c>
      <x:c r="M19" s="9" t="n">
        <x:v>0</x:v>
      </x:c>
      <x:c r="N19" s="9" t="str">
        <x:v>n.a.</x:v>
      </x:c>
    </x:row>
    <x:row r="20">
      <x:c r="B20" s="9" t="str">
        <x:f>'Event Observations'!B20</x:f>
        <x:v>CW-C014</x:v>
      </x:c>
      <x:c r="C20" s="9" t="str">
        <x:f>'Event Observations'!C20</x:f>
        <x:v>Closure</x:v>
      </x:c>
      <x:c r="D20" s="9" t="str">
        <x:f>'Event Observations'!G20</x:f>
        <x:v>FORCED_INTERVENTION</x:v>
      </x:c>
      <x:c r="E20" s="9" t="str">
        <x:f>'Event Observations'!H20</x:f>
        <x:v>FORCED_DENIAL_INVALID</x:v>
      </x:c>
      <x:c r="F20" s="9" t="n">
        <x:f>'Event Observations'!J20</x:f>
        <x:v>1</x:v>
      </x:c>
      <x:c r="G20" s="9" t="n">
        <x:f>'Event Observations'!U20</x:f>
        <x:v>1</x:v>
      </x:c>
      <x:c r="H20" s="9" t="n">
        <x:f>IF(AND(D20="ROUTINE",F20=1,G20=1,OR(E20="CREDITED",E20="ARTICLE_FAILED",E20="INTRINSIC_RANGE_INVALID")),1,0)</x:f>
        <x:v>0</x:v>
      </x:c>
      <x:c r="I20" s="9" t="n">
        <x:f>IF(AND(H20=1,E20="INTRINSIC_RANGE_INVALID"),1,0)</x:f>
        <x:v>0</x:v>
      </x:c>
      <x:c r="J20" s="9" t="n">
        <x:f>IF(E20="FORCED_DENIAL_INVALID",1,0)</x:f>
        <x:v>1</x:v>
      </x:c>
      <x:c r="K20" s="9" t="n">
        <x:f>IF(AND('Event Observations'!K20=1,'Event Observations'!L20=0,G20=1),1,0)</x:f>
        <x:v>0</x:v>
      </x:c>
      <x:c r="L20" s="9" t="n">
        <x:f>IF(AND('Event Observations'!N20&lt;&gt;"",G20=1,'Event Observations'!L20=0),1,0)</x:f>
        <x:v>0</x:v>
      </x:c>
      <x:c r="M20" s="9" t="n">
        <x:v>0</x:v>
      </x:c>
      <x:c r="N20" s="9" t="str">
        <x:v>n.a.</x:v>
      </x:c>
    </x:row>
    <x:row r="21">
      <x:c r="B21" s="9" t="str">
        <x:f>'Event Observations'!B21</x:f>
        <x:v>CW-C015</x:v>
      </x:c>
      <x:c r="C21" s="9" t="str">
        <x:f>'Event Observations'!C21</x:f>
        <x:v>Closure</x:v>
      </x:c>
      <x:c r="D21" s="9" t="str">
        <x:f>'Event Observations'!G21</x:f>
        <x:v>FORCED_INTERVENTION</x:v>
      </x:c>
      <x:c r="E21" s="9" t="str">
        <x:f>'Event Observations'!H21</x:f>
        <x:v>FORCED_DENIAL_INVALID</x:v>
      </x:c>
      <x:c r="F21" s="9" t="n">
        <x:f>'Event Observations'!J21</x:f>
        <x:v>1</x:v>
      </x:c>
      <x:c r="G21" s="9" t="n">
        <x:f>'Event Observations'!U21</x:f>
        <x:v>1</x:v>
      </x:c>
      <x:c r="H21" s="9" t="n">
        <x:f>IF(AND(D21="ROUTINE",F21=1,G21=1,OR(E21="CREDITED",E21="ARTICLE_FAILED",E21="INTRINSIC_RANGE_INVALID")),1,0)</x:f>
        <x:v>0</x:v>
      </x:c>
      <x:c r="I21" s="9" t="n">
        <x:f>IF(AND(H21=1,E21="INTRINSIC_RANGE_INVALID"),1,0)</x:f>
        <x:v>0</x:v>
      </x:c>
      <x:c r="J21" s="9" t="n">
        <x:f>IF(E21="FORCED_DENIAL_INVALID",1,0)</x:f>
        <x:v>1</x:v>
      </x:c>
      <x:c r="K21" s="9" t="n">
        <x:f>IF(AND('Event Observations'!K21=1,'Event Observations'!L21=0,G21=1),1,0)</x:f>
        <x:v>0</x:v>
      </x:c>
      <x:c r="L21" s="9" t="n">
        <x:f>IF(AND('Event Observations'!N21&lt;&gt;"",G21=1,'Event Observations'!L21=0),1,0)</x:f>
        <x:v>0</x:v>
      </x:c>
      <x:c r="M21" s="9" t="n">
        <x:v>0</x:v>
      </x:c>
      <x:c r="N21" s="9" t="str">
        <x:v>n.a.</x:v>
      </x:c>
    </x:row>
    <x:row r="22">
      <x:c r="B22" s="9" t="str">
        <x:f>'Event Observations'!B22</x:f>
        <x:v>CW-C016</x:v>
      </x:c>
      <x:c r="C22" s="9" t="str">
        <x:f>'Event Observations'!C22</x:f>
        <x:v>Closure</x:v>
      </x:c>
      <x:c r="D22" s="9" t="str">
        <x:f>'Event Observations'!G22</x:f>
        <x:v>ROUTINE</x:v>
      </x:c>
      <x:c r="E22" s="9" t="str">
        <x:f>'Event Observations'!H22</x:f>
        <x:v>CREDITED</x:v>
      </x:c>
      <x:c r="F22" s="9" t="n">
        <x:f>'Event Observations'!J22</x:f>
        <x:v>1</x:v>
      </x:c>
      <x:c r="G22" s="9" t="n">
        <x:f>'Event Observations'!U22</x:f>
        <x:v>1</x:v>
      </x:c>
      <x:c r="H22" s="9" t="n">
        <x:f>IF(AND(D22="ROUTINE",F22=1,G22=1,OR(E22="CREDITED",E22="ARTICLE_FAILED",E22="INTRINSIC_RANGE_INVALID")),1,0)</x:f>
        <x:v>1</x:v>
      </x:c>
      <x:c r="I22" s="9" t="n">
        <x:f>IF(AND(H22=1,E22="INTRINSIC_RANGE_INVALID"),1,0)</x:f>
        <x:v>0</x:v>
      </x:c>
      <x:c r="J22" s="9" t="n">
        <x:f>IF(E22="FORCED_DENIAL_INVALID",1,0)</x:f>
        <x:v>0</x:v>
      </x:c>
      <x:c r="K22" s="9" t="n">
        <x:f>IF(AND('Event Observations'!K22=1,'Event Observations'!L22=0,G22=1),1,0)</x:f>
        <x:v>1</x:v>
      </x:c>
      <x:c r="L22" s="9" t="n">
        <x:f>IF(AND('Event Observations'!N22&lt;&gt;"",G22=1,'Event Observations'!L22=0),1,0)</x:f>
        <x:v>1</x:v>
      </x:c>
      <x:c r="M22" s="9" t="n">
        <x:v>0</x:v>
      </x:c>
      <x:c r="N22" s="9" t="str">
        <x:v>n.a.</x:v>
      </x:c>
    </x:row>
    <x:row r="23">
      <x:c r="B23" s="9" t="str">
        <x:f>'Event Observations'!B23</x:f>
        <x:v>CW-C017</x:v>
      </x:c>
      <x:c r="C23" s="9" t="str">
        <x:f>'Event Observations'!C23</x:f>
        <x:v>Closure</x:v>
      </x:c>
      <x:c r="D23" s="9" t="str">
        <x:f>'Event Observations'!G23</x:f>
        <x:v>ROUTINE</x:v>
      </x:c>
      <x:c r="E23" s="9" t="str">
        <x:f>'Event Observations'!H23</x:f>
        <x:v>CREDITED</x:v>
      </x:c>
      <x:c r="F23" s="9" t="n">
        <x:f>'Event Observations'!J23</x:f>
        <x:v>1</x:v>
      </x:c>
      <x:c r="G23" s="9" t="n">
        <x:f>'Event Observations'!U23</x:f>
        <x:v>1</x:v>
      </x:c>
      <x:c r="H23" s="9" t="n">
        <x:f>IF(AND(D23="ROUTINE",F23=1,G23=1,OR(E23="CREDITED",E23="ARTICLE_FAILED",E23="INTRINSIC_RANGE_INVALID")),1,0)</x:f>
        <x:v>1</x:v>
      </x:c>
      <x:c r="I23" s="9" t="n">
        <x:f>IF(AND(H23=1,E23="INTRINSIC_RANGE_INVALID"),1,0)</x:f>
        <x:v>0</x:v>
      </x:c>
      <x:c r="J23" s="9" t="n">
        <x:f>IF(E23="FORCED_DENIAL_INVALID",1,0)</x:f>
        <x:v>0</x:v>
      </x:c>
      <x:c r="K23" s="9" t="n">
        <x:f>IF(AND('Event Observations'!K23=1,'Event Observations'!L23=0,G23=1),1,0)</x:f>
        <x:v>1</x:v>
      </x:c>
      <x:c r="L23" s="9" t="n">
        <x:f>IF(AND('Event Observations'!N23&lt;&gt;"",G23=1,'Event Observations'!L23=0),1,0)</x:f>
        <x:v>1</x:v>
      </x:c>
      <x:c r="M23" s="9" t="n">
        <x:v>0</x:v>
      </x:c>
      <x:c r="N23" s="9" t="str">
        <x:v>n.a.</x:v>
      </x:c>
    </x:row>
    <x:row r="24">
      <x:c r="B24" s="9" t="str">
        <x:f>'Event Observations'!B24</x:f>
        <x:v>CW-C018</x:v>
      </x:c>
      <x:c r="C24" s="9" t="str">
        <x:f>'Event Observations'!C24</x:f>
        <x:v>Closure</x:v>
      </x:c>
      <x:c r="D24" s="9" t="str">
        <x:f>'Event Observations'!G24</x:f>
        <x:v>ROUTINE</x:v>
      </x:c>
      <x:c r="E24" s="9" t="str">
        <x:f>'Event Observations'!H24</x:f>
        <x:v>CREDITED</x:v>
      </x:c>
      <x:c r="F24" s="9" t="n">
        <x:f>'Event Observations'!J24</x:f>
        <x:v>1</x:v>
      </x:c>
      <x:c r="G24" s="9" t="n">
        <x:f>'Event Observations'!U24</x:f>
        <x:v>1</x:v>
      </x:c>
      <x:c r="H24" s="9" t="n">
        <x:f>IF(AND(D24="ROUTINE",F24=1,G24=1,OR(E24="CREDITED",E24="ARTICLE_FAILED",E24="INTRINSIC_RANGE_INVALID")),1,0)</x:f>
        <x:v>1</x:v>
      </x:c>
      <x:c r="I24" s="9" t="n">
        <x:f>IF(AND(H24=1,E24="INTRINSIC_RANGE_INVALID"),1,0)</x:f>
        <x:v>0</x:v>
      </x:c>
      <x:c r="J24" s="9" t="n">
        <x:f>IF(E24="FORCED_DENIAL_INVALID",1,0)</x:f>
        <x:v>0</x:v>
      </x:c>
      <x:c r="K24" s="9" t="n">
        <x:f>IF(AND('Event Observations'!K24=1,'Event Observations'!L24=0,G24=1),1,0)</x:f>
        <x:v>1</x:v>
      </x:c>
      <x:c r="L24" s="9" t="n">
        <x:f>IF(AND('Event Observations'!N24&lt;&gt;"",G24=1,'Event Observations'!L24=0),1,0)</x:f>
        <x:v>1</x:v>
      </x:c>
      <x:c r="M24" s="9" t="n">
        <x:v>0</x:v>
      </x:c>
      <x:c r="N24" s="9" t="str">
        <x:v>n.a.</x:v>
      </x:c>
    </x:row>
    <x:row r="25">
      <x:c r="B25" s="9" t="str">
        <x:f>'Event Observations'!B25</x:f>
        <x:v>CW-CR01</x:v>
      </x:c>
      <x:c r="C25" s="9" t="str">
        <x:f>'Event Observations'!C25</x:f>
        <x:v>Closure</x:v>
      </x:c>
      <x:c r="D25" s="9" t="str">
        <x:f>'Event Observations'!G25</x:f>
        <x:v>ROUTINE</x:v>
      </x:c>
      <x:c r="E25" s="9" t="str">
        <x:f>'Event Observations'!H25</x:f>
        <x:v>CREDITED</x:v>
      </x:c>
      <x:c r="F25" s="9" t="n">
        <x:f>'Event Observations'!J25</x:f>
        <x:v>1</x:v>
      </x:c>
      <x:c r="G25" s="9" t="n">
        <x:f>'Event Observations'!U25</x:f>
        <x:v>1</x:v>
      </x:c>
      <x:c r="H25" s="9" t="n">
        <x:f>IF(AND(D25="ROUTINE",F25=1,G25=1,OR(E25="CREDITED",E25="ARTICLE_FAILED",E25="INTRINSIC_RANGE_INVALID")),1,0)</x:f>
        <x:v>1</x:v>
      </x:c>
      <x:c r="I25" s="9" t="n">
        <x:f>IF(AND(H25=1,E25="INTRINSIC_RANGE_INVALID"),1,0)</x:f>
        <x:v>0</x:v>
      </x:c>
      <x:c r="J25" s="9" t="n">
        <x:f>IF(E25="FORCED_DENIAL_INVALID",1,0)</x:f>
        <x:v>0</x:v>
      </x:c>
      <x:c r="K25" s="9" t="n">
        <x:f>IF(AND('Event Observations'!K25=1,'Event Observations'!L25=0,G25=1),1,0)</x:f>
        <x:v>1</x:v>
      </x:c>
      <x:c r="L25" s="9" t="n">
        <x:f>IF(AND('Event Observations'!N25&lt;&gt;"",G25=1,'Event Observations'!L25=0),1,0)</x:f>
        <x:v>1</x:v>
      </x:c>
      <x:c r="M25" s="9" t="n">
        <x:v>0</x:v>
      </x:c>
      <x:c r="N25" s="9" t="str">
        <x:v>n.a.</x:v>
      </x:c>
    </x:row>
    <x:row r="26">
      <x:c r="B26" s="9" t="str">
        <x:f>'Event Observations'!B26</x:f>
        <x:v>CW-CR02</x:v>
      </x:c>
      <x:c r="C26" s="9" t="str">
        <x:f>'Event Observations'!C26</x:f>
        <x:v>Closure</x:v>
      </x:c>
      <x:c r="D26" s="9" t="str">
        <x:f>'Event Observations'!G26</x:f>
        <x:v>ROUTINE</x:v>
      </x:c>
      <x:c r="E26" s="9" t="str">
        <x:f>'Event Observations'!H26</x:f>
        <x:v>CREDITED</x:v>
      </x:c>
      <x:c r="F26" s="9" t="n">
        <x:f>'Event Observations'!J26</x:f>
        <x:v>1</x:v>
      </x:c>
      <x:c r="G26" s="9" t="n">
        <x:f>'Event Observations'!U26</x:f>
        <x:v>1</x:v>
      </x:c>
      <x:c r="H26" s="9" t="n">
        <x:f>IF(AND(D26="ROUTINE",F26=1,G26=1,OR(E26="CREDITED",E26="ARTICLE_FAILED",E26="INTRINSIC_RANGE_INVALID")),1,0)</x:f>
        <x:v>1</x:v>
      </x:c>
      <x:c r="I26" s="9" t="n">
        <x:f>IF(AND(H26=1,E26="INTRINSIC_RANGE_INVALID"),1,0)</x:f>
        <x:v>0</x:v>
      </x:c>
      <x:c r="J26" s="9" t="n">
        <x:f>IF(E26="FORCED_DENIAL_INVALID",1,0)</x:f>
        <x:v>0</x:v>
      </x:c>
      <x:c r="K26" s="9" t="n">
        <x:f>IF(AND('Event Observations'!K26=1,'Event Observations'!L26=0,G26=1),1,0)</x:f>
        <x:v>1</x:v>
      </x:c>
      <x:c r="L26" s="9" t="n">
        <x:f>IF(AND('Event Observations'!N26&lt;&gt;"",G26=1,'Event Observations'!L26=0),1,0)</x:f>
        <x:v>1</x:v>
      </x:c>
      <x:c r="M26" s="9" t="n">
        <x:v>0</x:v>
      </x:c>
      <x:c r="N26" s="9" t="str">
        <x:v>n.a.</x:v>
      </x:c>
    </x:row>
    <x:row r="27">
      <x:c r="B27" s="9" t="str">
        <x:f>'Event Observations'!B27</x:f>
        <x:v>CW-D001</x:v>
      </x:c>
      <x:c r="C27" s="9" t="str">
        <x:f>'Event Observations'!C27</x:f>
        <x:v>Damage</x:v>
      </x:c>
      <x:c r="D27" s="9" t="str">
        <x:f>'Event Observations'!G27</x:f>
        <x:v>ROUTINE</x:v>
      </x:c>
      <x:c r="E27" s="9" t="str">
        <x:f>'Event Observations'!H27</x:f>
        <x:v>CREDITED</x:v>
      </x:c>
      <x:c r="F27" s="9" t="n">
        <x:f>'Event Observations'!J27</x:f>
        <x:v>1</x:v>
      </x:c>
      <x:c r="G27" s="9" t="n">
        <x:f>'Event Observations'!U27</x:f>
        <x:v>1</x:v>
      </x:c>
      <x:c r="H27" s="9" t="n">
        <x:f>IF(AND(D27="ROUTINE",F27=1,G27=1,OR(E27="CREDITED",E27="ARTICLE_FAILED",E27="INTRINSIC_RANGE_INVALID")),1,0)</x:f>
        <x:v>1</x:v>
      </x:c>
      <x:c r="I27" s="9" t="n">
        <x:f>IF(AND(H27=1,E27="INTRINSIC_RANGE_INVALID"),1,0)</x:f>
        <x:v>0</x:v>
      </x:c>
      <x:c r="J27" s="9" t="n">
        <x:f>IF(E27="FORCED_DENIAL_INVALID",1,0)</x:f>
        <x:v>0</x:v>
      </x:c>
      <x:c r="K27" s="9" t="n">
        <x:f>IF(AND('Event Observations'!K27=1,'Event Observations'!L27=0,G27=1),1,0)</x:f>
        <x:v>1</x:v>
      </x:c>
      <x:c r="L27" s="9" t="n">
        <x:f>IF(AND('Event Observations'!N27&lt;&gt;"",G27=1,'Event Observations'!L27=0),1,0)</x:f>
        <x:v>1</x:v>
      </x:c>
      <x:c r="M27" s="9" t="n">
        <x:v>0</x:v>
      </x:c>
      <x:c r="N27" s="9" t="str">
        <x:v>n.a.</x:v>
      </x:c>
    </x:row>
    <x:row r="28">
      <x:c r="B28" s="9" t="str">
        <x:f>'Event Observations'!B28</x:f>
        <x:v>CW-D002</x:v>
      </x:c>
      <x:c r="C28" s="9" t="str">
        <x:f>'Event Observations'!C28</x:f>
        <x:v>Damage</x:v>
      </x:c>
      <x:c r="D28" s="9" t="str">
        <x:f>'Event Observations'!G28</x:f>
        <x:v>ROUTINE</x:v>
      </x:c>
      <x:c r="E28" s="9" t="str">
        <x:f>'Event Observations'!H28</x:f>
        <x:v>CREDITED</x:v>
      </x:c>
      <x:c r="F28" s="9" t="n">
        <x:f>'Event Observations'!J28</x:f>
        <x:v>1</x:v>
      </x:c>
      <x:c r="G28" s="9" t="n">
        <x:f>'Event Observations'!U28</x:f>
        <x:v>1</x:v>
      </x:c>
      <x:c r="H28" s="9" t="n">
        <x:f>IF(AND(D28="ROUTINE",F28=1,G28=1,OR(E28="CREDITED",E28="ARTICLE_FAILED",E28="INTRINSIC_RANGE_INVALID")),1,0)</x:f>
        <x:v>1</x:v>
      </x:c>
      <x:c r="I28" s="9" t="n">
        <x:f>IF(AND(H28=1,E28="INTRINSIC_RANGE_INVALID"),1,0)</x:f>
        <x:v>0</x:v>
      </x:c>
      <x:c r="J28" s="9" t="n">
        <x:f>IF(E28="FORCED_DENIAL_INVALID",1,0)</x:f>
        <x:v>0</x:v>
      </x:c>
      <x:c r="K28" s="9" t="n">
        <x:f>IF(AND('Event Observations'!K28=1,'Event Observations'!L28=0,G28=1),1,0)</x:f>
        <x:v>1</x:v>
      </x:c>
      <x:c r="L28" s="9" t="n">
        <x:f>IF(AND('Event Observations'!N28&lt;&gt;"",G28=1,'Event Observations'!L28=0),1,0)</x:f>
        <x:v>1</x:v>
      </x:c>
      <x:c r="M28" s="9" t="n">
        <x:v>0</x:v>
      </x:c>
      <x:c r="N28" s="9" t="str">
        <x:v>n.a.</x:v>
      </x:c>
    </x:row>
    <x:row r="29">
      <x:c r="B29" s="9" t="str">
        <x:f>'Event Observations'!B29</x:f>
        <x:v>CW-D003</x:v>
      </x:c>
      <x:c r="C29" s="9" t="str">
        <x:f>'Event Observations'!C29</x:f>
        <x:v>Damage</x:v>
      </x:c>
      <x:c r="D29" s="9" t="str">
        <x:f>'Event Observations'!G29</x:f>
        <x:v>ROUTINE</x:v>
      </x:c>
      <x:c r="E29" s="9" t="str">
        <x:f>'Event Observations'!H29</x:f>
        <x:v>CREDITED</x:v>
      </x:c>
      <x:c r="F29" s="9" t="n">
        <x:f>'Event Observations'!J29</x:f>
        <x:v>1</x:v>
      </x:c>
      <x:c r="G29" s="9" t="n">
        <x:f>'Event Observations'!U29</x:f>
        <x:v>1</x:v>
      </x:c>
      <x:c r="H29" s="9" t="n">
        <x:f>IF(AND(D29="ROUTINE",F29=1,G29=1,OR(E29="CREDITED",E29="ARTICLE_FAILED",E29="INTRINSIC_RANGE_INVALID")),1,0)</x:f>
        <x:v>1</x:v>
      </x:c>
      <x:c r="I29" s="9" t="n">
        <x:f>IF(AND(H29=1,E29="INTRINSIC_RANGE_INVALID"),1,0)</x:f>
        <x:v>0</x:v>
      </x:c>
      <x:c r="J29" s="9" t="n">
        <x:f>IF(E29="FORCED_DENIAL_INVALID",1,0)</x:f>
        <x:v>0</x:v>
      </x:c>
      <x:c r="K29" s="9" t="n">
        <x:f>IF(AND('Event Observations'!K29=1,'Event Observations'!L29=0,G29=1),1,0)</x:f>
        <x:v>1</x:v>
      </x:c>
      <x:c r="L29" s="9" t="n">
        <x:f>IF(AND('Event Observations'!N29&lt;&gt;"",G29=1,'Event Observations'!L29=0),1,0)</x:f>
        <x:v>1</x:v>
      </x:c>
      <x:c r="M29" s="9" t="n">
        <x:v>0</x:v>
      </x:c>
      <x:c r="N29" s="9" t="str">
        <x:v>n.a.</x:v>
      </x:c>
    </x:row>
    <x:row r="30">
      <x:c r="B30" s="9" t="str">
        <x:f>'Event Observations'!B30</x:f>
        <x:v>CW-D004</x:v>
      </x:c>
      <x:c r="C30" s="9" t="str">
        <x:f>'Event Observations'!C30</x:f>
        <x:v>Damage</x:v>
      </x:c>
      <x:c r="D30" s="9" t="str">
        <x:f>'Event Observations'!G30</x:f>
        <x:v>ROUTINE</x:v>
      </x:c>
      <x:c r="E30" s="9" t="str">
        <x:f>'Event Observations'!H30</x:f>
        <x:v>CREDITED</x:v>
      </x:c>
      <x:c r="F30" s="9" t="n">
        <x:f>'Event Observations'!J30</x:f>
        <x:v>1</x:v>
      </x:c>
      <x:c r="G30" s="9" t="n">
        <x:f>'Event Observations'!U30</x:f>
        <x:v>1</x:v>
      </x:c>
      <x:c r="H30" s="9" t="n">
        <x:f>IF(AND(D30="ROUTINE",F30=1,G30=1,OR(E30="CREDITED",E30="ARTICLE_FAILED",E30="INTRINSIC_RANGE_INVALID")),1,0)</x:f>
        <x:v>1</x:v>
      </x:c>
      <x:c r="I30" s="9" t="n">
        <x:f>IF(AND(H30=1,E30="INTRINSIC_RANGE_INVALID"),1,0)</x:f>
        <x:v>0</x:v>
      </x:c>
      <x:c r="J30" s="9" t="n">
        <x:f>IF(E30="FORCED_DENIAL_INVALID",1,0)</x:f>
        <x:v>0</x:v>
      </x:c>
      <x:c r="K30" s="9" t="n">
        <x:f>IF(AND('Event Observations'!K30=1,'Event Observations'!L30=0,G30=1),1,0)</x:f>
        <x:v>1</x:v>
      </x:c>
      <x:c r="L30" s="9" t="n">
        <x:f>IF(AND('Event Observations'!N30&lt;&gt;"",G30=1,'Event Observations'!L30=0),1,0)</x:f>
        <x:v>1</x:v>
      </x:c>
      <x:c r="M30" s="9" t="n">
        <x:v>0</x:v>
      </x:c>
      <x:c r="N30" s="9" t="str">
        <x:v>n.a.</x:v>
      </x:c>
    </x:row>
    <x:row r="31">
      <x:c r="B31" s="9" t="str">
        <x:f>'Event Observations'!B31</x:f>
        <x:v>CW-D005</x:v>
      </x:c>
      <x:c r="C31" s="9" t="str">
        <x:f>'Event Observations'!C31</x:f>
        <x:v>Damage</x:v>
      </x:c>
      <x:c r="D31" s="9" t="str">
        <x:f>'Event Observations'!G31</x:f>
        <x:v>FORCED_INTERVENTION</x:v>
      </x:c>
      <x:c r="E31" s="9" t="str">
        <x:f>'Event Observations'!H31</x:f>
        <x:v>FORCED_DENIAL_INVALID</x:v>
      </x:c>
      <x:c r="F31" s="9" t="n">
        <x:f>'Event Observations'!J31</x:f>
        <x:v>1</x:v>
      </x:c>
      <x:c r="G31" s="9" t="n">
        <x:f>'Event Observations'!U31</x:f>
        <x:v>1</x:v>
      </x:c>
      <x:c r="H31" s="9" t="n">
        <x:f>IF(AND(D31="ROUTINE",F31=1,G31=1,OR(E31="CREDITED",E31="ARTICLE_FAILED",E31="INTRINSIC_RANGE_INVALID")),1,0)</x:f>
        <x:v>0</x:v>
      </x:c>
      <x:c r="I31" s="9" t="n">
        <x:f>IF(AND(H31=1,E31="INTRINSIC_RANGE_INVALID"),1,0)</x:f>
        <x:v>0</x:v>
      </x:c>
      <x:c r="J31" s="9" t="n">
        <x:f>IF(E31="FORCED_DENIAL_INVALID",1,0)</x:f>
        <x:v>1</x:v>
      </x:c>
      <x:c r="K31" s="9" t="n">
        <x:f>IF(AND('Event Observations'!K31=1,'Event Observations'!L31=0,G31=1),1,0)</x:f>
        <x:v>0</x:v>
      </x:c>
      <x:c r="L31" s="9" t="n">
        <x:f>IF(AND('Event Observations'!N31&lt;&gt;"",G31=1,'Event Observations'!L31=0),1,0)</x:f>
        <x:v>0</x:v>
      </x:c>
      <x:c r="M31" s="9" t="n">
        <x:v>0</x:v>
      </x:c>
      <x:c r="N31" s="9" t="str">
        <x:v>n.a.</x:v>
      </x:c>
    </x:row>
    <x:row r="32">
      <x:c r="B32" s="9" t="str">
        <x:f>'Event Observations'!B32</x:f>
        <x:v>CW-D006</x:v>
      </x:c>
      <x:c r="C32" s="9" t="str">
        <x:f>'Event Observations'!C32</x:f>
        <x:v>Damage</x:v>
      </x:c>
      <x:c r="D32" s="9" t="str">
        <x:f>'Event Observations'!G32</x:f>
        <x:v>FORCED_INTERVENTION</x:v>
      </x:c>
      <x:c r="E32" s="9" t="str">
        <x:f>'Event Observations'!H32</x:f>
        <x:v>FORCED_DENIAL_INVALID</x:v>
      </x:c>
      <x:c r="F32" s="9" t="n">
        <x:f>'Event Observations'!J32</x:f>
        <x:v>1</x:v>
      </x:c>
      <x:c r="G32" s="9" t="n">
        <x:f>'Event Observations'!U32</x:f>
        <x:v>1</x:v>
      </x:c>
      <x:c r="H32" s="9" t="n">
        <x:f>IF(AND(D32="ROUTINE",F32=1,G32=1,OR(E32="CREDITED",E32="ARTICLE_FAILED",E32="INTRINSIC_RANGE_INVALID")),1,0)</x:f>
        <x:v>0</x:v>
      </x:c>
      <x:c r="I32" s="9" t="n">
        <x:f>IF(AND(H32=1,E32="INTRINSIC_RANGE_INVALID"),1,0)</x:f>
        <x:v>0</x:v>
      </x:c>
      <x:c r="J32" s="9" t="n">
        <x:f>IF(E32="FORCED_DENIAL_INVALID",1,0)</x:f>
        <x:v>1</x:v>
      </x:c>
      <x:c r="K32" s="9" t="n">
        <x:f>IF(AND('Event Observations'!K32=1,'Event Observations'!L32=0,G32=1),1,0)</x:f>
        <x:v>0</x:v>
      </x:c>
      <x:c r="L32" s="9" t="n">
        <x:f>IF(AND('Event Observations'!N32&lt;&gt;"",G32=1,'Event Observations'!L32=0),1,0)</x:f>
        <x:v>0</x:v>
      </x:c>
      <x:c r="M32" s="9" t="n">
        <x:v>0</x:v>
      </x:c>
      <x:c r="N32" s="9" t="str">
        <x:v>n.a.</x:v>
      </x:c>
    </x:row>
    <x:row r="33">
      <x:c r="B33" s="9" t="str">
        <x:f>'Event Observations'!B33</x:f>
        <x:v>CW-DR01</x:v>
      </x:c>
      <x:c r="C33" s="9" t="str">
        <x:f>'Event Observations'!C33</x:f>
        <x:v>Damage</x:v>
      </x:c>
      <x:c r="D33" s="9" t="str">
        <x:f>'Event Observations'!G33</x:f>
        <x:v>ROUTINE</x:v>
      </x:c>
      <x:c r="E33" s="9" t="str">
        <x:f>'Event Observations'!H33</x:f>
        <x:v>CREDITED</x:v>
      </x:c>
      <x:c r="F33" s="9" t="n">
        <x:f>'Event Observations'!J33</x:f>
        <x:v>1</x:v>
      </x:c>
      <x:c r="G33" s="9" t="n">
        <x:f>'Event Observations'!U33</x:f>
        <x:v>1</x:v>
      </x:c>
      <x:c r="H33" s="9" t="n">
        <x:f>IF(AND(D33="ROUTINE",F33=1,G33=1,OR(E33="CREDITED",E33="ARTICLE_FAILED",E33="INTRINSIC_RANGE_INVALID")),1,0)</x:f>
        <x:v>1</x:v>
      </x:c>
      <x:c r="I33" s="9" t="n">
        <x:f>IF(AND(H33=1,E33="INTRINSIC_RANGE_INVALID"),1,0)</x:f>
        <x:v>0</x:v>
      </x:c>
      <x:c r="J33" s="9" t="n">
        <x:f>IF(E33="FORCED_DENIAL_INVALID",1,0)</x:f>
        <x:v>0</x:v>
      </x:c>
      <x:c r="K33" s="9" t="n">
        <x:f>IF(AND('Event Observations'!K33=1,'Event Observations'!L33=0,G33=1),1,0)</x:f>
        <x:v>1</x:v>
      </x:c>
      <x:c r="L33" s="9" t="n">
        <x:f>IF(AND('Event Observations'!N33&lt;&gt;"",G33=1,'Event Observations'!L33=0),1,0)</x:f>
        <x:v>1</x:v>
      </x:c>
      <x:c r="M33" s="9" t="n">
        <x:v>0</x:v>
      </x:c>
      <x:c r="N33" s="9" t="str">
        <x:v>n.a.</x:v>
      </x:c>
    </x:row>
    <x:row r="34">
      <x:c r="B34" s="10" t="str">
        <x:f>'Event Observations'!B34</x:f>
        <x:v>CW-DR02</x:v>
      </x:c>
      <x:c r="C34" s="10" t="str">
        <x:f>'Event Observations'!C34</x:f>
        <x:v>Damage</x:v>
      </x:c>
      <x:c r="D34" s="10" t="str">
        <x:f>'Event Observations'!G34</x:f>
        <x:v>ROUTINE</x:v>
      </x:c>
      <x:c r="E34" s="10" t="str">
        <x:f>'Event Observations'!H34</x:f>
        <x:v>CREDITED</x:v>
      </x:c>
      <x:c r="F34" s="10" t="n">
        <x:f>'Event Observations'!J34</x:f>
        <x:v>1</x:v>
      </x:c>
      <x:c r="G34" s="10" t="n">
        <x:f>'Event Observations'!U34</x:f>
        <x:v>1</x:v>
      </x:c>
      <x:c r="H34" s="10" t="n">
        <x:f>IF(AND(D34="ROUTINE",F34=1,G34=1,OR(E34="CREDITED",E34="ARTICLE_FAILED",E34="INTRINSIC_RANGE_INVALID")),1,0)</x:f>
        <x:v>1</x:v>
      </x:c>
      <x:c r="I34" s="10" t="n">
        <x:f>IF(AND(H34=1,E34="INTRINSIC_RANGE_INVALID"),1,0)</x:f>
        <x:v>0</x:v>
      </x:c>
      <x:c r="J34" s="10" t="n">
        <x:f>IF(E34="FORCED_DENIAL_INVALID",1,0)</x:f>
        <x:v>0</x:v>
      </x:c>
      <x:c r="K34" s="10" t="n">
        <x:f>IF(AND('Event Observations'!K34=1,'Event Observations'!L34=0,G34=1),1,0)</x:f>
        <x:v>1</x:v>
      </x:c>
      <x:c r="L34" s="10" t="n">
        <x:f>IF(AND('Event Observations'!N34&lt;&gt;"",G34=1,'Event Observations'!L34=0),1,0)</x:f>
        <x:v>1</x:v>
      </x:c>
      <x:c r="M34" s="10" t="n">
        <x:v>0</x:v>
      </x:c>
      <x:c r="N34" s="10" t="str">
        <x:v>n.a.</x:v>
      </x:c>
    </x:row>
    <x:row r="35">
      <x:c r="B35" s="36"/>
      <x:c r="C35" s="36"/>
      <x:c r="D35" s="36"/>
      <x:c r="E35" s="36"/>
      <x:c r="F35" s="36"/>
      <x:c r="G35" s="36"/>
      <x:c r="H35" s="36"/>
      <x:c r="I35" s="36"/>
      <x:c r="J35" s="36"/>
      <x:c r="K35" s="36"/>
      <x:c r="L35" s="36"/>
      <x:c r="M35" s="36"/>
      <x:c r="N35" s="36"/>
    </x:row>
    <x:row r="36">
      <x:c r="B36" s="36"/>
      <x:c r="C36" s="36"/>
      <x:c r="D36" s="36"/>
      <x:c r="E36" s="36"/>
      <x:c r="F36" s="36"/>
      <x:c r="G36" s="36"/>
      <x:c r="H36" s="36"/>
      <x:c r="I36" s="36"/>
      <x:c r="J36" s="36"/>
      <x:c r="K36" s="36"/>
      <x:c r="L36" s="36"/>
      <x:c r="M36" s="36"/>
      <x:c r="N36" s="36"/>
    </x:row>
    <x:row r="37">
      <x:c r="B37" s="36"/>
      <x:c r="C37" s="36"/>
      <x:c r="D37" s="36"/>
      <x:c r="E37" s="36"/>
      <x:c r="F37" s="36"/>
      <x:c r="G37" s="36"/>
      <x:c r="H37" s="36"/>
      <x:c r="I37" s="36"/>
      <x:c r="J37" s="36"/>
      <x:c r="K37" s="36"/>
      <x:c r="L37" s="36"/>
      <x:c r="M37" s="36"/>
      <x:c r="N37" s="36"/>
    </x:row>
    <x:row r="38">
      <x:c r="B38" s="21" t="str">
        <x:v>Residual calendar and root balance</x:v>
      </x:c>
      <x:c r="C38" s="22" t="str">
        <x:v>Residual calendar and root balance</x:v>
      </x:c>
      <x:c r="D38" s="22" t="str">
        <x:v>Residual calendar and root balance</x:v>
      </x:c>
      <x:c r="E38" s="22" t="str">
        <x:v>Residual calendar and root balance</x:v>
      </x:c>
      <x:c r="F38" s="22" t="str">
        <x:v>Residual calendar and root balance</x:v>
      </x:c>
      <x:c r="G38" s="22" t="str">
        <x:v>Residual calendar and root balance</x:v>
      </x:c>
      <x:c r="H38" s="22" t="str">
        <x:v>Residual calendar and root balance</x:v>
      </x:c>
      <x:c r="I38" s="22" t="str">
        <x:v>Residual calendar and root balance</x:v>
      </x:c>
      <x:c r="J38" s="22" t="str">
        <x:v>Residual calendar and root balance</x:v>
      </x:c>
      <x:c r="K38" s="22" t="str">
        <x:v>Residual calendar and root balance</x:v>
      </x:c>
      <x:c r="L38" s="22" t="str">
        <x:v>Residual calendar and root balance</x:v>
      </x:c>
      <x:c r="M38" s="22" t="str">
        <x:v>Residual calendar and root balance</x:v>
      </x:c>
      <x:c r="N38" s="23" t="str">
        <x:v>Residual calendar and root balance</x:v>
      </x:c>
    </x:row>
    <x:row r="39">
      <x:c r="B39" s="7" t="str">
        <x:v>Control</x:v>
      </x:c>
      <x:c r="C39" s="7" t="str">
        <x:v>Closure actual</x:v>
      </x:c>
      <x:c r="D39" s="7" t="str">
        <x:v>Closure expected</x:v>
      </x:c>
      <x:c r="E39" s="7" t="str">
        <x:v>Damage actual</x:v>
      </x:c>
      <x:c r="F39" s="7" t="str">
        <x:v>Damage expected</x:v>
      </x:c>
      <x:c r="G39" s="7" t="str">
        <x:v>Gate</x:v>
      </x:c>
      <x:c r="H39" s="7" t="str">
        <x:v>Meaning</x:v>
      </x:c>
      <x:c r="I39" s="36"/>
      <x:c r="J39" s="36"/>
      <x:c r="K39" s="36"/>
      <x:c r="L39" s="36"/>
      <x:c r="M39" s="36"/>
      <x:c r="N39" s="36"/>
    </x:row>
    <x:row r="40">
      <x:c r="B40" s="9" t="str">
        <x:v>Reservation count</x:v>
      </x:c>
      <x:c r="C40" s="9" t="n">
        <x:f>COUNTIF('Residual Schedule'!$C$7:$C$98,"Closure")</x:f>
        <x:v>64</x:v>
      </x:c>
      <x:c r="D40" s="9" t="n">
        <x:v>64</x:v>
      </x:c>
      <x:c r="E40" s="9" t="n">
        <x:f>COUNTIF('Residual Schedule'!$C$7:$C$98,"Damage")</x:f>
        <x:v>28</x:v>
      </x:c>
      <x:c r="F40" s="9" t="n">
        <x:v>28</x:v>
      </x:c>
      <x:c r="G40" s="9" t="str">
        <x:f>IF(AND(C40=D40,E40=F40),"PASS","FAIL")</x:f>
        <x:v>PASS</x:v>
      </x:c>
      <x:c r="H40" s="9" t="str">
        <x:v>exact identity and count</x:v>
      </x:c>
      <x:c r="I40" s="36"/>
      <x:c r="J40" s="36"/>
      <x:c r="K40" s="36"/>
      <x:c r="L40" s="36"/>
      <x:c r="M40" s="36"/>
      <x:c r="N40" s="36"/>
    </x:row>
    <x:row r="41">
      <x:c r="B41" s="9" t="str">
        <x:v>Primary R1</x:v>
      </x:c>
      <x:c r="C41" s="9" t="n">
        <x:f>COUNTIFS('Residual Schedule'!$C$7:$C$98,"Closure",'Residual Schedule'!$D$7:$D$98,"PRIMARY",'Residual Schedule'!$E$7:$E$98,"R1")</x:f>
        <x:v>18</x:v>
      </x:c>
      <x:c r="D41" s="9" t="n">
        <x:v>18</x:v>
      </x:c>
      <x:c r="E41" s="9" t="n">
        <x:f>COUNTIFS('Residual Schedule'!$C$7:$C$98,"Damage",'Residual Schedule'!$D$7:$D$98,"PRIMARY",'Residual Schedule'!$E$7:$E$98,"R1")</x:f>
        <x:v>6</x:v>
      </x:c>
      <x:c r="F41" s="9" t="n">
        <x:v>6</x:v>
      </x:c>
      <x:c r="G41" s="9" t="str">
        <x:f>IF(AND(C41=D41,E41=F41),"PASS","FAIL")</x:f>
        <x:v>PASS</x:v>
      </x:c>
      <x:c r="H41" s="9" t="str">
        <x:v>exact identity and count</x:v>
      </x:c>
      <x:c r="I41" s="36"/>
      <x:c r="J41" s="36"/>
      <x:c r="K41" s="36"/>
      <x:c r="L41" s="36"/>
      <x:c r="M41" s="36"/>
      <x:c r="N41" s="36"/>
    </x:row>
    <x:row r="42">
      <x:c r="B42" s="9" t="str">
        <x:v>Primary R2</x:v>
      </x:c>
      <x:c r="C42" s="9" t="n">
        <x:f>COUNTIFS('Residual Schedule'!$C$7:$C$98,"Closure",'Residual Schedule'!$D$7:$D$98,"PRIMARY",'Residual Schedule'!$E$7:$E$98,"R2")</x:f>
        <x:v>18</x:v>
      </x:c>
      <x:c r="D42" s="9" t="n">
        <x:v>18</x:v>
      </x:c>
      <x:c r="E42" s="9" t="n">
        <x:f>COUNTIFS('Residual Schedule'!$C$7:$C$98,"Damage",'Residual Schedule'!$D$7:$D$98,"PRIMARY",'Residual Schedule'!$E$7:$E$98,"R2")</x:f>
        <x:v>6</x:v>
      </x:c>
      <x:c r="F42" s="9" t="n">
        <x:v>6</x:v>
      </x:c>
      <x:c r="G42" s="9" t="str">
        <x:f>IF(AND(C42=D42,E42=F42),"PASS","FAIL")</x:f>
        <x:v>PASS</x:v>
      </x:c>
      <x:c r="H42" s="9" t="str">
        <x:v>exact identity and count</x:v>
      </x:c>
      <x:c r="I42" s="36"/>
      <x:c r="J42" s="36"/>
      <x:c r="K42" s="36"/>
      <x:c r="L42" s="36"/>
      <x:c r="M42" s="36"/>
      <x:c r="N42" s="36"/>
    </x:row>
    <x:row r="43">
      <x:c r="B43" s="9" t="str">
        <x:v>Primary R3</x:v>
      </x:c>
      <x:c r="C43" s="9" t="n">
        <x:f>COUNTIFS('Residual Schedule'!$C$7:$C$98,"Closure",'Residual Schedule'!$D$7:$D$98,"PRIMARY",'Residual Schedule'!$E$7:$E$98,"R3")</x:f>
        <x:v>18</x:v>
      </x:c>
      <x:c r="D43" s="9" t="n">
        <x:v>18</x:v>
      </x:c>
      <x:c r="E43" s="9" t="n">
        <x:f>COUNTIFS('Residual Schedule'!$C$7:$C$98,"Damage",'Residual Schedule'!$D$7:$D$98,"PRIMARY",'Residual Schedule'!$E$7:$E$98,"R3")</x:f>
        <x:v>8</x:v>
      </x:c>
      <x:c r="F43" s="9" t="n">
        <x:v>8</x:v>
      </x:c>
      <x:c r="G43" s="9" t="str">
        <x:f>IF(AND(C43=D43,E43=F43),"PASS","FAIL")</x:f>
        <x:v>PASS</x:v>
      </x:c>
      <x:c r="H43" s="9" t="str">
        <x:v>exact identity and count</x:v>
      </x:c>
      <x:c r="I43" s="36"/>
      <x:c r="J43" s="36"/>
      <x:c r="K43" s="36"/>
      <x:c r="L43" s="36"/>
      <x:c r="M43" s="36"/>
      <x:c r="N43" s="36"/>
    </x:row>
    <x:row r="44">
      <x:c r="B44" s="9" t="str">
        <x:v>Contingent</x:v>
      </x:c>
      <x:c r="C44" s="9" t="n">
        <x:f>COUNTIFS('Residual Schedule'!$C$7:$C$98,"Closure",'Residual Schedule'!$D$7:$D$98,"CONTINGENT")</x:f>
        <x:v>10</x:v>
      </x:c>
      <x:c r="D44" s="9" t="n">
        <x:v>10</x:v>
      </x:c>
      <x:c r="E44" s="9" t="n">
        <x:f>COUNTIFS('Residual Schedule'!$C$7:$C$98,"Damage",'Residual Schedule'!$D$7:$D$98,"CONTINGENT")</x:f>
        <x:v>8</x:v>
      </x:c>
      <x:c r="F44" s="9" t="n">
        <x:v>8</x:v>
      </x:c>
      <x:c r="G44" s="9" t="str">
        <x:f>IF(AND(C44=D44,E44=F44),"PASS","FAIL")</x:f>
        <x:v>PASS</x:v>
      </x:c>
      <x:c r="H44" s="9" t="str">
        <x:v>exact identity and count</x:v>
      </x:c>
      <x:c r="I44" s="36"/>
      <x:c r="J44" s="36"/>
      <x:c r="K44" s="36"/>
      <x:c r="L44" s="36"/>
      <x:c r="M44" s="36"/>
      <x:c r="N44" s="36"/>
    </x:row>
    <x:row r="45">
      <x:c r="B45" s="9" t="str">
        <x:v>Station non-overlap</x:v>
      </x:c>
      <x:c r="C45" s="9" t="n">
        <x:f>COUNTIF('Residual Schedule'!$N$7:$N$70,1)</x:f>
        <x:v>64</x:v>
      </x:c>
      <x:c r="D45" s="9" t="n">
        <x:v>64</x:v>
      </x:c>
      <x:c r="E45" s="9" t="n">
        <x:f>COUNTIF('Residual Schedule'!$N$71:$N$98,1)</x:f>
        <x:v>28</x:v>
      </x:c>
      <x:c r="F45" s="9" t="n">
        <x:v>28</x:v>
      </x:c>
      <x:c r="G45" s="9" t="str">
        <x:f>IF(AND(C45=D45,E45=F45),"PASS","FAIL")</x:f>
        <x:v>PASS</x:v>
      </x:c>
      <x:c r="H45" s="9" t="str">
        <x:v>exact identity and count</x:v>
      </x:c>
      <x:c r="I45" s="36"/>
      <x:c r="J45" s="36"/>
      <x:c r="K45" s="36"/>
      <x:c r="L45" s="36"/>
      <x:c r="M45" s="36"/>
      <x:c r="N45" s="36"/>
    </x:row>
    <x:row r="46">
      <x:c r="B46" s="10" t="str">
        <x:v>Daily rows passing</x:v>
      </x:c>
      <x:c r="C46" s="10" t="n">
        <x:f>COUNTIF('Daily Control'!$L$7:$L$341,"PASS")</x:f>
        <x:v>335</x:v>
      </x:c>
      <x:c r="D46" s="10" t="n">
        <x:v>335</x:v>
      </x:c>
      <x:c r="E46" s="10" t="n">
        <x:f>COUNTIF('Daily Control'!$L$7:$L$341,"PASS")</x:f>
        <x:v>335</x:v>
      </x:c>
      <x:c r="F46" s="10" t="n">
        <x:v>335</x:v>
      </x:c>
      <x:c r="G46" s="10" t="str">
        <x:f>IF(AND(C46=D46,E46=F46),"PASS","FAIL")</x:f>
        <x:v>PASS</x:v>
      </x:c>
      <x:c r="H46" s="10" t="str">
        <x:v>same national daily gate shown in both lane columns</x:v>
      </x:c>
      <x:c r="I46" s="36"/>
      <x:c r="J46" s="36"/>
      <x:c r="K46" s="36"/>
      <x:c r="L46" s="36"/>
      <x:c r="M46" s="36"/>
      <x:c r="N46" s="36"/>
    </x:row>
  </x:sheetData>
  <x:mergeCells>
    <x:mergeCell ref="B2:N2"/>
    <x:mergeCell ref="B3:N3"/>
    <x:mergeCell ref="B38:N38"/>
  </x:mergeCells>
  <x:conditionalFormatting sqref="G40:G46">
    <x:cfRule type="containsText" dxfId="45" priority="1" operator="containsText" text="PASS"/>
    <x:cfRule type="containsText" dxfId="46" priority="2" operator="containsText" text="AUTHORIZED"/>
    <x:cfRule type="containsText" dxfId="47" priority="3" operator="containsText" text="PRESERVE"/>
    <x:cfRule type="containsText" dxfId="48" priority="4" operator="containsText" text="HOLD"/>
    <x:cfRule type="containsText" dxfId="49" priority="5" operator="containsText" text="OPEN"/>
    <x:cfRule type="containsText" dxfId="50" priority="6" operator="containsText" text="BLOCKED"/>
    <x:cfRule type="containsText" dxfId="51" priority="7" operator="containsText" text="FAIL"/>
    <x:cfRule type="containsText" dxfId="52" priority="8" operator="containsText" text="REDESIGN"/>
    <x:cfRule type="containsText" dxfId="53" priority="9" operator="containsText" text="INDETERMINATE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2" hidden="0" customWidth="1"/>
    <x:col min="3" max="3" width="20" hidden="0" customWidth="1"/>
    <x:col min="4" max="4" width="14" hidden="0" customWidth="1"/>
    <x:col min="5" max="5" width="14" hidden="0" customWidth="1"/>
    <x:col min="6" max="6" width="24" hidden="0" customWidth="1"/>
    <x:col min="7" max="7" width="31" hidden="0" customWidth="1"/>
    <x:col min="8" max="8" width="25" hidden="0" customWidth="1"/>
    <x:col min="9" max="9" width="16" hidden="0" customWidth="1"/>
  </x:cols>
  <x:sheetData>
    <x:row r="2">
      <x:c r="B2" s="1" t="str">
        <x:v>Intervention and physical-regeneration boundary</x:v>
      </x:c>
      <x:c r="C2" s="36"/>
      <x:c r="D2" s="36"/>
      <x:c r="E2" s="36"/>
      <x:c r="F2" s="36"/>
      <x:c r="G2" s="36"/>
      <x:c r="H2" s="36"/>
      <x:c r="I2" s="36"/>
    </x:row>
    <x:row r="3">
      <x:c r="B3" s="2" t="str">
        <x:v>The forced denial updates conditional consequence. It cannot estimate natural frequency or prove reconstruction.</x:v>
      </x:c>
      <x:c r="C3" s="36"/>
      <x:c r="D3" s="36"/>
      <x:c r="E3" s="36"/>
      <x:c r="F3" s="36"/>
      <x:c r="G3" s="36"/>
      <x:c r="H3" s="36"/>
      <x:c r="I3" s="36"/>
    </x:row>
    <x:row r="4">
      <x:c r="B4" s="37"/>
      <x:c r="C4" s="37"/>
      <x:c r="D4" s="37"/>
      <x:c r="E4" s="37"/>
      <x:c r="F4" s="37"/>
      <x:c r="G4" s="37"/>
      <x:c r="H4" s="37"/>
      <x:c r="I4" s="37"/>
    </x:row>
    <x:row r="5">
      <x:c r="B5" s="36"/>
      <x:c r="C5" s="36"/>
      <x:c r="D5" s="36"/>
      <x:c r="E5" s="36"/>
      <x:c r="F5" s="36"/>
      <x:c r="G5" s="36"/>
      <x:c r="H5" s="36"/>
      <x:c r="I5" s="36"/>
    </x:row>
    <x:row r="6">
      <x:c r="B6" s="7" t="str">
        <x:v>Control</x:v>
      </x:c>
      <x:c r="C6" s="7" t="str">
        <x:v>Observed or modeled</x:v>
      </x:c>
      <x:c r="D6" s="7" t="str">
        <x:v>Required</x:v>
      </x:c>
      <x:c r="E6" s="7" t="str">
        <x:v>Gate</x:v>
      </x:c>
      <x:c r="F6" s="7" t="str">
        <x:v>Frequency use</x:v>
      </x:c>
      <x:c r="G6" s="7" t="str">
        <x:v>Consequence use</x:v>
      </x:c>
      <x:c r="H6" s="7" t="str">
        <x:v>Physical claim</x:v>
      </x:c>
      <x:c r="I6" s="7" t="str">
        <x:v>State</x:v>
      </x:c>
    </x:row>
    <x:row r="7">
      <x:c r="B7" s="9" t="str">
        <x:v>Forced closure invalids</x:v>
      </x:c>
      <x:c r="C7" s="9" t="n">
        <x:f>COUNTIFS('Event Observations'!$C$7:$C$34,"Closure",'Event Observations'!$H$7:$H$34,"FORCED_DENIAL_INVALID")</x:f>
        <x:v>2</x:v>
      </x:c>
      <x:c r="D7" s="9" t="n">
        <x:v>2</x:v>
      </x:c>
      <x:c r="E7" s="9" t="str">
        <x:f>IF(C7=D7,"PASS","FAIL")</x:f>
        <x:v>PASS</x:v>
      </x:c>
      <x:c r="F7" s="9" t="str">
        <x:v>none</x:v>
      </x:c>
      <x:c r="G7" s="9" t="str">
        <x:v>two interrupted closure events</x:v>
      </x:c>
      <x:c r="H7" s="9" t="str">
        <x:v>denial only</x:v>
      </x:c>
      <x:c r="I7" s="9" t="str">
        <x:f>IF(E7="PASS","PASS","HOLD")</x:f>
        <x:v>PASS</x:v>
      </x:c>
    </x:row>
    <x:row r="8">
      <x:c r="B8" s="9" t="str">
        <x:v>Forced damage invalids</x:v>
      </x:c>
      <x:c r="C8" s="9" t="n">
        <x:f>COUNTIFS('Event Observations'!$C$7:$C$34,"Damage",'Event Observations'!$H$7:$H$34,"FORCED_DENIAL_INVALID")</x:f>
        <x:v>2</x:v>
      </x:c>
      <x:c r="D8" s="9" t="n">
        <x:v>2</x:v>
      </x:c>
      <x:c r="E8" s="9" t="str">
        <x:f>IF(C8=D8,"PASS","FAIL")</x:f>
        <x:v>PASS</x:v>
      </x:c>
      <x:c r="F8" s="9" t="str">
        <x:v>none</x:v>
      </x:c>
      <x:c r="G8" s="9" t="str">
        <x:v>two interrupted damage events</x:v>
      </x:c>
      <x:c r="H8" s="9" t="str">
        <x:v>denial only</x:v>
      </x:c>
      <x:c r="I8" s="9" t="str">
        <x:f>IF(E8="PASS","PASS","HOLD")</x:f>
        <x:v>PASS</x:v>
      </x:c>
    </x:row>
    <x:row r="9">
      <x:c r="B9" s="9" t="str">
        <x:v>Intrinsic contribution</x:v>
      </x:c>
      <x:c r="C9" s="9" t="n">
        <x:f>SUM('Schedule Controls'!$I$7:$I$34)</x:f>
        <x:v>0</x:v>
      </x:c>
      <x:c r="D9" s="9" t="n">
        <x:v>0</x:v>
      </x:c>
      <x:c r="E9" s="9" t="str">
        <x:f>IF(C9=D9,"PASS","FAIL")</x:f>
        <x:v>PASS</x:v>
      </x:c>
      <x:c r="F9" s="9" t="str">
        <x:v>ordinary exposure only</x:v>
      </x:c>
      <x:c r="G9" s="9" t="str">
        <x:v>forced events excluded</x:v>
      </x:c>
      <x:c r="H9" s="9" t="str">
        <x:v>none</x:v>
      </x:c>
      <x:c r="I9" s="9" t="str">
        <x:f>IF(E9="PASS","PASS","HOLD")</x:f>
        <x:v>PASS</x:v>
      </x:c>
    </x:row>
    <x:row r="10">
      <x:c r="B10" s="9" t="str">
        <x:v>Second-campus tolerance</x:v>
      </x:c>
      <x:c r="C10" s="9" t="n">
        <x:f>'Method Controls'!$D$58</x:f>
        <x:v>0</x:v>
      </x:c>
      <x:c r="D10" s="9" t="n">
        <x:v>0</x:v>
      </x:c>
      <x:c r="E10" s="9" t="str">
        <x:f>IF(C10=D10,"PASS","FAIL")</x:f>
        <x:v>PASS</x:v>
      </x:c>
      <x:c r="F10" s="9" t="str">
        <x:v>not estimated</x:v>
      </x:c>
      <x:c r="G10" s="9" t="str">
        <x:v>new starts stop</x:v>
      </x:c>
      <x:c r="H10" s="9" t="str">
        <x:v>two-campus limit</x:v>
      </x:c>
      <x:c r="I10" s="9" t="str">
        <x:f>IF(E10="PASS","PASS","HOLD")</x:f>
        <x:v>PASS</x:v>
      </x:c>
    </x:row>
    <x:row r="11">
      <x:c r="B11" s="9" t="str">
        <x:v>NRC-B physical requalification</x:v>
      </x:c>
      <x:c r="C11" s="9" t="n">
        <x:f>'Method Controls'!$D$57</x:f>
        <x:v>0</x:v>
      </x:c>
      <x:c r="D11" s="9" t="n">
        <x:v>0</x:v>
      </x:c>
      <x:c r="E11" s="9" t="str">
        <x:f>IF(C11=D11,"PASS","FAIL")</x:f>
        <x:v>PASS</x:v>
      </x:c>
      <x:c r="F11" s="9" t="str">
        <x:v>not estimated</x:v>
      </x:c>
      <x:c r="G11" s="9" t="str">
        <x:v>unavailable in residual plan</x:v>
      </x:c>
      <x:c r="H11" s="9" t="str">
        <x:v>OPEN</x:v>
      </x:c>
      <x:c r="I11" s="9" t="str">
        <x:f>IF(E11="PASS","PASS","HOLD")</x:f>
        <x:v>PASS</x:v>
      </x:c>
    </x:row>
    <x:row r="12">
      <x:c r="B12" s="10" t="str">
        <x:v>Campus replacement reserve coverage</x:v>
      </x:c>
      <x:c r="C12" s="18" t="n">
        <x:f>('Method Controls'!$D$54+'Method Controls'!$D$55)/('Method Controls'!$D$53/3)</x:f>
        <x:v>0.34328358208955223</x:v>
      </x:c>
      <x:c r="D12" s="10" t="n">
        <x:v>1</x:v>
      </x:c>
      <x:c r="E12" s="10" t="str">
        <x:f>IF(C12&gt;=D12,"PASS","FAIL")</x:f>
        <x:v>FAIL</x:v>
      </x:c>
      <x:c r="F12" s="10" t="str">
        <x:v>not estimated</x:v>
      </x:c>
      <x:c r="G12" s="10" t="str">
        <x:v>none</x:v>
      </x:c>
      <x:c r="H12" s="10" t="str">
        <x:v>capital gap exposed</x:v>
      </x:c>
      <x:c r="I12" s="10" t="str">
        <x:f>IF(E12="PASS","FUNDED","HOLD")</x:f>
        <x:v>HOLD</x:v>
      </x:c>
    </x:row>
  </x:sheetData>
  <x:mergeCells>
    <x:mergeCell ref="B2:I2"/>
    <x:mergeCell ref="B3:I3"/>
  </x:mergeCells>
  <x:conditionalFormatting sqref="E7:E12">
    <x:cfRule type="containsText" dxfId="54" priority="1" operator="containsText" text="PASS"/>
    <x:cfRule type="containsText" dxfId="55" priority="2" operator="containsText" text="AUTHORIZED"/>
    <x:cfRule type="containsText" dxfId="56" priority="3" operator="containsText" text="PRESERVE"/>
    <x:cfRule type="containsText" dxfId="57" priority="4" operator="containsText" text="HOLD"/>
    <x:cfRule type="containsText" dxfId="58" priority="5" operator="containsText" text="OPEN"/>
    <x:cfRule type="containsText" dxfId="59" priority="6" operator="containsText" text="BLOCKED"/>
    <x:cfRule type="containsText" dxfId="60" priority="7" operator="containsText" text="FAIL"/>
    <x:cfRule type="containsText" dxfId="61" priority="8" operator="containsText" text="REDESIGN"/>
    <x:cfRule type="containsText" dxfId="62" priority="9" operator="containsText" text="INDETERMINATE"/>
  </x:conditionalFormatting>
  <x:conditionalFormatting sqref="I7:I12">
    <x:cfRule type="containsText" dxfId="63" priority="10" operator="containsText" text="PASS"/>
    <x:cfRule type="containsText" dxfId="64" priority="11" operator="containsText" text="AUTHORIZED"/>
    <x:cfRule type="containsText" dxfId="65" priority="12" operator="containsText" text="PRESERVE"/>
    <x:cfRule type="containsText" dxfId="66" priority="13" operator="containsText" text="HOLD"/>
    <x:cfRule type="containsText" dxfId="67" priority="14" operator="containsText" text="OPEN"/>
    <x:cfRule type="containsText" dxfId="68" priority="15" operator="containsText" text="BLOCKED"/>
    <x:cfRule type="containsText" dxfId="69" priority="16" operator="containsText" text="FAIL"/>
    <x:cfRule type="containsText" dxfId="70" priority="17" operator="containsText" text="REDESIGN"/>
    <x:cfRule type="containsText" dxfId="71" priority="18" operator="containsText" text="INDETERMINATE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6" hidden="0" customWidth="1"/>
    <x:col min="3" max="3" width="18" hidden="0" customWidth="1"/>
    <x:col min="4" max="4" width="20" hidden="0" customWidth="1"/>
    <x:col min="5" max="5" width="23" hidden="0" customWidth="1"/>
    <x:col min="6" max="6" width="28" hidden="0" customWidth="1"/>
    <x:col min="7" max="7" width="20" hidden="0" customWidth="1"/>
    <x:col min="8" max="8" width="18" hidden="0" customWidth="1"/>
    <x:col min="9" max="9" width="20" hidden="0" customWidth="1"/>
    <x:col min="10" max="10" width="20" hidden="0" customWidth="1"/>
  </x:cols>
  <x:sheetData>
    <x:row r="2">
      <x:c r="B2" s="1" t="str">
        <x:v>Residual campaign financial cases</x:v>
      </x:c>
      <x:c r="C2" s="36"/>
      <x:c r="D2" s="36"/>
      <x:c r="E2" s="36"/>
      <x:c r="F2" s="36"/>
      <x:c r="G2" s="36"/>
      <x:c r="H2" s="36"/>
      <x:c r="I2" s="36"/>
      <x:c r="J2" s="36"/>
    </x:row>
    <x:row r="3">
      <x:c r="B3" s="2" t="str">
        <x:v>Cases expose the spending consequence of preserve, bounded augmentation and complete-campus physical replacement.</x:v>
      </x:c>
      <x:c r="C3" s="36"/>
      <x:c r="D3" s="36"/>
      <x:c r="E3" s="36"/>
      <x:c r="F3" s="36"/>
      <x:c r="G3" s="36"/>
      <x:c r="H3" s="36"/>
      <x:c r="I3" s="36"/>
      <x:c r="J3" s="36"/>
    </x:row>
    <x:row r="4">
      <x:c r="B4" s="37"/>
      <x:c r="C4" s="37"/>
      <x:c r="D4" s="37"/>
      <x:c r="E4" s="37"/>
      <x:c r="F4" s="37"/>
      <x:c r="G4" s="37"/>
      <x:c r="H4" s="37"/>
      <x:c r="I4" s="37"/>
      <x:c r="J4" s="37"/>
    </x:row>
    <x:row r="5">
      <x:c r="B5" s="36"/>
      <x:c r="C5" s="36"/>
      <x:c r="D5" s="36"/>
      <x:c r="E5" s="36"/>
      <x:c r="F5" s="36"/>
      <x:c r="G5" s="36"/>
      <x:c r="H5" s="36"/>
      <x:c r="I5" s="36"/>
      <x:c r="J5" s="36"/>
    </x:row>
    <x:row r="6">
      <x:c r="B6" s="7" t="str">
        <x:v>Case</x:v>
      </x:c>
      <x:c r="C6" s="7" t="str">
        <x:v>Base support</x:v>
      </x:c>
      <x:c r="D6" s="7" t="str">
        <x:v>Increment capital</x:v>
      </x:c>
      <x:c r="E6" s="7" t="str">
        <x:v>Increment annual support</x:v>
      </x:c>
      <x:c r="F6" s="7" t="str">
        <x:v>Increment support over 27 months</x:v>
      </x:c>
      <x:c r="G6" s="7" t="str">
        <x:v>Total residual outlay</x:v>
      </x:c>
      <x:c r="H6" s="7" t="str">
        <x:v>Visible reserve</x:v>
      </x:c>
      <x:c r="I6" s="7" t="str">
        <x:v>Unfunded exposure</x:v>
      </x:c>
      <x:c r="J6" s="7" t="str">
        <x:v>Planning state</x:v>
      </x:c>
    </x:row>
    <x:row r="7">
      <x:c r="B7" s="9" t="str">
        <x:v>Preserve two-campus campaign</x:v>
      </x:c>
      <x:c r="C7" s="15" t="n">
        <x:f>'Method Controls'!$D$49*'Method Controls'!$D$50/'Method Controls'!$D$24</x:f>
        <x:v>0.8955000000000001</x:v>
      </x:c>
      <x:c r="D7" s="15" t="n">
        <x:v>0</x:v>
      </x:c>
      <x:c r="E7" s="15" t="n">
        <x:v>0</x:v>
      </x:c>
      <x:c r="F7" s="15" t="n">
        <x:v>0</x:v>
      </x:c>
      <x:c r="G7" s="15" t="n">
        <x:f>C7+D7+F7</x:f>
        <x:v>0.8955000000000001</x:v>
      </x:c>
      <x:c r="H7" s="15" t="n">
        <x:v>0</x:v>
      </x:c>
      <x:c r="I7" s="15" t="n">
        <x:v>0</x:v>
      </x:c>
      <x:c r="J7" s="9" t="str">
        <x:v>DEMONSTRATOR BASE</x:v>
      </x:c>
    </x:row>
    <x:row r="8">
      <x:c r="B8" s="9" t="str">
        <x:v>Add one complete-chain damage cell</x:v>
      </x:c>
      <x:c r="C8" s="15" t="n">
        <x:f>'Method Controls'!$D$49*'Method Controls'!$D$50/'Method Controls'!$D$24</x:f>
        <x:v>0.8955000000000001</x:v>
      </x:c>
      <x:c r="D8" s="15" t="n">
        <x:f>'Method Controls'!$D$51</x:f>
        <x:v>0.48</x:v>
      </x:c>
      <x:c r="E8" s="15" t="n">
        <x:f>'Method Controls'!$D$52</x:f>
        <x:v>0.042</x:v>
      </x:c>
      <x:c r="F8" s="15" t="n">
        <x:f>E8*'Method Controls'!$D$50/'Method Controls'!$D$24</x:f>
        <x:v>0.09450000000000001</x:v>
      </x:c>
      <x:c r="G8" s="15" t="n">
        <x:f>C8+D8+F8</x:f>
        <x:v>1.4700000000000002</x:v>
      </x:c>
      <x:c r="H8" s="15" t="n">
        <x:v>0</x:v>
      </x:c>
      <x:c r="I8" s="15" t="n">
        <x:v>0</x:v>
      </x:c>
      <x:c r="J8" s="9" t="str">
        <x:v>CONTINGENT</x:v>
      </x:c>
    </x:row>
    <x:row r="9">
      <x:c r="B9" s="10" t="str">
        <x:v>Replace one complete campus</x:v>
      </x:c>
      <x:c r="C9" s="16" t="n">
        <x:f>'Method Controls'!$D$49*'Method Controls'!$D$50/'Method Controls'!$D$24</x:f>
        <x:v>0.8955000000000001</x:v>
      </x:c>
      <x:c r="D9" s="16" t="n">
        <x:f>'Method Controls'!$D$53/3</x:f>
        <x:v>1.3399999999999999</x:v>
      </x:c>
      <x:c r="E9" s="16" t="n">
        <x:v>0</x:v>
      </x:c>
      <x:c r="F9" s="16" t="n">
        <x:v>0</x:v>
      </x:c>
      <x:c r="G9" s="16" t="n">
        <x:f>C9+D9</x:f>
        <x:v>2.2355</x:v>
      </x:c>
      <x:c r="H9" s="16" t="n">
        <x:f>'Method Controls'!$D$54+'Method Controls'!$D$55</x:f>
        <x:v>0.45999999999999996</x:v>
      </x:c>
      <x:c r="I9" s="16" t="n">
        <x:f>MAX(0,D9-H9)</x:f>
        <x:v>0.8799999999999999</x:v>
      </x:c>
      <x:c r="J9" s="10" t="str">
        <x:f>IF(I9=0,"FUNDED","HOLD")</x:f>
        <x:v>HOLD</x:v>
      </x:c>
    </x:row>
    <x:row r="10">
      <x:c r="B10" s="36"/>
      <x:c r="C10" s="36"/>
      <x:c r="D10" s="36"/>
      <x:c r="E10" s="36"/>
      <x:c r="F10" s="36"/>
      <x:c r="G10" s="36"/>
      <x:c r="H10" s="36"/>
      <x:c r="I10" s="36"/>
      <x:c r="J10" s="36"/>
    </x:row>
    <x:row r="11">
      <x:c r="B11" s="36"/>
      <x:c r="C11" s="36"/>
      <x:c r="D11" s="36"/>
      <x:c r="E11" s="36"/>
      <x:c r="F11" s="36"/>
      <x:c r="G11" s="36"/>
      <x:c r="H11" s="36"/>
      <x:c r="I11" s="36"/>
      <x:c r="J11" s="36"/>
    </x:row>
    <x:row r="12">
      <x:c r="B12" s="36"/>
      <x:c r="C12" s="36"/>
      <x:c r="D12" s="36"/>
      <x:c r="E12" s="36"/>
      <x:c r="F12" s="36"/>
      <x:c r="G12" s="36"/>
      <x:c r="H12" s="36"/>
      <x:c r="I12" s="36"/>
      <x:c r="J12" s="36"/>
    </x:row>
    <x:row r="13">
      <x:c r="B13" s="21" t="str">
        <x:v>Interpretation</x:v>
      </x:c>
      <x:c r="C13" s="22" t="str">
        <x:v>Interpretation</x:v>
      </x:c>
      <x:c r="D13" s="22" t="str">
        <x:v>Interpretation</x:v>
      </x:c>
      <x:c r="E13" s="22" t="str">
        <x:v>Interpretation</x:v>
      </x:c>
      <x:c r="F13" s="22" t="str">
        <x:v>Interpretation</x:v>
      </x:c>
      <x:c r="G13" s="22" t="str">
        <x:v>Interpretation</x:v>
      </x:c>
      <x:c r="H13" s="22" t="str">
        <x:v>Interpretation</x:v>
      </x:c>
      <x:c r="I13" s="22" t="str">
        <x:v>Interpretation</x:v>
      </x:c>
      <x:c r="J13" s="23" t="str">
        <x:v>Interpretation</x:v>
      </x:c>
    </x:row>
    <x:row r="14" ht="38" customHeight="1">
      <x:c r="B14" s="34" t="str">
        <x:v>Base</x:v>
      </x:c>
      <x:c r="C14" s="40" t="str">
        <x:v>USD 0.8955B is 27/12 of the standing annual support; it is not a new annual rate.</x:v>
      </x:c>
      <x:c r="D14" s="40"/>
      <x:c r="E14" s="40"/>
      <x:c r="F14" s="40"/>
      <x:c r="G14" s="40"/>
      <x:c r="H14" s="40"/>
      <x:c r="I14" s="40"/>
      <x:c r="J14" s="40"/>
    </x:row>
    <x:row r="15" ht="38" customHeight="1">
      <x:c r="B15" s="34" t="str">
        <x:v>Augmentation</x:v>
      </x:c>
      <x:c r="C15" s="40" t="str">
        <x:v>USD 0.480B buys a complete-chain increment, not an unserved station shell.</x:v>
      </x:c>
      <x:c r="D15" s="40"/>
      <x:c r="E15" s="40"/>
      <x:c r="F15" s="40"/>
      <x:c r="G15" s="40"/>
      <x:c r="H15" s="40"/>
      <x:c r="I15" s="40"/>
      <x:c r="J15" s="40"/>
    </x:row>
    <x:row r="16" ht="38" customHeight="1">
      <x:c r="B16" s="34" t="str">
        <x:v>Replacement</x:v>
      </x:c>
      <x:c r="C16" s="40" t="str">
        <x:v>USD 1.340B is one-third of identified campus-local assets; denial does not prove physical destruction.</x:v>
      </x:c>
      <x:c r="D16" s="40"/>
      <x:c r="E16" s="40"/>
      <x:c r="F16" s="40"/>
      <x:c r="G16" s="40"/>
      <x:c r="H16" s="40"/>
      <x:c r="I16" s="40"/>
      <x:c r="J16" s="40"/>
    </x:row>
    <x:row r="17" ht="38" customHeight="1">
      <x:c r="B17" s="34" t="str">
        <x:v>Reserve</x:v>
      </x:c>
      <x:c r="C17" s="40" t="str">
        <x:v>USD 0.460B is the entire national reset and program reserve, so the USD 0.880B gap is a maximum-coverage screen.</x:v>
      </x:c>
      <x:c r="D17" s="40"/>
      <x:c r="E17" s="40"/>
      <x:c r="F17" s="40"/>
      <x:c r="G17" s="40"/>
      <x:c r="H17" s="40"/>
      <x:c r="I17" s="40"/>
      <x:c r="J17" s="40"/>
    </x:row>
  </x:sheetData>
  <x:mergeCells>
    <x:mergeCell ref="B2:J2"/>
    <x:mergeCell ref="B3:J3"/>
    <x:mergeCell ref="B13:J13"/>
    <x:mergeCell ref="C14:J14"/>
    <x:mergeCell ref="C15:J15"/>
    <x:mergeCell ref="C16:J16"/>
    <x:mergeCell ref="C17:J17"/>
  </x:mergeCells>
  <x:conditionalFormatting sqref="J7:J9">
    <x:cfRule type="containsText" dxfId="72" priority="1" operator="containsText" text="PASS"/>
    <x:cfRule type="containsText" dxfId="73" priority="2" operator="containsText" text="AUTHORIZED"/>
    <x:cfRule type="containsText" dxfId="74" priority="3" operator="containsText" text="PRESERVE"/>
    <x:cfRule type="containsText" dxfId="75" priority="4" operator="containsText" text="HOLD"/>
    <x:cfRule type="containsText" dxfId="76" priority="5" operator="containsText" text="OPEN"/>
    <x:cfRule type="containsText" dxfId="77" priority="6" operator="containsText" text="BLOCKED"/>
    <x:cfRule type="containsText" dxfId="78" priority="7" operator="containsText" text="FAIL"/>
    <x:cfRule type="containsText" dxfId="79" priority="8" operator="containsText" text="REDESIGN"/>
    <x:cfRule type="containsText" dxfId="80" priority="9" operator="containsText" text="INDETERMINATE"/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3" hidden="0" customWidth="1"/>
    <x:col min="3" max="3" width="44" hidden="0" customWidth="1"/>
    <x:col min="4" max="4" width="16" hidden="0" customWidth="1"/>
    <x:col min="5" max="5" width="14" hidden="0" customWidth="1"/>
    <x:col min="6" max="6" width="14" hidden="0" customWidth="1"/>
    <x:col min="7" max="7" width="18" hidden="0" customWidth="1"/>
    <x:col min="8" max="8" width="25" hidden="0" customWidth="1"/>
    <x:col min="9" max="9" width="19" hidden="0" customWidth="1"/>
    <x:col min="10" max="10" width="17" hidden="0" customWidth="1"/>
  </x:cols>
  <x:sheetData>
    <x:row r="2">
      <x:c r="B2" s="1" t="str">
        <x:v>Observed-update and residual-admission ladder</x:v>
      </x:c>
      <x:c r="C2" s="36"/>
      <x:c r="D2" s="36"/>
      <x:c r="E2" s="36"/>
      <x:c r="F2" s="36"/>
      <x:c r="G2" s="36"/>
      <x:c r="H2" s="36"/>
      <x:c r="I2" s="36"/>
      <x:c r="J2" s="36"/>
    </x:row>
    <x:row r="3">
      <x:c r="B3" s="2" t="str">
        <x:v>Synthetic conformance can authorize a method. It cannot create live records, execution, root credit, production or rendering.</x:v>
      </x:c>
      <x:c r="C3" s="36"/>
      <x:c r="D3" s="36"/>
      <x:c r="E3" s="36"/>
      <x:c r="F3" s="36"/>
      <x:c r="G3" s="36"/>
      <x:c r="H3" s="36"/>
      <x:c r="I3" s="36"/>
      <x:c r="J3" s="36"/>
    </x:row>
    <x:row r="4">
      <x:c r="B4" s="37"/>
      <x:c r="C4" s="37"/>
      <x:c r="D4" s="37"/>
      <x:c r="E4" s="37"/>
      <x:c r="F4" s="37"/>
      <x:c r="G4" s="37"/>
      <x:c r="H4" s="37"/>
      <x:c r="I4" s="37"/>
      <x:c r="J4" s="37"/>
    </x:row>
    <x:row r="5">
      <x:c r="B5" s="36"/>
      <x:c r="C5" s="36"/>
      <x:c r="D5" s="36"/>
      <x:c r="E5" s="36"/>
      <x:c r="F5" s="36"/>
      <x:c r="G5" s="36"/>
      <x:c r="H5" s="36"/>
      <x:c r="I5" s="36"/>
      <x:c r="J5" s="36"/>
    </x:row>
    <x:row r="6">
      <x:c r="B6" s="7" t="str">
        <x:v>Gate</x:v>
      </x:c>
      <x:c r="C6" s="7" t="str">
        <x:v>Decision</x:v>
      </x:c>
      <x:c r="D6" s="7" t="str">
        <x:v>Class</x:v>
      </x:c>
      <x:c r="E6" s="7" t="str">
        <x:v>Required</x:v>
      </x:c>
      <x:c r="F6" s="7" t="str">
        <x:v>Observed</x:v>
      </x:c>
      <x:c r="G6" s="7" t="str">
        <x:v>Gate state</x:v>
      </x:c>
      <x:c r="H6" s="7" t="str">
        <x:v>Consequence</x:v>
      </x:c>
      <x:c r="I6" s="7" t="str">
        <x:v>Production/form</x:v>
      </x:c>
      <x:c r="J6" s="7" t="str">
        <x:v>Rendering</x:v>
      </x:c>
    </x:row>
    <x:row r="7">
      <x:c r="B7" s="9" t="str">
        <x:v>G01</x:v>
      </x:c>
      <x:c r="C7" s="9" t="str">
        <x:v>observation schema and identity rules complete</x:v>
      </x:c>
      <x:c r="D7" s="9" t="str">
        <x:v>package</x:v>
      </x:c>
      <x:c r="E7" s="9" t="n">
        <x:v>1</x:v>
      </x:c>
      <x:c r="F7" s="9" t="n">
        <x:f>IF(AND('Method Controls'!$D$34=1,'Method Controls'!$D$35=1),1,0)</x:f>
        <x:v>1</x:v>
      </x:c>
      <x:c r="G7" s="9" t="str">
        <x:f>IF(F7=1,"PLANNING PASS","FAIL")</x:f>
        <x:v>PLANNING PASS</x:v>
      </x:c>
      <x:c r="H7" s="9" t="str">
        <x:v>method authorized</x:v>
      </x:c>
      <x:c r="I7" s="9" t="str">
        <x:v>BLOCKED</x:v>
      </x:c>
      <x:c r="J7" s="9" t="str">
        <x:v>BLOCKED</x:v>
      </x:c>
    </x:row>
    <x:row r="8">
      <x:c r="B8" s="9" t="str">
        <x:v>G02</x:v>
      </x:c>
      <x:c r="C8" s="9" t="str">
        <x:v>cause partition excludes forced interventions</x:v>
      </x:c>
      <x:c r="D8" s="9" t="str">
        <x:v>package</x:v>
      </x:c>
      <x:c r="E8" s="9" t="n">
        <x:v>1</x:v>
      </x:c>
      <x:c r="F8" s="9" t="n">
        <x:f>IF(AND(SUM('Schedule Controls'!$J$7:$J$34)=4,SUM('Schedule Controls'!$I$7:$I$34)=0),1,0)</x:f>
        <x:v>1</x:v>
      </x:c>
      <x:c r="G8" s="9" t="str">
        <x:f>IF(F8=1,"PLANNING PASS","FAIL")</x:f>
        <x:v>PLANNING PASS</x:v>
      </x:c>
      <x:c r="H8" s="9" t="str">
        <x:v>method authorized</x:v>
      </x:c>
      <x:c r="I8" s="9" t="str">
        <x:v>BLOCKED</x:v>
      </x:c>
      <x:c r="J8" s="9" t="str">
        <x:v>BLOCKED</x:v>
      </x:c>
    </x:row>
    <x:row r="9">
      <x:c r="B9" s="9" t="str">
        <x:v>G03</x:v>
      </x:c>
      <x:c r="C9" s="9" t="str">
        <x:v>right-censored cycles excluded from completion model</x:v>
      </x:c>
      <x:c r="D9" s="9" t="str">
        <x:v>package</x:v>
      </x:c>
      <x:c r="E9" s="9" t="n">
        <x:v>1</x:v>
      </x:c>
      <x:c r="F9" s="9" t="n">
        <x:f>IF(AND(SUM('Schedule Controls'!$K$7:$K$34)=24,COUNTBLANK('Event Observations'!$M$7:$N$34)=8),1,0)</x:f>
        <x:v>1</x:v>
      </x:c>
      <x:c r="G9" s="9" t="str">
        <x:f>IF(F9=1,"PLANNING PASS","FAIL")</x:f>
        <x:v>PLANNING PASS</x:v>
      </x:c>
      <x:c r="H9" s="9" t="str">
        <x:v>method authorized</x:v>
      </x:c>
      <x:c r="I9" s="9" t="str">
        <x:v>BLOCKED</x:v>
      </x:c>
      <x:c r="J9" s="9" t="str">
        <x:v>BLOCKED</x:v>
      </x:c>
    </x:row>
    <x:row r="10">
      <x:c r="B10" s="9" t="str">
        <x:v>G04</x:v>
      </x:c>
      <x:c r="C10" s="9" t="str">
        <x:v>prior parameters and cutoff preregistered</x:v>
      </x:c>
      <x:c r="D10" s="9" t="str">
        <x:v>package</x:v>
      </x:c>
      <x:c r="E10" s="9" t="n">
        <x:v>1</x:v>
      </x:c>
      <x:c r="F10" s="9" t="n">
        <x:f>IF(AND('Method Controls'!$D$36=1,'Method Controls'!$D$37=1,'Method Controls'!$D$39=1),1,0)</x:f>
        <x:v>1</x:v>
      </x:c>
      <x:c r="G10" s="9" t="str">
        <x:f>IF(F10=1,"PLANNING PASS","FAIL")</x:f>
        <x:v>PLANNING PASS</x:v>
      </x:c>
      <x:c r="H10" s="9" t="str">
        <x:v>method authorized</x:v>
      </x:c>
      <x:c r="I10" s="9" t="str">
        <x:v>BLOCKED</x:v>
      </x:c>
      <x:c r="J10" s="9" t="str">
        <x:v>BLOCKED</x:v>
      </x:c>
    </x:row>
    <x:row r="11">
      <x:c r="B11" s="9" t="str">
        <x:v>G05</x:v>
      </x:c>
      <x:c r="C11" s="9" t="str">
        <x:v>posterior closure predictive demand reproduces</x:v>
      </x:c>
      <x:c r="D11" s="9" t="str">
        <x:v>package</x:v>
      </x:c>
      <x:c r="E11" s="9" t="n">
        <x:v>1</x:v>
      </x:c>
      <x:c r="F11" s="9" t="n">
        <x:f>IF('Demand Update'!K7=64,1,0)</x:f>
        <x:v>1</x:v>
      </x:c>
      <x:c r="G11" s="9" t="str">
        <x:f>IF(F11=1,"PLANNING PASS","FAIL")</x:f>
        <x:v>PLANNING PASS</x:v>
      </x:c>
      <x:c r="H11" s="9" t="str">
        <x:v>method authorized</x:v>
      </x:c>
      <x:c r="I11" s="9" t="str">
        <x:v>BLOCKED</x:v>
      </x:c>
      <x:c r="J11" s="9" t="str">
        <x:v>BLOCKED</x:v>
      </x:c>
    </x:row>
    <x:row r="12">
      <x:c r="B12" s="9" t="str">
        <x:v>G06</x:v>
      </x:c>
      <x:c r="C12" s="9" t="str">
        <x:v>posterior damage predictive demand reproduces</x:v>
      </x:c>
      <x:c r="D12" s="9" t="str">
        <x:v>package</x:v>
      </x:c>
      <x:c r="E12" s="9" t="n">
        <x:v>1</x:v>
      </x:c>
      <x:c r="F12" s="9" t="n">
        <x:f>IF('Demand Update'!K8=28,1,0)</x:f>
        <x:v>1</x:v>
      </x:c>
      <x:c r="G12" s="9" t="str">
        <x:f>IF(F12=1,"PLANNING PASS","FAIL")</x:f>
        <x:v>PLANNING PASS</x:v>
      </x:c>
      <x:c r="H12" s="9" t="str">
        <x:v>method authorized</x:v>
      </x:c>
      <x:c r="I12" s="9" t="str">
        <x:v>BLOCKED</x:v>
      </x:c>
      <x:c r="J12" s="9" t="str">
        <x:v>BLOCKED</x:v>
      </x:c>
    </x:row>
    <x:row r="13">
      <x:c r="B13" s="9" t="str">
        <x:v>G07</x:v>
      </x:c>
      <x:c r="C13" s="9" t="str">
        <x:v>cycle and packet limits reproduce</x:v>
      </x:c>
      <x:c r="D13" s="9" t="str">
        <x:v>package</x:v>
      </x:c>
      <x:c r="E13" s="9" t="n">
        <x:v>1</x:v>
      </x:c>
      <x:c r="F13" s="9" t="n">
        <x:f>IF(AND(ABS('Cycle Update'!G7-8.542019651)&lt;0.000001,ABS('Cycle Update'!G8-15.211232254)&lt;0.000001),1,0)</x:f>
        <x:v>1</x:v>
      </x:c>
      <x:c r="G13" s="9" t="str">
        <x:f>IF(F13=1,"PLANNING PASS","FAIL")</x:f>
        <x:v>PLANNING PASS</x:v>
      </x:c>
      <x:c r="H13" s="9" t="str">
        <x:v>method authorized</x:v>
      </x:c>
      <x:c r="I13" s="9" t="str">
        <x:v>BLOCKED</x:v>
      </x:c>
      <x:c r="J13" s="9" t="str">
        <x:v>BLOCKED</x:v>
      </x:c>
    </x:row>
    <x:row r="14">
      <x:c r="B14" s="9" t="str">
        <x:v>G08</x:v>
      </x:c>
      <x:c r="C14" s="9" t="str">
        <x:v>all service-state records reconcile</x:v>
      </x:c>
      <x:c r="D14" s="9" t="str">
        <x:v>package</x:v>
      </x:c>
      <x:c r="E14" s="9" t="n">
        <x:v>1</x:v>
      </x:c>
      <x:c r="F14" s="9" t="n">
        <x:f>IF(COUNTIF('Service Observations'!$K$7:$K$27,1)=21,1,0)</x:f>
        <x:v>1</x:v>
      </x:c>
      <x:c r="G14" s="9" t="str">
        <x:f>IF(F14=1,"PLANNING PASS","FAIL")</x:f>
        <x:v>PLANNING PASS</x:v>
      </x:c>
      <x:c r="H14" s="9" t="str">
        <x:v>method authorized</x:v>
      </x:c>
      <x:c r="I14" s="9" t="str">
        <x:v>BLOCKED</x:v>
      </x:c>
      <x:c r="J14" s="9" t="str">
        <x:v>BLOCKED</x:v>
      </x:c>
    </x:row>
    <x:row r="15">
      <x:c r="B15" s="9" t="str">
        <x:v>G09</x:v>
      </x:c>
      <x:c r="C15" s="9" t="str">
        <x:v>availability updates reproduce</x:v>
      </x:c>
      <x:c r="D15" s="9" t="str">
        <x:v>package</x:v>
      </x:c>
      <x:c r="E15" s="9" t="n">
        <x:v>1</x:v>
      </x:c>
      <x:c r="F15" s="9" t="n">
        <x:f>IF(AND(ABS('Availability Update'!K7-0.659092256)&lt;0.000001,ABS('Availability Update'!K8-0.607421896)&lt;0.000001),1,0)</x:f>
        <x:v>1</x:v>
      </x:c>
      <x:c r="G15" s="9" t="str">
        <x:f>IF(F15=1,"PLANNING PASS","FAIL")</x:f>
        <x:v>PLANNING PASS</x:v>
      </x:c>
      <x:c r="H15" s="9" t="str">
        <x:v>method authorized</x:v>
      </x:c>
      <x:c r="I15" s="9" t="str">
        <x:v>BLOCKED</x:v>
      </x:c>
      <x:c r="J15" s="9" t="str">
        <x:v>BLOCKED</x:v>
      </x:c>
    </x:row>
    <x:row r="16">
      <x:c r="B16" s="9" t="str">
        <x:v>G10</x:v>
      </x:c>
      <x:c r="C16" s="9" t="str">
        <x:v>all residual services remain inside utilization ceiling</x:v>
      </x:c>
      <x:c r="D16" s="9" t="str">
        <x:v>package</x:v>
      </x:c>
      <x:c r="E16" s="9" t="n">
        <x:v>1</x:v>
      </x:c>
      <x:c r="F16" s="9" t="n">
        <x:f>IF(COUNTIF('Residual Capacity'!$K$7:$K$13,"PASS")=7,1,0)</x:f>
        <x:v>1</x:v>
      </x:c>
      <x:c r="G16" s="9" t="str">
        <x:f>IF(F16=1,"PLANNING PASS","FAIL")</x:f>
        <x:v>PLANNING PASS</x:v>
      </x:c>
      <x:c r="H16" s="9" t="str">
        <x:v>method authorized</x:v>
      </x:c>
      <x:c r="I16" s="9" t="str">
        <x:v>BLOCKED</x:v>
      </x:c>
      <x:c r="J16" s="9" t="str">
        <x:v>BLOCKED</x:v>
      </x:c>
    </x:row>
    <x:row r="17">
      <x:c r="B17" s="9" t="str">
        <x:v>G11</x:v>
      </x:c>
      <x:c r="C17" s="9" t="str">
        <x:v>ninety-two residual reservation tokens complete</x:v>
      </x:c>
      <x:c r="D17" s="9" t="str">
        <x:v>package</x:v>
      </x:c>
      <x:c r="E17" s="9" t="n">
        <x:v>1</x:v>
      </x:c>
      <x:c r="F17" s="9" t="n">
        <x:f>IF(COUNTA('Residual Schedule'!$B$7:$B$98)=92,1,0)</x:f>
        <x:v>1</x:v>
      </x:c>
      <x:c r="G17" s="9" t="str">
        <x:f>IF(F17=1,"PLANNING PASS","FAIL")</x:f>
        <x:v>PLANNING PASS</x:v>
      </x:c>
      <x:c r="H17" s="9" t="str">
        <x:v>method authorized</x:v>
      </x:c>
      <x:c r="I17" s="9" t="str">
        <x:v>BLOCKED</x:v>
      </x:c>
      <x:c r="J17" s="9" t="str">
        <x:v>BLOCKED</x:v>
      </x:c>
    </x:row>
    <x:row r="18">
      <x:c r="B18" s="9" t="str">
        <x:v>G12</x:v>
      </x:c>
      <x:c r="C18" s="9" t="str">
        <x:v>all station intervals are non-overlapping</x:v>
      </x:c>
      <x:c r="D18" s="9" t="str">
        <x:v>package</x:v>
      </x:c>
      <x:c r="E18" s="9" t="n">
        <x:v>1</x:v>
      </x:c>
      <x:c r="F18" s="9" t="n">
        <x:f>IF(COUNTIF('Residual Schedule'!$N$7:$N$98,1)=92,1,0)</x:f>
        <x:v>1</x:v>
      </x:c>
      <x:c r="G18" s="9" t="str">
        <x:f>IF(F18=1,"PLANNING PASS","FAIL")</x:f>
        <x:v>PLANNING PASS</x:v>
      </x:c>
      <x:c r="H18" s="9" t="str">
        <x:v>method authorized</x:v>
      </x:c>
      <x:c r="I18" s="9" t="str">
        <x:v>BLOCKED</x:v>
      </x:c>
      <x:c r="J18" s="9" t="str">
        <x:v>BLOCKED</x:v>
      </x:c>
    </x:row>
    <x:row r="19">
      <x:c r="B19" s="9" t="str">
        <x:v>G13</x:v>
      </x:c>
      <x:c r="C19" s="9" t="str">
        <x:v>all 335 daily control rows pass</x:v>
      </x:c>
      <x:c r="D19" s="9" t="str">
        <x:v>package</x:v>
      </x:c>
      <x:c r="E19" s="9" t="n">
        <x:v>1</x:v>
      </x:c>
      <x:c r="F19" s="9" t="n">
        <x:f>IF(COUNTIF('Daily Control'!$L$7:$L$341,"PASS")=335,1,0)</x:f>
        <x:v>1</x:v>
      </x:c>
      <x:c r="G19" s="9" t="str">
        <x:f>IF(F19=1,"PLANNING PASS","FAIL")</x:f>
        <x:v>PLANNING PASS</x:v>
      </x:c>
      <x:c r="H19" s="9" t="str">
        <x:v>method authorized</x:v>
      </x:c>
      <x:c r="I19" s="9" t="str">
        <x:v>BLOCKED</x:v>
      </x:c>
      <x:c r="J19" s="9" t="str">
        <x:v>BLOCKED</x:v>
      </x:c>
    </x:row>
    <x:row r="20">
      <x:c r="B20" s="9" t="str">
        <x:v>G14</x:v>
      </x:c>
      <x:c r="C20" s="9" t="str">
        <x:v>closure root matrix balances</x:v>
      </x:c>
      <x:c r="D20" s="9" t="str">
        <x:v>package</x:v>
      </x:c>
      <x:c r="E20" s="9" t="n">
        <x:v>1</x:v>
      </x:c>
      <x:c r="F20" s="9" t="n">
        <x:f>IF(COUNTIF('Schedule Controls'!$G$41:$G$43,"PASS")=3,1,0)</x:f>
        <x:v>1</x:v>
      </x:c>
      <x:c r="G20" s="9" t="str">
        <x:f>IF(F20=1,"PLANNING PASS","FAIL")</x:f>
        <x:v>PLANNING PASS</x:v>
      </x:c>
      <x:c r="H20" s="9" t="str">
        <x:v>method authorized</x:v>
      </x:c>
      <x:c r="I20" s="9" t="str">
        <x:v>BLOCKED</x:v>
      </x:c>
      <x:c r="J20" s="9" t="str">
        <x:v>BLOCKED</x:v>
      </x:c>
    </x:row>
    <x:row r="21">
      <x:c r="B21" s="9" t="str">
        <x:v>G15</x:v>
      </x:c>
      <x:c r="C21" s="9" t="str">
        <x:v>damage root matrix balances</x:v>
      </x:c>
      <x:c r="D21" s="9" t="str">
        <x:v>package</x:v>
      </x:c>
      <x:c r="E21" s="9" t="n">
        <x:v>1</x:v>
      </x:c>
      <x:c r="F21" s="9" t="n">
        <x:f>IF(COUNTIF('Schedule Controls'!$G$41:$G$43,"PASS")=3,1,0)</x:f>
        <x:v>1</x:v>
      </x:c>
      <x:c r="G21" s="9" t="str">
        <x:f>IF(F21=1,"PLANNING PASS","FAIL")</x:f>
        <x:v>PLANNING PASS</x:v>
      </x:c>
      <x:c r="H21" s="9" t="str">
        <x:v>method authorized</x:v>
      </x:c>
      <x:c r="I21" s="9" t="str">
        <x:v>BLOCKED</x:v>
      </x:c>
      <x:c r="J21" s="9" t="str">
        <x:v>BLOCKED</x:v>
      </x:c>
    </x:row>
    <x:row r="22">
      <x:c r="B22" s="9" t="str">
        <x:v>G16</x:v>
      </x:c>
      <x:c r="C22" s="9" t="str">
        <x:v>common-cause frequency boundary closes</x:v>
      </x:c>
      <x:c r="D22" s="9" t="str">
        <x:v>package</x:v>
      </x:c>
      <x:c r="E22" s="9" t="n">
        <x:v>1</x:v>
      </x:c>
      <x:c r="F22" s="9" t="n">
        <x:f>IF(COUNTIF('Common Cause'!$E$7:$E$11,"PASS")=5,1,0)</x:f>
        <x:v>1</x:v>
      </x:c>
      <x:c r="G22" s="9" t="str">
        <x:f>IF(F22=1,"PLANNING PASS","FAIL")</x:f>
        <x:v>PLANNING PASS</x:v>
      </x:c>
      <x:c r="H22" s="9" t="str">
        <x:v>method authorized</x:v>
      </x:c>
      <x:c r="I22" s="9" t="str">
        <x:v>BLOCKED</x:v>
      </x:c>
      <x:c r="J22" s="9" t="str">
        <x:v>BLOCKED</x:v>
      </x:c>
    </x:row>
    <x:row r="23">
      <x:c r="B23" s="9" t="str">
        <x:v>G17</x:v>
      </x:c>
      <x:c r="C23" s="9" t="str">
        <x:v>remaining operating support reconciles</x:v>
      </x:c>
      <x:c r="D23" s="9" t="str">
        <x:v>package</x:v>
      </x:c>
      <x:c r="E23" s="9" t="n">
        <x:v>1</x:v>
      </x:c>
      <x:c r="F23" s="9" t="n">
        <x:f>IF(ABS('Financial Cases'!C7-0.8955)&lt;0.000001,1,0)</x:f>
        <x:v>1</x:v>
      </x:c>
      <x:c r="G23" s="9" t="str">
        <x:f>IF(F23=1,"PLANNING PASS","FAIL")</x:f>
        <x:v>PLANNING PASS</x:v>
      </x:c>
      <x:c r="H23" s="9" t="str">
        <x:v>method authorized</x:v>
      </x:c>
      <x:c r="I23" s="9" t="str">
        <x:v>BLOCKED</x:v>
      </x:c>
      <x:c r="J23" s="9" t="str">
        <x:v>BLOCKED</x:v>
      </x:c>
    </x:row>
    <x:row r="24">
      <x:c r="B24" s="9" t="str">
        <x:v>G18</x:v>
      </x:c>
      <x:c r="C24" s="9" t="str">
        <x:v>augmentation branch reconciles</x:v>
      </x:c>
      <x:c r="D24" s="9" t="str">
        <x:v>package</x:v>
      </x:c>
      <x:c r="E24" s="9" t="n">
        <x:v>1</x:v>
      </x:c>
      <x:c r="F24" s="9" t="n">
        <x:f>IF(ABS('Financial Cases'!G8-1.47)&lt;0.000001,1,0)</x:f>
        <x:v>1</x:v>
      </x:c>
      <x:c r="G24" s="9" t="str">
        <x:f>IF(F24=1,"PLANNING PASS","FAIL")</x:f>
        <x:v>PLANNING PASS</x:v>
      </x:c>
      <x:c r="H24" s="9" t="str">
        <x:v>method authorized</x:v>
      </x:c>
      <x:c r="I24" s="9" t="str">
        <x:v>BLOCKED</x:v>
      </x:c>
      <x:c r="J24" s="9" t="str">
        <x:v>BLOCKED</x:v>
      </x:c>
    </x:row>
    <x:row r="25">
      <x:c r="B25" s="9" t="str">
        <x:v>G19</x:v>
      </x:c>
      <x:c r="C25" s="9" t="str">
        <x:v>campus replacement exposure reconciles</x:v>
      </x:c>
      <x:c r="D25" s="9" t="str">
        <x:v>package</x:v>
      </x:c>
      <x:c r="E25" s="9" t="n">
        <x:v>1</x:v>
      </x:c>
      <x:c r="F25" s="9" t="n">
        <x:f>IF(AND(ABS('Financial Cases'!D9-1.34)&lt;0.000001,ABS('Financial Cases'!I9-0.88)&lt;0.000001),1,0)</x:f>
        <x:v>1</x:v>
      </x:c>
      <x:c r="G25" s="9" t="str">
        <x:f>IF(F25=1,"PLANNING PASS","FAIL")</x:f>
        <x:v>PLANNING PASS</x:v>
      </x:c>
      <x:c r="H25" s="9" t="str">
        <x:v>method authorized</x:v>
      </x:c>
      <x:c r="I25" s="9" t="str">
        <x:v>BLOCKED</x:v>
      </x:c>
      <x:c r="J25" s="9" t="str">
        <x:v>BLOCKED</x:v>
      </x:c>
    </x:row>
    <x:row r="26">
      <x:c r="B26" s="9" t="str">
        <x:v>G20</x:v>
      </x:c>
      <x:c r="C26" s="9" t="str">
        <x:v>synthetic conformance decision reproduces</x:v>
      </x:c>
      <x:c r="D26" s="9" t="str">
        <x:v>package</x:v>
      </x:c>
      <x:c r="E26" s="9" t="n">
        <x:v>1</x:v>
      </x:c>
      <x:c r="F26" s="9" t="n">
        <x:f>IF(AND('Residual Capacity'!K7="PASS",'Residual Capacity'!K8="PASS",MAX('Residual Schedule'!J7:J70)&lt;='Method Controls'!$D$60,MAX('Residual Schedule'!J71:J98)&lt;='Method Controls'!$D$61),1,0)</x:f>
        <x:v>1</x:v>
      </x:c>
      <x:c r="G26" s="9" t="str">
        <x:f>IF(F26=1,"PLANNING PASS","FAIL")</x:f>
        <x:v>PLANNING PASS</x:v>
      </x:c>
      <x:c r="H26" s="9" t="str">
        <x:v>method authorized</x:v>
      </x:c>
      <x:c r="I26" s="9" t="str">
        <x:v>BLOCKED</x:v>
      </x:c>
      <x:c r="J26" s="9" t="str">
        <x:v>BLOCKED</x:v>
      </x:c>
    </x:row>
    <x:row r="27">
      <x:c r="B27" s="9" t="str">
        <x:v>G21</x:v>
      </x:c>
      <x:c r="C27" s="9" t="str">
        <x:v>live observation cutoff authorized</x:v>
      </x:c>
      <x:c r="D27" s="9" t="str">
        <x:v>physical</x:v>
      </x:c>
      <x:c r="E27" s="9" t="n">
        <x:v>1</x:v>
      </x:c>
      <x:c r="F27" s="9" t="n">
        <x:f>'Method Controls'!$D$8</x:f>
        <x:v>0</x:v>
      </x:c>
      <x:c r="G27" s="9" t="str">
        <x:f>IF(F27=1,"PASS","OPEN")</x:f>
        <x:v>OPEN</x:v>
      </x:c>
      <x:c r="H27" s="9" t="str">
        <x:v>next predecessor</x:v>
      </x:c>
      <x:c r="I27" s="9" t="str">
        <x:v>BLOCKED</x:v>
      </x:c>
      <x:c r="J27" s="9" t="str">
        <x:v>BLOCKED</x:v>
      </x:c>
    </x:row>
    <x:row r="28">
      <x:c r="B28" s="9" t="str">
        <x:v>G22</x:v>
      </x:c>
      <x:c r="C28" s="9" t="str">
        <x:v>live event and service records constituted</x:v>
      </x:c>
      <x:c r="D28" s="9" t="str">
        <x:v>physical</x:v>
      </x:c>
      <x:c r="E28" s="9" t="n">
        <x:v>1</x:v>
      </x:c>
      <x:c r="F28" s="9" t="n">
        <x:f>'Method Controls'!$D$42</x:f>
        <x:v>0</x:v>
      </x:c>
      <x:c r="G28" s="9" t="str">
        <x:f>IF(F28=1,"PASS","OPEN")</x:f>
        <x:v>OPEN</x:v>
      </x:c>
      <x:c r="H28" s="9" t="str">
        <x:v>next predecessor</x:v>
      </x:c>
      <x:c r="I28" s="9" t="str">
        <x:v>BLOCKED</x:v>
      </x:c>
      <x:c r="J28" s="9" t="str">
        <x:v>BLOCKED</x:v>
      </x:c>
    </x:row>
    <x:row r="29">
      <x:c r="B29" s="9" t="str">
        <x:v>G23</x:v>
      </x:c>
      <x:c r="C29" s="9" t="str">
        <x:v>independent cause board terminal</x:v>
      </x:c>
      <x:c r="D29" s="9" t="str">
        <x:v>physical</x:v>
      </x:c>
      <x:c r="E29" s="9" t="n">
        <x:v>1</x:v>
      </x:c>
      <x:c r="F29" s="9" t="n">
        <x:f>'Method Controls'!$D$43</x:f>
        <x:v>0</x:v>
      </x:c>
      <x:c r="G29" s="9" t="str">
        <x:f>IF(F29=1,"PASS","OPEN")</x:f>
        <x:v>OPEN</x:v>
      </x:c>
      <x:c r="H29" s="9" t="str">
        <x:v>next predecessor</x:v>
      </x:c>
      <x:c r="I29" s="9" t="str">
        <x:v>BLOCKED</x:v>
      </x:c>
      <x:c r="J29" s="9" t="str">
        <x:v>BLOCKED</x:v>
      </x:c>
    </x:row>
    <x:row r="30">
      <x:c r="B30" s="9" t="str">
        <x:v>G24</x:v>
      </x:c>
      <x:c r="C30" s="9" t="str">
        <x:v>estimator implementation hash reproduced</x:v>
      </x:c>
      <x:c r="D30" s="9" t="str">
        <x:v>physical</x:v>
      </x:c>
      <x:c r="E30" s="9" t="n">
        <x:v>1</x:v>
      </x:c>
      <x:c r="F30" s="9" t="n">
        <x:f>'Method Controls'!$D$40</x:f>
        <x:v>1</x:v>
      </x:c>
      <x:c r="G30" s="9" t="str">
        <x:f>IF(F30=1,"PASS","OPEN")</x:f>
        <x:v>PASS</x:v>
      </x:c>
      <x:c r="H30" s="9" t="str">
        <x:v>next predecessor</x:v>
      </x:c>
      <x:c r="I30" s="9" t="str">
        <x:v>BLOCKED</x:v>
      </x:c>
      <x:c r="J30" s="9" t="str">
        <x:v>BLOCKED</x:v>
      </x:c>
    </x:row>
    <x:row r="31">
      <x:c r="B31" s="9" t="str">
        <x:v>G25</x:v>
      </x:c>
      <x:c r="C31" s="9" t="str">
        <x:v>named residual rosters constituted</x:v>
      </x:c>
      <x:c r="D31" s="9" t="str">
        <x:v>physical</x:v>
      </x:c>
      <x:c r="E31" s="9" t="n">
        <x:v>1</x:v>
      </x:c>
      <x:c r="F31" s="9" t="n">
        <x:f>'Method Controls'!$D$44</x:f>
        <x:v>0</x:v>
      </x:c>
      <x:c r="G31" s="9" t="str">
        <x:f>IF(F31=1,"PASS","OPEN")</x:f>
        <x:v>OPEN</x:v>
      </x:c>
      <x:c r="H31" s="9" t="str">
        <x:v>next predecessor</x:v>
      </x:c>
      <x:c r="I31" s="9" t="str">
        <x:v>BLOCKED</x:v>
      </x:c>
      <x:c r="J31" s="9" t="str">
        <x:v>BLOCKED</x:v>
      </x:c>
    </x:row>
    <x:row r="32">
      <x:c r="B32" s="9" t="str">
        <x:v>G26</x:v>
      </x:c>
      <x:c r="C32" s="9" t="str">
        <x:v>residual stations and supports READY</x:v>
      </x:c>
      <x:c r="D32" s="9" t="str">
        <x:v>physical</x:v>
      </x:c>
      <x:c r="E32" s="9" t="n">
        <x:v>1</x:v>
      </x:c>
      <x:c r="F32" s="9" t="n">
        <x:f>'Method Controls'!$D$42</x:f>
        <x:v>0</x:v>
      </x:c>
      <x:c r="G32" s="9" t="str">
        <x:f>IF(F32=1,"PASS","OPEN")</x:f>
        <x:v>OPEN</x:v>
      </x:c>
      <x:c r="H32" s="9" t="str">
        <x:v>next predecessor</x:v>
      </x:c>
      <x:c r="I32" s="9" t="str">
        <x:v>BLOCKED</x:v>
      </x:c>
      <x:c r="J32" s="9" t="str">
        <x:v>BLOCKED</x:v>
      </x:c>
    </x:row>
    <x:row r="33">
      <x:c r="B33" s="9" t="str">
        <x:v>G27</x:v>
      </x:c>
      <x:c r="C33" s="9" t="str">
        <x:v>residual campaign approved</x:v>
      </x:c>
      <x:c r="D33" s="9" t="str">
        <x:v>physical</x:v>
      </x:c>
      <x:c r="E33" s="9" t="n">
        <x:v>1</x:v>
      </x:c>
      <x:c r="F33" s="9" t="n">
        <x:f>'Method Controls'!$D$45</x:f>
        <x:v>0</x:v>
      </x:c>
      <x:c r="G33" s="9" t="str">
        <x:f>IF(F33=1,"PASS","OPEN")</x:f>
        <x:v>OPEN</x:v>
      </x:c>
      <x:c r="H33" s="9" t="str">
        <x:v>next predecessor</x:v>
      </x:c>
      <x:c r="I33" s="9" t="str">
        <x:v>BLOCKED</x:v>
      </x:c>
      <x:c r="J33" s="9" t="str">
        <x:v>BLOCKED</x:v>
      </x:c>
    </x:row>
    <x:row r="34">
      <x:c r="B34" s="9" t="str">
        <x:v>G28</x:v>
      </x:c>
      <x:c r="C34" s="9" t="str">
        <x:v>residual schedule executed</x:v>
      </x:c>
      <x:c r="D34" s="9" t="str">
        <x:v>physical</x:v>
      </x:c>
      <x:c r="E34" s="9" t="n">
        <x:v>1</x:v>
      </x:c>
      <x:c r="F34" s="9" t="n">
        <x:f>'Method Controls'!$D$45</x:f>
        <x:v>0</x:v>
      </x:c>
      <x:c r="G34" s="9" t="str">
        <x:f>IF(F34=1,"PASS","OPEN")</x:f>
        <x:v>OPEN</x:v>
      </x:c>
      <x:c r="H34" s="9" t="str">
        <x:v>next predecessor</x:v>
      </x:c>
      <x:c r="I34" s="9" t="str">
        <x:v>BLOCKED</x:v>
      </x:c>
      <x:c r="J34" s="9" t="str">
        <x:v>BLOCKED</x:v>
      </x:c>
    </x:row>
    <x:row r="35">
      <x:c r="B35" s="9" t="str">
        <x:v>G29</x:v>
      </x:c>
      <x:c r="C35" s="9" t="str">
        <x:v>remaining root credits admitted</x:v>
      </x:c>
      <x:c r="D35" s="9" t="str">
        <x:v>physical</x:v>
      </x:c>
      <x:c r="E35" s="9" t="n">
        <x:v>1</x:v>
      </x:c>
      <x:c r="F35" s="9" t="n">
        <x:f>'Method Controls'!$D$46</x:f>
        <x:v>0</x:v>
      </x:c>
      <x:c r="G35" s="9" t="str">
        <x:f>IF(F35=1,"PASS","OPEN")</x:f>
        <x:v>OPEN</x:v>
      </x:c>
      <x:c r="H35" s="9" t="str">
        <x:v>next predecessor</x:v>
      </x:c>
      <x:c r="I35" s="9" t="str">
        <x:v>BLOCKED</x:v>
      </x:c>
      <x:c r="J35" s="9" t="str">
        <x:v>BLOCKED</x:v>
      </x:c>
    </x:row>
    <x:row r="36">
      <x:c r="B36" s="9" t="str">
        <x:v>G30</x:v>
      </x:c>
      <x:c r="C36" s="9" t="str">
        <x:v>production and form authority granted</x:v>
      </x:c>
      <x:c r="D36" s="9" t="str">
        <x:v>physical</x:v>
      </x:c>
      <x:c r="E36" s="9" t="n">
        <x:v>1</x:v>
      </x:c>
      <x:c r="F36" s="9" t="n">
        <x:f>'Method Controls'!$D$47</x:f>
        <x:v>0</x:v>
      </x:c>
      <x:c r="G36" s="9" t="str">
        <x:f>IF(F36=1,"PASS","OPEN")</x:f>
        <x:v>OPEN</x:v>
      </x:c>
      <x:c r="H36" s="9" t="str">
        <x:v>next predecessor</x:v>
      </x:c>
      <x:c r="I36" s="9" t="str">
        <x:v>BLOCKED</x:v>
      </x:c>
      <x:c r="J36" s="9" t="str">
        <x:v>BLOCKED</x:v>
      </x:c>
    </x:row>
    <x:row r="37">
      <x:c r="B37" s="10" t="str">
        <x:v>G31</x:v>
      </x:c>
      <x:c r="C37" s="10" t="str">
        <x:v>exterior rendering authority granted</x:v>
      </x:c>
      <x:c r="D37" s="10" t="str">
        <x:v>physical</x:v>
      </x:c>
      <x:c r="E37" s="10" t="n">
        <x:v>1</x:v>
      </x:c>
      <x:c r="F37" s="10" t="n">
        <x:f>'Method Controls'!$D$48</x:f>
        <x:v>0</x:v>
      </x:c>
      <x:c r="G37" s="10" t="str">
        <x:f>IF(F37=1,"PASS","OPEN")</x:f>
        <x:v>OPEN</x:v>
      </x:c>
      <x:c r="H37" s="10" t="str">
        <x:v>next predecessor</x:v>
      </x:c>
      <x:c r="I37" s="10" t="str">
        <x:v>BLOCKED</x:v>
      </x:c>
      <x:c r="J37" s="10" t="str">
        <x:v>BLOCKED</x:v>
      </x:c>
    </x:row>
    <x:row r="38">
      <x:c r="B38" s="36"/>
      <x:c r="C38" s="36"/>
      <x:c r="D38" s="36"/>
      <x:c r="E38" s="36"/>
      <x:c r="F38" s="36"/>
      <x:c r="G38" s="36"/>
      <x:c r="H38" s="36"/>
      <x:c r="I38" s="36"/>
      <x:c r="J38" s="36"/>
    </x:row>
    <x:row r="39">
      <x:c r="B39" s="36"/>
      <x:c r="C39" s="36"/>
      <x:c r="D39" s="36"/>
      <x:c r="E39" s="36"/>
      <x:c r="F39" s="36"/>
      <x:c r="G39" s="36"/>
      <x:c r="H39" s="36"/>
      <x:c r="I39" s="36"/>
      <x:c r="J39" s="36"/>
    </x:row>
    <x:row r="40">
      <x:c r="B40" s="21" t="str">
        <x:v>Derived present states</x:v>
      </x:c>
      <x:c r="C40" s="22" t="str">
        <x:v>Derived present states</x:v>
      </x:c>
      <x:c r="D40" s="22" t="str">
        <x:v>Derived present states</x:v>
      </x:c>
      <x:c r="E40" s="22" t="str">
        <x:v>Derived present states</x:v>
      </x:c>
      <x:c r="F40" s="22" t="str">
        <x:v>Derived present states</x:v>
      </x:c>
      <x:c r="G40" s="22" t="str">
        <x:v>Derived present states</x:v>
      </x:c>
      <x:c r="H40" s="22" t="str">
        <x:v>Derived present states</x:v>
      </x:c>
      <x:c r="I40" s="22" t="str">
        <x:v>Derived present states</x:v>
      </x:c>
      <x:c r="J40" s="23" t="str">
        <x:v>Derived present states</x:v>
      </x:c>
    </x:row>
    <x:row r="41">
      <x:c r="B41" s="36" t="str">
        <x:v>Method package</x:v>
      </x:c>
      <x:c r="C41" s="36" t="str">
        <x:v>G01–G20</x:v>
      </x:c>
      <x:c r="D41" s="36" t="str">
        <x:f>IF(COUNTIF(G7:G26,"PLANNING PASS")=20,"AUTHORIZED","HOLD")</x:f>
        <x:v>AUTHORIZED</x:v>
      </x:c>
      <x:c r="E41" s="36"/>
      <x:c r="F41" s="36"/>
      <x:c r="G41" s="36"/>
      <x:c r="H41" s="36"/>
      <x:c r="I41" s="36"/>
      <x:c r="J41" s="36"/>
    </x:row>
    <x:row r="42">
      <x:c r="B42" s="36" t="str">
        <x:v>Synthetic conformance</x:v>
      </x:c>
      <x:c r="C42" s="36" t="str">
        <x:v>method vector</x:v>
      </x:c>
      <x:c r="D42" s="36" t="str">
        <x:f>IF(AND(D41="AUTHORIZED",F26=1),"PASS","HOLD")</x:f>
        <x:v>PASS</x:v>
      </x:c>
      <x:c r="E42" s="36"/>
      <x:c r="F42" s="36"/>
      <x:c r="G42" s="36"/>
      <x:c r="H42" s="36"/>
      <x:c r="I42" s="36"/>
      <x:c r="J42" s="36"/>
    </x:row>
    <x:row r="43">
      <x:c r="B43" s="36" t="str">
        <x:v>Live update</x:v>
      </x:c>
      <x:c r="C43" s="36" t="str">
        <x:v>G21–G24</x:v>
      </x:c>
      <x:c r="D43" s="36" t="str">
        <x:f>IF(AND(G27="PASS",G28="PASS",G29="PASS",G30="PASS"),"AUTHORIZED","HOLD")</x:f>
        <x:v>HOLD</x:v>
      </x:c>
      <x:c r="E43" s="36"/>
      <x:c r="F43" s="36"/>
      <x:c r="G43" s="36"/>
      <x:c r="H43" s="36"/>
      <x:c r="I43" s="36"/>
      <x:c r="J43" s="36"/>
    </x:row>
    <x:row r="44">
      <x:c r="B44" s="36" t="str">
        <x:v>Residual campaign admission</x:v>
      </x:c>
      <x:c r="C44" s="36" t="str">
        <x:v>G25–G29</x:v>
      </x:c>
      <x:c r="D44" s="36" t="str">
        <x:f>IF(AND(D43="AUTHORIZED",COUNTIF(G31:G35,"PASS")=5),"ADMITTED","HOLD")</x:f>
        <x:v>HOLD</x:v>
      </x:c>
      <x:c r="E44" s="36"/>
      <x:c r="F44" s="36"/>
      <x:c r="G44" s="36"/>
      <x:c r="H44" s="36"/>
      <x:c r="I44" s="36"/>
      <x:c r="J44" s="36"/>
    </x:row>
    <x:row r="45">
      <x:c r="B45" s="36" t="str">
        <x:v>Force design result</x:v>
      </x:c>
      <x:c r="C45" s="36" t="str">
        <x:v>synthetic only</x:v>
      </x:c>
      <x:c r="D45" s="36" t="str">
        <x:f>IF(D42&lt;&gt;"PASS","INDETERMINATE",IF(AND('Residual Capacity'!K7="PASS",'Residual Capacity'!K8="PASS"),"PRESERVE",IF('Residual Capacity'!M8&lt;='Method Controls'!$D$29,"AUGMENT","REDESIGN")))</x:f>
        <x:v>PRESERVE</x:v>
      </x:c>
      <x:c r="E45" s="36"/>
      <x:c r="F45" s="36"/>
      <x:c r="G45" s="36"/>
      <x:c r="H45" s="36"/>
      <x:c r="I45" s="36"/>
      <x:c r="J45" s="36"/>
    </x:row>
    <x:row r="46">
      <x:c r="B46" s="36" t="str">
        <x:v>Campus physical regeneration</x:v>
      </x:c>
      <x:c r="C46" s="36" t="str">
        <x:v>capital and requalification</x:v>
      </x:c>
      <x:c r="D46" s="36" t="str">
        <x:f>IF(AND('Method Controls'!$D$57=1,'Common Cause'!I12="FUNDED"),"SUPPORTED","HOLD")</x:f>
        <x:v>HOLD</x:v>
      </x:c>
      <x:c r="E46" s="36"/>
      <x:c r="F46" s="36"/>
      <x:c r="G46" s="36"/>
      <x:c r="H46" s="36"/>
      <x:c r="I46" s="36"/>
      <x:c r="J46" s="36"/>
    </x:row>
    <x:row r="47">
      <x:c r="B47" s="36" t="str">
        <x:v>Production/form and rendering</x:v>
      </x:c>
      <x:c r="C47" s="36" t="str">
        <x:v>parent F36 chain</x:v>
      </x:c>
      <x:c r="D47" s="36" t="str">
        <x:f>IF(AND(D44="ADMITTED",'Method Controls'!$D$47=1,'Method Controls'!$D$48=1),"AUTHORIZED","BLOCKED")</x:f>
        <x:v>BLOCKED</x:v>
      </x:c>
      <x:c r="E47" s="36"/>
      <x:c r="F47" s="36"/>
      <x:c r="G47" s="36"/>
      <x:c r="H47" s="36"/>
      <x:c r="I47" s="36"/>
      <x:c r="J47" s="36"/>
    </x:row>
  </x:sheetData>
  <x:mergeCells>
    <x:mergeCell ref="B2:J2"/>
    <x:mergeCell ref="B3:J3"/>
    <x:mergeCell ref="B40:J40"/>
  </x:mergeCells>
  <x:conditionalFormatting sqref="G7:G37">
    <x:cfRule type="containsText" dxfId="81" priority="1" operator="containsText" text="PASS"/>
    <x:cfRule type="containsText" dxfId="82" priority="2" operator="containsText" text="AUTHORIZED"/>
    <x:cfRule type="containsText" dxfId="83" priority="3" operator="containsText" text="PRESERVE"/>
    <x:cfRule type="containsText" dxfId="84" priority="4" operator="containsText" text="HOLD"/>
    <x:cfRule type="containsText" dxfId="85" priority="5" operator="containsText" text="OPEN"/>
    <x:cfRule type="containsText" dxfId="86" priority="6" operator="containsText" text="BLOCKED"/>
    <x:cfRule type="containsText" dxfId="87" priority="7" operator="containsText" text="FAIL"/>
    <x:cfRule type="containsText" dxfId="88" priority="8" operator="containsText" text="REDESIGN"/>
    <x:cfRule type="containsText" dxfId="89" priority="9" operator="containsText" text="INDETERMINATE"/>
  </x:conditionalFormatting>
  <x:conditionalFormatting sqref="I7:J37">
    <x:cfRule type="containsText" dxfId="90" priority="10" operator="containsText" text="PASS"/>
    <x:cfRule type="containsText" dxfId="91" priority="11" operator="containsText" text="AUTHORIZED"/>
    <x:cfRule type="containsText" dxfId="92" priority="12" operator="containsText" text="PRESERVE"/>
    <x:cfRule type="containsText" dxfId="93" priority="13" operator="containsText" text="HOLD"/>
    <x:cfRule type="containsText" dxfId="94" priority="14" operator="containsText" text="OPEN"/>
    <x:cfRule type="containsText" dxfId="95" priority="15" operator="containsText" text="BLOCKED"/>
    <x:cfRule type="containsText" dxfId="96" priority="16" operator="containsText" text="FAIL"/>
    <x:cfRule type="containsText" dxfId="97" priority="17" operator="containsText" text="REDESIGN"/>
    <x:cfRule type="containsText" dxfId="98" priority="18" operator="containsText" text="INDETERMINATE"/>
  </x:conditionalFormatting>
  <x:conditionalFormatting sqref="D41:D47">
    <x:cfRule type="containsText" dxfId="99" priority="19" operator="containsText" text="PASS"/>
    <x:cfRule type="containsText" dxfId="100" priority="20" operator="containsText" text="AUTHORIZED"/>
    <x:cfRule type="containsText" dxfId="101" priority="21" operator="containsText" text="PRESERVE"/>
    <x:cfRule type="containsText" dxfId="102" priority="22" operator="containsText" text="HOLD"/>
    <x:cfRule type="containsText" dxfId="103" priority="23" operator="containsText" text="OPEN"/>
    <x:cfRule type="containsText" dxfId="104" priority="24" operator="containsText" text="BLOCKED"/>
    <x:cfRule type="containsText" dxfId="105" priority="25" operator="containsText" text="FAIL"/>
    <x:cfRule type="containsText" dxfId="106" priority="26" operator="containsText" text="REDESIGN"/>
    <x:cfRule type="containsText" dxfId="107" priority="27" operator="containsText" text="INDETERMINATE"/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FFA5A5A5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12" hidden="0" customWidth="1"/>
    <x:col min="4" max="4" width="9" hidden="0" customWidth="1"/>
    <x:col min="5" max="5" width="12" hidden="0" customWidth="1"/>
    <x:col min="6" max="6" width="20" hidden="0" customWidth="1"/>
    <x:col min="7" max="7" width="22" hidden="0" customWidth="1"/>
    <x:col min="8" max="8" width="27" hidden="0" customWidth="1"/>
    <x:col min="9" max="9" width="20" hidden="0" customWidth="1"/>
    <x:col min="10" max="10" width="12" hidden="0" customWidth="1"/>
    <x:col min="11" max="11" width="16" hidden="0" customWidth="1"/>
    <x:col min="12" max="12" width="16" hidden="0" customWidth="1"/>
    <x:col min="13" max="13" width="14" hidden="0" customWidth="1"/>
    <x:col min="14" max="14" width="20" hidden="0" customWidth="1"/>
    <x:col min="15" max="15" width="18" hidden="0" customWidth="1"/>
    <x:col min="16" max="16" width="16" hidden="0" customWidth="1"/>
    <x:col min="17" max="17" width="20" hidden="0" customWidth="1"/>
    <x:col min="18" max="18" width="16" hidden="0" customWidth="1"/>
    <x:col min="19" max="19" width="13" hidden="0" customWidth="1"/>
    <x:col min="20" max="20" width="20" hidden="0" customWidth="1"/>
    <x:col min="21" max="21" width="18" hidden="0" customWidth="1"/>
  </x:cols>
  <x:sheetData>
    <x:row r="2">
      <x:c r="B2" s="1" t="str">
        <x:v>Synthetic first-wave event observations</x:v>
      </x:c>
      <x:c r="C2" s="36"/>
      <x:c r="D2" s="36"/>
      <x:c r="E2" s="36"/>
      <x:c r="F2" s="36"/>
      <x:c r="G2" s="36"/>
      <x:c r="H2" s="36"/>
      <x:c r="I2" s="36"/>
      <x:c r="J2" s="36"/>
      <x:c r="K2" s="36"/>
      <x:c r="L2" s="36"/>
      <x:c r="M2" s="36"/>
      <x:c r="N2" s="36"/>
      <x:c r="O2" s="36"/>
      <x:c r="P2" s="36"/>
      <x:c r="Q2" s="36"/>
      <x:c r="R2" s="36"/>
      <x:c r="S2" s="36"/>
      <x:c r="T2" s="36"/>
      <x:c r="U2" s="36"/>
      <x:c r="V2" s="36"/>
    </x:row>
    <x:row r="3">
      <x:c r="B3" s="2" t="str">
        <x:v>Every row is a conformance vector, not a live event. Null cycle and packet values remain absent rather than zero.</x:v>
      </x:c>
      <x:c r="C3" s="36"/>
      <x:c r="D3" s="36"/>
      <x:c r="E3" s="36"/>
      <x:c r="F3" s="36"/>
      <x:c r="G3" s="36"/>
      <x:c r="H3" s="36"/>
      <x:c r="I3" s="36"/>
      <x:c r="J3" s="36"/>
      <x:c r="K3" s="36"/>
      <x:c r="L3" s="36"/>
      <x:c r="M3" s="36"/>
      <x:c r="N3" s="36"/>
      <x:c r="O3" s="36"/>
      <x:c r="P3" s="36"/>
      <x:c r="Q3" s="36"/>
      <x:c r="R3" s="36"/>
      <x:c r="S3" s="36"/>
      <x:c r="T3" s="36"/>
      <x:c r="U3" s="36"/>
      <x:c r="V3" s="36"/>
    </x:row>
    <x:row r="4">
      <x:c r="B4" s="37"/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37"/>
      <x:c r="P4" s="37"/>
      <x:c r="Q4" s="37"/>
      <x:c r="R4" s="37"/>
      <x:c r="S4" s="37"/>
      <x:c r="T4" s="37"/>
      <x:c r="U4" s="37"/>
      <x:c r="V4" s="37"/>
    </x:row>
    <x:row r="5">
      <x:c r="B5" s="36"/>
      <x:c r="C5" s="36"/>
      <x:c r="D5" s="36"/>
      <x:c r="E5" s="36"/>
      <x:c r="F5" s="36"/>
      <x:c r="G5" s="36"/>
      <x:c r="H5" s="36"/>
      <x:c r="I5" s="36"/>
      <x:c r="J5" s="36"/>
      <x:c r="K5" s="36"/>
      <x:c r="L5" s="36"/>
      <x:c r="M5" s="36"/>
      <x:c r="N5" s="36"/>
      <x:c r="O5" s="36"/>
      <x:c r="P5" s="36"/>
      <x:c r="Q5" s="36"/>
      <x:c r="R5" s="36"/>
      <x:c r="S5" s="36"/>
      <x:c r="T5" s="36"/>
      <x:c r="U5" s="36"/>
      <x:c r="V5" s="36"/>
    </x:row>
    <x:row r="6">
      <x:c r="B6" s="7" t="str">
        <x:v>Token</x:v>
      </x:c>
      <x:c r="C6" s="7" t="str">
        <x:v>Lane</x:v>
      </x:c>
      <x:c r="D6" s="7" t="str">
        <x:v>Root</x:v>
      </x:c>
      <x:c r="E6" s="7" t="str">
        <x:v>Campus</x:v>
      </x:c>
      <x:c r="F6" s="7" t="str">
        <x:v>Role</x:v>
      </x:c>
      <x:c r="G6" s="7" t="str">
        <x:v>Exposure</x:v>
      </x:c>
      <x:c r="H6" s="7" t="str">
        <x:v>Disposition</x:v>
      </x:c>
      <x:c r="I6" s="7" t="str">
        <x:v>Cause</x:v>
      </x:c>
      <x:c r="J6" s="7" t="str">
        <x:v>Terminal</x:v>
      </x:c>
      <x:c r="K6" s="7" t="str">
        <x:v>Cycle complete</x:v>
      </x:c>
      <x:c r="L6" s="7" t="str">
        <x:v>Right censored</x:v>
      </x:c>
      <x:c r="M6" s="7" t="str">
        <x:v>Cycle days</x:v>
      </x:c>
      <x:c r="N6" s="7" t="str">
        <x:v>Packet latency days</x:v>
      </x:c>
      <x:c r="O6" s="7" t="str">
        <x:v>Forensic line-days</x:v>
      </x:c>
      <x:c r="P6" s="7" t="str">
        <x:v>Assay panels</x:v>
      </x:c>
      <x:c r="Q6" s="7" t="str">
        <x:v>Metrology brackets</x:v>
      </x:c>
      <x:c r="R6" s="7" t="str">
        <x:v>Replay hours</x:v>
      </x:c>
      <x:c r="S6" s="7" t="str">
        <x:v>Blind event</x:v>
      </x:c>
      <x:c r="T6" s="7" t="str">
        <x:v>Originals complete</x:v>
      </x:c>
      <x:c r="U6" s="7" t="str">
        <x:v>Record complete</x:v>
      </x:c>
      <x:c r="V6" s="36"/>
    </x:row>
    <x:row r="7">
      <x:c r="B7" s="9" t="str">
        <x:v>CW-C001</x:v>
      </x:c>
      <x:c r="C7" s="9" t="str">
        <x:v>Closure</x:v>
      </x:c>
      <x:c r="D7" s="9" t="str">
        <x:v>R1</x:v>
      </x:c>
      <x:c r="E7" s="9" t="str">
        <x:v>NRC-A</x:v>
      </x:c>
      <x:c r="F7" s="9" t="str">
        <x:v>PRIMARY</x:v>
      </x:c>
      <x:c r="G7" s="9" t="str">
        <x:v>ROUTINE</x:v>
      </x:c>
      <x:c r="H7" s="9" t="str">
        <x:v>CREDITED</x:v>
      </x:c>
      <x:c r="I7" s="9" t="str">
        <x:v>NONE</x:v>
      </x:c>
      <x:c r="J7" s="9" t="n">
        <x:v>1</x:v>
      </x:c>
      <x:c r="K7" s="9" t="n">
        <x:v>1</x:v>
      </x:c>
      <x:c r="L7" s="9" t="n">
        <x:v>0</x:v>
      </x:c>
      <x:c r="M7" s="15" t="n">
        <x:v>7.8</x:v>
      </x:c>
      <x:c r="N7" s="15" t="n">
        <x:v>5.6</x:v>
      </x:c>
      <x:c r="O7" s="9" t="n">
        <x:v>2</x:v>
      </x:c>
      <x:c r="P7" s="9" t="n">
        <x:v>24</x:v>
      </x:c>
      <x:c r="Q7" s="9" t="n">
        <x:v>2</x:v>
      </x:c>
      <x:c r="R7" s="9" t="n">
        <x:v>20</x:v>
      </x:c>
      <x:c r="S7" s="9" t="n">
        <x:v>0</x:v>
      </x:c>
      <x:c r="T7" s="9" t="n">
        <x:v>2</x:v>
      </x:c>
      <x:c r="U7" s="9" t="n">
        <x:v>1</x:v>
      </x:c>
      <x:c r="V7" s="36"/>
    </x:row>
    <x:row r="8">
      <x:c r="B8" s="9" t="str">
        <x:v>CW-C002</x:v>
      </x:c>
      <x:c r="C8" s="9" t="str">
        <x:v>Closure</x:v>
      </x:c>
      <x:c r="D8" s="9" t="str">
        <x:v>R2</x:v>
      </x:c>
      <x:c r="E8" s="9" t="str">
        <x:v>NRC-B</x:v>
      </x:c>
      <x:c r="F8" s="9" t="str">
        <x:v>PRIMARY</x:v>
      </x:c>
      <x:c r="G8" s="9" t="str">
        <x:v>ROUTINE</x:v>
      </x:c>
      <x:c r="H8" s="9" t="str">
        <x:v>CREDITED</x:v>
      </x:c>
      <x:c r="I8" s="9" t="str">
        <x:v>NONE</x:v>
      </x:c>
      <x:c r="J8" s="9" t="n">
        <x:v>1</x:v>
      </x:c>
      <x:c r="K8" s="9" t="n">
        <x:v>1</x:v>
      </x:c>
      <x:c r="L8" s="9" t="n">
        <x:v>0</x:v>
      </x:c>
      <x:c r="M8" s="15" t="n">
        <x:v>8.1</x:v>
      </x:c>
      <x:c r="N8" s="15" t="n">
        <x:v>6.1</x:v>
      </x:c>
      <x:c r="O8" s="9" t="n">
        <x:v>2</x:v>
      </x:c>
      <x:c r="P8" s="9" t="n">
        <x:v>24</x:v>
      </x:c>
      <x:c r="Q8" s="9" t="n">
        <x:v>2</x:v>
      </x:c>
      <x:c r="R8" s="9" t="n">
        <x:v>20</x:v>
      </x:c>
      <x:c r="S8" s="9" t="n">
        <x:v>0</x:v>
      </x:c>
      <x:c r="T8" s="9" t="n">
        <x:v>2</x:v>
      </x:c>
      <x:c r="U8" s="9" t="n">
        <x:v>1</x:v>
      </x:c>
      <x:c r="V8" s="36"/>
    </x:row>
    <x:row r="9">
      <x:c r="B9" s="9" t="str">
        <x:v>CW-C003</x:v>
      </x:c>
      <x:c r="C9" s="9" t="str">
        <x:v>Closure</x:v>
      </x:c>
      <x:c r="D9" s="9" t="str">
        <x:v>R3</x:v>
      </x:c>
      <x:c r="E9" s="9" t="str">
        <x:v>NRC-C</x:v>
      </x:c>
      <x:c r="F9" s="9" t="str">
        <x:v>PRIMARY</x:v>
      </x:c>
      <x:c r="G9" s="9" t="str">
        <x:v>ROUTINE</x:v>
      </x:c>
      <x:c r="H9" s="9" t="str">
        <x:v>CREDITED</x:v>
      </x:c>
      <x:c r="I9" s="9" t="str">
        <x:v>NONE</x:v>
      </x:c>
      <x:c r="J9" s="9" t="n">
        <x:v>1</x:v>
      </x:c>
      <x:c r="K9" s="9" t="n">
        <x:v>1</x:v>
      </x:c>
      <x:c r="L9" s="9" t="n">
        <x:v>0</x:v>
      </x:c>
      <x:c r="M9" s="15" t="n">
        <x:v>7.9</x:v>
      </x:c>
      <x:c r="N9" s="15" t="n">
        <x:v>5.8</x:v>
      </x:c>
      <x:c r="O9" s="9" t="n">
        <x:v>2</x:v>
      </x:c>
      <x:c r="P9" s="9" t="n">
        <x:v>24</x:v>
      </x:c>
      <x:c r="Q9" s="9" t="n">
        <x:v>2</x:v>
      </x:c>
      <x:c r="R9" s="9" t="n">
        <x:v>20</x:v>
      </x:c>
      <x:c r="S9" s="9" t="n">
        <x:v>0</x:v>
      </x:c>
      <x:c r="T9" s="9" t="n">
        <x:v>2</x:v>
      </x:c>
      <x:c r="U9" s="9" t="n">
        <x:v>1</x:v>
      </x:c>
      <x:c r="V9" s="36"/>
    </x:row>
    <x:row r="10">
      <x:c r="B10" s="9" t="str">
        <x:v>CW-C004</x:v>
      </x:c>
      <x:c r="C10" s="9" t="str">
        <x:v>Closure</x:v>
      </x:c>
      <x:c r="D10" s="9" t="str">
        <x:v>R1</x:v>
      </x:c>
      <x:c r="E10" s="9" t="str">
        <x:v>NRC-A</x:v>
      </x:c>
      <x:c r="F10" s="9" t="str">
        <x:v>PRIMARY</x:v>
      </x:c>
      <x:c r="G10" s="9" t="str">
        <x:v>ROUTINE</x:v>
      </x:c>
      <x:c r="H10" s="9" t="str">
        <x:v>CREDITED</x:v>
      </x:c>
      <x:c r="I10" s="9" t="str">
        <x:v>NONE</x:v>
      </x:c>
      <x:c r="J10" s="9" t="n">
        <x:v>1</x:v>
      </x:c>
      <x:c r="K10" s="9" t="n">
        <x:v>1</x:v>
      </x:c>
      <x:c r="L10" s="9" t="n">
        <x:v>0</x:v>
      </x:c>
      <x:c r="M10" s="15" t="n">
        <x:v>8.3</x:v>
      </x:c>
      <x:c r="N10" s="15" t="n">
        <x:v>6.4</x:v>
      </x:c>
      <x:c r="O10" s="9" t="n">
        <x:v>2</x:v>
      </x:c>
      <x:c r="P10" s="9" t="n">
        <x:v>24</x:v>
      </x:c>
      <x:c r="Q10" s="9" t="n">
        <x:v>2</x:v>
      </x:c>
      <x:c r="R10" s="9" t="n">
        <x:v>20</x:v>
      </x:c>
      <x:c r="S10" s="9" t="n">
        <x:v>0</x:v>
      </x:c>
      <x:c r="T10" s="9" t="n">
        <x:v>2</x:v>
      </x:c>
      <x:c r="U10" s="9" t="n">
        <x:v>1</x:v>
      </x:c>
      <x:c r="V10" s="36"/>
    </x:row>
    <x:row r="11">
      <x:c r="B11" s="9" t="str">
        <x:v>CW-C005</x:v>
      </x:c>
      <x:c r="C11" s="9" t="str">
        <x:v>Closure</x:v>
      </x:c>
      <x:c r="D11" s="9" t="str">
        <x:v>R2</x:v>
      </x:c>
      <x:c r="E11" s="9" t="str">
        <x:v>NRC-B</x:v>
      </x:c>
      <x:c r="F11" s="9" t="str">
        <x:v>PRIMARY</x:v>
      </x:c>
      <x:c r="G11" s="9" t="str">
        <x:v>ROUTINE</x:v>
      </x:c>
      <x:c r="H11" s="9" t="str">
        <x:v>CREDITED</x:v>
      </x:c>
      <x:c r="I11" s="9" t="str">
        <x:v>NONE</x:v>
      </x:c>
      <x:c r="J11" s="9" t="n">
        <x:v>1</x:v>
      </x:c>
      <x:c r="K11" s="9" t="n">
        <x:v>1</x:v>
      </x:c>
      <x:c r="L11" s="9" t="n">
        <x:v>0</x:v>
      </x:c>
      <x:c r="M11" s="15" t="n">
        <x:v>8</x:v>
      </x:c>
      <x:c r="N11" s="15" t="n">
        <x:v>5.9</x:v>
      </x:c>
      <x:c r="O11" s="9" t="n">
        <x:v>2</x:v>
      </x:c>
      <x:c r="P11" s="9" t="n">
        <x:v>24</x:v>
      </x:c>
      <x:c r="Q11" s="9" t="n">
        <x:v>2</x:v>
      </x:c>
      <x:c r="R11" s="9" t="n">
        <x:v>20</x:v>
      </x:c>
      <x:c r="S11" s="9" t="n">
        <x:v>0</x:v>
      </x:c>
      <x:c r="T11" s="9" t="n">
        <x:v>2</x:v>
      </x:c>
      <x:c r="U11" s="9" t="n">
        <x:v>1</x:v>
      </x:c>
      <x:c r="V11" s="36"/>
    </x:row>
    <x:row r="12">
      <x:c r="B12" s="9" t="str">
        <x:v>CW-C006</x:v>
      </x:c>
      <x:c r="C12" s="9" t="str">
        <x:v>Closure</x:v>
      </x:c>
      <x:c r="D12" s="9" t="str">
        <x:v>R3</x:v>
      </x:c>
      <x:c r="E12" s="9" t="str">
        <x:v>NRC-C</x:v>
      </x:c>
      <x:c r="F12" s="9" t="str">
        <x:v>PRIMARY</x:v>
      </x:c>
      <x:c r="G12" s="9" t="str">
        <x:v>ROUTINE</x:v>
      </x:c>
      <x:c r="H12" s="9" t="str">
        <x:v>CREDITED</x:v>
      </x:c>
      <x:c r="I12" s="9" t="str">
        <x:v>NONE</x:v>
      </x:c>
      <x:c r="J12" s="9" t="n">
        <x:v>1</x:v>
      </x:c>
      <x:c r="K12" s="9" t="n">
        <x:v>1</x:v>
      </x:c>
      <x:c r="L12" s="9" t="n">
        <x:v>0</x:v>
      </x:c>
      <x:c r="M12" s="15" t="n">
        <x:v>8.2</x:v>
      </x:c>
      <x:c r="N12" s="15" t="n">
        <x:v>6.2</x:v>
      </x:c>
      <x:c r="O12" s="9" t="n">
        <x:v>2</x:v>
      </x:c>
      <x:c r="P12" s="9" t="n">
        <x:v>24</x:v>
      </x:c>
      <x:c r="Q12" s="9" t="n">
        <x:v>2</x:v>
      </x:c>
      <x:c r="R12" s="9" t="n">
        <x:v>20</x:v>
      </x:c>
      <x:c r="S12" s="9" t="n">
        <x:v>0</x:v>
      </x:c>
      <x:c r="T12" s="9" t="n">
        <x:v>2</x:v>
      </x:c>
      <x:c r="U12" s="9" t="n">
        <x:v>1</x:v>
      </x:c>
      <x:c r="V12" s="36"/>
    </x:row>
    <x:row r="13">
      <x:c r="B13" s="9" t="str">
        <x:v>CW-C007</x:v>
      </x:c>
      <x:c r="C13" s="9" t="str">
        <x:v>Closure</x:v>
      </x:c>
      <x:c r="D13" s="9" t="str">
        <x:v>R1</x:v>
      </x:c>
      <x:c r="E13" s="9" t="str">
        <x:v>NRC-A</x:v>
      </x:c>
      <x:c r="F13" s="9" t="str">
        <x:v>PRIMARY</x:v>
      </x:c>
      <x:c r="G13" s="9" t="str">
        <x:v>ROUTINE</x:v>
      </x:c>
      <x:c r="H13" s="9" t="str">
        <x:v>CREDITED</x:v>
      </x:c>
      <x:c r="I13" s="9" t="str">
        <x:v>NONE</x:v>
      </x:c>
      <x:c r="J13" s="9" t="n">
        <x:v>1</x:v>
      </x:c>
      <x:c r="K13" s="9" t="n">
        <x:v>1</x:v>
      </x:c>
      <x:c r="L13" s="9" t="n">
        <x:v>0</x:v>
      </x:c>
      <x:c r="M13" s="15" t="n">
        <x:v>8.5</x:v>
      </x:c>
      <x:c r="N13" s="15" t="n">
        <x:v>6.5</x:v>
      </x:c>
      <x:c r="O13" s="9" t="n">
        <x:v>2</x:v>
      </x:c>
      <x:c r="P13" s="9" t="n">
        <x:v>24</x:v>
      </x:c>
      <x:c r="Q13" s="9" t="n">
        <x:v>2</x:v>
      </x:c>
      <x:c r="R13" s="9" t="n">
        <x:v>20</x:v>
      </x:c>
      <x:c r="S13" s="9" t="n">
        <x:v>0</x:v>
      </x:c>
      <x:c r="T13" s="9" t="n">
        <x:v>2</x:v>
      </x:c>
      <x:c r="U13" s="9" t="n">
        <x:v>1</x:v>
      </x:c>
      <x:c r="V13" s="36"/>
    </x:row>
    <x:row r="14">
      <x:c r="B14" s="9" t="str">
        <x:v>CW-C008</x:v>
      </x:c>
      <x:c r="C14" s="9" t="str">
        <x:v>Closure</x:v>
      </x:c>
      <x:c r="D14" s="9" t="str">
        <x:v>R2</x:v>
      </x:c>
      <x:c r="E14" s="9" t="str">
        <x:v>NRC-B</x:v>
      </x:c>
      <x:c r="F14" s="9" t="str">
        <x:v>PRIMARY</x:v>
      </x:c>
      <x:c r="G14" s="9" t="str">
        <x:v>ROUTINE</x:v>
      </x:c>
      <x:c r="H14" s="9" t="str">
        <x:v>CREDITED</x:v>
      </x:c>
      <x:c r="I14" s="9" t="str">
        <x:v>NONE</x:v>
      </x:c>
      <x:c r="J14" s="9" t="n">
        <x:v>1</x:v>
      </x:c>
      <x:c r="K14" s="9" t="n">
        <x:v>1</x:v>
      </x:c>
      <x:c r="L14" s="9" t="n">
        <x:v>0</x:v>
      </x:c>
      <x:c r="M14" s="15" t="n">
        <x:v>7.7</x:v>
      </x:c>
      <x:c r="N14" s="15" t="n">
        <x:v>5.7</x:v>
      </x:c>
      <x:c r="O14" s="9" t="n">
        <x:v>2</x:v>
      </x:c>
      <x:c r="P14" s="9" t="n">
        <x:v>24</x:v>
      </x:c>
      <x:c r="Q14" s="9" t="n">
        <x:v>2</x:v>
      </x:c>
      <x:c r="R14" s="9" t="n">
        <x:v>20</x:v>
      </x:c>
      <x:c r="S14" s="9" t="n">
        <x:v>0</x:v>
      </x:c>
      <x:c r="T14" s="9" t="n">
        <x:v>2</x:v>
      </x:c>
      <x:c r="U14" s="9" t="n">
        <x:v>1</x:v>
      </x:c>
      <x:c r="V14" s="36"/>
    </x:row>
    <x:row r="15">
      <x:c r="B15" s="9" t="str">
        <x:v>CW-C009</x:v>
      </x:c>
      <x:c r="C15" s="9" t="str">
        <x:v>Closure</x:v>
      </x:c>
      <x:c r="D15" s="9" t="str">
        <x:v>R3</x:v>
      </x:c>
      <x:c r="E15" s="9" t="str">
        <x:v>NRC-C</x:v>
      </x:c>
      <x:c r="F15" s="9" t="str">
        <x:v>PRIMARY</x:v>
      </x:c>
      <x:c r="G15" s="9" t="str">
        <x:v>ROUTINE</x:v>
      </x:c>
      <x:c r="H15" s="9" t="str">
        <x:v>CREDITED</x:v>
      </x:c>
      <x:c r="I15" s="9" t="str">
        <x:v>NONE</x:v>
      </x:c>
      <x:c r="J15" s="9" t="n">
        <x:v>1</x:v>
      </x:c>
      <x:c r="K15" s="9" t="n">
        <x:v>1</x:v>
      </x:c>
      <x:c r="L15" s="9" t="n">
        <x:v>0</x:v>
      </x:c>
      <x:c r="M15" s="15" t="n">
        <x:v>8.4</x:v>
      </x:c>
      <x:c r="N15" s="15" t="n">
        <x:v>6.3</x:v>
      </x:c>
      <x:c r="O15" s="9" t="n">
        <x:v>2</x:v>
      </x:c>
      <x:c r="P15" s="9" t="n">
        <x:v>24</x:v>
      </x:c>
      <x:c r="Q15" s="9" t="n">
        <x:v>2</x:v>
      </x:c>
      <x:c r="R15" s="9" t="n">
        <x:v>20</x:v>
      </x:c>
      <x:c r="S15" s="9" t="n">
        <x:v>0</x:v>
      </x:c>
      <x:c r="T15" s="9" t="n">
        <x:v>2</x:v>
      </x:c>
      <x:c r="U15" s="9" t="n">
        <x:v>1</x:v>
      </x:c>
      <x:c r="V15" s="36"/>
    </x:row>
    <x:row r="16">
      <x:c r="B16" s="9" t="str">
        <x:v>CW-C010</x:v>
      </x:c>
      <x:c r="C16" s="9" t="str">
        <x:v>Closure</x:v>
      </x:c>
      <x:c r="D16" s="9" t="str">
        <x:v>R1</x:v>
      </x:c>
      <x:c r="E16" s="9" t="str">
        <x:v>NRC-B</x:v>
      </x:c>
      <x:c r="F16" s="9" t="str">
        <x:v>PRIMARY</x:v>
      </x:c>
      <x:c r="G16" s="9" t="str">
        <x:v>ROUTINE</x:v>
      </x:c>
      <x:c r="H16" s="9" t="str">
        <x:v>CREDITED</x:v>
      </x:c>
      <x:c r="I16" s="9" t="str">
        <x:v>NONE</x:v>
      </x:c>
      <x:c r="J16" s="9" t="n">
        <x:v>1</x:v>
      </x:c>
      <x:c r="K16" s="9" t="n">
        <x:v>1</x:v>
      </x:c>
      <x:c r="L16" s="9" t="n">
        <x:v>0</x:v>
      </x:c>
      <x:c r="M16" s="15" t="n">
        <x:v>8</x:v>
      </x:c>
      <x:c r="N16" s="15" t="n">
        <x:v>6</x:v>
      </x:c>
      <x:c r="O16" s="9" t="n">
        <x:v>2</x:v>
      </x:c>
      <x:c r="P16" s="9" t="n">
        <x:v>24</x:v>
      </x:c>
      <x:c r="Q16" s="9" t="n">
        <x:v>2</x:v>
      </x:c>
      <x:c r="R16" s="9" t="n">
        <x:v>20</x:v>
      </x:c>
      <x:c r="S16" s="9" t="n">
        <x:v>1</x:v>
      </x:c>
      <x:c r="T16" s="9" t="n">
        <x:v>2</x:v>
      </x:c>
      <x:c r="U16" s="9" t="n">
        <x:v>1</x:v>
      </x:c>
      <x:c r="V16" s="36"/>
    </x:row>
    <x:row r="17">
      <x:c r="B17" s="9" t="str">
        <x:v>CW-C011</x:v>
      </x:c>
      <x:c r="C17" s="9" t="str">
        <x:v>Closure</x:v>
      </x:c>
      <x:c r="D17" s="9" t="str">
        <x:v>R2</x:v>
      </x:c>
      <x:c r="E17" s="9" t="str">
        <x:v>NRC-C</x:v>
      </x:c>
      <x:c r="F17" s="9" t="str">
        <x:v>PRIMARY</x:v>
      </x:c>
      <x:c r="G17" s="9" t="str">
        <x:v>ROUTINE</x:v>
      </x:c>
      <x:c r="H17" s="9" t="str">
        <x:v>CREDITED</x:v>
      </x:c>
      <x:c r="I17" s="9" t="str">
        <x:v>NONE</x:v>
      </x:c>
      <x:c r="J17" s="9" t="n">
        <x:v>1</x:v>
      </x:c>
      <x:c r="K17" s="9" t="n">
        <x:v>1</x:v>
      </x:c>
      <x:c r="L17" s="9" t="n">
        <x:v>0</x:v>
      </x:c>
      <x:c r="M17" s="15" t="n">
        <x:v>8.2</x:v>
      </x:c>
      <x:c r="N17" s="15" t="n">
        <x:v>6.1</x:v>
      </x:c>
      <x:c r="O17" s="9" t="n">
        <x:v>2</x:v>
      </x:c>
      <x:c r="P17" s="9" t="n">
        <x:v>24</x:v>
      </x:c>
      <x:c r="Q17" s="9" t="n">
        <x:v>2</x:v>
      </x:c>
      <x:c r="R17" s="9" t="n">
        <x:v>20</x:v>
      </x:c>
      <x:c r="S17" s="9" t="n">
        <x:v>1</x:v>
      </x:c>
      <x:c r="T17" s="9" t="n">
        <x:v>2</x:v>
      </x:c>
      <x:c r="U17" s="9" t="n">
        <x:v>1</x:v>
      </x:c>
      <x:c r="V17" s="36"/>
    </x:row>
    <x:row r="18">
      <x:c r="B18" s="9" t="str">
        <x:v>CW-C012</x:v>
      </x:c>
      <x:c r="C18" s="9" t="str">
        <x:v>Closure</x:v>
      </x:c>
      <x:c r="D18" s="9" t="str">
        <x:v>R3</x:v>
      </x:c>
      <x:c r="E18" s="9" t="str">
        <x:v>NRC-A</x:v>
      </x:c>
      <x:c r="F18" s="9" t="str">
        <x:v>PRIMARY</x:v>
      </x:c>
      <x:c r="G18" s="9" t="str">
        <x:v>ROUTINE</x:v>
      </x:c>
      <x:c r="H18" s="9" t="str">
        <x:v>CREDITED</x:v>
      </x:c>
      <x:c r="I18" s="9" t="str">
        <x:v>NONE</x:v>
      </x:c>
      <x:c r="J18" s="9" t="n">
        <x:v>1</x:v>
      </x:c>
      <x:c r="K18" s="9" t="n">
        <x:v>1</x:v>
      </x:c>
      <x:c r="L18" s="9" t="n">
        <x:v>0</x:v>
      </x:c>
      <x:c r="M18" s="15" t="n">
        <x:v>8.6</x:v>
      </x:c>
      <x:c r="N18" s="15" t="n">
        <x:v>6.6</x:v>
      </x:c>
      <x:c r="O18" s="9" t="n">
        <x:v>2</x:v>
      </x:c>
      <x:c r="P18" s="9" t="n">
        <x:v>24</x:v>
      </x:c>
      <x:c r="Q18" s="9" t="n">
        <x:v>2</x:v>
      </x:c>
      <x:c r="R18" s="9" t="n">
        <x:v>20</x:v>
      </x:c>
      <x:c r="S18" s="9" t="n">
        <x:v>1</x:v>
      </x:c>
      <x:c r="T18" s="9" t="n">
        <x:v>2</x:v>
      </x:c>
      <x:c r="U18" s="9" t="n">
        <x:v>1</x:v>
      </x:c>
      <x:c r="V18" s="36"/>
    </x:row>
    <x:row r="19">
      <x:c r="B19" s="9" t="str">
        <x:v>CW-C013</x:v>
      </x:c>
      <x:c r="C19" s="9" t="str">
        <x:v>Closure</x:v>
      </x:c>
      <x:c r="D19" s="9" t="str">
        <x:v>R1</x:v>
      </x:c>
      <x:c r="E19" s="9" t="str">
        <x:v>NRC-C</x:v>
      </x:c>
      <x:c r="F19" s="9" t="str">
        <x:v>PRIMARY</x:v>
      </x:c>
      <x:c r="G19" s="9" t="str">
        <x:v>ROUTINE</x:v>
      </x:c>
      <x:c r="H19" s="9" t="str">
        <x:v>CREDITED</x:v>
      </x:c>
      <x:c r="I19" s="9" t="str">
        <x:v>NONE</x:v>
      </x:c>
      <x:c r="J19" s="9" t="n">
        <x:v>1</x:v>
      </x:c>
      <x:c r="K19" s="9" t="n">
        <x:v>1</x:v>
      </x:c>
      <x:c r="L19" s="9" t="n">
        <x:v>0</x:v>
      </x:c>
      <x:c r="M19" s="15" t="n">
        <x:v>7.9</x:v>
      </x:c>
      <x:c r="N19" s="15" t="n">
        <x:v>5.8</x:v>
      </x:c>
      <x:c r="O19" s="9" t="n">
        <x:v>2</x:v>
      </x:c>
      <x:c r="P19" s="9" t="n">
        <x:v>24</x:v>
      </x:c>
      <x:c r="Q19" s="9" t="n">
        <x:v>2</x:v>
      </x:c>
      <x:c r="R19" s="9" t="n">
        <x:v>20</x:v>
      </x:c>
      <x:c r="S19" s="9" t="n">
        <x:v>1</x:v>
      </x:c>
      <x:c r="T19" s="9" t="n">
        <x:v>2</x:v>
      </x:c>
      <x:c r="U19" s="9" t="n">
        <x:v>1</x:v>
      </x:c>
      <x:c r="V19" s="36"/>
    </x:row>
    <x:row r="20">
      <x:c r="B20" s="9" t="str">
        <x:v>CW-C014</x:v>
      </x:c>
      <x:c r="C20" s="9" t="str">
        <x:v>Closure</x:v>
      </x:c>
      <x:c r="D20" s="9" t="str">
        <x:v>R2</x:v>
      </x:c>
      <x:c r="E20" s="9" t="str">
        <x:v>NRC-B</x:v>
      </x:c>
      <x:c r="F20" s="9" t="str">
        <x:v>PRIMARY</x:v>
      </x:c>
      <x:c r="G20" s="9" t="str">
        <x:v>FORCED_INTERVENTION</x:v>
      </x:c>
      <x:c r="H20" s="9" t="str">
        <x:v>FORCED_DENIAL_INVALID</x:v>
      </x:c>
      <x:c r="I20" s="9" t="str">
        <x:v>CAMPUS_DENIAL</x:v>
      </x:c>
      <x:c r="J20" s="9" t="n">
        <x:v>1</x:v>
      </x:c>
      <x:c r="K20" s="9" t="n">
        <x:v>0</x:v>
      </x:c>
      <x:c r="L20" s="9" t="n">
        <x:v>1</x:v>
      </x:c>
      <x:c r="M20" s="15"/>
      <x:c r="N20" s="15"/>
      <x:c r="O20" s="9" t="n">
        <x:v>2</x:v>
      </x:c>
      <x:c r="P20" s="9" t="n">
        <x:v>24</x:v>
      </x:c>
      <x:c r="Q20" s="9" t="n">
        <x:v>2</x:v>
      </x:c>
      <x:c r="R20" s="9" t="n">
        <x:v>20</x:v>
      </x:c>
      <x:c r="S20" s="9" t="n">
        <x:v>1</x:v>
      </x:c>
      <x:c r="T20" s="9" t="n">
        <x:v>2</x:v>
      </x:c>
      <x:c r="U20" s="9" t="n">
        <x:v>1</x:v>
      </x:c>
      <x:c r="V20" s="36"/>
    </x:row>
    <x:row r="21">
      <x:c r="B21" s="9" t="str">
        <x:v>CW-C015</x:v>
      </x:c>
      <x:c r="C21" s="9" t="str">
        <x:v>Closure</x:v>
      </x:c>
      <x:c r="D21" s="9" t="str">
        <x:v>R3</x:v>
      </x:c>
      <x:c r="E21" s="9" t="str">
        <x:v>NRC-B</x:v>
      </x:c>
      <x:c r="F21" s="9" t="str">
        <x:v>PRIMARY</x:v>
      </x:c>
      <x:c r="G21" s="9" t="str">
        <x:v>FORCED_INTERVENTION</x:v>
      </x:c>
      <x:c r="H21" s="9" t="str">
        <x:v>FORCED_DENIAL_INVALID</x:v>
      </x:c>
      <x:c r="I21" s="9" t="str">
        <x:v>CAMPUS_DENIAL</x:v>
      </x:c>
      <x:c r="J21" s="9" t="n">
        <x:v>1</x:v>
      </x:c>
      <x:c r="K21" s="9" t="n">
        <x:v>0</x:v>
      </x:c>
      <x:c r="L21" s="9" t="n">
        <x:v>1</x:v>
      </x:c>
      <x:c r="M21" s="15"/>
      <x:c r="N21" s="15"/>
      <x:c r="O21" s="9" t="n">
        <x:v>2</x:v>
      </x:c>
      <x:c r="P21" s="9" t="n">
        <x:v>24</x:v>
      </x:c>
      <x:c r="Q21" s="9" t="n">
        <x:v>2</x:v>
      </x:c>
      <x:c r="R21" s="9" t="n">
        <x:v>20</x:v>
      </x:c>
      <x:c r="S21" s="9" t="n">
        <x:v>1</x:v>
      </x:c>
      <x:c r="T21" s="9" t="n">
        <x:v>2</x:v>
      </x:c>
      <x:c r="U21" s="9" t="n">
        <x:v>1</x:v>
      </x:c>
      <x:c r="V21" s="36"/>
    </x:row>
    <x:row r="22">
      <x:c r="B22" s="9" t="str">
        <x:v>CW-C016</x:v>
      </x:c>
      <x:c r="C22" s="9" t="str">
        <x:v>Closure</x:v>
      </x:c>
      <x:c r="D22" s="9" t="str">
        <x:v>R1</x:v>
      </x:c>
      <x:c r="E22" s="9" t="str">
        <x:v>NRC-A</x:v>
      </x:c>
      <x:c r="F22" s="9" t="str">
        <x:v>PRIMARY</x:v>
      </x:c>
      <x:c r="G22" s="9" t="str">
        <x:v>ROUTINE</x:v>
      </x:c>
      <x:c r="H22" s="9" t="str">
        <x:v>CREDITED</x:v>
      </x:c>
      <x:c r="I22" s="9" t="str">
        <x:v>NONE</x:v>
      </x:c>
      <x:c r="J22" s="9" t="n">
        <x:v>1</x:v>
      </x:c>
      <x:c r="K22" s="9" t="n">
        <x:v>1</x:v>
      </x:c>
      <x:c r="L22" s="9" t="n">
        <x:v>0</x:v>
      </x:c>
      <x:c r="M22" s="15" t="n">
        <x:v>8.1</x:v>
      </x:c>
      <x:c r="N22" s="15" t="n">
        <x:v>6.2</x:v>
      </x:c>
      <x:c r="O22" s="9" t="n">
        <x:v>2</x:v>
      </x:c>
      <x:c r="P22" s="9" t="n">
        <x:v>24</x:v>
      </x:c>
      <x:c r="Q22" s="9" t="n">
        <x:v>2</x:v>
      </x:c>
      <x:c r="R22" s="9" t="n">
        <x:v>20</x:v>
      </x:c>
      <x:c r="S22" s="9" t="n">
        <x:v>1</x:v>
      </x:c>
      <x:c r="T22" s="9" t="n">
        <x:v>2</x:v>
      </x:c>
      <x:c r="U22" s="9" t="n">
        <x:v>1</x:v>
      </x:c>
      <x:c r="V22" s="36"/>
    </x:row>
    <x:row r="23">
      <x:c r="B23" s="9" t="str">
        <x:v>CW-C017</x:v>
      </x:c>
      <x:c r="C23" s="9" t="str">
        <x:v>Closure</x:v>
      </x:c>
      <x:c r="D23" s="9" t="str">
        <x:v>R2</x:v>
      </x:c>
      <x:c r="E23" s="9" t="str">
        <x:v>NRC-C</x:v>
      </x:c>
      <x:c r="F23" s="9" t="str">
        <x:v>PRIMARY</x:v>
      </x:c>
      <x:c r="G23" s="9" t="str">
        <x:v>ROUTINE</x:v>
      </x:c>
      <x:c r="H23" s="9" t="str">
        <x:v>CREDITED</x:v>
      </x:c>
      <x:c r="I23" s="9" t="str">
        <x:v>NONE</x:v>
      </x:c>
      <x:c r="J23" s="9" t="n">
        <x:v>1</x:v>
      </x:c>
      <x:c r="K23" s="9" t="n">
        <x:v>1</x:v>
      </x:c>
      <x:c r="L23" s="9" t="n">
        <x:v>0</x:v>
      </x:c>
      <x:c r="M23" s="15" t="n">
        <x:v>8.4</x:v>
      </x:c>
      <x:c r="N23" s="15" t="n">
        <x:v>6.4</x:v>
      </x:c>
      <x:c r="O23" s="9" t="n">
        <x:v>2</x:v>
      </x:c>
      <x:c r="P23" s="9" t="n">
        <x:v>24</x:v>
      </x:c>
      <x:c r="Q23" s="9" t="n">
        <x:v>2</x:v>
      </x:c>
      <x:c r="R23" s="9" t="n">
        <x:v>20</x:v>
      </x:c>
      <x:c r="S23" s="9" t="n">
        <x:v>1</x:v>
      </x:c>
      <x:c r="T23" s="9" t="n">
        <x:v>2</x:v>
      </x:c>
      <x:c r="U23" s="9" t="n">
        <x:v>1</x:v>
      </x:c>
      <x:c r="V23" s="36"/>
    </x:row>
    <x:row r="24">
      <x:c r="B24" s="9" t="str">
        <x:v>CW-C018</x:v>
      </x:c>
      <x:c r="C24" s="9" t="str">
        <x:v>Closure</x:v>
      </x:c>
      <x:c r="D24" s="9" t="str">
        <x:v>R3</x:v>
      </x:c>
      <x:c r="E24" s="9" t="str">
        <x:v>NRC-A</x:v>
      </x:c>
      <x:c r="F24" s="9" t="str">
        <x:v>PRIMARY</x:v>
      </x:c>
      <x:c r="G24" s="9" t="str">
        <x:v>ROUTINE</x:v>
      </x:c>
      <x:c r="H24" s="9" t="str">
        <x:v>CREDITED</x:v>
      </x:c>
      <x:c r="I24" s="9" t="str">
        <x:v>NONE</x:v>
      </x:c>
      <x:c r="J24" s="9" t="n">
        <x:v>1</x:v>
      </x:c>
      <x:c r="K24" s="9" t="n">
        <x:v>1</x:v>
      </x:c>
      <x:c r="L24" s="9" t="n">
        <x:v>0</x:v>
      </x:c>
      <x:c r="M24" s="15" t="n">
        <x:v>7.8</x:v>
      </x:c>
      <x:c r="N24" s="15" t="n">
        <x:v>5.9</x:v>
      </x:c>
      <x:c r="O24" s="9" t="n">
        <x:v>2</x:v>
      </x:c>
      <x:c r="P24" s="9" t="n">
        <x:v>24</x:v>
      </x:c>
      <x:c r="Q24" s="9" t="n">
        <x:v>2</x:v>
      </x:c>
      <x:c r="R24" s="9" t="n">
        <x:v>20</x:v>
      </x:c>
      <x:c r="S24" s="9" t="n">
        <x:v>1</x:v>
      </x:c>
      <x:c r="T24" s="9" t="n">
        <x:v>2</x:v>
      </x:c>
      <x:c r="U24" s="9" t="n">
        <x:v>1</x:v>
      </x:c>
      <x:c r="V24" s="36"/>
    </x:row>
    <x:row r="25">
      <x:c r="B25" s="9" t="str">
        <x:v>CW-CR01</x:v>
      </x:c>
      <x:c r="C25" s="9" t="str">
        <x:v>Closure</x:v>
      </x:c>
      <x:c r="D25" s="9" t="str">
        <x:v>R2</x:v>
      </x:c>
      <x:c r="E25" s="9" t="str">
        <x:v>NRC-A</x:v>
      </x:c>
      <x:c r="F25" s="9" t="str">
        <x:v>LOSS_REPLACEMENT</x:v>
      </x:c>
      <x:c r="G25" s="9" t="str">
        <x:v>ROUTINE</x:v>
      </x:c>
      <x:c r="H25" s="9" t="str">
        <x:v>CREDITED</x:v>
      </x:c>
      <x:c r="I25" s="9" t="str">
        <x:v>NONE</x:v>
      </x:c>
      <x:c r="J25" s="9" t="n">
        <x:v>1</x:v>
      </x:c>
      <x:c r="K25" s="9" t="n">
        <x:v>1</x:v>
      </x:c>
      <x:c r="L25" s="9" t="n">
        <x:v>0</x:v>
      </x:c>
      <x:c r="M25" s="15" t="n">
        <x:v>8.7</x:v>
      </x:c>
      <x:c r="N25" s="15" t="n">
        <x:v>6.7</x:v>
      </x:c>
      <x:c r="O25" s="9" t="n">
        <x:v>2</x:v>
      </x:c>
      <x:c r="P25" s="9" t="n">
        <x:v>24</x:v>
      </x:c>
      <x:c r="Q25" s="9" t="n">
        <x:v>2</x:v>
      </x:c>
      <x:c r="R25" s="9" t="n">
        <x:v>20</x:v>
      </x:c>
      <x:c r="S25" s="9" t="n">
        <x:v>1</x:v>
      </x:c>
      <x:c r="T25" s="9" t="n">
        <x:v>2</x:v>
      </x:c>
      <x:c r="U25" s="9" t="n">
        <x:v>1</x:v>
      </x:c>
      <x:c r="V25" s="36"/>
    </x:row>
    <x:row r="26">
      <x:c r="B26" s="9" t="str">
        <x:v>CW-CR02</x:v>
      </x:c>
      <x:c r="C26" s="9" t="str">
        <x:v>Closure</x:v>
      </x:c>
      <x:c r="D26" s="9" t="str">
        <x:v>R3</x:v>
      </x:c>
      <x:c r="E26" s="9" t="str">
        <x:v>NRC-C</x:v>
      </x:c>
      <x:c r="F26" s="9" t="str">
        <x:v>LOSS_REPLACEMENT</x:v>
      </x:c>
      <x:c r="G26" s="9" t="str">
        <x:v>ROUTINE</x:v>
      </x:c>
      <x:c r="H26" s="9" t="str">
        <x:v>CREDITED</x:v>
      </x:c>
      <x:c r="I26" s="9" t="str">
        <x:v>NONE</x:v>
      </x:c>
      <x:c r="J26" s="9" t="n">
        <x:v>1</x:v>
      </x:c>
      <x:c r="K26" s="9" t="n">
        <x:v>1</x:v>
      </x:c>
      <x:c r="L26" s="9" t="n">
        <x:v>0</x:v>
      </x:c>
      <x:c r="M26" s="15" t="n">
        <x:v>8.3</x:v>
      </x:c>
      <x:c r="N26" s="15" t="n">
        <x:v>6.3</x:v>
      </x:c>
      <x:c r="O26" s="9" t="n">
        <x:v>2</x:v>
      </x:c>
      <x:c r="P26" s="9" t="n">
        <x:v>24</x:v>
      </x:c>
      <x:c r="Q26" s="9" t="n">
        <x:v>2</x:v>
      </x:c>
      <x:c r="R26" s="9" t="n">
        <x:v>20</x:v>
      </x:c>
      <x:c r="S26" s="9" t="n">
        <x:v>1</x:v>
      </x:c>
      <x:c r="T26" s="9" t="n">
        <x:v>2</x:v>
      </x:c>
      <x:c r="U26" s="9" t="n">
        <x:v>1</x:v>
      </x:c>
      <x:c r="V26" s="36"/>
    </x:row>
    <x:row r="27">
      <x:c r="B27" s="9" t="str">
        <x:v>CW-D001</x:v>
      </x:c>
      <x:c r="C27" s="9" t="str">
        <x:v>Damage</x:v>
      </x:c>
      <x:c r="D27" s="9" t="str">
        <x:v>R1</x:v>
      </x:c>
      <x:c r="E27" s="9" t="str">
        <x:v>NRC-A</x:v>
      </x:c>
      <x:c r="F27" s="9" t="str">
        <x:v>PRIMARY</x:v>
      </x:c>
      <x:c r="G27" s="9" t="str">
        <x:v>ROUTINE</x:v>
      </x:c>
      <x:c r="H27" s="9" t="str">
        <x:v>CREDITED</x:v>
      </x:c>
      <x:c r="I27" s="9" t="str">
        <x:v>NONE</x:v>
      </x:c>
      <x:c r="J27" s="9" t="n">
        <x:v>1</x:v>
      </x:c>
      <x:c r="K27" s="9" t="n">
        <x:v>1</x:v>
      </x:c>
      <x:c r="L27" s="9" t="n">
        <x:v>0</x:v>
      </x:c>
      <x:c r="M27" s="15" t="n">
        <x:v>14.1</x:v>
      </x:c>
      <x:c r="N27" s="15" t="n">
        <x:v>7.6</x:v>
      </x:c>
      <x:c r="O27" s="9" t="n">
        <x:v>5</x:v>
      </x:c>
      <x:c r="P27" s="9" t="n">
        <x:v>120</x:v>
      </x:c>
      <x:c r="Q27" s="9" t="n">
        <x:v>2</x:v>
      </x:c>
      <x:c r="R27" s="9" t="n">
        <x:v>16</x:v>
      </x:c>
      <x:c r="S27" s="9" t="n">
        <x:v>0</x:v>
      </x:c>
      <x:c r="T27" s="9" t="n">
        <x:v>2</x:v>
      </x:c>
      <x:c r="U27" s="9" t="n">
        <x:v>1</x:v>
      </x:c>
      <x:c r="V27" s="36"/>
    </x:row>
    <x:row r="28">
      <x:c r="B28" s="9" t="str">
        <x:v>CW-D002</x:v>
      </x:c>
      <x:c r="C28" s="9" t="str">
        <x:v>Damage</x:v>
      </x:c>
      <x:c r="D28" s="9" t="str">
        <x:v>R2</x:v>
      </x:c>
      <x:c r="E28" s="9" t="str">
        <x:v>NRC-B</x:v>
      </x:c>
      <x:c r="F28" s="9" t="str">
        <x:v>PRIMARY</x:v>
      </x:c>
      <x:c r="G28" s="9" t="str">
        <x:v>ROUTINE</x:v>
      </x:c>
      <x:c r="H28" s="9" t="str">
        <x:v>CREDITED</x:v>
      </x:c>
      <x:c r="I28" s="9" t="str">
        <x:v>NONE</x:v>
      </x:c>
      <x:c r="J28" s="9" t="n">
        <x:v>1</x:v>
      </x:c>
      <x:c r="K28" s="9" t="n">
        <x:v>1</x:v>
      </x:c>
      <x:c r="L28" s="9" t="n">
        <x:v>0</x:v>
      </x:c>
      <x:c r="M28" s="15" t="n">
        <x:v>13.8</x:v>
      </x:c>
      <x:c r="N28" s="15" t="n">
        <x:v>7.9</x:v>
      </x:c>
      <x:c r="O28" s="9" t="n">
        <x:v>5</x:v>
      </x:c>
      <x:c r="P28" s="9" t="n">
        <x:v>120</x:v>
      </x:c>
      <x:c r="Q28" s="9" t="n">
        <x:v>2</x:v>
      </x:c>
      <x:c r="R28" s="9" t="n">
        <x:v>16</x:v>
      </x:c>
      <x:c r="S28" s="9" t="n">
        <x:v>0</x:v>
      </x:c>
      <x:c r="T28" s="9" t="n">
        <x:v>2</x:v>
      </x:c>
      <x:c r="U28" s="9" t="n">
        <x:v>1</x:v>
      </x:c>
      <x:c r="V28" s="36"/>
    </x:row>
    <x:row r="29">
      <x:c r="B29" s="9" t="str">
        <x:v>CW-D003</x:v>
      </x:c>
      <x:c r="C29" s="9" t="str">
        <x:v>Damage</x:v>
      </x:c>
      <x:c r="D29" s="9" t="str">
        <x:v>R3</x:v>
      </x:c>
      <x:c r="E29" s="9" t="str">
        <x:v>NRC-C</x:v>
      </x:c>
      <x:c r="F29" s="9" t="str">
        <x:v>PRIMARY</x:v>
      </x:c>
      <x:c r="G29" s="9" t="str">
        <x:v>ROUTINE</x:v>
      </x:c>
      <x:c r="H29" s="9" t="str">
        <x:v>CREDITED</x:v>
      </x:c>
      <x:c r="I29" s="9" t="str">
        <x:v>NONE</x:v>
      </x:c>
      <x:c r="J29" s="9" t="n">
        <x:v>1</x:v>
      </x:c>
      <x:c r="K29" s="9" t="n">
        <x:v>1</x:v>
      </x:c>
      <x:c r="L29" s="9" t="n">
        <x:v>0</x:v>
      </x:c>
      <x:c r="M29" s="15" t="n">
        <x:v>14.4</x:v>
      </x:c>
      <x:c r="N29" s="15" t="n">
        <x:v>8.2</x:v>
      </x:c>
      <x:c r="O29" s="9" t="n">
        <x:v>5</x:v>
      </x:c>
      <x:c r="P29" s="9" t="n">
        <x:v>120</x:v>
      </x:c>
      <x:c r="Q29" s="9" t="n">
        <x:v>2</x:v>
      </x:c>
      <x:c r="R29" s="9" t="n">
        <x:v>16</x:v>
      </x:c>
      <x:c r="S29" s="9" t="n">
        <x:v>0</x:v>
      </x:c>
      <x:c r="T29" s="9" t="n">
        <x:v>2</x:v>
      </x:c>
      <x:c r="U29" s="9" t="n">
        <x:v>1</x:v>
      </x:c>
      <x:c r="V29" s="36"/>
    </x:row>
    <x:row r="30">
      <x:c r="B30" s="9" t="str">
        <x:v>CW-D004</x:v>
      </x:c>
      <x:c r="C30" s="9" t="str">
        <x:v>Damage</x:v>
      </x:c>
      <x:c r="D30" s="9" t="str">
        <x:v>R1</x:v>
      </x:c>
      <x:c r="E30" s="9" t="str">
        <x:v>NRC-A</x:v>
      </x:c>
      <x:c r="F30" s="9" t="str">
        <x:v>PRIMARY</x:v>
      </x:c>
      <x:c r="G30" s="9" t="str">
        <x:v>ROUTINE</x:v>
      </x:c>
      <x:c r="H30" s="9" t="str">
        <x:v>CREDITED</x:v>
      </x:c>
      <x:c r="I30" s="9" t="str">
        <x:v>NONE</x:v>
      </x:c>
      <x:c r="J30" s="9" t="n">
        <x:v>1</x:v>
      </x:c>
      <x:c r="K30" s="9" t="n">
        <x:v>1</x:v>
      </x:c>
      <x:c r="L30" s="9" t="n">
        <x:v>0</x:v>
      </x:c>
      <x:c r="M30" s="15" t="n">
        <x:v>14.9</x:v>
      </x:c>
      <x:c r="N30" s="15" t="n">
        <x:v>8.6</x:v>
      </x:c>
      <x:c r="O30" s="9" t="n">
        <x:v>5</x:v>
      </x:c>
      <x:c r="P30" s="9" t="n">
        <x:v>120</x:v>
      </x:c>
      <x:c r="Q30" s="9" t="n">
        <x:v>2</x:v>
      </x:c>
      <x:c r="R30" s="9" t="n">
        <x:v>16</x:v>
      </x:c>
      <x:c r="S30" s="9" t="n">
        <x:v>1</x:v>
      </x:c>
      <x:c r="T30" s="9" t="n">
        <x:v>2</x:v>
      </x:c>
      <x:c r="U30" s="9" t="n">
        <x:v>1</x:v>
      </x:c>
      <x:c r="V30" s="36"/>
    </x:row>
    <x:row r="31">
      <x:c r="B31" s="9" t="str">
        <x:v>CW-D005</x:v>
      </x:c>
      <x:c r="C31" s="9" t="str">
        <x:v>Damage</x:v>
      </x:c>
      <x:c r="D31" s="9" t="str">
        <x:v>R2</x:v>
      </x:c>
      <x:c r="E31" s="9" t="str">
        <x:v>NRC-B</x:v>
      </x:c>
      <x:c r="F31" s="9" t="str">
        <x:v>PRIMARY</x:v>
      </x:c>
      <x:c r="G31" s="9" t="str">
        <x:v>FORCED_INTERVENTION</x:v>
      </x:c>
      <x:c r="H31" s="9" t="str">
        <x:v>FORCED_DENIAL_INVALID</x:v>
      </x:c>
      <x:c r="I31" s="9" t="str">
        <x:v>CAMPUS_DENIAL</x:v>
      </x:c>
      <x:c r="J31" s="9" t="n">
        <x:v>1</x:v>
      </x:c>
      <x:c r="K31" s="9" t="n">
        <x:v>0</x:v>
      </x:c>
      <x:c r="L31" s="9" t="n">
        <x:v>1</x:v>
      </x:c>
      <x:c r="M31" s="15"/>
      <x:c r="N31" s="15"/>
      <x:c r="O31" s="9" t="n">
        <x:v>5</x:v>
      </x:c>
      <x:c r="P31" s="9" t="n">
        <x:v>120</x:v>
      </x:c>
      <x:c r="Q31" s="9" t="n">
        <x:v>2</x:v>
      </x:c>
      <x:c r="R31" s="9" t="n">
        <x:v>16</x:v>
      </x:c>
      <x:c r="S31" s="9" t="n">
        <x:v>1</x:v>
      </x:c>
      <x:c r="T31" s="9" t="n">
        <x:v>2</x:v>
      </x:c>
      <x:c r="U31" s="9" t="n">
        <x:v>1</x:v>
      </x:c>
      <x:c r="V31" s="36"/>
    </x:row>
    <x:row r="32">
      <x:c r="B32" s="9" t="str">
        <x:v>CW-D006</x:v>
      </x:c>
      <x:c r="C32" s="9" t="str">
        <x:v>Damage</x:v>
      </x:c>
      <x:c r="D32" s="9" t="str">
        <x:v>R3</x:v>
      </x:c>
      <x:c r="E32" s="9" t="str">
        <x:v>NRC-B</x:v>
      </x:c>
      <x:c r="F32" s="9" t="str">
        <x:v>PRIMARY</x:v>
      </x:c>
      <x:c r="G32" s="9" t="str">
        <x:v>FORCED_INTERVENTION</x:v>
      </x:c>
      <x:c r="H32" s="9" t="str">
        <x:v>FORCED_DENIAL_INVALID</x:v>
      </x:c>
      <x:c r="I32" s="9" t="str">
        <x:v>CAMPUS_DENIAL</x:v>
      </x:c>
      <x:c r="J32" s="9" t="n">
        <x:v>1</x:v>
      </x:c>
      <x:c r="K32" s="9" t="n">
        <x:v>0</x:v>
      </x:c>
      <x:c r="L32" s="9" t="n">
        <x:v>1</x:v>
      </x:c>
      <x:c r="M32" s="15"/>
      <x:c r="N32" s="15"/>
      <x:c r="O32" s="9" t="n">
        <x:v>5</x:v>
      </x:c>
      <x:c r="P32" s="9" t="n">
        <x:v>120</x:v>
      </x:c>
      <x:c r="Q32" s="9" t="n">
        <x:v>2</x:v>
      </x:c>
      <x:c r="R32" s="9" t="n">
        <x:v>16</x:v>
      </x:c>
      <x:c r="S32" s="9" t="n">
        <x:v>1</x:v>
      </x:c>
      <x:c r="T32" s="9" t="n">
        <x:v>2</x:v>
      </x:c>
      <x:c r="U32" s="9" t="n">
        <x:v>1</x:v>
      </x:c>
      <x:c r="V32" s="36"/>
    </x:row>
    <x:row r="33">
      <x:c r="B33" s="9" t="str">
        <x:v>CW-DR01</x:v>
      </x:c>
      <x:c r="C33" s="9" t="str">
        <x:v>Damage</x:v>
      </x:c>
      <x:c r="D33" s="9" t="str">
        <x:v>R2</x:v>
      </x:c>
      <x:c r="E33" s="9" t="str">
        <x:v>NRC-A</x:v>
      </x:c>
      <x:c r="F33" s="9" t="str">
        <x:v>LOSS_REPLACEMENT</x:v>
      </x:c>
      <x:c r="G33" s="9" t="str">
        <x:v>ROUTINE</x:v>
      </x:c>
      <x:c r="H33" s="9" t="str">
        <x:v>CREDITED</x:v>
      </x:c>
      <x:c r="I33" s="9" t="str">
        <x:v>NONE</x:v>
      </x:c>
      <x:c r="J33" s="9" t="n">
        <x:v>1</x:v>
      </x:c>
      <x:c r="K33" s="9" t="n">
        <x:v>1</x:v>
      </x:c>
      <x:c r="L33" s="9" t="n">
        <x:v>0</x:v>
      </x:c>
      <x:c r="M33" s="15" t="n">
        <x:v>15.2</x:v>
      </x:c>
      <x:c r="N33" s="15" t="n">
        <x:v>8.8</x:v>
      </x:c>
      <x:c r="O33" s="9" t="n">
        <x:v>5</x:v>
      </x:c>
      <x:c r="P33" s="9" t="n">
        <x:v>120</x:v>
      </x:c>
      <x:c r="Q33" s="9" t="n">
        <x:v>2</x:v>
      </x:c>
      <x:c r="R33" s="9" t="n">
        <x:v>16</x:v>
      </x:c>
      <x:c r="S33" s="9" t="n">
        <x:v>1</x:v>
      </x:c>
      <x:c r="T33" s="9" t="n">
        <x:v>2</x:v>
      </x:c>
      <x:c r="U33" s="9" t="n">
        <x:v>1</x:v>
      </x:c>
      <x:c r="V33" s="36"/>
    </x:row>
    <x:row r="34">
      <x:c r="B34" s="10" t="str">
        <x:v>CW-DR02</x:v>
      </x:c>
      <x:c r="C34" s="10" t="str">
        <x:v>Damage</x:v>
      </x:c>
      <x:c r="D34" s="10" t="str">
        <x:v>R3</x:v>
      </x:c>
      <x:c r="E34" s="10" t="str">
        <x:v>NRC-C</x:v>
      </x:c>
      <x:c r="F34" s="10" t="str">
        <x:v>LOSS_REPLACEMENT</x:v>
      </x:c>
      <x:c r="G34" s="10" t="str">
        <x:v>ROUTINE</x:v>
      </x:c>
      <x:c r="H34" s="10" t="str">
        <x:v>CREDITED</x:v>
      </x:c>
      <x:c r="I34" s="10" t="str">
        <x:v>NONE</x:v>
      </x:c>
      <x:c r="J34" s="10" t="n">
        <x:v>1</x:v>
      </x:c>
      <x:c r="K34" s="10" t="n">
        <x:v>1</x:v>
      </x:c>
      <x:c r="L34" s="10" t="n">
        <x:v>0</x:v>
      </x:c>
      <x:c r="M34" s="16" t="n">
        <x:v>14.6</x:v>
      </x:c>
      <x:c r="N34" s="16" t="n">
        <x:v>8.3</x:v>
      </x:c>
      <x:c r="O34" s="10" t="n">
        <x:v>5</x:v>
      </x:c>
      <x:c r="P34" s="10" t="n">
        <x:v>120</x:v>
      </x:c>
      <x:c r="Q34" s="10" t="n">
        <x:v>2</x:v>
      </x:c>
      <x:c r="R34" s="10" t="n">
        <x:v>16</x:v>
      </x:c>
      <x:c r="S34" s="10" t="n">
        <x:v>1</x:v>
      </x:c>
      <x:c r="T34" s="10" t="n">
        <x:v>2</x:v>
      </x:c>
      <x:c r="U34" s="10" t="n">
        <x:v>1</x:v>
      </x:c>
      <x:c r="V34" s="36"/>
    </x:row>
  </x:sheetData>
  <x:mergeCells>
    <x:mergeCell ref="B2:V2"/>
    <x:mergeCell ref="B3:V3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5" hidden="0" customWidth="1"/>
    <x:col min="3" max="3" width="28" hidden="0" customWidth="1"/>
    <x:col min="4" max="4" width="12" hidden="0" customWidth="1"/>
    <x:col min="5" max="5" width="21" hidden="0" customWidth="1"/>
    <x:col min="6" max="6" width="19" hidden="0" customWidth="1"/>
    <x:col min="7" max="7" width="21" hidden="0" customWidth="1"/>
    <x:col min="8" max="8" width="23" hidden="0" customWidth="1"/>
    <x:col min="9" max="9" width="23" hidden="0" customWidth="1"/>
    <x:col min="10" max="10" width="27" hidden="0" customWidth="1"/>
    <x:col min="11" max="11" width="18" hidden="0" customWidth="1"/>
  </x:cols>
  <x:sheetData>
    <x:row r="2">
      <x:c r="B2" s="1" t="str">
        <x:v>Synthetic service-state observations</x:v>
      </x:c>
      <x:c r="C2" s="36"/>
      <x:c r="D2" s="36"/>
      <x:c r="E2" s="36"/>
      <x:c r="F2" s="36"/>
      <x:c r="G2" s="36"/>
      <x:c r="H2" s="36"/>
      <x:c r="I2" s="36"/>
      <x:c r="J2" s="36"/>
      <x:c r="K2" s="36"/>
      <x:c r="L2" s="36"/>
    </x:row>
    <x:row r="3">
      <x:c r="B3" s="2" t="str">
        <x:v>At-risk time reconciles productive, planned-unavailable and unplanned-unavailable states. Forced-denial time is excluded explicitly.</x:v>
      </x:c>
      <x:c r="C3" s="36"/>
      <x:c r="D3" s="36"/>
      <x:c r="E3" s="36"/>
      <x:c r="F3" s="36"/>
      <x:c r="G3" s="36"/>
      <x:c r="H3" s="36"/>
      <x:c r="I3" s="36"/>
      <x:c r="J3" s="36"/>
      <x:c r="K3" s="36"/>
      <x:c r="L3" s="36"/>
    </x:row>
    <x:row r="4">
      <x:c r="B4" s="37"/>
      <x:c r="C4" s="37"/>
      <x:c r="D4" s="37"/>
      <x:c r="E4" s="37"/>
      <x:c r="F4" s="37"/>
      <x:c r="G4" s="37"/>
      <x:c r="H4" s="37"/>
      <x:c r="I4" s="37"/>
      <x:c r="J4" s="37"/>
      <x:c r="K4" s="37"/>
      <x:c r="L4" s="37"/>
    </x:row>
    <x:row r="5">
      <x:c r="B5" s="36"/>
      <x:c r="C5" s="36"/>
      <x:c r="D5" s="36"/>
      <x:c r="E5" s="36"/>
      <x:c r="F5" s="36"/>
      <x:c r="G5" s="36"/>
      <x:c r="H5" s="36"/>
      <x:c r="I5" s="36"/>
      <x:c r="J5" s="36"/>
      <x:c r="K5" s="36"/>
      <x:c r="L5" s="36"/>
    </x:row>
    <x:row r="6">
      <x:c r="B6" s="7" t="str">
        <x:v>Observation</x:v>
      </x:c>
      <x:c r="C6" s="7" t="str">
        <x:v>Service</x:v>
      </x:c>
      <x:c r="D6" s="7" t="str">
        <x:v>Campus</x:v>
      </x:c>
      <x:c r="E6" s="7" t="str">
        <x:v>Eligible asset-days</x:v>
      </x:c>
      <x:c r="F6" s="7" t="str">
        <x:v>Productive days</x:v>
      </x:c>
      <x:c r="G6" s="7" t="str">
        <x:v>Planned unavailable</x:v>
      </x:c>
      <x:c r="H6" s="7" t="str">
        <x:v>Unplanned unavailable</x:v>
      </x:c>
      <x:c r="I6" s="7" t="str">
        <x:v>Forced denial excluded</x:v>
      </x:c>
      <x:c r="J6" s="7" t="str">
        <x:v>Mode</x:v>
      </x:c>
      <x:c r="K6" s="7" t="str">
        <x:v>Record complete</x:v>
      </x:c>
      <x:c r="L6" s="36"/>
    </x:row>
    <x:row r="7">
      <x:c r="B7" s="9" t="str">
        <x:v>S001</x:v>
      </x:c>
      <x:c r="C7" s="9" t="str">
        <x:v>Closure bays</x:v>
      </x:c>
      <x:c r="D7" s="9" t="str">
        <x:v>NRC-A</x:v>
      </x:c>
      <x:c r="E7" s="30" t="n">
        <x:v>180</x:v>
      </x:c>
      <x:c r="F7" s="30" t="n">
        <x:v>123</x:v>
      </x:c>
      <x:c r="G7" s="30" t="n">
        <x:v>35</x:v>
      </x:c>
      <x:c r="H7" s="30" t="n">
        <x:v>22</x:v>
      </x:c>
      <x:c r="I7" s="30" t="n">
        <x:v>0</x:v>
      </x:c>
      <x:c r="J7" s="9" t="str">
        <x:v>SYNTHETIC_CONFORMANCE</x:v>
      </x:c>
      <x:c r="K7" s="9" t="n">
        <x:v>1</x:v>
      </x:c>
      <x:c r="L7" s="36"/>
    </x:row>
    <x:row r="8">
      <x:c r="B8" s="9" t="str">
        <x:v>S002</x:v>
      </x:c>
      <x:c r="C8" s="9" t="str">
        <x:v>Closure bays</x:v>
      </x:c>
      <x:c r="D8" s="9" t="str">
        <x:v>NRC-B</x:v>
      </x:c>
      <x:c r="E8" s="30" t="n">
        <x:v>74</x:v>
      </x:c>
      <x:c r="F8" s="30" t="n">
        <x:v>50</x:v>
      </x:c>
      <x:c r="G8" s="30" t="n">
        <x:v>15</x:v>
      </x:c>
      <x:c r="H8" s="30" t="n">
        <x:v>9</x:v>
      </x:c>
      <x:c r="I8" s="30" t="n">
        <x:v>106</x:v>
      </x:c>
      <x:c r="J8" s="9" t="str">
        <x:v>SYNTHETIC_CONFORMANCE</x:v>
      </x:c>
      <x:c r="K8" s="9" t="n">
        <x:v>1</x:v>
      </x:c>
      <x:c r="L8" s="36"/>
    </x:row>
    <x:row r="9">
      <x:c r="B9" s="9" t="str">
        <x:v>S003</x:v>
      </x:c>
      <x:c r="C9" s="9" t="str">
        <x:v>Closure bays</x:v>
      </x:c>
      <x:c r="D9" s="9" t="str">
        <x:v>NRC-C</x:v>
      </x:c>
      <x:c r="E9" s="30" t="n">
        <x:v>180</x:v>
      </x:c>
      <x:c r="F9" s="30" t="n">
        <x:v>125</x:v>
      </x:c>
      <x:c r="G9" s="30" t="n">
        <x:v>34</x:v>
      </x:c>
      <x:c r="H9" s="30" t="n">
        <x:v>21</x:v>
      </x:c>
      <x:c r="I9" s="30" t="n">
        <x:v>0</x:v>
      </x:c>
      <x:c r="J9" s="9" t="str">
        <x:v>SYNTHETIC_CONFORMANCE</x:v>
      </x:c>
      <x:c r="K9" s="9" t="n">
        <x:v>1</x:v>
      </x:c>
      <x:c r="L9" s="36"/>
    </x:row>
    <x:row r="10">
      <x:c r="B10" s="9" t="str">
        <x:v>S004</x:v>
      </x:c>
      <x:c r="C10" s="9" t="str">
        <x:v>Damage cells</x:v>
      </x:c>
      <x:c r="D10" s="9" t="str">
        <x:v>NRC-A</x:v>
      </x:c>
      <x:c r="E10" s="30" t="n">
        <x:v>152</x:v>
      </x:c>
      <x:c r="F10" s="30" t="n">
        <x:v>96</x:v>
      </x:c>
      <x:c r="G10" s="30" t="n">
        <x:v>34</x:v>
      </x:c>
      <x:c r="H10" s="30" t="n">
        <x:v>22</x:v>
      </x:c>
      <x:c r="I10" s="30" t="n">
        <x:v>0</x:v>
      </x:c>
      <x:c r="J10" s="9" t="str">
        <x:v>SYNTHETIC_CONFORMANCE</x:v>
      </x:c>
      <x:c r="K10" s="9" t="n">
        <x:v>1</x:v>
      </x:c>
      <x:c r="L10" s="36"/>
    </x:row>
    <x:row r="11">
      <x:c r="B11" s="9" t="str">
        <x:v>S005</x:v>
      </x:c>
      <x:c r="C11" s="9" t="str">
        <x:v>Damage cells</x:v>
      </x:c>
      <x:c r="D11" s="9" t="str">
        <x:v>NRC-B</x:v>
      </x:c>
      <x:c r="E11" s="30" t="n">
        <x:v>46</x:v>
      </x:c>
      <x:c r="F11" s="30" t="n">
        <x:v>29.5</x:v>
      </x:c>
      <x:c r="G11" s="30" t="n">
        <x:v>10</x:v>
      </x:c>
      <x:c r="H11" s="30" t="n">
        <x:v>6.5</x:v>
      </x:c>
      <x:c r="I11" s="30" t="n">
        <x:v>106</x:v>
      </x:c>
      <x:c r="J11" s="9" t="str">
        <x:v>SYNTHETIC_CONFORMANCE</x:v>
      </x:c>
      <x:c r="K11" s="9" t="n">
        <x:v>1</x:v>
      </x:c>
      <x:c r="L11" s="36"/>
    </x:row>
    <x:row r="12">
      <x:c r="B12" s="9" t="str">
        <x:v>S006</x:v>
      </x:c>
      <x:c r="C12" s="9" t="str">
        <x:v>Damage cells</x:v>
      </x:c>
      <x:c r="D12" s="9" t="str">
        <x:v>NRC-C</x:v>
      </x:c>
      <x:c r="E12" s="30" t="n">
        <x:v>152</x:v>
      </x:c>
      <x:c r="F12" s="30" t="n">
        <x:v>97</x:v>
      </x:c>
      <x:c r="G12" s="30" t="n">
        <x:v>33</x:v>
      </x:c>
      <x:c r="H12" s="30" t="n">
        <x:v>22</x:v>
      </x:c>
      <x:c r="I12" s="30" t="n">
        <x:v>0</x:v>
      </x:c>
      <x:c r="J12" s="9" t="str">
        <x:v>SYNTHETIC_CONFORMANCE</x:v>
      </x:c>
      <x:c r="K12" s="9" t="n">
        <x:v>1</x:v>
      </x:c>
      <x:c r="L12" s="36"/>
    </x:row>
    <x:row r="13">
      <x:c r="B13" s="9" t="str">
        <x:v>S007</x:v>
      </x:c>
      <x:c r="C13" s="9" t="str">
        <x:v>Forensic lines</x:v>
      </x:c>
      <x:c r="D13" s="9" t="str">
        <x:v>NRC-A</x:v>
      </x:c>
      <x:c r="E13" s="30" t="n">
        <x:v>90</x:v>
      </x:c>
      <x:c r="F13" s="30" t="n">
        <x:v>63</x:v>
      </x:c>
      <x:c r="G13" s="30" t="n">
        <x:v>17</x:v>
      </x:c>
      <x:c r="H13" s="30" t="n">
        <x:v>10</x:v>
      </x:c>
      <x:c r="I13" s="30" t="n">
        <x:v>0</x:v>
      </x:c>
      <x:c r="J13" s="9" t="str">
        <x:v>SYNTHETIC_CONFORMANCE</x:v>
      </x:c>
      <x:c r="K13" s="9" t="n">
        <x:v>1</x:v>
      </x:c>
      <x:c r="L13" s="36"/>
    </x:row>
    <x:row r="14">
      <x:c r="B14" s="9" t="str">
        <x:v>S008</x:v>
      </x:c>
      <x:c r="C14" s="9" t="str">
        <x:v>Forensic lines</x:v>
      </x:c>
      <x:c r="D14" s="9" t="str">
        <x:v>NRC-B</x:v>
      </x:c>
      <x:c r="E14" s="30" t="n">
        <x:v>37</x:v>
      </x:c>
      <x:c r="F14" s="30" t="n">
        <x:v>25</x:v>
      </x:c>
      <x:c r="G14" s="30" t="n">
        <x:v>7</x:v>
      </x:c>
      <x:c r="H14" s="30" t="n">
        <x:v>5</x:v>
      </x:c>
      <x:c r="I14" s="30" t="n">
        <x:v>53</x:v>
      </x:c>
      <x:c r="J14" s="9" t="str">
        <x:v>SYNTHETIC_CONFORMANCE</x:v>
      </x:c>
      <x:c r="K14" s="9" t="n">
        <x:v>1</x:v>
      </x:c>
      <x:c r="L14" s="36"/>
    </x:row>
    <x:row r="15">
      <x:c r="B15" s="9" t="str">
        <x:v>S009</x:v>
      </x:c>
      <x:c r="C15" s="9" t="str">
        <x:v>Forensic lines</x:v>
      </x:c>
      <x:c r="D15" s="9" t="str">
        <x:v>NRC-C</x:v>
      </x:c>
      <x:c r="E15" s="30" t="n">
        <x:v>90</x:v>
      </x:c>
      <x:c r="F15" s="30" t="n">
        <x:v>64</x:v>
      </x:c>
      <x:c r="G15" s="30" t="n">
        <x:v>16</x:v>
      </x:c>
      <x:c r="H15" s="30" t="n">
        <x:v>10</x:v>
      </x:c>
      <x:c r="I15" s="30" t="n">
        <x:v>0</x:v>
      </x:c>
      <x:c r="J15" s="9" t="str">
        <x:v>SYNTHETIC_CONFORMANCE</x:v>
      </x:c>
      <x:c r="K15" s="9" t="n">
        <x:v>1</x:v>
      </x:c>
      <x:c r="L15" s="36"/>
    </x:row>
    <x:row r="16">
      <x:c r="B16" s="9" t="str">
        <x:v>S010</x:v>
      </x:c>
      <x:c r="C16" s="9" t="str">
        <x:v>Sanitary laboratories</x:v>
      </x:c>
      <x:c r="D16" s="9" t="str">
        <x:v>NRC-A</x:v>
      </x:c>
      <x:c r="E16" s="30" t="n">
        <x:v>180</x:v>
      </x:c>
      <x:c r="F16" s="30" t="n">
        <x:v>116</x:v>
      </x:c>
      <x:c r="G16" s="30" t="n">
        <x:v>39</x:v>
      </x:c>
      <x:c r="H16" s="30" t="n">
        <x:v>25</x:v>
      </x:c>
      <x:c r="I16" s="30" t="n">
        <x:v>0</x:v>
      </x:c>
      <x:c r="J16" s="9" t="str">
        <x:v>SYNTHETIC_CONFORMANCE</x:v>
      </x:c>
      <x:c r="K16" s="9" t="n">
        <x:v>1</x:v>
      </x:c>
      <x:c r="L16" s="36"/>
    </x:row>
    <x:row r="17">
      <x:c r="B17" s="9" t="str">
        <x:v>S011</x:v>
      </x:c>
      <x:c r="C17" s="9" t="str">
        <x:v>Sanitary laboratories</x:v>
      </x:c>
      <x:c r="D17" s="9" t="str">
        <x:v>NRC-B</x:v>
      </x:c>
      <x:c r="E17" s="30" t="n">
        <x:v>74</x:v>
      </x:c>
      <x:c r="F17" s="30" t="n">
        <x:v>48</x:v>
      </x:c>
      <x:c r="G17" s="30" t="n">
        <x:v>16</x:v>
      </x:c>
      <x:c r="H17" s="30" t="n">
        <x:v>10</x:v>
      </x:c>
      <x:c r="I17" s="30" t="n">
        <x:v>106</x:v>
      </x:c>
      <x:c r="J17" s="9" t="str">
        <x:v>SYNTHETIC_CONFORMANCE</x:v>
      </x:c>
      <x:c r="K17" s="9" t="n">
        <x:v>1</x:v>
      </x:c>
      <x:c r="L17" s="36"/>
    </x:row>
    <x:row r="18">
      <x:c r="B18" s="9" t="str">
        <x:v>S012</x:v>
      </x:c>
      <x:c r="C18" s="9" t="str">
        <x:v>Sanitary laboratories</x:v>
      </x:c>
      <x:c r="D18" s="9" t="str">
        <x:v>NRC-C</x:v>
      </x:c>
      <x:c r="E18" s="30" t="n">
        <x:v>180</x:v>
      </x:c>
      <x:c r="F18" s="30" t="n">
        <x:v>116</x:v>
      </x:c>
      <x:c r="G18" s="30" t="n">
        <x:v>39</x:v>
      </x:c>
      <x:c r="H18" s="30" t="n">
        <x:v>25</x:v>
      </x:c>
      <x:c r="I18" s="30" t="n">
        <x:v>0</x:v>
      </x:c>
      <x:c r="J18" s="9" t="str">
        <x:v>SYNTHETIC_CONFORMANCE</x:v>
      </x:c>
      <x:c r="K18" s="9" t="n">
        <x:v>1</x:v>
      </x:c>
      <x:c r="L18" s="36"/>
    </x:row>
    <x:row r="19">
      <x:c r="B19" s="9" t="str">
        <x:v>S013</x:v>
      </x:c>
      <x:c r="C19" s="9" t="str">
        <x:v>Metrology detachments</x:v>
      </x:c>
      <x:c r="D19" s="9" t="str">
        <x:v>NRC-A</x:v>
      </x:c>
      <x:c r="E19" s="30" t="n">
        <x:v>180</x:v>
      </x:c>
      <x:c r="F19" s="30" t="n">
        <x:v>123</x:v>
      </x:c>
      <x:c r="G19" s="30" t="n">
        <x:v>35</x:v>
      </x:c>
      <x:c r="H19" s="30" t="n">
        <x:v>22</x:v>
      </x:c>
      <x:c r="I19" s="30" t="n">
        <x:v>0</x:v>
      </x:c>
      <x:c r="J19" s="9" t="str">
        <x:v>SYNTHETIC_CONFORMANCE</x:v>
      </x:c>
      <x:c r="K19" s="9" t="n">
        <x:v>1</x:v>
      </x:c>
      <x:c r="L19" s="36"/>
    </x:row>
    <x:row r="20">
      <x:c r="B20" s="9" t="str">
        <x:v>S014</x:v>
      </x:c>
      <x:c r="C20" s="9" t="str">
        <x:v>Metrology detachments</x:v>
      </x:c>
      <x:c r="D20" s="9" t="str">
        <x:v>NRC-B</x:v>
      </x:c>
      <x:c r="E20" s="30" t="n">
        <x:v>74</x:v>
      </x:c>
      <x:c r="F20" s="30" t="n">
        <x:v>49</x:v>
      </x:c>
      <x:c r="G20" s="30" t="n">
        <x:v>15</x:v>
      </x:c>
      <x:c r="H20" s="30" t="n">
        <x:v>10</x:v>
      </x:c>
      <x:c r="I20" s="30" t="n">
        <x:v>106</x:v>
      </x:c>
      <x:c r="J20" s="9" t="str">
        <x:v>SYNTHETIC_CONFORMANCE</x:v>
      </x:c>
      <x:c r="K20" s="9" t="n">
        <x:v>1</x:v>
      </x:c>
      <x:c r="L20" s="36"/>
    </x:row>
    <x:row r="21">
      <x:c r="B21" s="9" t="str">
        <x:v>S015</x:v>
      </x:c>
      <x:c r="C21" s="9" t="str">
        <x:v>Metrology detachments</x:v>
      </x:c>
      <x:c r="D21" s="9" t="str">
        <x:v>NRC-C</x:v>
      </x:c>
      <x:c r="E21" s="30" t="n">
        <x:v>180</x:v>
      </x:c>
      <x:c r="F21" s="30" t="n">
        <x:v>123</x:v>
      </x:c>
      <x:c r="G21" s="30" t="n">
        <x:v>34</x:v>
      </x:c>
      <x:c r="H21" s="30" t="n">
        <x:v>23</x:v>
      </x:c>
      <x:c r="I21" s="30" t="n">
        <x:v>0</x:v>
      </x:c>
      <x:c r="J21" s="9" t="str">
        <x:v>SYNTHETIC_CONFORMANCE</x:v>
      </x:c>
      <x:c r="K21" s="9" t="n">
        <x:v>1</x:v>
      </x:c>
      <x:c r="L21" s="36"/>
    </x:row>
    <x:row r="22">
      <x:c r="B22" s="9" t="str">
        <x:v>S016</x:v>
      </x:c>
      <x:c r="C22" s="9" t="str">
        <x:v>Evidence replay cells</x:v>
      </x:c>
      <x:c r="D22" s="9" t="str">
        <x:v>NRC-A</x:v>
      </x:c>
      <x:c r="E22" s="30" t="n">
        <x:v>180</x:v>
      </x:c>
      <x:c r="F22" s="30" t="n">
        <x:v>117</x:v>
      </x:c>
      <x:c r="G22" s="30" t="n">
        <x:v>39</x:v>
      </x:c>
      <x:c r="H22" s="30" t="n">
        <x:v>24</x:v>
      </x:c>
      <x:c r="I22" s="30" t="n">
        <x:v>0</x:v>
      </x:c>
      <x:c r="J22" s="9" t="str">
        <x:v>SYNTHETIC_CONFORMANCE</x:v>
      </x:c>
      <x:c r="K22" s="9" t="n">
        <x:v>1</x:v>
      </x:c>
      <x:c r="L22" s="36"/>
    </x:row>
    <x:row r="23">
      <x:c r="B23" s="9" t="str">
        <x:v>S017</x:v>
      </x:c>
      <x:c r="C23" s="9" t="str">
        <x:v>Evidence replay cells</x:v>
      </x:c>
      <x:c r="D23" s="9" t="str">
        <x:v>NRC-B</x:v>
      </x:c>
      <x:c r="E23" s="30" t="n">
        <x:v>74</x:v>
      </x:c>
      <x:c r="F23" s="30" t="n">
        <x:v>48</x:v>
      </x:c>
      <x:c r="G23" s="30" t="n">
        <x:v>16</x:v>
      </x:c>
      <x:c r="H23" s="30" t="n">
        <x:v>10</x:v>
      </x:c>
      <x:c r="I23" s="30" t="n">
        <x:v>106</x:v>
      </x:c>
      <x:c r="J23" s="9" t="str">
        <x:v>SYNTHETIC_CONFORMANCE</x:v>
      </x:c>
      <x:c r="K23" s="9" t="n">
        <x:v>1</x:v>
      </x:c>
      <x:c r="L23" s="36"/>
    </x:row>
    <x:row r="24">
      <x:c r="B24" s="9" t="str">
        <x:v>S018</x:v>
      </x:c>
      <x:c r="C24" s="9" t="str">
        <x:v>Evidence replay cells</x:v>
      </x:c>
      <x:c r="D24" s="9" t="str">
        <x:v>NRC-C</x:v>
      </x:c>
      <x:c r="E24" s="30" t="n">
        <x:v>180</x:v>
      </x:c>
      <x:c r="F24" s="30" t="n">
        <x:v>116</x:v>
      </x:c>
      <x:c r="G24" s="30" t="n">
        <x:v>40</x:v>
      </x:c>
      <x:c r="H24" s="30" t="n">
        <x:v>24</x:v>
      </x:c>
      <x:c r="I24" s="30" t="n">
        <x:v>0</x:v>
      </x:c>
      <x:c r="J24" s="9" t="str">
        <x:v>SYNTHETIC_CONFORMANCE</x:v>
      </x:c>
      <x:c r="K24" s="9" t="n">
        <x:v>1</x:v>
      </x:c>
      <x:c r="L24" s="36"/>
    </x:row>
    <x:row r="25">
      <x:c r="B25" s="9" t="str">
        <x:v>S019</x:v>
      </x:c>
      <x:c r="C25" s="9" t="str">
        <x:v>Blind/configuration shops</x:v>
      </x:c>
      <x:c r="D25" s="9" t="str">
        <x:v>NRC-A</x:v>
      </x:c>
      <x:c r="E25" s="30" t="n">
        <x:v>90</x:v>
      </x:c>
      <x:c r="F25" s="30" t="n">
        <x:v>59</x:v>
      </x:c>
      <x:c r="G25" s="30" t="n">
        <x:v>19</x:v>
      </x:c>
      <x:c r="H25" s="30" t="n">
        <x:v>12</x:v>
      </x:c>
      <x:c r="I25" s="30" t="n">
        <x:v>0</x:v>
      </x:c>
      <x:c r="J25" s="9" t="str">
        <x:v>SYNTHETIC_CONFORMANCE</x:v>
      </x:c>
      <x:c r="K25" s="9" t="n">
        <x:v>1</x:v>
      </x:c>
      <x:c r="L25" s="36"/>
    </x:row>
    <x:row r="26">
      <x:c r="B26" s="9" t="str">
        <x:v>S020</x:v>
      </x:c>
      <x:c r="C26" s="9" t="str">
        <x:v>Blind/configuration shops</x:v>
      </x:c>
      <x:c r="D26" s="9" t="str">
        <x:v>NRC-B</x:v>
      </x:c>
      <x:c r="E26" s="30" t="n">
        <x:v>37</x:v>
      </x:c>
      <x:c r="F26" s="30" t="n">
        <x:v>24</x:v>
      </x:c>
      <x:c r="G26" s="30" t="n">
        <x:v>8</x:v>
      </x:c>
      <x:c r="H26" s="30" t="n">
        <x:v>5</x:v>
      </x:c>
      <x:c r="I26" s="30" t="n">
        <x:v>53</x:v>
      </x:c>
      <x:c r="J26" s="9" t="str">
        <x:v>SYNTHETIC_CONFORMANCE</x:v>
      </x:c>
      <x:c r="K26" s="9" t="n">
        <x:v>1</x:v>
      </x:c>
      <x:c r="L26" s="36"/>
    </x:row>
    <x:row r="27">
      <x:c r="B27" s="10" t="str">
        <x:v>S021</x:v>
      </x:c>
      <x:c r="C27" s="10" t="str">
        <x:v>Blind/configuration shops</x:v>
      </x:c>
      <x:c r="D27" s="10" t="str">
        <x:v>NRC-C</x:v>
      </x:c>
      <x:c r="E27" s="31" t="n">
        <x:v>90</x:v>
      </x:c>
      <x:c r="F27" s="31" t="n">
        <x:v>60</x:v>
      </x:c>
      <x:c r="G27" s="31" t="n">
        <x:v>18</x:v>
      </x:c>
      <x:c r="H27" s="31" t="n">
        <x:v>12</x:v>
      </x:c>
      <x:c r="I27" s="31" t="n">
        <x:v>0</x:v>
      </x:c>
      <x:c r="J27" s="10" t="str">
        <x:v>SYNTHETIC_CONFORMANCE</x:v>
      </x:c>
      <x:c r="K27" s="10" t="n">
        <x:v>1</x:v>
      </x:c>
      <x:c r="L27" s="36"/>
    </x:row>
  </x:sheetData>
  <x:mergeCells>
    <x:mergeCell ref="B2:L2"/>
    <x:mergeCell ref="B3:L3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Pr>
    <x:tabColor rgb="FF7F8C8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2" hidden="0" customWidth="1"/>
    <x:col min="3" max="3" width="36" hidden="0" customWidth="1"/>
    <x:col min="4" max="4" width="18" hidden="0" customWidth="1"/>
    <x:col min="5" max="5" width="18" hidden="0" customWidth="1"/>
    <x:col min="6" max="6" width="18" hidden="0" customWidth="1"/>
    <x:col min="7" max="7" width="14" hidden="0" customWidth="1"/>
    <x:col min="8" max="8" width="38" hidden="0" customWidth="1"/>
  </x:cols>
  <x:sheetData>
    <x:row r="2">
      <x:c r="B2" s="1" t="str">
        <x:v>Independent terminal audit</x:v>
      </x:c>
      <x:c r="C2" s="36"/>
      <x:c r="D2" s="36"/>
      <x:c r="E2" s="36"/>
      <x:c r="F2" s="36"/>
      <x:c r="G2" s="36"/>
      <x:c r="H2" s="36"/>
    </x:row>
    <x:row r="3">
      <x:c r="B3" s="2" t="str">
        <x:v>This sheet observes the workbook and feeds no demand, schedule, financial or release calculation.</x:v>
      </x:c>
      <x:c r="C3" s="36"/>
      <x:c r="D3" s="36"/>
      <x:c r="E3" s="36"/>
      <x:c r="F3" s="36"/>
      <x:c r="G3" s="36"/>
      <x:c r="H3" s="36"/>
    </x:row>
    <x:row r="4">
      <x:c r="B4" s="37"/>
      <x:c r="C4" s="37"/>
      <x:c r="D4" s="37"/>
      <x:c r="E4" s="37"/>
      <x:c r="F4" s="37"/>
      <x:c r="G4" s="37"/>
      <x:c r="H4" s="37"/>
    </x:row>
    <x:row r="5">
      <x:c r="B5" s="36"/>
      <x:c r="C5" s="36"/>
      <x:c r="D5" s="36"/>
      <x:c r="E5" s="36"/>
      <x:c r="F5" s="36"/>
      <x:c r="G5" s="36"/>
      <x:c r="H5" s="36"/>
    </x:row>
    <x:row r="6">
      <x:c r="B6" s="7" t="str">
        <x:v>Check</x:v>
      </x:c>
      <x:c r="C6" s="7" t="str">
        <x:v>Control</x:v>
      </x:c>
      <x:c r="D6" s="7" t="str">
        <x:v>Actual</x:v>
      </x:c>
      <x:c r="E6" s="7" t="str">
        <x:v>Expected</x:v>
      </x:c>
      <x:c r="F6" s="7" t="str">
        <x:v>Difference</x:v>
      </x:c>
      <x:c r="G6" s="7" t="str">
        <x:v>Result</x:v>
      </x:c>
      <x:c r="H6" s="7" t="str">
        <x:v>Notes</x:v>
      </x:c>
    </x:row>
    <x:row r="7">
      <x:c r="B7" s="9" t="str">
        <x:v>AU01</x:v>
      </x:c>
      <x:c r="C7" s="9" t="str">
        <x:v>Method-control count</x:v>
      </x:c>
      <x:c r="D7" s="26" t="n">
        <x:f>COUNTA('Method Controls'!B7:B63)</x:f>
        <x:v>57</x:v>
      </x:c>
      <x:c r="E7" s="26" t="n">
        <x:v>57</x:v>
      </x:c>
      <x:c r="F7" s="26" t="n">
        <x:f>D7-E7</x:f>
        <x:v>0</x:v>
      </x:c>
      <x:c r="G7" s="9" t="str">
        <x:f>IF(ABS(F7)&lt;0.000001,"PASS","FAIL")</x:f>
        <x:v>PASS</x:v>
      </x:c>
      <x:c r="H7" s="9" t="str"/>
    </x:row>
    <x:row r="8">
      <x:c r="B8" s="9" t="str">
        <x:v>AU02</x:v>
      </x:c>
      <x:c r="C8" s="9" t="str">
        <x:v>Event observation count</x:v>
      </x:c>
      <x:c r="D8" s="26" t="n">
        <x:f>COUNTA('Event Observations'!B7:B34)</x:f>
        <x:v>28</x:v>
      </x:c>
      <x:c r="E8" s="26" t="n">
        <x:v>28</x:v>
      </x:c>
      <x:c r="F8" s="26" t="n">
        <x:f>D8-E8</x:f>
        <x:v>0</x:v>
      </x:c>
      <x:c r="G8" s="9" t="str">
        <x:f>IF(ABS(F8)&lt;0.000001,"PASS","FAIL")</x:f>
        <x:v>PASS</x:v>
      </x:c>
      <x:c r="H8" s="9" t="str"/>
    </x:row>
    <x:row r="9">
      <x:c r="B9" s="9" t="str">
        <x:v>AU03</x:v>
      </x:c>
      <x:c r="C9" s="9" t="str">
        <x:v>Service observation count</x:v>
      </x:c>
      <x:c r="D9" s="26" t="n">
        <x:f>COUNTA('Service Observations'!B7:B27)</x:f>
        <x:v>21</x:v>
      </x:c>
      <x:c r="E9" s="26" t="n">
        <x:v>21</x:v>
      </x:c>
      <x:c r="F9" s="26" t="n">
        <x:f>D9-E9</x:f>
        <x:v>0</x:v>
      </x:c>
      <x:c r="G9" s="9" t="str">
        <x:f>IF(ABS(F9)&lt;0.000001,"PASS","FAIL")</x:f>
        <x:v>PASS</x:v>
      </x:c>
      <x:c r="H9" s="9" t="str"/>
    </x:row>
    <x:row r="10">
      <x:c r="B10" s="9" t="str">
        <x:v>AU04</x:v>
      </x:c>
      <x:c r="C10" s="9" t="str">
        <x:v>Event records complete</x:v>
      </x:c>
      <x:c r="D10" s="26" t="n">
        <x:f>SUM('Event Observations'!U7:U34)</x:f>
        <x:v>28</x:v>
      </x:c>
      <x:c r="E10" s="26" t="n">
        <x:v>28</x:v>
      </x:c>
      <x:c r="F10" s="26" t="n">
        <x:f>D10-E10</x:f>
        <x:v>0</x:v>
      </x:c>
      <x:c r="G10" s="9" t="str">
        <x:f>IF(ABS(F10)&lt;0.000001,"PASS","FAIL")</x:f>
        <x:v>PASS</x:v>
      </x:c>
      <x:c r="H10" s="9" t="str"/>
    </x:row>
    <x:row r="11">
      <x:c r="B11" s="9" t="str">
        <x:v>AU05</x:v>
      </x:c>
      <x:c r="C11" s="9" t="str">
        <x:v>Service records complete</x:v>
      </x:c>
      <x:c r="D11" s="26" t="n">
        <x:f>SUM('Service Observations'!K7:K27)</x:f>
        <x:v>21</x:v>
      </x:c>
      <x:c r="E11" s="26" t="n">
        <x:v>21</x:v>
      </x:c>
      <x:c r="F11" s="26" t="n">
        <x:f>D11-E11</x:f>
        <x:v>0</x:v>
      </x:c>
      <x:c r="G11" s="9" t="str">
        <x:f>IF(ABS(F11)&lt;0.000001,"PASS","FAIL")</x:f>
        <x:v>PASS</x:v>
      </x:c>
      <x:c r="H11" s="9" t="str"/>
    </x:row>
    <x:row r="12">
      <x:c r="B12" s="9" t="str">
        <x:v>AU06</x:v>
      </x:c>
      <x:c r="C12" s="9" t="str">
        <x:v>Closure eligible ordinary</x:v>
      </x:c>
      <x:c r="D12" s="26" t="n">
        <x:f>'Demand Update'!F7</x:f>
        <x:v>18</x:v>
      </x:c>
      <x:c r="E12" s="26" t="n">
        <x:v>18</x:v>
      </x:c>
      <x:c r="F12" s="26" t="n">
        <x:f>D12-E12</x:f>
        <x:v>0</x:v>
      </x:c>
      <x:c r="G12" s="9" t="str">
        <x:f>IF(ABS(F12)&lt;0.000001,"PASS","FAIL")</x:f>
        <x:v>PASS</x:v>
      </x:c>
      <x:c r="H12" s="9" t="str"/>
    </x:row>
    <x:row r="13">
      <x:c r="B13" s="9" t="str">
        <x:v>AU07</x:v>
      </x:c>
      <x:c r="C13" s="9" t="str">
        <x:v>Damage eligible ordinary</x:v>
      </x:c>
      <x:c r="D13" s="26" t="n">
        <x:f>'Demand Update'!F8</x:f>
        <x:v>6</x:v>
      </x:c>
      <x:c r="E13" s="26" t="n">
        <x:v>6</x:v>
      </x:c>
      <x:c r="F13" s="26" t="n">
        <x:f>D13-E13</x:f>
        <x:v>0</x:v>
      </x:c>
      <x:c r="G13" s="9" t="str">
        <x:f>IF(ABS(F13)&lt;0.000001,"PASS","FAIL")</x:f>
        <x:v>PASS</x:v>
      </x:c>
      <x:c r="H13" s="9" t="str"/>
    </x:row>
    <x:row r="14">
      <x:c r="B14" s="9" t="str">
        <x:v>AU08</x:v>
      </x:c>
      <x:c r="C14" s="9" t="str">
        <x:v>Closure intrinsic invalid</x:v>
      </x:c>
      <x:c r="D14" s="26" t="n">
        <x:f>'Demand Update'!G7</x:f>
        <x:v>0</x:v>
      </x:c>
      <x:c r="E14" s="26" t="n">
        <x:v>0</x:v>
      </x:c>
      <x:c r="F14" s="26" t="n">
        <x:f>D14-E14</x:f>
        <x:v>0</x:v>
      </x:c>
      <x:c r="G14" s="9" t="str">
        <x:f>IF(ABS(F14)&lt;0.000001,"PASS","FAIL")</x:f>
        <x:v>PASS</x:v>
      </x:c>
      <x:c r="H14" s="9" t="str"/>
    </x:row>
    <x:row r="15">
      <x:c r="B15" s="9" t="str">
        <x:v>AU09</x:v>
      </x:c>
      <x:c r="C15" s="9" t="str">
        <x:v>Damage intrinsic invalid</x:v>
      </x:c>
      <x:c r="D15" s="26" t="n">
        <x:f>'Demand Update'!G8</x:f>
        <x:v>0</x:v>
      </x:c>
      <x:c r="E15" s="26" t="n">
        <x:v>0</x:v>
      </x:c>
      <x:c r="F15" s="26" t="n">
        <x:f>D15-E15</x:f>
        <x:v>0</x:v>
      </x:c>
      <x:c r="G15" s="9" t="str">
        <x:f>IF(ABS(F15)&lt;0.000001,"PASS","FAIL")</x:f>
        <x:v>PASS</x:v>
      </x:c>
      <x:c r="H15" s="9" t="str"/>
    </x:row>
    <x:row r="16">
      <x:c r="B16" s="9" t="str">
        <x:v>AU10</x:v>
      </x:c>
      <x:c r="C16" s="9" t="str">
        <x:v>Closure forced excluded</x:v>
      </x:c>
      <x:c r="D16" s="26" t="n">
        <x:f>'Demand Update'!H7</x:f>
        <x:v>2</x:v>
      </x:c>
      <x:c r="E16" s="26" t="n">
        <x:v>2</x:v>
      </x:c>
      <x:c r="F16" s="26" t="n">
        <x:f>D16-E16</x:f>
        <x:v>0</x:v>
      </x:c>
      <x:c r="G16" s="9" t="str">
        <x:f>IF(ABS(F16)&lt;0.000001,"PASS","FAIL")</x:f>
        <x:v>PASS</x:v>
      </x:c>
      <x:c r="H16" s="9" t="str"/>
    </x:row>
    <x:row r="17">
      <x:c r="B17" s="9" t="str">
        <x:v>AU11</x:v>
      </x:c>
      <x:c r="C17" s="9" t="str">
        <x:v>Damage forced excluded</x:v>
      </x:c>
      <x:c r="D17" s="26" t="n">
        <x:f>'Demand Update'!H8</x:f>
        <x:v>2</x:v>
      </x:c>
      <x:c r="E17" s="26" t="n">
        <x:v>2</x:v>
      </x:c>
      <x:c r="F17" s="26" t="n">
        <x:f>D17-E17</x:f>
        <x:v>0</x:v>
      </x:c>
      <x:c r="G17" s="9" t="str">
        <x:f>IF(ABS(F17)&lt;0.000001,"PASS","FAIL")</x:f>
        <x:v>PASS</x:v>
      </x:c>
      <x:c r="H17" s="9" t="str"/>
    </x:row>
    <x:row r="18">
      <x:c r="B18" s="9" t="str">
        <x:v>AU12</x:v>
      </x:c>
      <x:c r="C18" s="9" t="str">
        <x:v>Closure posterior alpha</x:v>
      </x:c>
      <x:c r="D18" s="26" t="n">
        <x:f>'Demand Update'!I7</x:f>
        <x:v>3</x:v>
      </x:c>
      <x:c r="E18" s="26" t="n">
        <x:v>3</x:v>
      </x:c>
      <x:c r="F18" s="26" t="n">
        <x:f>D18-E18</x:f>
        <x:v>0</x:v>
      </x:c>
      <x:c r="G18" s="9" t="str">
        <x:f>IF(ABS(F18)&lt;0.000001,"PASS","FAIL")</x:f>
        <x:v>PASS</x:v>
      </x:c>
      <x:c r="H18" s="9" t="str"/>
    </x:row>
    <x:row r="19">
      <x:c r="B19" s="9" t="str">
        <x:v>AU13</x:v>
      </x:c>
      <x:c r="C19" s="9" t="str">
        <x:v>Closure posterior beta</x:v>
      </x:c>
      <x:c r="D19" s="26" t="n">
        <x:f>'Demand Update'!J7</x:f>
        <x:v>35</x:v>
      </x:c>
      <x:c r="E19" s="26" t="n">
        <x:v>35</x:v>
      </x:c>
      <x:c r="F19" s="26" t="n">
        <x:f>D19-E19</x:f>
        <x:v>0</x:v>
      </x:c>
      <x:c r="G19" s="9" t="str">
        <x:f>IF(ABS(F19)&lt;0.000001,"PASS","FAIL")</x:f>
        <x:v>PASS</x:v>
      </x:c>
      <x:c r="H19" s="9" t="str"/>
    </x:row>
    <x:row r="20">
      <x:c r="B20" s="9" t="str">
        <x:v>AU14</x:v>
      </x:c>
      <x:c r="C20" s="9" t="str">
        <x:v>Damage posterior alpha</x:v>
      </x:c>
      <x:c r="D20" s="26" t="n">
        <x:f>'Demand Update'!I8</x:f>
        <x:v>4</x:v>
      </x:c>
      <x:c r="E20" s="26" t="n">
        <x:v>4</x:v>
      </x:c>
      <x:c r="F20" s="26" t="n">
        <x:f>D20-E20</x:f>
        <x:v>0</x:v>
      </x:c>
      <x:c r="G20" s="9" t="str">
        <x:f>IF(ABS(F20)&lt;0.000001,"PASS","FAIL")</x:f>
        <x:v>PASS</x:v>
      </x:c>
      <x:c r="H20" s="9" t="str"/>
    </x:row>
    <x:row r="21">
      <x:c r="B21" s="9" t="str">
        <x:v>AU15</x:v>
      </x:c>
      <x:c r="C21" s="9" t="str">
        <x:v>Damage posterior beta</x:v>
      </x:c>
      <x:c r="D21" s="26" t="n">
        <x:f>'Demand Update'!J8</x:f>
        <x:v>22</x:v>
      </x:c>
      <x:c r="E21" s="26" t="n">
        <x:v>22</x:v>
      </x:c>
      <x:c r="F21" s="26" t="n">
        <x:f>D21-E21</x:f>
        <x:v>0</x:v>
      </x:c>
      <x:c r="G21" s="9" t="str">
        <x:f>IF(ABS(F21)&lt;0.000001,"PASS","FAIL")</x:f>
        <x:v>PASS</x:v>
      </x:c>
      <x:c r="H21" s="9" t="str"/>
    </x:row>
    <x:row r="22">
      <x:c r="B22" s="9" t="str">
        <x:v>AU16</x:v>
      </x:c>
      <x:c r="C22" s="9" t="str">
        <x:v>Closure P90 attempts</x:v>
      </x:c>
      <x:c r="D22" s="26" t="n">
        <x:f>'Demand Update'!K7</x:f>
        <x:v>64</x:v>
      </x:c>
      <x:c r="E22" s="26" t="n">
        <x:v>64</x:v>
      </x:c>
      <x:c r="F22" s="26" t="n">
        <x:f>D22-E22</x:f>
        <x:v>0</x:v>
      </x:c>
      <x:c r="G22" s="9" t="str">
        <x:f>IF(ABS(F22)&lt;0.000001,"PASS","FAIL")</x:f>
        <x:v>PASS</x:v>
      </x:c>
      <x:c r="H22" s="9" t="str"/>
    </x:row>
    <x:row r="23">
      <x:c r="B23" s="9" t="str">
        <x:v>AU17</x:v>
      </x:c>
      <x:c r="C23" s="9" t="str">
        <x:v>Damage P90 attempts</x:v>
      </x:c>
      <x:c r="D23" s="26" t="n">
        <x:f>'Demand Update'!K8</x:f>
        <x:v>28</x:v>
      </x:c>
      <x:c r="E23" s="26" t="n">
        <x:v>28</x:v>
      </x:c>
      <x:c r="F23" s="26" t="n">
        <x:f>D23-E23</x:f>
        <x:v>0</x:v>
      </x:c>
      <x:c r="G23" s="9" t="str">
        <x:f>IF(ABS(F23)&lt;0.000001,"PASS","FAIL")</x:f>
        <x:v>PASS</x:v>
      </x:c>
      <x:c r="H23" s="9" t="str"/>
    </x:row>
    <x:row r="24">
      <x:c r="B24" s="9" t="str">
        <x:v>AU18</x:v>
      </x:c>
      <x:c r="C24" s="9" t="str">
        <x:v>Closure completed cycles</x:v>
      </x:c>
      <x:c r="D24" s="26" t="n">
        <x:f>'Cycle Update'!C7</x:f>
        <x:v>18</x:v>
      </x:c>
      <x:c r="E24" s="26" t="n">
        <x:v>18</x:v>
      </x:c>
      <x:c r="F24" s="26" t="n">
        <x:f>D24-E24</x:f>
        <x:v>0</x:v>
      </x:c>
      <x:c r="G24" s="9" t="str">
        <x:f>IF(ABS(F24)&lt;0.000001,"PASS","FAIL")</x:f>
        <x:v>PASS</x:v>
      </x:c>
      <x:c r="H24" s="9" t="str"/>
    </x:row>
    <x:row r="25">
      <x:c r="B25" s="9" t="str">
        <x:v>AU19</x:v>
      </x:c>
      <x:c r="C25" s="9" t="str">
        <x:v>Damage completed cycles</x:v>
      </x:c>
      <x:c r="D25" s="26" t="n">
        <x:f>'Cycle Update'!C8</x:f>
        <x:v>6</x:v>
      </x:c>
      <x:c r="E25" s="26" t="n">
        <x:v>6</x:v>
      </x:c>
      <x:c r="F25" s="26" t="n">
        <x:f>D25-E25</x:f>
        <x:v>0</x:v>
      </x:c>
      <x:c r="G25" s="9" t="str">
        <x:f>IF(ABS(F25)&lt;0.000001,"PASS","FAIL")</x:f>
        <x:v>PASS</x:v>
      </x:c>
      <x:c r="H25" s="9" t="str"/>
    </x:row>
    <x:row r="26">
      <x:c r="B26" s="9" t="str">
        <x:v>AU20</x:v>
      </x:c>
      <x:c r="C26" s="9" t="str">
        <x:v>Closure cycle mean</x:v>
      </x:c>
      <x:c r="D26" s="26" t="n">
        <x:f>'Cycle Update'!D7</x:f>
        <x:v>8.161111111111111</x:v>
      </x:c>
      <x:c r="E26" s="26" t="n">
        <x:v>8.161111111</x:v>
      </x:c>
      <x:c r="F26" s="26" t="n">
        <x:f>D26-E26</x:f>
        <x:v>1.1111112030448567e-10</x:v>
      </x:c>
      <x:c r="G26" s="9" t="str">
        <x:f>IF(ABS(F26)&lt;0.000001,"PASS","FAIL")</x:f>
        <x:v>PASS</x:v>
      </x:c>
      <x:c r="H26" s="9" t="str"/>
    </x:row>
    <x:row r="27">
      <x:c r="B27" s="9" t="str">
        <x:v>AU21</x:v>
      </x:c>
      <x:c r="C27" s="9" t="str">
        <x:v>Damage cycle mean</x:v>
      </x:c>
      <x:c r="D27" s="26" t="n">
        <x:f>'Cycle Update'!D8</x:f>
        <x:v>14.499999999999998</x:v>
      </x:c>
      <x:c r="E27" s="26" t="n">
        <x:v>14.5</x:v>
      </x:c>
      <x:c r="F27" s="26" t="n">
        <x:f>D27-E27</x:f>
        <x:v>-1.7763568394002505e-15</x:v>
      </x:c>
      <x:c r="G27" s="9" t="str">
        <x:f>IF(ABS(F27)&lt;0.000001,"PASS","FAIL")</x:f>
        <x:v>PASS</x:v>
      </x:c>
      <x:c r="H27" s="9" t="str"/>
    </x:row>
    <x:row r="28">
      <x:c r="B28" s="9" t="str">
        <x:v>AU22</x:v>
      </x:c>
      <x:c r="C28" s="9" t="str">
        <x:v>Closure cycle U90</x:v>
      </x:c>
      <x:c r="D28" s="26" t="n">
        <x:f>'Cycle Update'!G7</x:f>
        <x:v>8.542019650858077</x:v>
      </x:c>
      <x:c r="E28" s="26" t="n">
        <x:v>8.542019651</x:v>
      </x:c>
      <x:c r="F28" s="26" t="n">
        <x:f>D28-E28</x:f>
        <x:v>-1.419238060407224e-10</x:v>
      </x:c>
      <x:c r="G28" s="9" t="str">
        <x:f>IF(ABS(F28)&lt;0.000001,"PASS","FAIL")</x:f>
        <x:v>PASS</x:v>
      </x:c>
      <x:c r="H28" s="9" t="str"/>
    </x:row>
    <x:row r="29">
      <x:c r="B29" s="9" t="str">
        <x:v>AU23</x:v>
      </x:c>
      <x:c r="C29" s="9" t="str">
        <x:v>Damage cycle U90</x:v>
      </x:c>
      <x:c r="D29" s="26" t="n">
        <x:f>'Cycle Update'!G8</x:f>
        <x:v>15.211232254492813</x:v>
      </x:c>
      <x:c r="E29" s="26" t="n">
        <x:v>15.211232254</x:v>
      </x:c>
      <x:c r="F29" s="26" t="n">
        <x:f>D29-E29</x:f>
        <x:v>4.928129015979721e-10</x:v>
      </x:c>
      <x:c r="G29" s="9" t="str">
        <x:f>IF(ABS(F29)&lt;0.000001,"PASS","FAIL")</x:f>
        <x:v>PASS</x:v>
      </x:c>
      <x:c r="H29" s="9" t="str"/>
    </x:row>
    <x:row r="30">
      <x:c r="B30" s="9" t="str">
        <x:v>AU24</x:v>
      </x:c>
      <x:c r="C30" s="9" t="str">
        <x:v>Closure packet U90</x:v>
      </x:c>
      <x:c r="D30" s="26" t="n">
        <x:f>'Cycle Update'!J7</x:f>
        <x:v>6.555596237795194</x:v>
      </x:c>
      <x:c r="E30" s="26" t="n">
        <x:v>6.555596238</x:v>
      </x:c>
      <x:c r="F30" s="26" t="n">
        <x:f>D30-E30</x:f>
        <x:v>-2.0480594997707158e-10</x:v>
      </x:c>
      <x:c r="G30" s="9" t="str">
        <x:f>IF(ABS(F30)&lt;0.000001,"PASS","FAIL")</x:f>
        <x:v>PASS</x:v>
      </x:c>
      <x:c r="H30" s="9" t="str"/>
    </x:row>
    <x:row r="31">
      <x:c r="B31" s="9" t="str">
        <x:v>AU25</x:v>
      </x:c>
      <x:c r="C31" s="9" t="str">
        <x:v>Damage packet U90</x:v>
      </x:c>
      <x:c r="D31" s="26" t="n">
        <x:f>'Cycle Update'!J8</x:f>
        <x:v>8.844071802941375</x:v>
      </x:c>
      <x:c r="E31" s="26" t="n">
        <x:v>8.844071803</x:v>
      </x:c>
      <x:c r="F31" s="26" t="n">
        <x:f>D31-E31</x:f>
        <x:v>-5.862510477072647e-11</x:v>
      </x:c>
      <x:c r="G31" s="9" t="str">
        <x:f>IF(ABS(F31)&lt;0.000001,"PASS","FAIL")</x:f>
        <x:v>PASS</x:v>
      </x:c>
      <x:c r="H31" s="9" t="str"/>
    </x:row>
    <x:row r="32">
      <x:c r="B32" s="9" t="str">
        <x:v>AU26</x:v>
      </x:c>
      <x:c r="C32" s="9" t="str">
        <x:v>Cycle detail gates</x:v>
      </x:c>
      <x:c r="D32" s="26" t="n">
        <x:f>COUNTIF('Cycle Update'!J14:J41,"PASS")</x:f>
        <x:v>28</x:v>
      </x:c>
      <x:c r="E32" s="26" t="n">
        <x:v>28</x:v>
      </x:c>
      <x:c r="F32" s="26" t="n">
        <x:f>D32-E32</x:f>
        <x:v>0</x:v>
      </x:c>
      <x:c r="G32" s="9" t="str">
        <x:f>IF(ABS(F32)&lt;0.000001,"PASS","FAIL")</x:f>
        <x:v>PASS</x:v>
      </x:c>
      <x:c r="H32" s="9" t="str"/>
    </x:row>
    <x:row r="33">
      <x:c r="B33" s="9" t="str">
        <x:v>AU27</x:v>
      </x:c>
      <x:c r="C33" s="9" t="str">
        <x:v>Closure eligible asset-days</x:v>
      </x:c>
      <x:c r="D33" s="26" t="n">
        <x:f>'Availability Update'!E7</x:f>
        <x:v>434</x:v>
      </x:c>
      <x:c r="E33" s="26" t="n">
        <x:v>434</x:v>
      </x:c>
      <x:c r="F33" s="26" t="n">
        <x:f>D33-E33</x:f>
        <x:v>0</x:v>
      </x:c>
      <x:c r="G33" s="9" t="str">
        <x:f>IF(ABS(F33)&lt;0.000001,"PASS","FAIL")</x:f>
        <x:v>PASS</x:v>
      </x:c>
      <x:c r="H33" s="9" t="str"/>
    </x:row>
    <x:row r="34">
      <x:c r="B34" s="9" t="str">
        <x:v>AU28</x:v>
      </x:c>
      <x:c r="C34" s="9" t="str">
        <x:v>Closure productive days</x:v>
      </x:c>
      <x:c r="D34" s="26" t="n">
        <x:f>'Availability Update'!F7</x:f>
        <x:v>298</x:v>
      </x:c>
      <x:c r="E34" s="26" t="n">
        <x:v>298</x:v>
      </x:c>
      <x:c r="F34" s="26" t="n">
        <x:f>D34-E34</x:f>
        <x:v>0</x:v>
      </x:c>
      <x:c r="G34" s="9" t="str">
        <x:f>IF(ABS(F34)&lt;0.000001,"PASS","FAIL")</x:f>
        <x:v>PASS</x:v>
      </x:c>
      <x:c r="H34" s="9" t="str"/>
    </x:row>
    <x:row r="35">
      <x:c r="B35" s="9" t="str">
        <x:v>AU29</x:v>
      </x:c>
      <x:c r="C35" s="9" t="str">
        <x:v>Closure planning availability</x:v>
      </x:c>
      <x:c r="D35" s="26" t="n">
        <x:f>'Availability Update'!K7</x:f>
        <x:v>0.6590922564215034</x:v>
      </x:c>
      <x:c r="E35" s="26" t="n">
        <x:v>0.659092256</x:v>
      </x:c>
      <x:c r="F35" s="26" t="n">
        <x:f>D35-E35</x:f>
        <x:v>4.2150338774860074e-10</x:v>
      </x:c>
      <x:c r="G35" s="9" t="str">
        <x:f>IF(ABS(F35)&lt;0.000001,"PASS","FAIL")</x:f>
        <x:v>PASS</x:v>
      </x:c>
      <x:c r="H35" s="9" t="str"/>
    </x:row>
    <x:row r="36">
      <x:c r="B36" s="9" t="str">
        <x:v>AU30</x:v>
      </x:c>
      <x:c r="C36" s="9" t="str">
        <x:v>Damage eligible asset-days</x:v>
      </x:c>
      <x:c r="D36" s="26" t="n">
        <x:f>'Availability Update'!E8</x:f>
        <x:v>350</x:v>
      </x:c>
      <x:c r="E36" s="26" t="n">
        <x:v>350</x:v>
      </x:c>
      <x:c r="F36" s="26" t="n">
        <x:f>D36-E36</x:f>
        <x:v>0</x:v>
      </x:c>
      <x:c r="G36" s="9" t="str">
        <x:f>IF(ABS(F36)&lt;0.000001,"PASS","FAIL")</x:f>
        <x:v>PASS</x:v>
      </x:c>
      <x:c r="H36" s="9" t="str"/>
    </x:row>
    <x:row r="37">
      <x:c r="B37" s="9" t="str">
        <x:v>AU31</x:v>
      </x:c>
      <x:c r="C37" s="9" t="str">
        <x:v>Damage productive days</x:v>
      </x:c>
      <x:c r="D37" s="26" t="n">
        <x:f>'Availability Update'!F8</x:f>
        <x:v>222.5</x:v>
      </x:c>
      <x:c r="E37" s="26" t="n">
        <x:v>222.5</x:v>
      </x:c>
      <x:c r="F37" s="26" t="n">
        <x:f>D37-E37</x:f>
        <x:v>0</x:v>
      </x:c>
      <x:c r="G37" s="9" t="str">
        <x:f>IF(ABS(F37)&lt;0.000001,"PASS","FAIL")</x:f>
        <x:v>PASS</x:v>
      </x:c>
      <x:c r="H37" s="9" t="str"/>
    </x:row>
    <x:row r="38">
      <x:c r="B38" s="9" t="str">
        <x:v>AU32</x:v>
      </x:c>
      <x:c r="C38" s="9" t="str">
        <x:v>Damage planning availability</x:v>
      </x:c>
      <x:c r="D38" s="26" t="n">
        <x:f>'Availability Update'!K8</x:f>
        <x:v>0.6074218964048118</x:v>
      </x:c>
      <x:c r="E38" s="26" t="n">
        <x:v>0.607421896</x:v>
      </x:c>
      <x:c r="F38" s="26" t="n">
        <x:f>D38-E38</x:f>
        <x:v>4.048118507071763e-10</x:v>
      </x:c>
      <x:c r="G38" s="9" t="str">
        <x:f>IF(ABS(F38)&lt;0.000001,"PASS","FAIL")</x:f>
        <x:v>PASS</x:v>
      </x:c>
      <x:c r="H38" s="9" t="str"/>
    </x:row>
    <x:row r="39">
      <x:c r="B39" s="9" t="str">
        <x:v>AU33</x:v>
      </x:c>
      <x:c r="C39" s="9" t="str">
        <x:v>Availability services</x:v>
      </x:c>
      <x:c r="D39" s="26" t="n">
        <x:f>COUNTA('Availability Update'!B7:B13)</x:f>
        <x:v>7</x:v>
      </x:c>
      <x:c r="E39" s="26" t="n">
        <x:v>7</x:v>
      </x:c>
      <x:c r="F39" s="26" t="n">
        <x:f>D39-E39</x:f>
        <x:v>0</x:v>
      </x:c>
      <x:c r="G39" s="9" t="str">
        <x:f>IF(ABS(F39)&lt;0.000001,"PASS","FAIL")</x:f>
        <x:v>PASS</x:v>
      </x:c>
      <x:c r="H39" s="9" t="str"/>
    </x:row>
    <x:row r="40">
      <x:c r="B40" s="9" t="str">
        <x:v>AU34</x:v>
      </x:c>
      <x:c r="C40" s="9" t="str">
        <x:v>Closure demand bay-days</x:v>
      </x:c>
      <x:c r="D40" s="26" t="n">
        <x:f>'Residual Capacity'!C7</x:f>
        <x:v>546.6892576549169</x:v>
      </x:c>
      <x:c r="E40" s="26" t="n">
        <x:v>546.6892577</x:v>
      </x:c>
      <x:c r="F40" s="26" t="n">
        <x:f>D40-E40</x:f>
        <x:v>-4.5083083932695445e-8</x:v>
      </x:c>
      <x:c r="G40" s="9" t="str">
        <x:f>IF(ABS(F40)&lt;0.000001,"PASS","FAIL")</x:f>
        <x:v>PASS</x:v>
      </x:c>
      <x:c r="H40" s="9" t="str"/>
    </x:row>
    <x:row r="41">
      <x:c r="B41" s="9" t="str">
        <x:v>AU35</x:v>
      </x:c>
      <x:c r="C41" s="9" t="str">
        <x:v>Closure productive capacity</x:v>
      </x:c>
      <x:c r="D41" s="26" t="n">
        <x:f>'Residual Capacity'!I7</x:f>
        <x:v>882.0851365107786</x:v>
      </x:c>
      <x:c r="E41" s="26" t="n">
        <x:v>882.0851365</x:v>
      </x:c>
      <x:c r="F41" s="26" t="n">
        <x:f>D41-E41</x:f>
        <x:v>1.0778649084386416e-8</x:v>
      </x:c>
      <x:c r="G41" s="9" t="str">
        <x:f>IF(ABS(F41)&lt;0.000001,"PASS","FAIL")</x:f>
        <x:v>PASS</x:v>
      </x:c>
      <x:c r="H41" s="9" t="str"/>
    </x:row>
    <x:row r="42">
      <x:c r="B42" s="9" t="str">
        <x:v>AU36</x:v>
      </x:c>
      <x:c r="C42" s="9" t="str">
        <x:v>Closure utilization</x:v>
      </x:c>
      <x:c r="D42" s="26" t="n">
        <x:f>'Residual Capacity'!J7</x:f>
        <x:v>0.619769266056822</x:v>
      </x:c>
      <x:c r="E42" s="26" t="n">
        <x:v>0.619769266</x:v>
      </x:c>
      <x:c r="F42" s="26" t="n">
        <x:f>D42-E42</x:f>
        <x:v>5.682199155643275e-11</x:v>
      </x:c>
      <x:c r="G42" s="9" t="str">
        <x:f>IF(ABS(F42)&lt;0.000001,"PASS","FAIL")</x:f>
        <x:v>PASS</x:v>
      </x:c>
      <x:c r="H42" s="9" t="str"/>
    </x:row>
    <x:row r="43">
      <x:c r="B43" s="9" t="str">
        <x:v>AU37</x:v>
      </x:c>
      <x:c r="C43" s="9" t="str">
        <x:v>Damage demand cell-days</x:v>
      </x:c>
      <x:c r="D43" s="26" t="n">
        <x:f>'Residual Capacity'!C8</x:f>
        <x:v>425.9145031257988</x:v>
      </x:c>
      <x:c r="E43" s="26" t="n">
        <x:v>425.9145031</x:v>
      </x:c>
      <x:c r="F43" s="26" t="n">
        <x:f>D43-E43</x:f>
        <x:v>2.5798783553909743e-8</x:v>
      </x:c>
      <x:c r="G43" s="9" t="str">
        <x:f>IF(ABS(F43)&lt;0.000001,"PASS","FAIL")</x:f>
        <x:v>PASS</x:v>
      </x:c>
      <x:c r="H43" s="9" t="str"/>
    </x:row>
    <x:row r="44">
      <x:c r="B44" s="9" t="str">
        <x:v>AU38</x:v>
      </x:c>
      <x:c r="C44" s="9" t="str">
        <x:v>Damage productive capacity</x:v>
      </x:c>
      <x:c r="D44" s="26" t="n">
        <x:f>'Residual Capacity'!I8</x:f>
        <x:v>665.126976563269</x:v>
      </x:c>
      <x:c r="E44" s="26" t="n">
        <x:v>665.1269766</x:v>
      </x:c>
      <x:c r="F44" s="26" t="n">
        <x:f>D44-E44</x:f>
        <x:v>-3.673108039947692e-8</x:v>
      </x:c>
      <x:c r="G44" s="9" t="str">
        <x:f>IF(ABS(F44)&lt;0.000001,"PASS","FAIL")</x:f>
        <x:v>PASS</x:v>
      </x:c>
      <x:c r="H44" s="9" t="str"/>
    </x:row>
    <x:row r="45">
      <x:c r="B45" s="9" t="str">
        <x:v>AU39</x:v>
      </x:c>
      <x:c r="C45" s="9" t="str">
        <x:v>Damage utilization</x:v>
      </x:c>
      <x:c r="D45" s="26" t="n">
        <x:f>'Residual Capacity'!J8</x:f>
        <x:v>0.6403506670658763</x:v>
      </x:c>
      <x:c r="E45" s="26" t="n">
        <x:v>0.640350667</x:v>
      </x:c>
      <x:c r="F45" s="26" t="n">
        <x:f>D45-E45</x:f>
        <x:v>6.587630441146075e-11</x:v>
      </x:c>
      <x:c r="G45" s="9" t="str">
        <x:f>IF(ABS(F45)&lt;0.000001,"PASS","FAIL")</x:f>
        <x:v>PASS</x:v>
      </x:c>
      <x:c r="H45" s="9" t="str"/>
    </x:row>
    <x:row r="46">
      <x:c r="B46" s="9" t="str">
        <x:v>AU40</x:v>
      </x:c>
      <x:c r="C46" s="9" t="str">
        <x:v>Capacity gates passing</x:v>
      </x:c>
      <x:c r="D46" s="26" t="n">
        <x:f>COUNTIF('Residual Capacity'!K7:K13,"PASS")</x:f>
        <x:v>7</x:v>
      </x:c>
      <x:c r="E46" s="26" t="n">
        <x:v>7</x:v>
      </x:c>
      <x:c r="F46" s="26" t="n">
        <x:f>D46-E46</x:f>
        <x:v>0</x:v>
      </x:c>
      <x:c r="G46" s="9" t="str">
        <x:f>IF(ABS(F46)&lt;0.000001,"PASS","FAIL")</x:f>
        <x:v>PASS</x:v>
      </x:c>
      <x:c r="H46" s="9" t="str"/>
    </x:row>
    <x:row r="47">
      <x:c r="B47" s="9" t="str">
        <x:v>AU41</x:v>
      </x:c>
      <x:c r="C47" s="9" t="str">
        <x:v>Closure reservations</x:v>
      </x:c>
      <x:c r="D47" s="26" t="n">
        <x:f>COUNTIF('Residual Schedule'!C7:C98,"Closure")</x:f>
        <x:v>64</x:v>
      </x:c>
      <x:c r="E47" s="26" t="n">
        <x:v>64</x:v>
      </x:c>
      <x:c r="F47" s="26" t="n">
        <x:f>D47-E47</x:f>
        <x:v>0</x:v>
      </x:c>
      <x:c r="G47" s="9" t="str">
        <x:f>IF(ABS(F47)&lt;0.000001,"PASS","FAIL")</x:f>
        <x:v>PASS</x:v>
      </x:c>
      <x:c r="H47" s="9" t="str"/>
    </x:row>
    <x:row r="48">
      <x:c r="B48" s="9" t="str">
        <x:v>AU42</x:v>
      </x:c>
      <x:c r="C48" s="9" t="str">
        <x:v>Damage reservations</x:v>
      </x:c>
      <x:c r="D48" s="26" t="n">
        <x:f>COUNTIF('Residual Schedule'!C7:C98,"Damage")</x:f>
        <x:v>28</x:v>
      </x:c>
      <x:c r="E48" s="26" t="n">
        <x:v>28</x:v>
      </x:c>
      <x:c r="F48" s="26" t="n">
        <x:f>D48-E48</x:f>
        <x:v>0</x:v>
      </x:c>
      <x:c r="G48" s="9" t="str">
        <x:f>IF(ABS(F48)&lt;0.000001,"PASS","FAIL")</x:f>
        <x:v>PASS</x:v>
      </x:c>
      <x:c r="H48" s="9" t="str"/>
    </x:row>
    <x:row r="49">
      <x:c r="B49" s="9" t="str">
        <x:v>AU43</x:v>
      </x:c>
      <x:c r="C49" s="9" t="str">
        <x:v>Primary closure reservations</x:v>
      </x:c>
      <x:c r="D49" s="26" t="n">
        <x:f>COUNTIFS('Residual Schedule'!C7:C98,"Closure",'Residual Schedule'!D7:D98,"PRIMARY")</x:f>
        <x:v>54</x:v>
      </x:c>
      <x:c r="E49" s="26" t="n">
        <x:v>54</x:v>
      </x:c>
      <x:c r="F49" s="26" t="n">
        <x:f>D49-E49</x:f>
        <x:v>0</x:v>
      </x:c>
      <x:c r="G49" s="9" t="str">
        <x:f>IF(ABS(F49)&lt;0.000001,"PASS","FAIL")</x:f>
        <x:v>PASS</x:v>
      </x:c>
      <x:c r="H49" s="9" t="str"/>
    </x:row>
    <x:row r="50">
      <x:c r="B50" s="9" t="str">
        <x:v>AU44</x:v>
      </x:c>
      <x:c r="C50" s="9" t="str">
        <x:v>Primary damage reservations</x:v>
      </x:c>
      <x:c r="D50" s="26" t="n">
        <x:f>COUNTIFS('Residual Schedule'!C7:C98,"Damage",'Residual Schedule'!D7:D98,"PRIMARY")</x:f>
        <x:v>20</x:v>
      </x:c>
      <x:c r="E50" s="26" t="n">
        <x:v>20</x:v>
      </x:c>
      <x:c r="F50" s="26" t="n">
        <x:f>D50-E50</x:f>
        <x:v>0</x:v>
      </x:c>
      <x:c r="G50" s="9" t="str">
        <x:f>IF(ABS(F50)&lt;0.000001,"PASS","FAIL")</x:f>
        <x:v>PASS</x:v>
      </x:c>
      <x:c r="H50" s="9" t="str"/>
    </x:row>
    <x:row r="51">
      <x:c r="B51" s="9" t="str">
        <x:v>AU45</x:v>
      </x:c>
      <x:c r="C51" s="9" t="str">
        <x:v>Contingent closure reservations</x:v>
      </x:c>
      <x:c r="D51" s="26" t="n">
        <x:f>COUNTIFS('Residual Schedule'!C7:C98,"Closure",'Residual Schedule'!D7:D98,"CONTINGENT")</x:f>
        <x:v>10</x:v>
      </x:c>
      <x:c r="E51" s="26" t="n">
        <x:v>10</x:v>
      </x:c>
      <x:c r="F51" s="26" t="n">
        <x:f>D51-E51</x:f>
        <x:v>0</x:v>
      </x:c>
      <x:c r="G51" s="9" t="str">
        <x:f>IF(ABS(F51)&lt;0.000001,"PASS","FAIL")</x:f>
        <x:v>PASS</x:v>
      </x:c>
      <x:c r="H51" s="9" t="str"/>
    </x:row>
    <x:row r="52">
      <x:c r="B52" s="9" t="str">
        <x:v>AU46</x:v>
      </x:c>
      <x:c r="C52" s="9" t="str">
        <x:v>Contingent damage reservations</x:v>
      </x:c>
      <x:c r="D52" s="26" t="n">
        <x:f>COUNTIFS('Residual Schedule'!C7:C98,"Damage",'Residual Schedule'!D7:D98,"CONTINGENT")</x:f>
        <x:v>8</x:v>
      </x:c>
      <x:c r="E52" s="26" t="n">
        <x:v>8</x:v>
      </x:c>
      <x:c r="F52" s="26" t="n">
        <x:f>D52-E52</x:f>
        <x:v>0</x:v>
      </x:c>
      <x:c r="G52" s="9" t="str">
        <x:f>IF(ABS(F52)&lt;0.000001,"PASS","FAIL")</x:f>
        <x:v>PASS</x:v>
      </x:c>
      <x:c r="H52" s="9" t="str"/>
    </x:row>
    <x:row r="53">
      <x:c r="B53" s="9" t="str">
        <x:v>AU47</x:v>
      </x:c>
      <x:c r="C53" s="9" t="str">
        <x:v>Non-overlapping stations</x:v>
      </x:c>
      <x:c r="D53" s="26" t="n">
        <x:f>COUNTIF('Residual Schedule'!N7:N98,1)</x:f>
        <x:v>92</x:v>
      </x:c>
      <x:c r="E53" s="26" t="n">
        <x:v>92</x:v>
      </x:c>
      <x:c r="F53" s="26" t="n">
        <x:f>D53-E53</x:f>
        <x:v>0</x:v>
      </x:c>
      <x:c r="G53" s="9" t="str">
        <x:f>IF(ABS(F53)&lt;0.000001,"PASS","FAIL")</x:f>
        <x:v>PASS</x:v>
      </x:c>
      <x:c r="H53" s="9" t="str"/>
    </x:row>
    <x:row r="54">
      <x:c r="B54" s="9" t="str">
        <x:v>AU48</x:v>
      </x:c>
      <x:c r="C54" s="9" t="str">
        <x:v>Daily gates passing</x:v>
      </x:c>
      <x:c r="D54" s="26" t="n">
        <x:f>COUNTIF('Daily Control'!L7:L341,"PASS")</x:f>
        <x:v>335</x:v>
      </x:c>
      <x:c r="E54" s="26" t="n">
        <x:v>335</x:v>
      </x:c>
      <x:c r="F54" s="26" t="n">
        <x:f>D54-E54</x:f>
        <x:v>0</x:v>
      </x:c>
      <x:c r="G54" s="9" t="str">
        <x:f>IF(ABS(F54)&lt;0.000001,"PASS","FAIL")</x:f>
        <x:v>PASS</x:v>
      </x:c>
      <x:c r="H54" s="9" t="str"/>
    </x:row>
    <x:row r="55">
      <x:c r="B55" s="9" t="str">
        <x:v>AU49</x:v>
      </x:c>
      <x:c r="C55" s="9" t="str">
        <x:v>Maximum closure WIP</x:v>
      </x:c>
      <x:c r="D55" s="26" t="n">
        <x:f>MAX('Daily Control'!C7:C341)</x:f>
        <x:v>4</x:v>
      </x:c>
      <x:c r="E55" s="26" t="n">
        <x:v>4</x:v>
      </x:c>
      <x:c r="F55" s="26" t="n">
        <x:f>D55-E55</x:f>
        <x:v>0</x:v>
      </x:c>
      <x:c r="G55" s="9" t="str">
        <x:f>IF(ABS(F55)&lt;0.000001,"PASS","FAIL")</x:f>
        <x:v>PASS</x:v>
      </x:c>
      <x:c r="H55" s="9" t="str"/>
    </x:row>
    <x:row r="56">
      <x:c r="B56" s="9" t="str">
        <x:v>AU50</x:v>
      </x:c>
      <x:c r="C56" s="9" t="str">
        <x:v>Maximum damage WIP</x:v>
      </x:c>
      <x:c r="D56" s="26" t="n">
        <x:f>MAX('Daily Control'!D7:D341)</x:f>
        <x:v>3</x:v>
      </x:c>
      <x:c r="E56" s="26" t="n">
        <x:v>3</x:v>
      </x:c>
      <x:c r="F56" s="26" t="n">
        <x:f>D56-E56</x:f>
        <x:v>0</x:v>
      </x:c>
      <x:c r="G56" s="9" t="str">
        <x:f>IF(ABS(F56)&lt;0.000001,"PASS","FAIL")</x:f>
        <x:v>PASS</x:v>
      </x:c>
      <x:c r="H56" s="9" t="str"/>
    </x:row>
    <x:row r="57">
      <x:c r="B57" s="9" t="str">
        <x:v>AU51</x:v>
      </x:c>
      <x:c r="C57" s="9" t="str">
        <x:v>Last closure packet</x:v>
      </x:c>
      <x:c r="D57" s="26" t="n">
        <x:f>MAX('Residual Schedule'!J7:J70)</x:f>
        <x:v>300.50180364007053</x:v>
      </x:c>
      <x:c r="E57" s="26" t="n">
        <x:v>300.501804</x:v>
      </x:c>
      <x:c r="F57" s="26" t="n">
        <x:f>D57-E57</x:f>
        <x:v>-3.5992945868201787e-7</x:v>
      </x:c>
      <x:c r="G57" s="9" t="str">
        <x:f>IF(ABS(F57)&lt;0.000001,"PASS","FAIL")</x:f>
        <x:v>PASS</x:v>
      </x:c>
      <x:c r="H57" s="9" t="str"/>
    </x:row>
    <x:row r="58">
      <x:c r="B58" s="9" t="str">
        <x:v>AU52</x:v>
      </x:c>
      <x:c r="C58" s="9" t="str">
        <x:v>Last damage packet</x:v>
      </x:c>
      <x:c r="D58" s="26" t="n">
        <x:f>MAX('Residual Schedule'!J71:J98)</x:f>
        <x:v>340.4358691979417</x:v>
      </x:c>
      <x:c r="E58" s="26" t="n">
        <x:v>340.435869</x:v>
      </x:c>
      <x:c r="F58" s="26" t="n">
        <x:f>D58-E58</x:f>
        <x:v>1.979416879294149e-7</x:v>
      </x:c>
      <x:c r="G58" s="9" t="str">
        <x:f>IF(ABS(F58)&lt;0.000001,"PASS","FAIL")</x:f>
        <x:v>PASS</x:v>
      </x:c>
      <x:c r="H58" s="9" t="str"/>
    </x:row>
    <x:row r="59">
      <x:c r="B59" s="9" t="str">
        <x:v>AU53</x:v>
      </x:c>
      <x:c r="C59" s="9" t="str">
        <x:v>Closure R1 primaries</x:v>
      </x:c>
      <x:c r="D59" s="26" t="n">
        <x:f>COUNTIFS('Residual Schedule'!C7:C98,"Closure",'Residual Schedule'!D7:D98,"PRIMARY",'Residual Schedule'!E7:E98,"R1")</x:f>
        <x:v>18</x:v>
      </x:c>
      <x:c r="E59" s="26" t="n">
        <x:v>18</x:v>
      </x:c>
      <x:c r="F59" s="26" t="n">
        <x:f>D59-E59</x:f>
        <x:v>0</x:v>
      </x:c>
      <x:c r="G59" s="9" t="str">
        <x:f>IF(ABS(F59)&lt;0.000001,"PASS","FAIL")</x:f>
        <x:v>PASS</x:v>
      </x:c>
      <x:c r="H59" s="9" t="str"/>
    </x:row>
    <x:row r="60">
      <x:c r="B60" s="9" t="str">
        <x:v>AU54</x:v>
      </x:c>
      <x:c r="C60" s="9" t="str">
        <x:v>Closure R2 primaries</x:v>
      </x:c>
      <x:c r="D60" s="26" t="n">
        <x:f>COUNTIFS('Residual Schedule'!C7:C98,"Closure",'Residual Schedule'!D7:D98,"PRIMARY",'Residual Schedule'!E7:E98,"R2")</x:f>
        <x:v>18</x:v>
      </x:c>
      <x:c r="E60" s="26" t="n">
        <x:v>18</x:v>
      </x:c>
      <x:c r="F60" s="26" t="n">
        <x:f>D60-E60</x:f>
        <x:v>0</x:v>
      </x:c>
      <x:c r="G60" s="9" t="str">
        <x:f>IF(ABS(F60)&lt;0.000001,"PASS","FAIL")</x:f>
        <x:v>PASS</x:v>
      </x:c>
      <x:c r="H60" s="9" t="str"/>
    </x:row>
    <x:row r="61">
      <x:c r="B61" s="9" t="str">
        <x:v>AU55</x:v>
      </x:c>
      <x:c r="C61" s="9" t="str">
        <x:v>Closure R3 primaries</x:v>
      </x:c>
      <x:c r="D61" s="26" t="n">
        <x:f>COUNTIFS('Residual Schedule'!C7:C98,"Closure",'Residual Schedule'!D7:D98,"PRIMARY",'Residual Schedule'!E7:E98,"R3")</x:f>
        <x:v>18</x:v>
      </x:c>
      <x:c r="E61" s="26" t="n">
        <x:v>18</x:v>
      </x:c>
      <x:c r="F61" s="26" t="n">
        <x:f>D61-E61</x:f>
        <x:v>0</x:v>
      </x:c>
      <x:c r="G61" s="9" t="str">
        <x:f>IF(ABS(F61)&lt;0.000001,"PASS","FAIL")</x:f>
        <x:v>PASS</x:v>
      </x:c>
      <x:c r="H61" s="9" t="str"/>
    </x:row>
    <x:row r="62">
      <x:c r="B62" s="9" t="str">
        <x:v>AU56</x:v>
      </x:c>
      <x:c r="C62" s="9" t="str">
        <x:v>Damage R1 primaries</x:v>
      </x:c>
      <x:c r="D62" s="26" t="n">
        <x:f>COUNTIFS('Residual Schedule'!C7:C98,"Damage",'Residual Schedule'!D7:D98,"PRIMARY",'Residual Schedule'!E7:E98,"R1")</x:f>
        <x:v>6</x:v>
      </x:c>
      <x:c r="E62" s="26" t="n">
        <x:v>6</x:v>
      </x:c>
      <x:c r="F62" s="26" t="n">
        <x:f>D62-E62</x:f>
        <x:v>0</x:v>
      </x:c>
      <x:c r="G62" s="9" t="str">
        <x:f>IF(ABS(F62)&lt;0.000001,"PASS","FAIL")</x:f>
        <x:v>PASS</x:v>
      </x:c>
      <x:c r="H62" s="9" t="str"/>
    </x:row>
    <x:row r="63">
      <x:c r="B63" s="9" t="str">
        <x:v>AU57</x:v>
      </x:c>
      <x:c r="C63" s="9" t="str">
        <x:v>Damage R2 primaries</x:v>
      </x:c>
      <x:c r="D63" s="26" t="n">
        <x:f>COUNTIFS('Residual Schedule'!C7:C98,"Damage",'Residual Schedule'!D7:D98,"PRIMARY",'Residual Schedule'!E7:E98,"R2")</x:f>
        <x:v>6</x:v>
      </x:c>
      <x:c r="E63" s="26" t="n">
        <x:v>6</x:v>
      </x:c>
      <x:c r="F63" s="26" t="n">
        <x:f>D63-E63</x:f>
        <x:v>0</x:v>
      </x:c>
      <x:c r="G63" s="9" t="str">
        <x:f>IF(ABS(F63)&lt;0.000001,"PASS","FAIL")</x:f>
        <x:v>PASS</x:v>
      </x:c>
      <x:c r="H63" s="9" t="str"/>
    </x:row>
    <x:row r="64">
      <x:c r="B64" s="9" t="str">
        <x:v>AU58</x:v>
      </x:c>
      <x:c r="C64" s="9" t="str">
        <x:v>Damage R3 primaries</x:v>
      </x:c>
      <x:c r="D64" s="26" t="n">
        <x:f>COUNTIFS('Residual Schedule'!C7:C98,"Damage",'Residual Schedule'!D7:D98,"PRIMARY",'Residual Schedule'!E7:E98,"R3")</x:f>
        <x:v>8</x:v>
      </x:c>
      <x:c r="E64" s="26" t="n">
        <x:v>8</x:v>
      </x:c>
      <x:c r="F64" s="26" t="n">
        <x:f>D64-E64</x:f>
        <x:v>0</x:v>
      </x:c>
      <x:c r="G64" s="9" t="str">
        <x:f>IF(ABS(F64)&lt;0.000001,"PASS","FAIL")</x:f>
        <x:v>PASS</x:v>
      </x:c>
      <x:c r="H64" s="9" t="str"/>
    </x:row>
    <x:row r="65">
      <x:c r="B65" s="9" t="str">
        <x:v>AU59</x:v>
      </x:c>
      <x:c r="C65" s="9" t="str">
        <x:v>Remaining operating support</x:v>
      </x:c>
      <x:c r="D65" s="26" t="n">
        <x:f>'Financial Cases'!C7</x:f>
        <x:v>0.8955000000000001</x:v>
      </x:c>
      <x:c r="E65" s="26" t="n">
        <x:v>0.8955</x:v>
      </x:c>
      <x:c r="F65" s="26" t="n">
        <x:f>D65-E65</x:f>
        <x:v>1.1102230246251565e-16</x:v>
      </x:c>
      <x:c r="G65" s="9" t="str">
        <x:f>IF(ABS(F65)&lt;0.000001,"PASS","FAIL")</x:f>
        <x:v>PASS</x:v>
      </x:c>
      <x:c r="H65" s="9" t="str"/>
    </x:row>
    <x:row r="66">
      <x:c r="B66" s="9" t="str">
        <x:v>AU60</x:v>
      </x:c>
      <x:c r="C66" s="9" t="str">
        <x:v>Augmentation capital</x:v>
      </x:c>
      <x:c r="D66" s="26" t="n">
        <x:f>'Financial Cases'!D8</x:f>
        <x:v>0.48</x:v>
      </x:c>
      <x:c r="E66" s="26" t="n">
        <x:v>0.48</x:v>
      </x:c>
      <x:c r="F66" s="26" t="n">
        <x:f>D66-E66</x:f>
        <x:v>0</x:v>
      </x:c>
      <x:c r="G66" s="9" t="str">
        <x:f>IF(ABS(F66)&lt;0.000001,"PASS","FAIL")</x:f>
        <x:v>PASS</x:v>
      </x:c>
      <x:c r="H66" s="9" t="str"/>
    </x:row>
    <x:row r="67">
      <x:c r="B67" s="9" t="str">
        <x:v>AU61</x:v>
      </x:c>
      <x:c r="C67" s="9" t="str">
        <x:v>Augmentation residual outlay</x:v>
      </x:c>
      <x:c r="D67" s="26" t="n">
        <x:f>'Financial Cases'!G8</x:f>
        <x:v>1.4700000000000002</x:v>
      </x:c>
      <x:c r="E67" s="26" t="n">
        <x:v>1.47</x:v>
      </x:c>
      <x:c r="F67" s="26" t="n">
        <x:f>D67-E67</x:f>
        <x:v>2.220446049250313e-16</x:v>
      </x:c>
      <x:c r="G67" s="9" t="str">
        <x:f>IF(ABS(F67)&lt;0.000001,"PASS","FAIL")</x:f>
        <x:v>PASS</x:v>
      </x:c>
      <x:c r="H67" s="9" t="str"/>
    </x:row>
    <x:row r="68">
      <x:c r="B68" s="9" t="str">
        <x:v>AU62</x:v>
      </x:c>
      <x:c r="C68" s="9" t="str">
        <x:v>Campus local replacement</x:v>
      </x:c>
      <x:c r="D68" s="26" t="n">
        <x:f>'Financial Cases'!D9</x:f>
        <x:v>1.3399999999999999</x:v>
      </x:c>
      <x:c r="E68" s="26" t="n">
        <x:v>1.34</x:v>
      </x:c>
      <x:c r="F68" s="26" t="n">
        <x:f>D68-E68</x:f>
        <x:v>-2.220446049250313e-16</x:v>
      </x:c>
      <x:c r="G68" s="9" t="str">
        <x:f>IF(ABS(F68)&lt;0.000001,"PASS","FAIL")</x:f>
        <x:v>PASS</x:v>
      </x:c>
      <x:c r="H68" s="9" t="str"/>
    </x:row>
    <x:row r="69">
      <x:c r="B69" s="9" t="str">
        <x:v>AU63</x:v>
      </x:c>
      <x:c r="C69" s="9" t="str">
        <x:v>Visible national reserve</x:v>
      </x:c>
      <x:c r="D69" s="26" t="n">
        <x:f>'Financial Cases'!H9</x:f>
        <x:v>0.45999999999999996</x:v>
      </x:c>
      <x:c r="E69" s="26" t="n">
        <x:v>0.46</x:v>
      </x:c>
      <x:c r="F69" s="26" t="n">
        <x:f>D69-E69</x:f>
        <x:v>-5.551115123125783e-17</x:v>
      </x:c>
      <x:c r="G69" s="9" t="str">
        <x:f>IF(ABS(F69)&lt;0.000001,"PASS","FAIL")</x:f>
        <x:v>PASS</x:v>
      </x:c>
      <x:c r="H69" s="9" t="str"/>
    </x:row>
    <x:row r="70">
      <x:c r="B70" s="9" t="str">
        <x:v>AU64</x:v>
      </x:c>
      <x:c r="C70" s="9" t="str">
        <x:v>Campus replacement gap</x:v>
      </x:c>
      <x:c r="D70" s="26" t="n">
        <x:f>'Financial Cases'!I9</x:f>
        <x:v>0.8799999999999999</x:v>
      </x:c>
      <x:c r="E70" s="26" t="n">
        <x:v>0.88</x:v>
      </x:c>
      <x:c r="F70" s="26" t="n">
        <x:f>D70-E70</x:f>
        <x:v>-1.1102230246251565e-16</x:v>
      </x:c>
      <x:c r="G70" s="9" t="str">
        <x:f>IF(ABS(F70)&lt;0.000001,"PASS","FAIL")</x:f>
        <x:v>PASS</x:v>
      </x:c>
      <x:c r="H70" s="9" t="str"/>
    </x:row>
    <x:row r="71">
      <x:c r="B71" s="9" t="str">
        <x:v>AU65</x:v>
      </x:c>
      <x:c r="C71" s="9" t="str">
        <x:v>Planning gates passing</x:v>
      </x:c>
      <x:c r="D71" s="26" t="n">
        <x:f>COUNTIF('Release Gates'!G7:G26,"PLANNING PASS")</x:f>
        <x:v>20</x:v>
      </x:c>
      <x:c r="E71" s="26" t="n">
        <x:v>20</x:v>
      </x:c>
      <x:c r="F71" s="26" t="n">
        <x:f>D71-E71</x:f>
        <x:v>0</x:v>
      </x:c>
      <x:c r="G71" s="9" t="str">
        <x:f>IF(ABS(F71)&lt;0.000001,"PASS","FAIL")</x:f>
        <x:v>PASS</x:v>
      </x:c>
      <x:c r="H71" s="9" t="str"/>
    </x:row>
    <x:row r="72">
      <x:c r="B72" s="9" t="str">
        <x:v>AU66</x:v>
      </x:c>
      <x:c r="C72" s="9" t="str">
        <x:v>Physical gates passing</x:v>
      </x:c>
      <x:c r="D72" s="26" t="n">
        <x:f>COUNTIF('Release Gates'!G27:G37,"PASS")</x:f>
        <x:v>1</x:v>
      </x:c>
      <x:c r="E72" s="26" t="n">
        <x:v>1</x:v>
      </x:c>
      <x:c r="F72" s="26" t="n">
        <x:f>D72-E72</x:f>
        <x:v>0</x:v>
      </x:c>
      <x:c r="G72" s="9" t="str">
        <x:f>IF(ABS(F72)&lt;0.000001,"PASS","FAIL")</x:f>
        <x:v>PASS</x:v>
      </x:c>
      <x:c r="H72" s="9" t="str"/>
    </x:row>
    <x:row r="73">
      <x:c r="B73" s="9" t="str">
        <x:v>AU67</x:v>
      </x:c>
      <x:c r="C73" s="9" t="str">
        <x:v>Method authorized</x:v>
      </x:c>
      <x:c r="D73" s="26" t="n">
        <x:f>IF('Release Gates'!D41="AUTHORIZED",1,0)</x:f>
        <x:v>1</x:v>
      </x:c>
      <x:c r="E73" s="26" t="n">
        <x:v>1</x:v>
      </x:c>
      <x:c r="F73" s="26" t="n">
        <x:f>D73-E73</x:f>
        <x:v>0</x:v>
      </x:c>
      <x:c r="G73" s="9" t="str">
        <x:f>IF(ABS(F73)&lt;0.000001,"PASS","FAIL")</x:f>
        <x:v>PASS</x:v>
      </x:c>
      <x:c r="H73" s="9" t="str"/>
    </x:row>
    <x:row r="74">
      <x:c r="B74" s="9" t="str">
        <x:v>AU68</x:v>
      </x:c>
      <x:c r="C74" s="9" t="str">
        <x:v>Synthetic conformance passes</x:v>
      </x:c>
      <x:c r="D74" s="26" t="n">
        <x:f>IF('Release Gates'!D42="PASS",1,0)</x:f>
        <x:v>1</x:v>
      </x:c>
      <x:c r="E74" s="26" t="n">
        <x:v>1</x:v>
      </x:c>
      <x:c r="F74" s="26" t="n">
        <x:f>D74-E74</x:f>
        <x:v>0</x:v>
      </x:c>
      <x:c r="G74" s="9" t="str">
        <x:f>IF(ABS(F74)&lt;0.000001,"PASS","FAIL")</x:f>
        <x:v>PASS</x:v>
      </x:c>
      <x:c r="H74" s="9" t="str"/>
    </x:row>
    <x:row r="75">
      <x:c r="B75" s="9" t="str">
        <x:v>AU69</x:v>
      </x:c>
      <x:c r="C75" s="9" t="str">
        <x:v>Live update held</x:v>
      </x:c>
      <x:c r="D75" s="26" t="n">
        <x:f>IF('Release Gates'!D43="HOLD",1,0)</x:f>
        <x:v>1</x:v>
      </x:c>
      <x:c r="E75" s="26" t="n">
        <x:v>1</x:v>
      </x:c>
      <x:c r="F75" s="26" t="n">
        <x:f>D75-E75</x:f>
        <x:v>0</x:v>
      </x:c>
      <x:c r="G75" s="9" t="str">
        <x:f>IF(ABS(F75)&lt;0.000001,"PASS","FAIL")</x:f>
        <x:v>PASS</x:v>
      </x:c>
      <x:c r="H75" s="9" t="str"/>
    </x:row>
    <x:row r="76">
      <x:c r="B76" s="9" t="str">
        <x:v>AU70</x:v>
      </x:c>
      <x:c r="C76" s="9" t="str">
        <x:v>Residual admission held</x:v>
      </x:c>
      <x:c r="D76" s="26" t="n">
        <x:f>IF('Release Gates'!D44="HOLD",1,0)</x:f>
        <x:v>1</x:v>
      </x:c>
      <x:c r="E76" s="26" t="n">
        <x:v>1</x:v>
      </x:c>
      <x:c r="F76" s="26" t="n">
        <x:f>D76-E76</x:f>
        <x:v>0</x:v>
      </x:c>
      <x:c r="G76" s="9" t="str">
        <x:f>IF(ABS(F76)&lt;0.000001,"PASS","FAIL")</x:f>
        <x:v>PASS</x:v>
      </x:c>
      <x:c r="H76" s="9" t="str"/>
    </x:row>
    <x:row r="77">
      <x:c r="B77" s="9" t="str">
        <x:v>AU71</x:v>
      </x:c>
      <x:c r="C77" s="9" t="str">
        <x:v>Demonstrator design preserved</x:v>
      </x:c>
      <x:c r="D77" s="26" t="n">
        <x:f>IF('Release Gates'!D45="PRESERVE",1,0)</x:f>
        <x:v>1</x:v>
      </x:c>
      <x:c r="E77" s="26" t="n">
        <x:v>1</x:v>
      </x:c>
      <x:c r="F77" s="26" t="n">
        <x:f>D77-E77</x:f>
        <x:v>0</x:v>
      </x:c>
      <x:c r="G77" s="9" t="str">
        <x:f>IF(ABS(F77)&lt;0.000001,"PASS","FAIL")</x:f>
        <x:v>PASS</x:v>
      </x:c>
      <x:c r="H77" s="9" t="str"/>
    </x:row>
    <x:row r="78">
      <x:c r="B78" s="9" t="str">
        <x:v>AU72</x:v>
      </x:c>
      <x:c r="C78" s="9" t="str">
        <x:v>Campus regeneration held</x:v>
      </x:c>
      <x:c r="D78" s="26" t="n">
        <x:f>IF('Release Gates'!D46="HOLD",1,0)</x:f>
        <x:v>1</x:v>
      </x:c>
      <x:c r="E78" s="26" t="n">
        <x:v>1</x:v>
      </x:c>
      <x:c r="F78" s="26" t="n">
        <x:f>D78-E78</x:f>
        <x:v>0</x:v>
      </x:c>
      <x:c r="G78" s="9" t="str">
        <x:f>IF(ABS(F78)&lt;0.000001,"PASS","FAIL")</x:f>
        <x:v>PASS</x:v>
      </x:c>
      <x:c r="H78" s="9" t="str"/>
    </x:row>
    <x:row r="79">
      <x:c r="B79" s="10" t="str">
        <x:v>AU73</x:v>
      </x:c>
      <x:c r="C79" s="10" t="str">
        <x:v>Production and rendering blocked</x:v>
      </x:c>
      <x:c r="D79" s="27" t="n">
        <x:f>IF('Release Gates'!D47="BLOCKED",1,0)</x:f>
        <x:v>1</x:v>
      </x:c>
      <x:c r="E79" s="27" t="n">
        <x:v>1</x:v>
      </x:c>
      <x:c r="F79" s="27" t="n">
        <x:f>D79-E79</x:f>
        <x:v>0</x:v>
      </x:c>
      <x:c r="G79" s="10" t="str">
        <x:f>IF(ABS(F79)&lt;0.000001,"PASS","FAIL")</x:f>
        <x:v>PASS</x:v>
      </x:c>
      <x:c r="H79" s="10" t="str"/>
    </x:row>
  </x:sheetData>
  <x:mergeCells>
    <x:mergeCell ref="B2:H2"/>
    <x:mergeCell ref="B3:H3"/>
  </x:mergeCells>
  <x:conditionalFormatting sqref="G7:G79">
    <x:cfRule type="containsText" dxfId="108" priority="1" operator="containsText" text="PASS"/>
    <x:cfRule type="containsText" dxfId="109" priority="2" operator="containsText" text="AUTHORIZED"/>
    <x:cfRule type="containsText" dxfId="110" priority="3" operator="containsText" text="PRESERVE"/>
    <x:cfRule type="containsText" dxfId="111" priority="4" operator="containsText" text="HOLD"/>
    <x:cfRule type="containsText" dxfId="112" priority="5" operator="containsText" text="OPEN"/>
    <x:cfRule type="containsText" dxfId="113" priority="6" operator="containsText" text="BLOCKED"/>
    <x:cfRule type="containsText" dxfId="114" priority="7" operator="containsText" text="FAIL"/>
    <x:cfRule type="containsText" dxfId="115" priority="8" operator="containsText" text="REDESIGN"/>
    <x:cfRule type="containsText" dxfId="116" priority="9" operator="containsText" text="INDETERMINATE"/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Pr>
    <x:tabColor rgb="FF7F8C8D"/>
  </x:sheetPr>
  <x:sheetViews>
    <x:sheetView showGridLines="0" workbookViewId="0"/>
  </x:sheetViews>
  <x:sheetFormatPr defaultRowHeight="15"/>
  <x:cols>
    <x:col min="2" max="2" width="31" hidden="0" customWidth="1"/>
    <x:col min="3" max="3" width="2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2">
      <x:c r="B2" s="1" t="str">
        <x:v>Workbook method and limitations</x:v>
      </x:c>
      <x:c r="C2" s="36"/>
      <x:c r="D2" s="36"/>
      <x:c r="E2" s="36"/>
      <x:c r="F2" s="36"/>
      <x:c r="G2" s="36"/>
      <x:c r="H2" s="36"/>
      <x:c r="I2" s="36"/>
      <x:c r="J2" s="36"/>
    </x:row>
    <x:row r="3">
      <x:c r="B3" s="2" t="str">
        <x:v>All observations are synthetic conformance records. The workbook contains no live first-wave evidence.</x:v>
      </x:c>
      <x:c r="C3" s="36"/>
      <x:c r="D3" s="36"/>
      <x:c r="E3" s="36"/>
      <x:c r="F3" s="36"/>
      <x:c r="G3" s="36"/>
      <x:c r="H3" s="36"/>
      <x:c r="I3" s="36"/>
      <x:c r="J3" s="36"/>
    </x:row>
    <x:row r="4">
      <x:c r="B4" s="37"/>
      <x:c r="C4" s="37"/>
      <x:c r="D4" s="37"/>
      <x:c r="E4" s="37"/>
      <x:c r="F4" s="37"/>
      <x:c r="G4" s="37"/>
      <x:c r="H4" s="37"/>
      <x:c r="I4" s="37"/>
      <x:c r="J4" s="37"/>
    </x:row>
    <x:row r="5">
      <x:c r="B5" s="36"/>
      <x:c r="C5" s="36"/>
      <x:c r="D5" s="36"/>
      <x:c r="E5" s="36"/>
      <x:c r="F5" s="36"/>
      <x:c r="G5" s="36"/>
      <x:c r="H5" s="36"/>
      <x:c r="I5" s="36"/>
      <x:c r="J5" s="36"/>
    </x:row>
    <x:row r="6">
      <x:c r="B6" s="21" t="str">
        <x:v>Method</x:v>
      </x:c>
      <x:c r="C6" s="22" t="str">
        <x:v>Method</x:v>
      </x:c>
      <x:c r="D6" s="22" t="str">
        <x:v>Method</x:v>
      </x:c>
      <x:c r="E6" s="22" t="str">
        <x:v>Method</x:v>
      </x:c>
      <x:c r="F6" s="22" t="str">
        <x:v>Method</x:v>
      </x:c>
      <x:c r="G6" s="22" t="str">
        <x:v>Method</x:v>
      </x:c>
      <x:c r="H6" s="22" t="str">
        <x:v>Method</x:v>
      </x:c>
      <x:c r="I6" s="22" t="str">
        <x:v>Method</x:v>
      </x:c>
      <x:c r="J6" s="23" t="str">
        <x:v>Method</x:v>
      </x:c>
    </x:row>
    <x:row r="7" ht="42" customHeight="1">
      <x:c r="B7" s="34" t="str">
        <x:v>Decision</x:v>
      </x:c>
      <x:c r="C7" s="40" t="str">
        <x:v>Can a frozen estimator convert first-wave records into a causal, capacity-valid residual campaign decision?</x:v>
      </x:c>
      <x:c r="D7" s="40"/>
      <x:c r="E7" s="40"/>
      <x:c r="F7" s="40"/>
      <x:c r="G7" s="40"/>
      <x:c r="H7" s="40"/>
      <x:c r="I7" s="40"/>
      <x:c r="J7" s="40"/>
    </x:row>
    <x:row r="8" ht="42" customHeight="1">
      <x:c r="B8" s="34" t="str">
        <x:v>Event model</x:v>
      </x:c>
      <x:c r="C8" s="40" t="str">
        <x:v>Routine terminal packets update intrinsic invalidity. Forced intervention records update consequence only.</x:v>
      </x:c>
      <x:c r="D8" s="40"/>
      <x:c r="E8" s="40"/>
      <x:c r="F8" s="40"/>
      <x:c r="G8" s="40"/>
      <x:c r="H8" s="40"/>
      <x:c r="I8" s="40"/>
      <x:c r="J8" s="40"/>
    </x:row>
    <x:row r="9" ht="42" customHeight="1">
      <x:c r="B9" s="34" t="str">
        <x:v>Attempt demand</x:v>
      </x:c>
      <x:c r="C9" s="40" t="str">
        <x:v>Exact beta-negative-binomial recurrences retain parameter uncertainty without the former normal approximation.</x:v>
      </x:c>
      <x:c r="D9" s="40"/>
      <x:c r="E9" s="40"/>
      <x:c r="F9" s="40"/>
      <x:c r="G9" s="40"/>
      <x:c r="H9" s="40"/>
      <x:c r="I9" s="40"/>
      <x:c r="J9" s="40"/>
    </x:row>
    <x:row r="10" ht="42" customHeight="1">
      <x:c r="B10" s="34" t="str">
        <x:v>Time</x:v>
      </x:c>
      <x:c r="C10" s="40" t="str">
        <x:v>Only complete uncensored cycles and packets enter one-sided planning limits.</x:v>
      </x:c>
      <x:c r="D10" s="40"/>
      <x:c r="E10" s="40"/>
      <x:c r="F10" s="40"/>
      <x:c r="G10" s="40"/>
      <x:c r="H10" s="40"/>
      <x:c r="I10" s="40"/>
      <x:c r="J10" s="40"/>
    </x:row>
    <x:row r="11" ht="42" customHeight="1">
      <x:c r="B11" s="34" t="str">
        <x:v>Availability</x:v>
      </x:c>
      <x:c r="C11" s="40" t="str">
        <x:v>At-risk asset-days reconcile productive and unavailable states; denied assets leave the denominator explicitly.</x:v>
      </x:c>
      <x:c r="D11" s="40"/>
      <x:c r="E11" s="40"/>
      <x:c r="F11" s="40"/>
      <x:c r="G11" s="40"/>
      <x:c r="H11" s="40"/>
      <x:c r="I11" s="40"/>
      <x:c r="J11" s="40"/>
    </x:row>
    <x:row r="12" ht="42" customHeight="1">
      <x:c r="B12" s="34" t="str">
        <x:v>Schedule</x:v>
      </x:c>
      <x:c r="C12" s="40" t="str">
        <x:v>Ninety-two immutable reservations feed 335 daily WIP, queue, station and deadline checks.</x:v>
      </x:c>
      <x:c r="D12" s="40"/>
      <x:c r="E12" s="40"/>
      <x:c r="F12" s="40"/>
      <x:c r="G12" s="40"/>
      <x:c r="H12" s="40"/>
      <x:c r="I12" s="40"/>
      <x:c r="J12" s="40"/>
    </x:row>
    <x:row r="13" ht="42" customHeight="1">
      <x:c r="B13" s="34" t="str">
        <x:v>Finance</x:v>
      </x:c>
      <x:c r="C13" s="40" t="str">
        <x:v>USD billions. Remaining support, bounded augmentation and physical campus replacement remain distinct cases.</x:v>
      </x:c>
      <x:c r="D13" s="40"/>
      <x:c r="E13" s="40"/>
      <x:c r="F13" s="40"/>
      <x:c r="G13" s="40"/>
      <x:c r="H13" s="40"/>
      <x:c r="I13" s="40"/>
      <x:c r="J13" s="40"/>
    </x:row>
    <x:row r="14" ht="42" customHeight="1">
      <x:c r="B14" s="34" t="str">
        <x:v>Sources</x:v>
      </x:c>
      <x:c r="C14" s="40" t="str">
        <x:v>Internal Pass 101–105 program lineage only. No external sites or current standards are used.</x:v>
      </x:c>
      <x:c r="D14" s="40"/>
      <x:c r="E14" s="40"/>
      <x:c r="F14" s="40"/>
      <x:c r="G14" s="40"/>
      <x:c r="H14" s="40"/>
      <x:c r="I14" s="40"/>
      <x:c r="J14" s="40"/>
    </x:row>
    <x:row r="15" ht="42" customHeight="1">
      <x:c r="B15" s="34" t="str">
        <x:v>Authority</x:v>
      </x:c>
      <x:c r="C15" s="40" t="str">
        <x:v>The synthetic vector proves formula and gate behavior; every live, physical, production and rendering claim is held.</x:v>
      </x:c>
      <x:c r="D15" s="40"/>
      <x:c r="E15" s="40"/>
      <x:c r="F15" s="40"/>
      <x:c r="G15" s="40"/>
      <x:c r="H15" s="40"/>
      <x:c r="I15" s="40"/>
      <x:c r="J15" s="40"/>
    </x:row>
    <x:row r="16">
      <x:c r="B16" s="36"/>
      <x:c r="C16" s="36"/>
      <x:c r="D16" s="36"/>
      <x:c r="E16" s="36"/>
      <x:c r="F16" s="36"/>
      <x:c r="G16" s="36"/>
      <x:c r="H16" s="36"/>
      <x:c r="I16" s="36"/>
      <x:c r="J16" s="36"/>
    </x:row>
    <x:row r="17">
      <x:c r="B17" s="36"/>
      <x:c r="C17" s="36"/>
      <x:c r="D17" s="36"/>
      <x:c r="E17" s="36"/>
      <x:c r="F17" s="36"/>
      <x:c r="G17" s="36"/>
      <x:c r="H17" s="36"/>
      <x:c r="I17" s="36"/>
      <x:c r="J17" s="36"/>
    </x:row>
    <x:row r="18">
      <x:c r="B18" s="21" t="str">
        <x:v>Decision grammar</x:v>
      </x:c>
      <x:c r="C18" s="22" t="str">
        <x:v>Decision grammar</x:v>
      </x:c>
      <x:c r="D18" s="22" t="str">
        <x:v>Decision grammar</x:v>
      </x:c>
      <x:c r="E18" s="22" t="str">
        <x:v>Decision grammar</x:v>
      </x:c>
      <x:c r="F18" s="22" t="str">
        <x:v>Decision grammar</x:v>
      </x:c>
      <x:c r="G18" s="22" t="str">
        <x:v>Decision grammar</x:v>
      </x:c>
      <x:c r="H18" s="22" t="str">
        <x:v>Decision grammar</x:v>
      </x:c>
      <x:c r="I18" s="22" t="str">
        <x:v>Decision grammar</x:v>
      </x:c>
      <x:c r="J18" s="23" t="str">
        <x:v>Decision grammar</x:v>
      </x:c>
    </x:row>
    <x:row r="19" ht="40" customHeight="1">
      <x:c r="B19" s="34" t="str">
        <x:v>PRESERVE</x:v>
      </x:c>
      <x:c r="C19" s="40" t="str">
        <x:v>Base residual force closes capacity, station, WIP, root, reserve and deadline rules.</x:v>
      </x:c>
      <x:c r="D19" s="40"/>
      <x:c r="E19" s="40"/>
      <x:c r="F19" s="40"/>
      <x:c r="G19" s="40"/>
      <x:c r="H19" s="40"/>
      <x:c r="I19" s="40"/>
      <x:c r="J19" s="40"/>
    </x:row>
    <x:row r="20" ht="40" customHeight="1">
      <x:c r="B20" s="34" t="str">
        <x:v>AUGMENT</x:v>
      </x:c>
      <x:c r="C20" s="40" t="str">
        <x:v>One registered complete-chain increment closes a base-force breach.</x:v>
      </x:c>
      <x:c r="D20" s="40"/>
      <x:c r="E20" s="40"/>
      <x:c r="F20" s="40"/>
      <x:c r="G20" s="40"/>
      <x:c r="H20" s="40"/>
      <x:c r="I20" s="40"/>
      <x:c r="J20" s="40"/>
    </x:row>
    <x:row r="21" ht="40" customHeight="1">
      <x:c r="B21" s="34" t="str">
        <x:v>REDESIGN</x:v>
      </x:c>
      <x:c r="C21" s="40" t="str">
        <x:v>Neither the base force nor bounded augmentation closes the registered rules.</x:v>
      </x:c>
      <x:c r="D21" s="40"/>
      <x:c r="E21" s="40"/>
      <x:c r="F21" s="40"/>
      <x:c r="G21" s="40"/>
      <x:c r="H21" s="40"/>
      <x:c r="I21" s="40"/>
      <x:c r="J21" s="40"/>
    </x:row>
    <x:row r="22" ht="40" customHeight="1">
      <x:c r="B22" s="34" t="str">
        <x:v>INDETERMINATE</x:v>
      </x:c>
      <x:c r="C22" s="40" t="str">
        <x:v>Identity, cause, censoring, completeness or implementation evidence is insufficient.</x:v>
      </x:c>
      <x:c r="D22" s="40"/>
      <x:c r="E22" s="40"/>
      <x:c r="F22" s="40"/>
      <x:c r="G22" s="40"/>
      <x:c r="H22" s="40"/>
      <x:c r="I22" s="40"/>
      <x:c r="J22" s="40"/>
    </x:row>
    <x:row r="23" ht="40" customHeight="1">
      <x:c r="B23" s="34" t="str">
        <x:v>SYNTHETIC_CONFORMANCE</x:v>
      </x:c>
      <x:c r="C23" s="40" t="str">
        <x:v>A deterministic vector for implementation testing; never an observed result.</x:v>
      </x:c>
      <x:c r="D23" s="40"/>
      <x:c r="E23" s="40"/>
      <x:c r="F23" s="40"/>
      <x:c r="G23" s="40"/>
      <x:c r="H23" s="40"/>
      <x:c r="I23" s="40"/>
      <x:c r="J23" s="40"/>
    </x:row>
    <x:row r="24" ht="40" customHeight="1">
      <x:c r="B24" s="34" t="str">
        <x:v>HOLD / BLOCKED</x:v>
      </x:c>
      <x:c r="C24" s="40" t="str">
        <x:v>A physical predecessor or parent authority is absent.</x:v>
      </x:c>
      <x:c r="D24" s="40"/>
      <x:c r="E24" s="40"/>
      <x:c r="F24" s="40"/>
      <x:c r="G24" s="40"/>
      <x:c r="H24" s="40"/>
      <x:c r="I24" s="40"/>
      <x:c r="J24" s="40"/>
    </x:row>
  </x:sheetData>
  <x:mergeCells>
    <x:mergeCell ref="B2:J2"/>
    <x:mergeCell ref="B3:J3"/>
    <x:mergeCell ref="B6:J6"/>
    <x:mergeCell ref="C7:J7"/>
    <x:mergeCell ref="C8:J8"/>
    <x:mergeCell ref="C9:J9"/>
    <x:mergeCell ref="C10:J10"/>
    <x:mergeCell ref="C11:J11"/>
    <x:mergeCell ref="C12:J12"/>
    <x:mergeCell ref="C13:J13"/>
    <x:mergeCell ref="C14:J14"/>
    <x:mergeCell ref="C15:J15"/>
    <x:mergeCell ref="B18:J18"/>
    <x:mergeCell ref="C19:J19"/>
    <x:mergeCell ref="C20:J20"/>
    <x:mergeCell ref="C21:J21"/>
    <x:mergeCell ref="C22:J22"/>
    <x:mergeCell ref="C23:J23"/>
    <x:mergeCell ref="C24:J24"/>
  </x:mergeCells>
  <x:conditionalFormatting sqref="B19:B24">
    <x:cfRule type="containsText" dxfId="135" priority="1" operator="containsText" text="PASS"/>
    <x:cfRule type="containsText" dxfId="136" priority="2" operator="containsText" text="AUTHORIZED"/>
    <x:cfRule type="containsText" dxfId="137" priority="3" operator="containsText" text="PRESERVE"/>
    <x:cfRule type="containsText" dxfId="138" priority="4" operator="containsText" text="HOLD"/>
    <x:cfRule type="containsText" dxfId="139" priority="5" operator="containsText" text="OPEN"/>
    <x:cfRule type="containsText" dxfId="140" priority="6" operator="containsText" text="BLOCKED"/>
    <x:cfRule type="containsText" dxfId="141" priority="7" operator="containsText" text="FAIL"/>
    <x:cfRule type="containsText" dxfId="142" priority="8" operator="containsText" text="REDESIGN"/>
    <x:cfRule type="containsText" dxfId="143" priority="9" operator="containsText" text="INDETERMINATE"/>
  </x:conditionalFormatting>
  <x:pageMargins left="0.7" right="0.7" top="0.75" bottom="0.75" header="0.3" footer="0.3"/>
</x:worksheet>
</file>