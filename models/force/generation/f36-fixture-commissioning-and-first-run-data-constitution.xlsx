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e976fdaa7644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7febab9a8d74be3"/>
    <x:sheet xmlns:r="http://schemas.openxmlformats.org/officeDocument/2006/relationships" name="Control Inputs" sheetId="2" r:id="R7ed86a19a73148d7"/>
    <x:sheet xmlns:r="http://schemas.openxmlformats.org/officeDocument/2006/relationships" name="Reference Registry" sheetId="3" r:id="R689070c5762e455c"/>
    <x:sheet xmlns:r="http://schemas.openxmlformats.org/officeDocument/2006/relationships" name="Calibration Chain" sheetId="4" r:id="R4eb12edd24ea411c"/>
    <x:sheet xmlns:r="http://schemas.openxmlformats.org/officeDocument/2006/relationships" name="Uncertainty Budget" sheetId="5" r:id="R006fa43988124324"/>
    <x:sheet xmlns:r="http://schemas.openxmlformats.org/officeDocument/2006/relationships" name="Waveform Tolerance" sheetId="6" r:id="R678a460c1c6d4014"/>
    <x:sheet xmlns:r="http://schemas.openxmlformats.org/officeDocument/2006/relationships" name="Timebase" sheetId="7" r:id="R68f18f6d50ff4779"/>
    <x:sheet xmlns:r="http://schemas.openxmlformats.org/officeDocument/2006/relationships" name="Data Schema" sheetId="8" r:id="Re2887368d6d546ba"/>
    <x:sheet xmlns:r="http://schemas.openxmlformats.org/officeDocument/2006/relationships" name="Data Volume" sheetId="9" r:id="Rc60a05d26c4b4567"/>
    <x:sheet xmlns:r="http://schemas.openxmlformats.org/officeDocument/2006/relationships" name="Randomization" sheetId="10" r:id="R3ee08fb6b67b46c5"/>
    <x:sheet xmlns:r="http://schemas.openxmlformats.org/officeDocument/2006/relationships" name="Commissioning Matrix" sheetId="11" r:id="Rda27da2b3b9346e4"/>
    <x:sheet xmlns:r="http://schemas.openxmlformats.org/officeDocument/2006/relationships" name="Blank &amp; Recovery" sheetId="12" r:id="R2c058b6f986e43aa"/>
    <x:sheet xmlns:r="http://schemas.openxmlformats.org/officeDocument/2006/relationships" name="Invalid Run Rules" sheetId="13" r:id="R08c2e2b1b1e84caf"/>
    <x:sheet xmlns:r="http://schemas.openxmlformats.org/officeDocument/2006/relationships" name="Decision Packet" sheetId="14" r:id="R9e88b118833848e9"/>
    <x:sheet xmlns:r="http://schemas.openxmlformats.org/officeDocument/2006/relationships" name="Authority Choreography" sheetId="15" r:id="Rd8f15e4d064e4fec"/>
    <x:sheet xmlns:r="http://schemas.openxmlformats.org/officeDocument/2006/relationships" name="First Run Cards" sheetId="16" r:id="R98ef0e64cb3d45d7"/>
    <x:sheet xmlns:r="http://schemas.openxmlformats.org/officeDocument/2006/relationships" name="Schedule" sheetId="17" r:id="Rea0e523c6d954e85"/>
    <x:sheet xmlns:r="http://schemas.openxmlformats.org/officeDocument/2006/relationships" name="Capital Control" sheetId="18" r:id="R02d43e8e0c8f4ab3"/>
    <x:sheet xmlns:r="http://schemas.openxmlformats.org/officeDocument/2006/relationships" name="Annual Support" sheetId="19" r:id="R887b99ebf4cc41db"/>
    <x:sheet xmlns:r="http://schemas.openxmlformats.org/officeDocument/2006/relationships" name="Release Gates" sheetId="20" r:id="R26360324569c4f11"/>
    <x:sheet xmlns:r="http://schemas.openxmlformats.org/officeDocument/2006/relationships" name="Audit" sheetId="21" r:id="R79797b88d9f046ff"/>
    <x:sheet xmlns:r="http://schemas.openxmlformats.org/officeDocument/2006/relationships" name="ReadMe" sheetId="22" r:id="Rc172149863bc41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0"/>
    <x:numFmt numFmtId="201" formatCode="0.0%"/>
    <x:numFmt numFmtId="202" formatCode="0.000"/>
    <x:numFmt numFmtId="203" formatCode="#,##0.000000"/>
  </x:numFmts>
  <x:fonts count="9">
    <x:font>
      <x:sz val="11"/>
      <x:name val="Carlito"/>
    </x:font>
    <x:font>
      <x:b/>
      <x:sz val="15"/>
      <x:color rgb="FF17324D"/>
      <x:name val="Arial"/>
    </x:font>
    <x:font>
      <x:i/>
      <x:sz val="10"/>
      <x:color rgb="FF52636F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b/>
      <x:sz val="10"/>
      <x:color rgb="FF17324D"/>
      <x:name val="Arial"/>
    </x:font>
    <x:font>
      <x:b/>
      <x:sz val="10"/>
      <x:color rgb="FF1F2933"/>
      <x:name val="Arial"/>
    </x:font>
    <x:font>
      <x:sz val="10"/>
      <x:color rgb="FF1F2933"/>
      <x:name val="Arial"/>
    </x:font>
    <x:font>
      <x:i/>
      <x:sz val="10"/>
      <x:color rgb="FF1F29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4"/>
      </x:patternFill>
    </x:fill>
  </x:fills>
  <x:borders count="14">
    <x:border/>
    <x:border>
      <x:bottom style="thin">
        <x:color rgb="FF17324D"/>
      </x:bottom>
    </x:border>
    <x:border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bottom style="thin">
        <x:color rgb="FF17324D"/>
      </x:bottom>
    </x:border>
    <x:border>
      <x:right style="thin">
        <x:color rgb="FFFFFFFF"/>
      </x:right>
      <x:bottom style="thin">
        <x:color rgb="FFD8E0E5"/>
      </x:bottom>
    </x:border>
    <x:border>
      <x:left style="thin">
        <x:color rgb="FFFFFFFF"/>
      </x:left>
      <x:right style="thin">
        <x:color rgb="FFFFFFFF"/>
      </x:right>
      <x:bottom style="thin">
        <x:color rgb="FFD8E0E5"/>
      </x:bottom>
    </x:border>
    <x:border>
      <x:top style="thin">
        <x:color rgb="FFD8E0E5"/>
      </x:top>
      <x:bottom style="thin">
        <x:color rgb="FFD8E0E5"/>
      </x:bottom>
    </x:border>
    <x:border>
      <x:right style="thin">
        <x:color rgb="FFFFFFFF"/>
      </x:right>
      <x:top style="thin">
        <x:color rgb="FFD8E0E5"/>
      </x:top>
      <x:bottom style="thin">
        <x:color rgb="FFD8E0E5"/>
      </x:bottom>
    </x:border>
    <x:border>
      <x:top style="thin">
        <x:color rgb="FFD8E0E5"/>
      </x:top>
      <x:bottom style="thin">
        <x:color rgb="FF17324D"/>
      </x:bottom>
    </x:border>
    <x:border>
      <x:right style="thin">
        <x:color rgb="FFFFFFFF"/>
      </x:right>
      <x:top style="thin">
        <x:color rgb="FFD8E0E5"/>
      </x:top>
      <x:bottom style="thin">
        <x:color rgb="FF17324D"/>
      </x:bottom>
    </x:border>
    <x:border>
      <x:left style="thin">
        <x:color rgb="FFAEBBC5"/>
      </x:left>
      <x:top style="thin">
        <x:color rgb="FFAEBBC5"/>
      </x:top>
      <x:bottom style="thin">
        <x:color rgb="FFAEBBC5"/>
      </x:bottom>
    </x:border>
    <x:border>
      <x:top style="thin">
        <x:color rgb="FFAEBBC5"/>
      </x:top>
      <x:bottom style="thin">
        <x:color rgb="FFAEBBC5"/>
      </x:bottom>
    </x:border>
    <x:border>
      <x:right style="thin">
        <x:color rgb="FFAEBBC5"/>
      </x:right>
      <x:top style="thin">
        <x:color rgb="FFAEBBC5"/>
      </x:top>
      <x:bottom style="thin">
        <x:color rgb="FFAEBBC5"/>
      </x:bottom>
    </x:border>
  </x:borders>
  <x:cellStyleXfs count="1">
    <x:xf numFmtId="0" fontId="0" fillId="0" borderId="0"/>
  </x:cellStyleXfs>
  <x:cellXfs count="8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200" fontId="4" fillId="0" borderId="7" xfId="0" applyNumberFormat="1" applyFont="1" applyFill="1" applyBorder="1" applyAlignment="1">
      <x:alignment wrapText="1"/>
    </x:xf>
    <x:xf numFmtId="200" fontId="4" fillId="0" borderId="9" xfId="0" applyNumberFormat="1" applyFont="1" applyFill="1" applyBorder="1" applyAlignment="1">
      <x:alignment wrapText="1"/>
    </x:xf>
    <x:xf numFmtId="201" fontId="4" fillId="0" borderId="7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11" xfId="0" applyNumberFormat="1" applyFont="1" applyFill="1" applyBorder="1"/>
    <x:xf numFmtId="0" fontId="5" fillId="3" borderId="12" xfId="0" applyNumberFormat="1" applyFont="1" applyFill="1" applyBorder="1"/>
    <x:xf numFmtId="0" fontId="5" fillId="3" borderId="13" xfId="0" applyNumberFormat="1" applyFont="1" applyFill="1" applyBorder="1"/>
    <x:xf numFmtId="201" fontId="0" fillId="0" borderId="7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8" xfId="0" applyNumberFormat="1" applyFont="1" applyFill="1" applyBorder="1"/>
    <x:xf numFmtId="201" fontId="0" fillId="0" borderId="1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2" fontId="0" fillId="0" borderId="7" xfId="0" applyNumberFormat="1" applyFont="1" applyFill="1" applyBorder="1" applyAlignment="1">
      <x:alignment wrapText="1"/>
    </x:xf>
    <x:xf numFmtId="202" fontId="0" fillId="0" borderId="9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3" fontId="0" fillId="0" borderId="7" xfId="0" applyNumberFormat="1" applyFont="1" applyFill="1" applyBorder="1"/>
    <x:xf numFmtId="203" fontId="0" fillId="0" borderId="9" xfId="0" applyNumberFormat="1" applyFont="1" applyFill="1" applyBorder="1"/>
    <x:xf numFmtId="203" fontId="0" fillId="0" borderId="7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7" fillId="0" borderId="1" xfId="0" applyNumberFormat="1" applyFont="1" applyFill="1" applyBorder="1"/>
    <x:xf numFmtId="0" fontId="6" fillId="3" borderId="11" xfId="0" applyNumberFormat="1" applyFont="1" applyFill="1" applyBorder="1"/>
    <x:xf numFmtId="0" fontId="6" fillId="3" borderId="12" xfId="0" applyNumberFormat="1" applyFont="1" applyFill="1" applyBorder="1"/>
    <x:xf numFmtId="0" fontId="6" fillId="3" borderId="13" xfId="0" applyNumberFormat="1" applyFont="1" applyFill="1" applyBorder="1"/>
    <x:xf numFmtId="20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6" fillId="2" borderId="5" xfId="0" applyNumberFormat="1" applyFont="1" applyFill="1" applyBorder="1" applyAlignment="1">
      <x:alignment horizontal="center" vertical="center" wrapText="1"/>
    </x:xf>
    <x:xf numFmtId="0" fontId="6" fillId="2" borderId="6" xfId="0" applyNumberFormat="1" applyFont="1" applyFill="1" applyBorder="1" applyAlignment="1">
      <x:alignment horizontal="center" vertical="center" wrapText="1"/>
    </x:xf>
    <x:xf numFmtId="0" fontId="7" fillId="0" borderId="7" xfId="0" applyNumberFormat="1" applyFont="1" applyFill="1" applyBorder="1"/>
    <x:xf numFmtId="0" fontId="7" fillId="0" borderId="7" xfId="0" applyNumberFormat="1" applyFont="1" applyFill="1" applyBorder="1" applyAlignment="1">
      <x:alignment wrapText="1"/>
    </x:xf>
    <x:xf numFmtId="200" fontId="7" fillId="0" borderId="7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wrapText="1"/>
    </x:xf>
    <x:xf numFmtId="201" fontId="7" fillId="0" borderId="7" xfId="0" applyNumberFormat="1" applyFont="1" applyFill="1" applyBorder="1" applyAlignment="1">
      <x:alignment wrapText="1"/>
    </x:xf>
    <x:xf numFmtId="0" fontId="7" fillId="0" borderId="9" xfId="0" applyNumberFormat="1" applyFont="1" applyFill="1" applyBorder="1"/>
    <x:xf numFmtId="0" fontId="7" fillId="0" borderId="9" xfId="0" applyNumberFormat="1" applyFont="1" applyFill="1" applyBorder="1" applyAlignment="1">
      <x:alignment wrapText="1"/>
    </x:xf>
    <x:xf numFmtId="200" fontId="7" fillId="0" borderId="9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wrapText="1"/>
    </x:xf>
    <x:xf numFmtId="201" fontId="7" fillId="0" borderId="9" xfId="0" applyNumberFormat="1" applyFont="1" applyFill="1" applyBorder="1" applyAlignment="1">
      <x:alignment wrapText="1"/>
    </x:xf>
    <x:xf numFmtId="201" fontId="7" fillId="0" borderId="0" xfId="0" applyNumberFormat="1" applyFont="1" applyFill="1" applyBorder="1"/>
    <x:xf numFmtId="201" fontId="7" fillId="0" borderId="8" xfId="0" applyNumberFormat="1" applyFont="1" applyFill="1" applyBorder="1"/>
    <x:xf numFmtId="201" fontId="7" fillId="0" borderId="10" xfId="0" applyNumberFormat="1" applyFont="1" applyFill="1" applyBorder="1"/>
    <x:xf numFmtId="202" fontId="7" fillId="0" borderId="7" xfId="0" applyNumberFormat="1" applyFont="1" applyFill="1" applyBorder="1" applyAlignment="1">
      <x:alignment wrapText="1"/>
    </x:xf>
    <x:xf numFmtId="202" fontId="7" fillId="0" borderId="9" xfId="0" applyNumberFormat="1" applyFont="1" applyFill="1" applyBorder="1" applyAlignment="1">
      <x:alignment wrapText="1"/>
    </x:xf>
    <x:xf numFmtId="202" fontId="7" fillId="0" borderId="0" xfId="0" applyNumberFormat="1" applyFont="1" applyFill="1" applyBorder="1"/>
    <x:xf numFmtId="203" fontId="7" fillId="0" borderId="7" xfId="0" applyNumberFormat="1" applyFont="1" applyFill="1" applyBorder="1" applyAlignment="1">
      <x:alignment wrapText="1"/>
    </x:xf>
    <x:xf numFmtId="203" fontId="7" fillId="0" borderId="9" xfId="0" applyNumberFormat="1" applyFont="1" applyFill="1" applyBorder="1" applyAlignment="1">
      <x:alignment wrapText="1"/>
    </x:xf>
  </x:cellXfs>
  <x:cellStyles count="1">
    <x:cellStyle name="Normal" xfId="0"/>
  </x:cellStyles>
  <x:dxfs count="576"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15f5a6eb3442d1" /><Relationship Type="http://schemas.openxmlformats.org/officeDocument/2006/relationships/theme" Target="/xl/theme/theme1.xml" Id="R3332780a1dab463d" /><Relationship Type="http://schemas.openxmlformats.org/officeDocument/2006/relationships/sharedStrings" Target="/xl/sharedStrings.xml" Id="Rf56113a2390140e0" /><Relationship Type="http://schemas.openxmlformats.org/officeDocument/2006/relationships/worksheet" Target="/xl/worksheets/sheet1.xml" Id="Re7febab9a8d74be3" /><Relationship Type="http://schemas.openxmlformats.org/officeDocument/2006/relationships/worksheet" Target="/xl/worksheets/sheet2.xml" Id="R7ed86a19a73148d7" /><Relationship Type="http://schemas.openxmlformats.org/officeDocument/2006/relationships/worksheet" Target="/xl/worksheets/sheet3.xml" Id="R689070c5762e455c" /><Relationship Type="http://schemas.openxmlformats.org/officeDocument/2006/relationships/worksheet" Target="/xl/worksheets/sheet4.xml" Id="R4eb12edd24ea411c" /><Relationship Type="http://schemas.openxmlformats.org/officeDocument/2006/relationships/worksheet" Target="/xl/worksheets/sheet5.xml" Id="R006fa43988124324" /><Relationship Type="http://schemas.openxmlformats.org/officeDocument/2006/relationships/worksheet" Target="/xl/worksheets/sheet6.xml" Id="R678a460c1c6d4014" /><Relationship Type="http://schemas.openxmlformats.org/officeDocument/2006/relationships/worksheet" Target="/xl/worksheets/sheet7.xml" Id="R68f18f6d50ff4779" /><Relationship Type="http://schemas.openxmlformats.org/officeDocument/2006/relationships/worksheet" Target="/xl/worksheets/sheet8.xml" Id="Re2887368d6d546ba" /><Relationship Type="http://schemas.openxmlformats.org/officeDocument/2006/relationships/worksheet" Target="/xl/worksheets/sheet9.xml" Id="Rc60a05d26c4b4567" /><Relationship Type="http://schemas.openxmlformats.org/officeDocument/2006/relationships/worksheet" Target="/xl/worksheets/sheet10.xml" Id="R3ee08fb6b67b46c5" /><Relationship Type="http://schemas.openxmlformats.org/officeDocument/2006/relationships/worksheet" Target="/xl/worksheets/sheet11.xml" Id="Rda27da2b3b9346e4" /><Relationship Type="http://schemas.openxmlformats.org/officeDocument/2006/relationships/worksheet" Target="/xl/worksheets/sheet12.xml" Id="R2c058b6f986e43aa" /><Relationship Type="http://schemas.openxmlformats.org/officeDocument/2006/relationships/worksheet" Target="/xl/worksheets/sheet13.xml" Id="R08c2e2b1b1e84caf" /><Relationship Type="http://schemas.openxmlformats.org/officeDocument/2006/relationships/worksheet" Target="/xl/worksheets/sheet14.xml" Id="R9e88b118833848e9" /><Relationship Type="http://schemas.openxmlformats.org/officeDocument/2006/relationships/worksheet" Target="/xl/worksheets/sheet15.xml" Id="Rd8f15e4d064e4fec" /><Relationship Type="http://schemas.openxmlformats.org/officeDocument/2006/relationships/worksheet" Target="/xl/worksheets/sheet16.xml" Id="R98ef0e64cb3d45d7" /><Relationship Type="http://schemas.openxmlformats.org/officeDocument/2006/relationships/worksheet" Target="/xl/worksheets/sheet17.xml" Id="Rea0e523c6d954e85" /><Relationship Type="http://schemas.openxmlformats.org/officeDocument/2006/relationships/worksheet" Target="/xl/worksheets/sheet18.xml" Id="R02d43e8e0c8f4ab3" /><Relationship Type="http://schemas.openxmlformats.org/officeDocument/2006/relationships/worksheet" Target="/xl/worksheets/sheet19.xml" Id="R887b99ebf4cc41db" /><Relationship Type="http://schemas.openxmlformats.org/officeDocument/2006/relationships/worksheet" Target="/xl/worksheets/sheet20.xml" Id="R26360324569c4f11" /><Relationship Type="http://schemas.openxmlformats.org/officeDocument/2006/relationships/worksheet" Target="/xl/worksheets/sheet21.xml" Id="R79797b88d9f046ff" /><Relationship Type="http://schemas.openxmlformats.org/officeDocument/2006/relationships/worksheet" Target="/xl/worksheets/sheet22.xml" Id="Rc172149863bc41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2" max="2" width="26" hidden="0" customWidth="1"/>
    <x:col min="3" max="3" width="26" hidden="0" customWidth="1"/>
    <x:col min="4" max="4" width="16" hidden="0" customWidth="1"/>
    <x:col min="5" max="5" width="15" hidden="0" customWidth="1"/>
    <x:col min="6" max="6" width="26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</x:cols>
  <x:sheetData>
    <x:row r="2">
      <x:c r="B2" s="1" t="str">
        <x:v>F36 fixture commissioning and first-run data constitution</x:v>
      </x:c>
      <x:c r="C2" s="55"/>
      <x:c r="D2" s="55"/>
      <x:c r="E2" s="55"/>
      <x:c r="F2" s="55"/>
      <x:c r="G2" s="55"/>
      <x:c r="H2" s="55"/>
      <x:c r="I2" s="55"/>
      <x:c r="J2" s="55"/>
    </x:row>
    <x:row r="3">
      <x:c r="B3" s="2" t="str">
        <x:v>End-to-end proof that public truth survives fixtures, clocks, evidence, custody, decisions and replay before a root earns credit.</x:v>
      </x:c>
      <x:c r="C3" s="55"/>
      <x:c r="D3" s="55"/>
      <x:c r="E3" s="55"/>
      <x:c r="F3" s="55"/>
      <x:c r="G3" s="55"/>
      <x:c r="H3" s="55"/>
      <x:c r="I3" s="55"/>
      <x:c r="J3" s="55"/>
    </x:row>
    <x:row r="4">
      <x:c r="B4" s="57"/>
      <x:c r="C4" s="57"/>
      <x:c r="D4" s="57"/>
      <x:c r="E4" s="57"/>
      <x:c r="F4" s="57"/>
      <x:c r="G4" s="57"/>
      <x:c r="H4" s="57"/>
      <x:c r="I4" s="57"/>
      <x:c r="J4" s="57"/>
    </x:row>
    <x:row r="5">
      <x:c r="B5" s="55"/>
      <x:c r="C5" s="55"/>
      <x:c r="D5" s="55"/>
      <x:c r="E5" s="55"/>
      <x:c r="F5" s="55"/>
      <x:c r="G5" s="55"/>
      <x:c r="H5" s="55"/>
      <x:c r="I5" s="55"/>
      <x:c r="J5" s="55"/>
    </x:row>
    <x:row r="6">
      <x:c r="B6" s="58" t="str">
        <x:v>Commissioning burden and evidence estate</x:v>
      </x:c>
      <x:c r="C6" s="59" t="str">
        <x:v>Commissioning burden and evidence estate</x:v>
      </x:c>
      <x:c r="D6" s="59" t="str">
        <x:v>Commissioning burden and evidence estate</x:v>
      </x:c>
      <x:c r="E6" s="59" t="str">
        <x:v>Commissioning burden and evidence estate</x:v>
      </x:c>
      <x:c r="F6" s="58" t="str">
        <x:v>Present authority state</x:v>
      </x:c>
      <x:c r="G6" s="59" t="str">
        <x:v>Present authority state</x:v>
      </x:c>
      <x:c r="H6" s="59" t="str">
        <x:v>Present authority state</x:v>
      </x:c>
      <x:c r="I6" s="59" t="str">
        <x:v>Present authority state</x:v>
      </x:c>
      <x:c r="J6" s="60" t="str">
        <x:v>Present authority state</x:v>
      </x:c>
    </x:row>
    <x:row r="7">
      <x:c r="B7" s="55" t="str">
        <x:v>Reference artifacts</x:v>
      </x:c>
      <x:c r="C7" s="55" t="str">
        <x:v>eight classes</x:v>
      </x:c>
      <x:c r="D7" s="55" t="n">
        <x:f>'Control Inputs'!D7</x:f>
        <x:v>24</x:v>
      </x:c>
      <x:c r="E7" s="55" t="str">
        <x:v>artifacts</x:v>
      </x:c>
      <x:c r="F7" s="55" t="str">
        <x:v>Protocol drafting</x:v>
      </x:c>
      <x:c r="G7" s="55" t="str">
        <x:v>content gates</x:v>
      </x:c>
      <x:c r="H7" s="55" t="str">
        <x:f>'Release Gates'!D32</x:f>
        <x:v>AUTHORIZED</x:v>
      </x:c>
      <x:c r="I7" s="55"/>
      <x:c r="J7" s="55"/>
    </x:row>
    <x:row r="8">
      <x:c r="B8" s="55" t="str">
        <x:v>Commissioning events</x:v>
      </x:c>
      <x:c r="C8" s="55" t="str">
        <x:v>16 closure + 8 per damage cell</x:v>
      </x:c>
      <x:c r="D8" s="55" t="n">
        <x:f>'Control Inputs'!D9</x:f>
        <x:v>32</x:v>
      </x:c>
      <x:c r="E8" s="55" t="str">
        <x:v>events</x:v>
      </x:c>
      <x:c r="F8" s="55" t="str">
        <x:v>Artifact manufacture</x:v>
      </x:c>
      <x:c r="G8" s="55" t="str">
        <x:v>external authority</x:v>
      </x:c>
      <x:c r="H8" s="55" t="str">
        <x:f>'Release Gates'!D33</x:f>
        <x:v>HOLD</x:v>
      </x:c>
      <x:c r="I8" s="55"/>
      <x:c r="J8" s="55"/>
    </x:row>
    <x:row r="9">
      <x:c r="B9" s="55" t="str">
        <x:v>Calibration tiers</x:v>
      </x:c>
      <x:c r="C9" s="55" t="str">
        <x:v>T0 through T3</x:v>
      </x:c>
      <x:c r="D9" s="55" t="n">
        <x:v>4</x:v>
      </x:c>
      <x:c r="E9" s="55" t="str">
        <x:v>tiers</x:v>
      </x:c>
      <x:c r="F9" s="55" t="str">
        <x:v>Calibration transfer</x:v>
      </x:c>
      <x:c r="G9" s="55" t="str">
        <x:v>physical references</x:v>
      </x:c>
      <x:c r="H9" s="55" t="str">
        <x:f>'Release Gates'!D34</x:f>
        <x:v>HOLD</x:v>
      </x:c>
      <x:c r="I9" s="55"/>
      <x:c r="J9" s="55"/>
    </x:row>
    <x:row r="10">
      <x:c r="B10" s="55" t="str">
        <x:v>Independent clocks</x:v>
      </x:c>
      <x:c r="C10" s="55" t="str">
        <x:v>evidence, witness and builder</x:v>
      </x:c>
      <x:c r="D10" s="55" t="n">
        <x:f>'Control Inputs'!D14</x:f>
        <x:v>3</x:v>
      </x:c>
      <x:c r="E10" s="55" t="str">
        <x:v>clocks</x:v>
      </x:c>
      <x:c r="F10" s="55" t="str">
        <x:v>Commissioning execution</x:v>
      </x:c>
      <x:c r="G10" s="55" t="str">
        <x:v>commissioned configurations/events</x:v>
      </x:c>
      <x:c r="H10" s="55" t="str">
        <x:f>'Release Gates'!D35</x:f>
        <x:v>HOLD</x:v>
      </x:c>
      <x:c r="I10" s="55"/>
      <x:c r="J10" s="55"/>
    </x:row>
    <x:row r="11">
      <x:c r="B11" s="55" t="str">
        <x:v>Original evidence streams</x:v>
      </x:c>
      <x:c r="C11" s="55" t="str">
        <x:v>locally complete</x:v>
      </x:c>
      <x:c r="D11" s="55" t="n">
        <x:f>'Control Inputs'!D15</x:f>
        <x:v>2</x:v>
      </x:c>
      <x:c r="E11" s="55" t="str">
        <x:v>originals</x:v>
      </x:c>
      <x:c r="F11" s="55" t="str">
        <x:v>First closure credit</x:v>
      </x:c>
      <x:c r="G11" s="55" t="str">
        <x:v>complete packet</x:v>
      </x:c>
      <x:c r="H11" s="55" t="str">
        <x:f>'Release Gates'!D36</x:f>
        <x:v>HOLD</x:v>
      </x:c>
      <x:c r="I11" s="55"/>
      <x:c r="J11" s="55"/>
    </x:row>
    <x:row r="12">
      <x:c r="B12" s="55" t="str">
        <x:v>Closure evidence</x:v>
      </x:c>
      <x:c r="C12" s="55" t="str">
        <x:v>72 articles</x:v>
      </x:c>
      <x:c r="D12" s="61" t="n">
        <x:f>'Data Volume'!D22</x:f>
        <x:v>202.258944</x:v>
      </x:c>
      <x:c r="E12" s="55" t="str">
        <x:v>TB</x:v>
      </x:c>
      <x:c r="F12" s="55" t="str">
        <x:v>First damage credit</x:v>
      </x:c>
      <x:c r="G12" s="55" t="str">
        <x:v>complete packet</x:v>
      </x:c>
      <x:c r="H12" s="55" t="str">
        <x:f>'Release Gates'!D37</x:f>
        <x:v>HOLD</x:v>
      </x:c>
      <x:c r="I12" s="55"/>
      <x:c r="J12" s="55"/>
    </x:row>
    <x:row r="13">
      <x:c r="B13" s="55" t="str">
        <x:v>Damage evidence</x:v>
      </x:c>
      <x:c r="C13" s="55" t="str">
        <x:v>26 six-hour runs</x:v>
      </x:c>
      <x:c r="D13" s="61" t="n">
        <x:f>'Data Volume'!D25</x:f>
        <x:v>6.379776</x:v>
      </x:c>
      <x:c r="E13" s="55" t="str">
        <x:v>TB</x:v>
      </x:c>
      <x:c r="F13" s="55" t="str">
        <x:v>Production and form</x:v>
      </x:c>
      <x:c r="G13" s="55" t="str">
        <x:v>parent F36 mission</x:v>
      </x:c>
      <x:c r="H13" s="55" t="str">
        <x:f>'Release Gates'!D38</x:f>
        <x:v>BLOCKED</x:v>
      </x:c>
      <x:c r="I13" s="55"/>
      <x:c r="J13" s="55"/>
    </x:row>
    <x:row r="14">
      <x:c r="B14" s="55" t="str">
        <x:v>Campaign estate</x:v>
      </x:c>
      <x:c r="C14" s="55" t="str">
        <x:v>including 30% derivative/index margin</x:v>
      </x:c>
      <x:c r="D14" s="61" t="n">
        <x:f>'Data Volume'!D26</x:f>
        <x:v>271.230336</x:v>
      </x:c>
      <x:c r="E14" s="55" t="str">
        <x:v>TB</x:v>
      </x:c>
      <x:c r="F14" s="55" t="str">
        <x:v>Exterior rendering</x:v>
      </x:c>
      <x:c r="G14" s="55" t="str">
        <x:v>production/form plus authority</x:v>
      </x:c>
      <x:c r="H14" s="55" t="str">
        <x:f>'Release Gates'!D39</x:f>
        <x:v>BLOCKED</x:v>
      </x:c>
      <x:c r="I14" s="55"/>
      <x:c r="J14" s="55"/>
    </x:row>
    <x:row r="15">
      <x:c r="B15" s="55" t="str">
        <x:v>Capital tranche</x:v>
      </x:c>
      <x:c r="C15" s="55" t="str">
        <x:v>nested in Pass 102</x:v>
      </x:c>
      <x:c r="D15" s="61" t="n">
        <x:f>'Control Inputs'!D29</x:f>
        <x:v>0.42</x:v>
      </x:c>
      <x:c r="E15" s="55" t="str">
        <x:v>USD B</x:v>
      </x:c>
      <x:c r="F15" s="55"/>
      <x:c r="G15" s="55"/>
      <x:c r="H15" s="55"/>
      <x:c r="I15" s="55"/>
      <x:c r="J15" s="55"/>
    </x:row>
    <x:row r="16">
      <x:c r="B16" s="55" t="str">
        <x:v>Annual support</x:v>
      </x:c>
      <x:c r="C16" s="55" t="str">
        <x:v>nested in Pass 102</x:v>
      </x:c>
      <x:c r="D16" s="61" t="n">
        <x:f>'Control Inputs'!D31</x:f>
        <x:v>0.086</x:v>
      </x:c>
      <x:c r="E16" s="55" t="str">
        <x:v>USD B/year</x:v>
      </x:c>
      <x:c r="F16" s="55"/>
      <x:c r="G16" s="55"/>
      <x:c r="H16" s="55"/>
      <x:c r="I16" s="55"/>
      <x:c r="J16" s="55"/>
    </x:row>
    <x:row r="17">
      <x:c r="B17" s="55"/>
      <x:c r="C17" s="55"/>
      <x:c r="D17" s="55"/>
      <x:c r="E17" s="55"/>
      <x:c r="F17" s="55"/>
      <x:c r="G17" s="55"/>
      <x:c r="H17" s="55"/>
      <x:c r="I17" s="55"/>
      <x:c r="J17" s="55"/>
    </x:row>
    <x:row r="18">
      <x:c r="B18" s="55"/>
      <x:c r="C18" s="55"/>
      <x:c r="D18" s="55"/>
      <x:c r="E18" s="55"/>
      <x:c r="F18" s="55"/>
      <x:c r="G18" s="55"/>
      <x:c r="H18" s="55"/>
      <x:c r="I18" s="55"/>
      <x:c r="J18" s="55"/>
    </x:row>
    <x:row r="19">
      <x:c r="B19" s="58" t="str">
        <x:v>Decisive design judgments</x:v>
      </x:c>
      <x:c r="C19" s="59" t="str">
        <x:v>Decisive design judgments</x:v>
      </x:c>
      <x:c r="D19" s="59" t="str">
        <x:v>Decisive design judgments</x:v>
      </x:c>
      <x:c r="E19" s="59" t="str">
        <x:v>Decisive design judgments</x:v>
      </x:c>
      <x:c r="F19" s="59" t="str">
        <x:v>Decisive design judgments</x:v>
      </x:c>
      <x:c r="G19" s="59" t="str">
        <x:v>Decisive design judgments</x:v>
      </x:c>
      <x:c r="H19" s="59" t="str">
        <x:v>Decisive design judgments</x:v>
      </x:c>
      <x:c r="I19" s="59" t="str">
        <x:v>Decisive design judgments</x:v>
      </x:c>
      <x:c r="J19" s="60" t="str">
        <x:v>Decisive design judgments</x:v>
      </x:c>
    </x:row>
    <x:row r="20" ht="42" customHeight="1">
      <x:c r="B20" s="54" t="str">
        <x:v>Range as article</x:v>
      </x:c>
      <x:c r="C20" s="62" t="str">
        <x:v>Mounted end-to-end discrimination, not component calibration, determines commissioning.</x:v>
      </x:c>
      <x:c r="D20" s="62"/>
      <x:c r="E20" s="62"/>
      <x:c r="F20" s="62"/>
      <x:c r="G20" s="62"/>
      <x:c r="H20" s="62"/>
      <x:c r="I20" s="62"/>
      <x:c r="J20" s="62"/>
    </x:row>
    <x:row r="21" ht="42" customHeight="1">
      <x:c r="B21" s="54" t="str">
        <x:v>Guard band</x:v>
      </x:c>
      <x:c r="C21" s="62" t="str">
        <x:v>Accept only when expanded uncertainty remains entirely on the safe side of the frozen boundary.</x:v>
      </x:c>
      <x:c r="D21" s="62"/>
      <x:c r="E21" s="62"/>
      <x:c r="F21" s="62"/>
      <x:c r="G21" s="62"/>
      <x:c r="H21" s="62"/>
      <x:c r="I21" s="62"/>
      <x:c r="J21" s="62"/>
    </x:row>
    <x:row r="22" ht="42" customHeight="1">
      <x:c r="B22" s="54" t="str">
        <x:v>Stimulus</x:v>
      </x:c>
      <x:c r="C22" s="62" t="str">
        <x:v>Measured article stimulus governs. Commands and convenient over-tests cannot silently substitute.</x:v>
      </x:c>
      <x:c r="D22" s="62"/>
      <x:c r="E22" s="62"/>
      <x:c r="F22" s="62"/>
      <x:c r="G22" s="62"/>
      <x:c r="H22" s="62"/>
      <x:c r="I22" s="62"/>
      <x:c r="J22" s="62"/>
    </x:row>
    <x:row r="23" ht="42" customHeight="1">
      <x:c r="B23" s="54" t="str">
        <x:v>Evidence</x:v>
      </x:c>
      <x:c r="C23" s="62" t="str">
        <x:v>Two independent locally complete originals and three clocks survive network denial.</x:v>
      </x:c>
      <x:c r="D23" s="62"/>
      <x:c r="E23" s="62"/>
      <x:c r="F23" s="62"/>
      <x:c r="G23" s="62"/>
      <x:c r="H23" s="62"/>
      <x:c r="I23" s="62"/>
      <x:c r="J23" s="62"/>
    </x:row>
    <x:row r="24" ht="42" customHeight="1">
      <x:c r="B24" s="54" t="str">
        <x:v>Retention</x:v>
      </x:c>
      <x:c r="C24" s="62" t="str">
        <x:v>Approximately 271 TB makes native retention an ordinary institutional obligation.</x:v>
      </x:c>
      <x:c r="D24" s="62"/>
      <x:c r="E24" s="62"/>
      <x:c r="F24" s="62"/>
      <x:c r="G24" s="62"/>
      <x:c r="H24" s="62"/>
      <x:c r="I24" s="62"/>
      <x:c r="J24" s="62"/>
    </x:row>
    <x:row r="25" ht="42" customHeight="1">
      <x:c r="B25" s="54" t="str">
        <x:v>Authority</x:v>
      </x:c>
      <x:c r="C25" s="62" t="str">
        <x:v>Safety, truth, metrology, acceptance, water, forensics and admission remain separate powers.</x:v>
      </x:c>
      <x:c r="D25" s="62"/>
      <x:c r="E25" s="62"/>
      <x:c r="F25" s="62"/>
      <x:c r="G25" s="62"/>
      <x:c r="H25" s="62"/>
      <x:c r="I25" s="62"/>
      <x:c r="J25" s="62"/>
    </x:row>
    <x:row r="26" ht="42" customHeight="1">
      <x:c r="B26" s="54" t="str">
        <x:v>First run</x:v>
      </x:c>
      <x:c r="C26" s="62" t="str">
        <x:v>A first admitted event validates one evidence cycle; it does not qualify a root.</x:v>
      </x:c>
      <x:c r="D26" s="62"/>
      <x:c r="E26" s="62"/>
      <x:c r="F26" s="62"/>
      <x:c r="G26" s="62"/>
      <x:c r="H26" s="62"/>
      <x:c r="I26" s="62"/>
      <x:c r="J26" s="62"/>
    </x:row>
    <x:row r="27" ht="42" customHeight="1">
      <x:c r="B27" s="54" t="str">
        <x:v>Form</x:v>
      </x:c>
      <x:c r="C27" s="62" t="str">
        <x:v>Production and exterior rendering remain blocked by the parent F36 evidence chain.</x:v>
      </x:c>
      <x:c r="D27" s="62"/>
      <x:c r="E27" s="62"/>
      <x:c r="F27" s="62"/>
      <x:c r="G27" s="62"/>
      <x:c r="H27" s="62"/>
      <x:c r="I27" s="62"/>
      <x:c r="J27" s="62"/>
    </x:row>
  </x:sheetData>
  <x:mergeCells>
    <x:mergeCell ref="B3:J3"/>
    <x:mergeCell ref="B6:J6"/>
    <x:mergeCell ref="F6:J6"/>
    <x:mergeCell ref="B19:J19"/>
    <x:mergeCell ref="C20:J20"/>
    <x:mergeCell ref="C21:J21"/>
    <x:mergeCell ref="C22:J22"/>
    <x:mergeCell ref="C23:J23"/>
    <x:mergeCell ref="C24:J24"/>
    <x:mergeCell ref="C25:J25"/>
    <x:mergeCell ref="C26:J26"/>
    <x:mergeCell ref="C27:J27"/>
  </x:mergeCells>
  <x:conditionalFormatting sqref="H7:H14">
    <x:cfRule type="containsText" dxfId="544" priority="1" operator="containsText" text="FAIL"/>
    <x:cfRule type="containsText" dxfId="545" priority="2" operator="containsText" text="BLOCKED"/>
    <x:cfRule type="containsText" dxfId="546" priority="3" operator="containsText" text="HOLD"/>
    <x:cfRule type="containsText" dxfId="547" priority="4" operator="containsText" text="OPEN"/>
    <x:cfRule type="containsText" dxfId="548" priority="5" operator="containsText" text="UNTESTED"/>
    <x:cfRule type="containsText" dxfId="549" priority="6" operator="containsText" text="INDETERMINATE"/>
    <x:cfRule type="containsText" dxfId="550" priority="7" operator="containsText" text="INVALID"/>
    <x:cfRule type="containsText" dxfId="551" priority="8" operator="containsText" text="PASS"/>
    <x:cfRule type="containsText" dxfId="552" priority="9" operator="containsText" text="CLOSED"/>
    <x:cfRule type="containsText" dxfId="553" priority="10" operator="containsText" text="READY"/>
    <x:cfRule type="containsText" dxfId="554" priority="11" operator="containsText" text="AUTHORIZED"/>
    <x:cfRule type="containsText" dxfId="555" priority="12" operator="containsText" text="PLANNING PASS"/>
    <x:cfRule type="containsText" dxfId="556" priority="13" operator="containsText" text="COMPLETE"/>
    <x:cfRule type="containsText" dxfId="557" priority="14" operator="containsText" text="ACCEPTED"/>
    <x:cfRule type="containsText" dxfId="558" priority="15" operator="containsText" text="ADMITTED"/>
    <x:cfRule type="containsText" dxfId="559" priority="16" operator="containsText" text="RELEAS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D5F8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49" hidden="0" customWidth="1"/>
    <x:col min="4" max="4" width="20" hidden="0" customWidth="1"/>
    <x:col min="5" max="5" width="23" hidden="0" customWidth="1"/>
    <x:col min="6" max="6" width="16" hidden="0" customWidth="1"/>
    <x:col min="7" max="7" width="34" hidden="0" customWidth="1"/>
  </x:cols>
  <x:sheetData>
    <x:row r="2">
      <x:c r="B2" s="1" t="str">
        <x:v>Commissioning control inputs</x:v>
      </x:c>
      <x:c r="C2" s="55"/>
      <x:c r="D2" s="55"/>
      <x:c r="E2" s="55"/>
      <x:c r="F2" s="55"/>
      <x:c r="G2" s="55"/>
    </x:row>
    <x:row r="3">
      <x:c r="B3" s="2" t="str">
        <x:v>Blue-font values are inherited boundaries or prospective research targets. Physical observations remain zero.</x:v>
      </x:c>
      <x:c r="C3" s="55"/>
      <x:c r="D3" s="55"/>
      <x:c r="E3" s="55"/>
      <x:c r="F3" s="55"/>
      <x:c r="G3" s="55"/>
    </x:row>
    <x:row r="4">
      <x:c r="B4" s="57"/>
      <x:c r="C4" s="57"/>
      <x:c r="D4" s="57"/>
      <x:c r="E4" s="57"/>
      <x:c r="F4" s="57"/>
      <x:c r="G4" s="57"/>
    </x:row>
    <x:row r="5">
      <x:c r="B5" s="55"/>
      <x:c r="C5" s="55"/>
      <x:c r="D5" s="55"/>
      <x:c r="E5" s="55"/>
      <x:c r="F5" s="55"/>
      <x:c r="G5" s="55"/>
    </x:row>
    <x:row r="6">
      <x:c r="B6" s="15" t="str">
        <x:v>ID</x:v>
      </x:c>
      <x:c r="C6" s="16" t="str">
        <x:v>Control</x:v>
      </x:c>
      <x:c r="D6" s="16" t="str">
        <x:v>Value</x:v>
      </x:c>
      <x:c r="E6" s="16" t="str">
        <x:v>Unit</x:v>
      </x:c>
      <x:c r="F6" s="16" t="str">
        <x:v>State</x:v>
      </x:c>
      <x:c r="G6" s="16" t="str">
        <x:v>Authority</x:v>
      </x:c>
    </x:row>
    <x:row r="7" ht="27" customHeight="1">
      <x:c r="B7" s="65" t="str">
        <x:v>I01</x:v>
      </x:c>
      <x:c r="C7" s="66" t="str">
        <x:v>Reference artifacts</x:v>
      </x:c>
      <x:c r="D7" s="67" t="n">
        <x:v>24</x:v>
      </x:c>
      <x:c r="E7" s="66" t="str">
        <x:v>artifacts</x:v>
      </x:c>
      <x:c r="F7" s="66" t="str">
        <x:v>DESIGN</x:v>
      </x:c>
      <x:c r="G7" s="68" t="str">
        <x:v>Pass 103</x:v>
      </x:c>
    </x:row>
    <x:row r="8" ht="27" customHeight="1">
      <x:c r="B8" s="65" t="str">
        <x:v>I02</x:v>
      </x:c>
      <x:c r="C8" s="66" t="str">
        <x:v>Reference classes</x:v>
      </x:c>
      <x:c r="D8" s="67" t="n">
        <x:v>8</x:v>
      </x:c>
      <x:c r="E8" s="66" t="str">
        <x:v>classes</x:v>
      </x:c>
      <x:c r="F8" s="66" t="str">
        <x:v>DESIGN</x:v>
      </x:c>
      <x:c r="G8" s="68" t="str">
        <x:v>Pass 103</x:v>
      </x:c>
    </x:row>
    <x:row r="9" ht="27" customHeight="1">
      <x:c r="B9" s="65" t="str">
        <x:v>I03</x:v>
      </x:c>
      <x:c r="C9" s="66" t="str">
        <x:v>Commissioning events</x:v>
      </x:c>
      <x:c r="D9" s="67" t="n">
        <x:v>32</x:v>
      </x:c>
      <x:c r="E9" s="66" t="str">
        <x:v>events</x:v>
      </x:c>
      <x:c r="F9" s="66" t="str">
        <x:v>DESIGN</x:v>
      </x:c>
      <x:c r="G9" s="68" t="str">
        <x:v>Pass 103</x:v>
      </x:c>
    </x:row>
    <x:row r="10" ht="27" customHeight="1">
      <x:c r="B10" s="65" t="str">
        <x:v>I04</x:v>
      </x:c>
      <x:c r="C10" s="66" t="str">
        <x:v>Closure commissioning events</x:v>
      </x:c>
      <x:c r="D10" s="67" t="n">
        <x:v>16</x:v>
      </x:c>
      <x:c r="E10" s="66" t="str">
        <x:v>events</x:v>
      </x:c>
      <x:c r="F10" s="66" t="str">
        <x:v>DESIGN</x:v>
      </x:c>
      <x:c r="G10" s="68" t="str">
        <x:v>Pass 103</x:v>
      </x:c>
    </x:row>
    <x:row r="11" ht="27" customHeight="1">
      <x:c r="B11" s="65" t="str">
        <x:v>I05</x:v>
      </x:c>
      <x:c r="C11" s="66" t="str">
        <x:v>Events per damage cell</x:v>
      </x:c>
      <x:c r="D11" s="67" t="n">
        <x:v>8</x:v>
      </x:c>
      <x:c r="E11" s="66" t="str">
        <x:v>events</x:v>
      </x:c>
      <x:c r="F11" s="66" t="str">
        <x:v>DESIGN</x:v>
      </x:c>
      <x:c r="G11" s="68" t="str">
        <x:v>Pass 103</x:v>
      </x:c>
    </x:row>
    <x:row r="12" ht="27" customHeight="1">
      <x:c r="B12" s="65" t="str">
        <x:v>I06</x:v>
      </x:c>
      <x:c r="C12" s="66" t="str">
        <x:v>Damage cells</x:v>
      </x:c>
      <x:c r="D12" s="67" t="n">
        <x:v>2</x:v>
      </x:c>
      <x:c r="E12" s="66" t="str">
        <x:v>cells</x:v>
      </x:c>
      <x:c r="F12" s="66" t="str">
        <x:v>FROZEN</x:v>
      </x:c>
      <x:c r="G12" s="68" t="str">
        <x:v>Pass 102</x:v>
      </x:c>
    </x:row>
    <x:row r="13" ht="27" customHeight="1">
      <x:c r="B13" s="65" t="str">
        <x:v>I07</x:v>
      </x:c>
      <x:c r="C13" s="66" t="str">
        <x:v>Maximum fixture share of decision uncertainty</x:v>
      </x:c>
      <x:c r="D13" s="69" t="n">
        <x:v>0.2</x:v>
      </x:c>
      <x:c r="E13" s="66" t="str">
        <x:v>share</x:v>
      </x:c>
      <x:c r="F13" s="66" t="str">
        <x:v>DESIGN</x:v>
      </x:c>
      <x:c r="G13" s="68" t="str">
        <x:v>Pass 102</x:v>
      </x:c>
    </x:row>
    <x:row r="14" ht="27" customHeight="1">
      <x:c r="B14" s="65" t="str">
        <x:v>I08</x:v>
      </x:c>
      <x:c r="C14" s="66" t="str">
        <x:v>Independent clocks</x:v>
      </x:c>
      <x:c r="D14" s="67" t="n">
        <x:v>3</x:v>
      </x:c>
      <x:c r="E14" s="66" t="str">
        <x:v>clocks</x:v>
      </x:c>
      <x:c r="F14" s="66" t="str">
        <x:v>DESIGN</x:v>
      </x:c>
      <x:c r="G14" s="68" t="str">
        <x:v>Pass 103</x:v>
      </x:c>
    </x:row>
    <x:row r="15" ht="27" customHeight="1">
      <x:c r="B15" s="65" t="str">
        <x:v>I09</x:v>
      </x:c>
      <x:c r="C15" s="66" t="str">
        <x:v>Locally complete originals</x:v>
      </x:c>
      <x:c r="D15" s="67" t="n">
        <x:v>2</x:v>
      </x:c>
      <x:c r="E15" s="66" t="str">
        <x:v>originals</x:v>
      </x:c>
      <x:c r="F15" s="66" t="str">
        <x:v>FROZEN</x:v>
      </x:c>
      <x:c r="G15" s="68" t="str">
        <x:v>Pass 102</x:v>
      </x:c>
    </x:row>
    <x:row r="16" ht="27" customHeight="1">
      <x:c r="B16" s="65" t="str">
        <x:v>I10</x:v>
      </x:c>
      <x:c r="C16" s="66" t="str">
        <x:v>Minimum dynamic sample rate</x:v>
      </x:c>
      <x:c r="D16" s="67" t="n">
        <x:v>1000</x:v>
      </x:c>
      <x:c r="E16" s="66" t="str">
        <x:v>Hz</x:v>
      </x:c>
      <x:c r="F16" s="66" t="str">
        <x:v>DESIGN</x:v>
      </x:c>
      <x:c r="G16" s="68" t="str">
        <x:v>Pass 103</x:v>
      </x:c>
    </x:row>
    <x:row r="17" ht="27" customHeight="1">
      <x:c r="B17" s="65" t="str">
        <x:v>I11</x:v>
      </x:c>
      <x:c r="C17" s="66" t="str">
        <x:v>Maximum relative timestamp uncertainty</x:v>
      </x:c>
      <x:c r="D17" s="67" t="n">
        <x:v>100</x:v>
      </x:c>
      <x:c r="E17" s="66" t="str">
        <x:v>microseconds</x:v>
      </x:c>
      <x:c r="F17" s="66" t="str">
        <x:v>DESIGN</x:v>
      </x:c>
      <x:c r="G17" s="68" t="str">
        <x:v>Pass 103</x:v>
      </x:c>
    </x:row>
    <x:row r="18" ht="27" customHeight="1">
      <x:c r="B18" s="65" t="str">
        <x:v>I12</x:v>
      </x:c>
      <x:c r="C18" s="66" t="str">
        <x:v>Maximum six-hour interval error</x:v>
      </x:c>
      <x:c r="D18" s="67" t="n">
        <x:v>0.1</x:v>
      </x:c>
      <x:c r="E18" s="66" t="str">
        <x:v>seconds</x:v>
      </x:c>
      <x:c r="F18" s="66" t="str">
        <x:v>DESIGN</x:v>
      </x:c>
      <x:c r="G18" s="68" t="str">
        <x:v>Pass 103</x:v>
      </x:c>
    </x:row>
    <x:row r="19" ht="27" customHeight="1">
      <x:c r="B19" s="65" t="str">
        <x:v>I13</x:v>
      </x:c>
      <x:c r="C19" s="66" t="str">
        <x:v>Maximum event-boundary error</x:v>
      </x:c>
      <x:c r="D19" s="67" t="n">
        <x:v>10</x:v>
      </x:c>
      <x:c r="E19" s="66" t="str">
        <x:v>milliseconds</x:v>
      </x:c>
      <x:c r="F19" s="66" t="str">
        <x:v>DESIGN</x:v>
      </x:c>
      <x:c r="G19" s="68" t="str">
        <x:v>Pass 103</x:v>
      </x:c>
    </x:row>
    <x:row r="20" ht="27" customHeight="1">
      <x:c r="B20" s="65" t="str">
        <x:v>I14</x:v>
      </x:c>
      <x:c r="C20" s="66" t="str">
        <x:v>Required schema fields</x:v>
      </x:c>
      <x:c r="D20" s="67" t="n">
        <x:v>28</x:v>
      </x:c>
      <x:c r="E20" s="66" t="str">
        <x:v>fields</x:v>
      </x:c>
      <x:c r="F20" s="66" t="str">
        <x:v>DESIGN</x:v>
      </x:c>
      <x:c r="G20" s="68" t="str">
        <x:v>Pass 103</x:v>
      </x:c>
    </x:row>
    <x:row r="21" ht="27" customHeight="1">
      <x:c r="B21" s="65" t="str">
        <x:v>I15</x:v>
      </x:c>
      <x:c r="C21" s="66" t="str">
        <x:v>Registered record classes</x:v>
      </x:c>
      <x:c r="D21" s="67" t="n">
        <x:v>14</x:v>
      </x:c>
      <x:c r="E21" s="66" t="str">
        <x:v>classes</x:v>
      </x:c>
      <x:c r="F21" s="66" t="str">
        <x:v>DESIGN</x:v>
      </x:c>
      <x:c r="G21" s="68" t="str">
        <x:v>Pass 103</x:v>
      </x:c>
    </x:row>
    <x:row r="22" ht="27" customHeight="1">
      <x:c r="B22" s="65" t="str">
        <x:v>I16</x:v>
      </x:c>
      <x:c r="C22" s="66" t="str">
        <x:v>Closure articles</x:v>
      </x:c>
      <x:c r="D22" s="67" t="n">
        <x:v>72</x:v>
      </x:c>
      <x:c r="E22" s="66" t="str">
        <x:v>articles</x:v>
      </x:c>
      <x:c r="F22" s="66" t="str">
        <x:v>FROZEN</x:v>
      </x:c>
      <x:c r="G22" s="68" t="str">
        <x:v>Pass 102</x:v>
      </x:c>
    </x:row>
    <x:row r="23" ht="27" customHeight="1">
      <x:c r="B23" s="65" t="str">
        <x:v>I17</x:v>
      </x:c>
      <x:c r="C23" s="66" t="str">
        <x:v>Damage runs</x:v>
      </x:c>
      <x:c r="D23" s="67" t="n">
        <x:v>26</x:v>
      </x:c>
      <x:c r="E23" s="66" t="str">
        <x:v>runs</x:v>
      </x:c>
      <x:c r="F23" s="66" t="str">
        <x:v>FROZEN</x:v>
      </x:c>
      <x:c r="G23" s="68" t="str">
        <x:v>Pass 102</x:v>
      </x:c>
    </x:row>
    <x:row r="24" ht="27" customHeight="1">
      <x:c r="B24" s="65" t="str">
        <x:v>I18</x:v>
      </x:c>
      <x:c r="C24" s="66" t="str">
        <x:v>Instrumented hours per closure article</x:v>
      </x:c>
      <x:c r="D24" s="67" t="n">
        <x:v>100</x:v>
      </x:c>
      <x:c r="E24" s="66" t="str">
        <x:v>hours</x:v>
      </x:c>
      <x:c r="F24" s="66" t="str">
        <x:v>DESIGN</x:v>
      </x:c>
      <x:c r="G24" s="68" t="str">
        <x:v>Pass 103</x:v>
      </x:c>
    </x:row>
    <x:row r="25" ht="27" customHeight="1">
      <x:c r="B25" s="65" t="str">
        <x:v>I19</x:v>
      </x:c>
      <x:c r="C25" s="66" t="str">
        <x:v>Bytes per native sample</x:v>
      </x:c>
      <x:c r="D25" s="67" t="n">
        <x:v>8</x:v>
      </x:c>
      <x:c r="E25" s="66" t="str">
        <x:v>bytes</x:v>
      </x:c>
      <x:c r="F25" s="66" t="str">
        <x:v>DESIGN</x:v>
      </x:c>
      <x:c r="G25" s="68" t="str">
        <x:v>Pass 103</x:v>
      </x:c>
    </x:row>
    <x:row r="26" ht="27" customHeight="1">
      <x:c r="B26" s="65" t="str">
        <x:v>I20</x:v>
      </x:c>
      <x:c r="C26" s="66" t="str">
        <x:v>Envelope and metadata multiplier</x:v>
      </x:c>
      <x:c r="D26" s="67" t="n">
        <x:v>2.5</x:v>
      </x:c>
      <x:c r="E26" s="66" t="str">
        <x:v>multiplier</x:v>
      </x:c>
      <x:c r="F26" s="66" t="str">
        <x:v>DESIGN</x:v>
      </x:c>
      <x:c r="G26" s="68" t="str">
        <x:v>Pass 103</x:v>
      </x:c>
    </x:row>
    <x:row r="27" ht="27" customHeight="1">
      <x:c r="B27" s="65" t="str">
        <x:v>I21</x:v>
      </x:c>
      <x:c r="C27" s="66" t="str">
        <x:v>Derivative and index margin</x:v>
      </x:c>
      <x:c r="D27" s="69" t="n">
        <x:v>0.3</x:v>
      </x:c>
      <x:c r="E27" s="66" t="str">
        <x:v>share</x:v>
      </x:c>
      <x:c r="F27" s="66" t="str">
        <x:v>DESIGN</x:v>
      </x:c>
      <x:c r="G27" s="68" t="str">
        <x:v>Pass 103</x:v>
      </x:c>
    </x:row>
    <x:row r="28" ht="27" customHeight="1">
      <x:c r="B28" s="65" t="str">
        <x:v>I22</x:v>
      </x:c>
      <x:c r="C28" s="66" t="str">
        <x:v>Commissioning phase</x:v>
      </x:c>
      <x:c r="D28" s="67" t="n">
        <x:v>18</x:v>
      </x:c>
      <x:c r="E28" s="66" t="str">
        <x:v>months</x:v>
      </x:c>
      <x:c r="F28" s="66" t="str">
        <x:v>DESIGN</x:v>
      </x:c>
      <x:c r="G28" s="68" t="str">
        <x:v>inside Pass 102</x:v>
      </x:c>
    </x:row>
    <x:row r="29" ht="27" customHeight="1">
      <x:c r="B29" s="65" t="str">
        <x:v>I23</x:v>
      </x:c>
      <x:c r="C29" s="66" t="str">
        <x:v>Commissioning capital tranche</x:v>
      </x:c>
      <x:c r="D29" s="67" t="n">
        <x:v>0.42</x:v>
      </x:c>
      <x:c r="E29" s="66" t="str">
        <x:v>USD B</x:v>
      </x:c>
      <x:c r="F29" s="66" t="str">
        <x:v>DESIGN</x:v>
      </x:c>
      <x:c r="G29" s="68" t="str">
        <x:v>nested cross-classification</x:v>
      </x:c>
    </x:row>
    <x:row r="30" ht="27" customHeight="1">
      <x:c r="B30" s="65" t="str">
        <x:v>I24</x:v>
      </x:c>
      <x:c r="C30" s="66" t="str">
        <x:v>Pass 102 capital boundary</x:v>
      </x:c>
      <x:c r="D30" s="67" t="n">
        <x:v>1.48</x:v>
      </x:c>
      <x:c r="E30" s="66" t="str">
        <x:v>USD B</x:v>
      </x:c>
      <x:c r="F30" s="66" t="str">
        <x:v>FROZEN</x:v>
      </x:c>
      <x:c r="G30" s="68" t="str">
        <x:v>Pass 102</x:v>
      </x:c>
    </x:row>
    <x:row r="31" ht="27" customHeight="1">
      <x:c r="B31" s="65" t="str">
        <x:v>I25</x:v>
      </x:c>
      <x:c r="C31" s="66" t="str">
        <x:v>Commissioning annual support</x:v>
      </x:c>
      <x:c r="D31" s="67" t="n">
        <x:v>0.086</x:v>
      </x:c>
      <x:c r="E31" s="66" t="str">
        <x:v>USD B/year</x:v>
      </x:c>
      <x:c r="F31" s="66" t="str">
        <x:v>DESIGN</x:v>
      </x:c>
      <x:c r="G31" s="68" t="str">
        <x:v>nested cross-classification</x:v>
      </x:c>
    </x:row>
    <x:row r="32" ht="27" customHeight="1">
      <x:c r="B32" s="65" t="str">
        <x:v>I26</x:v>
      </x:c>
      <x:c r="C32" s="66" t="str">
        <x:v>Pass 102 annual support boundary</x:v>
      </x:c>
      <x:c r="D32" s="67" t="n">
        <x:v>0.192</x:v>
      </x:c>
      <x:c r="E32" s="66" t="str">
        <x:v>USD B/year</x:v>
      </x:c>
      <x:c r="F32" s="66" t="str">
        <x:v>FROZEN</x:v>
      </x:c>
      <x:c r="G32" s="68" t="str">
        <x:v>Pass 102</x:v>
      </x:c>
    </x:row>
    <x:row r="33" ht="27" customHeight="1">
      <x:c r="B33" s="65" t="str">
        <x:v>I27</x:v>
      </x:c>
      <x:c r="C33" s="66" t="str">
        <x:v>Protocol content complete</x:v>
      </x:c>
      <x:c r="D33" s="67" t="n">
        <x:v>1</x:v>
      </x:c>
      <x:c r="E33" s="66" t="str">
        <x:v>binary</x:v>
      </x:c>
      <x:c r="F33" s="66" t="str">
        <x:v>PLANNING</x:v>
      </x:c>
      <x:c r="G33" s="68" t="str">
        <x:v>this workbook</x:v>
      </x:c>
    </x:row>
    <x:row r="34" ht="27" customHeight="1">
      <x:c r="B34" s="65" t="str">
        <x:v>I28</x:v>
      </x:c>
      <x:c r="C34" s="66" t="str">
        <x:v>Constituted authority approval</x:v>
      </x:c>
      <x:c r="D34" s="67" t="n">
        <x:v>0</x:v>
      </x:c>
      <x:c r="E34" s="66" t="str">
        <x:v>binary</x:v>
      </x:c>
      <x:c r="F34" s="66" t="str">
        <x:v>OPEN</x:v>
      </x:c>
      <x:c r="G34" s="68" t="str">
        <x:v>no external approval</x:v>
      </x:c>
    </x:row>
    <x:row r="35" ht="27" customHeight="1">
      <x:c r="B35" s="65" t="str">
        <x:v>I29</x:v>
      </x:c>
      <x:c r="C35" s="66" t="str">
        <x:v>Accepted reference artifacts</x:v>
      </x:c>
      <x:c r="D35" s="67" t="n">
        <x:v>0</x:v>
      </x:c>
      <x:c r="E35" s="66" t="str">
        <x:v>artifacts</x:v>
      </x:c>
      <x:c r="F35" s="66" t="str">
        <x:v>OPEN</x:v>
      </x:c>
      <x:c r="G35" s="68" t="str">
        <x:v>none built</x:v>
      </x:c>
    </x:row>
    <x:row r="36" ht="27" customHeight="1">
      <x:c r="B36" s="65" t="str">
        <x:v>I30</x:v>
      </x:c>
      <x:c r="C36" s="66" t="str">
        <x:v>Commissioned fixture configurations</x:v>
      </x:c>
      <x:c r="D36" s="67" t="n">
        <x:v>0</x:v>
      </x:c>
      <x:c r="E36" s="66" t="str">
        <x:v>configurations</x:v>
      </x:c>
      <x:c r="F36" s="66" t="str">
        <x:v>OPEN</x:v>
      </x:c>
      <x:c r="G36" s="68" t="str">
        <x:v>none commissioned</x:v>
      </x:c>
    </x:row>
    <x:row r="37" ht="27" customHeight="1">
      <x:c r="B37" s="65" t="str">
        <x:v>I31</x:v>
      </x:c>
      <x:c r="C37" s="66" t="str">
        <x:v>Passed commissioning events</x:v>
      </x:c>
      <x:c r="D37" s="67" t="n">
        <x:v>0</x:v>
      </x:c>
      <x:c r="E37" s="66" t="str">
        <x:v>events</x:v>
      </x:c>
      <x:c r="F37" s="66" t="str">
        <x:v>OPEN</x:v>
      </x:c>
      <x:c r="G37" s="68" t="str">
        <x:v>none executed</x:v>
      </x:c>
    </x:row>
    <x:row r="38" ht="27" customHeight="1">
      <x:c r="B38" s="65" t="str">
        <x:v>I32</x:v>
      </x:c>
      <x:c r="C38" s="66" t="str">
        <x:v>Admitted first closure events</x:v>
      </x:c>
      <x:c r="D38" s="67" t="n">
        <x:v>0</x:v>
      </x:c>
      <x:c r="E38" s="66" t="str">
        <x:v>events</x:v>
      </x:c>
      <x:c r="F38" s="66" t="str">
        <x:v>OPEN</x:v>
      </x:c>
      <x:c r="G38" s="68" t="str">
        <x:v>no physical event</x:v>
      </x:c>
    </x:row>
    <x:row r="39" ht="27" customHeight="1">
      <x:c r="B39" s="65" t="str">
        <x:v>I33</x:v>
      </x:c>
      <x:c r="C39" s="66" t="str">
        <x:v>Admitted first damage events</x:v>
      </x:c>
      <x:c r="D39" s="67" t="n">
        <x:v>0</x:v>
      </x:c>
      <x:c r="E39" s="66" t="str">
        <x:v>events</x:v>
      </x:c>
      <x:c r="F39" s="66" t="str">
        <x:v>OPEN</x:v>
      </x:c>
      <x:c r="G39" s="68" t="str">
        <x:v>no physical event</x:v>
      </x:c>
    </x:row>
    <x:row r="40" ht="27" customHeight="1">
      <x:c r="B40" s="65" t="str">
        <x:v>I34</x:v>
      </x:c>
      <x:c r="C40" s="66" t="str">
        <x:v>Internal-section authority</x:v>
      </x:c>
      <x:c r="D40" s="67" t="n">
        <x:v>0</x:v>
      </x:c>
      <x:c r="E40" s="66" t="str">
        <x:v>binary</x:v>
      </x:c>
      <x:c r="F40" s="66" t="str">
        <x:v>BLOCKED</x:v>
      </x:c>
      <x:c r="G40" s="68" t="str">
        <x:v>Pass 102 prerequisite</x:v>
      </x:c>
    </x:row>
    <x:row r="41" ht="27" customHeight="1">
      <x:c r="B41" s="65" t="str">
        <x:v>I35</x:v>
      </x:c>
      <x:c r="C41" s="66" t="str">
        <x:v>Production and form authority</x:v>
      </x:c>
      <x:c r="D41" s="67" t="n">
        <x:v>0</x:v>
      </x:c>
      <x:c r="E41" s="66" t="str">
        <x:v>binary</x:v>
      </x:c>
      <x:c r="F41" s="66" t="str">
        <x:v>BLOCKED</x:v>
      </x:c>
      <x:c r="G41" s="68" t="str">
        <x:v>complete F36 mission</x:v>
      </x:c>
    </x:row>
    <x:row r="42" ht="27" customHeight="1">
      <x:c r="B42" s="65" t="str">
        <x:v>I36</x:v>
      </x:c>
      <x:c r="C42" s="66" t="str">
        <x:v>Exterior rendering authority</x:v>
      </x:c>
      <x:c r="D42" s="67" t="n">
        <x:v>0</x:v>
      </x:c>
      <x:c r="E42" s="66" t="str">
        <x:v>binary</x:v>
      </x:c>
      <x:c r="F42" s="66" t="str">
        <x:v>BLOCKED</x:v>
      </x:c>
      <x:c r="G42" s="68" t="str">
        <x:v>production/form prerequisite</x:v>
      </x:c>
    </x:row>
    <x:row r="43" ht="27" customHeight="1">
      <x:c r="B43" s="65" t="str">
        <x:v>I37</x:v>
      </x:c>
      <x:c r="C43" s="66" t="str">
        <x:v>Working pressure</x:v>
      </x:c>
      <x:c r="D43" s="67" t="n">
        <x:v>0.7</x:v>
      </x:c>
      <x:c r="E43" s="66" t="str">
        <x:v>MPa</x:v>
      </x:c>
      <x:c r="F43" s="66" t="str">
        <x:v>FROZEN</x:v>
      </x:c>
      <x:c r="G43" s="68" t="str">
        <x:v>Pass 102</x:v>
      </x:c>
    </x:row>
    <x:row r="44" ht="27" customHeight="1">
      <x:c r="B44" s="65" t="str">
        <x:v>I38</x:v>
      </x:c>
      <x:c r="C44" s="66" t="str">
        <x:v>Surge pressure</x:v>
      </x:c>
      <x:c r="D44" s="67" t="n">
        <x:v>0.85</x:v>
      </x:c>
      <x:c r="E44" s="66" t="str">
        <x:v>MPa</x:v>
      </x:c>
      <x:c r="F44" s="66" t="str">
        <x:v>FROZEN</x:v>
      </x:c>
      <x:c r="G44" s="68" t="str">
        <x:v>Pass 102</x:v>
      </x:c>
    </x:row>
    <x:row r="45" ht="27" customHeight="1">
      <x:c r="B45" s="65" t="str">
        <x:v>I39</x:v>
      </x:c>
      <x:c r="C45" s="66" t="str">
        <x:v>Proof pressure</x:v>
      </x:c>
      <x:c r="D45" s="67" t="n">
        <x:v>1.05</x:v>
      </x:c>
      <x:c r="E45" s="66" t="str">
        <x:v>MPa</x:v>
      </x:c>
      <x:c r="F45" s="66" t="str">
        <x:v>FROZEN</x:v>
      </x:c>
      <x:c r="G45" s="68" t="str">
        <x:v>Pass 102</x:v>
      </x:c>
    </x:row>
    <x:row r="46" ht="27" customHeight="1">
      <x:c r="B46" s="65" t="str">
        <x:v>I40</x:v>
      </x:c>
      <x:c r="C46" s="66" t="str">
        <x:v>Vacuum challenge</x:v>
      </x:c>
      <x:c r="D46" s="67" t="n">
        <x:v>-0.085</x:v>
      </x:c>
      <x:c r="E46" s="66" t="str">
        <x:v>MPa</x:v>
      </x:c>
      <x:c r="F46" s="66" t="str">
        <x:v>FROZEN</x:v>
      </x:c>
      <x:c r="G46" s="68" t="str">
        <x:v>Pass 102</x:v>
      </x:c>
    </x:row>
    <x:row r="47" ht="27" customHeight="1">
      <x:c r="B47" s="65" t="str">
        <x:v>I41</x:v>
      </x:c>
      <x:c r="C47" s="66" t="str">
        <x:v>Static leak decision floor</x:v>
      </x:c>
      <x:c r="D47" s="67" t="n">
        <x:v>0.1</x:v>
      </x:c>
      <x:c r="E47" s="66" t="str">
        <x:v>L/hour</x:v>
      </x:c>
      <x:c r="F47" s="66" t="str">
        <x:v>FROZEN</x:v>
      </x:c>
      <x:c r="G47" s="68" t="str">
        <x:v>Pass 102</x:v>
      </x:c>
    </x:row>
    <x:row r="48" ht="27" customHeight="1">
      <x:c r="B48" s="65" t="str">
        <x:v>I42</x:v>
      </x:c>
      <x:c r="C48" s="66" t="str">
        <x:v>Leak expanded uncertainty target</x:v>
      </x:c>
      <x:c r="D48" s="67" t="n">
        <x:v>0.02</x:v>
      </x:c>
      <x:c r="E48" s="66" t="str">
        <x:v>L/hour</x:v>
      </x:c>
      <x:c r="F48" s="66" t="str">
        <x:v>DESIGN</x:v>
      </x:c>
      <x:c r="G48" s="68" t="str">
        <x:v>Pass 103</x:v>
      </x:c>
    </x:row>
    <x:row r="49" ht="27" customHeight="1">
      <x:c r="B49" s="65" t="str">
        <x:v>I43</x:v>
      </x:c>
      <x:c r="C49" s="66" t="str">
        <x:v>Minimum-area decision share</x:v>
      </x:c>
      <x:c r="D49" s="69" t="n">
        <x:v>0.95</x:v>
      </x:c>
      <x:c r="E49" s="66" t="str">
        <x:v>share</x:v>
      </x:c>
      <x:c r="F49" s="66" t="str">
        <x:v>DESIGN</x:v>
      </x:c>
      <x:c r="G49" s="68" t="str">
        <x:v>Pass 103</x:v>
      </x:c>
    </x:row>
    <x:row r="50" ht="27" customHeight="1">
      <x:c r="B50" s="65" t="str">
        <x:v>I44</x:v>
      </x:c>
      <x:c r="C50" s="66" t="str">
        <x:v>Area-share uncertainty target</x:v>
      </x:c>
      <x:c r="D50" s="69" t="n">
        <x:v>0.005</x:v>
      </x:c>
      <x:c r="E50" s="66" t="str">
        <x:v>share</x:v>
      </x:c>
      <x:c r="F50" s="66" t="str">
        <x:v>DESIGN</x:v>
      </x:c>
      <x:c r="G50" s="68" t="str">
        <x:v>Pass 103</x:v>
      </x:c>
    </x:row>
    <x:row r="51" ht="27" customHeight="1">
      <x:c r="B51" s="65" t="str">
        <x:v>I45</x:v>
      </x:c>
      <x:c r="C51" s="66" t="str">
        <x:v>Axial service case</x:v>
      </x:c>
      <x:c r="D51" s="67" t="n">
        <x:v>200</x:v>
      </x:c>
      <x:c r="E51" s="66" t="str">
        <x:v>kN</x:v>
      </x:c>
      <x:c r="F51" s="66" t="str">
        <x:v>FROZEN</x:v>
      </x:c>
      <x:c r="G51" s="68" t="str">
        <x:v>Pass 102</x:v>
      </x:c>
    </x:row>
    <x:row r="52" ht="27" customHeight="1">
      <x:c r="B52" s="65" t="str">
        <x:v>I46</x:v>
      </x:c>
      <x:c r="C52" s="66" t="str">
        <x:v>Axial-load uncertainty target</x:v>
      </x:c>
      <x:c r="D52" s="67" t="n">
        <x:v>2</x:v>
      </x:c>
      <x:c r="E52" s="66" t="str">
        <x:v>kN</x:v>
      </x:c>
      <x:c r="F52" s="66" t="str">
        <x:v>DESIGN</x:v>
      </x:c>
      <x:c r="G52" s="68" t="str">
        <x:v>Pass 103</x:v>
      </x:c>
    </x:row>
    <x:row r="53" ht="27" customHeight="1">
      <x:c r="B53" s="65" t="str">
        <x:v>I47</x:v>
      </x:c>
      <x:c r="C53" s="66" t="str">
        <x:v>Pressure uncertainty target</x:v>
      </x:c>
      <x:c r="D53" s="69" t="n">
        <x:v>0.01</x:v>
      </x:c>
      <x:c r="E53" s="66" t="str">
        <x:v>relative</x:v>
      </x:c>
      <x:c r="F53" s="66" t="str">
        <x:v>DESIGN</x:v>
      </x:c>
      <x:c r="G53" s="68" t="str">
        <x:v>Pass 103</x:v>
      </x:c>
    </x:row>
    <x:row r="54" ht="27" customHeight="1">
      <x:c r="B54" s="65" t="str">
        <x:v>I48</x:v>
      </x:c>
      <x:c r="C54" s="66" t="str">
        <x:v>Flow uncertainty target</x:v>
      </x:c>
      <x:c r="D54" s="69" t="n">
        <x:v>0.005</x:v>
      </x:c>
      <x:c r="E54" s="66" t="str">
        <x:v>relative</x:v>
      </x:c>
      <x:c r="F54" s="66" t="str">
        <x:v>DESIGN</x:v>
      </x:c>
      <x:c r="G54" s="68" t="str">
        <x:v>Pass 103</x:v>
      </x:c>
    </x:row>
    <x:row r="55" ht="27" customHeight="1">
      <x:c r="B55" s="65" t="str">
        <x:v>I49</x:v>
      </x:c>
      <x:c r="C55" s="66" t="str">
        <x:v>Geometry uncertainty target</x:v>
      </x:c>
      <x:c r="D55" s="67" t="n">
        <x:v>0.5</x:v>
      </x:c>
      <x:c r="E55" s="66" t="str">
        <x:v>millimetres</x:v>
      </x:c>
      <x:c r="F55" s="66" t="str">
        <x:v>DESIGN</x:v>
      </x:c>
      <x:c r="G55" s="68" t="str">
        <x:v>Pass 103</x:v>
      </x:c>
    </x:row>
    <x:row r="56" ht="27" customHeight="1">
      <x:c r="B56" s="65" t="str">
        <x:v>I50</x:v>
      </x:c>
      <x:c r="C56" s="66" t="str">
        <x:v>Displacement uncertainty target</x:v>
      </x:c>
      <x:c r="D56" s="67" t="n">
        <x:v>1</x:v>
      </x:c>
      <x:c r="E56" s="66" t="str">
        <x:v>millimetres</x:v>
      </x:c>
      <x:c r="F56" s="66" t="str">
        <x:v>DESIGN</x:v>
      </x:c>
      <x:c r="G56" s="68" t="str">
        <x:v>Pass 103</x:v>
      </x:c>
    </x:row>
    <x:row r="57" ht="27" customHeight="1">
      <x:c r="B57" s="65" t="str">
        <x:v>I51</x:v>
      </x:c>
      <x:c r="C57" s="66" t="str">
        <x:v>Closure native samples per second</x:v>
      </x:c>
      <x:c r="D57" s="67" t="n">
        <x:v>195080</x:v>
      </x:c>
      <x:c r="E57" s="66" t="str">
        <x:v>samples/second</x:v>
      </x:c>
      <x:c r="F57" s="66" t="str">
        <x:v>DERIVED</x:v>
      </x:c>
      <x:c r="G57" s="68" t="str">
        <x:v>instrument plan</x:v>
      </x:c>
    </x:row>
    <x:row r="58" ht="27" customHeight="1">
      <x:c r="B58" s="65" t="str">
        <x:v>I52</x:v>
      </x:c>
      <x:c r="C58" s="66" t="str">
        <x:v>Damage native samples per second</x:v>
      </x:c>
      <x:c r="D58" s="67" t="n">
        <x:v>284000</x:v>
      </x:c>
      <x:c r="E58" s="66" t="str">
        <x:v>samples/second</x:v>
      </x:c>
      <x:c r="F58" s="66" t="str">
        <x:v>DERIVED</x:v>
      </x:c>
      <x:c r="G58" s="68" t="str">
        <x:v>instrument plan</x:v>
      </x:c>
    </x:row>
    <x:row r="59" ht="27" customHeight="1">
      <x:c r="B59" s="65" t="str">
        <x:v>I53</x:v>
      </x:c>
      <x:c r="C59" s="66" t="str">
        <x:v>Hours per damage run</x:v>
      </x:c>
      <x:c r="D59" s="67" t="n">
        <x:v>6</x:v>
      </x:c>
      <x:c r="E59" s="66" t="str">
        <x:v>hours</x:v>
      </x:c>
      <x:c r="F59" s="66" t="str">
        <x:v>FROZEN</x:v>
      </x:c>
      <x:c r="G59" s="68" t="str">
        <x:v>Pass 102</x:v>
      </x:c>
    </x:row>
    <x:row r="60" ht="27" customHeight="1">
      <x:c r="B60" s="65" t="str">
        <x:v>I54</x:v>
      </x:c>
      <x:c r="C60" s="66" t="str">
        <x:v>Maximum consecutive events from one root</x:v>
      </x:c>
      <x:c r="D60" s="67" t="n">
        <x:v>2</x:v>
      </x:c>
      <x:c r="E60" s="66" t="str">
        <x:v>events</x:v>
      </x:c>
      <x:c r="F60" s="66" t="str">
        <x:v>DESIGN</x:v>
      </x:c>
      <x:c r="G60" s="68" t="str">
        <x:v>Pass 103</x:v>
      </x:c>
    </x:row>
    <x:row r="61" ht="27" customHeight="1">
      <x:c r="B61" s="65" t="str">
        <x:v>I55</x:v>
      </x:c>
      <x:c r="C61" s="66" t="str">
        <x:v>Commit-reveal authorities</x:v>
      </x:c>
      <x:c r="D61" s="67" t="n">
        <x:v>3</x:v>
      </x:c>
      <x:c r="E61" s="66" t="str">
        <x:v>authorities</x:v>
      </x:c>
      <x:c r="F61" s="66" t="str">
        <x:v>DESIGN</x:v>
      </x:c>
      <x:c r="G61" s="68" t="str">
        <x:v>Pass 103</x:v>
      </x:c>
    </x:row>
    <x:row r="62" ht="27" customHeight="1">
      <x:c r="B62" s="65" t="str">
        <x:v>I56</x:v>
      </x:c>
      <x:c r="C62" s="66" t="str">
        <x:v>Authority transitions</x:v>
      </x:c>
      <x:c r="D62" s="67" t="n">
        <x:v>18</x:v>
      </x:c>
      <x:c r="E62" s="66" t="str">
        <x:v>transitions</x:v>
      </x:c>
      <x:c r="F62" s="66" t="str">
        <x:v>DESIGN</x:v>
      </x:c>
      <x:c r="G62" s="68" t="str">
        <x:v>Pass 103</x:v>
      </x:c>
    </x:row>
    <x:row r="63" ht="27" customHeight="1">
      <x:c r="B63" s="65" t="str">
        <x:v>I57</x:v>
      </x:c>
      <x:c r="C63" s="66" t="str">
        <x:v>Decision-packet objects</x:v>
      </x:c>
      <x:c r="D63" s="67" t="n">
        <x:v>18</x:v>
      </x:c>
      <x:c r="E63" s="66" t="str">
        <x:v>objects</x:v>
      </x:c>
      <x:c r="F63" s="66" t="str">
        <x:v>DESIGN</x:v>
      </x:c>
      <x:c r="G63" s="68" t="str">
        <x:v>Pass 103</x:v>
      </x:c>
    </x:row>
    <x:row r="64" ht="27" customHeight="1">
      <x:c r="B64" s="65" t="str">
        <x:v>I58</x:v>
      </x:c>
      <x:c r="C64" s="66" t="str">
        <x:v>Invalid-run rules</x:v>
      </x:c>
      <x:c r="D64" s="67" t="n">
        <x:v>10</x:v>
      </x:c>
      <x:c r="E64" s="66" t="str">
        <x:v>rules</x:v>
      </x:c>
      <x:c r="F64" s="66" t="str">
        <x:v>DESIGN</x:v>
      </x:c>
      <x:c r="G64" s="68" t="str">
        <x:v>Pass 103</x:v>
      </x:c>
    </x:row>
    <x:row r="65" ht="27" customHeight="1">
      <x:c r="B65" s="65" t="str">
        <x:v>I59</x:v>
      </x:c>
      <x:c r="C65" s="66" t="str">
        <x:v>Blank and recovery controls</x:v>
      </x:c>
      <x:c r="D65" s="67" t="n">
        <x:v>10</x:v>
      </x:c>
      <x:c r="E65" s="66" t="str">
        <x:v>controls</x:v>
      </x:c>
      <x:c r="F65" s="66" t="str">
        <x:v>DESIGN</x:v>
      </x:c>
      <x:c r="G65" s="68" t="str">
        <x:v>Pass 103</x:v>
      </x:c>
    </x:row>
    <x:row r="66" ht="27" customHeight="1">
      <x:c r="B66" s="70" t="str">
        <x:v>I60</x:v>
      </x:c>
      <x:c r="C66" s="71" t="str">
        <x:v>Release gates</x:v>
      </x:c>
      <x:c r="D66" s="72" t="n">
        <x:v>22</x:v>
      </x:c>
      <x:c r="E66" s="71" t="str">
        <x:v>gates</x:v>
      </x:c>
      <x:c r="F66" s="71" t="str">
        <x:v>DESIGN</x:v>
      </x:c>
      <x:c r="G66" s="73" t="str">
        <x:v>Pass 103</x:v>
      </x:c>
    </x:row>
  </x:sheetData>
  <x:mergeCells>
    <x:mergeCell ref="B3:G3"/>
  </x:mergeCells>
  <x:conditionalFormatting sqref="F7:F66">
    <x:cfRule type="containsText" dxfId="0" priority="1" operator="containsText" text="FAIL"/>
    <x:cfRule type="containsText" dxfId="1" priority="2" operator="containsText" text="BLOCKED"/>
    <x:cfRule type="containsText" dxfId="2" priority="3" operator="containsText" text="HOLD"/>
    <x:cfRule type="containsText" dxfId="3" priority="4" operator="containsText" text="OPEN"/>
    <x:cfRule type="containsText" dxfId="4" priority="5" operator="containsText" text="UNTESTED"/>
    <x:cfRule type="containsText" dxfId="5" priority="6" operator="containsText" text="INDETERMINATE"/>
    <x:cfRule type="containsText" dxfId="6" priority="7" operator="containsText" text="INVALID"/>
    <x:cfRule type="containsText" dxfId="7" priority="8" operator="containsText" text="PASS"/>
    <x:cfRule type="containsText" dxfId="8" priority="9" operator="containsText" text="CLOSED"/>
    <x:cfRule type="containsText" dxfId="9" priority="10" operator="containsText" text="READY"/>
    <x:cfRule type="containsText" dxfId="10" priority="11" operator="containsText" text="AUTHORIZED"/>
    <x:cfRule type="containsText" dxfId="11" priority="12" operator="containsText" text="PLANNING PASS"/>
    <x:cfRule type="containsText" dxfId="12" priority="13" operator="containsText" text="COMPLETE"/>
    <x:cfRule type="containsText" dxfId="13" priority="14" operator="containsText" text="ACCEPTED"/>
    <x:cfRule type="containsText" dxfId="14" priority="15" operator="containsText" text="ADMITTED"/>
    <x:cfRule type="containsText" dxfId="15" priority="16" operator="containsText" text="RELEASED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8C7D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1" hidden="0" customWidth="1"/>
    <x:col min="3" max="3" width="23" hidden="0" customWidth="1"/>
    <x:col min="4" max="4" width="27" hidden="0" customWidth="1"/>
    <x:col min="5" max="5" width="15" hidden="0" customWidth="1"/>
    <x:col min="6" max="6" width="17" hidden="0" customWidth="1"/>
    <x:col min="7" max="7" width="34" hidden="0" customWidth="1"/>
    <x:col min="8" max="8" width="24" hidden="0" customWidth="1"/>
    <x:col min="9" max="9" width="16" hidden="0" customWidth="1"/>
  </x:cols>
  <x:sheetData>
    <x:row r="2">
      <x:c r="B2" s="1" t="str">
        <x:v>Twenty-four-reference artifact registry</x:v>
      </x:c>
      <x:c r="C2" s="55"/>
      <x:c r="D2" s="55"/>
      <x:c r="E2" s="55"/>
      <x:c r="F2" s="55"/>
      <x:c r="G2" s="55"/>
      <x:c r="H2" s="55"/>
      <x:c r="I2" s="55"/>
      <x:c r="J2" s="55"/>
    </x:row>
    <x:row r="3">
      <x:c r="B3" s="2" t="str">
        <x:v>References bracket every decisive boundary and remain public infrastructure under independent custody.</x:v>
      </x:c>
      <x:c r="C3" s="55"/>
      <x:c r="D3" s="55"/>
      <x:c r="E3" s="55"/>
      <x:c r="F3" s="55"/>
      <x:c r="G3" s="55"/>
      <x:c r="H3" s="55"/>
      <x:c r="I3" s="55"/>
      <x:c r="J3" s="55"/>
    </x:row>
    <x:row r="4">
      <x:c r="B4" s="57"/>
      <x:c r="C4" s="57"/>
      <x:c r="D4" s="57"/>
      <x:c r="E4" s="57"/>
      <x:c r="F4" s="57"/>
      <x:c r="G4" s="57"/>
      <x:c r="H4" s="57"/>
      <x:c r="I4" s="57"/>
      <x:c r="J4" s="57"/>
    </x:row>
    <x:row r="5">
      <x:c r="B5" s="55"/>
      <x:c r="C5" s="55"/>
      <x:c r="D5" s="55"/>
      <x:c r="E5" s="55"/>
      <x:c r="F5" s="55"/>
      <x:c r="G5" s="55"/>
      <x:c r="H5" s="55"/>
      <x:c r="I5" s="55"/>
      <x:c r="J5" s="55"/>
    </x:row>
    <x:row r="6">
      <x:c r="B6" s="15" t="str">
        <x:v>Artifact</x:v>
      </x:c>
      <x:c r="C6" s="16" t="str">
        <x:v>Class</x:v>
      </x:c>
      <x:c r="D6" s="16" t="str">
        <x:v>Truth state</x:v>
      </x:c>
      <x:c r="E6" s="16" t="str">
        <x:v>Value</x:v>
      </x:c>
      <x:c r="F6" s="16" t="str">
        <x:v>Unit</x:v>
      </x:c>
      <x:c r="G6" s="16" t="str">
        <x:v>Primary truth method</x:v>
      </x:c>
      <x:c r="H6" s="16" t="str">
        <x:v>Tier-0 ancestry</x:v>
      </x:c>
      <x:c r="I6" s="16" t="str">
        <x:v>Physical state</x:v>
      </x:c>
      <x:c r="J6" s="55"/>
    </x:row>
    <x:row r="7" ht="36" customHeight="1">
      <x:c r="B7" s="65" t="str">
        <x:v>P01</x:v>
      </x:c>
      <x:c r="C7" s="66" t="str">
        <x:v>pressure/transient</x:v>
      </x:c>
      <x:c r="D7" s="66" t="str">
        <x:v>working pressure</x:v>
      </x:c>
      <x:c r="E7" s="66" t="n">
        <x:v>0.7</x:v>
      </x:c>
      <x:c r="F7" s="66" t="str">
        <x:v>MPa</x:v>
      </x:c>
      <x:c r="G7" s="66" t="str">
        <x:v>stable static transfer</x:v>
      </x:c>
      <x:c r="H7" s="66" t="str">
        <x:v>T0 pressure cell</x:v>
      </x:c>
      <x:c r="I7" s="68" t="str">
        <x:v>OPEN</x:v>
      </x:c>
      <x:c r="J7" s="55"/>
    </x:row>
    <x:row r="8" ht="36" customHeight="1">
      <x:c r="B8" s="65" t="str">
        <x:v>P02</x:v>
      </x:c>
      <x:c r="C8" s="66" t="str">
        <x:v>pressure/transient</x:v>
      </x:c>
      <x:c r="D8" s="66" t="str">
        <x:v>surge pressure</x:v>
      </x:c>
      <x:c r="E8" s="66" t="n">
        <x:v>0.85</x:v>
      </x:c>
      <x:c r="F8" s="66" t="str">
        <x:v>MPa</x:v>
      </x:c>
      <x:c r="G8" s="66" t="str">
        <x:v>registered rise and spectrum</x:v>
      </x:c>
      <x:c r="H8" s="66" t="str">
        <x:v>T0 pressure cell</x:v>
      </x:c>
      <x:c r="I8" s="68" t="str">
        <x:v>OPEN</x:v>
      </x:c>
      <x:c r="J8" s="55"/>
    </x:row>
    <x:row r="9" ht="36" customHeight="1">
      <x:c r="B9" s="65" t="str">
        <x:v>P03</x:v>
      </x:c>
      <x:c r="C9" s="66" t="str">
        <x:v>pressure/transient</x:v>
      </x:c>
      <x:c r="D9" s="66" t="str">
        <x:v>proof pressure</x:v>
      </x:c>
      <x:c r="E9" s="66" t="n">
        <x:v>1.05</x:v>
      </x:c>
      <x:c r="F9" s="66" t="str">
        <x:v>MPa</x:v>
      </x:c>
      <x:c r="G9" s="66" t="str">
        <x:v>registered hold</x:v>
      </x:c>
      <x:c r="H9" s="66" t="str">
        <x:v>T0 pressure cell</x:v>
      </x:c>
      <x:c r="I9" s="68" t="str">
        <x:v>OPEN</x:v>
      </x:c>
      <x:c r="J9" s="55"/>
    </x:row>
    <x:row r="10" ht="36" customHeight="1">
      <x:c r="B10" s="65" t="str">
        <x:v>P04</x:v>
      </x:c>
      <x:c r="C10" s="66" t="str">
        <x:v>pressure/transient</x:v>
      </x:c>
      <x:c r="D10" s="66" t="str">
        <x:v>vacuum</x:v>
      </x:c>
      <x:c r="E10" s="66" t="n">
        <x:v>-0.085</x:v>
      </x:c>
      <x:c r="F10" s="66" t="str">
        <x:v>MPa</x:v>
      </x:c>
      <x:c r="G10" s="66" t="str">
        <x:v>negative-pressure transfer</x:v>
      </x:c>
      <x:c r="H10" s="66" t="str">
        <x:v>T0 pressure cell</x:v>
      </x:c>
      <x:c r="I10" s="68" t="str">
        <x:v>OPEN</x:v>
      </x:c>
      <x:c r="J10" s="55"/>
    </x:row>
    <x:row r="11" ht="36" customHeight="1">
      <x:c r="B11" s="65" t="str">
        <x:v>F01</x:v>
      </x:c>
      <x:c r="C11" s="66" t="str">
        <x:v>flow/volume</x:v>
      </x:c>
      <x:c r="D11" s="66" t="str">
        <x:v>low flow</x:v>
      </x:c>
      <x:c r="E11" s="66" t="n">
        <x:v>0.25</x:v>
      </x:c>
      <x:c r="F11" s="66" t="str">
        <x:v>normalized</x:v>
      </x:c>
      <x:c r="G11" s="66" t="str">
        <x:v>stable transfer</x:v>
      </x:c>
      <x:c r="H11" s="66" t="str">
        <x:v>T0 flow cell</x:v>
      </x:c>
      <x:c r="I11" s="68" t="str">
        <x:v>OPEN</x:v>
      </x:c>
      <x:c r="J11" s="55"/>
    </x:row>
    <x:row r="12" ht="36" customHeight="1">
      <x:c r="B12" s="65" t="str">
        <x:v>F02</x:v>
      </x:c>
      <x:c r="C12" s="66" t="str">
        <x:v>flow/volume</x:v>
      </x:c>
      <x:c r="D12" s="66" t="str">
        <x:v>nominal flow</x:v>
      </x:c>
      <x:c r="E12" s="66" t="n">
        <x:v>1</x:v>
      </x:c>
      <x:c r="F12" s="66" t="str">
        <x:v>normalized</x:v>
      </x:c>
      <x:c r="G12" s="66" t="str">
        <x:v>stable transfer and volume</x:v>
      </x:c>
      <x:c r="H12" s="66" t="str">
        <x:v>T0 flow cell</x:v>
      </x:c>
      <x:c r="I12" s="68" t="str">
        <x:v>OPEN</x:v>
      </x:c>
      <x:c r="J12" s="55"/>
    </x:row>
    <x:row r="13" ht="36" customHeight="1">
      <x:c r="B13" s="65" t="str">
        <x:v>F03</x:v>
      </x:c>
      <x:c r="C13" s="66" t="str">
        <x:v>flow/volume</x:v>
      </x:c>
      <x:c r="D13" s="66" t="str">
        <x:v>high flow</x:v>
      </x:c>
      <x:c r="E13" s="66" t="n">
        <x:v>1.25</x:v>
      </x:c>
      <x:c r="F13" s="66" t="str">
        <x:v>normalized</x:v>
      </x:c>
      <x:c r="G13" s="66" t="str">
        <x:v>stable transfer</x:v>
      </x:c>
      <x:c r="H13" s="66" t="str">
        <x:v>T0 flow cell</x:v>
      </x:c>
      <x:c r="I13" s="68" t="str">
        <x:v>OPEN</x:v>
      </x:c>
      <x:c r="J13" s="55"/>
    </x:row>
    <x:row r="14" ht="36" customHeight="1">
      <x:c r="B14" s="65" t="str">
        <x:v>G01</x:v>
      </x:c>
      <x:c r="C14" s="66" t="str">
        <x:v>geometry</x:v>
      </x:c>
      <x:c r="D14" s="66" t="str">
        <x:v>below area boundary</x:v>
      </x:c>
      <x:c r="E14" s="66" t="n">
        <x:v>0.94</x:v>
      </x:c>
      <x:c r="F14" s="66" t="str">
        <x:v>area share</x:v>
      </x:c>
      <x:c r="G14" s="66" t="str">
        <x:v>full-section survey</x:v>
      </x:c>
      <x:c r="H14" s="66" t="str">
        <x:v>T0 geometry cell</x:v>
      </x:c>
      <x:c r="I14" s="68" t="str">
        <x:v>OPEN</x:v>
      </x:c>
      <x:c r="J14" s="55"/>
    </x:row>
    <x:row r="15" ht="36" customHeight="1">
      <x:c r="B15" s="65" t="str">
        <x:v>G02</x:v>
      </x:c>
      <x:c r="C15" s="66" t="str">
        <x:v>geometry</x:v>
      </x:c>
      <x:c r="D15" s="66" t="str">
        <x:v>at area boundary</x:v>
      </x:c>
      <x:c r="E15" s="66" t="n">
        <x:v>0.95</x:v>
      </x:c>
      <x:c r="F15" s="66" t="str">
        <x:v>area share</x:v>
      </x:c>
      <x:c r="G15" s="66" t="str">
        <x:v>full-section survey</x:v>
      </x:c>
      <x:c r="H15" s="66" t="str">
        <x:v>T0 geometry cell</x:v>
      </x:c>
      <x:c r="I15" s="68" t="str">
        <x:v>OPEN</x:v>
      </x:c>
      <x:c r="J15" s="55"/>
    </x:row>
    <x:row r="16" ht="36" customHeight="1">
      <x:c r="B16" s="65" t="str">
        <x:v>G03</x:v>
      </x:c>
      <x:c r="C16" s="66" t="str">
        <x:v>geometry</x:v>
      </x:c>
      <x:c r="D16" s="66" t="str">
        <x:v>above area boundary</x:v>
      </x:c>
      <x:c r="E16" s="66" t="n">
        <x:v>0.96</x:v>
      </x:c>
      <x:c r="F16" s="66" t="str">
        <x:v>area share</x:v>
      </x:c>
      <x:c r="G16" s="66" t="str">
        <x:v>full-section survey</x:v>
      </x:c>
      <x:c r="H16" s="66" t="str">
        <x:v>T0 geometry cell</x:v>
      </x:c>
      <x:c r="I16" s="68" t="str">
        <x:v>OPEN</x:v>
      </x:c>
      <x:c r="J16" s="55"/>
    </x:row>
    <x:row r="17" ht="36" customHeight="1">
      <x:c r="B17" s="65" t="str">
        <x:v>L01</x:v>
      </x:c>
      <x:c r="C17" s="66" t="str">
        <x:v>known leak</x:v>
      </x:c>
      <x:c r="D17" s="66" t="str">
        <x:v>below floor</x:v>
      </x:c>
      <x:c r="E17" s="66" t="n">
        <x:v>0.05</x:v>
      </x:c>
      <x:c r="F17" s="66" t="str">
        <x:v>L/hour</x:v>
      </x:c>
      <x:c r="G17" s="66" t="str">
        <x:v>stable microleak cartridge</x:v>
      </x:c>
      <x:c r="H17" s="66" t="str">
        <x:v>T0 leak cell</x:v>
      </x:c>
      <x:c r="I17" s="68" t="str">
        <x:v>OPEN</x:v>
      </x:c>
      <x:c r="J17" s="55"/>
    </x:row>
    <x:row r="18" ht="36" customHeight="1">
      <x:c r="B18" s="65" t="str">
        <x:v>L02</x:v>
      </x:c>
      <x:c r="C18" s="66" t="str">
        <x:v>known leak</x:v>
      </x:c>
      <x:c r="D18" s="66" t="str">
        <x:v>at floor</x:v>
      </x:c>
      <x:c r="E18" s="66" t="n">
        <x:v>0.1</x:v>
      </x:c>
      <x:c r="F18" s="66" t="str">
        <x:v>L/hour</x:v>
      </x:c>
      <x:c r="G18" s="66" t="str">
        <x:v>stable microleak cartridge</x:v>
      </x:c>
      <x:c r="H18" s="66" t="str">
        <x:v>T0 leak cell</x:v>
      </x:c>
      <x:c r="I18" s="68" t="str">
        <x:v>OPEN</x:v>
      </x:c>
      <x:c r="J18" s="55"/>
    </x:row>
    <x:row r="19" ht="36" customHeight="1">
      <x:c r="B19" s="65" t="str">
        <x:v>L03</x:v>
      </x:c>
      <x:c r="C19" s="66" t="str">
        <x:v>known leak</x:v>
      </x:c>
      <x:c r="D19" s="66" t="str">
        <x:v>above floor</x:v>
      </x:c>
      <x:c r="E19" s="66" t="n">
        <x:v>0.2</x:v>
      </x:c>
      <x:c r="F19" s="66" t="str">
        <x:v>L/hour</x:v>
      </x:c>
      <x:c r="G19" s="66" t="str">
        <x:v>stable microleak cartridge</x:v>
      </x:c>
      <x:c r="H19" s="66" t="str">
        <x:v>T0 leak cell</x:v>
      </x:c>
      <x:c r="I19" s="68" t="str">
        <x:v>OPEN</x:v>
      </x:c>
      <x:c r="J19" s="55"/>
    </x:row>
    <x:row r="20" ht="36" customHeight="1">
      <x:c r="B20" s="65" t="str">
        <x:v>A01</x:v>
      </x:c>
      <x:c r="C20" s="66" t="str">
        <x:v>axial load/restraint</x:v>
      </x:c>
      <x:c r="D20" s="66" t="str">
        <x:v>below service case</x:v>
      </x:c>
      <x:c r="E20" s="66" t="n">
        <x:v>190</x:v>
      </x:c>
      <x:c r="F20" s="66" t="str">
        <x:v>kN</x:v>
      </x:c>
      <x:c r="G20" s="66" t="str">
        <x:v>independent load path</x:v>
      </x:c>
      <x:c r="H20" s="66" t="str">
        <x:v>T0 force cell</x:v>
      </x:c>
      <x:c r="I20" s="68" t="str">
        <x:v>OPEN</x:v>
      </x:c>
      <x:c r="J20" s="55"/>
    </x:row>
    <x:row r="21" ht="36" customHeight="1">
      <x:c r="B21" s="65" t="str">
        <x:v>A02</x:v>
      </x:c>
      <x:c r="C21" s="66" t="str">
        <x:v>axial load/restraint</x:v>
      </x:c>
      <x:c r="D21" s="66" t="str">
        <x:v>at service case</x:v>
      </x:c>
      <x:c r="E21" s="66" t="n">
        <x:v>200</x:v>
      </x:c>
      <x:c r="F21" s="66" t="str">
        <x:v>kN</x:v>
      </x:c>
      <x:c r="G21" s="66" t="str">
        <x:v>independent load path</x:v>
      </x:c>
      <x:c r="H21" s="66" t="str">
        <x:v>T0 force cell</x:v>
      </x:c>
      <x:c r="I21" s="68" t="str">
        <x:v>OPEN</x:v>
      </x:c>
      <x:c r="J21" s="55"/>
    </x:row>
    <x:row r="22" ht="36" customHeight="1">
      <x:c r="B22" s="65" t="str">
        <x:v>A03</x:v>
      </x:c>
      <x:c r="C22" s="66" t="str">
        <x:v>axial load/restraint</x:v>
      </x:c>
      <x:c r="D22" s="66" t="str">
        <x:v>above service case</x:v>
      </x:c>
      <x:c r="E22" s="66" t="n">
        <x:v>210</x:v>
      </x:c>
      <x:c r="F22" s="66" t="str">
        <x:v>kN</x:v>
      </x:c>
      <x:c r="G22" s="66" t="str">
        <x:v>independent load path</x:v>
      </x:c>
      <x:c r="H22" s="66" t="str">
        <x:v>T0 force cell</x:v>
      </x:c>
      <x:c r="I22" s="68" t="str">
        <x:v>OPEN</x:v>
      </x:c>
      <x:c r="J22" s="55"/>
    </x:row>
    <x:row r="23" ht="36" customHeight="1">
      <x:c r="B23" s="65" t="str">
        <x:v>T01</x:v>
      </x:c>
      <x:c r="C23" s="66" t="str">
        <x:v>time/data</x:v>
      </x:c>
      <x:c r="D23" s="66" t="str">
        <x:v>clock step</x:v>
      </x:c>
      <x:c r="E23" s="66" t="n">
        <x:v>1</x:v>
      </x:c>
      <x:c r="F23" s="66" t="str">
        <x:v>event</x:v>
      </x:c>
      <x:c r="G23" s="66" t="str">
        <x:v>private truth clock</x:v>
      </x:c>
      <x:c r="H23" s="66" t="str">
        <x:v>T0 time cell</x:v>
      </x:c>
      <x:c r="I23" s="68" t="str">
        <x:v>OPEN</x:v>
      </x:c>
      <x:c r="J23" s="55"/>
    </x:row>
    <x:row r="24" ht="36" customHeight="1">
      <x:c r="B24" s="65" t="str">
        <x:v>T02</x:v>
      </x:c>
      <x:c r="C24" s="66" t="str">
        <x:v>time/data</x:v>
      </x:c>
      <x:c r="D24" s="66" t="str">
        <x:v>bounded drift</x:v>
      </x:c>
      <x:c r="E24" s="66" t="n">
        <x:v>1</x:v>
      </x:c>
      <x:c r="F24" s="66" t="str">
        <x:v>event</x:v>
      </x:c>
      <x:c r="G24" s="66" t="str">
        <x:v>drift injection</x:v>
      </x:c>
      <x:c r="H24" s="66" t="str">
        <x:v>T0 time cell</x:v>
      </x:c>
      <x:c r="I24" s="68" t="str">
        <x:v>OPEN</x:v>
      </x:c>
      <x:c r="J24" s="55"/>
    </x:row>
    <x:row r="25" ht="36" customHeight="1">
      <x:c r="B25" s="65" t="str">
        <x:v>T03</x:v>
      </x:c>
      <x:c r="C25" s="66" t="str">
        <x:v>time/data</x:v>
      </x:c>
      <x:c r="D25" s="66" t="str">
        <x:v>network loss</x:v>
      </x:c>
      <x:c r="E25" s="66" t="n">
        <x:v>1</x:v>
      </x:c>
      <x:c r="F25" s="66" t="str">
        <x:v>event</x:v>
      </x:c>
      <x:c r="G25" s="66" t="str">
        <x:v>denial appliance</x:v>
      </x:c>
      <x:c r="H25" s="66" t="str">
        <x:v>T0 time cell</x:v>
      </x:c>
      <x:c r="I25" s="68" t="str">
        <x:v>OPEN</x:v>
      </x:c>
      <x:c r="J25" s="55"/>
    </x:row>
    <x:row r="26" ht="36" customHeight="1">
      <x:c r="B26" s="65" t="str">
        <x:v>W01</x:v>
      </x:c>
      <x:c r="C26" s="66" t="str">
        <x:v>water/challenge</x:v>
      </x:c>
      <x:c r="D26" s="66" t="str">
        <x:v>blank</x:v>
      </x:c>
      <x:c r="E26" s="66" t="n">
        <x:v>0</x:v>
      </x:c>
      <x:c r="F26" s="66" t="str">
        <x:v>challenge</x:v>
      </x:c>
      <x:c r="G26" s="66" t="str">
        <x:v>sealed source truth</x:v>
      </x:c>
      <x:c r="H26" s="66" t="str">
        <x:v>T0 water cell</x:v>
      </x:c>
      <x:c r="I26" s="68" t="str">
        <x:v>OPEN</x:v>
      </x:c>
      <x:c r="J26" s="55"/>
    </x:row>
    <x:row r="27" ht="36" customHeight="1">
      <x:c r="B27" s="65" t="str">
        <x:v>W02</x:v>
      </x:c>
      <x:c r="C27" s="66" t="str">
        <x:v>water/challenge</x:v>
      </x:c>
      <x:c r="D27" s="66" t="str">
        <x:v>low recovery</x:v>
      </x:c>
      <x:c r="E27" s="66" t="n">
        <x:v>1</x:v>
      </x:c>
      <x:c r="F27" s="66" t="str">
        <x:v>challenge</x:v>
      </x:c>
      <x:c r="G27" s="66" t="str">
        <x:v>sealed composition</x:v>
      </x:c>
      <x:c r="H27" s="66" t="str">
        <x:v>T0 water cell</x:v>
      </x:c>
      <x:c r="I27" s="68" t="str">
        <x:v>OPEN</x:v>
      </x:c>
      <x:c r="J27" s="55"/>
    </x:row>
    <x:row r="28" ht="36" customHeight="1">
      <x:c r="B28" s="65" t="str">
        <x:v>W03</x:v>
      </x:c>
      <x:c r="C28" s="66" t="str">
        <x:v>water/challenge</x:v>
      </x:c>
      <x:c r="D28" s="66" t="str">
        <x:v>decision boundary</x:v>
      </x:c>
      <x:c r="E28" s="66" t="n">
        <x:v>2</x:v>
      </x:c>
      <x:c r="F28" s="66" t="str">
        <x:v>challenge</x:v>
      </x:c>
      <x:c r="G28" s="66" t="str">
        <x:v>sealed composition</x:v>
      </x:c>
      <x:c r="H28" s="66" t="str">
        <x:v>T0 water cell</x:v>
      </x:c>
      <x:c r="I28" s="68" t="str">
        <x:v>OPEN</x:v>
      </x:c>
      <x:c r="J28" s="55"/>
    </x:row>
    <x:row r="29" ht="36" customHeight="1">
      <x:c r="B29" s="65" t="str">
        <x:v>W04</x:v>
      </x:c>
      <x:c r="C29" s="66" t="str">
        <x:v>water/challenge</x:v>
      </x:c>
      <x:c r="D29" s="66" t="str">
        <x:v>high recovery</x:v>
      </x:c>
      <x:c r="E29" s="66" t="n">
        <x:v>3</x:v>
      </x:c>
      <x:c r="F29" s="66" t="str">
        <x:v>challenge</x:v>
      </x:c>
      <x:c r="G29" s="66" t="str">
        <x:v>sealed composition</x:v>
      </x:c>
      <x:c r="H29" s="66" t="str">
        <x:v>T0 water cell</x:v>
      </x:c>
      <x:c r="I29" s="68" t="str">
        <x:v>OPEN</x:v>
      </x:c>
      <x:c r="J29" s="55"/>
    </x:row>
    <x:row r="30" ht="36" customHeight="1">
      <x:c r="B30" s="70" t="str">
        <x:v>C01</x:v>
      </x:c>
      <x:c r="C30" s="71" t="str">
        <x:v>configuration/blind</x:v>
      </x:c>
      <x:c r="D30" s="71" t="str">
        <x:v>tampered baseline</x:v>
      </x:c>
      <x:c r="E30" s="71" t="n">
        <x:v>1</x:v>
      </x:c>
      <x:c r="F30" s="71" t="str">
        <x:v>package</x:v>
      </x:c>
      <x:c r="G30" s="71" t="str">
        <x:v>signature and material mismatch</x:v>
      </x:c>
      <x:c r="H30" s="71" t="str">
        <x:v>truth authority</x:v>
      </x:c>
      <x:c r="I30" s="73" t="str">
        <x:v>OPEN</x:v>
      </x:c>
      <x:c r="J30" s="55"/>
    </x:row>
    <x:row r="31">
      <x:c r="B31" s="55"/>
      <x:c r="C31" s="55"/>
      <x:c r="D31" s="55"/>
      <x:c r="E31" s="55"/>
      <x:c r="F31" s="55"/>
      <x:c r="G31" s="55"/>
      <x:c r="H31" s="55"/>
      <x:c r="I31" s="55"/>
      <x:c r="J31" s="55"/>
    </x:row>
    <x:row r="32">
      <x:c r="B32" s="55"/>
      <x:c r="C32" s="55"/>
      <x:c r="D32" s="55"/>
      <x:c r="E32" s="55"/>
      <x:c r="F32" s="55"/>
      <x:c r="G32" s="55"/>
      <x:c r="H32" s="55"/>
      <x:c r="I32" s="55"/>
      <x:c r="J32" s="55"/>
    </x:row>
    <x:row r="33">
      <x:c r="B33" s="58" t="str">
        <x:v>Registry controls</x:v>
      </x:c>
      <x:c r="C33" s="59" t="str">
        <x:v>Registry controls</x:v>
      </x:c>
      <x:c r="D33" s="59" t="str">
        <x:v>Registry controls</x:v>
      </x:c>
      <x:c r="E33" s="59" t="str">
        <x:v>Registry controls</x:v>
      </x:c>
      <x:c r="F33" s="59" t="str">
        <x:v>Registry controls</x:v>
      </x:c>
      <x:c r="G33" s="59" t="str">
        <x:v>Registry controls</x:v>
      </x:c>
      <x:c r="H33" s="59" t="str">
        <x:v>Registry controls</x:v>
      </x:c>
      <x:c r="I33" s="60" t="str">
        <x:v>Registry controls</x:v>
      </x:c>
      <x:c r="J33" s="55"/>
    </x:row>
    <x:row r="34">
      <x:c r="B34" s="55" t="str">
        <x:v>Artifacts</x:v>
      </x:c>
      <x:c r="C34" s="55" t="str">
        <x:v>required 24</x:v>
      </x:c>
      <x:c r="D34" s="55" t="n">
        <x:f>COUNTA(B7:B30)</x:f>
        <x:v>24</x:v>
      </x:c>
      <x:c r="E34" s="55"/>
      <x:c r="F34" s="55"/>
      <x:c r="G34" s="55"/>
      <x:c r="H34" s="55"/>
      <x:c r="I34" s="55"/>
      <x:c r="J34" s="55"/>
    </x:row>
    <x:row r="35">
      <x:c r="B35" s="55" t="str">
        <x:v>Reference classes</x:v>
      </x:c>
      <x:c r="C35" s="55" t="str">
        <x:v>required 8</x:v>
      </x:c>
      <x:c r="D35" s="55" t="n">
        <x:f>IF(COUNTIF(C7:C30,"pressure/transient")&gt;0,1,0)+IF(COUNTIF(C7:C30,"flow/volume")&gt;0,1,0)+IF(COUNTIF(C7:C30,"geometry")&gt;0,1,0)+IF(COUNTIF(C7:C30,"known leak")&gt;0,1,0)+IF(COUNTIF(C7:C30,"axial load/restraint")&gt;0,1,0)+IF(COUNTIF(C7:C30,"time/data")&gt;0,1,0)+IF(COUNTIF(C7:C30,"water/challenge")&gt;0,1,0)+IF(COUNTIF(C7:C30,"configuration/blind")&gt;0,1,0)</x:f>
        <x:v>8</x:v>
      </x:c>
      <x:c r="E35" s="55"/>
      <x:c r="F35" s="55"/>
      <x:c r="G35" s="55"/>
      <x:c r="H35" s="55"/>
      <x:c r="I35" s="55"/>
      <x:c r="J35" s="55"/>
    </x:row>
    <x:row r="36">
      <x:c r="B36" s="55" t="str">
        <x:v>Planning state</x:v>
      </x:c>
      <x:c r="C36" s="55" t="str">
        <x:v>all rows complete</x:v>
      </x:c>
      <x:c r="D36" s="55" t="str">
        <x:f>IF(AND(D34='Control Inputs'!D7,D35='Control Inputs'!D8,COUNTBLANK(B7:I30)=0),"PASS","FAIL")</x:f>
        <x:v>PASS</x:v>
      </x:c>
      <x:c r="E36" s="55"/>
      <x:c r="F36" s="55"/>
      <x:c r="G36" s="55"/>
      <x:c r="H36" s="55"/>
      <x:c r="I36" s="55"/>
      <x:c r="J36" s="55"/>
    </x:row>
  </x:sheetData>
  <x:mergeCells>
    <x:mergeCell ref="B3:J3"/>
    <x:mergeCell ref="B33:I33"/>
  </x:mergeCells>
  <x:conditionalFormatting sqref="I7:I30">
    <x:cfRule type="containsText" dxfId="16" priority="1" operator="containsText" text="FAIL"/>
    <x:cfRule type="containsText" dxfId="17" priority="2" operator="containsText" text="BLOCKED"/>
    <x:cfRule type="containsText" dxfId="18" priority="3" operator="containsText" text="HOLD"/>
    <x:cfRule type="containsText" dxfId="19" priority="4" operator="containsText" text="OPEN"/>
    <x:cfRule type="containsText" dxfId="20" priority="5" operator="containsText" text="UNTESTED"/>
    <x:cfRule type="containsText" dxfId="21" priority="6" operator="containsText" text="INDETERMINATE"/>
    <x:cfRule type="containsText" dxfId="22" priority="7" operator="containsText" text="INVALID"/>
    <x:cfRule type="containsText" dxfId="23" priority="8" operator="containsText" text="PASS"/>
    <x:cfRule type="containsText" dxfId="24" priority="9" operator="containsText" text="CLOSED"/>
    <x:cfRule type="containsText" dxfId="25" priority="10" operator="containsText" text="READY"/>
    <x:cfRule type="containsText" dxfId="26" priority="11" operator="containsText" text="AUTHORIZED"/>
    <x:cfRule type="containsText" dxfId="27" priority="12" operator="containsText" text="PLANNING PASS"/>
    <x:cfRule type="containsText" dxfId="28" priority="13" operator="containsText" text="COMPLETE"/>
    <x:cfRule type="containsText" dxfId="29" priority="14" operator="containsText" text="ACCEPTED"/>
    <x:cfRule type="containsText" dxfId="30" priority="15" operator="containsText" text="ADMITTED"/>
    <x:cfRule type="containsText" dxfId="31" priority="16" operator="containsText" text="RELEASED"/>
  </x:conditionalFormatting>
  <x:conditionalFormatting sqref="D36:D36">
    <x:cfRule type="containsText" dxfId="32" priority="17" operator="containsText" text="FAIL"/>
    <x:cfRule type="containsText" dxfId="33" priority="18" operator="containsText" text="BLOCKED"/>
    <x:cfRule type="containsText" dxfId="34" priority="19" operator="containsText" text="HOLD"/>
    <x:cfRule type="containsText" dxfId="35" priority="20" operator="containsText" text="OPEN"/>
    <x:cfRule type="containsText" dxfId="36" priority="21" operator="containsText" text="UNTESTED"/>
    <x:cfRule type="containsText" dxfId="37" priority="22" operator="containsText" text="INDETERMINATE"/>
    <x:cfRule type="containsText" dxfId="38" priority="23" operator="containsText" text="INVALID"/>
    <x:cfRule type="containsText" dxfId="39" priority="24" operator="containsText" text="PASS"/>
    <x:cfRule type="containsText" dxfId="40" priority="25" operator="containsText" text="CLOSED"/>
    <x:cfRule type="containsText" dxfId="41" priority="26" operator="containsText" text="READY"/>
    <x:cfRule type="containsText" dxfId="42" priority="27" operator="containsText" text="AUTHORIZED"/>
    <x:cfRule type="containsText" dxfId="43" priority="28" operator="containsText" text="PLANNING PASS"/>
    <x:cfRule type="containsText" dxfId="44" priority="29" operator="containsText" text="COMPLETE"/>
    <x:cfRule type="containsText" dxfId="45" priority="30" operator="containsText" text="ACCEPTED"/>
    <x:cfRule type="containsText" dxfId="46" priority="31" operator="containsText" text="ADMITTED"/>
    <x:cfRule type="containsText" dxfId="47" priority="32" operator="containsText" text="RELEASED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B8C7D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1" hidden="0" customWidth="1"/>
    <x:col min="3" max="3" width="26" hidden="0" customWidth="1"/>
    <x:col min="4" max="4" width="10" hidden="0" customWidth="1"/>
    <x:col min="5" max="5" width="40" hidden="0" customWidth="1"/>
    <x:col min="6" max="6" width="28" hidden="0" customWidth="1"/>
    <x:col min="7" max="7" width="22" hidden="0" customWidth="1"/>
    <x:col min="8" max="8" width="25" hidden="0" customWidth="1"/>
    <x:col min="9" max="9" width="16" hidden="0" customWidth="1"/>
  </x:cols>
  <x:sheetData>
    <x:row r="2">
      <x:c r="B2" s="1" t="str">
        <x:v>Four-tier public calibration chain</x:v>
      </x:c>
      <x:c r="C2" s="55"/>
      <x:c r="D2" s="55"/>
      <x:c r="E2" s="55"/>
      <x:c r="F2" s="55"/>
      <x:c r="G2" s="55"/>
      <x:c r="H2" s="55"/>
      <x:c r="I2" s="55"/>
      <x:c r="J2" s="55"/>
    </x:row>
    <x:row r="3">
      <x:c r="B3" s="2" t="str">
        <x:v>No tier certifies itself. Mounted-system proof closes the chain from public primary truth to native run observation.</x:v>
      </x:c>
      <x:c r="C3" s="55"/>
      <x:c r="D3" s="55"/>
      <x:c r="E3" s="55"/>
      <x:c r="F3" s="55"/>
      <x:c r="G3" s="55"/>
      <x:c r="H3" s="55"/>
      <x:c r="I3" s="55"/>
      <x:c r="J3" s="55"/>
    </x:row>
    <x:row r="4">
      <x:c r="B4" s="57"/>
      <x:c r="C4" s="57"/>
      <x:c r="D4" s="57"/>
      <x:c r="E4" s="57"/>
      <x:c r="F4" s="57"/>
      <x:c r="G4" s="57"/>
      <x:c r="H4" s="57"/>
      <x:c r="I4" s="57"/>
      <x:c r="J4" s="57"/>
    </x:row>
    <x:row r="5">
      <x:c r="B5" s="55"/>
      <x:c r="C5" s="55"/>
      <x:c r="D5" s="55"/>
      <x:c r="E5" s="55"/>
      <x:c r="F5" s="55"/>
      <x:c r="G5" s="55"/>
      <x:c r="H5" s="55"/>
      <x:c r="I5" s="55"/>
      <x:c r="J5" s="55"/>
    </x:row>
    <x:row r="6">
      <x:c r="B6" s="15" t="str">
        <x:v>ID</x:v>
      </x:c>
      <x:c r="C6" s="16" t="str">
        <x:v>Quantity family</x:v>
      </x:c>
      <x:c r="D6" s="16" t="str">
        <x:v>Tier</x:v>
      </x:c>
      <x:c r="E6" s="16" t="str">
        <x:v>Object</x:v>
      </x:c>
      <x:c r="F6" s="16" t="str">
        <x:v>Custodian</x:v>
      </x:c>
      <x:c r="G6" s="16" t="str">
        <x:v>Mobility</x:v>
      </x:c>
      <x:c r="H6" s="16" t="str">
        <x:v>Required bracket</x:v>
      </x:c>
      <x:c r="I6" s="16" t="str">
        <x:v>Planning state</x:v>
      </x:c>
      <x:c r="J6" s="55"/>
    </x:row>
    <x:row r="7" ht="39" customHeight="1">
      <x:c r="B7" s="65" t="str">
        <x:v>CAL01</x:v>
      </x:c>
      <x:c r="C7" s="66" t="str">
        <x:v>pressure</x:v>
      </x:c>
      <x:c r="D7" s="66" t="str">
        <x:v>T0</x:v>
      </x:c>
      <x:c r="E7" s="66" t="str">
        <x:v>national primary pressure cell</x:v>
      </x:c>
      <x:c r="F7" s="66" t="str">
        <x:v>national metrology authority</x:v>
      </x:c>
      <x:c r="G7" s="66" t="str">
        <x:v>fixed redundant cells</x:v>
      </x:c>
      <x:c r="H7" s="66" t="str">
        <x:v>unlike-cell comparison</x:v>
      </x:c>
      <x:c r="I7" s="68" t="str">
        <x:v>PASS</x:v>
      </x:c>
      <x:c r="J7" s="55"/>
    </x:row>
    <x:row r="8" ht="39" customHeight="1">
      <x:c r="B8" s="65" t="str">
        <x:v>CAL02</x:v>
      </x:c>
      <x:c r="C8" s="66" t="str">
        <x:v>pressure</x:v>
      </x:c>
      <x:c r="D8" s="66" t="str">
        <x:v>T1</x:v>
      </x:c>
      <x:c r="E8" s="66" t="str">
        <x:v>traveling pressure/transient skid</x:v>
      </x:c>
      <x:c r="F8" s="66" t="str">
        <x:v>transfer detachment</x:v>
      </x:c>
      <x:c r="G8" s="66" t="str">
        <x:v>deployable</x:v>
      </x:c>
      <x:c r="H8" s="66" t="str">
        <x:v>pre/post transfer</x:v>
      </x:c>
      <x:c r="I8" s="68" t="str">
        <x:v>PASS</x:v>
      </x:c>
      <x:c r="J8" s="55"/>
    </x:row>
    <x:row r="9" ht="39" customHeight="1">
      <x:c r="B9" s="65" t="str">
        <x:v>CAL03</x:v>
      </x:c>
      <x:c r="C9" s="66" t="str">
        <x:v>pressure</x:v>
      </x:c>
      <x:c r="D9" s="66" t="str">
        <x:v>T2</x:v>
      </x:c>
      <x:c r="E9" s="66" t="str">
        <x:v>mounted fixture references</x:v>
      </x:c>
      <x:c r="F9" s="66" t="str">
        <x:v>fixture metrology</x:v>
      </x:c>
      <x:c r="G9" s="66" t="str">
        <x:v>range-resident</x:v>
      </x:c>
      <x:c r="H9" s="66" t="str">
        <x:v>pre/post event</x:v>
      </x:c>
      <x:c r="I9" s="68" t="str">
        <x:v>PASS</x:v>
      </x:c>
      <x:c r="J9" s="55"/>
    </x:row>
    <x:row r="10" ht="39" customHeight="1">
      <x:c r="B10" s="65" t="str">
        <x:v>CAL04</x:v>
      </x:c>
      <x:c r="C10" s="66" t="str">
        <x:v>pressure</x:v>
      </x:c>
      <x:c r="D10" s="66" t="str">
        <x:v>T3</x:v>
      </x:c>
      <x:c r="E10" s="66" t="str">
        <x:v>run transducers</x:v>
      </x:c>
      <x:c r="F10" s="66" t="str">
        <x:v>evidence authority</x:v>
      </x:c>
      <x:c r="G10" s="66" t="str">
        <x:v>mounted</x:v>
      </x:c>
      <x:c r="H10" s="66" t="str">
        <x:v>native observation</x:v>
      </x:c>
      <x:c r="I10" s="68" t="str">
        <x:v>PASS</x:v>
      </x:c>
      <x:c r="J10" s="55"/>
    </x:row>
    <x:row r="11" ht="39" customHeight="1">
      <x:c r="B11" s="65" t="str">
        <x:v>CAL05</x:v>
      </x:c>
      <x:c r="C11" s="66" t="str">
        <x:v>flow/geometry/force</x:v>
      </x:c>
      <x:c r="D11" s="66" t="str">
        <x:v>T0</x:v>
      </x:c>
      <x:c r="E11" s="66" t="str">
        <x:v>primary realization cells</x:v>
      </x:c>
      <x:c r="F11" s="66" t="str">
        <x:v>national metrology authority</x:v>
      </x:c>
      <x:c r="G11" s="66" t="str">
        <x:v>fixed redundant cells</x:v>
      </x:c>
      <x:c r="H11" s="66" t="str">
        <x:v>unlike-cell comparison</x:v>
      </x:c>
      <x:c r="I11" s="68" t="str">
        <x:v>PASS</x:v>
      </x:c>
      <x:c r="J11" s="55"/>
    </x:row>
    <x:row r="12" ht="39" customHeight="1">
      <x:c r="B12" s="65" t="str">
        <x:v>CAL06</x:v>
      </x:c>
      <x:c r="C12" s="66" t="str">
        <x:v>flow/geometry/force</x:v>
      </x:c>
      <x:c r="D12" s="66" t="str">
        <x:v>T1</x:v>
      </x:c>
      <x:c r="E12" s="66" t="str">
        <x:v>traveling transfer packages</x:v>
      </x:c>
      <x:c r="F12" s="66" t="str">
        <x:v>transfer detachment</x:v>
      </x:c>
      <x:c r="G12" s="66" t="str">
        <x:v>deployable</x:v>
      </x:c>
      <x:c r="H12" s="66" t="str">
        <x:v>pre/post transfer</x:v>
      </x:c>
      <x:c r="I12" s="68" t="str">
        <x:v>PASS</x:v>
      </x:c>
      <x:c r="J12" s="55"/>
    </x:row>
    <x:row r="13" ht="39" customHeight="1">
      <x:c r="B13" s="65" t="str">
        <x:v>CAL07</x:v>
      </x:c>
      <x:c r="C13" s="66" t="str">
        <x:v>flow/geometry/force</x:v>
      </x:c>
      <x:c r="D13" s="66" t="str">
        <x:v>T2</x:v>
      </x:c>
      <x:c r="E13" s="66" t="str">
        <x:v>fixture working references</x:v>
      </x:c>
      <x:c r="F13" s="66" t="str">
        <x:v>fixture metrology</x:v>
      </x:c>
      <x:c r="G13" s="66" t="str">
        <x:v>range-resident</x:v>
      </x:c>
      <x:c r="H13" s="66" t="str">
        <x:v>pre/post event</x:v>
      </x:c>
      <x:c r="I13" s="68" t="str">
        <x:v>PASS</x:v>
      </x:c>
      <x:c r="J13" s="55"/>
    </x:row>
    <x:row r="14" ht="39" customHeight="1">
      <x:c r="B14" s="65" t="str">
        <x:v>CAL08</x:v>
      </x:c>
      <x:c r="C14" s="66" t="str">
        <x:v>flow/geometry/force</x:v>
      </x:c>
      <x:c r="D14" s="66" t="str">
        <x:v>T3</x:v>
      </x:c>
      <x:c r="E14" s="66" t="str">
        <x:v>mounted run instruments</x:v>
      </x:c>
      <x:c r="F14" s="66" t="str">
        <x:v>evidence authority</x:v>
      </x:c>
      <x:c r="G14" s="66" t="str">
        <x:v>mounted</x:v>
      </x:c>
      <x:c r="H14" s="66" t="str">
        <x:v>native observation</x:v>
      </x:c>
      <x:c r="I14" s="68" t="str">
        <x:v>PASS</x:v>
      </x:c>
      <x:c r="J14" s="55"/>
    </x:row>
    <x:row r="15" ht="39" customHeight="1">
      <x:c r="B15" s="65" t="str">
        <x:v>CAL09</x:v>
      </x:c>
      <x:c r="C15" s="66" t="str">
        <x:v>time/data/water</x:v>
      </x:c>
      <x:c r="D15" s="66" t="str">
        <x:v>T0</x:v>
      </x:c>
      <x:c r="E15" s="66" t="str">
        <x:v>primary clocks and water truth cells</x:v>
      </x:c>
      <x:c r="F15" s="66" t="str">
        <x:v>independent authorities</x:v>
      </x:c>
      <x:c r="G15" s="66" t="str">
        <x:v>fixed redundant cells</x:v>
      </x:c>
      <x:c r="H15" s="66" t="str">
        <x:v>unlike-cell comparison</x:v>
      </x:c>
      <x:c r="I15" s="68" t="str">
        <x:v>PASS</x:v>
      </x:c>
      <x:c r="J15" s="55"/>
    </x:row>
    <x:row r="16" ht="39" customHeight="1">
      <x:c r="B16" s="65" t="str">
        <x:v>CAL10</x:v>
      </x:c>
      <x:c r="C16" s="66" t="str">
        <x:v>time/data/water</x:v>
      </x:c>
      <x:c r="D16" s="66" t="str">
        <x:v>T1</x:v>
      </x:c>
      <x:c r="E16" s="66" t="str">
        <x:v>traveling clocks and challenge packages</x:v>
      </x:c>
      <x:c r="F16" s="66" t="str">
        <x:v>transfer detachment</x:v>
      </x:c>
      <x:c r="G16" s="66" t="str">
        <x:v>deployable</x:v>
      </x:c>
      <x:c r="H16" s="66" t="str">
        <x:v>pre/post transfer</x:v>
      </x:c>
      <x:c r="I16" s="68" t="str">
        <x:v>PASS</x:v>
      </x:c>
      <x:c r="J16" s="55"/>
    </x:row>
    <x:row r="17" ht="39" customHeight="1">
      <x:c r="B17" s="65" t="str">
        <x:v>CAL11</x:v>
      </x:c>
      <x:c r="C17" s="66" t="str">
        <x:v>time/data/water</x:v>
      </x:c>
      <x:c r="D17" s="66" t="str">
        <x:v>T2</x:v>
      </x:c>
      <x:c r="E17" s="66" t="str">
        <x:v>fixture clocks/blanks/recovery controls</x:v>
      </x:c>
      <x:c r="F17" s="66" t="str">
        <x:v>fixture authorities</x:v>
      </x:c>
      <x:c r="G17" s="66" t="str">
        <x:v>range-resident</x:v>
      </x:c>
      <x:c r="H17" s="66" t="str">
        <x:v>pre/post event</x:v>
      </x:c>
      <x:c r="I17" s="68" t="str">
        <x:v>PASS</x:v>
      </x:c>
      <x:c r="J17" s="55"/>
    </x:row>
    <x:row r="18" ht="39" customHeight="1">
      <x:c r="B18" s="70" t="str">
        <x:v>CAL12</x:v>
      </x:c>
      <x:c r="C18" s="71" t="str">
        <x:v>time/data/water</x:v>
      </x:c>
      <x:c r="D18" s="71" t="str">
        <x:v>T3</x:v>
      </x:c>
      <x:c r="E18" s="71" t="str">
        <x:v>run clocks and assay instruments</x:v>
      </x:c>
      <x:c r="F18" s="71" t="str">
        <x:v>evidence/water authorities</x:v>
      </x:c>
      <x:c r="G18" s="71" t="str">
        <x:v>mounted</x:v>
      </x:c>
      <x:c r="H18" s="71" t="str">
        <x:v>native observation</x:v>
      </x:c>
      <x:c r="I18" s="73" t="str">
        <x:v>PASS</x:v>
      </x:c>
      <x:c r="J18" s="55"/>
    </x:row>
    <x:row r="19">
      <x:c r="B19" s="55"/>
      <x:c r="C19" s="55"/>
      <x:c r="D19" s="55"/>
      <x:c r="E19" s="55"/>
      <x:c r="F19" s="55"/>
      <x:c r="G19" s="55"/>
      <x:c r="H19" s="55"/>
      <x:c r="I19" s="55"/>
      <x:c r="J19" s="55"/>
    </x:row>
    <x:row r="20">
      <x:c r="B20" s="55"/>
      <x:c r="C20" s="55"/>
      <x:c r="D20" s="55"/>
      <x:c r="E20" s="55"/>
      <x:c r="F20" s="55"/>
      <x:c r="G20" s="55"/>
      <x:c r="H20" s="55"/>
      <x:c r="I20" s="55"/>
      <x:c r="J20" s="55"/>
    </x:row>
    <x:row r="21">
      <x:c r="B21" s="55" t="str">
        <x:v>CONTROL</x:v>
      </x:c>
      <x:c r="C21" s="55" t="str">
        <x:v>Chain content</x:v>
      </x:c>
      <x:c r="D21" s="55" t="str">
        <x:f>IF(AND(COUNTA(B7:B18)=12,COUNTIF(I7:I18,"PASS")=12),"PASS","FAIL")</x:f>
        <x:v>PASS</x:v>
      </x:c>
      <x:c r="E21" s="55"/>
      <x:c r="F21" s="55"/>
      <x:c r="G21" s="55"/>
      <x:c r="H21" s="55"/>
      <x:c r="I21" s="55"/>
      <x:c r="J21" s="55"/>
    </x:row>
  </x:sheetData>
  <x:mergeCells>
    <x:mergeCell ref="B3:J3"/>
  </x:mergeCells>
  <x:conditionalFormatting sqref="I7:I18">
    <x:cfRule type="containsText" dxfId="48" priority="1" operator="containsText" text="FAIL"/>
    <x:cfRule type="containsText" dxfId="49" priority="2" operator="containsText" text="BLOCKED"/>
    <x:cfRule type="containsText" dxfId="50" priority="3" operator="containsText" text="HOLD"/>
    <x:cfRule type="containsText" dxfId="51" priority="4" operator="containsText" text="OPEN"/>
    <x:cfRule type="containsText" dxfId="52" priority="5" operator="containsText" text="UNTESTED"/>
    <x:cfRule type="containsText" dxfId="53" priority="6" operator="containsText" text="INDETERMINATE"/>
    <x:cfRule type="containsText" dxfId="54" priority="7" operator="containsText" text="INVALID"/>
    <x:cfRule type="containsText" dxfId="55" priority="8" operator="containsText" text="PASS"/>
    <x:cfRule type="containsText" dxfId="56" priority="9" operator="containsText" text="CLOSED"/>
    <x:cfRule type="containsText" dxfId="57" priority="10" operator="containsText" text="READY"/>
    <x:cfRule type="containsText" dxfId="58" priority="11" operator="containsText" text="AUTHORIZED"/>
    <x:cfRule type="containsText" dxfId="59" priority="12" operator="containsText" text="PLANNING PASS"/>
    <x:cfRule type="containsText" dxfId="60" priority="13" operator="containsText" text="COMPLETE"/>
    <x:cfRule type="containsText" dxfId="61" priority="14" operator="containsText" text="ACCEPTED"/>
    <x:cfRule type="containsText" dxfId="62" priority="15" operator="containsText" text="ADMITTED"/>
    <x:cfRule type="containsText" dxfId="63" priority="16" operator="containsText" text="RELEASED"/>
  </x:conditionalFormatting>
  <x:conditionalFormatting sqref="D21:D21">
    <x:cfRule type="containsText" dxfId="64" priority="17" operator="containsText" text="FAIL"/>
    <x:cfRule type="containsText" dxfId="65" priority="18" operator="containsText" text="BLOCKED"/>
    <x:cfRule type="containsText" dxfId="66" priority="19" operator="containsText" text="HOLD"/>
    <x:cfRule type="containsText" dxfId="67" priority="20" operator="containsText" text="OPEN"/>
    <x:cfRule type="containsText" dxfId="68" priority="21" operator="containsText" text="UNTESTED"/>
    <x:cfRule type="containsText" dxfId="69" priority="22" operator="containsText" text="INDETERMINATE"/>
    <x:cfRule type="containsText" dxfId="70" priority="23" operator="containsText" text="INVALID"/>
    <x:cfRule type="containsText" dxfId="71" priority="24" operator="containsText" text="PASS"/>
    <x:cfRule type="containsText" dxfId="72" priority="25" operator="containsText" text="CLOSED"/>
    <x:cfRule type="containsText" dxfId="73" priority="26" operator="containsText" text="READY"/>
    <x:cfRule type="containsText" dxfId="74" priority="27" operator="containsText" text="AUTHORIZED"/>
    <x:cfRule type="containsText" dxfId="75" priority="28" operator="containsText" text="PLANNING PASS"/>
    <x:cfRule type="containsText" dxfId="76" priority="29" operator="containsText" text="COMPLETE"/>
    <x:cfRule type="containsText" dxfId="77" priority="30" operator="containsText" text="ACCEPTED"/>
    <x:cfRule type="containsText" dxfId="78" priority="31" operator="containsText" text="ADMITTED"/>
    <x:cfRule type="containsText" dxfId="79" priority="32" operator="containsText" text="RELEASED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B8C7D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25" hidden="0" customWidth="1"/>
    <x:col min="4" max="4" width="13" hidden="0" customWidth="1"/>
    <x:col min="5" max="5" width="15" hidden="0" customWidth="1"/>
    <x:col min="6" max="6" width="19" hidden="0" customWidth="1"/>
    <x:col min="7" max="7" width="15" hidden="0" customWidth="1"/>
    <x:col min="8" max="8" width="18" hidden="0" customWidth="1"/>
    <x:col min="9" max="9" width="32" hidden="0" customWidth="1"/>
    <x:col min="10" max="10" width="15" hidden="0" customWidth="1"/>
    <x:col min="11" max="11" width="15" hidden="0" customWidth="1"/>
    <x:col min="12" max="12" width="16" hidden="0" customWidth="1"/>
  </x:cols>
  <x:sheetData>
    <x:row r="2">
      <x:c r="B2" s="1" t="str">
        <x:v>Mounted-system uncertainty and guard bands</x:v>
      </x:c>
      <x:c r="C2" s="55"/>
      <x:c r="D2" s="55"/>
      <x:c r="E2" s="55"/>
      <x:c r="F2" s="55"/>
      <x:c r="G2" s="55"/>
      <x:c r="H2" s="55"/>
      <x:c r="I2" s="55"/>
      <x:c r="J2" s="55"/>
      <x:c r="K2" s="55"/>
      <x:c r="L2" s="55"/>
    </x:row>
    <x:row r="3">
      <x:c r="B3" s="2" t="str">
        <x:v>Acceptance occurs only when expanded uncertainty remains on the safe side. The fixture may use at most 20% of the allowable budget.</x:v>
      </x:c>
      <x:c r="C3" s="55"/>
      <x:c r="D3" s="55"/>
      <x:c r="E3" s="55"/>
      <x:c r="F3" s="55"/>
      <x:c r="G3" s="55"/>
      <x:c r="H3" s="55"/>
      <x:c r="I3" s="55"/>
      <x:c r="J3" s="55"/>
      <x:c r="K3" s="55"/>
      <x:c r="L3" s="55"/>
    </x:row>
    <x:row r="4">
      <x:c r="B4" s="57"/>
      <x:c r="C4" s="57"/>
      <x:c r="D4" s="57"/>
      <x:c r="E4" s="57"/>
      <x:c r="F4" s="57"/>
      <x:c r="G4" s="57"/>
      <x:c r="H4" s="57"/>
      <x:c r="I4" s="57"/>
      <x:c r="J4" s="57"/>
      <x:c r="K4" s="57"/>
      <x:c r="L4" s="55"/>
    </x:row>
    <x:row r="5">
      <x:c r="B5" s="55"/>
      <x:c r="C5" s="55"/>
      <x:c r="D5" s="55"/>
      <x:c r="E5" s="55"/>
      <x:c r="F5" s="55"/>
      <x:c r="G5" s="55"/>
      <x:c r="H5" s="55"/>
      <x:c r="I5" s="55"/>
      <x:c r="J5" s="55"/>
      <x:c r="K5" s="55"/>
      <x:c r="L5" s="55"/>
    </x:row>
    <x:row r="6">
      <x:c r="B6" s="15" t="str">
        <x:v>ID</x:v>
      </x:c>
      <x:c r="C6" s="16" t="str">
        <x:v>Quantity</x:v>
      </x:c>
      <x:c r="D6" s="16" t="str">
        <x:v>Limit type</x:v>
      </x:c>
      <x:c r="E6" s="16" t="str">
        <x:v>Boundary</x:v>
      </x:c>
      <x:c r="F6" s="16" t="str">
        <x:v>Unit</x:v>
      </x:c>
      <x:c r="G6" s="16" t="str">
        <x:v>Expanded U</x:v>
      </x:c>
      <x:c r="H6" s="16" t="str">
        <x:v>U unit</x:v>
      </x:c>
      <x:c r="I6" s="16" t="str">
        <x:v>Decision rule</x:v>
      </x:c>
      <x:c r="J6" s="16" t="str">
        <x:v>Status</x:v>
      </x:c>
      <x:c r="K6" s="16" t="str">
        <x:v>Fixture share</x:v>
      </x:c>
      <x:c r="L6" s="16" t="str">
        <x:v>Planning state</x:v>
      </x:c>
    </x:row>
    <x:row r="7" ht="40" customHeight="1">
      <x:c r="B7" s="65" t="str">
        <x:v>U01</x:v>
      </x:c>
      <x:c r="C7" s="66" t="str">
        <x:v>pressure</x:v>
      </x:c>
      <x:c r="D7" s="66" t="str">
        <x:v>upper/lower</x:v>
      </x:c>
      <x:c r="E7" s="66" t="n">
        <x:v>1</x:v>
      </x:c>
      <x:c r="F7" s="66" t="str">
        <x:v>relative decision</x:v>
      </x:c>
      <x:c r="G7" s="66" t="n">
        <x:v>0.01</x:v>
      </x:c>
      <x:c r="H7" s="66" t="str">
        <x:v>relative</x:v>
      </x:c>
      <x:c r="I7" s="66" t="str">
        <x:v>x ± U against bound</x:v>
      </x:c>
      <x:c r="J7" s="66" t="str">
        <x:v>prospective</x:v>
      </x:c>
      <x:c r="K7" s="69" t="n">
        <x:v>0.2</x:v>
      </x:c>
      <x:c r="L7" s="68" t="str">
        <x:v>PASS</x:v>
      </x:c>
    </x:row>
    <x:row r="8" ht="40" customHeight="1">
      <x:c r="B8" s="65" t="str">
        <x:v>U02</x:v>
      </x:c>
      <x:c r="C8" s="66" t="str">
        <x:v>flow/volume</x:v>
      </x:c>
      <x:c r="D8" s="66" t="str">
        <x:v>upper/lower</x:v>
      </x:c>
      <x:c r="E8" s="66" t="n">
        <x:v>1</x:v>
      </x:c>
      <x:c r="F8" s="66" t="str">
        <x:v>relative decision</x:v>
      </x:c>
      <x:c r="G8" s="66" t="n">
        <x:v>0.005</x:v>
      </x:c>
      <x:c r="H8" s="66" t="str">
        <x:v>relative</x:v>
      </x:c>
      <x:c r="I8" s="66" t="str">
        <x:v>accumulated volume retains U</x:v>
      </x:c>
      <x:c r="J8" s="66" t="str">
        <x:v>prospective</x:v>
      </x:c>
      <x:c r="K8" s="69" t="n">
        <x:v>0.2</x:v>
      </x:c>
      <x:c r="L8" s="68" t="str">
        <x:v>PASS</x:v>
      </x:c>
    </x:row>
    <x:row r="9" ht="40" customHeight="1">
      <x:c r="B9" s="65" t="str">
        <x:v>U03</x:v>
      </x:c>
      <x:c r="C9" s="66" t="str">
        <x:v>geometry</x:v>
      </x:c>
      <x:c r="D9" s="66" t="str">
        <x:v>lower</x:v>
      </x:c>
      <x:c r="E9" s="66" t="n">
        <x:v>0.95</x:v>
      </x:c>
      <x:c r="F9" s="66" t="str">
        <x:v>area share</x:v>
      </x:c>
      <x:c r="G9" s="66" t="n">
        <x:v>0.005</x:v>
      </x:c>
      <x:c r="H9" s="66" t="str">
        <x:v>share</x:v>
      </x:c>
      <x:c r="I9" s="66" t="str">
        <x:v>accept if x−U ≥ L</x:v>
      </x:c>
      <x:c r="J9" s="66" t="str">
        <x:v>prospective</x:v>
      </x:c>
      <x:c r="K9" s="69" t="n">
        <x:v>0.2</x:v>
      </x:c>
      <x:c r="L9" s="68" t="str">
        <x:v>PASS</x:v>
      </x:c>
    </x:row>
    <x:row r="10" ht="40" customHeight="1">
      <x:c r="B10" s="65" t="str">
        <x:v>U04</x:v>
      </x:c>
      <x:c r="C10" s="66" t="str">
        <x:v>leak</x:v>
      </x:c>
      <x:c r="D10" s="66" t="str">
        <x:v>upper</x:v>
      </x:c>
      <x:c r="E10" s="66" t="n">
        <x:v>0.1</x:v>
      </x:c>
      <x:c r="F10" s="66" t="str">
        <x:v>L/hour</x:v>
      </x:c>
      <x:c r="G10" s="66" t="n">
        <x:v>0.02</x:v>
      </x:c>
      <x:c r="H10" s="66" t="str">
        <x:v>L/hour</x:v>
      </x:c>
      <x:c r="I10" s="66" t="str">
        <x:v>accept if x+U ≤ L</x:v>
      </x:c>
      <x:c r="J10" s="66" t="str">
        <x:v>prospective</x:v>
      </x:c>
      <x:c r="K10" s="69" t="n">
        <x:v>0.2</x:v>
      </x:c>
      <x:c r="L10" s="68" t="str">
        <x:v>PASS</x:v>
      </x:c>
    </x:row>
    <x:row r="11" ht="40" customHeight="1">
      <x:c r="B11" s="65" t="str">
        <x:v>U05</x:v>
      </x:c>
      <x:c r="C11" s="66" t="str">
        <x:v>axial load</x:v>
      </x:c>
      <x:c r="D11" s="66" t="str">
        <x:v>lower</x:v>
      </x:c>
      <x:c r="E11" s="66" t="n">
        <x:v>200</x:v>
      </x:c>
      <x:c r="F11" s="66" t="str">
        <x:v>kN</x:v>
      </x:c>
      <x:c r="G11" s="66" t="n">
        <x:v>2</x:v>
      </x:c>
      <x:c r="H11" s="66" t="str">
        <x:v>kN</x:v>
      </x:c>
      <x:c r="I11" s="66" t="str">
        <x:v>accept if x−U ≥ L</x:v>
      </x:c>
      <x:c r="J11" s="66" t="str">
        <x:v>prospective</x:v>
      </x:c>
      <x:c r="K11" s="69" t="n">
        <x:v>0.2</x:v>
      </x:c>
      <x:c r="L11" s="68" t="str">
        <x:v>PASS</x:v>
      </x:c>
    </x:row>
    <x:row r="12" ht="40" customHeight="1">
      <x:c r="B12" s="65" t="str">
        <x:v>U06</x:v>
      </x:c>
      <x:c r="C12" s="66" t="str">
        <x:v>displacement</x:v>
      </x:c>
      <x:c r="D12" s="66" t="str">
        <x:v>bounded</x:v>
      </x:c>
      <x:c r="E12" s="66" t="n">
        <x:v>0</x:v>
      </x:c>
      <x:c r="F12" s="66" t="str">
        <x:v>millimetres</x:v>
      </x:c>
      <x:c r="G12" s="66" t="n">
        <x:v>1</x:v>
      </x:c>
      <x:c r="H12" s="66" t="str">
        <x:v>millimetres</x:v>
      </x:c>
      <x:c r="I12" s="66" t="str">
        <x:v>guard both edges</x:v>
      </x:c>
      <x:c r="J12" s="66" t="str">
        <x:v>prospective</x:v>
      </x:c>
      <x:c r="K12" s="69" t="n">
        <x:v>0.2</x:v>
      </x:c>
      <x:c r="L12" s="68" t="str">
        <x:v>PASS</x:v>
      </x:c>
    </x:row>
    <x:row r="13" ht="40" customHeight="1">
      <x:c r="B13" s="65" t="str">
        <x:v>U07</x:v>
      </x:c>
      <x:c r="C13" s="66" t="str">
        <x:v>elapsed time</x:v>
      </x:c>
      <x:c r="D13" s="66" t="str">
        <x:v>upper</x:v>
      </x:c>
      <x:c r="E13" s="66" t="n">
        <x:v>21600</x:v>
      </x:c>
      <x:c r="F13" s="66" t="str">
        <x:v>seconds</x:v>
      </x:c>
      <x:c r="G13" s="66" t="n">
        <x:v>0.1</x:v>
      </x:c>
      <x:c r="H13" s="66" t="str">
        <x:v>seconds</x:v>
      </x:c>
      <x:c r="I13" s="66" t="str">
        <x:v>official interval only</x:v>
      </x:c>
      <x:c r="J13" s="66" t="str">
        <x:v>prospective</x:v>
      </x:c>
      <x:c r="K13" s="69" t="n">
        <x:v>0.2</x:v>
      </x:c>
      <x:c r="L13" s="68" t="str">
        <x:v>PASS</x:v>
      </x:c>
    </x:row>
    <x:row r="14" ht="40" customHeight="1">
      <x:c r="B14" s="70" t="str">
        <x:v>U08</x:v>
      </x:c>
      <x:c r="C14" s="71" t="str">
        <x:v>relative dynamic time</x:v>
      </x:c>
      <x:c r="D14" s="71" t="str">
        <x:v>upper</x:v>
      </x:c>
      <x:c r="E14" s="71" t="n">
        <x:v>100</x:v>
      </x:c>
      <x:c r="F14" s="71" t="str">
        <x:v>microseconds</x:v>
      </x:c>
      <x:c r="G14" s="71" t="n">
        <x:v>100</x:v>
      </x:c>
      <x:c r="H14" s="71" t="str">
        <x:v>microseconds</x:v>
      </x:c>
      <x:c r="I14" s="71" t="str">
        <x:v>causal channel alignment</x:v>
      </x:c>
      <x:c r="J14" s="71" t="str">
        <x:v>prospective</x:v>
      </x:c>
      <x:c r="K14" s="74" t="n">
        <x:v>0.2</x:v>
      </x:c>
      <x:c r="L14" s="73" t="str">
        <x:v>PASS</x:v>
      </x:c>
    </x:row>
    <x:row r="15">
      <x:c r="B15" s="55"/>
      <x:c r="C15" s="55"/>
      <x:c r="D15" s="55"/>
      <x:c r="E15" s="55"/>
      <x:c r="F15" s="55"/>
      <x:c r="G15" s="55"/>
      <x:c r="H15" s="55"/>
      <x:c r="I15" s="55"/>
      <x:c r="J15" s="55"/>
      <x:c r="K15" s="55"/>
      <x:c r="L15" s="55"/>
    </x:row>
    <x:row r="16">
      <x:c r="B16" s="55"/>
      <x:c r="C16" s="55"/>
      <x:c r="D16" s="55"/>
      <x:c r="E16" s="55"/>
      <x:c r="F16" s="55"/>
      <x:c r="G16" s="55"/>
      <x:c r="H16" s="55"/>
      <x:c r="I16" s="55"/>
      <x:c r="J16" s="55"/>
      <x:c r="K16" s="55"/>
      <x:c r="L16" s="55"/>
    </x:row>
    <x:row r="17">
      <x:c r="B17" s="55"/>
      <x:c r="C17" s="55"/>
      <x:c r="D17" s="55"/>
      <x:c r="E17" s="55"/>
      <x:c r="F17" s="55"/>
      <x:c r="G17" s="55"/>
      <x:c r="H17" s="55"/>
      <x:c r="I17" s="55"/>
      <x:c r="J17" s="55"/>
      <x:c r="K17" s="55"/>
      <x:c r="L17" s="55"/>
    </x:row>
    <x:row r="18">
      <x:c r="B18" s="55" t="str">
        <x:v>CONTROL</x:v>
      </x:c>
      <x:c r="C18" s="55" t="str">
        <x:v>Maximum fixture share</x:v>
      </x:c>
      <x:c r="D18" s="75" t="n">
        <x:f>MAX(K7:K14)</x:f>
        <x:v>0.2</x:v>
      </x:c>
      <x:c r="E18" s="55" t="str">
        <x:f>IF(AND(D18&lt;='Control Inputs'!D13,COUNTIF(L7:L14,"PASS")=8),"PASS","FAIL")</x:f>
        <x:v>PASS</x:v>
      </x:c>
      <x:c r="F18" s="55"/>
      <x:c r="G18" s="55"/>
      <x:c r="H18" s="55"/>
      <x:c r="I18" s="55"/>
      <x:c r="J18" s="55"/>
      <x:c r="K18" s="55"/>
      <x:c r="L18" s="55"/>
    </x:row>
  </x:sheetData>
  <x:mergeCells>
    <x:mergeCell ref="B3:K3"/>
  </x:mergeCells>
  <x:conditionalFormatting sqref="L7:L14">
    <x:cfRule type="containsText" dxfId="80" priority="1" operator="containsText" text="FAIL"/>
    <x:cfRule type="containsText" dxfId="81" priority="2" operator="containsText" text="BLOCKED"/>
    <x:cfRule type="containsText" dxfId="82" priority="3" operator="containsText" text="HOLD"/>
    <x:cfRule type="containsText" dxfId="83" priority="4" operator="containsText" text="OPEN"/>
    <x:cfRule type="containsText" dxfId="84" priority="5" operator="containsText" text="UNTESTED"/>
    <x:cfRule type="containsText" dxfId="85" priority="6" operator="containsText" text="INDETERMINATE"/>
    <x:cfRule type="containsText" dxfId="86" priority="7" operator="containsText" text="INVALID"/>
    <x:cfRule type="containsText" dxfId="87" priority="8" operator="containsText" text="PASS"/>
    <x:cfRule type="containsText" dxfId="88" priority="9" operator="containsText" text="CLOSED"/>
    <x:cfRule type="containsText" dxfId="89" priority="10" operator="containsText" text="READY"/>
    <x:cfRule type="containsText" dxfId="90" priority="11" operator="containsText" text="AUTHORIZED"/>
    <x:cfRule type="containsText" dxfId="91" priority="12" operator="containsText" text="PLANNING PASS"/>
    <x:cfRule type="containsText" dxfId="92" priority="13" operator="containsText" text="COMPLETE"/>
    <x:cfRule type="containsText" dxfId="93" priority="14" operator="containsText" text="ACCEPTED"/>
    <x:cfRule type="containsText" dxfId="94" priority="15" operator="containsText" text="ADMITTED"/>
    <x:cfRule type="containsText" dxfId="95" priority="16" operator="containsText" text="RELEASED"/>
  </x:conditionalFormatting>
  <x:conditionalFormatting sqref="E18:E18">
    <x:cfRule type="containsText" dxfId="96" priority="17" operator="containsText" text="FAIL"/>
    <x:cfRule type="containsText" dxfId="97" priority="18" operator="containsText" text="BLOCKED"/>
    <x:cfRule type="containsText" dxfId="98" priority="19" operator="containsText" text="HOLD"/>
    <x:cfRule type="containsText" dxfId="99" priority="20" operator="containsText" text="OPEN"/>
    <x:cfRule type="containsText" dxfId="100" priority="21" operator="containsText" text="UNTESTED"/>
    <x:cfRule type="containsText" dxfId="101" priority="22" operator="containsText" text="INDETERMINATE"/>
    <x:cfRule type="containsText" dxfId="102" priority="23" operator="containsText" text="INVALID"/>
    <x:cfRule type="containsText" dxfId="103" priority="24" operator="containsText" text="PASS"/>
    <x:cfRule type="containsText" dxfId="104" priority="25" operator="containsText" text="CLOSED"/>
    <x:cfRule type="containsText" dxfId="105" priority="26" operator="containsText" text="READY"/>
    <x:cfRule type="containsText" dxfId="106" priority="27" operator="containsText" text="AUTHORIZED"/>
    <x:cfRule type="containsText" dxfId="107" priority="28" operator="containsText" text="PLANNING PASS"/>
    <x:cfRule type="containsText" dxfId="108" priority="29" operator="containsText" text="COMPLETE"/>
    <x:cfRule type="containsText" dxfId="109" priority="30" operator="containsText" text="ACCEPTED"/>
    <x:cfRule type="containsText" dxfId="110" priority="31" operator="containsText" text="ADMITTED"/>
    <x:cfRule type="containsText" dxfId="111" priority="32" operator="containsText" text="RELEASED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B8C7D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26" hidden="0" customWidth="1"/>
    <x:col min="4" max="4" width="15" hidden="0" customWidth="1"/>
    <x:col min="5" max="5" width="18" hidden="0" customWidth="1"/>
    <x:col min="6" max="6" width="20" hidden="0" customWidth="1"/>
    <x:col min="7" max="7" width="16" hidden="0" customWidth="1"/>
    <x:col min="8" max="8" width="20" hidden="0" customWidth="1"/>
    <x:col min="9" max="9" width="30" hidden="0" customWidth="1"/>
    <x:col min="10" max="10" width="29" hidden="0" customWidth="1"/>
    <x:col min="11" max="11" width="16" hidden="0" customWidth="1"/>
  </x:cols>
  <x:sheetData>
    <x:row r="2">
      <x:c r="B2" s="1" t="str">
        <x:v>Commanded and measured waveform constitution</x:v>
      </x:c>
      <x:c r="C2" s="55"/>
      <x:c r="D2" s="55"/>
      <x:c r="E2" s="55"/>
      <x:c r="F2" s="55"/>
      <x:c r="G2" s="55"/>
      <x:c r="H2" s="55"/>
      <x:c r="I2" s="55"/>
      <x:c r="J2" s="55"/>
      <x:c r="K2" s="55"/>
    </x:row>
    <x:row r="3">
      <x:c r="B3" s="2" t="str">
        <x:v>Commands and observations are both retained. Under-test is invalid; over-test requires mechanism adjudication before unblinding.</x:v>
      </x:c>
      <x:c r="C3" s="55"/>
      <x:c r="D3" s="55"/>
      <x:c r="E3" s="55"/>
      <x:c r="F3" s="55"/>
      <x:c r="G3" s="55"/>
      <x:c r="H3" s="55"/>
      <x:c r="I3" s="55"/>
      <x:c r="J3" s="55"/>
      <x:c r="K3" s="55"/>
    </x:row>
    <x:row r="4">
      <x:c r="B4" s="57"/>
      <x:c r="C4" s="57"/>
      <x:c r="D4" s="57"/>
      <x:c r="E4" s="57"/>
      <x:c r="F4" s="57"/>
      <x:c r="G4" s="57"/>
      <x:c r="H4" s="57"/>
      <x:c r="I4" s="57"/>
      <x:c r="J4" s="57"/>
      <x:c r="K4" s="57"/>
    </x:row>
    <x:row r="5">
      <x:c r="B5" s="55"/>
      <x:c r="C5" s="55"/>
      <x:c r="D5" s="55"/>
      <x:c r="E5" s="55"/>
      <x:c r="F5" s="55"/>
      <x:c r="G5" s="55"/>
      <x:c r="H5" s="55"/>
      <x:c r="I5" s="55"/>
      <x:c r="J5" s="55"/>
      <x:c r="K5" s="55"/>
    </x:row>
    <x:row r="6">
      <x:c r="B6" s="15" t="str">
        <x:v>ID</x:v>
      </x:c>
      <x:c r="C6" s="16" t="str">
        <x:v>Phase</x:v>
      </x:c>
      <x:c r="D6" s="16" t="str">
        <x:v>Target</x:v>
      </x:c>
      <x:c r="E6" s="16" t="str">
        <x:v>Unit</x:v>
      </x:c>
      <x:c r="F6" s="16" t="str">
        <x:v>Tolerance</x:v>
      </x:c>
      <x:c r="G6" s="16" t="str">
        <x:v>Rise time</x:v>
      </x:c>
      <x:c r="H6" s="16" t="str">
        <x:v>Duration/cycles</x:v>
      </x:c>
      <x:c r="I6" s="16" t="str">
        <x:v>Independent observation</x:v>
      </x:c>
      <x:c r="J6" s="16" t="str">
        <x:v>Substitution rule</x:v>
      </x:c>
      <x:c r="K6" s="16" t="str">
        <x:v>Planning state</x:v>
      </x:c>
    </x:row>
    <x:row r="7" ht="39" customHeight="1">
      <x:c r="B7" s="65" t="str">
        <x:v>WF01</x:v>
      </x:c>
      <x:c r="C7" s="66" t="str">
        <x:v>working static</x:v>
      </x:c>
      <x:c r="D7" s="66" t="n">
        <x:v>0.7</x:v>
      </x:c>
      <x:c r="E7" s="66" t="str">
        <x:v>MPa</x:v>
      </x:c>
      <x:c r="F7" s="66" t="str">
        <x:v>±1%</x:v>
      </x:c>
      <x:c r="G7" s="66" t="str">
        <x:v>≤5 s</x:v>
      </x:c>
      <x:c r="H7" s="66" t="str">
        <x:v>60 min</x:v>
      </x:c>
      <x:c r="I7" s="66" t="str">
        <x:v>pressure and flow</x:v>
      </x:c>
      <x:c r="J7" s="66" t="str">
        <x:v>command never substitutes</x:v>
      </x:c>
      <x:c r="K7" s="68" t="str">
        <x:v>PASS</x:v>
      </x:c>
    </x:row>
    <x:row r="8" ht="39" customHeight="1">
      <x:c r="B8" s="65" t="str">
        <x:v>WF02</x:v>
      </x:c>
      <x:c r="C8" s="66" t="str">
        <x:v>surge rise</x:v>
      </x:c>
      <x:c r="D8" s="66" t="n">
        <x:v>0.85</x:v>
      </x:c>
      <x:c r="E8" s="66" t="str">
        <x:v>MPa</x:v>
      </x:c>
      <x:c r="F8" s="66" t="str">
        <x:v>±2%; spectrum</x:v>
      </x:c>
      <x:c r="G8" s="66" t="str">
        <x:v>registered</x:v>
      </x:c>
      <x:c r="H8" s="66" t="str">
        <x:v>10 cycles</x:v>
      </x:c>
      <x:c r="I8" s="66" t="str">
        <x:v>pressure and time</x:v>
      </x:c>
      <x:c r="J8" s="66" t="str">
        <x:v>command never substitutes</x:v>
      </x:c>
      <x:c r="K8" s="68" t="str">
        <x:v>PASS</x:v>
      </x:c>
    </x:row>
    <x:row r="9" ht="39" customHeight="1">
      <x:c r="B9" s="65" t="str">
        <x:v>WF03</x:v>
      </x:c>
      <x:c r="C9" s="66" t="str">
        <x:v>proof ramp</x:v>
      </x:c>
      <x:c r="D9" s="66" t="n">
        <x:v>1.05</x:v>
      </x:c>
      <x:c r="E9" s="66" t="str">
        <x:v>MPa</x:v>
      </x:c>
      <x:c r="F9" s="66" t="str">
        <x:v>±1%</x:v>
      </x:c>
      <x:c r="G9" s="66" t="str">
        <x:v>≤30 s</x:v>
      </x:c>
      <x:c r="H9" s="66" t="str">
        <x:v>60 min</x:v>
      </x:c>
      <x:c r="I9" s="66" t="str">
        <x:v>pressure and leak</x:v>
      </x:c>
      <x:c r="J9" s="66" t="str">
        <x:v>command never substitutes</x:v>
      </x:c>
      <x:c r="K9" s="68" t="str">
        <x:v>PASS</x:v>
      </x:c>
    </x:row>
    <x:row r="10" ht="39" customHeight="1">
      <x:c r="B10" s="65" t="str">
        <x:v>WF04</x:v>
      </x:c>
      <x:c r="C10" s="66" t="str">
        <x:v>vacuum</x:v>
      </x:c>
      <x:c r="D10" s="66" t="n">
        <x:v>-0.085</x:v>
      </x:c>
      <x:c r="E10" s="66" t="str">
        <x:v>MPa</x:v>
      </x:c>
      <x:c r="F10" s="66" t="str">
        <x:v>±1%</x:v>
      </x:c>
      <x:c r="G10" s="66" t="str">
        <x:v>≤30 s</x:v>
      </x:c>
      <x:c r="H10" s="66" t="str">
        <x:v>10 min</x:v>
      </x:c>
      <x:c r="I10" s="66" t="str">
        <x:v>pressure and geometry</x:v>
      </x:c>
      <x:c r="J10" s="66" t="str">
        <x:v>command never substitutes</x:v>
      </x:c>
      <x:c r="K10" s="68" t="str">
        <x:v>PASS</x:v>
      </x:c>
    </x:row>
    <x:row r="11" ht="39" customHeight="1">
      <x:c r="B11" s="65" t="str">
        <x:v>WF05</x:v>
      </x:c>
      <x:c r="C11" s="66" t="str">
        <x:v>pressure cycling</x:v>
      </x:c>
      <x:c r="D11" s="66" t="n">
        <x:v>0.85</x:v>
      </x:c>
      <x:c r="E11" s="66" t="str">
        <x:v>MPa peak</x:v>
      </x:c>
      <x:c r="F11" s="66" t="str">
        <x:v>±2%</x:v>
      </x:c>
      <x:c r="G11" s="66" t="str">
        <x:v>registered</x:v>
      </x:c>
      <x:c r="H11" s="66" t="str">
        <x:v>50,000 cycles</x:v>
      </x:c>
      <x:c r="I11" s="66" t="str">
        <x:v>pressure and temperature</x:v>
      </x:c>
      <x:c r="J11" s="66" t="str">
        <x:v>command never substitutes</x:v>
      </x:c>
      <x:c r="K11" s="68" t="str">
        <x:v>PASS</x:v>
      </x:c>
    </x:row>
    <x:row r="12" ht="39" customHeight="1">
      <x:c r="B12" s="65" t="str">
        <x:v>WF06</x:v>
      </x:c>
      <x:c r="C12" s="66" t="str">
        <x:v>axial below</x:v>
      </x:c>
      <x:c r="D12" s="66" t="n">
        <x:v>190</x:v>
      </x:c>
      <x:c r="E12" s="66" t="str">
        <x:v>kN</x:v>
      </x:c>
      <x:c r="F12" s="66" t="str">
        <x:v>±2 kN</x:v>
      </x:c>
      <x:c r="G12" s="66" t="str">
        <x:v>≤10 s</x:v>
      </x:c>
      <x:c r="H12" s="66" t="str">
        <x:v>registered</x:v>
      </x:c>
      <x:c r="I12" s="66" t="str">
        <x:v>load and displacement</x:v>
      </x:c>
      <x:c r="J12" s="66" t="str">
        <x:v>command never substitutes</x:v>
      </x:c>
      <x:c r="K12" s="68" t="str">
        <x:v>PASS</x:v>
      </x:c>
    </x:row>
    <x:row r="13" ht="39" customHeight="1">
      <x:c r="B13" s="65" t="str">
        <x:v>WF07</x:v>
      </x:c>
      <x:c r="C13" s="66" t="str">
        <x:v>axial service</x:v>
      </x:c>
      <x:c r="D13" s="66" t="n">
        <x:v>200</x:v>
      </x:c>
      <x:c r="E13" s="66" t="str">
        <x:v>kN</x:v>
      </x:c>
      <x:c r="F13" s="66" t="str">
        <x:v>±2 kN</x:v>
      </x:c>
      <x:c r="G13" s="66" t="str">
        <x:v>≤10 s</x:v>
      </x:c>
      <x:c r="H13" s="66" t="str">
        <x:v>registered</x:v>
      </x:c>
      <x:c r="I13" s="66" t="str">
        <x:v>load and displacement</x:v>
      </x:c>
      <x:c r="J13" s="66" t="str">
        <x:v>command never substitutes</x:v>
      </x:c>
      <x:c r="K13" s="68" t="str">
        <x:v>PASS</x:v>
      </x:c>
    </x:row>
    <x:row r="14" ht="39" customHeight="1">
      <x:c r="B14" s="65" t="str">
        <x:v>WF08</x:v>
      </x:c>
      <x:c r="C14" s="66" t="str">
        <x:v>axial above</x:v>
      </x:c>
      <x:c r="D14" s="66" t="n">
        <x:v>210</x:v>
      </x:c>
      <x:c r="E14" s="66" t="str">
        <x:v>kN</x:v>
      </x:c>
      <x:c r="F14" s="66" t="str">
        <x:v>±2 kN</x:v>
      </x:c>
      <x:c r="G14" s="66" t="str">
        <x:v>≤10 s</x:v>
      </x:c>
      <x:c r="H14" s="66" t="str">
        <x:v>registered</x:v>
      </x:c>
      <x:c r="I14" s="66" t="str">
        <x:v>load and displacement</x:v>
      </x:c>
      <x:c r="J14" s="66" t="str">
        <x:v>command never substitutes</x:v>
      </x:c>
      <x:c r="K14" s="68" t="str">
        <x:v>PASS</x:v>
      </x:c>
    </x:row>
    <x:row r="15" ht="39" customHeight="1">
      <x:c r="B15" s="65" t="str">
        <x:v>WF09</x:v>
      </x:c>
      <x:c r="C15" s="66" t="str">
        <x:v>flow low</x:v>
      </x:c>
      <x:c r="D15" s="66" t="n">
        <x:v>0.25</x:v>
      </x:c>
      <x:c r="E15" s="66" t="str">
        <x:v>normalized</x:v>
      </x:c>
      <x:c r="F15" s="66" t="str">
        <x:v>±0.5%</x:v>
      </x:c>
      <x:c r="G15" s="66" t="str">
        <x:v>≤10 s</x:v>
      </x:c>
      <x:c r="H15" s="66" t="str">
        <x:v>registered</x:v>
      </x:c>
      <x:c r="I15" s="66" t="str">
        <x:v>flow and volume</x:v>
      </x:c>
      <x:c r="J15" s="66" t="str">
        <x:v>command never substitutes</x:v>
      </x:c>
      <x:c r="K15" s="68" t="str">
        <x:v>PASS</x:v>
      </x:c>
    </x:row>
    <x:row r="16" ht="39" customHeight="1">
      <x:c r="B16" s="65" t="str">
        <x:v>WF10</x:v>
      </x:c>
      <x:c r="C16" s="66" t="str">
        <x:v>flow nominal</x:v>
      </x:c>
      <x:c r="D16" s="66" t="n">
        <x:v>1</x:v>
      </x:c>
      <x:c r="E16" s="66" t="str">
        <x:v>normalized</x:v>
      </x:c>
      <x:c r="F16" s="66" t="str">
        <x:v>±0.5%</x:v>
      </x:c>
      <x:c r="G16" s="66" t="str">
        <x:v>≤10 s</x:v>
      </x:c>
      <x:c r="H16" s="66" t="str">
        <x:v>registered</x:v>
      </x:c>
      <x:c r="I16" s="66" t="str">
        <x:v>flow and volume</x:v>
      </x:c>
      <x:c r="J16" s="66" t="str">
        <x:v>command never substitutes</x:v>
      </x:c>
      <x:c r="K16" s="68" t="str">
        <x:v>PASS</x:v>
      </x:c>
    </x:row>
    <x:row r="17" ht="39" customHeight="1">
      <x:c r="B17" s="65" t="str">
        <x:v>WF11</x:v>
      </x:c>
      <x:c r="C17" s="66" t="str">
        <x:v>flow high</x:v>
      </x:c>
      <x:c r="D17" s="66" t="n">
        <x:v>1.25</x:v>
      </x:c>
      <x:c r="E17" s="66" t="str">
        <x:v>normalized</x:v>
      </x:c>
      <x:c r="F17" s="66" t="str">
        <x:v>±0.5%</x:v>
      </x:c>
      <x:c r="G17" s="66" t="str">
        <x:v>≤10 s</x:v>
      </x:c>
      <x:c r="H17" s="66" t="str">
        <x:v>registered</x:v>
      </x:c>
      <x:c r="I17" s="66" t="str">
        <x:v>flow and volume</x:v>
      </x:c>
      <x:c r="J17" s="66" t="str">
        <x:v>command never substitutes</x:v>
      </x:c>
      <x:c r="K17" s="68" t="str">
        <x:v>PASS</x:v>
      </x:c>
    </x:row>
    <x:row r="18" ht="39" customHeight="1">
      <x:c r="B18" s="70" t="str">
        <x:v>WF12</x:v>
      </x:c>
      <x:c r="C18" s="71" t="str">
        <x:v>power/network denial</x:v>
      </x:c>
      <x:c r="D18" s="71" t="n">
        <x:v>1</x:v>
      </x:c>
      <x:c r="E18" s="71" t="str">
        <x:v>event</x:v>
      </x:c>
      <x:c r="F18" s="71" t="str">
        <x:v>no lost originals</x:v>
      </x:c>
      <x:c r="G18" s="71" t="str">
        <x:v>registered</x:v>
      </x:c>
      <x:c r="H18" s="71" t="str">
        <x:v>through recovery</x:v>
      </x:c>
      <x:c r="I18" s="71" t="str">
        <x:v>clock and data</x:v>
      </x:c>
      <x:c r="J18" s="71" t="str">
        <x:v>command never substitutes</x:v>
      </x:c>
      <x:c r="K18" s="73" t="str">
        <x:v>PASS</x:v>
      </x:c>
    </x:row>
    <x:row r="19">
      <x:c r="B19" s="55"/>
      <x:c r="C19" s="55"/>
      <x:c r="D19" s="55"/>
      <x:c r="E19" s="55"/>
      <x:c r="F19" s="55"/>
      <x:c r="G19" s="55"/>
      <x:c r="H19" s="55"/>
      <x:c r="I19" s="55"/>
      <x:c r="J19" s="55"/>
      <x:c r="K19" s="55"/>
    </x:row>
    <x:row r="20">
      <x:c r="B20" s="55"/>
      <x:c r="C20" s="55"/>
      <x:c r="D20" s="55"/>
      <x:c r="E20" s="55"/>
      <x:c r="F20" s="55"/>
      <x:c r="G20" s="55"/>
      <x:c r="H20" s="55"/>
      <x:c r="I20" s="55"/>
      <x:c r="J20" s="55"/>
      <x:c r="K20" s="55"/>
    </x:row>
    <x:row r="21">
      <x:c r="B21" s="55" t="str">
        <x:v>CONTROL</x:v>
      </x:c>
      <x:c r="C21" s="55" t="str">
        <x:v>Waveform content</x:v>
      </x:c>
      <x:c r="D21" s="55" t="str">
        <x:f>IF(COUNTIF(K7:K18,"PASS")=12,"PASS","FAIL")</x:f>
        <x:v>PASS</x:v>
      </x:c>
      <x:c r="E21" s="55"/>
      <x:c r="F21" s="55"/>
      <x:c r="G21" s="55"/>
      <x:c r="H21" s="55"/>
      <x:c r="I21" s="55"/>
      <x:c r="J21" s="55"/>
      <x:c r="K21" s="55"/>
    </x:row>
  </x:sheetData>
  <x:mergeCells>
    <x:mergeCell ref="B3:K3"/>
  </x:mergeCells>
  <x:conditionalFormatting sqref="K7:K18">
    <x:cfRule type="containsText" dxfId="112" priority="1" operator="containsText" text="FAIL"/>
    <x:cfRule type="containsText" dxfId="113" priority="2" operator="containsText" text="BLOCKED"/>
    <x:cfRule type="containsText" dxfId="114" priority="3" operator="containsText" text="HOLD"/>
    <x:cfRule type="containsText" dxfId="115" priority="4" operator="containsText" text="OPEN"/>
    <x:cfRule type="containsText" dxfId="116" priority="5" operator="containsText" text="UNTESTED"/>
    <x:cfRule type="containsText" dxfId="117" priority="6" operator="containsText" text="INDETERMINATE"/>
    <x:cfRule type="containsText" dxfId="118" priority="7" operator="containsText" text="INVALID"/>
    <x:cfRule type="containsText" dxfId="119" priority="8" operator="containsText" text="PASS"/>
    <x:cfRule type="containsText" dxfId="120" priority="9" operator="containsText" text="CLOSED"/>
    <x:cfRule type="containsText" dxfId="121" priority="10" operator="containsText" text="READY"/>
    <x:cfRule type="containsText" dxfId="122" priority="11" operator="containsText" text="AUTHORIZED"/>
    <x:cfRule type="containsText" dxfId="123" priority="12" operator="containsText" text="PLANNING PASS"/>
    <x:cfRule type="containsText" dxfId="124" priority="13" operator="containsText" text="COMPLETE"/>
    <x:cfRule type="containsText" dxfId="125" priority="14" operator="containsText" text="ACCEPTED"/>
    <x:cfRule type="containsText" dxfId="126" priority="15" operator="containsText" text="ADMITTED"/>
    <x:cfRule type="containsText" dxfId="127" priority="16" operator="containsText" text="RELEASED"/>
  </x:conditionalFormatting>
  <x:conditionalFormatting sqref="D21:D21">
    <x:cfRule type="containsText" dxfId="128" priority="17" operator="containsText" text="FAIL"/>
    <x:cfRule type="containsText" dxfId="129" priority="18" operator="containsText" text="BLOCKED"/>
    <x:cfRule type="containsText" dxfId="130" priority="19" operator="containsText" text="HOLD"/>
    <x:cfRule type="containsText" dxfId="131" priority="20" operator="containsText" text="OPEN"/>
    <x:cfRule type="containsText" dxfId="132" priority="21" operator="containsText" text="UNTESTED"/>
    <x:cfRule type="containsText" dxfId="133" priority="22" operator="containsText" text="INDETERMINATE"/>
    <x:cfRule type="containsText" dxfId="134" priority="23" operator="containsText" text="INVALID"/>
    <x:cfRule type="containsText" dxfId="135" priority="24" operator="containsText" text="PASS"/>
    <x:cfRule type="containsText" dxfId="136" priority="25" operator="containsText" text="CLOSED"/>
    <x:cfRule type="containsText" dxfId="137" priority="26" operator="containsText" text="READY"/>
    <x:cfRule type="containsText" dxfId="138" priority="27" operator="containsText" text="AUTHORIZED"/>
    <x:cfRule type="containsText" dxfId="139" priority="28" operator="containsText" text="PLANNING PASS"/>
    <x:cfRule type="containsText" dxfId="140" priority="29" operator="containsText" text="COMPLETE"/>
    <x:cfRule type="containsText" dxfId="141" priority="30" operator="containsText" text="ACCEPTED"/>
    <x:cfRule type="containsText" dxfId="142" priority="31" operator="containsText" text="ADMITTED"/>
    <x:cfRule type="containsText" dxfId="143" priority="32" operator="containsText" text="RELEASED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B8C7D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28" hidden="0" customWidth="1"/>
    <x:col min="4" max="4" width="40" hidden="0" customWidth="1"/>
    <x:col min="5" max="5" width="29" hidden="0" customWidth="1"/>
    <x:col min="6" max="6" width="30" hidden="0" customWidth="1"/>
    <x:col min="7" max="7" width="16" hidden="0" customWidth="1"/>
  </x:cols>
  <x:sheetData>
    <x:row r="2">
      <x:c r="B2" s="1" t="str">
        <x:v>Three-clock denial-tolerant timebase</x:v>
      </x:c>
      <x:c r="C2" s="55"/>
      <x:c r="D2" s="55"/>
      <x:c r="E2" s="55"/>
      <x:c r="F2" s="55"/>
      <x:c r="G2" s="55"/>
      <x:c r="H2" s="55"/>
      <x:c r="I2" s="55"/>
      <x:c r="J2" s="55"/>
    </x:row>
    <x:row r="3">
      <x:c r="B3" s="2" t="str">
        <x:v>Network time may discipline but cannot reconstruct missing original time. Clock disagreement makes affected claims uncreditable.</x:v>
      </x:c>
      <x:c r="C3" s="55"/>
      <x:c r="D3" s="55"/>
      <x:c r="E3" s="55"/>
      <x:c r="F3" s="55"/>
      <x:c r="G3" s="55"/>
      <x:c r="H3" s="55"/>
      <x:c r="I3" s="55"/>
      <x:c r="J3" s="55"/>
    </x:row>
    <x:row r="4">
      <x:c r="B4" s="57"/>
      <x:c r="C4" s="57"/>
      <x:c r="D4" s="57"/>
      <x:c r="E4" s="57"/>
      <x:c r="F4" s="57"/>
      <x:c r="G4" s="57"/>
      <x:c r="H4" s="57"/>
      <x:c r="I4" s="57"/>
      <x:c r="J4" s="57"/>
    </x:row>
    <x:row r="5">
      <x:c r="B5" s="55"/>
      <x:c r="C5" s="55"/>
      <x:c r="D5" s="55"/>
      <x:c r="E5" s="55"/>
      <x:c r="F5" s="55"/>
      <x:c r="G5" s="55"/>
      <x:c r="H5" s="55"/>
      <x:c r="I5" s="55"/>
      <x:c r="J5" s="55"/>
    </x:row>
    <x:row r="6">
      <x:c r="B6" s="15" t="str">
        <x:v>Clock</x:v>
      </x:c>
      <x:c r="C6" s="16" t="str">
        <x:v>Owner</x:v>
      </x:c>
      <x:c r="D6" s="16" t="str">
        <x:v>Function</x:v>
      </x:c>
      <x:c r="E6" s="16" t="str">
        <x:v>Denial posture</x:v>
      </x:c>
      <x:c r="F6" s="16" t="str">
        <x:v>Failure consequence</x:v>
      </x:c>
      <x:c r="G6" s="16" t="str">
        <x:v>Physical state</x:v>
      </x:c>
      <x:c r="H6" s="55"/>
      <x:c r="I6" s="55"/>
      <x:c r="J6" s="55"/>
    </x:row>
    <x:row r="7" ht="44" customHeight="1">
      <x:c r="B7" s="65" t="str">
        <x:v>A</x:v>
      </x:c>
      <x:c r="C7" s="66" t="str">
        <x:v>evidence authority</x:v>
      </x:c>
      <x:c r="D7" s="66" t="str">
        <x:v>native observations and conserved interval</x:v>
      </x:c>
      <x:c r="E7" s="66" t="str">
        <x:v>independent holdover</x:v>
      </x:c>
      <x:c r="F7" s="66" t="str">
        <x:v>time claim indeterminate</x:v>
      </x:c>
      <x:c r="G7" s="68" t="str">
        <x:v>OPEN</x:v>
      </x:c>
      <x:c r="H7" s="55"/>
      <x:c r="I7" s="55"/>
      <x:c r="J7" s="55"/>
    </x:row>
    <x:row r="8" ht="44" customHeight="1">
      <x:c r="B8" s="65" t="str">
        <x:v>B</x:v>
      </x:c>
      <x:c r="C8" s="66" t="str">
        <x:v>witness time authority</x:v>
      </x:c>
      <x:c r="D8" s="66" t="str">
        <x:v>step/drift/event-order witness</x:v>
      </x:c>
      <x:c r="E8" s="66" t="str">
        <x:v>independent holdover</x:v>
      </x:c>
      <x:c r="F8" s="66" t="str">
        <x:v>V03 review</x:v>
      </x:c>
      <x:c r="G8" s="68" t="str">
        <x:v>OPEN</x:v>
      </x:c>
      <x:c r="H8" s="55"/>
      <x:c r="I8" s="55"/>
      <x:c r="J8" s="55"/>
    </x:row>
    <x:row r="9" ht="44" customHeight="1">
      <x:c r="B9" s="70" t="str">
        <x:v>C</x:v>
      </x:c>
      <x:c r="C9" s="71" t="str">
        <x:v>builder</x:v>
      </x:c>
      <x:c r="D9" s="71" t="str">
        <x:v>root process control and internal timing</x:v>
      </x:c>
      <x:c r="E9" s="71" t="str">
        <x:v>article-owned holdover</x:v>
      </x:c>
      <x:c r="F9" s="71" t="str">
        <x:v>never official sole source</x:v>
      </x:c>
      <x:c r="G9" s="73" t="str">
        <x:v>OPEN</x:v>
      </x:c>
      <x:c r="H9" s="55"/>
      <x:c r="I9" s="55"/>
      <x:c r="J9" s="55"/>
    </x:row>
    <x:row r="10">
      <x:c r="B10" s="55"/>
      <x:c r="C10" s="55"/>
      <x:c r="D10" s="55"/>
      <x:c r="E10" s="55"/>
      <x:c r="F10" s="55"/>
      <x:c r="G10" s="55"/>
      <x:c r="H10" s="55"/>
      <x:c r="I10" s="55"/>
      <x:c r="J10" s="55"/>
    </x:row>
    <x:row r="11">
      <x:c r="B11" s="55"/>
      <x:c r="C11" s="55"/>
      <x:c r="D11" s="55"/>
      <x:c r="E11" s="55"/>
      <x:c r="F11" s="55"/>
      <x:c r="G11" s="55"/>
      <x:c r="H11" s="55"/>
      <x:c r="I11" s="55"/>
      <x:c r="J11" s="55"/>
    </x:row>
    <x:row r="12">
      <x:c r="B12" s="58" t="str">
        <x:v>Planning requirements</x:v>
      </x:c>
      <x:c r="C12" s="59" t="str">
        <x:v>Planning requirements</x:v>
      </x:c>
      <x:c r="D12" s="59" t="str">
        <x:v>Planning requirements</x:v>
      </x:c>
      <x:c r="E12" s="59" t="str">
        <x:v>Planning requirements</x:v>
      </x:c>
      <x:c r="F12" s="59" t="str">
        <x:v>Planning requirements</x:v>
      </x:c>
      <x:c r="G12" s="60" t="str">
        <x:v>Planning requirements</x:v>
      </x:c>
      <x:c r="H12" s="55"/>
      <x:c r="I12" s="55"/>
      <x:c r="J12" s="55"/>
    </x:row>
    <x:row r="13">
      <x:c r="B13" s="55" t="str">
        <x:v>dynamic sample rate</x:v>
      </x:c>
      <x:c r="C13" s="55" t="n">
        <x:v>1000</x:v>
      </x:c>
      <x:c r="D13" s="55" t="str">
        <x:v>Hz</x:v>
      </x:c>
      <x:c r="E13" s="55" t="str">
        <x:v>minimum where transient causality requires</x:v>
      </x:c>
      <x:c r="F13" s="55" t="str">
        <x:f>IF(C13&gt;='Control Inputs'!D16,"PASS","FAIL")</x:f>
        <x:v>PASS</x:v>
      </x:c>
      <x:c r="G13" s="55"/>
      <x:c r="H13" s="55"/>
      <x:c r="I13" s="55"/>
      <x:c r="J13" s="55"/>
    </x:row>
    <x:row r="14">
      <x:c r="B14" s="55" t="str">
        <x:v>relative timestamp uncertainty</x:v>
      </x:c>
      <x:c r="C14" s="55" t="n">
        <x:v>100</x:v>
      </x:c>
      <x:c r="D14" s="55" t="str">
        <x:v>microseconds</x:v>
      </x:c>
      <x:c r="E14" s="55" t="str">
        <x:v>maximum</x:v>
      </x:c>
      <x:c r="F14" s="55" t="str">
        <x:f>IF(C14&lt;='Control Inputs'!D17,"PASS","FAIL")</x:f>
        <x:v>PASS</x:v>
      </x:c>
      <x:c r="G14" s="55"/>
      <x:c r="H14" s="55"/>
      <x:c r="I14" s="55"/>
      <x:c r="J14" s="55"/>
    </x:row>
    <x:row r="15">
      <x:c r="B15" s="55" t="str">
        <x:v>event boundary error</x:v>
      </x:c>
      <x:c r="C15" s="55" t="n">
        <x:v>10</x:v>
      </x:c>
      <x:c r="D15" s="55" t="str">
        <x:v>milliseconds</x:v>
      </x:c>
      <x:c r="E15" s="55" t="str">
        <x:v>maximum</x:v>
      </x:c>
      <x:c r="F15" s="55" t="str">
        <x:f>IF(C15&lt;='Control Inputs'!D19,"PASS","FAIL")</x:f>
        <x:v>PASS</x:v>
      </x:c>
      <x:c r="G15" s="55"/>
      <x:c r="H15" s="55"/>
      <x:c r="I15" s="55"/>
      <x:c r="J15" s="55"/>
    </x:row>
    <x:row r="16">
      <x:c r="B16" s="55" t="str">
        <x:v>six-hour interval error</x:v>
      </x:c>
      <x:c r="C16" s="55" t="n">
        <x:v>0.1</x:v>
      </x:c>
      <x:c r="D16" s="55" t="str">
        <x:v>seconds</x:v>
      </x:c>
      <x:c r="E16" s="55" t="str">
        <x:v>maximum</x:v>
      </x:c>
      <x:c r="F16" s="55" t="str">
        <x:f>IF(C16&lt;='Control Inputs'!D18,"PASS","FAIL")</x:f>
        <x:v>PASS</x:v>
      </x:c>
      <x:c r="G16" s="55"/>
      <x:c r="H16" s="55"/>
      <x:c r="I16" s="55"/>
      <x:c r="J16" s="55"/>
    </x:row>
  </x:sheetData>
  <x:mergeCells>
    <x:mergeCell ref="B3:J3"/>
    <x:mergeCell ref="B12:G12"/>
  </x:mergeCells>
  <x:conditionalFormatting sqref="G7:G9">
    <x:cfRule type="containsText" dxfId="144" priority="1" operator="containsText" text="FAIL"/>
    <x:cfRule type="containsText" dxfId="145" priority="2" operator="containsText" text="BLOCKED"/>
    <x:cfRule type="containsText" dxfId="146" priority="3" operator="containsText" text="HOLD"/>
    <x:cfRule type="containsText" dxfId="147" priority="4" operator="containsText" text="OPEN"/>
    <x:cfRule type="containsText" dxfId="148" priority="5" operator="containsText" text="UNTESTED"/>
    <x:cfRule type="containsText" dxfId="149" priority="6" operator="containsText" text="INDETERMINATE"/>
    <x:cfRule type="containsText" dxfId="150" priority="7" operator="containsText" text="INVALID"/>
    <x:cfRule type="containsText" dxfId="151" priority="8" operator="containsText" text="PASS"/>
    <x:cfRule type="containsText" dxfId="152" priority="9" operator="containsText" text="CLOSED"/>
    <x:cfRule type="containsText" dxfId="153" priority="10" operator="containsText" text="READY"/>
    <x:cfRule type="containsText" dxfId="154" priority="11" operator="containsText" text="AUTHORIZED"/>
    <x:cfRule type="containsText" dxfId="155" priority="12" operator="containsText" text="PLANNING PASS"/>
    <x:cfRule type="containsText" dxfId="156" priority="13" operator="containsText" text="COMPLETE"/>
    <x:cfRule type="containsText" dxfId="157" priority="14" operator="containsText" text="ACCEPTED"/>
    <x:cfRule type="containsText" dxfId="158" priority="15" operator="containsText" text="ADMITTED"/>
    <x:cfRule type="containsText" dxfId="159" priority="16" operator="containsText" text="RELEASED"/>
  </x:conditionalFormatting>
  <x:conditionalFormatting sqref="F13:F16">
    <x:cfRule type="containsText" dxfId="160" priority="17" operator="containsText" text="FAIL"/>
    <x:cfRule type="containsText" dxfId="161" priority="18" operator="containsText" text="BLOCKED"/>
    <x:cfRule type="containsText" dxfId="162" priority="19" operator="containsText" text="HOLD"/>
    <x:cfRule type="containsText" dxfId="163" priority="20" operator="containsText" text="OPEN"/>
    <x:cfRule type="containsText" dxfId="164" priority="21" operator="containsText" text="UNTESTED"/>
    <x:cfRule type="containsText" dxfId="165" priority="22" operator="containsText" text="INDETERMINATE"/>
    <x:cfRule type="containsText" dxfId="166" priority="23" operator="containsText" text="INVALID"/>
    <x:cfRule type="containsText" dxfId="167" priority="24" operator="containsText" text="PASS"/>
    <x:cfRule type="containsText" dxfId="168" priority="25" operator="containsText" text="CLOSED"/>
    <x:cfRule type="containsText" dxfId="169" priority="26" operator="containsText" text="READY"/>
    <x:cfRule type="containsText" dxfId="170" priority="27" operator="containsText" text="AUTHORIZED"/>
    <x:cfRule type="containsText" dxfId="171" priority="28" operator="containsText" text="PLANNING PASS"/>
    <x:cfRule type="containsText" dxfId="172" priority="29" operator="containsText" text="COMPLETE"/>
    <x:cfRule type="containsText" dxfId="173" priority="30" operator="containsText" text="ACCEPTED"/>
    <x:cfRule type="containsText" dxfId="174" priority="31" operator="containsText" text="ADMITTED"/>
    <x:cfRule type="containsText" dxfId="175" priority="32" operator="containsText" text="RELEASED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B8C7D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28" hidden="0" customWidth="1"/>
    <x:col min="4" max="4" width="24" hidden="0" customWidth="1"/>
    <x:col min="5" max="5" width="39" hidden="0" customWidth="1"/>
    <x:col min="6" max="6" width="16" hidden="0" customWidth="1"/>
    <x:col min="7" max="7" width="16" hidden="0" customWidth="1"/>
  </x:cols>
  <x:sheetData>
    <x:row r="2">
      <x:c r="B2" s="1" t="str">
        <x:v>Frozen append-only event schema</x:v>
      </x:c>
      <x:c r="C2" s="55"/>
      <x:c r="D2" s="55"/>
      <x:c r="E2" s="55"/>
      <x:c r="F2" s="55"/>
      <x:c r="G2" s="55"/>
      <x:c r="H2" s="55"/>
    </x:row>
    <x:row r="3">
      <x:c r="B3" s="2" t="str">
        <x:v>Twenty-eight fields keep identity, observation, time, command, authority and integrity in one replayable envelope.</x:v>
      </x:c>
      <x:c r="C3" s="55"/>
      <x:c r="D3" s="55"/>
      <x:c r="E3" s="55"/>
      <x:c r="F3" s="55"/>
      <x:c r="G3" s="55"/>
      <x:c r="H3" s="55"/>
    </x:row>
    <x:row r="4">
      <x:c r="B4" s="57"/>
      <x:c r="C4" s="57"/>
      <x:c r="D4" s="57"/>
      <x:c r="E4" s="57"/>
      <x:c r="F4" s="57"/>
      <x:c r="G4" s="57"/>
      <x:c r="H4" s="57"/>
    </x:row>
    <x:row r="5">
      <x:c r="B5" s="55"/>
      <x:c r="C5" s="55"/>
      <x:c r="D5" s="55"/>
      <x:c r="E5" s="55"/>
      <x:c r="F5" s="55"/>
      <x:c r="G5" s="55"/>
      <x:c r="H5" s="55"/>
    </x:row>
    <x:row r="6">
      <x:c r="B6" s="15" t="str">
        <x:v>Ordinal</x:v>
      </x:c>
      <x:c r="C6" s="16" t="str">
        <x:v>Field</x:v>
      </x:c>
      <x:c r="D6" s="16" t="str">
        <x:v>Group</x:v>
      </x:c>
      <x:c r="E6" s="16" t="str">
        <x:v>Purpose</x:v>
      </x:c>
      <x:c r="F6" s="16" t="str">
        <x:v>Requirement</x:v>
      </x:c>
      <x:c r="G6" s="16" t="str">
        <x:v>Planning state</x:v>
      </x:c>
      <x:c r="H6" s="55"/>
    </x:row>
    <x:row r="7" ht="31" customHeight="1">
      <x:c r="B7" s="65" t="n">
        <x:v>1</x:v>
      </x:c>
      <x:c r="C7" s="66" t="str">
        <x:v>event_id</x:v>
      </x:c>
      <x:c r="D7" s="66" t="str">
        <x:v>identity</x:v>
      </x:c>
      <x:c r="E7" s="66" t="str">
        <x:v>unique event key</x:v>
      </x:c>
      <x:c r="F7" s="66" t="str">
        <x:v>REQUIRED</x:v>
      </x:c>
      <x:c r="G7" s="68" t="str">
        <x:v>PASS</x:v>
      </x:c>
      <x:c r="H7" s="55"/>
    </x:row>
    <x:row r="8" ht="31" customHeight="1">
      <x:c r="B8" s="65" t="n">
        <x:v>2</x:v>
      </x:c>
      <x:c r="C8" s="66" t="str">
        <x:v>campaign_id</x:v>
      </x:c>
      <x:c r="D8" s="66" t="str">
        <x:v>identity</x:v>
      </x:c>
      <x:c r="E8" s="66" t="str">
        <x:v>campaign ancestry</x:v>
      </x:c>
      <x:c r="F8" s="66" t="str">
        <x:v>REQUIRED</x:v>
      </x:c>
      <x:c r="G8" s="68" t="str">
        <x:v>PASS</x:v>
      </x:c>
      <x:c r="H8" s="55"/>
    </x:row>
    <x:row r="9" ht="31" customHeight="1">
      <x:c r="B9" s="65" t="n">
        <x:v>3</x:v>
      </x:c>
      <x:c r="C9" s="66" t="str">
        <x:v>root_id</x:v>
      </x:c>
      <x:c r="D9" s="66" t="str">
        <x:v>identity</x:v>
      </x:c>
      <x:c r="E9" s="66" t="str">
        <x:v>technical-root ancestry</x:v>
      </x:c>
      <x:c r="F9" s="66" t="str">
        <x:v>REQUIRED</x:v>
      </x:c>
      <x:c r="G9" s="68" t="str">
        <x:v>PASS</x:v>
      </x:c>
      <x:c r="H9" s="55"/>
    </x:row>
    <x:row r="10" ht="31" customHeight="1">
      <x:c r="B10" s="65" t="n">
        <x:v>4</x:v>
      </x:c>
      <x:c r="C10" s="66" t="str">
        <x:v>article_id</x:v>
      </x:c>
      <x:c r="D10" s="66" t="str">
        <x:v>identity</x:v>
      </x:c>
      <x:c r="E10" s="66" t="str">
        <x:v>physical article key</x:v>
      </x:c>
      <x:c r="F10" s="66" t="str">
        <x:v>REQUIRED</x:v>
      </x:c>
      <x:c r="G10" s="68" t="str">
        <x:v>PASS</x:v>
      </x:c>
      <x:c r="H10" s="55"/>
    </x:row>
    <x:row r="11" ht="31" customHeight="1">
      <x:c r="B11" s="65" t="n">
        <x:v>5</x:v>
      </x:c>
      <x:c r="C11" s="66" t="str">
        <x:v>run_id</x:v>
      </x:c>
      <x:c r="D11" s="66" t="str">
        <x:v>identity</x:v>
      </x:c>
      <x:c r="E11" s="66" t="str">
        <x:v>execution key</x:v>
      </x:c>
      <x:c r="F11" s="66" t="str">
        <x:v>REQUIRED</x:v>
      </x:c>
      <x:c r="G11" s="68" t="str">
        <x:v>PASS</x:v>
      </x:c>
      <x:c r="H11" s="55"/>
    </x:row>
    <x:row r="12" ht="31" customHeight="1">
      <x:c r="B12" s="65" t="n">
        <x:v>6</x:v>
      </x:c>
      <x:c r="C12" s="66" t="str">
        <x:v>fixture_id</x:v>
      </x:c>
      <x:c r="D12" s="66" t="str">
        <x:v>identity</x:v>
      </x:c>
      <x:c r="E12" s="66" t="str">
        <x:v>fixture key</x:v>
      </x:c>
      <x:c r="F12" s="66" t="str">
        <x:v>REQUIRED</x:v>
      </x:c>
      <x:c r="G12" s="68" t="str">
        <x:v>PASS</x:v>
      </x:c>
      <x:c r="H12" s="55"/>
    </x:row>
    <x:row r="13" ht="31" customHeight="1">
      <x:c r="B13" s="65" t="n">
        <x:v>7</x:v>
      </x:c>
      <x:c r="C13" s="66" t="str">
        <x:v>fixture_baseline</x:v>
      </x:c>
      <x:c r="D13" s="66" t="str">
        <x:v>identity</x:v>
      </x:c>
      <x:c r="E13" s="66" t="str">
        <x:v>mounted configuration</x:v>
      </x:c>
      <x:c r="F13" s="66" t="str">
        <x:v>REQUIRED</x:v>
      </x:c>
      <x:c r="G13" s="68" t="str">
        <x:v>PASS</x:v>
      </x:c>
      <x:c r="H13" s="55"/>
    </x:row>
    <x:row r="14" ht="31" customHeight="1">
      <x:c r="B14" s="65" t="n">
        <x:v>8</x:v>
      </x:c>
      <x:c r="C14" s="66" t="str">
        <x:v>artifact_id</x:v>
      </x:c>
      <x:c r="D14" s="66" t="str">
        <x:v>identity</x:v>
      </x:c>
      <x:c r="E14" s="66" t="str">
        <x:v>reference or article object</x:v>
      </x:c>
      <x:c r="F14" s="66" t="str">
        <x:v>REQUIRED</x:v>
      </x:c>
      <x:c r="G14" s="68" t="str">
        <x:v>PASS</x:v>
      </x:c>
      <x:c r="H14" s="55"/>
    </x:row>
    <x:row r="15" ht="31" customHeight="1">
      <x:c r="B15" s="65" t="n">
        <x:v>9</x:v>
      </x:c>
      <x:c r="C15" s="66" t="str">
        <x:v>record_class</x:v>
      </x:c>
      <x:c r="D15" s="66" t="str">
        <x:v>observation</x:v>
      </x:c>
      <x:c r="E15" s="66" t="str">
        <x:v>registered semantic class</x:v>
      </x:c>
      <x:c r="F15" s="66" t="str">
        <x:v>REQUIRED</x:v>
      </x:c>
      <x:c r="G15" s="68" t="str">
        <x:v>PASS</x:v>
      </x:c>
      <x:c r="H15" s="55"/>
    </x:row>
    <x:row r="16" ht="31" customHeight="1">
      <x:c r="B16" s="65" t="n">
        <x:v>10</x:v>
      </x:c>
      <x:c r="C16" s="66" t="str">
        <x:v>device_id</x:v>
      </x:c>
      <x:c r="D16" s="66" t="str">
        <x:v>observation</x:v>
      </x:c>
      <x:c r="E16" s="66" t="str">
        <x:v>instrument identity</x:v>
      </x:c>
      <x:c r="F16" s="66" t="str">
        <x:v>REQUIRED</x:v>
      </x:c>
      <x:c r="G16" s="68" t="str">
        <x:v>PASS</x:v>
      </x:c>
      <x:c r="H16" s="55"/>
    </x:row>
    <x:row r="17" ht="31" customHeight="1">
      <x:c r="B17" s="65" t="n">
        <x:v>11</x:v>
      </x:c>
      <x:c r="C17" s="66" t="str">
        <x:v>channel_id</x:v>
      </x:c>
      <x:c r="D17" s="66" t="str">
        <x:v>observation</x:v>
      </x:c>
      <x:c r="E17" s="66" t="str">
        <x:v>native channel identity</x:v>
      </x:c>
      <x:c r="F17" s="66" t="str">
        <x:v>REQUIRED</x:v>
      </x:c>
      <x:c r="G17" s="68" t="str">
        <x:v>PASS</x:v>
      </x:c>
      <x:c r="H17" s="55"/>
    </x:row>
    <x:row r="18" ht="31" customHeight="1">
      <x:c r="B18" s="65" t="n">
        <x:v>12</x:v>
      </x:c>
      <x:c r="C18" s="66" t="str">
        <x:v>unit</x:v>
      </x:c>
      <x:c r="D18" s="66" t="str">
        <x:v>observation</x:v>
      </x:c>
      <x:c r="E18" s="66" t="str">
        <x:v>dimensioned unit</x:v>
      </x:c>
      <x:c r="F18" s="66" t="str">
        <x:v>REQUIRED</x:v>
      </x:c>
      <x:c r="G18" s="68" t="str">
        <x:v>PASS</x:v>
      </x:c>
      <x:c r="H18" s="55"/>
    </x:row>
    <x:row r="19" ht="31" customHeight="1">
      <x:c r="B19" s="65" t="n">
        <x:v>13</x:v>
      </x:c>
      <x:c r="C19" s="66" t="str">
        <x:v>raw_value</x:v>
      </x:c>
      <x:c r="D19" s="66" t="str">
        <x:v>observation</x:v>
      </x:c>
      <x:c r="E19" s="66" t="str">
        <x:v>unaltered value</x:v>
      </x:c>
      <x:c r="F19" s="66" t="str">
        <x:v>REQUIRED</x:v>
      </x:c>
      <x:c r="G19" s="68" t="str">
        <x:v>PASS</x:v>
      </x:c>
      <x:c r="H19" s="55"/>
    </x:row>
    <x:row r="20" ht="31" customHeight="1">
      <x:c r="B20" s="65" t="n">
        <x:v>14</x:v>
      </x:c>
      <x:c r="C20" s="66" t="str">
        <x:v>transformed_value</x:v>
      </x:c>
      <x:c r="D20" s="66" t="str">
        <x:v>observation</x:v>
      </x:c>
      <x:c r="E20" s="66" t="str">
        <x:v>registered transform</x:v>
      </x:c>
      <x:c r="F20" s="66" t="str">
        <x:v>REQUIRED</x:v>
      </x:c>
      <x:c r="G20" s="68" t="str">
        <x:v>PASS</x:v>
      </x:c>
      <x:c r="H20" s="55"/>
    </x:row>
    <x:row r="21" ht="31" customHeight="1">
      <x:c r="B21" s="65" t="n">
        <x:v>15</x:v>
      </x:c>
      <x:c r="C21" s="66" t="str">
        <x:v>uncertainty</x:v>
      </x:c>
      <x:c r="D21" s="66" t="str">
        <x:v>observation</x:v>
      </x:c>
      <x:c r="E21" s="66" t="str">
        <x:v>expanded uncertainty</x:v>
      </x:c>
      <x:c r="F21" s="66" t="str">
        <x:v>REQUIRED</x:v>
      </x:c>
      <x:c r="G21" s="68" t="str">
        <x:v>PASS</x:v>
      </x:c>
      <x:c r="H21" s="55"/>
    </x:row>
    <x:row r="22" ht="31" customHeight="1">
      <x:c r="B22" s="65" t="n">
        <x:v>16</x:v>
      </x:c>
      <x:c r="C22" s="66" t="str">
        <x:v>quality_flag</x:v>
      </x:c>
      <x:c r="D22" s="66" t="str">
        <x:v>observation</x:v>
      </x:c>
      <x:c r="E22" s="66" t="str">
        <x:v>native quality state</x:v>
      </x:c>
      <x:c r="F22" s="66" t="str">
        <x:v>REQUIRED</x:v>
      </x:c>
      <x:c r="G22" s="68" t="str">
        <x:v>PASS</x:v>
      </x:c>
      <x:c r="H22" s="55"/>
    </x:row>
    <x:row r="23" ht="31" customHeight="1">
      <x:c r="B23" s="65" t="n">
        <x:v>17</x:v>
      </x:c>
      <x:c r="C23" s="66" t="str">
        <x:v>local_monotonic_time</x:v>
      </x:c>
      <x:c r="D23" s="66" t="str">
        <x:v>time/command</x:v>
      </x:c>
      <x:c r="E23" s="66" t="str">
        <x:v>ordering without network</x:v>
      </x:c>
      <x:c r="F23" s="66" t="str">
        <x:v>REQUIRED</x:v>
      </x:c>
      <x:c r="G23" s="68" t="str">
        <x:v>PASS</x:v>
      </x:c>
      <x:c r="H23" s="55"/>
    </x:row>
    <x:row r="24" ht="31" customHeight="1">
      <x:c r="B24" s="65" t="n">
        <x:v>18</x:v>
      </x:c>
      <x:c r="C24" s="66" t="str">
        <x:v>utc_time</x:v>
      </x:c>
      <x:c r="D24" s="66" t="str">
        <x:v>time/command</x:v>
      </x:c>
      <x:c r="E24" s="66" t="str">
        <x:v>civil-time mapping</x:v>
      </x:c>
      <x:c r="F24" s="66" t="str">
        <x:v>REQUIRED</x:v>
      </x:c>
      <x:c r="G24" s="68" t="str">
        <x:v>PASS</x:v>
      </x:c>
      <x:c r="H24" s="55"/>
    </x:row>
    <x:row r="25" ht="31" customHeight="1">
      <x:c r="B25" s="65" t="n">
        <x:v>19</x:v>
      </x:c>
      <x:c r="C25" s="66" t="str">
        <x:v>time_uncertainty</x:v>
      </x:c>
      <x:c r="D25" s="66" t="str">
        <x:v>time/command</x:v>
      </x:c>
      <x:c r="E25" s="66" t="str">
        <x:v>clock bound</x:v>
      </x:c>
      <x:c r="F25" s="66" t="str">
        <x:v>REQUIRED</x:v>
      </x:c>
      <x:c r="G25" s="68" t="str">
        <x:v>PASS</x:v>
      </x:c>
      <x:c r="H25" s="55"/>
    </x:row>
    <x:row r="26" ht="31" customHeight="1">
      <x:c r="B26" s="65" t="n">
        <x:v>20</x:v>
      </x:c>
      <x:c r="C26" s="66" t="str">
        <x:v>command_id</x:v>
      </x:c>
      <x:c r="D26" s="66" t="str">
        <x:v>time/command</x:v>
      </x:c>
      <x:c r="E26" s="66" t="str">
        <x:v>separate stimulus command</x:v>
      </x:c>
      <x:c r="F26" s="66" t="str">
        <x:v>REQUIRED</x:v>
      </x:c>
      <x:c r="G26" s="68" t="str">
        <x:v>PASS</x:v>
      </x:c>
      <x:c r="H26" s="55"/>
    </x:row>
    <x:row r="27" ht="31" customHeight="1">
      <x:c r="B27" s="65" t="n">
        <x:v>21</x:v>
      </x:c>
      <x:c r="C27" s="66" t="str">
        <x:v>operator_id</x:v>
      </x:c>
      <x:c r="D27" s="66" t="str">
        <x:v>authority/integrity</x:v>
      </x:c>
      <x:c r="E27" s="66" t="str">
        <x:v>human or machine operator</x:v>
      </x:c>
      <x:c r="F27" s="66" t="str">
        <x:v>REQUIRED</x:v>
      </x:c>
      <x:c r="G27" s="68" t="str">
        <x:v>PASS</x:v>
      </x:c>
      <x:c r="H27" s="55"/>
    </x:row>
    <x:row r="28" ht="31" customHeight="1">
      <x:c r="B28" s="65" t="n">
        <x:v>22</x:v>
      </x:c>
      <x:c r="C28" s="66" t="str">
        <x:v>authority_id</x:v>
      </x:c>
      <x:c r="D28" s="66" t="str">
        <x:v>authority/integrity</x:v>
      </x:c>
      <x:c r="E28" s="66" t="str">
        <x:v>signing authority</x:v>
      </x:c>
      <x:c r="F28" s="66" t="str">
        <x:v>REQUIRED</x:v>
      </x:c>
      <x:c r="G28" s="68" t="str">
        <x:v>PASS</x:v>
      </x:c>
      <x:c r="H28" s="55"/>
    </x:row>
    <x:row r="29" ht="31" customHeight="1">
      <x:c r="B29" s="65" t="n">
        <x:v>23</x:v>
      </x:c>
      <x:c r="C29" s="66" t="str">
        <x:v>parent_hash</x:v>
      </x:c>
      <x:c r="D29" s="66" t="str">
        <x:v>authority/integrity</x:v>
      </x:c>
      <x:c r="E29" s="66" t="str">
        <x:v>append-only ancestry</x:v>
      </x:c>
      <x:c r="F29" s="66" t="str">
        <x:v>REQUIRED</x:v>
      </x:c>
      <x:c r="G29" s="68" t="str">
        <x:v>PASS</x:v>
      </x:c>
      <x:c r="H29" s="55"/>
    </x:row>
    <x:row r="30" ht="31" customHeight="1">
      <x:c r="B30" s="65" t="n">
        <x:v>24</x:v>
      </x:c>
      <x:c r="C30" s="66" t="str">
        <x:v>payload_hash</x:v>
      </x:c>
      <x:c r="D30" s="66" t="str">
        <x:v>authority/integrity</x:v>
      </x:c>
      <x:c r="E30" s="66" t="str">
        <x:v>content integrity</x:v>
      </x:c>
      <x:c r="F30" s="66" t="str">
        <x:v>REQUIRED</x:v>
      </x:c>
      <x:c r="G30" s="68" t="str">
        <x:v>PASS</x:v>
      </x:c>
      <x:c r="H30" s="55"/>
    </x:row>
    <x:row r="31" ht="31" customHeight="1">
      <x:c r="B31" s="65" t="n">
        <x:v>25</x:v>
      </x:c>
      <x:c r="C31" s="66" t="str">
        <x:v>signature</x:v>
      </x:c>
      <x:c r="D31" s="66" t="str">
        <x:v>authority/integrity</x:v>
      </x:c>
      <x:c r="E31" s="66" t="str">
        <x:v>authority attestation</x:v>
      </x:c>
      <x:c r="F31" s="66" t="str">
        <x:v>REQUIRED</x:v>
      </x:c>
      <x:c r="G31" s="68" t="str">
        <x:v>PASS</x:v>
      </x:c>
      <x:c r="H31" s="55"/>
    </x:row>
    <x:row r="32" ht="31" customHeight="1">
      <x:c r="B32" s="65" t="n">
        <x:v>26</x:v>
      </x:c>
      <x:c r="C32" s="66" t="str">
        <x:v>custody_state</x:v>
      </x:c>
      <x:c r="D32" s="66" t="str">
        <x:v>authority/integrity</x:v>
      </x:c>
      <x:c r="E32" s="66" t="str">
        <x:v>current control state</x:v>
      </x:c>
      <x:c r="F32" s="66" t="str">
        <x:v>REQUIRED</x:v>
      </x:c>
      <x:c r="G32" s="68" t="str">
        <x:v>PASS</x:v>
      </x:c>
      <x:c r="H32" s="55"/>
    </x:row>
    <x:row r="33" ht="31" customHeight="1">
      <x:c r="B33" s="65" t="n">
        <x:v>27</x:v>
      </x:c>
      <x:c r="C33" s="66" t="str">
        <x:v>schema_version</x:v>
      </x:c>
      <x:c r="D33" s="66" t="str">
        <x:v>authority/integrity</x:v>
      </x:c>
      <x:c r="E33" s="66" t="str">
        <x:v>replay contract</x:v>
      </x:c>
      <x:c r="F33" s="66" t="str">
        <x:v>REQUIRED</x:v>
      </x:c>
      <x:c r="G33" s="68" t="str">
        <x:v>PASS</x:v>
      </x:c>
      <x:c r="H33" s="55"/>
    </x:row>
    <x:row r="34" ht="31" customHeight="1">
      <x:c r="B34" s="70" t="n">
        <x:v>28</x:v>
      </x:c>
      <x:c r="C34" s="71" t="str">
        <x:v>reason_code</x:v>
      </x:c>
      <x:c r="D34" s="71" t="str">
        <x:v>authority/integrity</x:v>
      </x:c>
      <x:c r="E34" s="71" t="str">
        <x:v>decision/deviation grammar</x:v>
      </x:c>
      <x:c r="F34" s="71" t="str">
        <x:v>REQUIRED</x:v>
      </x:c>
      <x:c r="G34" s="73" t="str">
        <x:v>PASS</x:v>
      </x:c>
      <x:c r="H34" s="55"/>
    </x:row>
    <x:row r="35">
      <x:c r="B35" s="55"/>
      <x:c r="C35" s="55"/>
      <x:c r="D35" s="55"/>
      <x:c r="E35" s="55"/>
      <x:c r="F35" s="55"/>
      <x:c r="G35" s="55"/>
      <x:c r="H35" s="55"/>
    </x:row>
    <x:row r="36">
      <x:c r="B36" s="55"/>
      <x:c r="C36" s="55"/>
      <x:c r="D36" s="55"/>
      <x:c r="E36" s="55"/>
      <x:c r="F36" s="55"/>
      <x:c r="G36" s="55"/>
      <x:c r="H36" s="55"/>
    </x:row>
    <x:row r="37">
      <x:c r="B37" s="55" t="str">
        <x:v>CONTROL</x:v>
      </x:c>
      <x:c r="C37" s="55" t="str">
        <x:v>Schema fields</x:v>
      </x:c>
      <x:c r="D37" s="55" t="n">
        <x:f>COUNTA(C7:C34)</x:f>
        <x:v>28</x:v>
      </x:c>
      <x:c r="E37" s="55" t="str">
        <x:f>IF(AND(D37='Control Inputs'!D20,COUNTIF(G7:G34,"PASS")=28),"PASS","FAIL")</x:f>
        <x:v>PASS</x:v>
      </x:c>
      <x:c r="F37" s="55"/>
      <x:c r="G37" s="55"/>
      <x:c r="H37" s="55"/>
    </x:row>
  </x:sheetData>
  <x:mergeCells>
    <x:mergeCell ref="B3:H3"/>
  </x:mergeCells>
  <x:conditionalFormatting sqref="G7:G34">
    <x:cfRule type="containsText" dxfId="176" priority="1" operator="containsText" text="FAIL"/>
    <x:cfRule type="containsText" dxfId="177" priority="2" operator="containsText" text="BLOCKED"/>
    <x:cfRule type="containsText" dxfId="178" priority="3" operator="containsText" text="HOLD"/>
    <x:cfRule type="containsText" dxfId="179" priority="4" operator="containsText" text="OPEN"/>
    <x:cfRule type="containsText" dxfId="180" priority="5" operator="containsText" text="UNTESTED"/>
    <x:cfRule type="containsText" dxfId="181" priority="6" operator="containsText" text="INDETERMINATE"/>
    <x:cfRule type="containsText" dxfId="182" priority="7" operator="containsText" text="INVALID"/>
    <x:cfRule type="containsText" dxfId="183" priority="8" operator="containsText" text="PASS"/>
    <x:cfRule type="containsText" dxfId="184" priority="9" operator="containsText" text="CLOSED"/>
    <x:cfRule type="containsText" dxfId="185" priority="10" operator="containsText" text="READY"/>
    <x:cfRule type="containsText" dxfId="186" priority="11" operator="containsText" text="AUTHORIZED"/>
    <x:cfRule type="containsText" dxfId="187" priority="12" operator="containsText" text="PLANNING PASS"/>
    <x:cfRule type="containsText" dxfId="188" priority="13" operator="containsText" text="COMPLETE"/>
    <x:cfRule type="containsText" dxfId="189" priority="14" operator="containsText" text="ACCEPTED"/>
    <x:cfRule type="containsText" dxfId="190" priority="15" operator="containsText" text="ADMITTED"/>
    <x:cfRule type="containsText" dxfId="191" priority="16" operator="containsText" text="RELEASED"/>
  </x:conditionalFormatting>
  <x:conditionalFormatting sqref="E37:E37">
    <x:cfRule type="containsText" dxfId="192" priority="17" operator="containsText" text="FAIL"/>
    <x:cfRule type="containsText" dxfId="193" priority="18" operator="containsText" text="BLOCKED"/>
    <x:cfRule type="containsText" dxfId="194" priority="19" operator="containsText" text="HOLD"/>
    <x:cfRule type="containsText" dxfId="195" priority="20" operator="containsText" text="OPEN"/>
    <x:cfRule type="containsText" dxfId="196" priority="21" operator="containsText" text="UNTESTED"/>
    <x:cfRule type="containsText" dxfId="197" priority="22" operator="containsText" text="INDETERMINATE"/>
    <x:cfRule type="containsText" dxfId="198" priority="23" operator="containsText" text="INVALID"/>
    <x:cfRule type="containsText" dxfId="199" priority="24" operator="containsText" text="PASS"/>
    <x:cfRule type="containsText" dxfId="200" priority="25" operator="containsText" text="CLOSED"/>
    <x:cfRule type="containsText" dxfId="201" priority="26" operator="containsText" text="READY"/>
    <x:cfRule type="containsText" dxfId="202" priority="27" operator="containsText" text="AUTHORIZED"/>
    <x:cfRule type="containsText" dxfId="203" priority="28" operator="containsText" text="PLANNING PASS"/>
    <x:cfRule type="containsText" dxfId="204" priority="29" operator="containsText" text="COMPLETE"/>
    <x:cfRule type="containsText" dxfId="205" priority="30" operator="containsText" text="ACCEPTED"/>
    <x:cfRule type="containsText" dxfId="206" priority="31" operator="containsText" text="ADMITTED"/>
    <x:cfRule type="containsText" dxfId="207" priority="32" operator="containsText" text="RELEASED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B8C7D1"/>
  </x:sheetPr>
  <x:sheetViews>
    <x:sheetView showGridLines="0" workbookViewId="0"/>
  </x:sheetViews>
  <x:sheetFormatPr defaultRowHeight="15"/>
  <x:cols>
    <x:col min="2" max="2" width="27" hidden="0" customWidth="1"/>
    <x:col min="3" max="3" width="16" hidden="0" customWidth="1"/>
    <x:col min="4" max="4" width="20" hidden="0" customWidth="1"/>
    <x:col min="5" max="5" width="22" hidden="0" customWidth="1"/>
    <x:col min="6" max="6" width="15" hidden="0" customWidth="1"/>
    <x:col min="7" max="7" width="4" hidden="0" customWidth="1"/>
    <x:col min="8" max="8" width="27" hidden="0" customWidth="1"/>
    <x:col min="9" max="9" width="16" hidden="0" customWidth="1"/>
    <x:col min="10" max="10" width="20" hidden="0" customWidth="1"/>
    <x:col min="11" max="11" width="22" hidden="0" customWidth="1"/>
    <x:col min="12" max="12" width="15" hidden="0" customWidth="1"/>
  </x:cols>
  <x:sheetData>
    <x:row r="2">
      <x:c r="B2" s="1" t="str">
        <x:v>Native evidence-volume model</x:v>
      </x:c>
      <x:c r="C2" s="55"/>
      <x:c r="D2" s="55"/>
      <x:c r="E2" s="55"/>
      <x:c r="F2" s="55"/>
      <x:c r="G2" s="55"/>
      <x:c r="H2" s="55"/>
      <x:c r="I2" s="55"/>
      <x:c r="J2" s="55"/>
      <x:c r="K2" s="55"/>
      <x:c r="L2" s="55"/>
    </x:row>
    <x:row r="3">
      <x:c r="B3" s="2" t="str">
        <x:v>The model retains two originals, native samples and a 30% derivative/index margin. Decimal TB and GB are used.</x:v>
      </x:c>
      <x:c r="C3" s="55"/>
      <x:c r="D3" s="55"/>
      <x:c r="E3" s="55"/>
      <x:c r="F3" s="55"/>
      <x:c r="G3" s="55"/>
      <x:c r="H3" s="55"/>
      <x:c r="I3" s="55"/>
      <x:c r="J3" s="55"/>
      <x:c r="K3" s="55"/>
      <x:c r="L3" s="55"/>
    </x:row>
    <x:row r="4">
      <x:c r="B4" s="57"/>
      <x:c r="C4" s="57"/>
      <x:c r="D4" s="57"/>
      <x:c r="E4" s="57"/>
      <x:c r="F4" s="57"/>
      <x:c r="G4" s="57"/>
      <x:c r="H4" s="57"/>
      <x:c r="I4" s="57"/>
      <x:c r="J4" s="57"/>
      <x:c r="K4" s="57"/>
      <x:c r="L4" s="55"/>
    </x:row>
    <x:row r="5">
      <x:c r="B5" s="55"/>
      <x:c r="C5" s="55"/>
      <x:c r="D5" s="55"/>
      <x:c r="E5" s="55"/>
      <x:c r="F5" s="55"/>
      <x:c r="G5" s="55"/>
      <x:c r="H5" s="55"/>
      <x:c r="I5" s="55"/>
      <x:c r="J5" s="55"/>
      <x:c r="K5" s="55"/>
      <x:c r="L5" s="55"/>
    </x:row>
    <x:row r="6">
      <x:c r="B6" s="15" t="str">
        <x:v>Closure family</x:v>
      </x:c>
      <x:c r="C6" s="16" t="str">
        <x:v>Channels</x:v>
      </x:c>
      <x:c r="D6" s="16" t="str">
        <x:v>Sample rate Hz</x:v>
      </x:c>
      <x:c r="E6" s="16" t="str">
        <x:v>Samples/second</x:v>
      </x:c>
      <x:c r="F6" s="16" t="str">
        <x:v>Share</x:v>
      </x:c>
      <x:c r="G6" s="55"/>
      <x:c r="H6" s="15" t="str">
        <x:v>Damage family</x:v>
      </x:c>
      <x:c r="I6" s="16" t="str">
        <x:v>Channels</x:v>
      </x:c>
      <x:c r="J6" s="16" t="str">
        <x:v>Sample rate Hz</x:v>
      </x:c>
      <x:c r="K6" s="16" t="str">
        <x:v>Samples/second</x:v>
      </x:c>
      <x:c r="L6" s="16" t="str">
        <x:v>Share</x:v>
      </x:c>
    </x:row>
    <x:row r="7">
      <x:c r="B7" s="65" t="str">
        <x:v>pressure</x:v>
      </x:c>
      <x:c r="C7" s="65" t="n">
        <x:v>12</x:v>
      </x:c>
      <x:c r="D7" s="65" t="n">
        <x:v>1000</x:v>
      </x:c>
      <x:c r="E7" s="65" t="n">
        <x:f>C7*D7</x:f>
        <x:v>12000</x:v>
      </x:c>
      <x:c r="F7" s="76" t="n">
        <x:f>E7/$E$15</x:f>
        <x:v>0.061513225343448844</x:v>
      </x:c>
      <x:c r="G7" s="55"/>
      <x:c r="H7" s="65" t="str">
        <x:v>pressure</x:v>
      </x:c>
      <x:c r="I7" s="65" t="n">
        <x:v>16</x:v>
      </x:c>
      <x:c r="J7" s="65" t="n">
        <x:v>1000</x:v>
      </x:c>
      <x:c r="K7" s="65" t="n">
        <x:f>I7*J7</x:f>
        <x:v>16000</x:v>
      </x:c>
      <x:c r="L7" s="76" t="n">
        <x:f>K7/$K$15</x:f>
        <x:v>0.056338028169014086</x:v>
      </x:c>
    </x:row>
    <x:row r="8">
      <x:c r="B8" s="65" t="str">
        <x:v>flow</x:v>
      </x:c>
      <x:c r="C8" s="65" t="n">
        <x:v>8</x:v>
      </x:c>
      <x:c r="D8" s="65" t="n">
        <x:v>100</x:v>
      </x:c>
      <x:c r="E8" s="65" t="n">
        <x:f>C8*D8</x:f>
        <x:v>800</x:v>
      </x:c>
      <x:c r="F8" s="76" t="n">
        <x:f>E8/$E$15</x:f>
        <x:v>0.004100881689563256</x:v>
      </x:c>
      <x:c r="G8" s="55"/>
      <x:c r="H8" s="65" t="str">
        <x:v>flow</x:v>
      </x:c>
      <x:c r="I8" s="65" t="n">
        <x:v>12</x:v>
      </x:c>
      <x:c r="J8" s="65" t="n">
        <x:v>100</x:v>
      </x:c>
      <x:c r="K8" s="65" t="n">
        <x:f>I8*J8</x:f>
        <x:v>1200</x:v>
      </x:c>
      <x:c r="L8" s="76" t="n">
        <x:f>K8/$K$15</x:f>
        <x:v>0.004225352112676056</x:v>
      </x:c>
    </x:row>
    <x:row r="9">
      <x:c r="B9" s="65" t="str">
        <x:v>geometry</x:v>
      </x:c>
      <x:c r="C9" s="65" t="n">
        <x:v>20</x:v>
      </x:c>
      <x:c r="D9" s="65" t="n">
        <x:v>100</x:v>
      </x:c>
      <x:c r="E9" s="65" t="n">
        <x:f>C9*D9</x:f>
        <x:v>2000</x:v>
      </x:c>
      <x:c r="F9" s="76" t="n">
        <x:f>E9/$E$15</x:f>
        <x:v>0.01025220422390814</x:v>
      </x:c>
      <x:c r="G9" s="55"/>
      <x:c r="H9" s="65" t="str">
        <x:v>geometry</x:v>
      </x:c>
      <x:c r="I9" s="65" t="n">
        <x:v>24</x:v>
      </x:c>
      <x:c r="J9" s="65" t="n">
        <x:v>100</x:v>
      </x:c>
      <x:c r="K9" s="65" t="n">
        <x:f>I9*J9</x:f>
        <x:v>2400</x:v>
      </x:c>
      <x:c r="L9" s="76" t="n">
        <x:f>K9/$K$15</x:f>
        <x:v>0.008450704225352112</x:v>
      </x:c>
    </x:row>
    <x:row r="10">
      <x:c r="B10" s="65" t="str">
        <x:v>strain/load</x:v>
      </x:c>
      <x:c r="C10" s="65" t="n">
        <x:v>20</x:v>
      </x:c>
      <x:c r="D10" s="65" t="n">
        <x:v>1000</x:v>
      </x:c>
      <x:c r="E10" s="65" t="n">
        <x:f>C10*D10</x:f>
        <x:v>20000</x:v>
      </x:c>
      <x:c r="F10" s="76" t="n">
        <x:f>E10/$E$15</x:f>
        <x:v>0.1025220422390814</x:v>
      </x:c>
      <x:c r="G10" s="55"/>
      <x:c r="H10" s="65" t="str">
        <x:v>strain/load</x:v>
      </x:c>
      <x:c r="I10" s="65" t="n">
        <x:v>24</x:v>
      </x:c>
      <x:c r="J10" s="65" t="n">
        <x:v>1000</x:v>
      </x:c>
      <x:c r="K10" s="65" t="n">
        <x:f>I10*J10</x:f>
        <x:v>24000</x:v>
      </x:c>
      <x:c r="L10" s="76" t="n">
        <x:f>K10/$K$15</x:f>
        <x:v>0.08450704225352113</x:v>
      </x:c>
    </x:row>
    <x:row r="11">
      <x:c r="B11" s="65" t="str">
        <x:v>temperature</x:v>
      </x:c>
      <x:c r="C11" s="65" t="n">
        <x:v>12</x:v>
      </x:c>
      <x:c r="D11" s="65" t="n">
        <x:v>10</x:v>
      </x:c>
      <x:c r="E11" s="65" t="n">
        <x:f>C11*D11</x:f>
        <x:v>120</x:v>
      </x:c>
      <x:c r="F11" s="76" t="n">
        <x:f>E11/$E$15</x:f>
        <x:v>0.0006151322534344885</x:v>
      </x:c>
      <x:c r="G11" s="55"/>
      <x:c r="H11" s="65" t="str">
        <x:v>temperature</x:v>
      </x:c>
      <x:c r="I11" s="65" t="n">
        <x:v>12</x:v>
      </x:c>
      <x:c r="J11" s="65" t="n">
        <x:v>10</x:v>
      </x:c>
      <x:c r="K11" s="65" t="n">
        <x:f>I11*J11</x:f>
        <x:v>120</x:v>
      </x:c>
      <x:c r="L11" s="76" t="n">
        <x:f>K11/$K$15</x:f>
        <x:v>0.00042253521126760566</x:v>
      </x:c>
    </x:row>
    <x:row r="12">
      <x:c r="B12" s="65" t="str">
        <x:v>acoustic</x:v>
      </x:c>
      <x:c r="C12" s="65" t="n">
        <x:v>8</x:v>
      </x:c>
      <x:c r="D12" s="65" t="n">
        <x:v>20000</x:v>
      </x:c>
      <x:c r="E12" s="65" t="n">
        <x:f>C12*D12</x:f>
        <x:v>160000</x:v>
      </x:c>
      <x:c r="F12" s="76" t="n">
        <x:f>E12/$E$15</x:f>
        <x:v>0.8201763379126512</x:v>
      </x:c>
      <x:c r="G12" s="55"/>
      <x:c r="H12" s="65" t="str">
        <x:v>acoustic</x:v>
      </x:c>
      <x:c r="I12" s="65" t="n">
        <x:v>12</x:v>
      </x:c>
      <x:c r="J12" s="65" t="n">
        <x:v>20000</x:v>
      </x:c>
      <x:c r="K12" s="65" t="n">
        <x:f>I12*J12</x:f>
        <x:v>240000</x:v>
      </x:c>
      <x:c r="L12" s="76" t="n">
        <x:f>K12/$K$15</x:f>
        <x:v>0.8450704225352113</x:v>
      </x:c>
    </x:row>
    <x:row r="13">
      <x:c r="B13" s="65" t="str">
        <x:v>water</x:v>
      </x:c>
      <x:c r="C13" s="65" t="n">
        <x:v>6</x:v>
      </x:c>
      <x:c r="D13" s="65" t="n">
        <x:v>10</x:v>
      </x:c>
      <x:c r="E13" s="65" t="n">
        <x:f>C13*D13</x:f>
        <x:v>60</x:v>
      </x:c>
      <x:c r="F13" s="76" t="n">
        <x:f>E13/$E$15</x:f>
        <x:v>0.00030756612671724423</x:v>
      </x:c>
      <x:c r="G13" s="55"/>
      <x:c r="H13" s="65" t="str">
        <x:v>water</x:v>
      </x:c>
      <x:c r="I13" s="65" t="n">
        <x:v>12</x:v>
      </x:c>
      <x:c r="J13" s="65" t="n">
        <x:v>10</x:v>
      </x:c>
      <x:c r="K13" s="65" t="n">
        <x:f>I13*J13</x:f>
        <x:v>120</x:v>
      </x:c>
      <x:c r="L13" s="76" t="n">
        <x:f>K13/$K$15</x:f>
        <x:v>0.00042253521126760566</x:v>
      </x:c>
    </x:row>
    <x:row r="14">
      <x:c r="B14" s="65" t="str">
        <x:v>energy/time/other</x:v>
      </x:c>
      <x:c r="C14" s="65" t="n">
        <x:v>10</x:v>
      </x:c>
      <x:c r="D14" s="65" t="n">
        <x:v>10</x:v>
      </x:c>
      <x:c r="E14" s="65" t="n">
        <x:f>C14*D14</x:f>
        <x:v>100</x:v>
      </x:c>
      <x:c r="F14" s="76" t="n">
        <x:f>E14/$E$15</x:f>
        <x:v>0.000512610211195407</x:v>
      </x:c>
      <x:c r="G14" s="55"/>
      <x:c r="H14" s="65" t="str">
        <x:v>energy/time/other</x:v>
      </x:c>
      <x:c r="I14" s="65" t="n">
        <x:v>16</x:v>
      </x:c>
      <x:c r="J14" s="65" t="n">
        <x:v>10</x:v>
      </x:c>
      <x:c r="K14" s="65" t="n">
        <x:f>I14*J14</x:f>
        <x:v>160</x:v>
      </x:c>
      <x:c r="L14" s="76" t="n">
        <x:f>K14/$K$15</x:f>
        <x:v>0.0005633802816901409</x:v>
      </x:c>
    </x:row>
    <x:row r="15">
      <x:c r="B15" s="70" t="str">
        <x:v>TOTAL</x:v>
      </x:c>
      <x:c r="C15" s="70"/>
      <x:c r="D15" s="70"/>
      <x:c r="E15" s="70" t="n">
        <x:f>SUM(E7:E14)</x:f>
        <x:v>195080</x:v>
      </x:c>
      <x:c r="F15" s="77" t="n">
        <x:f>SUM(F7:F14)</x:f>
        <x:v>1</x:v>
      </x:c>
      <x:c r="G15" s="55"/>
      <x:c r="H15" s="70" t="str">
        <x:v>TOTAL</x:v>
      </x:c>
      <x:c r="I15" s="70"/>
      <x:c r="J15" s="70"/>
      <x:c r="K15" s="70" t="n">
        <x:f>SUM(K7:K14)</x:f>
        <x:v>284000</x:v>
      </x:c>
      <x:c r="L15" s="77" t="n">
        <x:f>SUM(L7:L14)</x:f>
        <x:v>1</x:v>
      </x:c>
    </x:row>
    <x:row r="16">
      <x:c r="B16" s="55"/>
      <x:c r="C16" s="55"/>
      <x:c r="D16" s="55"/>
      <x:c r="E16" s="55"/>
      <x:c r="F16" s="55"/>
      <x:c r="G16" s="55"/>
      <x:c r="H16" s="55"/>
      <x:c r="I16" s="55"/>
      <x:c r="J16" s="55"/>
      <x:c r="K16" s="55"/>
      <x:c r="L16" s="55"/>
    </x:row>
    <x:row r="17">
      <x:c r="B17" s="55"/>
      <x:c r="C17" s="55"/>
      <x:c r="D17" s="55"/>
      <x:c r="E17" s="55"/>
      <x:c r="F17" s="55"/>
      <x:c r="G17" s="55"/>
      <x:c r="H17" s="55"/>
      <x:c r="I17" s="55"/>
      <x:c r="J17" s="55"/>
      <x:c r="K17" s="55"/>
      <x:c r="L17" s="55"/>
    </x:row>
    <x:row r="18">
      <x:c r="B18" s="58" t="str">
        <x:v>Retained evidence calculation</x:v>
      </x:c>
      <x:c r="C18" s="59" t="str">
        <x:v>Retained evidence calculation</x:v>
      </x:c>
      <x:c r="D18" s="59" t="str">
        <x:v>Retained evidence calculation</x:v>
      </x:c>
      <x:c r="E18" s="59" t="str">
        <x:v>Retained evidence calculation</x:v>
      </x:c>
      <x:c r="F18" s="59" t="str">
        <x:v>Retained evidence calculation</x:v>
      </x:c>
      <x:c r="G18" s="59" t="str">
        <x:v>Retained evidence calculation</x:v>
      </x:c>
      <x:c r="H18" s="59" t="str">
        <x:v>Retained evidence calculation</x:v>
      </x:c>
      <x:c r="I18" s="59" t="str">
        <x:v>Retained evidence calculation</x:v>
      </x:c>
      <x:c r="J18" s="59" t="str">
        <x:v>Retained evidence calculation</x:v>
      </x:c>
      <x:c r="K18" s="59" t="str">
        <x:v>Retained evidence calculation</x:v>
      </x:c>
      <x:c r="L18" s="60" t="str">
        <x:v>Retained evidence calculation</x:v>
      </x:c>
    </x:row>
    <x:row r="19">
      <x:c r="B19" s="55" t="str">
        <x:v>Closure samples/second</x:v>
      </x:c>
      <x:c r="C19" s="55" t="str">
        <x:v>calculated above</x:v>
      </x:c>
      <x:c r="D19" s="55" t="n">
        <x:f>E15</x:f>
        <x:v>195080</x:v>
      </x:c>
      <x:c r="E19" s="55"/>
      <x:c r="F19" s="55"/>
      <x:c r="G19" s="55"/>
      <x:c r="H19" s="55"/>
      <x:c r="I19" s="55"/>
      <x:c r="J19" s="55"/>
      <x:c r="K19" s="55"/>
      <x:c r="L19" s="55"/>
    </x:row>
    <x:row r="20">
      <x:c r="B20" s="55" t="str">
        <x:v>Hours per closure article</x:v>
      </x:c>
      <x:c r="C20" s="55" t="str">
        <x:v>input</x:v>
      </x:c>
      <x:c r="D20" s="55" t="n">
        <x:f>'Control Inputs'!D24</x:f>
        <x:v>100</x:v>
      </x:c>
      <x:c r="E20" s="55"/>
      <x:c r="F20" s="55"/>
      <x:c r="G20" s="55"/>
      <x:c r="H20" s="55"/>
      <x:c r="I20" s="55"/>
      <x:c r="J20" s="55"/>
      <x:c r="K20" s="55"/>
      <x:c r="L20" s="55"/>
    </x:row>
    <x:row r="21">
      <x:c r="B21" s="55" t="str">
        <x:v>Retained TB per closure article</x:v>
      </x:c>
      <x:c r="C21" s="55" t="str">
        <x:v>decimal TB</x:v>
      </x:c>
      <x:c r="D21" s="61" t="n">
        <x:f>D19*D20*3600*'Control Inputs'!D25*'Control Inputs'!D26*'Control Inputs'!D15/1000000000000</x:f>
        <x:v>2.809152</x:v>
      </x:c>
      <x:c r="E21" s="55"/>
      <x:c r="F21" s="55"/>
      <x:c r="G21" s="55"/>
      <x:c r="H21" s="55"/>
      <x:c r="I21" s="55"/>
      <x:c r="J21" s="55"/>
      <x:c r="K21" s="55"/>
      <x:c r="L21" s="55"/>
    </x:row>
    <x:row r="22">
      <x:c r="B22" s="55" t="str">
        <x:v>Closure campaign retained TB</x:v>
      </x:c>
      <x:c r="C22" s="55" t="str">
        <x:v>72 articles</x:v>
      </x:c>
      <x:c r="D22" s="61" t="n">
        <x:f>D21*'Control Inputs'!D22</x:f>
        <x:v>202.258944</x:v>
      </x:c>
      <x:c r="E22" s="55"/>
      <x:c r="F22" s="55"/>
      <x:c r="G22" s="55"/>
      <x:c r="H22" s="55"/>
      <x:c r="I22" s="55"/>
      <x:c r="J22" s="55"/>
      <x:c r="K22" s="55"/>
      <x:c r="L22" s="55"/>
    </x:row>
    <x:row r="23">
      <x:c r="B23" s="55" t="str">
        <x:v>Damage samples/second</x:v>
      </x:c>
      <x:c r="C23" s="55" t="str">
        <x:v>calculated above</x:v>
      </x:c>
      <x:c r="D23" s="61" t="n">
        <x:f>K15</x:f>
        <x:v>284000</x:v>
      </x:c>
      <x:c r="E23" s="55"/>
      <x:c r="F23" s="55"/>
      <x:c r="G23" s="55"/>
      <x:c r="H23" s="55"/>
      <x:c r="I23" s="55"/>
      <x:c r="J23" s="55"/>
      <x:c r="K23" s="55"/>
      <x:c r="L23" s="55"/>
    </x:row>
    <x:row r="24">
      <x:c r="B24" s="55" t="str">
        <x:v>Retained GB per damage run</x:v>
      </x:c>
      <x:c r="C24" s="55" t="str">
        <x:v>six hours</x:v>
      </x:c>
      <x:c r="D24" s="61" t="n">
        <x:f>D23*'Control Inputs'!D59*3600*'Control Inputs'!D25*'Control Inputs'!D26*'Control Inputs'!D15/1000000000</x:f>
        <x:v>245.376</x:v>
      </x:c>
      <x:c r="E24" s="55"/>
      <x:c r="F24" s="55"/>
      <x:c r="G24" s="55"/>
      <x:c r="H24" s="55"/>
      <x:c r="I24" s="55"/>
      <x:c r="J24" s="55"/>
      <x:c r="K24" s="55"/>
      <x:c r="L24" s="55"/>
    </x:row>
    <x:row r="25">
      <x:c r="B25" s="55" t="str">
        <x:v>Damage campaign retained TB</x:v>
      </x:c>
      <x:c r="C25" s="55" t="str">
        <x:v>26 runs</x:v>
      </x:c>
      <x:c r="D25" s="61" t="n">
        <x:f>D24*'Control Inputs'!D23/1000</x:f>
        <x:v>6.379776</x:v>
      </x:c>
      <x:c r="E25" s="55"/>
      <x:c r="F25" s="55"/>
      <x:c r="G25" s="55"/>
      <x:c r="H25" s="55"/>
      <x:c r="I25" s="55"/>
      <x:c r="J25" s="55"/>
      <x:c r="K25" s="55"/>
      <x:c r="L25" s="55"/>
    </x:row>
    <x:row r="26">
      <x:c r="B26" s="55" t="str">
        <x:v>Total with derivative/index margin</x:v>
      </x:c>
      <x:c r="C26" s="55" t="str">
        <x:v>campaign estate</x:v>
      </x:c>
      <x:c r="D26" s="61" t="n">
        <x:f>(D22+D25)*(1+'Control Inputs'!D27)</x:f>
        <x:v>271.230336</x:v>
      </x:c>
      <x:c r="E26" s="55"/>
      <x:c r="F26" s="55" t="str">
        <x:f>IF(AND(E15='Control Inputs'!D57,K15='Control Inputs'!D58,ABS(D26-271.23)&lt;0.02),"PASS","FAIL")</x:f>
        <x:v>PASS</x:v>
      </x:c>
      <x:c r="G26" s="55"/>
      <x:c r="H26" s="55"/>
      <x:c r="I26" s="55"/>
      <x:c r="J26" s="55"/>
      <x:c r="K26" s="55"/>
      <x:c r="L26" s="55"/>
    </x:row>
  </x:sheetData>
  <x:mergeCells>
    <x:mergeCell ref="B3:K3"/>
    <x:mergeCell ref="B18:L18"/>
  </x:mergeCells>
  <x:conditionalFormatting sqref="F26:F26">
    <x:cfRule type="containsText" dxfId="208" priority="1" operator="containsText" text="FAIL"/>
    <x:cfRule type="containsText" dxfId="209" priority="2" operator="containsText" text="BLOCKED"/>
    <x:cfRule type="containsText" dxfId="210" priority="3" operator="containsText" text="HOLD"/>
    <x:cfRule type="containsText" dxfId="211" priority="4" operator="containsText" text="OPEN"/>
    <x:cfRule type="containsText" dxfId="212" priority="5" operator="containsText" text="UNTESTED"/>
    <x:cfRule type="containsText" dxfId="213" priority="6" operator="containsText" text="INDETERMINATE"/>
    <x:cfRule type="containsText" dxfId="214" priority="7" operator="containsText" text="INVALID"/>
    <x:cfRule type="containsText" dxfId="215" priority="8" operator="containsText" text="PASS"/>
    <x:cfRule type="containsText" dxfId="216" priority="9" operator="containsText" text="CLOSED"/>
    <x:cfRule type="containsText" dxfId="217" priority="10" operator="containsText" text="READY"/>
    <x:cfRule type="containsText" dxfId="218" priority="11" operator="containsText" text="AUTHORIZED"/>
    <x:cfRule type="containsText" dxfId="219" priority="12" operator="containsText" text="PLANNING PASS"/>
    <x:cfRule type="containsText" dxfId="220" priority="13" operator="containsText" text="COMPLETE"/>
    <x:cfRule type="containsText" dxfId="221" priority="14" operator="containsText" text="ACCEPTED"/>
    <x:cfRule type="containsText" dxfId="222" priority="15" operator="containsText" text="ADMITTED"/>
    <x:cfRule type="containsText" dxfId="223" priority="16" operator="containsText" text="RELEASED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B8C7D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1" hidden="0" customWidth="1"/>
    <x:col min="3" max="3" width="27" hidden="0" customWidth="1"/>
    <x:col min="4" max="4" width="57" hidden="0" customWidth="1"/>
    <x:col min="5" max="5" width="25" hidden="0" customWidth="1"/>
    <x:col min="6" max="6" width="16" hidden="0" customWidth="1"/>
    <x:col min="7" max="7" width="16" hidden="0" customWidth="1"/>
  </x:cols>
  <x:sheetData>
    <x:row r="2">
      <x:c r="B2" s="1" t="str">
        <x:v>Commit–reveal campaign randomization</x:v>
      </x:c>
      <x:c r="C2" s="55"/>
      <x:c r="D2" s="55"/>
      <x:c r="E2" s="55"/>
      <x:c r="F2" s="55"/>
      <x:c r="G2" s="55"/>
      <x:c r="H2" s="55"/>
      <x:c r="I2" s="55"/>
      <x:c r="J2" s="55"/>
    </x:row>
    <x:row r="3">
      <x:c r="B3" s="2" t="str">
        <x:v>Commissioning events protect known-truth order. Ninety-eight credit-bearing events use a sealed, root-balanced deterministic draw.</x:v>
      </x:c>
      <x:c r="C3" s="55"/>
      <x:c r="D3" s="55"/>
      <x:c r="E3" s="55"/>
      <x:c r="F3" s="55"/>
      <x:c r="G3" s="55"/>
      <x:c r="H3" s="55"/>
      <x:c r="I3" s="55"/>
      <x:c r="J3" s="55"/>
    </x:row>
    <x:row r="4">
      <x:c r="B4" s="57"/>
      <x:c r="C4" s="57"/>
      <x:c r="D4" s="57"/>
      <x:c r="E4" s="57"/>
      <x:c r="F4" s="57"/>
      <x:c r="G4" s="57"/>
      <x:c r="H4" s="57"/>
      <x:c r="I4" s="57"/>
      <x:c r="J4" s="57"/>
    </x:row>
    <x:row r="5">
      <x:c r="B5" s="55"/>
      <x:c r="C5" s="55"/>
      <x:c r="D5" s="55"/>
      <x:c r="E5" s="55"/>
      <x:c r="F5" s="55"/>
      <x:c r="G5" s="55"/>
      <x:c r="H5" s="55"/>
      <x:c r="I5" s="55"/>
      <x:c r="J5" s="55"/>
    </x:row>
    <x:row r="6">
      <x:c r="B6" s="15" t="str">
        <x:v>ID</x:v>
      </x:c>
      <x:c r="C6" s="16" t="str">
        <x:v>Control</x:v>
      </x:c>
      <x:c r="D6" s="16" t="str">
        <x:v>Rule</x:v>
      </x:c>
      <x:c r="E6" s="16" t="str">
        <x:v>Owner</x:v>
      </x:c>
      <x:c r="F6" s="16" t="str">
        <x:v>Requirement</x:v>
      </x:c>
      <x:c r="G6" s="16" t="str">
        <x:v>Planning state</x:v>
      </x:c>
      <x:c r="H6" s="55"/>
      <x:c r="I6" s="55"/>
      <x:c r="J6" s="55"/>
    </x:row>
    <x:row r="7" ht="39" customHeight="1">
      <x:c r="B7" s="65" t="str">
        <x:v>RND01</x:v>
      </x:c>
      <x:c r="C7" s="66" t="str">
        <x:v>registry freeze</x:v>
      </x:c>
      <x:c r="D7" s="66" t="str">
        <x:v>all 98 credit-bearing positions and constraints sealed before reveal</x:v>
      </x:c>
      <x:c r="E7" s="66" t="str">
        <x:v>campaign office</x:v>
      </x:c>
      <x:c r="F7" s="66" t="str">
        <x:v>REQUIRED</x:v>
      </x:c>
      <x:c r="G7" s="68" t="str">
        <x:v>PASS</x:v>
      </x:c>
      <x:c r="H7" s="55"/>
      <x:c r="I7" s="55"/>
      <x:c r="J7" s="55"/>
    </x:row>
    <x:row r="8" ht="39" customHeight="1">
      <x:c r="B8" s="65" t="str">
        <x:v>RND02</x:v>
      </x:c>
      <x:c r="C8" s="66" t="str">
        <x:v>three commitments</x:v>
      </x:c>
      <x:c r="D8" s="66" t="str">
        <x:v>each separated authority publishes hash of private contribution</x:v>
      </x:c>
      <x:c r="E8" s="66" t="str">
        <x:v>seed authorities</x:v>
      </x:c>
      <x:c r="F8" s="66" t="str">
        <x:v>REQUIRED</x:v>
      </x:c>
      <x:c r="G8" s="68" t="str">
        <x:v>PASS</x:v>
      </x:c>
      <x:c r="H8" s="55"/>
      <x:c r="I8" s="55"/>
      <x:c r="J8" s="55"/>
    </x:row>
    <x:row r="9" ht="39" customHeight="1">
      <x:c r="B9" s="65" t="str">
        <x:v>RND03</x:v>
      </x:c>
      <x:c r="C9" s="66" t="str">
        <x:v>commit reveal</x:v>
      </x:c>
      <x:c r="D9" s="66" t="str">
        <x:v>all contributions revealed and verified</x:v>
      </x:c>
      <x:c r="E9" s="66" t="str">
        <x:v>seed authorities</x:v>
      </x:c>
      <x:c r="F9" s="66" t="str">
        <x:v>REQUIRED</x:v>
      </x:c>
      <x:c r="G9" s="68" t="str">
        <x:v>PASS</x:v>
      </x:c>
      <x:c r="H9" s="55"/>
      <x:c r="I9" s="55"/>
      <x:c r="J9" s="55"/>
    </x:row>
    <x:row r="10" ht="39" customHeight="1">
      <x:c r="B10" s="65" t="str">
        <x:v>RND04</x:v>
      </x:c>
      <x:c r="C10" s="66" t="str">
        <x:v>deterministic seed</x:v>
      </x:c>
      <x:c r="D10" s="66" t="str">
        <x:v>verified contributions combine under frozen algorithm</x:v>
      </x:c>
      <x:c r="E10" s="66" t="str">
        <x:v>evidence authority</x:v>
      </x:c>
      <x:c r="F10" s="66" t="str">
        <x:v>REQUIRED</x:v>
      </x:c>
      <x:c r="G10" s="68" t="str">
        <x:v>PASS</x:v>
      </x:c>
      <x:c r="H10" s="55"/>
      <x:c r="I10" s="55"/>
      <x:c r="J10" s="55"/>
    </x:row>
    <x:row r="11" ht="39" customHeight="1">
      <x:c r="B11" s="65" t="str">
        <x:v>RND05</x:v>
      </x:c>
      <x:c r="C11" s="66" t="str">
        <x:v>root balance</x:v>
      </x:c>
      <x:c r="D11" s="66" t="str">
        <x:v>roots distributed across fixture, period, operator and condition</x:v>
      </x:c>
      <x:c r="E11" s="66" t="str">
        <x:v>schedule authority</x:v>
      </x:c>
      <x:c r="F11" s="66" t="str">
        <x:v>REQUIRED</x:v>
      </x:c>
      <x:c r="G11" s="68" t="str">
        <x:v>PASS</x:v>
      </x:c>
      <x:c r="H11" s="55"/>
      <x:c r="I11" s="55"/>
      <x:c r="J11" s="55"/>
    </x:row>
    <x:row r="12" ht="39" customHeight="1">
      <x:c r="B12" s="65" t="str">
        <x:v>RND06</x:v>
      </x:c>
      <x:c r="C12" s="66" t="str">
        <x:v>consecutive-root cap</x:v>
      </x:c>
      <x:c r="D12" s="66" t="str">
        <x:v>no more than two consecutive credit-bearing events per root</x:v>
      </x:c>
      <x:c r="E12" s="66" t="str">
        <x:v>schedule authority</x:v>
      </x:c>
      <x:c r="F12" s="66" t="str">
        <x:v>REQUIRED</x:v>
      </x:c>
      <x:c r="G12" s="68" t="str">
        <x:v>PASS</x:v>
      </x:c>
      <x:c r="H12" s="55"/>
      <x:c r="I12" s="55"/>
      <x:c r="J12" s="55"/>
    </x:row>
    <x:row r="13" ht="39" customHeight="1">
      <x:c r="B13" s="65" t="str">
        <x:v>RND07</x:v>
      </x:c>
      <x:c r="C13" s="66" t="str">
        <x:v>blind distribution</x:v>
      </x:c>
      <x:c r="D13" s="66" t="str">
        <x:v>defects and clean controls spread across campaign</x:v>
      </x:c>
      <x:c r="E13" s="66" t="str">
        <x:v>truth authority</x:v>
      </x:c>
      <x:c r="F13" s="66" t="str">
        <x:v>REQUIRED</x:v>
      </x:c>
      <x:c r="G13" s="68" t="str">
        <x:v>PASS</x:v>
      </x:c>
      <x:c r="H13" s="55"/>
      <x:c r="I13" s="55"/>
      <x:c r="J13" s="55"/>
    </x:row>
    <x:row r="14" ht="39" customHeight="1">
      <x:c r="B14" s="65" t="str">
        <x:v>RND08</x:v>
      </x:c>
      <x:c r="C14" s="66" t="str">
        <x:v>carryover constraints</x:v>
      </x:c>
      <x:c r="D14" s="66" t="str">
        <x:v>sanitary blanks and high challenges retain required sequence</x:v>
      </x:c>
      <x:c r="E14" s="66" t="str">
        <x:v>water authority</x:v>
      </x:c>
      <x:c r="F14" s="66" t="str">
        <x:v>REQUIRED</x:v>
      </x:c>
      <x:c r="G14" s="68" t="str">
        <x:v>PASS</x:v>
      </x:c>
      <x:c r="H14" s="55"/>
      <x:c r="I14" s="55"/>
      <x:c r="J14" s="55"/>
    </x:row>
    <x:row r="15" ht="39" customHeight="1">
      <x:c r="B15" s="65" t="str">
        <x:v>RND09</x:v>
      </x:c>
      <x:c r="C15" s="66" t="str">
        <x:v>sealed distribution</x:v>
      </x:c>
      <x:c r="D15" s="66" t="str">
        <x:v>builders and initial acceptance teams cannot recover truth</x:v>
      </x:c>
      <x:c r="E15" s="66" t="str">
        <x:v>truth authority</x:v>
      </x:c>
      <x:c r="F15" s="66" t="str">
        <x:v>REQUIRED</x:v>
      </x:c>
      <x:c r="G15" s="68" t="str">
        <x:v>PASS</x:v>
      </x:c>
      <x:c r="H15" s="55"/>
      <x:c r="I15" s="55"/>
      <x:c r="J15" s="55"/>
    </x:row>
    <x:row r="16" ht="39" customHeight="1">
      <x:c r="B16" s="70" t="str">
        <x:v>RND10</x:v>
      </x:c>
      <x:c r="C16" s="71" t="str">
        <x:v>post-event publication</x:v>
      </x:c>
      <x:c r="D16" s="71" t="str">
        <x:v>seed, draw and constraint results public after unblinding</x:v>
      </x:c>
      <x:c r="E16" s="71" t="str">
        <x:v>evidence board</x:v>
      </x:c>
      <x:c r="F16" s="71" t="str">
        <x:v>REQUIRED</x:v>
      </x:c>
      <x:c r="G16" s="73" t="str">
        <x:v>PASS</x:v>
      </x:c>
      <x:c r="H16" s="55"/>
      <x:c r="I16" s="55"/>
      <x:c r="J16" s="55"/>
    </x:row>
    <x:row r="17">
      <x:c r="B17" s="55"/>
      <x:c r="C17" s="55"/>
      <x:c r="D17" s="55"/>
      <x:c r="E17" s="55"/>
      <x:c r="F17" s="55"/>
      <x:c r="G17" s="55"/>
      <x:c r="H17" s="55"/>
      <x:c r="I17" s="55"/>
      <x:c r="J17" s="55"/>
    </x:row>
    <x:row r="18">
      <x:c r="B18" s="55"/>
      <x:c r="C18" s="55"/>
      <x:c r="D18" s="55"/>
      <x:c r="E18" s="55"/>
      <x:c r="F18" s="55"/>
      <x:c r="G18" s="55"/>
      <x:c r="H18" s="55"/>
      <x:c r="I18" s="55"/>
      <x:c r="J18" s="55"/>
    </x:row>
    <x:row r="19">
      <x:c r="B19" s="55"/>
      <x:c r="C19" s="55"/>
      <x:c r="D19" s="55"/>
      <x:c r="E19" s="55"/>
      <x:c r="F19" s="55"/>
      <x:c r="G19" s="55"/>
      <x:c r="H19" s="55"/>
      <x:c r="I19" s="55"/>
      <x:c r="J19" s="55"/>
    </x:row>
    <x:row r="20">
      <x:c r="B20" s="58" t="str">
        <x:v>Campaign constraints</x:v>
      </x:c>
      <x:c r="C20" s="59" t="str">
        <x:v>Campaign constraints</x:v>
      </x:c>
      <x:c r="D20" s="59" t="str">
        <x:v>Campaign constraints</x:v>
      </x:c>
      <x:c r="E20" s="59" t="str">
        <x:v>Campaign constraints</x:v>
      </x:c>
      <x:c r="F20" s="59" t="str">
        <x:v>Campaign constraints</x:v>
      </x:c>
      <x:c r="G20" s="60" t="str">
        <x:v>Campaign constraints</x:v>
      </x:c>
      <x:c r="H20" s="55"/>
      <x:c r="I20" s="55"/>
      <x:c r="J20" s="55"/>
    </x:row>
    <x:row r="21">
      <x:c r="B21" s="55" t="str">
        <x:v>Creditable events</x:v>
      </x:c>
      <x:c r="C21" s="55" t="n">
        <x:v>98</x:v>
      </x:c>
      <x:c r="D21" s="55" t="n">
        <x:f>'Control Inputs'!D22+'Control Inputs'!D23</x:f>
        <x:v>98</x:v>
      </x:c>
      <x:c r="E21" s="55"/>
      <x:c r="F21" s="55"/>
      <x:c r="G21" s="55"/>
      <x:c r="H21" s="55"/>
      <x:c r="I21" s="55"/>
      <x:c r="J21" s="55"/>
    </x:row>
    <x:row r="22">
      <x:c r="B22" s="55" t="str">
        <x:v>Closure articles</x:v>
      </x:c>
      <x:c r="C22" s="55" t="n">
        <x:v>72</x:v>
      </x:c>
      <x:c r="D22" s="55" t="n">
        <x:f>'Control Inputs'!D22</x:f>
        <x:v>72</x:v>
      </x:c>
      <x:c r="E22" s="55"/>
      <x:c r="F22" s="55"/>
      <x:c r="G22" s="55"/>
      <x:c r="H22" s="55"/>
      <x:c r="I22" s="55"/>
      <x:c r="J22" s="55"/>
    </x:row>
    <x:row r="23">
      <x:c r="B23" s="55" t="str">
        <x:v>Damage runs</x:v>
      </x:c>
      <x:c r="C23" s="55" t="n">
        <x:v>26</x:v>
      </x:c>
      <x:c r="D23" s="55" t="n">
        <x:f>'Control Inputs'!D23</x:f>
        <x:v>26</x:v>
      </x:c>
      <x:c r="E23" s="55"/>
      <x:c r="F23" s="55"/>
      <x:c r="G23" s="55"/>
      <x:c r="H23" s="55"/>
      <x:c r="I23" s="55"/>
      <x:c r="J23" s="55"/>
    </x:row>
    <x:row r="24">
      <x:c r="B24" s="55" t="str">
        <x:v>Maximum same-root sequence</x:v>
      </x:c>
      <x:c r="C24" s="55" t="n">
        <x:v>2</x:v>
      </x:c>
      <x:c r="D24" s="55" t="n">
        <x:f>'Control Inputs'!D60</x:f>
        <x:v>2</x:v>
      </x:c>
      <x:c r="E24" s="55" t="str">
        <x:f>IF(AND(D21=98,D22=72,D23=26,D24=2,COUNTIF(G7:G16,"PASS")=10),"PASS","FAIL")</x:f>
        <x:v>PASS</x:v>
      </x:c>
      <x:c r="F24" s="55"/>
      <x:c r="G24" s="55"/>
      <x:c r="H24" s="55"/>
      <x:c r="I24" s="55"/>
      <x:c r="J24" s="55"/>
    </x:row>
  </x:sheetData>
  <x:mergeCells>
    <x:mergeCell ref="B3:J3"/>
    <x:mergeCell ref="B20:G20"/>
  </x:mergeCells>
  <x:conditionalFormatting sqref="G7:G16">
    <x:cfRule type="containsText" dxfId="224" priority="1" operator="containsText" text="FAIL"/>
    <x:cfRule type="containsText" dxfId="225" priority="2" operator="containsText" text="BLOCKED"/>
    <x:cfRule type="containsText" dxfId="226" priority="3" operator="containsText" text="HOLD"/>
    <x:cfRule type="containsText" dxfId="227" priority="4" operator="containsText" text="OPEN"/>
    <x:cfRule type="containsText" dxfId="228" priority="5" operator="containsText" text="UNTESTED"/>
    <x:cfRule type="containsText" dxfId="229" priority="6" operator="containsText" text="INDETERMINATE"/>
    <x:cfRule type="containsText" dxfId="230" priority="7" operator="containsText" text="INVALID"/>
    <x:cfRule type="containsText" dxfId="231" priority="8" operator="containsText" text="PASS"/>
    <x:cfRule type="containsText" dxfId="232" priority="9" operator="containsText" text="CLOSED"/>
    <x:cfRule type="containsText" dxfId="233" priority="10" operator="containsText" text="READY"/>
    <x:cfRule type="containsText" dxfId="234" priority="11" operator="containsText" text="AUTHORIZED"/>
    <x:cfRule type="containsText" dxfId="235" priority="12" operator="containsText" text="PLANNING PASS"/>
    <x:cfRule type="containsText" dxfId="236" priority="13" operator="containsText" text="COMPLETE"/>
    <x:cfRule type="containsText" dxfId="237" priority="14" operator="containsText" text="ACCEPTED"/>
    <x:cfRule type="containsText" dxfId="238" priority="15" operator="containsText" text="ADMITTED"/>
    <x:cfRule type="containsText" dxfId="239" priority="16" operator="containsText" text="RELEASED"/>
  </x:conditionalFormatting>
  <x:conditionalFormatting sqref="E24:E24">
    <x:cfRule type="containsText" dxfId="240" priority="17" operator="containsText" text="FAIL"/>
    <x:cfRule type="containsText" dxfId="241" priority="18" operator="containsText" text="BLOCKED"/>
    <x:cfRule type="containsText" dxfId="242" priority="19" operator="containsText" text="HOLD"/>
    <x:cfRule type="containsText" dxfId="243" priority="20" operator="containsText" text="OPEN"/>
    <x:cfRule type="containsText" dxfId="244" priority="21" operator="containsText" text="UNTESTED"/>
    <x:cfRule type="containsText" dxfId="245" priority="22" operator="containsText" text="INDETERMINATE"/>
    <x:cfRule type="containsText" dxfId="246" priority="23" operator="containsText" text="INVALID"/>
    <x:cfRule type="containsText" dxfId="247" priority="24" operator="containsText" text="PASS"/>
    <x:cfRule type="containsText" dxfId="248" priority="25" operator="containsText" text="CLOSED"/>
    <x:cfRule type="containsText" dxfId="249" priority="26" operator="containsText" text="READY"/>
    <x:cfRule type="containsText" dxfId="250" priority="27" operator="containsText" text="AUTHORIZED"/>
    <x:cfRule type="containsText" dxfId="251" priority="28" operator="containsText" text="PLANNING PASS"/>
    <x:cfRule type="containsText" dxfId="252" priority="29" operator="containsText" text="COMPLETE"/>
    <x:cfRule type="containsText" dxfId="253" priority="30" operator="containsText" text="ACCEPTED"/>
    <x:cfRule type="containsText" dxfId="254" priority="31" operator="containsText" text="ADMITTED"/>
    <x:cfRule type="containsText" dxfId="255" priority="32" operator="containsText" text="RELEASED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B8C7D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1" hidden="0" customWidth="1"/>
    <x:col min="3" max="3" width="15" hidden="0" customWidth="1"/>
    <x:col min="4" max="4" width="12" hidden="0" customWidth="1"/>
    <x:col min="5" max="5" width="30" hidden="0" customWidth="1"/>
    <x:col min="6" max="6" width="20" hidden="0" customWidth="1"/>
    <x:col min="7" max="7" width="12" hidden="0" customWidth="1"/>
    <x:col min="8" max="8" width="20" hidden="0" customWidth="1"/>
    <x:col min="9" max="9" width="18" hidden="0" customWidth="1"/>
    <x:col min="10" max="10" width="16" hidden="0" customWidth="1"/>
    <x:col min="11" max="11" width="15" hidden="0" customWidth="1"/>
    <x:col min="12" max="12" width="27" hidden="0" customWidth="1"/>
  </x:cols>
  <x:sheetData>
    <x:row r="2">
      <x:c r="B2" s="1" t="str">
        <x:v>Thirty-two-event mounted-system commissioning matrix</x:v>
      </x:c>
      <x:c r="C2" s="55"/>
      <x:c r="D2" s="55"/>
      <x:c r="E2" s="55"/>
      <x:c r="F2" s="55"/>
      <x:c r="G2" s="55"/>
      <x:c r="H2" s="55"/>
      <x:c r="I2" s="55"/>
      <x:c r="J2" s="55"/>
      <x:c r="K2" s="55"/>
      <x:c r="L2" s="55"/>
    </x:row>
    <x:row r="3">
      <x:c r="B3" s="2" t="str">
        <x:v>Every known truth must be classified correctly with complete evidence before any root hardware enters the fixture.</x:v>
      </x:c>
      <x:c r="C3" s="55"/>
      <x:c r="D3" s="55"/>
      <x:c r="E3" s="55"/>
      <x:c r="F3" s="55"/>
      <x:c r="G3" s="55"/>
      <x:c r="H3" s="55"/>
      <x:c r="I3" s="55"/>
      <x:c r="J3" s="55"/>
      <x:c r="K3" s="55"/>
      <x:c r="L3" s="55"/>
    </x:row>
    <x:row r="4">
      <x:c r="B4" s="57"/>
      <x:c r="C4" s="57"/>
      <x:c r="D4" s="57"/>
      <x:c r="E4" s="57"/>
      <x:c r="F4" s="57"/>
      <x:c r="G4" s="57"/>
      <x:c r="H4" s="57"/>
      <x:c r="I4" s="57"/>
      <x:c r="J4" s="57"/>
      <x:c r="K4" s="57"/>
      <x:c r="L4" s="57"/>
    </x:row>
    <x:row r="5">
      <x:c r="B5" s="55"/>
      <x:c r="C5" s="55"/>
      <x:c r="D5" s="55"/>
      <x:c r="E5" s="55"/>
      <x:c r="F5" s="55"/>
      <x:c r="G5" s="55"/>
      <x:c r="H5" s="55"/>
      <x:c r="I5" s="55"/>
      <x:c r="J5" s="55"/>
      <x:c r="K5" s="55"/>
      <x:c r="L5" s="55"/>
    </x:row>
    <x:row r="6">
      <x:c r="B6" s="15" t="str">
        <x:v>Event</x:v>
      </x:c>
      <x:c r="C6" s="16" t="str">
        <x:v>Fixture</x:v>
      </x:c>
      <x:c r="D6" s="16" t="str">
        <x:v>Reference</x:v>
      </x:c>
      <x:c r="E6" s="16" t="str">
        <x:v>Known truth</x:v>
      </x:c>
      <x:c r="F6" s="16" t="str">
        <x:v>Required class</x:v>
      </x:c>
      <x:c r="G6" s="16" t="str">
        <x:v>Executed</x:v>
      </x:c>
      <x:c r="H6" s="16" t="str">
        <x:v>Observed class</x:v>
      </x:c>
      <x:c r="I6" s="16" t="str">
        <x:v>Evidence complete</x:v>
      </x:c>
      <x:c r="J6" s="16" t="str">
        <x:v>Replay agrees</x:v>
      </x:c>
      <x:c r="K6" s="16" t="str">
        <x:v>Event state</x:v>
      </x:c>
      <x:c r="L6" s="16" t="str">
        <x:v>Admission consequence</x:v>
      </x:c>
    </x:row>
    <x:row r="7" ht="34" customHeight="1">
      <x:c r="B7" s="65" t="str">
        <x:v>CC01</x:v>
      </x:c>
      <x:c r="C7" s="66" t="str">
        <x:v>Closure</x:v>
      </x:c>
      <x:c r="D7" s="66" t="str">
        <x:v>P01 + F02</x:v>
      </x:c>
      <x:c r="E7" s="66" t="str">
        <x:v>0.70 MPa working + nominal flow</x:v>
      </x:c>
      <x:c r="F7" s="66" t="str">
        <x:v>ACCEPT</x:v>
      </x:c>
      <x:c r="G7" s="66" t="n">
        <x:v>0</x:v>
      </x:c>
      <x:c r="H7" s="66" t="str">
        <x:v>UNTESTED</x:v>
      </x:c>
      <x:c r="I7" s="66" t="n">
        <x:v>0</x:v>
      </x:c>
      <x:c r="J7" s="66" t="n">
        <x:v>0</x:v>
      </x:c>
      <x:c r="K7" s="66" t="str">
        <x:f>IF(G7=0,"OPEN",IF(AND(H7=F7,I7=1,J7=1),"PASS","FAIL"))</x:f>
        <x:v>OPEN</x:v>
      </x:c>
      <x:c r="L7" s="68" t="str">
        <x:v>root entry held until PASS</x:v>
      </x:c>
    </x:row>
    <x:row r="8" ht="34" customHeight="1">
      <x:c r="B8" s="65" t="str">
        <x:v>CC02</x:v>
      </x:c>
      <x:c r="C8" s="66" t="str">
        <x:v>Closure</x:v>
      </x:c>
      <x:c r="D8" s="66" t="str">
        <x:v>P02 + F03</x:v>
      </x:c>
      <x:c r="E8" s="66" t="str">
        <x:v>0.85 MPa surge + high flow</x:v>
      </x:c>
      <x:c r="F8" s="66" t="str">
        <x:v>ACCEPT</x:v>
      </x:c>
      <x:c r="G8" s="66" t="n">
        <x:v>0</x:v>
      </x:c>
      <x:c r="H8" s="66" t="str">
        <x:v>UNTESTED</x:v>
      </x:c>
      <x:c r="I8" s="66" t="n">
        <x:v>0</x:v>
      </x:c>
      <x:c r="J8" s="66" t="n">
        <x:v>0</x:v>
      </x:c>
      <x:c r="K8" s="66" t="str">
        <x:f>IF(G8=0,"OPEN",IF(AND(H8=F8,I8=1,J8=1),"PASS","FAIL"))</x:f>
        <x:v>OPEN</x:v>
      </x:c>
      <x:c r="L8" s="68" t="str">
        <x:v>root entry held until PASS</x:v>
      </x:c>
    </x:row>
    <x:row r="9" ht="34" customHeight="1">
      <x:c r="B9" s="65" t="str">
        <x:v>CC03</x:v>
      </x:c>
      <x:c r="C9" s="66" t="str">
        <x:v>Closure</x:v>
      </x:c>
      <x:c r="D9" s="66" t="str">
        <x:v>P03 + F02</x:v>
      </x:c>
      <x:c r="E9" s="66" t="str">
        <x:v>1.05 MPa proof + accumulated volume</x:v>
      </x:c>
      <x:c r="F9" s="66" t="str">
        <x:v>ACCEPT</x:v>
      </x:c>
      <x:c r="G9" s="66" t="n">
        <x:v>0</x:v>
      </x:c>
      <x:c r="H9" s="66" t="str">
        <x:v>UNTESTED</x:v>
      </x:c>
      <x:c r="I9" s="66" t="n">
        <x:v>0</x:v>
      </x:c>
      <x:c r="J9" s="66" t="n">
        <x:v>0</x:v>
      </x:c>
      <x:c r="K9" s="66" t="str">
        <x:f>IF(G9=0,"OPEN",IF(AND(H9=F9,I9=1,J9=1),"PASS","FAIL"))</x:f>
        <x:v>OPEN</x:v>
      </x:c>
      <x:c r="L9" s="68" t="str">
        <x:v>root entry held until PASS</x:v>
      </x:c>
    </x:row>
    <x:row r="10" ht="34" customHeight="1">
      <x:c r="B10" s="65" t="str">
        <x:v>CC04</x:v>
      </x:c>
      <x:c r="C10" s="66" t="str">
        <x:v>Closure</x:v>
      </x:c>
      <x:c r="D10" s="66" t="str">
        <x:v>P04 + F01</x:v>
      </x:c>
      <x:c r="E10" s="66" t="str">
        <x:v>−0.085 MPa vacuum + low-flow transfer</x:v>
      </x:c>
      <x:c r="F10" s="66" t="str">
        <x:v>ACCEPT</x:v>
      </x:c>
      <x:c r="G10" s="66" t="n">
        <x:v>0</x:v>
      </x:c>
      <x:c r="H10" s="66" t="str">
        <x:v>UNTESTED</x:v>
      </x:c>
      <x:c r="I10" s="66" t="n">
        <x:v>0</x:v>
      </x:c>
      <x:c r="J10" s="66" t="n">
        <x:v>0</x:v>
      </x:c>
      <x:c r="K10" s="66" t="str">
        <x:f>IF(G10=0,"OPEN",IF(AND(H10=F10,I10=1,J10=1),"PASS","FAIL"))</x:f>
        <x:v>OPEN</x:v>
      </x:c>
      <x:c r="L10" s="68" t="str">
        <x:v>root entry held until PASS</x:v>
      </x:c>
    </x:row>
    <x:row r="11" ht="34" customHeight="1">
      <x:c r="B11" s="65" t="str">
        <x:v>CC05</x:v>
      </x:c>
      <x:c r="C11" s="66" t="str">
        <x:v>Closure</x:v>
      </x:c>
      <x:c r="D11" s="66" t="str">
        <x:v>L01</x:v>
      </x:c>
      <x:c r="E11" s="66" t="str">
        <x:v>0.05 L/h leak</x:v>
      </x:c>
      <x:c r="F11" s="66" t="str">
        <x:v>ACCEPT</x:v>
      </x:c>
      <x:c r="G11" s="66" t="n">
        <x:v>0</x:v>
      </x:c>
      <x:c r="H11" s="66" t="str">
        <x:v>UNTESTED</x:v>
      </x:c>
      <x:c r="I11" s="66" t="n">
        <x:v>0</x:v>
      </x:c>
      <x:c r="J11" s="66" t="n">
        <x:v>0</x:v>
      </x:c>
      <x:c r="K11" s="66" t="str">
        <x:f>IF(G11=0,"OPEN",IF(AND(H11=F11,I11=1,J11=1),"PASS","FAIL"))</x:f>
        <x:v>OPEN</x:v>
      </x:c>
      <x:c r="L11" s="68" t="str">
        <x:v>root entry held until PASS</x:v>
      </x:c>
    </x:row>
    <x:row r="12" ht="34" customHeight="1">
      <x:c r="B12" s="65" t="str">
        <x:v>CC06</x:v>
      </x:c>
      <x:c r="C12" s="66" t="str">
        <x:v>Closure</x:v>
      </x:c>
      <x:c r="D12" s="66" t="str">
        <x:v>L02</x:v>
      </x:c>
      <x:c r="E12" s="66" t="str">
        <x:v>0.10 L/h boundary</x:v>
      </x:c>
      <x:c r="F12" s="66" t="str">
        <x:v>INDETERMINATE</x:v>
      </x:c>
      <x:c r="G12" s="66" t="n">
        <x:v>0</x:v>
      </x:c>
      <x:c r="H12" s="66" t="str">
        <x:v>UNTESTED</x:v>
      </x:c>
      <x:c r="I12" s="66" t="n">
        <x:v>0</x:v>
      </x:c>
      <x:c r="J12" s="66" t="n">
        <x:v>0</x:v>
      </x:c>
      <x:c r="K12" s="66" t="str">
        <x:f>IF(G12=0,"OPEN",IF(AND(H12=F12,I12=1,J12=1),"PASS","FAIL"))</x:f>
        <x:v>OPEN</x:v>
      </x:c>
      <x:c r="L12" s="68" t="str">
        <x:v>root entry held until PASS</x:v>
      </x:c>
    </x:row>
    <x:row r="13" ht="34" customHeight="1">
      <x:c r="B13" s="65" t="str">
        <x:v>CC07</x:v>
      </x:c>
      <x:c r="C13" s="66" t="str">
        <x:v>Closure</x:v>
      </x:c>
      <x:c r="D13" s="66" t="str">
        <x:v>L03</x:v>
      </x:c>
      <x:c r="E13" s="66" t="str">
        <x:v>0.20 L/h leak</x:v>
      </x:c>
      <x:c r="F13" s="66" t="str">
        <x:v>REJECT</x:v>
      </x:c>
      <x:c r="G13" s="66" t="n">
        <x:v>0</x:v>
      </x:c>
      <x:c r="H13" s="66" t="str">
        <x:v>UNTESTED</x:v>
      </x:c>
      <x:c r="I13" s="66" t="n">
        <x:v>0</x:v>
      </x:c>
      <x:c r="J13" s="66" t="n">
        <x:v>0</x:v>
      </x:c>
      <x:c r="K13" s="66" t="str">
        <x:f>IF(G13=0,"OPEN",IF(AND(H13=F13,I13=1,J13=1),"PASS","FAIL"))</x:f>
        <x:v>OPEN</x:v>
      </x:c>
      <x:c r="L13" s="68" t="str">
        <x:v>root entry held until PASS</x:v>
      </x:c>
    </x:row>
    <x:row r="14" ht="34" customHeight="1">
      <x:c r="B14" s="65" t="str">
        <x:v>CC08</x:v>
      </x:c>
      <x:c r="C14" s="66" t="str">
        <x:v>Closure</x:v>
      </x:c>
      <x:c r="D14" s="66" t="str">
        <x:v>G01</x:v>
      </x:c>
      <x:c r="E14" s="66" t="str">
        <x:v>0.94 area share</x:v>
      </x:c>
      <x:c r="F14" s="66" t="str">
        <x:v>REJECT</x:v>
      </x:c>
      <x:c r="G14" s="66" t="n">
        <x:v>0</x:v>
      </x:c>
      <x:c r="H14" s="66" t="str">
        <x:v>UNTESTED</x:v>
      </x:c>
      <x:c r="I14" s="66" t="n">
        <x:v>0</x:v>
      </x:c>
      <x:c r="J14" s="66" t="n">
        <x:v>0</x:v>
      </x:c>
      <x:c r="K14" s="66" t="str">
        <x:f>IF(G14=0,"OPEN",IF(AND(H14=F14,I14=1,J14=1),"PASS","FAIL"))</x:f>
        <x:v>OPEN</x:v>
      </x:c>
      <x:c r="L14" s="68" t="str">
        <x:v>root entry held until PASS</x:v>
      </x:c>
    </x:row>
    <x:row r="15" ht="34" customHeight="1">
      <x:c r="B15" s="65" t="str">
        <x:v>CC09</x:v>
      </x:c>
      <x:c r="C15" s="66" t="str">
        <x:v>Closure</x:v>
      </x:c>
      <x:c r="D15" s="66" t="str">
        <x:v>G02</x:v>
      </x:c>
      <x:c r="E15" s="66" t="str">
        <x:v>0.95 area boundary</x:v>
      </x:c>
      <x:c r="F15" s="66" t="str">
        <x:v>INDETERMINATE</x:v>
      </x:c>
      <x:c r="G15" s="66" t="n">
        <x:v>0</x:v>
      </x:c>
      <x:c r="H15" s="66" t="str">
        <x:v>UNTESTED</x:v>
      </x:c>
      <x:c r="I15" s="66" t="n">
        <x:v>0</x:v>
      </x:c>
      <x:c r="J15" s="66" t="n">
        <x:v>0</x:v>
      </x:c>
      <x:c r="K15" s="66" t="str">
        <x:f>IF(G15=0,"OPEN",IF(AND(H15=F15,I15=1,J15=1),"PASS","FAIL"))</x:f>
        <x:v>OPEN</x:v>
      </x:c>
      <x:c r="L15" s="68" t="str">
        <x:v>root entry held until PASS</x:v>
      </x:c>
    </x:row>
    <x:row r="16" ht="34" customHeight="1">
      <x:c r="B16" s="65" t="str">
        <x:v>CC10</x:v>
      </x:c>
      <x:c r="C16" s="66" t="str">
        <x:v>Closure</x:v>
      </x:c>
      <x:c r="D16" s="66" t="str">
        <x:v>G03</x:v>
      </x:c>
      <x:c r="E16" s="66" t="str">
        <x:v>0.96 area share</x:v>
      </x:c>
      <x:c r="F16" s="66" t="str">
        <x:v>ACCEPT</x:v>
      </x:c>
      <x:c r="G16" s="66" t="n">
        <x:v>0</x:v>
      </x:c>
      <x:c r="H16" s="66" t="str">
        <x:v>UNTESTED</x:v>
      </x:c>
      <x:c r="I16" s="66" t="n">
        <x:v>0</x:v>
      </x:c>
      <x:c r="J16" s="66" t="n">
        <x:v>0</x:v>
      </x:c>
      <x:c r="K16" s="66" t="str">
        <x:f>IF(G16=0,"OPEN",IF(AND(H16=F16,I16=1,J16=1),"PASS","FAIL"))</x:f>
        <x:v>OPEN</x:v>
      </x:c>
      <x:c r="L16" s="68" t="str">
        <x:v>root entry held until PASS</x:v>
      </x:c>
    </x:row>
    <x:row r="17" ht="34" customHeight="1">
      <x:c r="B17" s="65" t="str">
        <x:v>CC11</x:v>
      </x:c>
      <x:c r="C17" s="66" t="str">
        <x:v>Closure</x:v>
      </x:c>
      <x:c r="D17" s="66" t="str">
        <x:v>A01</x:v>
      </x:c>
      <x:c r="E17" s="66" t="str">
        <x:v>190 kN below-service bracket</x:v>
      </x:c>
      <x:c r="F17" s="66" t="str">
        <x:v>REJECT</x:v>
      </x:c>
      <x:c r="G17" s="66" t="n">
        <x:v>0</x:v>
      </x:c>
      <x:c r="H17" s="66" t="str">
        <x:v>UNTESTED</x:v>
      </x:c>
      <x:c r="I17" s="66" t="n">
        <x:v>0</x:v>
      </x:c>
      <x:c r="J17" s="66" t="n">
        <x:v>0</x:v>
      </x:c>
      <x:c r="K17" s="66" t="str">
        <x:f>IF(G17=0,"OPEN",IF(AND(H17=F17,I17=1,J17=1),"PASS","FAIL"))</x:f>
        <x:v>OPEN</x:v>
      </x:c>
      <x:c r="L17" s="68" t="str">
        <x:v>root entry held until PASS</x:v>
      </x:c>
    </x:row>
    <x:row r="18" ht="34" customHeight="1">
      <x:c r="B18" s="65" t="str">
        <x:v>CC12</x:v>
      </x:c>
      <x:c r="C18" s="66" t="str">
        <x:v>Closure</x:v>
      </x:c>
      <x:c r="D18" s="66" t="str">
        <x:v>A02</x:v>
      </x:c>
      <x:c r="E18" s="66" t="str">
        <x:v>200 kN decision boundary</x:v>
      </x:c>
      <x:c r="F18" s="66" t="str">
        <x:v>INDETERMINATE</x:v>
      </x:c>
      <x:c r="G18" s="66" t="n">
        <x:v>0</x:v>
      </x:c>
      <x:c r="H18" s="66" t="str">
        <x:v>UNTESTED</x:v>
      </x:c>
      <x:c r="I18" s="66" t="n">
        <x:v>0</x:v>
      </x:c>
      <x:c r="J18" s="66" t="n">
        <x:v>0</x:v>
      </x:c>
      <x:c r="K18" s="66" t="str">
        <x:f>IF(G18=0,"OPEN",IF(AND(H18=F18,I18=1,J18=1),"PASS","FAIL"))</x:f>
        <x:v>OPEN</x:v>
      </x:c>
      <x:c r="L18" s="68" t="str">
        <x:v>root entry held until PASS</x:v>
      </x:c>
    </x:row>
    <x:row r="19" ht="34" customHeight="1">
      <x:c r="B19" s="65" t="str">
        <x:v>CC13</x:v>
      </x:c>
      <x:c r="C19" s="66" t="str">
        <x:v>Closure</x:v>
      </x:c>
      <x:c r="D19" s="66" t="str">
        <x:v>A03</x:v>
      </x:c>
      <x:c r="E19" s="66" t="str">
        <x:v>210 kN acceptable-side bracket</x:v>
      </x:c>
      <x:c r="F19" s="66" t="str">
        <x:v>ACCEPT</x:v>
      </x:c>
      <x:c r="G19" s="66" t="n">
        <x:v>0</x:v>
      </x:c>
      <x:c r="H19" s="66" t="str">
        <x:v>UNTESTED</x:v>
      </x:c>
      <x:c r="I19" s="66" t="n">
        <x:v>0</x:v>
      </x:c>
      <x:c r="J19" s="66" t="n">
        <x:v>0</x:v>
      </x:c>
      <x:c r="K19" s="66" t="str">
        <x:f>IF(G19=0,"OPEN",IF(AND(H19=F19,I19=1,J19=1),"PASS","FAIL"))</x:f>
        <x:v>OPEN</x:v>
      </x:c>
      <x:c r="L19" s="68" t="str">
        <x:v>root entry held until PASS</x:v>
      </x:c>
    </x:row>
    <x:row r="20" ht="34" customHeight="1">
      <x:c r="B20" s="65" t="str">
        <x:v>CC14</x:v>
      </x:c>
      <x:c r="C20" s="66" t="str">
        <x:v>Closure</x:v>
      </x:c>
      <x:c r="D20" s="66" t="str">
        <x:v>T01</x:v>
      </x:c>
      <x:c r="E20" s="66" t="str">
        <x:v>registered clock step</x:v>
      </x:c>
      <x:c r="F20" s="66" t="str">
        <x:v>DETECT</x:v>
      </x:c>
      <x:c r="G20" s="66" t="n">
        <x:v>0</x:v>
      </x:c>
      <x:c r="H20" s="66" t="str">
        <x:v>UNTESTED</x:v>
      </x:c>
      <x:c r="I20" s="66" t="n">
        <x:v>0</x:v>
      </x:c>
      <x:c r="J20" s="66" t="n">
        <x:v>0</x:v>
      </x:c>
      <x:c r="K20" s="66" t="str">
        <x:f>IF(G20=0,"OPEN",IF(AND(H20=F20,I20=1,J20=1),"PASS","FAIL"))</x:f>
        <x:v>OPEN</x:v>
      </x:c>
      <x:c r="L20" s="68" t="str">
        <x:v>root entry held until PASS</x:v>
      </x:c>
    </x:row>
    <x:row r="21" ht="34" customHeight="1">
      <x:c r="B21" s="65" t="str">
        <x:v>CC15</x:v>
      </x:c>
      <x:c r="C21" s="66" t="str">
        <x:v>Closure</x:v>
      </x:c>
      <x:c r="D21" s="66" t="str">
        <x:v>T02</x:v>
      </x:c>
      <x:c r="E21" s="66" t="str">
        <x:v>registered drift</x:v>
      </x:c>
      <x:c r="F21" s="66" t="str">
        <x:v>DETECT</x:v>
      </x:c>
      <x:c r="G21" s="66" t="n">
        <x:v>0</x:v>
      </x:c>
      <x:c r="H21" s="66" t="str">
        <x:v>UNTESTED</x:v>
      </x:c>
      <x:c r="I21" s="66" t="n">
        <x:v>0</x:v>
      </x:c>
      <x:c r="J21" s="66" t="n">
        <x:v>0</x:v>
      </x:c>
      <x:c r="K21" s="66" t="str">
        <x:f>IF(G21=0,"OPEN",IF(AND(H21=F21,I21=1,J21=1),"PASS","FAIL"))</x:f>
        <x:v>OPEN</x:v>
      </x:c>
      <x:c r="L21" s="68" t="str">
        <x:v>root entry held until PASS</x:v>
      </x:c>
    </x:row>
    <x:row r="22" ht="34" customHeight="1">
      <x:c r="B22" s="65" t="str">
        <x:v>CC16</x:v>
      </x:c>
      <x:c r="C22" s="66" t="str">
        <x:v>Closure</x:v>
      </x:c>
      <x:c r="D22" s="66" t="str">
        <x:v>T03 + C01</x:v>
      </x:c>
      <x:c r="E22" s="66" t="str">
        <x:v>network loss + tampered baseline</x:v>
      </x:c>
      <x:c r="F22" s="66" t="str">
        <x:v>DETECT</x:v>
      </x:c>
      <x:c r="G22" s="66" t="n">
        <x:v>0</x:v>
      </x:c>
      <x:c r="H22" s="66" t="str">
        <x:v>UNTESTED</x:v>
      </x:c>
      <x:c r="I22" s="66" t="n">
        <x:v>0</x:v>
      </x:c>
      <x:c r="J22" s="66" t="n">
        <x:v>0</x:v>
      </x:c>
      <x:c r="K22" s="66" t="str">
        <x:f>IF(G22=0,"OPEN",IF(AND(H22=F22,I22=1,J22=1),"PASS","FAIL"))</x:f>
        <x:v>OPEN</x:v>
      </x:c>
      <x:c r="L22" s="68" t="str">
        <x:v>root entry held until PASS</x:v>
      </x:c>
    </x:row>
    <x:row r="23" ht="34" customHeight="1">
      <x:c r="B23" s="65" t="str">
        <x:v>DA01</x:v>
      </x:c>
      <x:c r="C23" s="66" t="str">
        <x:v>Damage A</x:v>
      </x:c>
      <x:c r="D23" s="66" t="str">
        <x:v>W01</x:v>
      </x:c>
      <x:c r="E23" s="66" t="str">
        <x:v>water-system blank</x:v>
      </x:c>
      <x:c r="F23" s="66" t="str">
        <x:v>ACCEPT</x:v>
      </x:c>
      <x:c r="G23" s="66" t="n">
        <x:v>0</x:v>
      </x:c>
      <x:c r="H23" s="66" t="str">
        <x:v>UNTESTED</x:v>
      </x:c>
      <x:c r="I23" s="66" t="n">
        <x:v>0</x:v>
      </x:c>
      <x:c r="J23" s="66" t="n">
        <x:v>0</x:v>
      </x:c>
      <x:c r="K23" s="66" t="str">
        <x:f>IF(G23=0,"OPEN",IF(AND(H23=F23,I23=1,J23=1),"PASS","FAIL"))</x:f>
        <x:v>OPEN</x:v>
      </x:c>
      <x:c r="L23" s="68" t="str">
        <x:v>root entry held until PASS</x:v>
      </x:c>
    </x:row>
    <x:row r="24" ht="34" customHeight="1">
      <x:c r="B24" s="65" t="str">
        <x:v>DA02</x:v>
      </x:c>
      <x:c r="C24" s="66" t="str">
        <x:v>Damage A</x:v>
      </x:c>
      <x:c r="D24" s="66" t="str">
        <x:v>W02</x:v>
      </x:c>
      <x:c r="E24" s="66" t="str">
        <x:v>positive recovery</x:v>
      </x:c>
      <x:c r="F24" s="66" t="str">
        <x:v>ACCEPT</x:v>
      </x:c>
      <x:c r="G24" s="66" t="n">
        <x:v>0</x:v>
      </x:c>
      <x:c r="H24" s="66" t="str">
        <x:v>UNTESTED</x:v>
      </x:c>
      <x:c r="I24" s="66" t="n">
        <x:v>0</x:v>
      </x:c>
      <x:c r="J24" s="66" t="n">
        <x:v>0</x:v>
      </x:c>
      <x:c r="K24" s="66" t="str">
        <x:f>IF(G24=0,"OPEN",IF(AND(H24=F24,I24=1,J24=1),"PASS","FAIL"))</x:f>
        <x:v>OPEN</x:v>
      </x:c>
      <x:c r="L24" s="68" t="str">
        <x:v>root entry held until PASS</x:v>
      </x:c>
    </x:row>
    <x:row r="25" ht="34" customHeight="1">
      <x:c r="B25" s="65" t="str">
        <x:v>DA03</x:v>
      </x:c>
      <x:c r="C25" s="66" t="str">
        <x:v>Damage A</x:v>
      </x:c>
      <x:c r="D25" s="66" t="str">
        <x:v>W02</x:v>
      </x:c>
      <x:c r="E25" s="66" t="str">
        <x:v>low dissolved challenge</x:v>
      </x:c>
      <x:c r="F25" s="66" t="str">
        <x:v>DETECT</x:v>
      </x:c>
      <x:c r="G25" s="66" t="n">
        <x:v>0</x:v>
      </x:c>
      <x:c r="H25" s="66" t="str">
        <x:v>UNTESTED</x:v>
      </x:c>
      <x:c r="I25" s="66" t="n">
        <x:v>0</x:v>
      </x:c>
      <x:c r="J25" s="66" t="n">
        <x:v>0</x:v>
      </x:c>
      <x:c r="K25" s="66" t="str">
        <x:f>IF(G25=0,"OPEN",IF(AND(H25=F25,I25=1,J25=1),"PASS","FAIL"))</x:f>
        <x:v>OPEN</x:v>
      </x:c>
      <x:c r="L25" s="68" t="str">
        <x:v>root entry held until PASS</x:v>
      </x:c>
    </x:row>
    <x:row r="26" ht="34" customHeight="1">
      <x:c r="B26" s="65" t="str">
        <x:v>DA04</x:v>
      </x:c>
      <x:c r="C26" s="66" t="str">
        <x:v>Damage A</x:v>
      </x:c>
      <x:c r="D26" s="66" t="str">
        <x:v>W03</x:v>
      </x:c>
      <x:c r="E26" s="66" t="str">
        <x:v>decision-boundary dissolved challenge</x:v>
      </x:c>
      <x:c r="F26" s="66" t="str">
        <x:v>INDETERMINATE</x:v>
      </x:c>
      <x:c r="G26" s="66" t="n">
        <x:v>0</x:v>
      </x:c>
      <x:c r="H26" s="66" t="str">
        <x:v>UNTESTED</x:v>
      </x:c>
      <x:c r="I26" s="66" t="n">
        <x:v>0</x:v>
      </x:c>
      <x:c r="J26" s="66" t="n">
        <x:v>0</x:v>
      </x:c>
      <x:c r="K26" s="66" t="str">
        <x:f>IF(G26=0,"OPEN",IF(AND(H26=F26,I26=1,J26=1),"PASS","FAIL"))</x:f>
        <x:v>OPEN</x:v>
      </x:c>
      <x:c r="L26" s="68" t="str">
        <x:v>root entry held until PASS</x:v>
      </x:c>
    </x:row>
    <x:row r="27" ht="34" customHeight="1">
      <x:c r="B27" s="65" t="str">
        <x:v>DA05</x:v>
      </x:c>
      <x:c r="C27" s="66" t="str">
        <x:v>Damage A</x:v>
      </x:c>
      <x:c r="D27" s="66" t="str">
        <x:v>W02</x:v>
      </x:c>
      <x:c r="E27" s="66" t="str">
        <x:v>low particle challenge</x:v>
      </x:c>
      <x:c r="F27" s="66" t="str">
        <x:v>DETECT</x:v>
      </x:c>
      <x:c r="G27" s="66" t="n">
        <x:v>0</x:v>
      </x:c>
      <x:c r="H27" s="66" t="str">
        <x:v>UNTESTED</x:v>
      </x:c>
      <x:c r="I27" s="66" t="n">
        <x:v>0</x:v>
      </x:c>
      <x:c r="J27" s="66" t="n">
        <x:v>0</x:v>
      </x:c>
      <x:c r="K27" s="66" t="str">
        <x:f>IF(G27=0,"OPEN",IF(AND(H27=F27,I27=1,J27=1),"PASS","FAIL"))</x:f>
        <x:v>OPEN</x:v>
      </x:c>
      <x:c r="L27" s="68" t="str">
        <x:v>root entry held until PASS</x:v>
      </x:c>
    </x:row>
    <x:row r="28" ht="34" customHeight="1">
      <x:c r="B28" s="65" t="str">
        <x:v>DA06</x:v>
      </x:c>
      <x:c r="C28" s="66" t="str">
        <x:v>Damage A</x:v>
      </x:c>
      <x:c r="D28" s="66" t="str">
        <x:v>W04</x:v>
      </x:c>
      <x:c r="E28" s="66" t="str">
        <x:v>high combined challenge</x:v>
      </x:c>
      <x:c r="F28" s="66" t="str">
        <x:v>REJECT</x:v>
      </x:c>
      <x:c r="G28" s="66" t="n">
        <x:v>0</x:v>
      </x:c>
      <x:c r="H28" s="66" t="str">
        <x:v>UNTESTED</x:v>
      </x:c>
      <x:c r="I28" s="66" t="n">
        <x:v>0</x:v>
      </x:c>
      <x:c r="J28" s="66" t="n">
        <x:v>0</x:v>
      </x:c>
      <x:c r="K28" s="66" t="str">
        <x:f>IF(G28=0,"OPEN",IF(AND(H28=F28,I28=1,J28=1),"PASS","FAIL"))</x:f>
        <x:v>OPEN</x:v>
      </x:c>
      <x:c r="L28" s="68" t="str">
        <x:v>root entry held until PASS</x:v>
      </x:c>
    </x:row>
    <x:row r="29" ht="34" customHeight="1">
      <x:c r="B29" s="65" t="str">
        <x:v>DA07</x:v>
      </x:c>
      <x:c r="C29" s="66" t="str">
        <x:v>Damage A</x:v>
      </x:c>
      <x:c r="D29" s="66" t="str">
        <x:v>T03</x:v>
      </x:c>
      <x:c r="E29" s="66" t="str">
        <x:v>time/network denial</x:v>
      </x:c>
      <x:c r="F29" s="66" t="str">
        <x:v>ACCEPT</x:v>
      </x:c>
      <x:c r="G29" s="66" t="n">
        <x:v>0</x:v>
      </x:c>
      <x:c r="H29" s="66" t="str">
        <x:v>UNTESTED</x:v>
      </x:c>
      <x:c r="I29" s="66" t="n">
        <x:v>0</x:v>
      </x:c>
      <x:c r="J29" s="66" t="n">
        <x:v>0</x:v>
      </x:c>
      <x:c r="K29" s="66" t="str">
        <x:f>IF(G29=0,"OPEN",IF(AND(H29=F29,I29=1,J29=1),"PASS","FAIL"))</x:f>
        <x:v>OPEN</x:v>
      </x:c>
      <x:c r="L29" s="68" t="str">
        <x:v>root entry held until PASS</x:v>
      </x:c>
    </x:row>
    <x:row r="30" ht="34" customHeight="1">
      <x:c r="B30" s="65" t="str">
        <x:v>DA08</x:v>
      </x:c>
      <x:c r="C30" s="66" t="str">
        <x:v>Damage A</x:v>
      </x:c>
      <x:c r="D30" s="66" t="str">
        <x:v>G02</x:v>
      </x:c>
      <x:c r="E30" s="66" t="str">
        <x:v>actuator and geometry truth</x:v>
      </x:c>
      <x:c r="F30" s="66" t="str">
        <x:v>ACCEPT</x:v>
      </x:c>
      <x:c r="G30" s="66" t="n">
        <x:v>0</x:v>
      </x:c>
      <x:c r="H30" s="66" t="str">
        <x:v>UNTESTED</x:v>
      </x:c>
      <x:c r="I30" s="66" t="n">
        <x:v>0</x:v>
      </x:c>
      <x:c r="J30" s="66" t="n">
        <x:v>0</x:v>
      </x:c>
      <x:c r="K30" s="66" t="str">
        <x:f>IF(G30=0,"OPEN",IF(AND(H30=F30,I30=1,J30=1),"PASS","FAIL"))</x:f>
        <x:v>OPEN</x:v>
      </x:c>
      <x:c r="L30" s="68" t="str">
        <x:v>root entry held until PASS</x:v>
      </x:c>
    </x:row>
    <x:row r="31" ht="34" customHeight="1">
      <x:c r="B31" s="65" t="str">
        <x:v>DB01</x:v>
      </x:c>
      <x:c r="C31" s="66" t="str">
        <x:v>Damage B</x:v>
      </x:c>
      <x:c r="D31" s="66" t="str">
        <x:v>W01</x:v>
      </x:c>
      <x:c r="E31" s="66" t="str">
        <x:v>water-system blank</x:v>
      </x:c>
      <x:c r="F31" s="66" t="str">
        <x:v>ACCEPT</x:v>
      </x:c>
      <x:c r="G31" s="66" t="n">
        <x:v>0</x:v>
      </x:c>
      <x:c r="H31" s="66" t="str">
        <x:v>UNTESTED</x:v>
      </x:c>
      <x:c r="I31" s="66" t="n">
        <x:v>0</x:v>
      </x:c>
      <x:c r="J31" s="66" t="n">
        <x:v>0</x:v>
      </x:c>
      <x:c r="K31" s="66" t="str">
        <x:f>IF(G31=0,"OPEN",IF(AND(H31=F31,I31=1,J31=1),"PASS","FAIL"))</x:f>
        <x:v>OPEN</x:v>
      </x:c>
      <x:c r="L31" s="68" t="str">
        <x:v>root entry held until PASS</x:v>
      </x:c>
    </x:row>
    <x:row r="32" ht="34" customHeight="1">
      <x:c r="B32" s="65" t="str">
        <x:v>DB02</x:v>
      </x:c>
      <x:c r="C32" s="66" t="str">
        <x:v>Damage B</x:v>
      </x:c>
      <x:c r="D32" s="66" t="str">
        <x:v>W02</x:v>
      </x:c>
      <x:c r="E32" s="66" t="str">
        <x:v>positive recovery</x:v>
      </x:c>
      <x:c r="F32" s="66" t="str">
        <x:v>ACCEPT</x:v>
      </x:c>
      <x:c r="G32" s="66" t="n">
        <x:v>0</x:v>
      </x:c>
      <x:c r="H32" s="66" t="str">
        <x:v>UNTESTED</x:v>
      </x:c>
      <x:c r="I32" s="66" t="n">
        <x:v>0</x:v>
      </x:c>
      <x:c r="J32" s="66" t="n">
        <x:v>0</x:v>
      </x:c>
      <x:c r="K32" s="66" t="str">
        <x:f>IF(G32=0,"OPEN",IF(AND(H32=F32,I32=1,J32=1),"PASS","FAIL"))</x:f>
        <x:v>OPEN</x:v>
      </x:c>
      <x:c r="L32" s="68" t="str">
        <x:v>root entry held until PASS</x:v>
      </x:c>
    </x:row>
    <x:row r="33" ht="34" customHeight="1">
      <x:c r="B33" s="65" t="str">
        <x:v>DB03</x:v>
      </x:c>
      <x:c r="C33" s="66" t="str">
        <x:v>Damage B</x:v>
      </x:c>
      <x:c r="D33" s="66" t="str">
        <x:v>W02</x:v>
      </x:c>
      <x:c r="E33" s="66" t="str">
        <x:v>low dissolved challenge</x:v>
      </x:c>
      <x:c r="F33" s="66" t="str">
        <x:v>DETECT</x:v>
      </x:c>
      <x:c r="G33" s="66" t="n">
        <x:v>0</x:v>
      </x:c>
      <x:c r="H33" s="66" t="str">
        <x:v>UNTESTED</x:v>
      </x:c>
      <x:c r="I33" s="66" t="n">
        <x:v>0</x:v>
      </x:c>
      <x:c r="J33" s="66" t="n">
        <x:v>0</x:v>
      </x:c>
      <x:c r="K33" s="66" t="str">
        <x:f>IF(G33=0,"OPEN",IF(AND(H33=F33,I33=1,J33=1),"PASS","FAIL"))</x:f>
        <x:v>OPEN</x:v>
      </x:c>
      <x:c r="L33" s="68" t="str">
        <x:v>root entry held until PASS</x:v>
      </x:c>
    </x:row>
    <x:row r="34" ht="34" customHeight="1">
      <x:c r="B34" s="65" t="str">
        <x:v>DB04</x:v>
      </x:c>
      <x:c r="C34" s="66" t="str">
        <x:v>Damage B</x:v>
      </x:c>
      <x:c r="D34" s="66" t="str">
        <x:v>W03</x:v>
      </x:c>
      <x:c r="E34" s="66" t="str">
        <x:v>decision-boundary dissolved challenge</x:v>
      </x:c>
      <x:c r="F34" s="66" t="str">
        <x:v>INDETERMINATE</x:v>
      </x:c>
      <x:c r="G34" s="66" t="n">
        <x:v>0</x:v>
      </x:c>
      <x:c r="H34" s="66" t="str">
        <x:v>UNTESTED</x:v>
      </x:c>
      <x:c r="I34" s="66" t="n">
        <x:v>0</x:v>
      </x:c>
      <x:c r="J34" s="66" t="n">
        <x:v>0</x:v>
      </x:c>
      <x:c r="K34" s="66" t="str">
        <x:f>IF(G34=0,"OPEN",IF(AND(H34=F34,I34=1,J34=1),"PASS","FAIL"))</x:f>
        <x:v>OPEN</x:v>
      </x:c>
      <x:c r="L34" s="68" t="str">
        <x:v>root entry held until PASS</x:v>
      </x:c>
    </x:row>
    <x:row r="35" ht="34" customHeight="1">
      <x:c r="B35" s="65" t="str">
        <x:v>DB05</x:v>
      </x:c>
      <x:c r="C35" s="66" t="str">
        <x:v>Damage B</x:v>
      </x:c>
      <x:c r="D35" s="66" t="str">
        <x:v>W02</x:v>
      </x:c>
      <x:c r="E35" s="66" t="str">
        <x:v>low particle challenge</x:v>
      </x:c>
      <x:c r="F35" s="66" t="str">
        <x:v>DETECT</x:v>
      </x:c>
      <x:c r="G35" s="66" t="n">
        <x:v>0</x:v>
      </x:c>
      <x:c r="H35" s="66" t="str">
        <x:v>UNTESTED</x:v>
      </x:c>
      <x:c r="I35" s="66" t="n">
        <x:v>0</x:v>
      </x:c>
      <x:c r="J35" s="66" t="n">
        <x:v>0</x:v>
      </x:c>
      <x:c r="K35" s="66" t="str">
        <x:f>IF(G35=0,"OPEN",IF(AND(H35=F35,I35=1,J35=1),"PASS","FAIL"))</x:f>
        <x:v>OPEN</x:v>
      </x:c>
      <x:c r="L35" s="68" t="str">
        <x:v>root entry held until PASS</x:v>
      </x:c>
    </x:row>
    <x:row r="36" ht="34" customHeight="1">
      <x:c r="B36" s="65" t="str">
        <x:v>DB06</x:v>
      </x:c>
      <x:c r="C36" s="66" t="str">
        <x:v>Damage B</x:v>
      </x:c>
      <x:c r="D36" s="66" t="str">
        <x:v>W04</x:v>
      </x:c>
      <x:c r="E36" s="66" t="str">
        <x:v>high combined challenge</x:v>
      </x:c>
      <x:c r="F36" s="66" t="str">
        <x:v>REJECT</x:v>
      </x:c>
      <x:c r="G36" s="66" t="n">
        <x:v>0</x:v>
      </x:c>
      <x:c r="H36" s="66" t="str">
        <x:v>UNTESTED</x:v>
      </x:c>
      <x:c r="I36" s="66" t="n">
        <x:v>0</x:v>
      </x:c>
      <x:c r="J36" s="66" t="n">
        <x:v>0</x:v>
      </x:c>
      <x:c r="K36" s="66" t="str">
        <x:f>IF(G36=0,"OPEN",IF(AND(H36=F36,I36=1,J36=1),"PASS","FAIL"))</x:f>
        <x:v>OPEN</x:v>
      </x:c>
      <x:c r="L36" s="68" t="str">
        <x:v>root entry held until PASS</x:v>
      </x:c>
    </x:row>
    <x:row r="37" ht="34" customHeight="1">
      <x:c r="B37" s="65" t="str">
        <x:v>DB07</x:v>
      </x:c>
      <x:c r="C37" s="66" t="str">
        <x:v>Damage B</x:v>
      </x:c>
      <x:c r="D37" s="66" t="str">
        <x:v>T03</x:v>
      </x:c>
      <x:c r="E37" s="66" t="str">
        <x:v>time/network denial</x:v>
      </x:c>
      <x:c r="F37" s="66" t="str">
        <x:v>ACCEPT</x:v>
      </x:c>
      <x:c r="G37" s="66" t="n">
        <x:v>0</x:v>
      </x:c>
      <x:c r="H37" s="66" t="str">
        <x:v>UNTESTED</x:v>
      </x:c>
      <x:c r="I37" s="66" t="n">
        <x:v>0</x:v>
      </x:c>
      <x:c r="J37" s="66" t="n">
        <x:v>0</x:v>
      </x:c>
      <x:c r="K37" s="66" t="str">
        <x:f>IF(G37=0,"OPEN",IF(AND(H37=F37,I37=1,J37=1),"PASS","FAIL"))</x:f>
        <x:v>OPEN</x:v>
      </x:c>
      <x:c r="L37" s="68" t="str">
        <x:v>root entry held until PASS</x:v>
      </x:c>
    </x:row>
    <x:row r="38" ht="34" customHeight="1">
      <x:c r="B38" s="70" t="str">
        <x:v>DB08</x:v>
      </x:c>
      <x:c r="C38" s="71" t="str">
        <x:v>Damage B</x:v>
      </x:c>
      <x:c r="D38" s="71" t="str">
        <x:v>G02</x:v>
      </x:c>
      <x:c r="E38" s="71" t="str">
        <x:v>actuator and geometry truth</x:v>
      </x:c>
      <x:c r="F38" s="71" t="str">
        <x:v>ACCEPT</x:v>
      </x:c>
      <x:c r="G38" s="71" t="n">
        <x:v>0</x:v>
      </x:c>
      <x:c r="H38" s="71" t="str">
        <x:v>UNTESTED</x:v>
      </x:c>
      <x:c r="I38" s="71" t="n">
        <x:v>0</x:v>
      </x:c>
      <x:c r="J38" s="71" t="n">
        <x:v>0</x:v>
      </x:c>
      <x:c r="K38" s="71" t="str">
        <x:f>IF(G38=0,"OPEN",IF(AND(H38=F38,I38=1,J38=1),"PASS","FAIL"))</x:f>
        <x:v>OPEN</x:v>
      </x:c>
      <x:c r="L38" s="73" t="str">
        <x:v>root entry held until PASS</x:v>
      </x:c>
    </x:row>
    <x:row r="39"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</x:row>
    <x:row r="40">
      <x:c r="B40" s="55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</x:row>
    <x:row r="41">
      <x:c r="B41" s="58" t="str">
        <x:v>Controls</x:v>
      </x:c>
      <x:c r="C41" s="59" t="str">
        <x:v>Controls</x:v>
      </x:c>
      <x:c r="D41" s="59" t="str">
        <x:v>Controls</x:v>
      </x:c>
      <x:c r="E41" s="59" t="str">
        <x:v>Controls</x:v>
      </x:c>
      <x:c r="F41" s="59" t="str">
        <x:v>Controls</x:v>
      </x:c>
      <x:c r="G41" s="59" t="str">
        <x:v>Controls</x:v>
      </x:c>
      <x:c r="H41" s="59" t="str">
        <x:v>Controls</x:v>
      </x:c>
      <x:c r="I41" s="59" t="str">
        <x:v>Controls</x:v>
      </x:c>
      <x:c r="J41" s="59" t="str">
        <x:v>Controls</x:v>
      </x:c>
      <x:c r="K41" s="59" t="str">
        <x:v>Controls</x:v>
      </x:c>
      <x:c r="L41" s="60" t="str">
        <x:v>Controls</x:v>
      </x:c>
    </x:row>
    <x:row r="42">
      <x:c r="B42" s="55" t="str">
        <x:v>Total events</x:v>
      </x:c>
      <x:c r="C42" s="55" t="str">
        <x:v>required 32</x:v>
      </x:c>
      <x:c r="D42" s="55" t="n">
        <x:f>COUNTA(B7:B38)</x:f>
        <x:v>32</x:v>
      </x:c>
      <x:c r="E42" s="55"/>
      <x:c r="F42" s="55"/>
      <x:c r="G42" s="55"/>
      <x:c r="H42" s="55"/>
      <x:c r="I42" s="55"/>
      <x:c r="J42" s="55"/>
      <x:c r="K42" s="55"/>
      <x:c r="L42" s="55"/>
    </x:row>
    <x:row r="43">
      <x:c r="B43" s="55" t="str">
        <x:v>Closure events</x:v>
      </x:c>
      <x:c r="C43" s="55" t="str">
        <x:v>required 16</x:v>
      </x:c>
      <x:c r="D43" s="55" t="n">
        <x:f>COUNTIF(C7:C38,"Closure")</x:f>
        <x:v>16</x:v>
      </x:c>
      <x:c r="E43" s="55"/>
      <x:c r="F43" s="55"/>
      <x:c r="G43" s="55"/>
      <x:c r="H43" s="55"/>
      <x:c r="I43" s="55"/>
      <x:c r="J43" s="55"/>
      <x:c r="K43" s="55"/>
      <x:c r="L43" s="55"/>
    </x:row>
    <x:row r="44">
      <x:c r="B44" s="55" t="str">
        <x:v>Damage A events</x:v>
      </x:c>
      <x:c r="C44" s="55" t="str">
        <x:v>required 8</x:v>
      </x:c>
      <x:c r="D44" s="55" t="n">
        <x:f>COUNTIF(C7:C38,"Damage A")</x:f>
        <x:v>8</x:v>
      </x:c>
      <x:c r="E44" s="55"/>
      <x:c r="F44" s="55"/>
      <x:c r="G44" s="55"/>
      <x:c r="H44" s="55"/>
      <x:c r="I44" s="55"/>
      <x:c r="J44" s="55"/>
      <x:c r="K44" s="55"/>
      <x:c r="L44" s="55"/>
    </x:row>
    <x:row r="45">
      <x:c r="B45" s="55" t="str">
        <x:v>Damage B events</x:v>
      </x:c>
      <x:c r="C45" s="55" t="str">
        <x:v>required 8</x:v>
      </x:c>
      <x:c r="D45" s="55" t="n">
        <x:f>COUNTIF(C7:C38,"Damage B")</x:f>
        <x:v>8</x:v>
      </x:c>
      <x:c r="E45" s="55" t="str">
        <x:f>IF(AND(D42='Control Inputs'!D9,D43='Control Inputs'!D10,D44='Control Inputs'!D11,D45='Control Inputs'!D11),"PASS","FAIL")</x:f>
        <x:v>PASS</x:v>
      </x:c>
      <x:c r="F45" s="55"/>
      <x:c r="G45" s="55"/>
      <x:c r="H45" s="55"/>
      <x:c r="I45" s="55"/>
      <x:c r="J45" s="55"/>
      <x:c r="K45" s="55"/>
      <x:c r="L45" s="55"/>
    </x:row>
  </x:sheetData>
  <x:mergeCells>
    <x:mergeCell ref="B3:L3"/>
    <x:mergeCell ref="B41:L41"/>
  </x:mergeCells>
  <x:conditionalFormatting sqref="H7:K38">
    <x:cfRule type="containsText" dxfId="256" priority="1" operator="containsText" text="FAIL"/>
    <x:cfRule type="containsText" dxfId="257" priority="2" operator="containsText" text="BLOCKED"/>
    <x:cfRule type="containsText" dxfId="258" priority="3" operator="containsText" text="HOLD"/>
    <x:cfRule type="containsText" dxfId="259" priority="4" operator="containsText" text="OPEN"/>
    <x:cfRule type="containsText" dxfId="260" priority="5" operator="containsText" text="UNTESTED"/>
    <x:cfRule type="containsText" dxfId="261" priority="6" operator="containsText" text="INDETERMINATE"/>
    <x:cfRule type="containsText" dxfId="262" priority="7" operator="containsText" text="INVALID"/>
    <x:cfRule type="containsText" dxfId="263" priority="8" operator="containsText" text="PASS"/>
    <x:cfRule type="containsText" dxfId="264" priority="9" operator="containsText" text="CLOSED"/>
    <x:cfRule type="containsText" dxfId="265" priority="10" operator="containsText" text="READY"/>
    <x:cfRule type="containsText" dxfId="266" priority="11" operator="containsText" text="AUTHORIZED"/>
    <x:cfRule type="containsText" dxfId="267" priority="12" operator="containsText" text="PLANNING PASS"/>
    <x:cfRule type="containsText" dxfId="268" priority="13" operator="containsText" text="COMPLETE"/>
    <x:cfRule type="containsText" dxfId="269" priority="14" operator="containsText" text="ACCEPTED"/>
    <x:cfRule type="containsText" dxfId="270" priority="15" operator="containsText" text="ADMITTED"/>
    <x:cfRule type="containsText" dxfId="271" priority="16" operator="containsText" text="RELEASED"/>
  </x:conditionalFormatting>
  <x:conditionalFormatting sqref="E45:E45">
    <x:cfRule type="containsText" dxfId="272" priority="17" operator="containsText" text="FAIL"/>
    <x:cfRule type="containsText" dxfId="273" priority="18" operator="containsText" text="BLOCKED"/>
    <x:cfRule type="containsText" dxfId="274" priority="19" operator="containsText" text="HOLD"/>
    <x:cfRule type="containsText" dxfId="275" priority="20" operator="containsText" text="OPEN"/>
    <x:cfRule type="containsText" dxfId="276" priority="21" operator="containsText" text="UNTESTED"/>
    <x:cfRule type="containsText" dxfId="277" priority="22" operator="containsText" text="INDETERMINATE"/>
    <x:cfRule type="containsText" dxfId="278" priority="23" operator="containsText" text="INVALID"/>
    <x:cfRule type="containsText" dxfId="279" priority="24" operator="containsText" text="PASS"/>
    <x:cfRule type="containsText" dxfId="280" priority="25" operator="containsText" text="CLOSED"/>
    <x:cfRule type="containsText" dxfId="281" priority="26" operator="containsText" text="READY"/>
    <x:cfRule type="containsText" dxfId="282" priority="27" operator="containsText" text="AUTHORIZED"/>
    <x:cfRule type="containsText" dxfId="283" priority="28" operator="containsText" text="PLANNING PASS"/>
    <x:cfRule type="containsText" dxfId="284" priority="29" operator="containsText" text="COMPLETE"/>
    <x:cfRule type="containsText" dxfId="285" priority="30" operator="containsText" text="ACCEPTED"/>
    <x:cfRule type="containsText" dxfId="286" priority="31" operator="containsText" text="ADMITTED"/>
    <x:cfRule type="containsText" dxfId="287" priority="32" operator="containsText" text="RELEASED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B8C7D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1" hidden="0" customWidth="1"/>
    <x:col min="3" max="3" width="27" hidden="0" customWidth="1"/>
    <x:col min="4" max="4" width="39" hidden="0" customWidth="1"/>
    <x:col min="5" max="5" width="31" hidden="0" customWidth="1"/>
    <x:col min="6" max="6" width="25" hidden="0" customWidth="1"/>
    <x:col min="7" max="7" width="16" hidden="0" customWidth="1"/>
    <x:col min="8" max="8" width="16" hidden="0" customWidth="1"/>
  </x:cols>
  <x:sheetData>
    <x:row r="2">
      <x:c r="B2" s="1" t="str">
        <x:v>Blank, positive-control and recovery constitution</x:v>
      </x:c>
      <x:c r="C2" s="55"/>
      <x:c r="D2" s="55"/>
      <x:c r="E2" s="55"/>
      <x:c r="F2" s="55"/>
      <x:c r="G2" s="55"/>
      <x:c r="H2" s="55"/>
      <x:c r="I2" s="55"/>
      <x:c r="J2" s="55"/>
    </x:row>
    <x:row r="3">
      <x:c r="B3" s="2" t="str">
        <x:v>A clean assay cannot support release when blank, recovery, split or custody controls fail.</x:v>
      </x:c>
      <x:c r="C3" s="55"/>
      <x:c r="D3" s="55"/>
      <x:c r="E3" s="55"/>
      <x:c r="F3" s="55"/>
      <x:c r="G3" s="55"/>
      <x:c r="H3" s="55"/>
      <x:c r="I3" s="55"/>
      <x:c r="J3" s="55"/>
    </x:row>
    <x:row r="4">
      <x:c r="B4" s="57"/>
      <x:c r="C4" s="57"/>
      <x:c r="D4" s="57"/>
      <x:c r="E4" s="57"/>
      <x:c r="F4" s="57"/>
      <x:c r="G4" s="57"/>
      <x:c r="H4" s="57"/>
      <x:c r="I4" s="57"/>
      <x:c r="J4" s="57"/>
    </x:row>
    <x:row r="5">
      <x:c r="B5" s="55"/>
      <x:c r="C5" s="55"/>
      <x:c r="D5" s="55"/>
      <x:c r="E5" s="55"/>
      <x:c r="F5" s="55"/>
      <x:c r="G5" s="55"/>
      <x:c r="H5" s="55"/>
      <x:c r="I5" s="55"/>
      <x:c r="J5" s="55"/>
    </x:row>
    <x:row r="6">
      <x:c r="B6" s="15" t="str">
        <x:v>ID</x:v>
      </x:c>
      <x:c r="C6" s="16" t="str">
        <x:v>Control</x:v>
      </x:c>
      <x:c r="D6" s="16" t="str">
        <x:v>Sequence</x:v>
      </x:c>
      <x:c r="E6" s="16" t="str">
        <x:v>Risk controlled</x:v>
      </x:c>
      <x:c r="F6" s="16" t="str">
        <x:v>Owner</x:v>
      </x:c>
      <x:c r="G6" s="16" t="str">
        <x:v>Requirement</x:v>
      </x:c>
      <x:c r="H6" s="16" t="str">
        <x:v>Planning state</x:v>
      </x:c>
      <x:c r="I6" s="55"/>
      <x:c r="J6" s="55"/>
    </x:row>
    <x:row r="7" ht="39" customHeight="1">
      <x:c r="B7" s="65" t="str">
        <x:v>BR01</x:v>
      </x:c>
      <x:c r="C7" s="66" t="str">
        <x:v>source blank</x:v>
      </x:c>
      <x:c r="D7" s="66" t="str">
        <x:v>before fixture contact</x:v>
      </x:c>
      <x:c r="E7" s="66" t="str">
        <x:v>false contamination at source</x:v>
      </x:c>
      <x:c r="F7" s="66" t="str">
        <x:v>sanitary control</x:v>
      </x:c>
      <x:c r="G7" s="66" t="str">
        <x:v>REQUIRED</x:v>
      </x:c>
      <x:c r="H7" s="68" t="str">
        <x:v>PASS</x:v>
      </x:c>
      <x:c r="I7" s="55"/>
      <x:c r="J7" s="55"/>
    </x:row>
    <x:row r="8" ht="39" customHeight="1">
      <x:c r="B8" s="65" t="str">
        <x:v>BR02</x:v>
      </x:c>
      <x:c r="C8" s="66" t="str">
        <x:v>fixture blank</x:v>
      </x:c>
      <x:c r="D8" s="66" t="str">
        <x:v>after cleaning and configured assembly</x:v>
      </x:c>
      <x:c r="E8" s="66" t="str">
        <x:v>fixture contamination/carryover</x:v>
      </x:c>
      <x:c r="F8" s="66" t="str">
        <x:v>sanitary control</x:v>
      </x:c>
      <x:c r="G8" s="66" t="str">
        <x:v>REQUIRED</x:v>
      </x:c>
      <x:c r="H8" s="68" t="str">
        <x:v>PASS</x:v>
      </x:c>
      <x:c r="I8" s="55"/>
      <x:c r="J8" s="55"/>
    </x:row>
    <x:row r="9" ht="39" customHeight="1">
      <x:c r="B9" s="65" t="str">
        <x:v>BR03</x:v>
      </x:c>
      <x:c r="C9" s="66" t="str">
        <x:v>field blank</x:v>
      </x:c>
      <x:c r="D9" s="66" t="str">
        <x:v>custody without fixture exposure</x:v>
      </x:c>
      <x:c r="E9" s="66" t="str">
        <x:v>custody contamination</x:v>
      </x:c>
      <x:c r="F9" s="66" t="str">
        <x:v>custody authority</x:v>
      </x:c>
      <x:c r="G9" s="66" t="str">
        <x:v>REQUIRED</x:v>
      </x:c>
      <x:c r="H9" s="68" t="str">
        <x:v>PASS</x:v>
      </x:c>
      <x:c r="I9" s="55"/>
      <x:c r="J9" s="55"/>
    </x:row>
    <x:row r="10" ht="39" customHeight="1">
      <x:c r="B10" s="65" t="str">
        <x:v>BR04</x:v>
      </x:c>
      <x:c r="C10" s="66" t="str">
        <x:v>low dissolved challenge</x:v>
      </x:c>
      <x:c r="D10" s="66" t="str">
        <x:v>registered low recovery</x:v>
      </x:c>
      <x:c r="E10" s="66" t="str">
        <x:v>false negative</x:v>
      </x:c>
      <x:c r="F10" s="66" t="str">
        <x:v>truth authority</x:v>
      </x:c>
      <x:c r="G10" s="66" t="str">
        <x:v>REQUIRED</x:v>
      </x:c>
      <x:c r="H10" s="68" t="str">
        <x:v>PASS</x:v>
      </x:c>
      <x:c r="I10" s="55"/>
      <x:c r="J10" s="55"/>
    </x:row>
    <x:row r="11" ht="39" customHeight="1">
      <x:c r="B11" s="65" t="str">
        <x:v>BR05</x:v>
      </x:c>
      <x:c r="C11" s="66" t="str">
        <x:v>high dissolved challenge</x:v>
      </x:c>
      <x:c r="D11" s="66" t="str">
        <x:v>registered high recovery</x:v>
      </x:c>
      <x:c r="E11" s="66" t="str">
        <x:v>saturation/carryover</x:v>
      </x:c>
      <x:c r="F11" s="66" t="str">
        <x:v>truth authority</x:v>
      </x:c>
      <x:c r="G11" s="66" t="str">
        <x:v>REQUIRED</x:v>
      </x:c>
      <x:c r="H11" s="68" t="str">
        <x:v>PASS</x:v>
      </x:c>
      <x:c r="I11" s="55"/>
      <x:c r="J11" s="55"/>
    </x:row>
    <x:row r="12" ht="39" customHeight="1">
      <x:c r="B12" s="65" t="str">
        <x:v>BR06</x:v>
      </x:c>
      <x:c r="C12" s="66" t="str">
        <x:v>low particle challenge</x:v>
      </x:c>
      <x:c r="D12" s="66" t="str">
        <x:v>registered low recovery</x:v>
      </x:c>
      <x:c r="E12" s="66" t="str">
        <x:v>false negative</x:v>
      </x:c>
      <x:c r="F12" s="66" t="str">
        <x:v>truth authority</x:v>
      </x:c>
      <x:c r="G12" s="66" t="str">
        <x:v>REQUIRED</x:v>
      </x:c>
      <x:c r="H12" s="68" t="str">
        <x:v>PASS</x:v>
      </x:c>
      <x:c r="I12" s="55"/>
      <x:c r="J12" s="55"/>
    </x:row>
    <x:row r="13" ht="39" customHeight="1">
      <x:c r="B13" s="65" t="str">
        <x:v>BR07</x:v>
      </x:c>
      <x:c r="C13" s="66" t="str">
        <x:v>high particle challenge</x:v>
      </x:c>
      <x:c r="D13" s="66" t="str">
        <x:v>registered high recovery</x:v>
      </x:c>
      <x:c r="E13" s="66" t="str">
        <x:v>saturation/carryover</x:v>
      </x:c>
      <x:c r="F13" s="66" t="str">
        <x:v>truth authority</x:v>
      </x:c>
      <x:c r="G13" s="66" t="str">
        <x:v>REQUIRED</x:v>
      </x:c>
      <x:c r="H13" s="68" t="str">
        <x:v>PASS</x:v>
      </x:c>
      <x:c r="I13" s="55"/>
      <x:c r="J13" s="55"/>
    </x:row>
    <x:row r="14" ht="39" customHeight="1">
      <x:c r="B14" s="65" t="str">
        <x:v>BR08</x:v>
      </x:c>
      <x:c r="C14" s="66" t="str">
        <x:v>method controls</x:v>
      </x:c>
      <x:c r="D14" s="66" t="str">
        <x:v>laboratory blank and positive control</x:v>
      </x:c>
      <x:c r="E14" s="66" t="str">
        <x:v>assay failure</x:v>
      </x:c>
      <x:c r="F14" s="66" t="str">
        <x:v>water laboratory</x:v>
      </x:c>
      <x:c r="G14" s="66" t="str">
        <x:v>REQUIRED</x:v>
      </x:c>
      <x:c r="H14" s="68" t="str">
        <x:v>PASS</x:v>
      </x:c>
      <x:c r="I14" s="55"/>
      <x:c r="J14" s="55"/>
    </x:row>
    <x:row r="15" ht="39" customHeight="1">
      <x:c r="B15" s="65" t="str">
        <x:v>BR09</x:v>
      </x:c>
      <x:c r="C15" s="66" t="str">
        <x:v>independent split</x:v>
      </x:c>
      <x:c r="D15" s="66" t="str">
        <x:v>unlike method or laboratory</x:v>
      </x:c>
      <x:c r="E15" s="66" t="str">
        <x:v>method-specific error</x:v>
      </x:c>
      <x:c r="F15" s="66" t="str">
        <x:v>independent laboratory</x:v>
      </x:c>
      <x:c r="G15" s="66" t="str">
        <x:v>REQUIRED</x:v>
      </x:c>
      <x:c r="H15" s="68" t="str">
        <x:v>PASS</x:v>
      </x:c>
      <x:c r="I15" s="55"/>
      <x:c r="J15" s="55"/>
    </x:row>
    <x:row r="16" ht="39" customHeight="1">
      <x:c r="B16" s="70" t="str">
        <x:v>BR10</x:v>
      </x:c>
      <x:c r="C16" s="71" t="str">
        <x:v>carryover blank</x:v>
      </x:c>
      <x:c r="D16" s="71" t="str">
        <x:v>after highest challenge</x:v>
      </x:c>
      <x:c r="E16" s="71" t="str">
        <x:v>next-event contamination</x:v>
      </x:c>
      <x:c r="F16" s="71" t="str">
        <x:v>sanitary control</x:v>
      </x:c>
      <x:c r="G16" s="71" t="str">
        <x:v>REQUIRED</x:v>
      </x:c>
      <x:c r="H16" s="73" t="str">
        <x:v>PASS</x:v>
      </x:c>
      <x:c r="I16" s="55"/>
      <x:c r="J16" s="55"/>
    </x:row>
    <x:row r="17">
      <x:c r="B17" s="55"/>
      <x:c r="C17" s="55"/>
      <x:c r="D17" s="55"/>
      <x:c r="E17" s="55"/>
      <x:c r="F17" s="55"/>
      <x:c r="G17" s="55"/>
      <x:c r="H17" s="55"/>
      <x:c r="I17" s="55"/>
      <x:c r="J17" s="55"/>
    </x:row>
    <x:row r="18">
      <x:c r="B18" s="55"/>
      <x:c r="C18" s="55"/>
      <x:c r="D18" s="55"/>
      <x:c r="E18" s="55"/>
      <x:c r="F18" s="55"/>
      <x:c r="G18" s="55"/>
      <x:c r="H18" s="55"/>
      <x:c r="I18" s="55"/>
      <x:c r="J18" s="55"/>
    </x:row>
    <x:row r="19">
      <x:c r="B19" s="55" t="str">
        <x:v>CONTROL</x:v>
      </x:c>
      <x:c r="C19" s="55" t="str">
        <x:v>Blank/recovery content</x:v>
      </x:c>
      <x:c r="D19" s="55" t="str">
        <x:f>IF(AND(COUNTA(B7:B16)='Control Inputs'!D65,COUNTIF(H7:H16,"PASS")=10),"PASS","FAIL")</x:f>
        <x:v>PASS</x:v>
      </x:c>
      <x:c r="E19" s="55"/>
      <x:c r="F19" s="55"/>
      <x:c r="G19" s="55"/>
      <x:c r="H19" s="55"/>
      <x:c r="I19" s="55"/>
      <x:c r="J19" s="55"/>
    </x:row>
  </x:sheetData>
  <x:mergeCells>
    <x:mergeCell ref="B3:J3"/>
  </x:mergeCells>
  <x:conditionalFormatting sqref="H7:H16">
    <x:cfRule type="containsText" dxfId="288" priority="1" operator="containsText" text="FAIL"/>
    <x:cfRule type="containsText" dxfId="289" priority="2" operator="containsText" text="BLOCKED"/>
    <x:cfRule type="containsText" dxfId="290" priority="3" operator="containsText" text="HOLD"/>
    <x:cfRule type="containsText" dxfId="291" priority="4" operator="containsText" text="OPEN"/>
    <x:cfRule type="containsText" dxfId="292" priority="5" operator="containsText" text="UNTESTED"/>
    <x:cfRule type="containsText" dxfId="293" priority="6" operator="containsText" text="INDETERMINATE"/>
    <x:cfRule type="containsText" dxfId="294" priority="7" operator="containsText" text="INVALID"/>
    <x:cfRule type="containsText" dxfId="295" priority="8" operator="containsText" text="PASS"/>
    <x:cfRule type="containsText" dxfId="296" priority="9" operator="containsText" text="CLOSED"/>
    <x:cfRule type="containsText" dxfId="297" priority="10" operator="containsText" text="READY"/>
    <x:cfRule type="containsText" dxfId="298" priority="11" operator="containsText" text="AUTHORIZED"/>
    <x:cfRule type="containsText" dxfId="299" priority="12" operator="containsText" text="PLANNING PASS"/>
    <x:cfRule type="containsText" dxfId="300" priority="13" operator="containsText" text="COMPLETE"/>
    <x:cfRule type="containsText" dxfId="301" priority="14" operator="containsText" text="ACCEPTED"/>
    <x:cfRule type="containsText" dxfId="302" priority="15" operator="containsText" text="ADMITTED"/>
    <x:cfRule type="containsText" dxfId="303" priority="16" operator="containsText" text="RELEASED"/>
  </x:conditionalFormatting>
  <x:conditionalFormatting sqref="D19:D19">
    <x:cfRule type="containsText" dxfId="304" priority="17" operator="containsText" text="FAIL"/>
    <x:cfRule type="containsText" dxfId="305" priority="18" operator="containsText" text="BLOCKED"/>
    <x:cfRule type="containsText" dxfId="306" priority="19" operator="containsText" text="HOLD"/>
    <x:cfRule type="containsText" dxfId="307" priority="20" operator="containsText" text="OPEN"/>
    <x:cfRule type="containsText" dxfId="308" priority="21" operator="containsText" text="UNTESTED"/>
    <x:cfRule type="containsText" dxfId="309" priority="22" operator="containsText" text="INDETERMINATE"/>
    <x:cfRule type="containsText" dxfId="310" priority="23" operator="containsText" text="INVALID"/>
    <x:cfRule type="containsText" dxfId="311" priority="24" operator="containsText" text="PASS"/>
    <x:cfRule type="containsText" dxfId="312" priority="25" operator="containsText" text="CLOSED"/>
    <x:cfRule type="containsText" dxfId="313" priority="26" operator="containsText" text="READY"/>
    <x:cfRule type="containsText" dxfId="314" priority="27" operator="containsText" text="AUTHORIZED"/>
    <x:cfRule type="containsText" dxfId="315" priority="28" operator="containsText" text="PLANNING PASS"/>
    <x:cfRule type="containsText" dxfId="316" priority="29" operator="containsText" text="COMPLETE"/>
    <x:cfRule type="containsText" dxfId="317" priority="30" operator="containsText" text="ACCEPTED"/>
    <x:cfRule type="containsText" dxfId="318" priority="31" operator="containsText" text="ADMITTED"/>
    <x:cfRule type="containsText" dxfId="319" priority="32" operator="containsText" text="RELEASED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B8C7D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1" hidden="0" customWidth="1"/>
    <x:col min="3" max="3" width="42" hidden="0" customWidth="1"/>
    <x:col min="4" max="4" width="54" hidden="0" customWidth="1"/>
    <x:col min="5" max="5" width="16" hidden="0" customWidth="1"/>
    <x:col min="6" max="6" width="27" hidden="0" customWidth="1"/>
    <x:col min="7" max="7" width="16" hidden="0" customWidth="1"/>
  </x:cols>
  <x:sheetData>
    <x:row r="2">
      <x:c r="B2" s="1" t="str">
        <x:v>Invalid-run taxonomy and limited salvage</x:v>
      </x:c>
      <x:c r="C2" s="55"/>
      <x:c r="D2" s="55"/>
      <x:c r="E2" s="55"/>
      <x:c r="F2" s="55"/>
      <x:c r="G2" s="55"/>
      <x:c r="H2" s="55"/>
      <x:c r="I2" s="55"/>
      <x:c r="J2" s="55"/>
    </x:row>
    <x:row r="3">
      <x:c r="B3" s="2" t="str">
        <x:v>Safety stops may be valid service failures. Missing evidence never becomes a pass. Salvage requires preregistered causal isolation.</x:v>
      </x:c>
      <x:c r="C3" s="55"/>
      <x:c r="D3" s="55"/>
      <x:c r="E3" s="55"/>
      <x:c r="F3" s="55"/>
      <x:c r="G3" s="55"/>
      <x:c r="H3" s="55"/>
      <x:c r="I3" s="55"/>
      <x:c r="J3" s="55"/>
    </x:row>
    <x:row r="4">
      <x:c r="B4" s="57"/>
      <x:c r="C4" s="57"/>
      <x:c r="D4" s="57"/>
      <x:c r="E4" s="57"/>
      <x:c r="F4" s="57"/>
      <x:c r="G4" s="57"/>
      <x:c r="H4" s="57"/>
      <x:c r="I4" s="57"/>
      <x:c r="J4" s="57"/>
    </x:row>
    <x:row r="5">
      <x:c r="B5" s="55"/>
      <x:c r="C5" s="55"/>
      <x:c r="D5" s="55"/>
      <x:c r="E5" s="55"/>
      <x:c r="F5" s="55"/>
      <x:c r="G5" s="55"/>
      <x:c r="H5" s="55"/>
      <x:c r="I5" s="55"/>
      <x:c r="J5" s="55"/>
    </x:row>
    <x:row r="6">
      <x:c r="B6" s="15" t="str">
        <x:v>Code</x:v>
      </x:c>
      <x:c r="C6" s="16" t="str">
        <x:v>Condition</x:v>
      </x:c>
      <x:c r="D6" s="16" t="str">
        <x:v>Default consequence</x:v>
      </x:c>
      <x:c r="E6" s="16" t="str">
        <x:v>Event state</x:v>
      </x:c>
      <x:c r="F6" s="16" t="str">
        <x:v>Salvage posture</x:v>
      </x:c>
      <x:c r="G6" s="16" t="str">
        <x:v>Planning state</x:v>
      </x:c>
      <x:c r="H6" s="55"/>
      <x:c r="I6" s="55"/>
      <x:c r="J6" s="55"/>
    </x:row>
    <x:row r="7" ht="43" customHeight="1">
      <x:c r="B7" s="65" t="str">
        <x:v>V01</x:v>
      </x:c>
      <x:c r="C7" s="66" t="str">
        <x:v>stimulus outside tolerance</x:v>
      </x:c>
      <x:c r="D7" s="66" t="str">
        <x:v>no acceptance credit; mechanism equivalence requires pre-unblind adjudication</x:v>
      </x:c>
      <x:c r="E7" s="66" t="str">
        <x:v>INVALID</x:v>
      </x:c>
      <x:c r="F7" s="66" t="str">
        <x:v>bounded subclaim only</x:v>
      </x:c>
      <x:c r="G7" s="68" t="str">
        <x:v>PASS</x:v>
      </x:c>
      <x:c r="H7" s="55"/>
      <x:c r="I7" s="55"/>
      <x:c r="J7" s="55"/>
    </x:row>
    <x:row r="8" ht="43" customHeight="1">
      <x:c r="B8" s="65" t="str">
        <x:v>V02</x:v>
      </x:c>
      <x:c r="C8" s="66" t="str">
        <x:v>decisive measurement loss or unregistered gap</x:v>
      </x:c>
      <x:c r="D8" s="66" t="str">
        <x:v>affected claims invalid</x:v>
      </x:c>
      <x:c r="E8" s="66" t="str">
        <x:v>INVALID</x:v>
      </x:c>
      <x:c r="F8" s="66" t="str">
        <x:v>bounded subclaim only</x:v>
      </x:c>
      <x:c r="G8" s="68" t="str">
        <x:v>PASS</x:v>
      </x:c>
      <x:c r="H8" s="55"/>
      <x:c r="I8" s="55"/>
      <x:c r="J8" s="55"/>
    </x:row>
    <x:row r="9" ht="43" customHeight="1">
      <x:c r="B9" s="65" t="str">
        <x:v>V03</x:v>
      </x:c>
      <x:c r="C9" s="66" t="str">
        <x:v>clock disagreement beyond bound</x:v>
      </x:c>
      <x:c r="D9" s="66" t="str">
        <x:v>time-dependent claims invalid</x:v>
      </x:c>
      <x:c r="E9" s="66" t="str">
        <x:v>INVALID</x:v>
      </x:c>
      <x:c r="F9" s="66" t="str">
        <x:v>bounded subclaim only</x:v>
      </x:c>
      <x:c r="G9" s="68" t="str">
        <x:v>PASS</x:v>
      </x:c>
      <x:c r="H9" s="55"/>
      <x:c r="I9" s="55"/>
      <x:c r="J9" s="55"/>
    </x:row>
    <x:row r="10" ht="43" customHeight="1">
      <x:c r="B10" s="65" t="str">
        <x:v>V04</x:v>
      </x:c>
      <x:c r="C10" s="66" t="str">
        <x:v>fixture configuration or adapter drift</x:v>
      </x:c>
      <x:c r="D10" s="66" t="str">
        <x:v>run invalid; bounded look-back review</x:v>
      </x:c>
      <x:c r="E10" s="66" t="str">
        <x:v>INVALID</x:v>
      </x:c>
      <x:c r="F10" s="66" t="str">
        <x:v>bounded subclaim only</x:v>
      </x:c>
      <x:c r="G10" s="68" t="str">
        <x:v>PASS</x:v>
      </x:c>
      <x:c r="H10" s="55"/>
      <x:c r="I10" s="55"/>
      <x:c r="J10" s="55"/>
    </x:row>
    <x:row r="11" ht="43" customHeight="1">
      <x:c r="B11" s="65" t="str">
        <x:v>V05</x:v>
      </x:c>
      <x:c r="C11" s="66" t="str">
        <x:v>blind integrity breach</x:v>
      </x:c>
      <x:c r="D11" s="66" t="str">
        <x:v>blind inference invalid; safety evidence may remain</x:v>
      </x:c>
      <x:c r="E11" s="66" t="str">
        <x:v>INVALID</x:v>
      </x:c>
      <x:c r="F11" s="66" t="str">
        <x:v>bounded subclaim only</x:v>
      </x:c>
      <x:c r="G11" s="68" t="str">
        <x:v>PASS</x:v>
      </x:c>
      <x:c r="H11" s="55"/>
      <x:c r="I11" s="55"/>
      <x:c r="J11" s="55"/>
    </x:row>
    <x:row r="12" ht="43" customHeight="1">
      <x:c r="B12" s="65" t="str">
        <x:v>V06</x:v>
      </x:c>
      <x:c r="C12" s="66" t="str">
        <x:v>sample or custody breach</x:v>
      </x:c>
      <x:c r="D12" s="66" t="str">
        <x:v>sanitary and affected forensic claims invalid</x:v>
      </x:c>
      <x:c r="E12" s="66" t="str">
        <x:v>INVALID</x:v>
      </x:c>
      <x:c r="F12" s="66" t="str">
        <x:v>bounded subclaim only</x:v>
      </x:c>
      <x:c r="G12" s="68" t="str">
        <x:v>PASS</x:v>
      </x:c>
      <x:c r="H12" s="55"/>
      <x:c r="I12" s="55"/>
      <x:c r="J12" s="55"/>
    </x:row>
    <x:row r="13" ht="43" customHeight="1">
      <x:c r="B13" s="65" t="str">
        <x:v>V07</x:v>
      </x:c>
      <x:c r="C13" s="66" t="str">
        <x:v>reference drift discovered after run</x:v>
      </x:c>
      <x:c r="D13" s="66" t="str">
        <x:v>bounded look-back and reclassification review</x:v>
      </x:c>
      <x:c r="E13" s="66" t="str">
        <x:v>INVALID</x:v>
      </x:c>
      <x:c r="F13" s="66" t="str">
        <x:v>bounded subclaim only</x:v>
      </x:c>
      <x:c r="G13" s="68" t="str">
        <x:v>PASS</x:v>
      </x:c>
      <x:c r="H13" s="55"/>
      <x:c r="I13" s="55"/>
      <x:c r="J13" s="55"/>
    </x:row>
    <x:row r="14" ht="43" customHeight="1">
      <x:c r="B14" s="65" t="str">
        <x:v>V08</x:v>
      </x:c>
      <x:c r="C14" s="66" t="str">
        <x:v>unauthorized decisive range assistance</x:v>
      </x:c>
      <x:c r="D14" s="66" t="str">
        <x:v>deployability claim invalid</x:v>
      </x:c>
      <x:c r="E14" s="66" t="str">
        <x:v>INVALID</x:v>
      </x:c>
      <x:c r="F14" s="66" t="str">
        <x:v>bounded subclaim only</x:v>
      </x:c>
      <x:c r="G14" s="68" t="str">
        <x:v>PASS</x:v>
      </x:c>
      <x:c r="H14" s="55"/>
      <x:c r="I14" s="55"/>
      <x:c r="J14" s="55"/>
    </x:row>
    <x:row r="15" ht="43" customHeight="1">
      <x:c r="B15" s="65" t="str">
        <x:v>V09</x:v>
      </x:c>
      <x:c r="C15" s="66" t="str">
        <x:v>schema, signature, hash or replay failure</x:v>
      </x:c>
      <x:c r="D15" s="66" t="str">
        <x:v>packet cannot be admitted</x:v>
      </x:c>
      <x:c r="E15" s="66" t="str">
        <x:v>INVALID</x:v>
      </x:c>
      <x:c r="F15" s="66" t="str">
        <x:v>bounded subclaim only</x:v>
      </x:c>
      <x:c r="G15" s="68" t="str">
        <x:v>PASS</x:v>
      </x:c>
      <x:c r="H15" s="55"/>
      <x:c r="I15" s="55"/>
      <x:c r="J15" s="55"/>
    </x:row>
    <x:row r="16" ht="43" customHeight="1">
      <x:c r="B16" s="70" t="str">
        <x:v>V10</x:v>
      </x:c>
      <x:c r="C16" s="71" t="str">
        <x:v>contaminated blank or failed positive control</x:v>
      </x:c>
      <x:c r="D16" s="71" t="str">
        <x:v>sanitary decision invalid</x:v>
      </x:c>
      <x:c r="E16" s="71" t="str">
        <x:v>INVALID</x:v>
      </x:c>
      <x:c r="F16" s="71" t="str">
        <x:v>bounded subclaim only</x:v>
      </x:c>
      <x:c r="G16" s="73" t="str">
        <x:v>PASS</x:v>
      </x:c>
      <x:c r="H16" s="55"/>
      <x:c r="I16" s="55"/>
      <x:c r="J16" s="55"/>
    </x:row>
    <x:row r="17">
      <x:c r="B17" s="55"/>
      <x:c r="C17" s="55"/>
      <x:c r="D17" s="55"/>
      <x:c r="E17" s="55"/>
      <x:c r="F17" s="55"/>
      <x:c r="G17" s="55"/>
      <x:c r="H17" s="55"/>
      <x:c r="I17" s="55"/>
      <x:c r="J17" s="55"/>
    </x:row>
    <x:row r="18">
      <x:c r="B18" s="55"/>
      <x:c r="C18" s="55"/>
      <x:c r="D18" s="55"/>
      <x:c r="E18" s="55"/>
      <x:c r="F18" s="55"/>
      <x:c r="G18" s="55"/>
      <x:c r="H18" s="55"/>
      <x:c r="I18" s="55"/>
      <x:c r="J18" s="55"/>
    </x:row>
    <x:row r="19">
      <x:c r="B19" s="55" t="str">
        <x:v>CONTROL</x:v>
      </x:c>
      <x:c r="C19" s="55" t="str">
        <x:v>Invalid-rule content</x:v>
      </x:c>
      <x:c r="D19" s="55" t="str">
        <x:f>IF(AND(COUNTA(B7:B16)='Control Inputs'!D64,COUNTIF(G7:G16,"PASS")=10),"PASS","FAIL")</x:f>
        <x:v>PASS</x:v>
      </x:c>
      <x:c r="E19" s="55"/>
      <x:c r="F19" s="55"/>
      <x:c r="G19" s="55"/>
      <x:c r="H19" s="55"/>
      <x:c r="I19" s="55"/>
      <x:c r="J19" s="55"/>
    </x:row>
  </x:sheetData>
  <x:mergeCells>
    <x:mergeCell ref="B3:J3"/>
  </x:mergeCells>
  <x:conditionalFormatting sqref="E7:G16">
    <x:cfRule type="containsText" dxfId="320" priority="1" operator="containsText" text="FAIL"/>
    <x:cfRule type="containsText" dxfId="321" priority="2" operator="containsText" text="BLOCKED"/>
    <x:cfRule type="containsText" dxfId="322" priority="3" operator="containsText" text="HOLD"/>
    <x:cfRule type="containsText" dxfId="323" priority="4" operator="containsText" text="OPEN"/>
    <x:cfRule type="containsText" dxfId="324" priority="5" operator="containsText" text="UNTESTED"/>
    <x:cfRule type="containsText" dxfId="325" priority="6" operator="containsText" text="INDETERMINATE"/>
    <x:cfRule type="containsText" dxfId="326" priority="7" operator="containsText" text="INVALID"/>
    <x:cfRule type="containsText" dxfId="327" priority="8" operator="containsText" text="PASS"/>
    <x:cfRule type="containsText" dxfId="328" priority="9" operator="containsText" text="CLOSED"/>
    <x:cfRule type="containsText" dxfId="329" priority="10" operator="containsText" text="READY"/>
    <x:cfRule type="containsText" dxfId="330" priority="11" operator="containsText" text="AUTHORIZED"/>
    <x:cfRule type="containsText" dxfId="331" priority="12" operator="containsText" text="PLANNING PASS"/>
    <x:cfRule type="containsText" dxfId="332" priority="13" operator="containsText" text="COMPLETE"/>
    <x:cfRule type="containsText" dxfId="333" priority="14" operator="containsText" text="ACCEPTED"/>
    <x:cfRule type="containsText" dxfId="334" priority="15" operator="containsText" text="ADMITTED"/>
    <x:cfRule type="containsText" dxfId="335" priority="16" operator="containsText" text="RELEASED"/>
  </x:conditionalFormatting>
  <x:conditionalFormatting sqref="D19:D19">
    <x:cfRule type="containsText" dxfId="336" priority="17" operator="containsText" text="FAIL"/>
    <x:cfRule type="containsText" dxfId="337" priority="18" operator="containsText" text="BLOCKED"/>
    <x:cfRule type="containsText" dxfId="338" priority="19" operator="containsText" text="HOLD"/>
    <x:cfRule type="containsText" dxfId="339" priority="20" operator="containsText" text="OPEN"/>
    <x:cfRule type="containsText" dxfId="340" priority="21" operator="containsText" text="UNTESTED"/>
    <x:cfRule type="containsText" dxfId="341" priority="22" operator="containsText" text="INDETERMINATE"/>
    <x:cfRule type="containsText" dxfId="342" priority="23" operator="containsText" text="INVALID"/>
    <x:cfRule type="containsText" dxfId="343" priority="24" operator="containsText" text="PASS"/>
    <x:cfRule type="containsText" dxfId="344" priority="25" operator="containsText" text="CLOSED"/>
    <x:cfRule type="containsText" dxfId="345" priority="26" operator="containsText" text="READY"/>
    <x:cfRule type="containsText" dxfId="346" priority="27" operator="containsText" text="AUTHORIZED"/>
    <x:cfRule type="containsText" dxfId="347" priority="28" operator="containsText" text="PLANNING PASS"/>
    <x:cfRule type="containsText" dxfId="348" priority="29" operator="containsText" text="COMPLETE"/>
    <x:cfRule type="containsText" dxfId="349" priority="30" operator="containsText" text="ACCEPTED"/>
    <x:cfRule type="containsText" dxfId="350" priority="31" operator="containsText" text="ADMITTED"/>
    <x:cfRule type="containsText" dxfId="351" priority="32" operator="containsText" text="RELEASED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B8C7D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1" hidden="0" customWidth="1"/>
    <x:col min="3" max="3" width="10" hidden="0" customWidth="1"/>
    <x:col min="4" max="4" width="52" hidden="0" customWidth="1"/>
    <x:col min="5" max="5" width="29" hidden="0" customWidth="1"/>
    <x:col min="6" max="6" width="16" hidden="0" customWidth="1"/>
    <x:col min="7" max="7" width="16" hidden="0" customWidth="1"/>
  </x:cols>
  <x:sheetData>
    <x:row r="2">
      <x:c r="B2" s="1" t="str">
        <x:v>Eighteen-object event decision packet</x:v>
      </x:c>
      <x:c r="C2" s="55"/>
      <x:c r="D2" s="55"/>
      <x:c r="E2" s="55"/>
      <x:c r="F2" s="55"/>
      <x:c r="G2" s="55"/>
      <x:c r="H2" s="55"/>
      <x:c r="I2" s="55"/>
      <x:c r="J2" s="55"/>
    </x:row>
    <x:row r="3">
      <x:c r="B3" s="2" t="str">
        <x:v>Corrections are appended as signed records. Packets cannot be backfilled into a prior state.</x:v>
      </x:c>
      <x:c r="C3" s="55"/>
      <x:c r="D3" s="55"/>
      <x:c r="E3" s="55"/>
      <x:c r="F3" s="55"/>
      <x:c r="G3" s="55"/>
      <x:c r="H3" s="55"/>
      <x:c r="I3" s="55"/>
      <x:c r="J3" s="55"/>
    </x:row>
    <x:row r="4">
      <x:c r="B4" s="57"/>
      <x:c r="C4" s="57"/>
      <x:c r="D4" s="57"/>
      <x:c r="E4" s="57"/>
      <x:c r="F4" s="57"/>
      <x:c r="G4" s="57"/>
      <x:c r="H4" s="57"/>
      <x:c r="I4" s="57"/>
      <x:c r="J4" s="57"/>
    </x:row>
    <x:row r="5">
      <x:c r="B5" s="55"/>
      <x:c r="C5" s="55"/>
      <x:c r="D5" s="55"/>
      <x:c r="E5" s="55"/>
      <x:c r="F5" s="55"/>
      <x:c r="G5" s="55"/>
      <x:c r="H5" s="55"/>
      <x:c r="I5" s="55"/>
      <x:c r="J5" s="55"/>
    </x:row>
    <x:row r="6">
      <x:c r="B6" s="15" t="str">
        <x:v>ID</x:v>
      </x:c>
      <x:c r="C6" s="16" t="str">
        <x:v>Ordinal</x:v>
      </x:c>
      <x:c r="D6" s="16" t="str">
        <x:v>Object</x:v>
      </x:c>
      <x:c r="E6" s="16" t="str">
        <x:v>Earliest packet state</x:v>
      </x:c>
      <x:c r="F6" s="16" t="str">
        <x:v>Requirement</x:v>
      </x:c>
      <x:c r="G6" s="16" t="str">
        <x:v>Planning state</x:v>
      </x:c>
      <x:c r="H6" s="55"/>
      <x:c r="I6" s="55"/>
      <x:c r="J6" s="55"/>
    </x:row>
    <x:row r="7" ht="37" customHeight="1">
      <x:c r="B7" s="65" t="str">
        <x:v>PK01</x:v>
      </x:c>
      <x:c r="C7" s="66" t="n">
        <x:v>1</x:v>
      </x:c>
      <x:c r="D7" s="66" t="str">
        <x:v>requirement and decision-rule baseline</x:v>
      </x:c>
      <x:c r="E7" s="66" t="str">
        <x:v>SEALED_PRE</x:v>
      </x:c>
      <x:c r="F7" s="66" t="str">
        <x:v>REQUIRED</x:v>
      </x:c>
      <x:c r="G7" s="68" t="str">
        <x:v>PASS</x:v>
      </x:c>
      <x:c r="H7" s="55"/>
      <x:c r="I7" s="55"/>
      <x:c r="J7" s="55"/>
    </x:row>
    <x:row r="8" ht="37" customHeight="1">
      <x:c r="B8" s="65" t="str">
        <x:v>PK02</x:v>
      </x:c>
      <x:c r="C8" s="66" t="n">
        <x:v>2</x:v>
      </x:c>
      <x:c r="D8" s="66" t="str">
        <x:v>fixture configuration and mounted survey</x:v>
      </x:c>
      <x:c r="E8" s="66" t="str">
        <x:v>SEALED_PRE</x:v>
      </x:c>
      <x:c r="F8" s="66" t="str">
        <x:v>REQUIRED</x:v>
      </x:c>
      <x:c r="G8" s="68" t="str">
        <x:v>PASS</x:v>
      </x:c>
      <x:c r="H8" s="55"/>
      <x:c r="I8" s="55"/>
      <x:c r="J8" s="55"/>
    </x:row>
    <x:row r="9" ht="37" customHeight="1">
      <x:c r="B9" s="65" t="str">
        <x:v>PK03</x:v>
      </x:c>
      <x:c r="C9" s="66" t="n">
        <x:v>3</x:v>
      </x:c>
      <x:c r="D9" s="66" t="str">
        <x:v>article configuration and root ancestry</x:v>
      </x:c>
      <x:c r="E9" s="66" t="str">
        <x:v>SEALED_PRE</x:v>
      </x:c>
      <x:c r="F9" s="66" t="str">
        <x:v>REQUIRED</x:v>
      </x:c>
      <x:c r="G9" s="68" t="str">
        <x:v>PASS</x:v>
      </x:c>
      <x:c r="H9" s="55"/>
      <x:c r="I9" s="55"/>
      <x:c r="J9" s="55"/>
    </x:row>
    <x:row r="10" ht="37" customHeight="1">
      <x:c r="B10" s="65" t="str">
        <x:v>PK04</x:v>
      </x:c>
      <x:c r="C10" s="66" t="n">
        <x:v>4</x:v>
      </x:c>
      <x:c r="D10" s="66" t="str">
        <x:v>reference and calibration package</x:v>
      </x:c>
      <x:c r="E10" s="66" t="str">
        <x:v>SEALED_PRE</x:v>
      </x:c>
      <x:c r="F10" s="66" t="str">
        <x:v>REQUIRED</x:v>
      </x:c>
      <x:c r="G10" s="68" t="str">
        <x:v>PASS</x:v>
      </x:c>
      <x:c r="H10" s="55"/>
      <x:c r="I10" s="55"/>
      <x:c r="J10" s="55"/>
    </x:row>
    <x:row r="11" ht="37" customHeight="1">
      <x:c r="B11" s="65" t="str">
        <x:v>PK05</x:v>
      </x:c>
      <x:c r="C11" s="66" t="n">
        <x:v>5</x:v>
      </x:c>
      <x:c r="D11" s="66" t="str">
        <x:v>randomization record</x:v>
      </x:c>
      <x:c r="E11" s="66" t="str">
        <x:v>SEALED_PRE</x:v>
      </x:c>
      <x:c r="F11" s="66" t="str">
        <x:v>REQUIRED</x:v>
      </x:c>
      <x:c r="G11" s="68" t="str">
        <x:v>PASS</x:v>
      </x:c>
      <x:c r="H11" s="55"/>
      <x:c r="I11" s="55"/>
      <x:c r="J11" s="55"/>
    </x:row>
    <x:row r="12" ht="37" customHeight="1">
      <x:c r="B12" s="65" t="str">
        <x:v>PK06</x:v>
      </x:c>
      <x:c r="C12" s="66" t="n">
        <x:v>6</x:v>
      </x:c>
      <x:c r="D12" s="66" t="str">
        <x:v>safety permit and stop boundaries</x:v>
      </x:c>
      <x:c r="E12" s="66" t="str">
        <x:v>SEALED_PRE</x:v>
      </x:c>
      <x:c r="F12" s="66" t="str">
        <x:v>REQUIRED</x:v>
      </x:c>
      <x:c r="G12" s="68" t="str">
        <x:v>PASS</x:v>
      </x:c>
      <x:c r="H12" s="55"/>
      <x:c r="I12" s="55"/>
      <x:c r="J12" s="55"/>
    </x:row>
    <x:row r="13" ht="37" customHeight="1">
      <x:c r="B13" s="65" t="str">
        <x:v>PK07</x:v>
      </x:c>
      <x:c r="C13" s="66" t="n">
        <x:v>7</x:v>
      </x:c>
      <x:c r="D13" s="66" t="str">
        <x:v>blind-manifest commitment</x:v>
      </x:c>
      <x:c r="E13" s="66" t="str">
        <x:v>SEALED_PRE</x:v>
      </x:c>
      <x:c r="F13" s="66" t="str">
        <x:v>REQUIRED</x:v>
      </x:c>
      <x:c r="G13" s="68" t="str">
        <x:v>PASS</x:v>
      </x:c>
      <x:c r="H13" s="55"/>
      <x:c r="I13" s="55"/>
      <x:c r="J13" s="55"/>
    </x:row>
    <x:row r="14" ht="37" customHeight="1">
      <x:c r="B14" s="65" t="str">
        <x:v>PK08</x:v>
      </x:c>
      <x:c r="C14" s="66" t="n">
        <x:v>8</x:v>
      </x:c>
      <x:c r="D14" s="66" t="str">
        <x:v>pre-run calibration and blank state</x:v>
      </x:c>
      <x:c r="E14" s="66" t="str">
        <x:v>SEALED_PRE</x:v>
      </x:c>
      <x:c r="F14" s="66" t="str">
        <x:v>REQUIRED</x:v>
      </x:c>
      <x:c r="G14" s="68" t="str">
        <x:v>PASS</x:v>
      </x:c>
      <x:c r="H14" s="55"/>
      <x:c r="I14" s="55"/>
      <x:c r="J14" s="55"/>
    </x:row>
    <x:row r="15" ht="37" customHeight="1">
      <x:c r="B15" s="65" t="str">
        <x:v>PK09</x:v>
      </x:c>
      <x:c r="C15" s="66" t="n">
        <x:v>9</x:v>
      </x:c>
      <x:c r="D15" s="66" t="str">
        <x:v>command stream</x:v>
      </x:c>
      <x:c r="E15" s="66" t="str">
        <x:v>EXECUTING</x:v>
      </x:c>
      <x:c r="F15" s="66" t="str">
        <x:v>REQUIRED</x:v>
      </x:c>
      <x:c r="G15" s="68" t="str">
        <x:v>PASS</x:v>
      </x:c>
      <x:c r="H15" s="55"/>
      <x:c r="I15" s="55"/>
      <x:c r="J15" s="55"/>
    </x:row>
    <x:row r="16" ht="37" customHeight="1">
      <x:c r="B16" s="65" t="str">
        <x:v>PK10</x:v>
      </x:c>
      <x:c r="C16" s="66" t="n">
        <x:v>10</x:v>
      </x:c>
      <x:c r="D16" s="66" t="str">
        <x:v>two raw independent originals</x:v>
      </x:c>
      <x:c r="E16" s="66" t="str">
        <x:v>EXECUTING</x:v>
      </x:c>
      <x:c r="F16" s="66" t="str">
        <x:v>REQUIRED</x:v>
      </x:c>
      <x:c r="G16" s="68" t="str">
        <x:v>PASS</x:v>
      </x:c>
      <x:c r="H16" s="55"/>
      <x:c r="I16" s="55"/>
      <x:c r="J16" s="55"/>
    </x:row>
    <x:row r="17" ht="37" customHeight="1">
      <x:c r="B17" s="65" t="str">
        <x:v>PK11</x:v>
      </x:c>
      <x:c r="C17" s="66" t="n">
        <x:v>11</x:v>
      </x:c>
      <x:c r="D17" s="66" t="str">
        <x:v>builder process original</x:v>
      </x:c>
      <x:c r="E17" s="66" t="str">
        <x:v>EXECUTING</x:v>
      </x:c>
      <x:c r="F17" s="66" t="str">
        <x:v>REQUIRED</x:v>
      </x:c>
      <x:c r="G17" s="68" t="str">
        <x:v>PASS</x:v>
      </x:c>
      <x:c r="H17" s="55"/>
      <x:c r="I17" s="55"/>
      <x:c r="J17" s="55"/>
    </x:row>
    <x:row r="18" ht="37" customHeight="1">
      <x:c r="B18" s="65" t="str">
        <x:v>PK12</x:v>
      </x:c>
      <x:c r="C18" s="66" t="n">
        <x:v>12</x:v>
      </x:c>
      <x:c r="D18" s="66" t="str">
        <x:v>three-clock ledger</x:v>
      </x:c>
      <x:c r="E18" s="66" t="str">
        <x:v>EXECUTING</x:v>
      </x:c>
      <x:c r="F18" s="66" t="str">
        <x:v>REQUIRED</x:v>
      </x:c>
      <x:c r="G18" s="68" t="str">
        <x:v>PASS</x:v>
      </x:c>
      <x:c r="H18" s="55"/>
      <x:c r="I18" s="55"/>
      <x:c r="J18" s="55"/>
    </x:row>
    <x:row r="19" ht="37" customHeight="1">
      <x:c r="B19" s="65" t="str">
        <x:v>PK13</x:v>
      </x:c>
      <x:c r="C19" s="66" t="n">
        <x:v>13</x:v>
      </x:c>
      <x:c r="D19" s="66" t="str">
        <x:v>materials, energy, water and resource ledger</x:v>
      </x:c>
      <x:c r="E19" s="66" t="str">
        <x:v>EXECUTING</x:v>
      </x:c>
      <x:c r="F19" s="66" t="str">
        <x:v>REQUIRED</x:v>
      </x:c>
      <x:c r="G19" s="68" t="str">
        <x:v>PASS</x:v>
      </x:c>
      <x:c r="H19" s="55"/>
      <x:c r="I19" s="55"/>
      <x:c r="J19" s="55"/>
    </x:row>
    <x:row r="20" ht="37" customHeight="1">
      <x:c r="B20" s="65" t="str">
        <x:v>PK14</x:v>
      </x:c>
      <x:c r="C20" s="66" t="n">
        <x:v>14</x:v>
      </x:c>
      <x:c r="D20" s="66" t="str">
        <x:v>sample and custody packet</x:v>
      </x:c>
      <x:c r="E20" s="66" t="str">
        <x:v>EXECUTING</x:v>
      </x:c>
      <x:c r="F20" s="66" t="str">
        <x:v>REQUIRED</x:v>
      </x:c>
      <x:c r="G20" s="68" t="str">
        <x:v>PASS</x:v>
      </x:c>
      <x:c r="H20" s="55"/>
      <x:c r="I20" s="55"/>
      <x:c r="J20" s="55"/>
    </x:row>
    <x:row r="21" ht="37" customHeight="1">
      <x:c r="B21" s="65" t="str">
        <x:v>PK15</x:v>
      </x:c>
      <x:c r="C21" s="66" t="n">
        <x:v>15</x:v>
      </x:c>
      <x:c r="D21" s="66" t="str">
        <x:v>frozen operator and acceptance disposition</x:v>
      </x:c>
      <x:c r="E21" s="66" t="str">
        <x:v>FROZEN_DECISION</x:v>
      </x:c>
      <x:c r="F21" s="66" t="str">
        <x:v>REQUIRED</x:v>
      </x:c>
      <x:c r="G21" s="68" t="str">
        <x:v>PASS</x:v>
      </x:c>
      <x:c r="H21" s="55"/>
      <x:c r="I21" s="55"/>
      <x:c r="J21" s="55"/>
    </x:row>
    <x:row r="22" ht="37" customHeight="1">
      <x:c r="B22" s="65" t="str">
        <x:v>PK16</x:v>
      </x:c>
      <x:c r="C22" s="66" t="n">
        <x:v>16</x:v>
      </x:c>
      <x:c r="D22" s="66" t="str">
        <x:v>unblinded truth package</x:v>
      </x:c>
      <x:c r="E22" s="66" t="str">
        <x:v>UNBLINDED</x:v>
      </x:c>
      <x:c r="F22" s="66" t="str">
        <x:v>REQUIRED</x:v>
      </x:c>
      <x:c r="G22" s="68" t="str">
        <x:v>PASS</x:v>
      </x:c>
      <x:c r="H22" s="55"/>
      <x:c r="I22" s="55"/>
      <x:c r="J22" s="55"/>
    </x:row>
    <x:row r="23" ht="37" customHeight="1">
      <x:c r="B23" s="65" t="str">
        <x:v>PK17</x:v>
      </x:c>
      <x:c r="C23" s="66" t="n">
        <x:v>17</x:v>
      </x:c>
      <x:c r="D23" s="66" t="str">
        <x:v>forensic opening and causal report</x:v>
      </x:c>
      <x:c r="E23" s="66" t="str">
        <x:v>FORENSIC_COMPLETE</x:v>
      </x:c>
      <x:c r="F23" s="66" t="str">
        <x:v>REQUIRED</x:v>
      </x:c>
      <x:c r="G23" s="68" t="str">
        <x:v>PASS</x:v>
      </x:c>
      <x:c r="H23" s="55"/>
      <x:c r="I23" s="55"/>
      <x:c r="J23" s="55"/>
    </x:row>
    <x:row r="24" ht="37" customHeight="1">
      <x:c r="B24" s="70" t="str">
        <x:v>PK18</x:v>
      </x:c>
      <x:c r="C24" s="71" t="n">
        <x:v>18</x:v>
      </x:c>
      <x:c r="D24" s="71" t="str">
        <x:v>deviation record and final admission</x:v>
      </x:c>
      <x:c r="E24" s="71" t="str">
        <x:v>ADMITTED / FAILED / INVALID</x:v>
      </x:c>
      <x:c r="F24" s="71" t="str">
        <x:v>REQUIRED</x:v>
      </x:c>
      <x:c r="G24" s="73" t="str">
        <x:v>PASS</x:v>
      </x:c>
      <x:c r="H24" s="55"/>
      <x:c r="I24" s="55"/>
      <x:c r="J24" s="55"/>
    </x:row>
    <x:row r="25">
      <x:c r="B25" s="55"/>
      <x:c r="C25" s="55"/>
      <x:c r="D25" s="55"/>
      <x:c r="E25" s="55"/>
      <x:c r="F25" s="55"/>
      <x:c r="G25" s="55"/>
      <x:c r="H25" s="55"/>
      <x:c r="I25" s="55"/>
      <x:c r="J25" s="55"/>
    </x:row>
    <x:row r="26">
      <x:c r="B26" s="55"/>
      <x:c r="C26" s="55"/>
      <x:c r="D26" s="55"/>
      <x:c r="E26" s="55"/>
      <x:c r="F26" s="55"/>
      <x:c r="G26" s="55"/>
      <x:c r="H26" s="55"/>
      <x:c r="I26" s="55"/>
      <x:c r="J26" s="55"/>
    </x:row>
    <x:row r="27">
      <x:c r="B27" s="55"/>
      <x:c r="C27" s="55"/>
      <x:c r="D27" s="55"/>
      <x:c r="E27" s="55"/>
      <x:c r="F27" s="55"/>
      <x:c r="G27" s="55"/>
      <x:c r="H27" s="55"/>
      <x:c r="I27" s="55"/>
      <x:c r="J27" s="55"/>
    </x:row>
    <x:row r="28">
      <x:c r="B28" s="58" t="str">
        <x:v>Packet state machine</x:v>
      </x:c>
      <x:c r="C28" s="59" t="str">
        <x:v>Packet state machine</x:v>
      </x:c>
      <x:c r="D28" s="59" t="str">
        <x:v>Packet state machine</x:v>
      </x:c>
      <x:c r="E28" s="59" t="str">
        <x:v>Packet state machine</x:v>
      </x:c>
      <x:c r="F28" s="59" t="str">
        <x:v>Packet state machine</x:v>
      </x:c>
      <x:c r="G28" s="60" t="str">
        <x:v>Packet state machine</x:v>
      </x:c>
      <x:c r="H28" s="55"/>
      <x:c r="I28" s="55"/>
      <x:c r="J28" s="55"/>
    </x:row>
    <x:row r="29">
      <x:c r="B29" s="55" t="str">
        <x:v>DRAFT</x:v>
      </x:c>
      <x:c r="C29" s="55" t="str">
        <x:v>proposal assembled</x:v>
      </x:c>
      <x:c r="D29" s="55"/>
      <x:c r="E29" s="55"/>
      <x:c r="F29" s="55"/>
      <x:c r="G29" s="55"/>
      <x:c r="H29" s="55"/>
      <x:c r="I29" s="55"/>
      <x:c r="J29" s="55"/>
    </x:row>
    <x:row r="30">
      <x:c r="B30" s="55" t="str">
        <x:v>SEALED_PRE</x:v>
      </x:c>
      <x:c r="C30" s="55" t="str">
        <x:v>pre-event objects frozen</x:v>
      </x:c>
      <x:c r="D30" s="55"/>
      <x:c r="E30" s="55"/>
      <x:c r="F30" s="55"/>
      <x:c r="G30" s="55"/>
      <x:c r="H30" s="55"/>
      <x:c r="I30" s="55"/>
      <x:c r="J30" s="55"/>
    </x:row>
    <x:row r="31">
      <x:c r="B31" s="55" t="str">
        <x:v>EXECUTING</x:v>
      </x:c>
      <x:c r="C31" s="55" t="str">
        <x:v>native event records append</x:v>
      </x:c>
      <x:c r="D31" s="55"/>
      <x:c r="E31" s="55"/>
      <x:c r="F31" s="55"/>
      <x:c r="G31" s="55"/>
      <x:c r="H31" s="55"/>
      <x:c r="I31" s="55"/>
      <x:c r="J31" s="55"/>
    </x:row>
    <x:row r="32">
      <x:c r="B32" s="55" t="str">
        <x:v>FROZEN_DECISION</x:v>
      </x:c>
      <x:c r="C32" s="55" t="str">
        <x:v>initial disposition locked</x:v>
      </x:c>
      <x:c r="D32" s="55"/>
      <x:c r="E32" s="55"/>
      <x:c r="F32" s="55"/>
      <x:c r="G32" s="55"/>
      <x:c r="H32" s="55"/>
      <x:c r="I32" s="55"/>
      <x:c r="J32" s="55"/>
    </x:row>
    <x:row r="33">
      <x:c r="B33" s="55" t="str">
        <x:v>UNBLINDED</x:v>
      </x:c>
      <x:c r="C33" s="55" t="str">
        <x:v>truth released</x:v>
      </x:c>
      <x:c r="D33" s="55"/>
      <x:c r="E33" s="55"/>
      <x:c r="F33" s="55"/>
      <x:c r="G33" s="55"/>
      <x:c r="H33" s="55"/>
      <x:c r="I33" s="55"/>
      <x:c r="J33" s="55"/>
    </x:row>
    <x:row r="34">
      <x:c r="B34" s="55" t="str">
        <x:v>FORENSIC_COMPLETE</x:v>
      </x:c>
      <x:c r="C34" s="55" t="str">
        <x:v>opening reconciled</x:v>
      </x:c>
      <x:c r="D34" s="55"/>
      <x:c r="E34" s="55"/>
      <x:c r="F34" s="55"/>
      <x:c r="G34" s="55"/>
      <x:c r="H34" s="55"/>
      <x:c r="I34" s="55"/>
      <x:c r="J34" s="55"/>
    </x:row>
    <x:row r="35">
      <x:c r="B35" s="55" t="str">
        <x:v>terminal</x:v>
      </x:c>
      <x:c r="C35" s="55" t="str">
        <x:v>ADMITTED, FAILED or INVALID</x:v>
      </x:c>
      <x:c r="D35" s="55"/>
      <x:c r="E35" s="55"/>
      <x:c r="F35" s="55"/>
      <x:c r="G35" s="55"/>
      <x:c r="H35" s="55"/>
      <x:c r="I35" s="55"/>
      <x:c r="J35" s="55"/>
    </x:row>
    <x:row r="36">
      <x:c r="B36" s="55"/>
      <x:c r="C36" s="55"/>
      <x:c r="D36" s="55"/>
      <x:c r="E36" s="55"/>
      <x:c r="F36" s="55"/>
      <x:c r="G36" s="55"/>
      <x:c r="H36" s="55"/>
      <x:c r="I36" s="55"/>
      <x:c r="J36" s="55"/>
    </x:row>
    <x:row r="37">
      <x:c r="B37" s="55" t="str">
        <x:v>CONTROL</x:v>
      </x:c>
      <x:c r="C37" s="55" t="str">
        <x:v>Packet content</x:v>
      </x:c>
      <x:c r="D37" s="55" t="str">
        <x:f>IF(AND(COUNTA(B7:B24)='Control Inputs'!D63,COUNTIF(G7:G24,"PASS")=18),"PASS","FAIL")</x:f>
        <x:v>PASS</x:v>
      </x:c>
      <x:c r="E37" s="55"/>
      <x:c r="F37" s="55"/>
      <x:c r="G37" s="55"/>
      <x:c r="H37" s="55"/>
      <x:c r="I37" s="55"/>
      <x:c r="J37" s="55"/>
    </x:row>
  </x:sheetData>
  <x:mergeCells>
    <x:mergeCell ref="B3:J3"/>
    <x:mergeCell ref="B28:G28"/>
  </x:mergeCells>
  <x:conditionalFormatting sqref="G7:G24">
    <x:cfRule type="containsText" dxfId="352" priority="1" operator="containsText" text="FAIL"/>
    <x:cfRule type="containsText" dxfId="353" priority="2" operator="containsText" text="BLOCKED"/>
    <x:cfRule type="containsText" dxfId="354" priority="3" operator="containsText" text="HOLD"/>
    <x:cfRule type="containsText" dxfId="355" priority="4" operator="containsText" text="OPEN"/>
    <x:cfRule type="containsText" dxfId="356" priority="5" operator="containsText" text="UNTESTED"/>
    <x:cfRule type="containsText" dxfId="357" priority="6" operator="containsText" text="INDETERMINATE"/>
    <x:cfRule type="containsText" dxfId="358" priority="7" operator="containsText" text="INVALID"/>
    <x:cfRule type="containsText" dxfId="359" priority="8" operator="containsText" text="PASS"/>
    <x:cfRule type="containsText" dxfId="360" priority="9" operator="containsText" text="CLOSED"/>
    <x:cfRule type="containsText" dxfId="361" priority="10" operator="containsText" text="READY"/>
    <x:cfRule type="containsText" dxfId="362" priority="11" operator="containsText" text="AUTHORIZED"/>
    <x:cfRule type="containsText" dxfId="363" priority="12" operator="containsText" text="PLANNING PASS"/>
    <x:cfRule type="containsText" dxfId="364" priority="13" operator="containsText" text="COMPLETE"/>
    <x:cfRule type="containsText" dxfId="365" priority="14" operator="containsText" text="ACCEPTED"/>
    <x:cfRule type="containsText" dxfId="366" priority="15" operator="containsText" text="ADMITTED"/>
    <x:cfRule type="containsText" dxfId="367" priority="16" operator="containsText" text="RELEASED"/>
  </x:conditionalFormatting>
  <x:conditionalFormatting sqref="D37:D37">
    <x:cfRule type="containsText" dxfId="368" priority="17" operator="containsText" text="FAIL"/>
    <x:cfRule type="containsText" dxfId="369" priority="18" operator="containsText" text="BLOCKED"/>
    <x:cfRule type="containsText" dxfId="370" priority="19" operator="containsText" text="HOLD"/>
    <x:cfRule type="containsText" dxfId="371" priority="20" operator="containsText" text="OPEN"/>
    <x:cfRule type="containsText" dxfId="372" priority="21" operator="containsText" text="UNTESTED"/>
    <x:cfRule type="containsText" dxfId="373" priority="22" operator="containsText" text="INDETERMINATE"/>
    <x:cfRule type="containsText" dxfId="374" priority="23" operator="containsText" text="INVALID"/>
    <x:cfRule type="containsText" dxfId="375" priority="24" operator="containsText" text="PASS"/>
    <x:cfRule type="containsText" dxfId="376" priority="25" operator="containsText" text="CLOSED"/>
    <x:cfRule type="containsText" dxfId="377" priority="26" operator="containsText" text="READY"/>
    <x:cfRule type="containsText" dxfId="378" priority="27" operator="containsText" text="AUTHORIZED"/>
    <x:cfRule type="containsText" dxfId="379" priority="28" operator="containsText" text="PLANNING PASS"/>
    <x:cfRule type="containsText" dxfId="380" priority="29" operator="containsText" text="COMPLETE"/>
    <x:cfRule type="containsText" dxfId="381" priority="30" operator="containsText" text="ACCEPTED"/>
    <x:cfRule type="containsText" dxfId="382" priority="31" operator="containsText" text="ADMITTED"/>
    <x:cfRule type="containsText" dxfId="383" priority="32" operator="containsText" text="RELEASED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B8C7D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2" hidden="0" customWidth="1"/>
    <x:col min="3" max="3" width="34" hidden="0" customWidth="1"/>
    <x:col min="4" max="4" width="38" hidden="0" customWidth="1"/>
    <x:col min="5" max="5" width="39" hidden="0" customWidth="1"/>
    <x:col min="6" max="6" width="16" hidden="0" customWidth="1"/>
  </x:cols>
  <x:sheetData>
    <x:row r="2">
      <x:c r="B2" s="1" t="str">
        <x:v>Eighteen-transition separation of powers</x:v>
      </x:c>
      <x:c r="C2" s="55"/>
      <x:c r="D2" s="55"/>
      <x:c r="E2" s="55"/>
      <x:c r="F2" s="55"/>
      <x:c r="G2" s="55"/>
      <x:c r="H2" s="55"/>
      <x:c r="I2" s="55"/>
      <x:c r="J2" s="55"/>
    </x:row>
    <x:row r="3">
      <x:c r="B3" s="2" t="str">
        <x:v>Emergency safety power can stop any event but cannot award acceptance credit.</x:v>
      </x:c>
      <x:c r="C3" s="55"/>
      <x:c r="D3" s="55"/>
      <x:c r="E3" s="55"/>
      <x:c r="F3" s="55"/>
      <x:c r="G3" s="55"/>
      <x:c r="H3" s="55"/>
      <x:c r="I3" s="55"/>
      <x:c r="J3" s="55"/>
    </x:row>
    <x:row r="4">
      <x:c r="B4" s="57"/>
      <x:c r="C4" s="57"/>
      <x:c r="D4" s="57"/>
      <x:c r="E4" s="57"/>
      <x:c r="F4" s="57"/>
      <x:c r="G4" s="57"/>
      <x:c r="H4" s="57"/>
      <x:c r="I4" s="57"/>
      <x:c r="J4" s="57"/>
    </x:row>
    <x:row r="5">
      <x:c r="B5" s="55"/>
      <x:c r="C5" s="55"/>
      <x:c r="D5" s="55"/>
      <x:c r="E5" s="55"/>
      <x:c r="F5" s="55"/>
      <x:c r="G5" s="55"/>
      <x:c r="H5" s="55"/>
      <x:c r="I5" s="55"/>
      <x:c r="J5" s="55"/>
    </x:row>
    <x:row r="6">
      <x:c r="B6" s="15" t="str">
        <x:v>Transition</x:v>
      </x:c>
      <x:c r="C6" s="16" t="str">
        <x:v>Authority</x:v>
      </x:c>
      <x:c r="D6" s="16" t="str">
        <x:v>Action</x:v>
      </x:c>
      <x:c r="E6" s="16" t="str">
        <x:v>Record</x:v>
      </x:c>
      <x:c r="F6" s="16" t="str">
        <x:v>Planning state</x:v>
      </x:c>
      <x:c r="G6" s="55"/>
      <x:c r="H6" s="55"/>
      <x:c r="I6" s="55"/>
      <x:c r="J6" s="55"/>
    </x:row>
    <x:row r="7" ht="36" customHeight="1">
      <x:c r="B7" s="65" t="n">
        <x:v>1</x:v>
      </x:c>
      <x:c r="C7" s="66" t="str">
        <x:v>campaign office</x:v>
      </x:c>
      <x:c r="D7" s="66" t="str">
        <x:v>run proposed</x:v>
      </x:c>
      <x:c r="E7" s="66" t="str">
        <x:v>open matrix position</x:v>
      </x:c>
      <x:c r="F7" s="68" t="str">
        <x:v>PASS</x:v>
      </x:c>
      <x:c r="G7" s="55"/>
      <x:c r="H7" s="55"/>
      <x:c r="I7" s="55"/>
      <x:c r="J7" s="55"/>
    </x:row>
    <x:row r="8" ht="36" customHeight="1">
      <x:c r="B8" s="65" t="n">
        <x:v>2</x:v>
      </x:c>
      <x:c r="C8" s="66" t="str">
        <x:v>requirements authority</x:v>
      </x:c>
      <x:c r="D8" s="66" t="str">
        <x:v>baseline frozen</x:v>
      </x:c>
      <x:c r="E8" s="66" t="str">
        <x:v>signed requirement and rule</x:v>
      </x:c>
      <x:c r="F8" s="68" t="str">
        <x:v>PASS</x:v>
      </x:c>
      <x:c r="G8" s="55"/>
      <x:c r="H8" s="55"/>
      <x:c r="I8" s="55"/>
      <x:c r="J8" s="55"/>
    </x:row>
    <x:row r="9" ht="36" customHeight="1">
      <x:c r="B9" s="65" t="n">
        <x:v>3</x:v>
      </x:c>
      <x:c r="C9" s="66" t="str">
        <x:v>configuration authority</x:v>
      </x:c>
      <x:c r="D9" s="66" t="str">
        <x:v>fixture/article baselines sealed</x:v>
      </x:c>
      <x:c r="E9" s="66" t="str">
        <x:v>configuration commitment</x:v>
      </x:c>
      <x:c r="F9" s="68" t="str">
        <x:v>PASS</x:v>
      </x:c>
      <x:c r="G9" s="55"/>
      <x:c r="H9" s="55"/>
      <x:c r="I9" s="55"/>
      <x:c r="J9" s="55"/>
    </x:row>
    <x:row r="10" ht="36" customHeight="1">
      <x:c r="B10" s="65" t="n">
        <x:v>4</x:v>
      </x:c>
      <x:c r="C10" s="66" t="str">
        <x:v>metrology authority</x:v>
      </x:c>
      <x:c r="D10" s="66" t="str">
        <x:v>references accepted</x:v>
      </x:c>
      <x:c r="E10" s="66" t="str">
        <x:v>calibration acceptance</x:v>
      </x:c>
      <x:c r="F10" s="68" t="str">
        <x:v>PASS</x:v>
      </x:c>
      <x:c r="G10" s="55"/>
      <x:c r="H10" s="55"/>
      <x:c r="I10" s="55"/>
      <x:c r="J10" s="55"/>
    </x:row>
    <x:row r="11" ht="36" customHeight="1">
      <x:c r="B11" s="65" t="n">
        <x:v>5</x:v>
      </x:c>
      <x:c r="C11" s="66" t="str">
        <x:v>sanitary control authority</x:v>
      </x:c>
      <x:c r="D11" s="66" t="str">
        <x:v>blanks/recovery ready</x:v>
      </x:c>
      <x:c r="E11" s="66" t="str">
        <x:v>water readiness</x:v>
      </x:c>
      <x:c r="F11" s="68" t="str">
        <x:v>PASS</x:v>
      </x:c>
      <x:c r="G11" s="55"/>
      <x:c r="H11" s="55"/>
      <x:c r="I11" s="55"/>
      <x:c r="J11" s="55"/>
    </x:row>
    <x:row r="12" ht="36" customHeight="1">
      <x:c r="B12" s="65" t="n">
        <x:v>6</x:v>
      </x:c>
      <x:c r="C12" s="66" t="str">
        <x:v>safety authority</x:v>
      </x:c>
      <x:c r="D12" s="66" t="str">
        <x:v>execution permit</x:v>
      </x:c>
      <x:c r="E12" s="66" t="str">
        <x:v>safety permit</x:v>
      </x:c>
      <x:c r="F12" s="68" t="str">
        <x:v>PASS</x:v>
      </x:c>
      <x:c r="G12" s="55"/>
      <x:c r="H12" s="55"/>
      <x:c r="I12" s="55"/>
      <x:c r="J12" s="55"/>
    </x:row>
    <x:row r="13" ht="36" customHeight="1">
      <x:c r="B13" s="65" t="n">
        <x:v>7</x:v>
      </x:c>
      <x:c r="C13" s="66" t="str">
        <x:v>blind-truth authority</x:v>
      </x:c>
      <x:c r="D13" s="66" t="str">
        <x:v>truth commitment sealed</x:v>
      </x:c>
      <x:c r="E13" s="66" t="str">
        <x:v>blind manifest commitment</x:v>
      </x:c>
      <x:c r="F13" s="68" t="str">
        <x:v>PASS</x:v>
      </x:c>
      <x:c r="G13" s="55"/>
      <x:c r="H13" s="55"/>
      <x:c r="I13" s="55"/>
      <x:c r="J13" s="55"/>
    </x:row>
    <x:row r="14" ht="36" customHeight="1">
      <x:c r="B14" s="65" t="n">
        <x:v>8</x:v>
      </x:c>
      <x:c r="C14" s="66" t="str">
        <x:v>custody authority</x:v>
      </x:c>
      <x:c r="D14" s="66" t="str">
        <x:v>article/samples transferred</x:v>
      </x:c>
      <x:c r="E14" s="66" t="str">
        <x:v>custody transition</x:v>
      </x:c>
      <x:c r="F14" s="68" t="str">
        <x:v>PASS</x:v>
      </x:c>
      <x:c r="G14" s="55"/>
      <x:c r="H14" s="55"/>
      <x:c r="I14" s="55"/>
      <x:c r="J14" s="55"/>
    </x:row>
    <x:row r="15" ht="36" customHeight="1">
      <x:c r="B15" s="65" t="n">
        <x:v>9</x:v>
      </x:c>
      <x:c r="C15" s="66" t="str">
        <x:v>time authority</x:v>
      </x:c>
      <x:c r="D15" s="66" t="str">
        <x:v>independent clocks armed</x:v>
      </x:c>
      <x:c r="E15" s="66" t="str">
        <x:v>clock-start ledger</x:v>
      </x:c>
      <x:c r="F15" s="68" t="str">
        <x:v>PASS</x:v>
      </x:c>
      <x:c r="G15" s="55"/>
      <x:c r="H15" s="55"/>
      <x:c r="I15" s="55"/>
      <x:c r="J15" s="55"/>
    </x:row>
    <x:row r="16" ht="36" customHeight="1">
      <x:c r="B16" s="65" t="n">
        <x:v>10</x:v>
      </x:c>
      <x:c r="C16" s="66" t="str">
        <x:v>run conductor</x:v>
      </x:c>
      <x:c r="D16" s="66" t="str">
        <x:v>fixture armed</x:v>
      </x:c>
      <x:c r="E16" s="66" t="str">
        <x:v>execution record</x:v>
      </x:c>
      <x:c r="F16" s="68" t="str">
        <x:v>PASS</x:v>
      </x:c>
      <x:c r="G16" s="55"/>
      <x:c r="H16" s="55"/>
      <x:c r="I16" s="55"/>
      <x:c r="J16" s="55"/>
    </x:row>
    <x:row r="17" ht="36" customHeight="1">
      <x:c r="B17" s="65" t="n">
        <x:v>11</x:v>
      </x:c>
      <x:c r="C17" s="66" t="str">
        <x:v>stimulus authority</x:v>
      </x:c>
      <x:c r="D17" s="66" t="str">
        <x:v>event initiated</x:v>
      </x:c>
      <x:c r="E17" s="66" t="str">
        <x:v>command and observation marker</x:v>
      </x:c>
      <x:c r="F17" s="68" t="str">
        <x:v>PASS</x:v>
      </x:c>
      <x:c r="G17" s="55"/>
      <x:c r="H17" s="55"/>
      <x:c r="I17" s="55"/>
      <x:c r="J17" s="55"/>
    </x:row>
    <x:row r="18" ht="36" customHeight="1">
      <x:c r="B18" s="65" t="n">
        <x:v>12</x:v>
      </x:c>
      <x:c r="C18" s="66" t="str">
        <x:v>safety authority</x:v>
      </x:c>
      <x:c r="D18" s="66" t="str">
        <x:v>safe recovery declared</x:v>
      </x:c>
      <x:c r="E18" s="66" t="str">
        <x:v>safe-state record</x:v>
      </x:c>
      <x:c r="F18" s="68" t="str">
        <x:v>PASS</x:v>
      </x:c>
      <x:c r="G18" s="55"/>
      <x:c r="H18" s="55"/>
      <x:c r="I18" s="55"/>
      <x:c r="J18" s="55"/>
    </x:row>
    <x:row r="19" ht="36" customHeight="1">
      <x:c r="B19" s="65" t="n">
        <x:v>13</x:v>
      </x:c>
      <x:c r="C19" s="66" t="str">
        <x:v>acceptance authority</x:v>
      </x:c>
      <x:c r="D19" s="66" t="str">
        <x:v>disposition frozen</x:v>
      </x:c>
      <x:c r="E19" s="66" t="str">
        <x:v>pre-unblind decision</x:v>
      </x:c>
      <x:c r="F19" s="68" t="str">
        <x:v>PASS</x:v>
      </x:c>
      <x:c r="G19" s="55"/>
      <x:c r="H19" s="55"/>
      <x:c r="I19" s="55"/>
      <x:c r="J19" s="55"/>
    </x:row>
    <x:row r="20" ht="36" customHeight="1">
      <x:c r="B20" s="65" t="n">
        <x:v>14</x:v>
      </x:c>
      <x:c r="C20" s="66" t="str">
        <x:v>evidence and witness authorities</x:v>
      </x:c>
      <x:c r="D20" s="66" t="str">
        <x:v>two originals sealed</x:v>
      </x:c>
      <x:c r="E20" s="66" t="str">
        <x:v>dual manifest</x:v>
      </x:c>
      <x:c r="F20" s="68" t="str">
        <x:v>PASS</x:v>
      </x:c>
      <x:c r="G20" s="55"/>
      <x:c r="H20" s="55"/>
      <x:c r="I20" s="55"/>
      <x:c r="J20" s="55"/>
    </x:row>
    <x:row r="21" ht="36" customHeight="1">
      <x:c r="B21" s="65" t="n">
        <x:v>15</x:v>
      </x:c>
      <x:c r="C21" s="66" t="str">
        <x:v>sanitary and receiver authorities</x:v>
      </x:c>
      <x:c r="D21" s="66" t="str">
        <x:v>water disposition</x:v>
      </x:c>
      <x:c r="E21" s="66" t="str">
        <x:v>joint release or hold</x:v>
      </x:c>
      <x:c r="F21" s="68" t="str">
        <x:v>PASS</x:v>
      </x:c>
      <x:c r="G21" s="55"/>
      <x:c r="H21" s="55"/>
      <x:c r="I21" s="55"/>
      <x:c r="J21" s="55"/>
    </x:row>
    <x:row r="22" ht="36" customHeight="1">
      <x:c r="B22" s="65" t="n">
        <x:v>16</x:v>
      </x:c>
      <x:c r="C22" s="66" t="str">
        <x:v>blind-truth authority</x:v>
      </x:c>
      <x:c r="D22" s="66" t="str">
        <x:v>truth unsealed</x:v>
      </x:c>
      <x:c r="E22" s="66" t="str">
        <x:v>truth record</x:v>
      </x:c>
      <x:c r="F22" s="68" t="str">
        <x:v>PASS</x:v>
      </x:c>
      <x:c r="G22" s="55"/>
      <x:c r="H22" s="55"/>
      <x:c r="I22" s="55"/>
      <x:c r="J22" s="55"/>
    </x:row>
    <x:row r="23" ht="36" customHeight="1">
      <x:c r="B23" s="65" t="n">
        <x:v>17</x:v>
      </x:c>
      <x:c r="C23" s="66" t="str">
        <x:v>forensic authority</x:v>
      </x:c>
      <x:c r="D23" s="66" t="str">
        <x:v>opening completed</x:v>
      </x:c>
      <x:c r="E23" s="66" t="str">
        <x:v>causal reconciliation</x:v>
      </x:c>
      <x:c r="F23" s="68" t="str">
        <x:v>PASS</x:v>
      </x:c>
      <x:c r="G23" s="55"/>
      <x:c r="H23" s="55"/>
      <x:c r="I23" s="55"/>
      <x:c r="J23" s="55"/>
    </x:row>
    <x:row r="24" ht="36" customHeight="1">
      <x:c r="B24" s="70" t="n">
        <x:v>18</x:v>
      </x:c>
      <x:c r="C24" s="71" t="str">
        <x:v>evidence board</x:v>
      </x:c>
      <x:c r="D24" s="71" t="str">
        <x:v>final ledger admission</x:v>
      </x:c>
      <x:c r="E24" s="71" t="str">
        <x:v>ADMITTED / FAILED / INVALID</x:v>
      </x:c>
      <x:c r="F24" s="73" t="str">
        <x:v>PASS</x:v>
      </x:c>
      <x:c r="G24" s="55"/>
      <x:c r="H24" s="55"/>
      <x:c r="I24" s="55"/>
      <x:c r="J24" s="55"/>
    </x:row>
    <x:row r="25">
      <x:c r="B25" s="55"/>
      <x:c r="C25" s="55"/>
      <x:c r="D25" s="55"/>
      <x:c r="E25" s="55"/>
      <x:c r="F25" s="55"/>
      <x:c r="G25" s="55"/>
      <x:c r="H25" s="55"/>
      <x:c r="I25" s="55"/>
      <x:c r="J25" s="55"/>
    </x:row>
    <x:row r="26">
      <x:c r="B26" s="55"/>
      <x:c r="C26" s="55"/>
      <x:c r="D26" s="55"/>
      <x:c r="E26" s="55"/>
      <x:c r="F26" s="55"/>
      <x:c r="G26" s="55"/>
      <x:c r="H26" s="55"/>
      <x:c r="I26" s="55"/>
      <x:c r="J26" s="55"/>
    </x:row>
    <x:row r="27">
      <x:c r="B27" s="55"/>
      <x:c r="C27" s="55"/>
      <x:c r="D27" s="55"/>
      <x:c r="E27" s="55"/>
      <x:c r="F27" s="55"/>
      <x:c r="G27" s="55"/>
      <x:c r="H27" s="55"/>
      <x:c r="I27" s="55"/>
      <x:c r="J27" s="55"/>
    </x:row>
    <x:row r="28">
      <x:c r="B28" s="55" t="str">
        <x:v>CONTROL</x:v>
      </x:c>
      <x:c r="C28" s="55" t="str">
        <x:v>Authority sequence</x:v>
      </x:c>
      <x:c r="D28" s="55" t="str">
        <x:f>IF(AND(COUNTA(B7:B24)='Control Inputs'!D62,COUNTIF(F7:F24,"PASS")=18),"PASS","FAIL")</x:f>
        <x:v>PASS</x:v>
      </x:c>
      <x:c r="E28" s="55"/>
      <x:c r="F28" s="55"/>
      <x:c r="G28" s="55"/>
      <x:c r="H28" s="55"/>
      <x:c r="I28" s="55"/>
      <x:c r="J28" s="55"/>
    </x:row>
  </x:sheetData>
  <x:mergeCells>
    <x:mergeCell ref="B3:J3"/>
  </x:mergeCells>
  <x:conditionalFormatting sqref="F7:F24">
    <x:cfRule type="containsText" dxfId="384" priority="1" operator="containsText" text="FAIL"/>
    <x:cfRule type="containsText" dxfId="385" priority="2" operator="containsText" text="BLOCKED"/>
    <x:cfRule type="containsText" dxfId="386" priority="3" operator="containsText" text="HOLD"/>
    <x:cfRule type="containsText" dxfId="387" priority="4" operator="containsText" text="OPEN"/>
    <x:cfRule type="containsText" dxfId="388" priority="5" operator="containsText" text="UNTESTED"/>
    <x:cfRule type="containsText" dxfId="389" priority="6" operator="containsText" text="INDETERMINATE"/>
    <x:cfRule type="containsText" dxfId="390" priority="7" operator="containsText" text="INVALID"/>
    <x:cfRule type="containsText" dxfId="391" priority="8" operator="containsText" text="PASS"/>
    <x:cfRule type="containsText" dxfId="392" priority="9" operator="containsText" text="CLOSED"/>
    <x:cfRule type="containsText" dxfId="393" priority="10" operator="containsText" text="READY"/>
    <x:cfRule type="containsText" dxfId="394" priority="11" operator="containsText" text="AUTHORIZED"/>
    <x:cfRule type="containsText" dxfId="395" priority="12" operator="containsText" text="PLANNING PASS"/>
    <x:cfRule type="containsText" dxfId="396" priority="13" operator="containsText" text="COMPLETE"/>
    <x:cfRule type="containsText" dxfId="397" priority="14" operator="containsText" text="ACCEPTED"/>
    <x:cfRule type="containsText" dxfId="398" priority="15" operator="containsText" text="ADMITTED"/>
    <x:cfRule type="containsText" dxfId="399" priority="16" operator="containsText" text="RELEASED"/>
  </x:conditionalFormatting>
  <x:conditionalFormatting sqref="D28:D28">
    <x:cfRule type="containsText" dxfId="400" priority="17" operator="containsText" text="FAIL"/>
    <x:cfRule type="containsText" dxfId="401" priority="18" operator="containsText" text="BLOCKED"/>
    <x:cfRule type="containsText" dxfId="402" priority="19" operator="containsText" text="HOLD"/>
    <x:cfRule type="containsText" dxfId="403" priority="20" operator="containsText" text="OPEN"/>
    <x:cfRule type="containsText" dxfId="404" priority="21" operator="containsText" text="UNTESTED"/>
    <x:cfRule type="containsText" dxfId="405" priority="22" operator="containsText" text="INDETERMINATE"/>
    <x:cfRule type="containsText" dxfId="406" priority="23" operator="containsText" text="INVALID"/>
    <x:cfRule type="containsText" dxfId="407" priority="24" operator="containsText" text="PASS"/>
    <x:cfRule type="containsText" dxfId="408" priority="25" operator="containsText" text="CLOSED"/>
    <x:cfRule type="containsText" dxfId="409" priority="26" operator="containsText" text="READY"/>
    <x:cfRule type="containsText" dxfId="410" priority="27" operator="containsText" text="AUTHORIZED"/>
    <x:cfRule type="containsText" dxfId="411" priority="28" operator="containsText" text="PLANNING PASS"/>
    <x:cfRule type="containsText" dxfId="412" priority="29" operator="containsText" text="COMPLETE"/>
    <x:cfRule type="containsText" dxfId="413" priority="30" operator="containsText" text="ACCEPTED"/>
    <x:cfRule type="containsText" dxfId="414" priority="31" operator="containsText" text="ADMITTED"/>
    <x:cfRule type="containsText" dxfId="415" priority="32" operator="containsText" text="RELEASED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B8C7D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35" hidden="0" customWidth="1"/>
    <x:col min="3" max="3" width="13" hidden="0" customWidth="1"/>
    <x:col min="4" max="4" width="45" hidden="0" customWidth="1"/>
    <x:col min="5" max="5" width="44" hidden="0" customWidth="1"/>
    <x:col min="6" max="6" width="33" hidden="0" customWidth="1"/>
    <x:col min="7" max="7" width="39" hidden="0" customWidth="1"/>
    <x:col min="8" max="8" width="45" hidden="0" customWidth="1"/>
    <x:col min="9" max="9" width="16" hidden="0" customWidth="1"/>
  </x:cols>
  <x:sheetData>
    <x:row r="2">
      <x:c r="B2" s="1" t="str">
        <x:v>First credit-bearing event cards</x:v>
      </x:c>
      <x:c r="C2" s="55"/>
      <x:c r="D2" s="55"/>
      <x:c r="E2" s="55"/>
      <x:c r="F2" s="55"/>
      <x:c r="G2" s="55"/>
      <x:c r="H2" s="55"/>
      <x:c r="I2" s="55"/>
    </x:row>
    <x:row r="3">
      <x:c r="B3" s="2" t="str">
        <x:v>The first admitted event proves one complete evidence cycle. It does not qualify a root or establish reliability.</x:v>
      </x:c>
      <x:c r="C3" s="55"/>
      <x:c r="D3" s="55"/>
      <x:c r="E3" s="55"/>
      <x:c r="F3" s="55"/>
      <x:c r="G3" s="55"/>
      <x:c r="H3" s="55"/>
      <x:c r="I3" s="55"/>
    </x:row>
    <x:row r="4">
      <x:c r="B4" s="57"/>
      <x:c r="C4" s="57"/>
      <x:c r="D4" s="57"/>
      <x:c r="E4" s="57"/>
      <x:c r="F4" s="57"/>
      <x:c r="G4" s="57"/>
      <x:c r="H4" s="57"/>
      <x:c r="I4" s="57"/>
    </x:row>
    <x:row r="5">
      <x:c r="B5" s="55"/>
      <x:c r="C5" s="55"/>
      <x:c r="D5" s="55"/>
      <x:c r="E5" s="55"/>
      <x:c r="F5" s="55"/>
      <x:c r="G5" s="55"/>
      <x:c r="H5" s="55"/>
      <x:c r="I5" s="55"/>
    </x:row>
    <x:row r="6">
      <x:c r="B6" s="15" t="str">
        <x:v>Event</x:v>
      </x:c>
      <x:c r="C6" s="16" t="str">
        <x:v>Class</x:v>
      </x:c>
      <x:c r="D6" s="16" t="str">
        <x:v>Declared case</x:v>
      </x:c>
      <x:c r="E6" s="16" t="str">
        <x:v>Root selection</x:v>
      </x:c>
      <x:c r="F6" s="16" t="str">
        <x:v>Fixture prerequisite</x:v>
      </x:c>
      <x:c r="G6" s="16" t="str">
        <x:v>Success object</x:v>
      </x:c>
      <x:c r="H6" s="16" t="str">
        <x:v>Credit limit</x:v>
      </x:c>
      <x:c r="I6" s="16" t="str">
        <x:v>Physical state</x:v>
      </x:c>
    </x:row>
    <x:row r="7" ht="65" customHeight="1">
      <x:c r="B7" s="65" t="str">
        <x:v>FR-C-001</x:v>
      </x:c>
      <x:c r="C7" s="66" t="str">
        <x:v>closure</x:v>
      </x:c>
      <x:c r="D7" s="66" t="str">
        <x:v>declared nominal clean process-window article</x:v>
      </x:c>
      <x:c r="E7" s="66" t="str">
        <x:v>sealed root-balanced draw after commissioning</x:v>
      </x:c>
      <x:c r="F7" s="66" t="str">
        <x:v>16 closure events PASS</x:v>
      </x:c>
      <x:c r="G7" s="66" t="str">
        <x:v>full closure packet and replay</x:v>
      </x:c>
      <x:c r="H7" s="66" t="str">
        <x:v>evidence cycle only; no root qualification</x:v>
      </x:c>
      <x:c r="I7" s="68" t="str">
        <x:v>OPEN</x:v>
      </x:c>
    </x:row>
    <x:row r="8" ht="65" customHeight="1">
      <x:c r="B8" s="70" t="str">
        <x:v>FR-D-001</x:v>
      </x:c>
      <x:c r="C8" s="71" t="str">
        <x:v>damage</x:v>
      </x:c>
      <x:c r="D8" s="71" t="str">
        <x:v>D01 disclosed clean transverse transection</x:v>
      </x:c>
      <x:c r="E8" s="71" t="str">
        <x:v>eligible root drawn after closure prerequisite</x:v>
      </x:c>
      <x:c r="F8" s="71" t="str">
        <x:v>8 events in selected damage cell PASS</x:v>
      </x:c>
      <x:c r="G8" s="71" t="str">
        <x:v>360-minute receiver-release packet</x:v>
      </x:c>
      <x:c r="H8" s="71" t="str">
        <x:v>evidence cycle only; no damage-campaign admission</x:v>
      </x:c>
      <x:c r="I8" s="73" t="str">
        <x:v>OPEN</x:v>
      </x:c>
    </x:row>
    <x:row r="9">
      <x:c r="B9" s="55"/>
      <x:c r="C9" s="55"/>
      <x:c r="D9" s="55"/>
      <x:c r="E9" s="55"/>
      <x:c r="F9" s="55"/>
      <x:c r="G9" s="55"/>
      <x:c r="H9" s="55"/>
      <x:c r="I9" s="55"/>
    </x:row>
    <x:row r="10">
      <x:c r="B10" s="55"/>
      <x:c r="C10" s="55"/>
      <x:c r="D10" s="55"/>
      <x:c r="E10" s="55"/>
      <x:c r="F10" s="55"/>
      <x:c r="G10" s="55"/>
      <x:c r="H10" s="55"/>
      <x:c r="I10" s="55"/>
    </x:row>
    <x:row r="11">
      <x:c r="B11" s="55"/>
      <x:c r="C11" s="55"/>
      <x:c r="D11" s="55"/>
      <x:c r="E11" s="55"/>
      <x:c r="F11" s="55"/>
      <x:c r="G11" s="55"/>
      <x:c r="H11" s="55"/>
      <x:c r="I11" s="55"/>
    </x:row>
    <x:row r="12">
      <x:c r="B12" s="58" t="str">
        <x:v>Non-negotiable first-run conditions</x:v>
      </x:c>
      <x:c r="C12" s="59" t="str">
        <x:v>Non-negotiable first-run conditions</x:v>
      </x:c>
      <x:c r="D12" s="59" t="str">
        <x:v>Non-negotiable first-run conditions</x:v>
      </x:c>
      <x:c r="E12" s="59" t="str">
        <x:v>Non-negotiable first-run conditions</x:v>
      </x:c>
      <x:c r="F12" s="59" t="str">
        <x:v>Non-negotiable first-run conditions</x:v>
      </x:c>
      <x:c r="G12" s="59" t="str">
        <x:v>Non-negotiable first-run conditions</x:v>
      </x:c>
      <x:c r="H12" s="59" t="str">
        <x:v>Non-negotiable first-run conditions</x:v>
      </x:c>
      <x:c r="I12" s="60" t="str">
        <x:v>Non-negotiable first-run conditions</x:v>
      </x:c>
    </x:row>
    <x:row r="13" ht="42" customHeight="1">
      <x:c r="B13" s="55" t="str">
        <x:v>truth timing</x:v>
      </x:c>
      <x:c r="C13" s="62" t="str">
        <x:v>initial disposition frozen before unblinding</x:v>
      </x:c>
      <x:c r="D13" s="62"/>
      <x:c r="E13" s="62"/>
      <x:c r="F13" s="62"/>
      <x:c r="G13" s="62"/>
      <x:c r="H13" s="62"/>
      <x:c r="I13" s="62"/>
    </x:row>
    <x:row r="14" ht="42" customHeight="1">
      <x:c r="B14" s="55" t="str">
        <x:v>command/observation</x:v>
      </x:c>
      <x:c r="C14" s="62" t="str">
        <x:v>both retained; observation governs</x:v>
      </x:c>
      <x:c r="D14" s="62"/>
      <x:c r="E14" s="62"/>
      <x:c r="F14" s="62"/>
      <x:c r="G14" s="62"/>
      <x:c r="H14" s="62"/>
      <x:c r="I14" s="62"/>
    </x:row>
    <x:row r="15" ht="42" customHeight="1">
      <x:c r="B15" s="55" t="str">
        <x:v>clocks</x:v>
      </x:c>
      <x:c r="C15" s="62" t="str">
        <x:v>A and B agree inside bound; C never sole official source</x:v>
      </x:c>
      <x:c r="D15" s="62"/>
      <x:c r="E15" s="62"/>
      <x:c r="F15" s="62"/>
      <x:c r="G15" s="62"/>
      <x:c r="H15" s="62"/>
      <x:c r="I15" s="62"/>
    </x:row>
    <x:row r="16" ht="42" customHeight="1">
      <x:c r="B16" s="55" t="str">
        <x:v>originals</x:v>
      </x:c>
      <x:c r="C16" s="62" t="str">
        <x:v>two locally complete native originals</x:v>
      </x:c>
      <x:c r="D16" s="62"/>
      <x:c r="E16" s="62"/>
      <x:c r="F16" s="62"/>
      <x:c r="G16" s="62"/>
      <x:c r="H16" s="62"/>
      <x:c r="I16" s="62"/>
    </x:row>
    <x:row r="17" ht="42" customHeight="1">
      <x:c r="B17" s="55" t="str">
        <x:v>sanitary</x:v>
      </x:c>
      <x:c r="C17" s="62" t="str">
        <x:v>blank/recovery/custody close before receiver release</x:v>
      </x:c>
      <x:c r="D17" s="62"/>
      <x:c r="E17" s="62"/>
      <x:c r="F17" s="62"/>
      <x:c r="G17" s="62"/>
      <x:c r="H17" s="62"/>
      <x:c r="I17" s="62"/>
    </x:row>
    <x:row r="18" ht="42" customHeight="1">
      <x:c r="B18" s="55" t="str">
        <x:v>forensic</x:v>
      </x:c>
      <x:c r="C18" s="62" t="str">
        <x:v>opening and causal reconciliation complete</x:v>
      </x:c>
      <x:c r="D18" s="62"/>
      <x:c r="E18" s="62"/>
      <x:c r="F18" s="62"/>
      <x:c r="G18" s="62"/>
      <x:c r="H18" s="62"/>
      <x:c r="I18" s="62"/>
    </x:row>
    <x:row r="19" ht="42" customHeight="1">
      <x:c r="B19" s="55" t="str">
        <x:v>credit</x:v>
      </x:c>
      <x:c r="C19" s="62" t="str">
        <x:v>one event only; root campaign remains open</x:v>
      </x:c>
      <x:c r="D19" s="62"/>
      <x:c r="E19" s="62"/>
      <x:c r="F19" s="62"/>
      <x:c r="G19" s="62"/>
      <x:c r="H19" s="62"/>
      <x:c r="I19" s="62"/>
    </x:row>
  </x:sheetData>
  <x:mergeCells>
    <x:mergeCell ref="B3:I3"/>
    <x:mergeCell ref="B12:I12"/>
    <x:mergeCell ref="C13:I13"/>
    <x:mergeCell ref="C14:I14"/>
    <x:mergeCell ref="C15:I15"/>
    <x:mergeCell ref="C16:I16"/>
    <x:mergeCell ref="C17:I17"/>
    <x:mergeCell ref="C18:I18"/>
    <x:mergeCell ref="C19:I19"/>
  </x:mergeCells>
  <x:conditionalFormatting sqref="I7:I8">
    <x:cfRule type="containsText" dxfId="416" priority="1" operator="containsText" text="FAIL"/>
    <x:cfRule type="containsText" dxfId="417" priority="2" operator="containsText" text="BLOCKED"/>
    <x:cfRule type="containsText" dxfId="418" priority="3" operator="containsText" text="HOLD"/>
    <x:cfRule type="containsText" dxfId="419" priority="4" operator="containsText" text="OPEN"/>
    <x:cfRule type="containsText" dxfId="420" priority="5" operator="containsText" text="UNTESTED"/>
    <x:cfRule type="containsText" dxfId="421" priority="6" operator="containsText" text="INDETERMINATE"/>
    <x:cfRule type="containsText" dxfId="422" priority="7" operator="containsText" text="INVALID"/>
    <x:cfRule type="containsText" dxfId="423" priority="8" operator="containsText" text="PASS"/>
    <x:cfRule type="containsText" dxfId="424" priority="9" operator="containsText" text="CLOSED"/>
    <x:cfRule type="containsText" dxfId="425" priority="10" operator="containsText" text="READY"/>
    <x:cfRule type="containsText" dxfId="426" priority="11" operator="containsText" text="AUTHORIZED"/>
    <x:cfRule type="containsText" dxfId="427" priority="12" operator="containsText" text="PLANNING PASS"/>
    <x:cfRule type="containsText" dxfId="428" priority="13" operator="containsText" text="COMPLETE"/>
    <x:cfRule type="containsText" dxfId="429" priority="14" operator="containsText" text="ACCEPTED"/>
    <x:cfRule type="containsText" dxfId="430" priority="15" operator="containsText" text="ADMITTED"/>
    <x:cfRule type="containsText" dxfId="431" priority="16" operator="containsText" text="RELEASED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B8C7D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38" hidden="0" customWidth="1"/>
    <x:col min="4" max="4" width="15" hidden="0" customWidth="1"/>
    <x:col min="5" max="5" width="15" hidden="0" customWidth="1"/>
    <x:col min="6" max="6" width="26" hidden="0" customWidth="1"/>
    <x:col min="7" max="7" width="43" hidden="0" customWidth="1"/>
    <x:col min="8" max="8" width="15" hidden="0" customWidth="1"/>
    <x:col min="9" max="9" width="16" hidden="0" customWidth="1"/>
  </x:cols>
  <x:sheetData>
    <x:row r="2">
      <x:c r="B2" s="1" t="str">
        <x:v>Eighteen-month commissioning schedule</x:v>
      </x:c>
      <x:c r="C2" s="55"/>
      <x:c r="D2" s="55"/>
      <x:c r="E2" s="55"/>
      <x:c r="F2" s="55"/>
      <x:c r="G2" s="55"/>
      <x:c r="H2" s="55"/>
      <x:c r="I2" s="55"/>
      <x:c r="J2" s="55"/>
    </x:row>
    <x:row r="3">
      <x:c r="B3" s="2" t="str">
        <x:v>Overlap follows object dependencies. Later work cannot create earlier evidence retrospectively.</x:v>
      </x:c>
      <x:c r="C3" s="55"/>
      <x:c r="D3" s="55"/>
      <x:c r="E3" s="55"/>
      <x:c r="F3" s="55"/>
      <x:c r="G3" s="55"/>
      <x:c r="H3" s="55"/>
      <x:c r="I3" s="55"/>
      <x:c r="J3" s="55"/>
    </x:row>
    <x:row r="4">
      <x:c r="B4" s="57"/>
      <x:c r="C4" s="57"/>
      <x:c r="D4" s="57"/>
      <x:c r="E4" s="57"/>
      <x:c r="F4" s="57"/>
      <x:c r="G4" s="57"/>
      <x:c r="H4" s="57"/>
      <x:c r="I4" s="57"/>
      <x:c r="J4" s="57"/>
    </x:row>
    <x:row r="5">
      <x:c r="B5" s="55"/>
      <x:c r="C5" s="55"/>
      <x:c r="D5" s="55"/>
      <x:c r="E5" s="55"/>
      <x:c r="F5" s="55"/>
      <x:c r="G5" s="55"/>
      <x:c r="H5" s="55"/>
      <x:c r="I5" s="55"/>
      <x:c r="J5" s="55"/>
    </x:row>
    <x:row r="6">
      <x:c r="B6" s="15" t="str">
        <x:v>WP</x:v>
      </x:c>
      <x:c r="C6" s="16" t="str">
        <x:v>Work package</x:v>
      </x:c>
      <x:c r="D6" s="16" t="str">
        <x:v>Start month</x:v>
      </x:c>
      <x:c r="E6" s="16" t="str">
        <x:v>End month</x:v>
      </x:c>
      <x:c r="F6" s="16" t="str">
        <x:v>Feeds</x:v>
      </x:c>
      <x:c r="G6" s="16" t="str">
        <x:v>Exit object</x:v>
      </x:c>
      <x:c r="H6" s="16" t="str">
        <x:v>Duration</x:v>
      </x:c>
      <x:c r="I6" s="16" t="str">
        <x:v>Planning state</x:v>
      </x:c>
      <x:c r="J6" s="55"/>
    </x:row>
    <x:row r="7" ht="40" customHeight="1">
      <x:c r="B7" s="65" t="str">
        <x:v>FC01</x:v>
      </x:c>
      <x:c r="C7" s="66" t="str">
        <x:v>schema and authority constitution</x:v>
      </x:c>
      <x:c r="D7" s="66" t="n">
        <x:v>1</x:v>
      </x:c>
      <x:c r="E7" s="66" t="n">
        <x:v>3</x:v>
      </x:c>
      <x:c r="F7" s="66" t="str">
        <x:v>FC04; all events</x:v>
      </x:c>
      <x:c r="G7" s="66" t="str">
        <x:v>state machine and separation map</x:v>
      </x:c>
      <x:c r="H7" s="66" t="n">
        <x:v>3</x:v>
      </x:c>
      <x:c r="I7" s="68" t="str">
        <x:v>PASS</x:v>
      </x:c>
      <x:c r="J7" s="55"/>
    </x:row>
    <x:row r="8" ht="40" customHeight="1">
      <x:c r="B8" s="65" t="str">
        <x:v>FC02</x:v>
      </x:c>
      <x:c r="C8" s="66" t="str">
        <x:v>reference-artifact engineering</x:v>
      </x:c>
      <x:c r="D8" s="66" t="n">
        <x:v>2</x:v>
      </x:c>
      <x:c r="E8" s="66" t="n">
        <x:v>6</x:v>
      </x:c>
      <x:c r="F8" s="66" t="str">
        <x:v>FC03; FC05; FC06</x:v>
      </x:c>
      <x:c r="G8" s="66" t="str">
        <x:v>24 accepted build packages</x:v>
      </x:c>
      <x:c r="H8" s="66" t="n">
        <x:v>5</x:v>
      </x:c>
      <x:c r="I8" s="68" t="str">
        <x:v>PASS</x:v>
      </x:c>
      <x:c r="J8" s="55"/>
    </x:row>
    <x:row r="9" ht="40" customHeight="1">
      <x:c r="B9" s="65" t="str">
        <x:v>FC03</x:v>
      </x:c>
      <x:c r="C9" s="66" t="str">
        <x:v>calibration and time transfer</x:v>
      </x:c>
      <x:c r="D9" s="66" t="n">
        <x:v>3</x:v>
      </x:c>
      <x:c r="E9" s="66" t="n">
        <x:v>8</x:v>
      </x:c>
      <x:c r="F9" s="66" t="str">
        <x:v>FC05; FC06; FC07</x:v>
      </x:c>
      <x:c r="G9" s="66" t="str">
        <x:v>operational T0–T3 chain</x:v>
      </x:c>
      <x:c r="H9" s="66" t="n">
        <x:v>6</x:v>
      </x:c>
      <x:c r="I9" s="68" t="str">
        <x:v>PASS</x:v>
      </x:c>
      <x:c r="J9" s="55"/>
    </x:row>
    <x:row r="10" ht="40" customHeight="1">
      <x:c r="B10" s="65" t="str">
        <x:v>FC04</x:v>
      </x:c>
      <x:c r="C10" s="66" t="str">
        <x:v>evidence fabric</x:v>
      </x:c>
      <x:c r="D10" s="66" t="n">
        <x:v>5</x:v>
      </x:c>
      <x:c r="E10" s="66" t="n">
        <x:v>10</x:v>
      </x:c>
      <x:c r="F10" s="66" t="str">
        <x:v>FC05; FC06; FC07</x:v>
      </x:c>
      <x:c r="G10" s="66" t="str">
        <x:v>dual-original offline replay</x:v>
      </x:c>
      <x:c r="H10" s="66" t="n">
        <x:v>6</x:v>
      </x:c>
      <x:c r="I10" s="68" t="str">
        <x:v>PASS</x:v>
      </x:c>
      <x:c r="J10" s="55"/>
    </x:row>
    <x:row r="11" ht="40" customHeight="1">
      <x:c r="B11" s="65" t="str">
        <x:v>FC05</x:v>
      </x:c>
      <x:c r="C11" s="66" t="str">
        <x:v>dry commissioning</x:v>
      </x:c>
      <x:c r="D11" s="66" t="n">
        <x:v>7</x:v>
      </x:c>
      <x:c r="E11" s="66" t="n">
        <x:v>12</x:v>
      </x:c>
      <x:c r="F11" s="66" t="str">
        <x:v>FC07; FC08</x:v>
      </x:c>
      <x:c r="G11" s="66" t="str">
        <x:v>geometry/load/time/data/config events</x:v>
      </x:c>
      <x:c r="H11" s="66" t="n">
        <x:v>6</x:v>
      </x:c>
      <x:c r="I11" s="68" t="str">
        <x:v>PASS</x:v>
      </x:c>
      <x:c r="J11" s="55"/>
    </x:row>
    <x:row r="12" ht="40" customHeight="1">
      <x:c r="B12" s="65" t="str">
        <x:v>FC06</x:v>
      </x:c>
      <x:c r="C12" s="66" t="str">
        <x:v>wet and contamination commissioning</x:v>
      </x:c>
      <x:c r="D12" s="66" t="n">
        <x:v>10</x:v>
      </x:c>
      <x:c r="E12" s="66" t="n">
        <x:v>15</x:v>
      </x:c>
      <x:c r="F12" s="66" t="str">
        <x:v>FC07; FC08</x:v>
      </x:c>
      <x:c r="G12" s="66" t="str">
        <x:v>hydraulic/leak/water/carryover events</x:v>
      </x:c>
      <x:c r="H12" s="66" t="n">
        <x:v>6</x:v>
      </x:c>
      <x:c r="I12" s="68" t="str">
        <x:v>PASS</x:v>
      </x:c>
      <x:c r="J12" s="55"/>
    </x:row>
    <x:row r="13" ht="40" customHeight="1">
      <x:c r="B13" s="65" t="str">
        <x:v>FC07</x:v>
      </x:c>
      <x:c r="C13" s="66" t="str">
        <x:v>denial and invalid-state rehearsals</x:v>
      </x:c>
      <x:c r="D13" s="66" t="n">
        <x:v>13</x:v>
      </x:c>
      <x:c r="E13" s="66" t="n">
        <x:v>16</x:v>
      </x:c>
      <x:c r="F13" s="66" t="str">
        <x:v>FC08</x:v>
      </x:c>
      <x:c r="G13" s="66" t="str">
        <x:v>network/power/clock/custody/abort</x:v>
      </x:c>
      <x:c r="H13" s="66" t="n">
        <x:v>4</x:v>
      </x:c>
      <x:c r="I13" s="68" t="str">
        <x:v>PASS</x:v>
      </x:c>
      <x:c r="J13" s="55"/>
    </x:row>
    <x:row r="14" ht="40" customHeight="1">
      <x:c r="B14" s="70" t="str">
        <x:v>FC08</x:v>
      </x:c>
      <x:c r="C14" s="71" t="str">
        <x:v>first credit-bearing events</x:v>
      </x:c>
      <x:c r="D14" s="71" t="n">
        <x:v>15</x:v>
      </x:c>
      <x:c r="E14" s="71" t="n">
        <x:v>18</x:v>
      </x:c>
      <x:c r="F14" s="71" t="str">
        <x:v>campaign continuation</x:v>
      </x:c>
      <x:c r="G14" s="71" t="str">
        <x:v>FR-C-001 and eligible FR-D-001 packets</x:v>
      </x:c>
      <x:c r="H14" s="71" t="n">
        <x:v>4</x:v>
      </x:c>
      <x:c r="I14" s="73" t="str">
        <x:v>PASS</x:v>
      </x:c>
      <x:c r="J14" s="55"/>
    </x:row>
    <x:row r="15">
      <x:c r="B15" s="55"/>
      <x:c r="C15" s="55"/>
      <x:c r="D15" s="55"/>
      <x:c r="E15" s="55"/>
      <x:c r="F15" s="55"/>
      <x:c r="G15" s="55"/>
      <x:c r="H15" s="55"/>
      <x:c r="I15" s="55"/>
      <x:c r="J15" s="55"/>
    </x:row>
    <x:row r="16">
      <x:c r="B16" s="55"/>
      <x:c r="C16" s="55"/>
      <x:c r="D16" s="55"/>
      <x:c r="E16" s="55"/>
      <x:c r="F16" s="55"/>
      <x:c r="G16" s="55"/>
      <x:c r="H16" s="55"/>
      <x:c r="I16" s="55"/>
      <x:c r="J16" s="55"/>
    </x:row>
    <x:row r="17">
      <x:c r="B17" s="55"/>
      <x:c r="C17" s="55"/>
      <x:c r="D17" s="55"/>
      <x:c r="E17" s="55"/>
      <x:c r="F17" s="55"/>
      <x:c r="G17" s="55"/>
      <x:c r="H17" s="55"/>
      <x:c r="I17" s="55"/>
      <x:c r="J17" s="55"/>
    </x:row>
    <x:row r="18">
      <x:c r="B18" s="55" t="str">
        <x:v>CONTROL</x:v>
      </x:c>
      <x:c r="C18" s="55" t="str">
        <x:v>Phase end month</x:v>
      </x:c>
      <x:c r="D18" s="55" t="n">
        <x:f>MAX(E7:E14)</x:f>
        <x:v>18</x:v>
      </x:c>
      <x:c r="E18" s="55" t="str">
        <x:f>IF(AND(D18='Control Inputs'!D28,COUNTIF(I7:I14,"PASS")=8),"PASS","FAIL")</x:f>
        <x:v>PASS</x:v>
      </x:c>
      <x:c r="F18" s="55"/>
      <x:c r="G18" s="55"/>
      <x:c r="H18" s="55"/>
      <x:c r="I18" s="55"/>
      <x:c r="J18" s="55"/>
    </x:row>
  </x:sheetData>
  <x:mergeCells>
    <x:mergeCell ref="B3:J3"/>
  </x:mergeCells>
  <x:conditionalFormatting sqref="I7:I14">
    <x:cfRule type="containsText" dxfId="432" priority="1" operator="containsText" text="FAIL"/>
    <x:cfRule type="containsText" dxfId="433" priority="2" operator="containsText" text="BLOCKED"/>
    <x:cfRule type="containsText" dxfId="434" priority="3" operator="containsText" text="HOLD"/>
    <x:cfRule type="containsText" dxfId="435" priority="4" operator="containsText" text="OPEN"/>
    <x:cfRule type="containsText" dxfId="436" priority="5" operator="containsText" text="UNTESTED"/>
    <x:cfRule type="containsText" dxfId="437" priority="6" operator="containsText" text="INDETERMINATE"/>
    <x:cfRule type="containsText" dxfId="438" priority="7" operator="containsText" text="INVALID"/>
    <x:cfRule type="containsText" dxfId="439" priority="8" operator="containsText" text="PASS"/>
    <x:cfRule type="containsText" dxfId="440" priority="9" operator="containsText" text="CLOSED"/>
    <x:cfRule type="containsText" dxfId="441" priority="10" operator="containsText" text="READY"/>
    <x:cfRule type="containsText" dxfId="442" priority="11" operator="containsText" text="AUTHORIZED"/>
    <x:cfRule type="containsText" dxfId="443" priority="12" operator="containsText" text="PLANNING PASS"/>
    <x:cfRule type="containsText" dxfId="444" priority="13" operator="containsText" text="COMPLETE"/>
    <x:cfRule type="containsText" dxfId="445" priority="14" operator="containsText" text="ACCEPTED"/>
    <x:cfRule type="containsText" dxfId="446" priority="15" operator="containsText" text="ADMITTED"/>
    <x:cfRule type="containsText" dxfId="447" priority="16" operator="containsText" text="RELEASED"/>
  </x:conditionalFormatting>
  <x:conditionalFormatting sqref="E18:E18">
    <x:cfRule type="containsText" dxfId="448" priority="17" operator="containsText" text="FAIL"/>
    <x:cfRule type="containsText" dxfId="449" priority="18" operator="containsText" text="BLOCKED"/>
    <x:cfRule type="containsText" dxfId="450" priority="19" operator="containsText" text="HOLD"/>
    <x:cfRule type="containsText" dxfId="451" priority="20" operator="containsText" text="OPEN"/>
    <x:cfRule type="containsText" dxfId="452" priority="21" operator="containsText" text="UNTESTED"/>
    <x:cfRule type="containsText" dxfId="453" priority="22" operator="containsText" text="INDETERMINATE"/>
    <x:cfRule type="containsText" dxfId="454" priority="23" operator="containsText" text="INVALID"/>
    <x:cfRule type="containsText" dxfId="455" priority="24" operator="containsText" text="PASS"/>
    <x:cfRule type="containsText" dxfId="456" priority="25" operator="containsText" text="CLOSED"/>
    <x:cfRule type="containsText" dxfId="457" priority="26" operator="containsText" text="READY"/>
    <x:cfRule type="containsText" dxfId="458" priority="27" operator="containsText" text="AUTHORIZED"/>
    <x:cfRule type="containsText" dxfId="459" priority="28" operator="containsText" text="PLANNING PASS"/>
    <x:cfRule type="containsText" dxfId="460" priority="29" operator="containsText" text="COMPLETE"/>
    <x:cfRule type="containsText" dxfId="461" priority="30" operator="containsText" text="ACCEPTED"/>
    <x:cfRule type="containsText" dxfId="462" priority="31" operator="containsText" text="ADMITTED"/>
    <x:cfRule type="containsText" dxfId="463" priority="32" operator="containsText" text="RELEASED"/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Pr>
    <x:tabColor rgb="FFB8C7D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1" hidden="0" customWidth="1"/>
    <x:col min="3" max="3" width="38" hidden="0" customWidth="1"/>
    <x:col min="4" max="4" width="17" hidden="0" customWidth="1"/>
    <x:col min="5" max="5" width="56" hidden="0" customWidth="1"/>
    <x:col min="6" max="6" width="16" hidden="0" customWidth="1"/>
  </x:cols>
  <x:sheetData>
    <x:row r="2">
      <x:c r="B2" s="1" t="str">
        <x:v>USD 0.420B nested commissioning capital</x:v>
      </x:c>
      <x:c r="C2" s="55"/>
      <x:c r="D2" s="55"/>
      <x:c r="E2" s="55"/>
      <x:c r="F2" s="55"/>
      <x:c r="G2" s="55"/>
      <x:c r="H2" s="55"/>
    </x:row>
    <x:row r="3">
      <x:c r="B3" s="2" t="str">
        <x:v>This is a cross-classification inside Pass 102, not an additional program claim.</x:v>
      </x:c>
      <x:c r="C3" s="55"/>
      <x:c r="D3" s="55"/>
      <x:c r="E3" s="55"/>
      <x:c r="F3" s="55"/>
      <x:c r="G3" s="55"/>
      <x:c r="H3" s="55"/>
    </x:row>
    <x:row r="4">
      <x:c r="B4" s="57"/>
      <x:c r="C4" s="57"/>
      <x:c r="D4" s="57"/>
      <x:c r="E4" s="57"/>
      <x:c r="F4" s="57"/>
      <x:c r="G4" s="57"/>
      <x:c r="H4" s="57"/>
    </x:row>
    <x:row r="5">
      <x:c r="B5" s="55"/>
      <x:c r="C5" s="55"/>
      <x:c r="D5" s="55"/>
      <x:c r="E5" s="55"/>
      <x:c r="F5" s="55"/>
      <x:c r="G5" s="55"/>
      <x:c r="H5" s="55"/>
    </x:row>
    <x:row r="6">
      <x:c r="B6" s="15" t="str">
        <x:v>ID</x:v>
      </x:c>
      <x:c r="C6" s="16" t="str">
        <x:v>Use</x:v>
      </x:c>
      <x:c r="D6" s="16" t="str">
        <x:v>USD B</x:v>
      </x:c>
      <x:c r="E6" s="16" t="str">
        <x:v>Purpose</x:v>
      </x:c>
      <x:c r="F6" s="16" t="str">
        <x:v>State</x:v>
      </x:c>
      <x:c r="G6" s="55"/>
      <x:c r="H6" s="55"/>
    </x:row>
    <x:row r="7" ht="40" customHeight="1">
      <x:c r="B7" s="65" t="str">
        <x:v>CAP01</x:v>
      </x:c>
      <x:c r="C7" s="66" t="str">
        <x:v>reference artifacts</x:v>
      </x:c>
      <x:c r="D7" s="78" t="n">
        <x:v>0.055</x:v>
      </x:c>
      <x:c r="E7" s="66" t="str">
        <x:v>artifact estate and replacement lineage</x:v>
      </x:c>
      <x:c r="F7" s="68" t="str">
        <x:v>DESIGN</x:v>
      </x:c>
      <x:c r="G7" s="55"/>
      <x:c r="H7" s="55"/>
    </x:row>
    <x:row r="8" ht="40" customHeight="1">
      <x:c r="B8" s="65" t="str">
        <x:v>CAP02</x:v>
      </x:c>
      <x:c r="C8" s="66" t="str">
        <x:v>calibration transfer</x:v>
      </x:c>
      <x:c r="D8" s="78" t="n">
        <x:v>0.045</x:v>
      </x:c>
      <x:c r="E8" s="66" t="str">
        <x:v>traveling packages and unlike-cell comparison</x:v>
      </x:c>
      <x:c r="F8" s="68" t="str">
        <x:v>DESIGN</x:v>
      </x:c>
      <x:c r="G8" s="55"/>
      <x:c r="H8" s="55"/>
    </x:row>
    <x:row r="9" ht="40" customHeight="1">
      <x:c r="B9" s="65" t="str">
        <x:v>CAP03</x:v>
      </x:c>
      <x:c r="C9" s="66" t="str">
        <x:v>time and clock systems</x:v>
      </x:c>
      <x:c r="D9" s="78" t="n">
        <x:v>0.035</x:v>
      </x:c>
      <x:c r="E9" s="66" t="str">
        <x:v>holdover and denial injection</x:v>
      </x:c>
      <x:c r="F9" s="68" t="str">
        <x:v>DESIGN</x:v>
      </x:c>
      <x:c r="G9" s="55"/>
      <x:c r="H9" s="55"/>
    </x:row>
    <x:row r="10" ht="40" customHeight="1">
      <x:c r="B10" s="65" t="str">
        <x:v>CAP04</x:v>
      </x:c>
      <x:c r="C10" s="66" t="str">
        <x:v>data plane</x:v>
      </x:c>
      <x:c r="D10" s="78" t="n">
        <x:v>0.09</x:v>
      </x:c>
      <x:c r="E10" s="66" t="str">
        <x:v>dual originals, replay and packet stores</x:v>
      </x:c>
      <x:c r="F10" s="68" t="str">
        <x:v>DESIGN</x:v>
      </x:c>
      <x:c r="G10" s="55"/>
      <x:c r="H10" s="55"/>
    </x:row>
    <x:row r="11" ht="40" customHeight="1">
      <x:c r="B11" s="65" t="str">
        <x:v>CAP05</x:v>
      </x:c>
      <x:c r="C11" s="66" t="str">
        <x:v>blank and challenge water systems</x:v>
      </x:c>
      <x:c r="D11" s="78" t="n">
        <x:v>0.04</x:v>
      </x:c>
      <x:c r="E11" s="66" t="str">
        <x:v>controlled challenge and quarantine</x:v>
      </x:c>
      <x:c r="F11" s="68" t="str">
        <x:v>DESIGN</x:v>
      </x:c>
      <x:c r="G11" s="55"/>
      <x:c r="H11" s="55"/>
    </x:row>
    <x:row r="12" ht="40" customHeight="1">
      <x:c r="B12" s="65" t="str">
        <x:v>CAP06</x:v>
      </x:c>
      <x:c r="C12" s="66" t="str">
        <x:v>commissioning and reset plant</x:v>
      </x:c>
      <x:c r="D12" s="78" t="n">
        <x:v>0.065</x:v>
      </x:c>
      <x:c r="E12" s="66" t="str">
        <x:v>fixtures, adapters, cleanout and repeatability</x:v>
      </x:c>
      <x:c r="F12" s="68" t="str">
        <x:v>DESIGN</x:v>
      </x:c>
      <x:c r="G12" s="55"/>
      <x:c r="H12" s="55"/>
    </x:row>
    <x:row r="13" ht="40" customHeight="1">
      <x:c r="B13" s="65" t="str">
        <x:v>CAP07</x:v>
      </x:c>
      <x:c r="C13" s="66" t="str">
        <x:v>cyber and network-denial assurance</x:v>
      </x:c>
      <x:c r="D13" s="78" t="n">
        <x:v>0.035</x:v>
      </x:c>
      <x:c r="E13" s="66" t="str">
        <x:v>isolated operation and reconciliation</x:v>
      </x:c>
      <x:c r="F13" s="68" t="str">
        <x:v>DESIGN</x:v>
      </x:c>
      <x:c r="G13" s="55"/>
      <x:c r="H13" s="55"/>
    </x:row>
    <x:row r="14" ht="40" customHeight="1">
      <x:c r="B14" s="65" t="str">
        <x:v>CAP08</x:v>
      </x:c>
      <x:c r="C14" s="66" t="str">
        <x:v>decision laboratories and authorities</x:v>
      </x:c>
      <x:c r="D14" s="78" t="n">
        <x:v>0.025</x:v>
      </x:c>
      <x:c r="E14" s="66" t="str">
        <x:v>independent replay and forensic spaces</x:v>
      </x:c>
      <x:c r="F14" s="68" t="str">
        <x:v>DESIGN</x:v>
      </x:c>
      <x:c r="G14" s="55"/>
      <x:c r="H14" s="55"/>
    </x:row>
    <x:row r="15" ht="40" customHeight="1">
      <x:c r="B15" s="70" t="str">
        <x:v>CAP09</x:v>
      </x:c>
      <x:c r="C15" s="71" t="str">
        <x:v>controlled reserve</x:v>
      </x:c>
      <x:c r="D15" s="79" t="n">
        <x:v>0.03</x:v>
      </x:c>
      <x:c r="E15" s="71" t="str">
        <x:v>uncertainty retirement and reference replacement</x:v>
      </x:c>
      <x:c r="F15" s="73" t="str">
        <x:v>DESIGN</x:v>
      </x:c>
      <x:c r="G15" s="55"/>
      <x:c r="H15" s="55"/>
    </x:row>
    <x:row r="16">
      <x:c r="B16" s="55"/>
      <x:c r="C16" s="55"/>
      <x:c r="D16" s="55"/>
      <x:c r="E16" s="55"/>
      <x:c r="F16" s="55"/>
      <x:c r="G16" s="55"/>
      <x:c r="H16" s="55"/>
    </x:row>
    <x:row r="17">
      <x:c r="B17" s="55"/>
      <x:c r="C17" s="55"/>
      <x:c r="D17" s="55"/>
      <x:c r="E17" s="55"/>
      <x:c r="F17" s="55"/>
      <x:c r="G17" s="55"/>
      <x:c r="H17" s="55"/>
    </x:row>
    <x:row r="18">
      <x:c r="B18" s="55" t="str">
        <x:v>TOTAL</x:v>
      </x:c>
      <x:c r="C18" s="55" t="str">
        <x:v>Commissioning capital</x:v>
      </x:c>
      <x:c r="D18" s="80" t="n">
        <x:f>SUM(D7:D15)</x:f>
        <x:v>0.42000000000000004</x:v>
      </x:c>
      <x:c r="E18" s="55"/>
      <x:c r="F18" s="55"/>
      <x:c r="G18" s="55"/>
      <x:c r="H18" s="55"/>
    </x:row>
    <x:row r="19">
      <x:c r="B19" s="55" t="str">
        <x:v>BOUNDARY</x:v>
      </x:c>
      <x:c r="C19" s="55" t="str">
        <x:v>Pass 102 capital</x:v>
      </x:c>
      <x:c r="D19" s="80" t="n">
        <x:f>'Control Inputs'!D30</x:f>
        <x:v>1.48</x:v>
      </x:c>
      <x:c r="E19" s="55"/>
      <x:c r="F19" s="55"/>
      <x:c r="G19" s="55"/>
      <x:c r="H19" s="55"/>
    </x:row>
    <x:row r="20">
      <x:c r="B20" s="55" t="str">
        <x:v>SHARE</x:v>
      </x:c>
      <x:c r="C20" s="55" t="str">
        <x:v>Commissioning / Pass 102</x:v>
      </x:c>
      <x:c r="D20" s="75" t="n">
        <x:f>D18/D19</x:f>
        <x:v>0.2837837837837838</x:v>
      </x:c>
      <x:c r="E20" s="55" t="str">
        <x:f>IF(AND(ABS(D18-'Control Inputs'!D29)&lt;0.0001,D18&lt;=D19),"PASS","FAIL")</x:f>
        <x:v>PASS</x:v>
      </x:c>
      <x:c r="F20" s="55"/>
      <x:c r="G20" s="55"/>
      <x:c r="H20" s="55"/>
    </x:row>
  </x:sheetData>
  <x:mergeCells>
    <x:mergeCell ref="B3:H3"/>
  </x:mergeCells>
  <x:conditionalFormatting sqref="E20:E20">
    <x:cfRule type="containsText" dxfId="464" priority="1" operator="containsText" text="FAIL"/>
    <x:cfRule type="containsText" dxfId="465" priority="2" operator="containsText" text="BLOCKED"/>
    <x:cfRule type="containsText" dxfId="466" priority="3" operator="containsText" text="HOLD"/>
    <x:cfRule type="containsText" dxfId="467" priority="4" operator="containsText" text="OPEN"/>
    <x:cfRule type="containsText" dxfId="468" priority="5" operator="containsText" text="UNTESTED"/>
    <x:cfRule type="containsText" dxfId="469" priority="6" operator="containsText" text="INDETERMINATE"/>
    <x:cfRule type="containsText" dxfId="470" priority="7" operator="containsText" text="INVALID"/>
    <x:cfRule type="containsText" dxfId="471" priority="8" operator="containsText" text="PASS"/>
    <x:cfRule type="containsText" dxfId="472" priority="9" operator="containsText" text="CLOSED"/>
    <x:cfRule type="containsText" dxfId="473" priority="10" operator="containsText" text="READY"/>
    <x:cfRule type="containsText" dxfId="474" priority="11" operator="containsText" text="AUTHORIZED"/>
    <x:cfRule type="containsText" dxfId="475" priority="12" operator="containsText" text="PLANNING PASS"/>
    <x:cfRule type="containsText" dxfId="476" priority="13" operator="containsText" text="COMPLETE"/>
    <x:cfRule type="containsText" dxfId="477" priority="14" operator="containsText" text="ACCEPTED"/>
    <x:cfRule type="containsText" dxfId="478" priority="15" operator="containsText" text="ADMITTED"/>
    <x:cfRule type="containsText" dxfId="479" priority="16" operator="containsText" text="RELEASED"/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B8C7D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1" hidden="0" customWidth="1"/>
    <x:col min="3" max="3" width="40" hidden="0" customWidth="1"/>
    <x:col min="4" max="4" width="19" hidden="0" customWidth="1"/>
    <x:col min="5" max="5" width="54" hidden="0" customWidth="1"/>
    <x:col min="6" max="6" width="16" hidden="0" customWidth="1"/>
  </x:cols>
  <x:sheetData>
    <x:row r="2">
      <x:c r="B2" s="1" t="str">
        <x:v>USD 0.086B annual commissioning support</x:v>
      </x:c>
      <x:c r="C2" s="55"/>
      <x:c r="D2" s="55"/>
      <x:c r="E2" s="55"/>
      <x:c r="F2" s="55"/>
      <x:c r="G2" s="55"/>
      <x:c r="H2" s="55"/>
    </x:row>
    <x:row r="3">
      <x:c r="B3" s="2" t="str">
        <x:v>Persistent custody, metrology, clocks, replay and reset capability remain inside the Pass 102 annual boundary.</x:v>
      </x:c>
      <x:c r="C3" s="55"/>
      <x:c r="D3" s="55"/>
      <x:c r="E3" s="55"/>
      <x:c r="F3" s="55"/>
      <x:c r="G3" s="55"/>
      <x:c r="H3" s="55"/>
    </x:row>
    <x:row r="4">
      <x:c r="B4" s="57"/>
      <x:c r="C4" s="57"/>
      <x:c r="D4" s="57"/>
      <x:c r="E4" s="57"/>
      <x:c r="F4" s="57"/>
      <x:c r="G4" s="57"/>
      <x:c r="H4" s="57"/>
    </x:row>
    <x:row r="5">
      <x:c r="B5" s="55"/>
      <x:c r="C5" s="55"/>
      <x:c r="D5" s="55"/>
      <x:c r="E5" s="55"/>
      <x:c r="F5" s="55"/>
      <x:c r="G5" s="55"/>
      <x:c r="H5" s="55"/>
    </x:row>
    <x:row r="6">
      <x:c r="B6" s="15" t="str">
        <x:v>ID</x:v>
      </x:c>
      <x:c r="C6" s="16" t="str">
        <x:v>Use</x:v>
      </x:c>
      <x:c r="D6" s="16" t="str">
        <x:v>USD B/year</x:v>
      </x:c>
      <x:c r="E6" s="16" t="str">
        <x:v>Persistent capability</x:v>
      </x:c>
      <x:c r="F6" s="16" t="str">
        <x:v>State</x:v>
      </x:c>
      <x:c r="G6" s="55"/>
      <x:c r="H6" s="55"/>
    </x:row>
    <x:row r="7" ht="40" customHeight="1">
      <x:c r="B7" s="65" t="str">
        <x:v>ANN01</x:v>
      </x:c>
      <x:c r="C7" s="66" t="str">
        <x:v>reference custody and renewal</x:v>
      </x:c>
      <x:c r="D7" s="78" t="n">
        <x:v>0.012</x:v>
      </x:c>
      <x:c r="E7" s="66" t="str">
        <x:v>storage, stability and replacement</x:v>
      </x:c>
      <x:c r="F7" s="68" t="str">
        <x:v>DESIGN</x:v>
      </x:c>
      <x:c r="G7" s="55"/>
      <x:c r="H7" s="55"/>
    </x:row>
    <x:row r="8" ht="40" customHeight="1">
      <x:c r="B8" s="65" t="str">
        <x:v>ANN02</x:v>
      </x:c>
      <x:c r="C8" s="66" t="str">
        <x:v>calibration detachments</x:v>
      </x:c>
      <x:c r="D8" s="78" t="n">
        <x:v>0.016</x:v>
      </x:c>
      <x:c r="E8" s="66" t="str">
        <x:v>traveling teams and primary comparisons</x:v>
      </x:c>
      <x:c r="F8" s="68" t="str">
        <x:v>DESIGN</x:v>
      </x:c>
      <x:c r="G8" s="55"/>
      <x:c r="H8" s="55"/>
    </x:row>
    <x:row r="9" ht="40" customHeight="1">
      <x:c r="B9" s="65" t="str">
        <x:v>ANN03</x:v>
      </x:c>
      <x:c r="C9" s="66" t="str">
        <x:v>data and time operations</x:v>
      </x:c>
      <x:c r="D9" s="78" t="n">
        <x:v>0.02</x:v>
      </x:c>
      <x:c r="E9" s="66" t="str">
        <x:v>recorders, replay, clocks and signing</x:v>
      </x:c>
      <x:c r="F9" s="68" t="str">
        <x:v>DESIGN</x:v>
      </x:c>
      <x:c r="G9" s="55"/>
      <x:c r="H9" s="55"/>
    </x:row>
    <x:row r="10" ht="40" customHeight="1">
      <x:c r="B10" s="65" t="str">
        <x:v>ANN04</x:v>
      </x:c>
      <x:c r="C10" s="66" t="str">
        <x:v>blank, challenge and sample system</x:v>
      </x:c>
      <x:c r="D10" s="78" t="n">
        <x:v>0.012</x:v>
      </x:c>
      <x:c r="E10" s="66" t="str">
        <x:v>challenge material, field labs and splits</x:v>
      </x:c>
      <x:c r="F10" s="68" t="str">
        <x:v>DESIGN</x:v>
      </x:c>
      <x:c r="G10" s="55"/>
      <x:c r="H10" s="55"/>
    </x:row>
    <x:row r="11" ht="40" customHeight="1">
      <x:c r="B11" s="65" t="str">
        <x:v>ANN05</x:v>
      </x:c>
      <x:c r="C11" s="66" t="str">
        <x:v>commissioning and reset crews</x:v>
      </x:c>
      <x:c r="D11" s="78" t="n">
        <x:v>0.016</x:v>
      </x:c>
      <x:c r="E11" s="66" t="str">
        <x:v>fixture readiness and return to known state</x:v>
      </x:c>
      <x:c r="F11" s="68" t="str">
        <x:v>DESIGN</x:v>
      </x:c>
      <x:c r="G11" s="55"/>
      <x:c r="H11" s="55"/>
    </x:row>
    <x:row r="12" ht="40" customHeight="1">
      <x:c r="B12" s="70" t="str">
        <x:v>ANN06</x:v>
      </x:c>
      <x:c r="C12" s="71" t="str">
        <x:v>independent authorities</x:v>
      </x:c>
      <x:c r="D12" s="79" t="n">
        <x:v>0.01</x:v>
      </x:c>
      <x:c r="E12" s="71" t="str">
        <x:v>evidence board, blind custody and forensics</x:v>
      </x:c>
      <x:c r="F12" s="73" t="str">
        <x:v>DESIGN</x:v>
      </x:c>
      <x:c r="G12" s="55"/>
      <x:c r="H12" s="55"/>
    </x:row>
    <x:row r="13">
      <x:c r="B13" s="55"/>
      <x:c r="C13" s="55"/>
      <x:c r="D13" s="55"/>
      <x:c r="E13" s="55"/>
      <x:c r="F13" s="55"/>
      <x:c r="G13" s="55"/>
      <x:c r="H13" s="55"/>
    </x:row>
    <x:row r="14">
      <x:c r="B14" s="55"/>
      <x:c r="C14" s="55"/>
      <x:c r="D14" s="55"/>
      <x:c r="E14" s="55"/>
      <x:c r="F14" s="55"/>
      <x:c r="G14" s="55"/>
      <x:c r="H14" s="55"/>
    </x:row>
    <x:row r="15">
      <x:c r="B15" s="55" t="str">
        <x:v>TOTAL</x:v>
      </x:c>
      <x:c r="C15" s="55" t="str">
        <x:v>Commissioning annual support</x:v>
      </x:c>
      <x:c r="D15" s="80" t="n">
        <x:f>SUM(D7:D12)</x:f>
        <x:v>0.086</x:v>
      </x:c>
      <x:c r="E15" s="55"/>
      <x:c r="F15" s="55"/>
      <x:c r="G15" s="55"/>
      <x:c r="H15" s="55"/>
    </x:row>
    <x:row r="16">
      <x:c r="B16" s="55" t="str">
        <x:v>BOUNDARY</x:v>
      </x:c>
      <x:c r="C16" s="55" t="str">
        <x:v>Pass 102 annual support</x:v>
      </x:c>
      <x:c r="D16" s="80" t="n">
        <x:f>'Control Inputs'!D32</x:f>
        <x:v>0.192</x:v>
      </x:c>
      <x:c r="E16" s="55"/>
      <x:c r="F16" s="55"/>
      <x:c r="G16" s="55"/>
      <x:c r="H16" s="55"/>
    </x:row>
    <x:row r="17">
      <x:c r="B17" s="55" t="str">
        <x:v>SHARE</x:v>
      </x:c>
      <x:c r="C17" s="55" t="str">
        <x:v>Commissioning / Pass 102</x:v>
      </x:c>
      <x:c r="D17" s="75" t="n">
        <x:f>D15/D16</x:f>
        <x:v>0.44791666666666663</x:v>
      </x:c>
      <x:c r="E17" s="55" t="str">
        <x:f>IF(AND(ABS(D15-'Control Inputs'!D31)&lt;0.0001,D15&lt;=D16),"PASS","FAIL")</x:f>
        <x:v>PASS</x:v>
      </x:c>
      <x:c r="F17" s="55"/>
      <x:c r="G17" s="55"/>
      <x:c r="H17" s="55"/>
    </x:row>
  </x:sheetData>
  <x:mergeCells>
    <x:mergeCell ref="B3:H3"/>
  </x:mergeCells>
  <x:conditionalFormatting sqref="E17:E17">
    <x:cfRule type="containsText" dxfId="480" priority="1" operator="containsText" text="FAIL"/>
    <x:cfRule type="containsText" dxfId="481" priority="2" operator="containsText" text="BLOCKED"/>
    <x:cfRule type="containsText" dxfId="482" priority="3" operator="containsText" text="HOLD"/>
    <x:cfRule type="containsText" dxfId="483" priority="4" operator="containsText" text="OPEN"/>
    <x:cfRule type="containsText" dxfId="484" priority="5" operator="containsText" text="UNTESTED"/>
    <x:cfRule type="containsText" dxfId="485" priority="6" operator="containsText" text="INDETERMINATE"/>
    <x:cfRule type="containsText" dxfId="486" priority="7" operator="containsText" text="INVALID"/>
    <x:cfRule type="containsText" dxfId="487" priority="8" operator="containsText" text="PASS"/>
    <x:cfRule type="containsText" dxfId="488" priority="9" operator="containsText" text="CLOSED"/>
    <x:cfRule type="containsText" dxfId="489" priority="10" operator="containsText" text="READY"/>
    <x:cfRule type="containsText" dxfId="490" priority="11" operator="containsText" text="AUTHORIZED"/>
    <x:cfRule type="containsText" dxfId="491" priority="12" operator="containsText" text="PLANNING PASS"/>
    <x:cfRule type="containsText" dxfId="492" priority="13" operator="containsText" text="COMPLETE"/>
    <x:cfRule type="containsText" dxfId="493" priority="14" operator="containsText" text="ACCEPTED"/>
    <x:cfRule type="containsText" dxfId="494" priority="15" operator="containsText" text="ADMITTED"/>
    <x:cfRule type="containsText" dxfId="495" priority="16" operator="containsText" text="RELEASED"/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FFB8C7D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28" hidden="0" customWidth="1"/>
    <x:col min="3" max="3" width="29" hidden="0" customWidth="1"/>
    <x:col min="4" max="4" width="15" hidden="0" customWidth="1"/>
    <x:col min="5" max="5" width="12" hidden="0" customWidth="1"/>
    <x:col min="6" max="6" width="12" hidden="0" customWidth="1"/>
    <x:col min="7" max="7" width="18" hidden="0" customWidth="1"/>
    <x:col min="8" max="8" width="26" hidden="0" customWidth="1"/>
    <x:col min="9" max="9" width="17" hidden="0" customWidth="1"/>
    <x:col min="10" max="10" width="17" hidden="0" customWidth="1"/>
  </x:cols>
  <x:sheetData>
    <x:row r="2">
      <x:c r="B2" s="1" t="str">
        <x:v>Commissioning release ladder</x:v>
      </x:c>
      <x:c r="C2" s="55"/>
      <x:c r="D2" s="55"/>
      <x:c r="E2" s="55"/>
      <x:c r="F2" s="55"/>
      <x:c r="G2" s="55"/>
      <x:c r="H2" s="55"/>
      <x:c r="I2" s="55"/>
      <x:c r="J2" s="55"/>
    </x:row>
    <x:row r="3">
      <x:c r="B3" s="2" t="str">
        <x:v>Planning completeness cannot manufacture an artifact, commission a fixture, admit an event or authorize a form.</x:v>
      </x:c>
      <x:c r="C3" s="55"/>
      <x:c r="D3" s="55"/>
      <x:c r="E3" s="55"/>
      <x:c r="F3" s="55"/>
      <x:c r="G3" s="55"/>
      <x:c r="H3" s="55"/>
      <x:c r="I3" s="55"/>
      <x:c r="J3" s="55"/>
    </x:row>
    <x:row r="4">
      <x:c r="B4" s="57"/>
      <x:c r="C4" s="57"/>
      <x:c r="D4" s="57"/>
      <x:c r="E4" s="57"/>
      <x:c r="F4" s="57"/>
      <x:c r="G4" s="57"/>
      <x:c r="H4" s="57"/>
      <x:c r="I4" s="57"/>
      <x:c r="J4" s="57"/>
    </x:row>
    <x:row r="5">
      <x:c r="B5" s="55"/>
      <x:c r="C5" s="55"/>
      <x:c r="D5" s="55"/>
      <x:c r="E5" s="55"/>
      <x:c r="F5" s="55"/>
      <x:c r="G5" s="55"/>
      <x:c r="H5" s="55"/>
      <x:c r="I5" s="55"/>
      <x:c r="J5" s="55"/>
    </x:row>
    <x:row r="6">
      <x:c r="B6" s="15" t="str">
        <x:v>Gate</x:v>
      </x:c>
      <x:c r="C6" s="16" t="str">
        <x:v>Decision</x:v>
      </x:c>
      <x:c r="D6" s="16" t="str">
        <x:v>Class</x:v>
      </x:c>
      <x:c r="E6" s="16" t="str">
        <x:v>Required</x:v>
      </x:c>
      <x:c r="F6" s="16" t="str">
        <x:v>Observed</x:v>
      </x:c>
      <x:c r="G6" s="16" t="str">
        <x:v>Gate state</x:v>
      </x:c>
      <x:c r="H6" s="16" t="str">
        <x:v>Consequence</x:v>
      </x:c>
      <x:c r="I6" s="16" t="str">
        <x:v>Internal section</x:v>
      </x:c>
      <x:c r="J6" s="16" t="str">
        <x:v>Rendering</x:v>
      </x:c>
    </x:row>
    <x:row r="7" ht="37" customHeight="1">
      <x:c r="B7" s="65" t="str">
        <x:v>G01</x:v>
      </x:c>
      <x:c r="C7" s="66" t="str">
        <x:v>reference registry complete</x:v>
      </x:c>
      <x:c r="D7" s="66" t="str">
        <x:v>package</x:v>
      </x:c>
      <x:c r="E7" s="66" t="n">
        <x:v>1</x:v>
      </x:c>
      <x:c r="F7" s="66" t="n">
        <x:f>IF('Reference Registry'!D36="PASS",1,0)</x:f>
        <x:v>1</x:v>
      </x:c>
      <x:c r="G7" s="66" t="str">
        <x:f>IF(F7&gt;=E7,IF(D7="package","PLANNING PASS","PASS"),IF(D7="package","FAIL","OPEN"))</x:f>
        <x:v>PLANNING PASS</x:v>
      </x:c>
      <x:c r="H7" s="66" t="str">
        <x:v>drafting only</x:v>
      </x:c>
      <x:c r="I7" s="66" t="str">
        <x:v>BLOCKED</x:v>
      </x:c>
      <x:c r="J7" s="68" t="str">
        <x:v>BLOCKED</x:v>
      </x:c>
    </x:row>
    <x:row r="8" ht="37" customHeight="1">
      <x:c r="B8" s="65" t="str">
        <x:v>G02</x:v>
      </x:c>
      <x:c r="C8" s="66" t="str">
        <x:v>calibration chain complete</x:v>
      </x:c>
      <x:c r="D8" s="66" t="str">
        <x:v>package</x:v>
      </x:c>
      <x:c r="E8" s="66" t="n">
        <x:v>1</x:v>
      </x:c>
      <x:c r="F8" s="66" t="n">
        <x:f>IF('Calibration Chain'!D21="PASS",1,0)</x:f>
        <x:v>1</x:v>
      </x:c>
      <x:c r="G8" s="66" t="str">
        <x:f>IF(F8&gt;=E8,IF(D8="package","PLANNING PASS","PASS"),IF(D8="package","FAIL","OPEN"))</x:f>
        <x:v>PLANNING PASS</x:v>
      </x:c>
      <x:c r="H8" s="66" t="str">
        <x:v>drafting only</x:v>
      </x:c>
      <x:c r="I8" s="66" t="str">
        <x:v>BLOCKED</x:v>
      </x:c>
      <x:c r="J8" s="68" t="str">
        <x:v>BLOCKED</x:v>
      </x:c>
    </x:row>
    <x:row r="9" ht="37" customHeight="1">
      <x:c r="B9" s="65" t="str">
        <x:v>G03</x:v>
      </x:c>
      <x:c r="C9" s="66" t="str">
        <x:v>uncertainty and guard bands complete</x:v>
      </x:c>
      <x:c r="D9" s="66" t="str">
        <x:v>package</x:v>
      </x:c>
      <x:c r="E9" s="66" t="n">
        <x:v>1</x:v>
      </x:c>
      <x:c r="F9" s="66" t="n">
        <x:f>IF('Uncertainty Budget'!E18="PASS",1,0)</x:f>
        <x:v>1</x:v>
      </x:c>
      <x:c r="G9" s="66" t="str">
        <x:f>IF(F9&gt;=E9,IF(D9="package","PLANNING PASS","PASS"),IF(D9="package","FAIL","OPEN"))</x:f>
        <x:v>PLANNING PASS</x:v>
      </x:c>
      <x:c r="H9" s="66" t="str">
        <x:v>drafting only</x:v>
      </x:c>
      <x:c r="I9" s="66" t="str">
        <x:v>BLOCKED</x:v>
      </x:c>
      <x:c r="J9" s="68" t="str">
        <x:v>BLOCKED</x:v>
      </x:c>
    </x:row>
    <x:row r="10" ht="37" customHeight="1">
      <x:c r="B10" s="65" t="str">
        <x:v>G04</x:v>
      </x:c>
      <x:c r="C10" s="66" t="str">
        <x:v>waveform tolerances complete</x:v>
      </x:c>
      <x:c r="D10" s="66" t="str">
        <x:v>package</x:v>
      </x:c>
      <x:c r="E10" s="66" t="n">
        <x:v>1</x:v>
      </x:c>
      <x:c r="F10" s="66" t="n">
        <x:f>IF('Waveform Tolerance'!D21="PASS",1,0)</x:f>
        <x:v>1</x:v>
      </x:c>
      <x:c r="G10" s="66" t="str">
        <x:f>IF(F10&gt;=E10,IF(D10="package","PLANNING PASS","PASS"),IF(D10="package","FAIL","OPEN"))</x:f>
        <x:v>PLANNING PASS</x:v>
      </x:c>
      <x:c r="H10" s="66" t="str">
        <x:v>drafting only</x:v>
      </x:c>
      <x:c r="I10" s="66" t="str">
        <x:v>BLOCKED</x:v>
      </x:c>
      <x:c r="J10" s="68" t="str">
        <x:v>BLOCKED</x:v>
      </x:c>
    </x:row>
    <x:row r="11" ht="37" customHeight="1">
      <x:c r="B11" s="65" t="str">
        <x:v>G05</x:v>
      </x:c>
      <x:c r="C11" s="66" t="str">
        <x:v>timebase complete</x:v>
      </x:c>
      <x:c r="D11" s="66" t="str">
        <x:v>package</x:v>
      </x:c>
      <x:c r="E11" s="66" t="n">
        <x:v>1</x:v>
      </x:c>
      <x:c r="F11" s="66" t="n">
        <x:f>IF(COUNTIF(Timebase!F13:F16,"PASS")=4,1,0)</x:f>
        <x:v>1</x:v>
      </x:c>
      <x:c r="G11" s="66" t="str">
        <x:f>IF(F11&gt;=E11,IF(D11="package","PLANNING PASS","PASS"),IF(D11="package","FAIL","OPEN"))</x:f>
        <x:v>PLANNING PASS</x:v>
      </x:c>
      <x:c r="H11" s="66" t="str">
        <x:v>drafting only</x:v>
      </x:c>
      <x:c r="I11" s="66" t="str">
        <x:v>BLOCKED</x:v>
      </x:c>
      <x:c r="J11" s="68" t="str">
        <x:v>BLOCKED</x:v>
      </x:c>
    </x:row>
    <x:row r="12" ht="37" customHeight="1">
      <x:c r="B12" s="65" t="str">
        <x:v>G06</x:v>
      </x:c>
      <x:c r="C12" s="66" t="str">
        <x:v>data schema complete</x:v>
      </x:c>
      <x:c r="D12" s="66" t="str">
        <x:v>package</x:v>
      </x:c>
      <x:c r="E12" s="66" t="n">
        <x:v>1</x:v>
      </x:c>
      <x:c r="F12" s="66" t="n">
        <x:f>IF('Data Schema'!E37="PASS",1,0)</x:f>
        <x:v>1</x:v>
      </x:c>
      <x:c r="G12" s="66" t="str">
        <x:f>IF(F12&gt;=E12,IF(D12="package","PLANNING PASS","PASS"),IF(D12="package","FAIL","OPEN"))</x:f>
        <x:v>PLANNING PASS</x:v>
      </x:c>
      <x:c r="H12" s="66" t="str">
        <x:v>drafting only</x:v>
      </x:c>
      <x:c r="I12" s="66" t="str">
        <x:v>BLOCKED</x:v>
      </x:c>
      <x:c r="J12" s="68" t="str">
        <x:v>BLOCKED</x:v>
      </x:c>
    </x:row>
    <x:row r="13" ht="37" customHeight="1">
      <x:c r="B13" s="65" t="str">
        <x:v>G07</x:v>
      </x:c>
      <x:c r="C13" s="66" t="str">
        <x:v>volume and copy plan complete</x:v>
      </x:c>
      <x:c r="D13" s="66" t="str">
        <x:v>package</x:v>
      </x:c>
      <x:c r="E13" s="66" t="n">
        <x:v>1</x:v>
      </x:c>
      <x:c r="F13" s="66" t="n">
        <x:f>IF('Data Volume'!F26="PASS",1,0)</x:f>
        <x:v>1</x:v>
      </x:c>
      <x:c r="G13" s="66" t="str">
        <x:f>IF(F13&gt;=E13,IF(D13="package","PLANNING PASS","PASS"),IF(D13="package","FAIL","OPEN"))</x:f>
        <x:v>PLANNING PASS</x:v>
      </x:c>
      <x:c r="H13" s="66" t="str">
        <x:v>drafting only</x:v>
      </x:c>
      <x:c r="I13" s="66" t="str">
        <x:v>BLOCKED</x:v>
      </x:c>
      <x:c r="J13" s="68" t="str">
        <x:v>BLOCKED</x:v>
      </x:c>
    </x:row>
    <x:row r="14" ht="37" customHeight="1">
      <x:c r="B14" s="65" t="str">
        <x:v>G08</x:v>
      </x:c>
      <x:c r="C14" s="66" t="str">
        <x:v>randomization constitution complete</x:v>
      </x:c>
      <x:c r="D14" s="66" t="str">
        <x:v>package</x:v>
      </x:c>
      <x:c r="E14" s="66" t="n">
        <x:v>1</x:v>
      </x:c>
      <x:c r="F14" s="66" t="n">
        <x:f>IF(Randomization!E24="PASS",1,0)</x:f>
        <x:v>1</x:v>
      </x:c>
      <x:c r="G14" s="66" t="str">
        <x:f>IF(F14&gt;=E14,IF(D14="package","PLANNING PASS","PASS"),IF(D14="package","FAIL","OPEN"))</x:f>
        <x:v>PLANNING PASS</x:v>
      </x:c>
      <x:c r="H14" s="66" t="str">
        <x:v>drafting only</x:v>
      </x:c>
      <x:c r="I14" s="66" t="str">
        <x:v>BLOCKED</x:v>
      </x:c>
      <x:c r="J14" s="68" t="str">
        <x:v>BLOCKED</x:v>
      </x:c>
    </x:row>
    <x:row r="15" ht="37" customHeight="1">
      <x:c r="B15" s="65" t="str">
        <x:v>G09</x:v>
      </x:c>
      <x:c r="C15" s="66" t="str">
        <x:v>commissioning matrix complete</x:v>
      </x:c>
      <x:c r="D15" s="66" t="str">
        <x:v>package</x:v>
      </x:c>
      <x:c r="E15" s="66" t="n">
        <x:v>1</x:v>
      </x:c>
      <x:c r="F15" s="66" t="n">
        <x:f>IF('Commissioning Matrix'!E45="PASS",1,0)</x:f>
        <x:v>1</x:v>
      </x:c>
      <x:c r="G15" s="66" t="str">
        <x:f>IF(F15&gt;=E15,IF(D15="package","PLANNING PASS","PASS"),IF(D15="package","FAIL","OPEN"))</x:f>
        <x:v>PLANNING PASS</x:v>
      </x:c>
      <x:c r="H15" s="66" t="str">
        <x:v>drafting only</x:v>
      </x:c>
      <x:c r="I15" s="66" t="str">
        <x:v>BLOCKED</x:v>
      </x:c>
      <x:c r="J15" s="68" t="str">
        <x:v>BLOCKED</x:v>
      </x:c>
    </x:row>
    <x:row r="16" ht="37" customHeight="1">
      <x:c r="B16" s="65" t="str">
        <x:v>G10</x:v>
      </x:c>
      <x:c r="C16" s="66" t="str">
        <x:v>blank and recovery constitution complete</x:v>
      </x:c>
      <x:c r="D16" s="66" t="str">
        <x:v>package</x:v>
      </x:c>
      <x:c r="E16" s="66" t="n">
        <x:v>1</x:v>
      </x:c>
      <x:c r="F16" s="66" t="n">
        <x:f>IF('Blank &amp; Recovery'!D19="PASS",1,0)</x:f>
        <x:v>1</x:v>
      </x:c>
      <x:c r="G16" s="66" t="str">
        <x:f>IF(F16&gt;=E16,IF(D16="package","PLANNING PASS","PASS"),IF(D16="package","FAIL","OPEN"))</x:f>
        <x:v>PLANNING PASS</x:v>
      </x:c>
      <x:c r="H16" s="66" t="str">
        <x:v>drafting only</x:v>
      </x:c>
      <x:c r="I16" s="66" t="str">
        <x:v>BLOCKED</x:v>
      </x:c>
      <x:c r="J16" s="68" t="str">
        <x:v>BLOCKED</x:v>
      </x:c>
    </x:row>
    <x:row r="17" ht="37" customHeight="1">
      <x:c r="B17" s="65" t="str">
        <x:v>G11</x:v>
      </x:c>
      <x:c r="C17" s="66" t="str">
        <x:v>invalid-run rules complete</x:v>
      </x:c>
      <x:c r="D17" s="66" t="str">
        <x:v>package</x:v>
      </x:c>
      <x:c r="E17" s="66" t="n">
        <x:v>1</x:v>
      </x:c>
      <x:c r="F17" s="66" t="n">
        <x:f>IF('Invalid Run Rules'!D19="PASS",1,0)</x:f>
        <x:v>1</x:v>
      </x:c>
      <x:c r="G17" s="66" t="str">
        <x:f>IF(F17&gt;=E17,IF(D17="package","PLANNING PASS","PASS"),IF(D17="package","FAIL","OPEN"))</x:f>
        <x:v>PLANNING PASS</x:v>
      </x:c>
      <x:c r="H17" s="66" t="str">
        <x:v>drafting only</x:v>
      </x:c>
      <x:c r="I17" s="66" t="str">
        <x:v>BLOCKED</x:v>
      </x:c>
      <x:c r="J17" s="68" t="str">
        <x:v>BLOCKED</x:v>
      </x:c>
    </x:row>
    <x:row r="18" ht="37" customHeight="1">
      <x:c r="B18" s="65" t="str">
        <x:v>G12</x:v>
      </x:c>
      <x:c r="C18" s="66" t="str">
        <x:v>decision packet complete</x:v>
      </x:c>
      <x:c r="D18" s="66" t="str">
        <x:v>package</x:v>
      </x:c>
      <x:c r="E18" s="66" t="n">
        <x:v>1</x:v>
      </x:c>
      <x:c r="F18" s="66" t="n">
        <x:f>IF('Decision Packet'!D37="PASS",1,0)</x:f>
        <x:v>1</x:v>
      </x:c>
      <x:c r="G18" s="66" t="str">
        <x:f>IF(F18&gt;=E18,IF(D18="package","PLANNING PASS","PASS"),IF(D18="package","FAIL","OPEN"))</x:f>
        <x:v>PLANNING PASS</x:v>
      </x:c>
      <x:c r="H18" s="66" t="str">
        <x:v>drafting only</x:v>
      </x:c>
      <x:c r="I18" s="66" t="str">
        <x:v>BLOCKED</x:v>
      </x:c>
      <x:c r="J18" s="68" t="str">
        <x:v>BLOCKED</x:v>
      </x:c>
    </x:row>
    <x:row r="19" ht="37" customHeight="1">
      <x:c r="B19" s="65" t="str">
        <x:v>G13</x:v>
      </x:c>
      <x:c r="C19" s="66" t="str">
        <x:v>authority choreography complete</x:v>
      </x:c>
      <x:c r="D19" s="66" t="str">
        <x:v>package</x:v>
      </x:c>
      <x:c r="E19" s="66" t="n">
        <x:v>1</x:v>
      </x:c>
      <x:c r="F19" s="66" t="n">
        <x:f>IF('Authority Choreography'!D28="PASS",1,0)</x:f>
        <x:v>1</x:v>
      </x:c>
      <x:c r="G19" s="66" t="str">
        <x:f>IF(F19&gt;=E19,IF(D19="package","PLANNING PASS","PASS"),IF(D19="package","FAIL","OPEN"))</x:f>
        <x:v>PLANNING PASS</x:v>
      </x:c>
      <x:c r="H19" s="66" t="str">
        <x:v>drafting only</x:v>
      </x:c>
      <x:c r="I19" s="66" t="str">
        <x:v>BLOCKED</x:v>
      </x:c>
      <x:c r="J19" s="68" t="str">
        <x:v>BLOCKED</x:v>
      </x:c>
    </x:row>
    <x:row r="20" ht="37" customHeight="1">
      <x:c r="B20" s="65" t="str">
        <x:v>G14</x:v>
      </x:c>
      <x:c r="C20" s="66" t="str">
        <x:v>first-run cards complete</x:v>
      </x:c>
      <x:c r="D20" s="66" t="str">
        <x:v>package</x:v>
      </x:c>
      <x:c r="E20" s="66" t="n">
        <x:v>1</x:v>
      </x:c>
      <x:c r="F20" s="66" t="n">
        <x:f>IF(COUNTA('First Run Cards'!B7:B8)=2,1,0)</x:f>
        <x:v>1</x:v>
      </x:c>
      <x:c r="G20" s="66" t="str">
        <x:f>IF(F20&gt;=E20,IF(D20="package","PLANNING PASS","PASS"),IF(D20="package","FAIL","OPEN"))</x:f>
        <x:v>PLANNING PASS</x:v>
      </x:c>
      <x:c r="H20" s="66" t="str">
        <x:v>drafting only</x:v>
      </x:c>
      <x:c r="I20" s="66" t="str">
        <x:v>BLOCKED</x:v>
      </x:c>
      <x:c r="J20" s="68" t="str">
        <x:v>BLOCKED</x:v>
      </x:c>
    </x:row>
    <x:row r="21" ht="37" customHeight="1">
      <x:c r="B21" s="65" t="str">
        <x:v>G15</x:v>
      </x:c>
      <x:c r="C21" s="66" t="str">
        <x:v>schedule and finance reconcile</x:v>
      </x:c>
      <x:c r="D21" s="66" t="str">
        <x:v>package</x:v>
      </x:c>
      <x:c r="E21" s="66" t="n">
        <x:v>1</x:v>
      </x:c>
      <x:c r="F21" s="66" t="n">
        <x:f>IF(AND(Schedule!E18="PASS",'Capital Control'!E20="PASS",'Annual Support'!E17="PASS"),1,0)</x:f>
        <x:v>1</x:v>
      </x:c>
      <x:c r="G21" s="66" t="str">
        <x:f>IF(F21&gt;=E21,IF(D21="package","PLANNING PASS","PASS"),IF(D21="package","FAIL","OPEN"))</x:f>
        <x:v>PLANNING PASS</x:v>
      </x:c>
      <x:c r="H21" s="66" t="str">
        <x:v>drafting only</x:v>
      </x:c>
      <x:c r="I21" s="66" t="str">
        <x:v>BLOCKED</x:v>
      </x:c>
      <x:c r="J21" s="68" t="str">
        <x:v>BLOCKED</x:v>
      </x:c>
    </x:row>
    <x:row r="22" ht="37" customHeight="1">
      <x:c r="B22" s="65" t="str">
        <x:v>G16</x:v>
      </x:c>
      <x:c r="C22" s="66" t="str">
        <x:v>package content complete</x:v>
      </x:c>
      <x:c r="D22" s="66" t="str">
        <x:v>package</x:v>
      </x:c>
      <x:c r="E22" s="66" t="n">
        <x:v>1</x:v>
      </x:c>
      <x:c r="F22" s="66" t="n">
        <x:f>'Control Inputs'!D33</x:f>
        <x:v>1</x:v>
      </x:c>
      <x:c r="G22" s="66" t="str">
        <x:f>IF(F22&gt;=E22,IF(D22="package","PLANNING PASS","PASS"),IF(D22="package","FAIL","OPEN"))</x:f>
        <x:v>PLANNING PASS</x:v>
      </x:c>
      <x:c r="H22" s="66" t="str">
        <x:v>drafting only</x:v>
      </x:c>
      <x:c r="I22" s="66" t="str">
        <x:v>BLOCKED</x:v>
      </x:c>
      <x:c r="J22" s="68" t="str">
        <x:v>BLOCKED</x:v>
      </x:c>
    </x:row>
    <x:row r="23" ht="37" customHeight="1">
      <x:c r="B23" s="65" t="str">
        <x:v>G17</x:v>
      </x:c>
      <x:c r="C23" s="66" t="str">
        <x:v>constituted authorities approve manufacture</x:v>
      </x:c>
      <x:c r="D23" s="66" t="str">
        <x:v>external</x:v>
      </x:c>
      <x:c r="E23" s="66" t="n">
        <x:v>1</x:v>
      </x:c>
      <x:c r="F23" s="66" t="n">
        <x:f>'Control Inputs'!D34</x:f>
        <x:v>0</x:v>
      </x:c>
      <x:c r="G23" s="66" t="str">
        <x:f>IF(F23&gt;=E23,IF(D23="package","PLANNING PASS","PASS"),IF(D23="package","FAIL","OPEN"))</x:f>
        <x:v>OPEN</x:v>
      </x:c>
      <x:c r="H23" s="66" t="str">
        <x:v>reference manufacture</x:v>
      </x:c>
      <x:c r="I23" s="66" t="str">
        <x:v>BLOCKED</x:v>
      </x:c>
      <x:c r="J23" s="68" t="str">
        <x:v>BLOCKED</x:v>
      </x:c>
    </x:row>
    <x:row r="24" ht="37" customHeight="1">
      <x:c r="B24" s="65" t="str">
        <x:v>G18</x:v>
      </x:c>
      <x:c r="C24" s="66" t="str">
        <x:v>reference artifacts physically accepted</x:v>
      </x:c>
      <x:c r="D24" s="66" t="str">
        <x:v>physical</x:v>
      </x:c>
      <x:c r="E24" s="66" t="n">
        <x:v>1</x:v>
      </x:c>
      <x:c r="F24" s="66" t="n">
        <x:f>IF(AND(G23="PASS",'Control Inputs'!D35&gt;=24,COUNTIF('Reference Registry'!I7:I30,"ACCEPTED")=24),1,0)</x:f>
        <x:v>0</x:v>
      </x:c>
      <x:c r="G24" s="66" t="str">
        <x:f>IF(F24&gt;=E24,IF(D24="package","PLANNING PASS","PASS"),IF(D24="package","FAIL","OPEN"))</x:f>
        <x:v>OPEN</x:v>
      </x:c>
      <x:c r="H24" s="66" t="str">
        <x:v>calibration transfer</x:v>
      </x:c>
      <x:c r="I24" s="66" t="str">
        <x:v>BLOCKED</x:v>
      </x:c>
      <x:c r="J24" s="68" t="str">
        <x:v>BLOCKED</x:v>
      </x:c>
    </x:row>
    <x:row r="25" ht="37" customHeight="1">
      <x:c r="B25" s="65" t="str">
        <x:v>G19</x:v>
      </x:c>
      <x:c r="C25" s="66" t="str">
        <x:v>fixture configurations commissioned</x:v>
      </x:c>
      <x:c r="D25" s="66" t="str">
        <x:v>physical</x:v>
      </x:c>
      <x:c r="E25" s="66" t="n">
        <x:v>1</x:v>
      </x:c>
      <x:c r="F25" s="66" t="n">
        <x:f>IF(AND(G24="PASS",'Control Inputs'!D36&gt;=3),1,0)</x:f>
        <x:v>0</x:v>
      </x:c>
      <x:c r="G25" s="66" t="str">
        <x:f>IF(F25&gt;=E25,IF(D25="package","PLANNING PASS","PASS"),IF(D25="package","FAIL","OPEN"))</x:f>
        <x:v>OPEN</x:v>
      </x:c>
      <x:c r="H25" s="66" t="str">
        <x:v>commissioning execution</x:v>
      </x:c>
      <x:c r="I25" s="66" t="str">
        <x:v>BLOCKED</x:v>
      </x:c>
      <x:c r="J25" s="68" t="str">
        <x:v>BLOCKED</x:v>
      </x:c>
    </x:row>
    <x:row r="26" ht="37" customHeight="1">
      <x:c r="B26" s="65" t="str">
        <x:v>G20</x:v>
      </x:c>
      <x:c r="C26" s="66" t="str">
        <x:v>dry and wet commissioning events pass</x:v>
      </x:c>
      <x:c r="D26" s="66" t="str">
        <x:v>physical</x:v>
      </x:c>
      <x:c r="E26" s="66" t="n">
        <x:v>1</x:v>
      </x:c>
      <x:c r="F26" s="66" t="n">
        <x:f>IF(AND(G25="PASS",'Control Inputs'!D37&gt;=32,COUNTIF('Commissioning Matrix'!K7:K38,"PASS")=32),1,0)</x:f>
        <x:v>0</x:v>
      </x:c>
      <x:c r="G26" s="66" t="str">
        <x:f>IF(F26&gt;=E26,IF(D26="package","PLANNING PASS","PASS"),IF(D26="package","FAIL","OPEN"))</x:f>
        <x:v>OPEN</x:v>
      </x:c>
      <x:c r="H26" s="66" t="str">
        <x:v>first-event entry</x:v>
      </x:c>
      <x:c r="I26" s="66" t="str">
        <x:v>BLOCKED</x:v>
      </x:c>
      <x:c r="J26" s="68" t="str">
        <x:v>BLOCKED</x:v>
      </x:c>
    </x:row>
    <x:row r="27" ht="37" customHeight="1">
      <x:c r="B27" s="65" t="str">
        <x:v>G21</x:v>
      </x:c>
      <x:c r="C27" s="66" t="str">
        <x:v>first closure event admitted</x:v>
      </x:c>
      <x:c r="D27" s="66" t="str">
        <x:v>physical</x:v>
      </x:c>
      <x:c r="E27" s="66" t="n">
        <x:v>1</x:v>
      </x:c>
      <x:c r="F27" s="66" t="n">
        <x:f>IF(AND(G26="PASS",'Control Inputs'!D38&gt;=1,'First Run Cards'!I7="ADMITTED"),1,0)</x:f>
        <x:v>0</x:v>
      </x:c>
      <x:c r="G27" s="66" t="str">
        <x:f>IF(F27&gt;=E27,IF(D27="package","PLANNING PASS","PASS"),IF(D27="package","FAIL","OPEN"))</x:f>
        <x:v>OPEN</x:v>
      </x:c>
      <x:c r="H27" s="66" t="str">
        <x:v>closure-event credit</x:v>
      </x:c>
      <x:c r="I27" s="66" t="str">
        <x:v>BLOCKED</x:v>
      </x:c>
      <x:c r="J27" s="68" t="str">
        <x:v>BLOCKED</x:v>
      </x:c>
    </x:row>
    <x:row r="28" ht="37" customHeight="1">
      <x:c r="B28" s="70" t="str">
        <x:v>G22</x:v>
      </x:c>
      <x:c r="C28" s="71" t="str">
        <x:v>first damage event admitted</x:v>
      </x:c>
      <x:c r="D28" s="71" t="str">
        <x:v>physical</x:v>
      </x:c>
      <x:c r="E28" s="71" t="n">
        <x:v>1</x:v>
      </x:c>
      <x:c r="F28" s="71" t="n">
        <x:f>IF(AND(G27="PASS",'Control Inputs'!D39&gt;=1,'First Run Cards'!I8="ADMITTED"),1,0)</x:f>
        <x:v>0</x:v>
      </x:c>
      <x:c r="G28" s="71" t="str">
        <x:f>IF(F28&gt;=E28,IF(D28="package","PLANNING PASS","PASS"),IF(D28="package","FAIL","OPEN"))</x:f>
        <x:v>OPEN</x:v>
      </x:c>
      <x:c r="H28" s="71" t="str">
        <x:v>damage-event credit</x:v>
      </x:c>
      <x:c r="I28" s="71" t="str">
        <x:v>BLOCKED</x:v>
      </x:c>
      <x:c r="J28" s="73" t="str">
        <x:v>BLOCKED</x:v>
      </x:c>
    </x:row>
    <x:row r="29">
      <x:c r="B29" s="55"/>
      <x:c r="C29" s="55"/>
      <x:c r="D29" s="55"/>
      <x:c r="E29" s="55"/>
      <x:c r="F29" s="55"/>
      <x:c r="G29" s="55"/>
      <x:c r="H29" s="55"/>
      <x:c r="I29" s="55"/>
      <x:c r="J29" s="55"/>
    </x:row>
    <x:row r="30">
      <x:c r="B30" s="55"/>
      <x:c r="C30" s="55"/>
      <x:c r="D30" s="55"/>
      <x:c r="E30" s="55"/>
      <x:c r="F30" s="55"/>
      <x:c r="G30" s="55"/>
      <x:c r="H30" s="55"/>
      <x:c r="I30" s="55"/>
      <x:c r="J30" s="55"/>
    </x:row>
    <x:row r="31">
      <x:c r="B31" s="58" t="str">
        <x:v>Derived present states</x:v>
      </x:c>
      <x:c r="C31" s="59" t="str">
        <x:v>Derived present states</x:v>
      </x:c>
      <x:c r="D31" s="59" t="str">
        <x:v>Derived present states</x:v>
      </x:c>
      <x:c r="E31" s="59" t="str">
        <x:v>Derived present states</x:v>
      </x:c>
      <x:c r="F31" s="59" t="str">
        <x:v>Derived present states</x:v>
      </x:c>
      <x:c r="G31" s="59" t="str">
        <x:v>Derived present states</x:v>
      </x:c>
      <x:c r="H31" s="59" t="str">
        <x:v>Derived present states</x:v>
      </x:c>
      <x:c r="I31" s="59" t="str">
        <x:v>Derived present states</x:v>
      </x:c>
      <x:c r="J31" s="60" t="str">
        <x:v>Derived present states</x:v>
      </x:c>
    </x:row>
    <x:row r="32">
      <x:c r="B32" s="55" t="str">
        <x:v>Protocol drafting</x:v>
      </x:c>
      <x:c r="C32" s="55" t="str">
        <x:v>G01–G16</x:v>
      </x:c>
      <x:c r="D32" s="55" t="str">
        <x:f>IF(COUNTIF(G7:G22,"PLANNING PASS")=16,"AUTHORIZED","HOLD")</x:f>
        <x:v>AUTHORIZED</x:v>
      </x:c>
      <x:c r="E32" s="55"/>
      <x:c r="F32" s="55"/>
      <x:c r="G32" s="55"/>
      <x:c r="H32" s="55"/>
      <x:c r="I32" s="55"/>
      <x:c r="J32" s="55"/>
    </x:row>
    <x:row r="33">
      <x:c r="B33" s="55" t="str">
        <x:v>Artifact manufacture</x:v>
      </x:c>
      <x:c r="C33" s="55" t="str">
        <x:v>G17</x:v>
      </x:c>
      <x:c r="D33" s="55" t="str">
        <x:f>IF(G23="PASS","RELEASED","HOLD")</x:f>
        <x:v>HOLD</x:v>
      </x:c>
      <x:c r="E33" s="55"/>
      <x:c r="F33" s="55"/>
      <x:c r="G33" s="55"/>
      <x:c r="H33" s="55"/>
      <x:c r="I33" s="55"/>
      <x:c r="J33" s="55"/>
    </x:row>
    <x:row r="34">
      <x:c r="B34" s="55" t="str">
        <x:v>Calibration transfer</x:v>
      </x:c>
      <x:c r="C34" s="55" t="str">
        <x:v>G18</x:v>
      </x:c>
      <x:c r="D34" s="55" t="str">
        <x:f>IF(G24="PASS","RELEASED","HOLD")</x:f>
        <x:v>HOLD</x:v>
      </x:c>
      <x:c r="E34" s="55"/>
      <x:c r="F34" s="55"/>
      <x:c r="G34" s="55"/>
      <x:c r="H34" s="55"/>
      <x:c r="I34" s="55"/>
      <x:c r="J34" s="55"/>
    </x:row>
    <x:row r="35">
      <x:c r="B35" s="55" t="str">
        <x:v>Commissioning execution</x:v>
      </x:c>
      <x:c r="C35" s="55" t="str">
        <x:v>G19–G20</x:v>
      </x:c>
      <x:c r="D35" s="55" t="str">
        <x:f>IF(AND(G25="PASS",G26="PASS"),"RELEASED","HOLD")</x:f>
        <x:v>HOLD</x:v>
      </x:c>
      <x:c r="E35" s="55"/>
      <x:c r="F35" s="55"/>
      <x:c r="G35" s="55"/>
      <x:c r="H35" s="55"/>
      <x:c r="I35" s="55"/>
      <x:c r="J35" s="55"/>
    </x:row>
    <x:row r="36">
      <x:c r="B36" s="55" t="str">
        <x:v>First closure credit</x:v>
      </x:c>
      <x:c r="C36" s="55" t="str">
        <x:v>G21</x:v>
      </x:c>
      <x:c r="D36" s="55" t="str">
        <x:f>IF(G27="PASS","ADMITTED","HOLD")</x:f>
        <x:v>HOLD</x:v>
      </x:c>
      <x:c r="E36" s="55"/>
      <x:c r="F36" s="55"/>
      <x:c r="G36" s="55"/>
      <x:c r="H36" s="55"/>
      <x:c r="I36" s="55"/>
      <x:c r="J36" s="55"/>
    </x:row>
    <x:row r="37">
      <x:c r="B37" s="55" t="str">
        <x:v>First damage credit</x:v>
      </x:c>
      <x:c r="C37" s="55" t="str">
        <x:v>G22</x:v>
      </x:c>
      <x:c r="D37" s="55" t="str">
        <x:f>IF(G28="PASS","ADMITTED","HOLD")</x:f>
        <x:v>HOLD</x:v>
      </x:c>
      <x:c r="E37" s="55"/>
      <x:c r="F37" s="55"/>
      <x:c r="G37" s="55"/>
      <x:c r="H37" s="55"/>
      <x:c r="I37" s="55"/>
      <x:c r="J37" s="55"/>
    </x:row>
    <x:row r="38">
      <x:c r="B38" s="55" t="str">
        <x:v>Production/form</x:v>
      </x:c>
      <x:c r="C38" s="55" t="str">
        <x:v>parent F36 mission</x:v>
      </x:c>
      <x:c r="D38" s="55" t="str">
        <x:f>IF('Control Inputs'!D41=1,"AUTHORIZED","BLOCKED")</x:f>
        <x:v>BLOCKED</x:v>
      </x:c>
      <x:c r="E38" s="55"/>
      <x:c r="F38" s="55"/>
      <x:c r="G38" s="55"/>
      <x:c r="H38" s="55"/>
      <x:c r="I38" s="55"/>
      <x:c r="J38" s="55"/>
    </x:row>
    <x:row r="39">
      <x:c r="B39" s="55" t="str">
        <x:v>Exterior rendering</x:v>
      </x:c>
      <x:c r="C39" s="55" t="str">
        <x:v>production/form plus authority</x:v>
      </x:c>
      <x:c r="D39" s="55" t="str">
        <x:f>IF(AND(D38="AUTHORIZED",'Control Inputs'!D42=1),"AUTHORIZED","BLOCKED")</x:f>
        <x:v>BLOCKED</x:v>
      </x:c>
      <x:c r="E39" s="55"/>
      <x:c r="F39" s="55"/>
      <x:c r="G39" s="55"/>
      <x:c r="H39" s="55"/>
      <x:c r="I39" s="55"/>
      <x:c r="J39" s="55"/>
    </x:row>
  </x:sheetData>
  <x:mergeCells>
    <x:mergeCell ref="B3:J3"/>
    <x:mergeCell ref="B31:J31"/>
  </x:mergeCells>
  <x:conditionalFormatting sqref="G7:J28">
    <x:cfRule type="containsText" dxfId="496" priority="1" operator="containsText" text="FAIL"/>
    <x:cfRule type="containsText" dxfId="497" priority="2" operator="containsText" text="BLOCKED"/>
    <x:cfRule type="containsText" dxfId="498" priority="3" operator="containsText" text="HOLD"/>
    <x:cfRule type="containsText" dxfId="499" priority="4" operator="containsText" text="OPEN"/>
    <x:cfRule type="containsText" dxfId="500" priority="5" operator="containsText" text="UNTESTED"/>
    <x:cfRule type="containsText" dxfId="501" priority="6" operator="containsText" text="INDETERMINATE"/>
    <x:cfRule type="containsText" dxfId="502" priority="7" operator="containsText" text="INVALID"/>
    <x:cfRule type="containsText" dxfId="503" priority="8" operator="containsText" text="PASS"/>
    <x:cfRule type="containsText" dxfId="504" priority="9" operator="containsText" text="CLOSED"/>
    <x:cfRule type="containsText" dxfId="505" priority="10" operator="containsText" text="READY"/>
    <x:cfRule type="containsText" dxfId="506" priority="11" operator="containsText" text="AUTHORIZED"/>
    <x:cfRule type="containsText" dxfId="507" priority="12" operator="containsText" text="PLANNING PASS"/>
    <x:cfRule type="containsText" dxfId="508" priority="13" operator="containsText" text="COMPLETE"/>
    <x:cfRule type="containsText" dxfId="509" priority="14" operator="containsText" text="ACCEPTED"/>
    <x:cfRule type="containsText" dxfId="510" priority="15" operator="containsText" text="ADMITTED"/>
    <x:cfRule type="containsText" dxfId="511" priority="16" operator="containsText" text="RELEASED"/>
  </x:conditionalFormatting>
  <x:conditionalFormatting sqref="D32:D39">
    <x:cfRule type="containsText" dxfId="512" priority="17" operator="containsText" text="FAIL"/>
    <x:cfRule type="containsText" dxfId="513" priority="18" operator="containsText" text="BLOCKED"/>
    <x:cfRule type="containsText" dxfId="514" priority="19" operator="containsText" text="HOLD"/>
    <x:cfRule type="containsText" dxfId="515" priority="20" operator="containsText" text="OPEN"/>
    <x:cfRule type="containsText" dxfId="516" priority="21" operator="containsText" text="UNTESTED"/>
    <x:cfRule type="containsText" dxfId="517" priority="22" operator="containsText" text="INDETERMINATE"/>
    <x:cfRule type="containsText" dxfId="518" priority="23" operator="containsText" text="INVALID"/>
    <x:cfRule type="containsText" dxfId="519" priority="24" operator="containsText" text="PASS"/>
    <x:cfRule type="containsText" dxfId="520" priority="25" operator="containsText" text="CLOSED"/>
    <x:cfRule type="containsText" dxfId="521" priority="26" operator="containsText" text="READY"/>
    <x:cfRule type="containsText" dxfId="522" priority="27" operator="containsText" text="AUTHORIZED"/>
    <x:cfRule type="containsText" dxfId="523" priority="28" operator="containsText" text="PLANNING PASS"/>
    <x:cfRule type="containsText" dxfId="524" priority="29" operator="containsText" text="COMPLETE"/>
    <x:cfRule type="containsText" dxfId="525" priority="30" operator="containsText" text="ACCEPTED"/>
    <x:cfRule type="containsText" dxfId="526" priority="31" operator="containsText" text="ADMITTED"/>
    <x:cfRule type="containsText" dxfId="527" priority="32" operator="containsText" text="RELEASED"/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FF7F8C8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1" hidden="0" customWidth="1"/>
    <x:col min="3" max="3" width="43" hidden="0" customWidth="1"/>
    <x:col min="4" max="4" width="21" hidden="0" customWidth="1"/>
    <x:col min="5" max="5" width="21" hidden="0" customWidth="1"/>
    <x:col min="6" max="6" width="21" hidden="0" customWidth="1"/>
    <x:col min="7" max="7" width="15" hidden="0" customWidth="1"/>
    <x:col min="8" max="8" width="38" hidden="0" customWidth="1"/>
  </x:cols>
  <x:sheetData>
    <x:row r="2">
      <x:c r="B2" s="1" t="str">
        <x:v>Independent terminal audit</x:v>
      </x:c>
      <x:c r="C2" s="55"/>
      <x:c r="D2" s="55"/>
      <x:c r="E2" s="55"/>
      <x:c r="F2" s="55"/>
      <x:c r="G2" s="55"/>
      <x:c r="H2" s="55"/>
    </x:row>
    <x:row r="3">
      <x:c r="B3" s="2" t="str">
        <x:v>This sheet observes the model and feeds no output, control, calculation or release gate.</x:v>
      </x:c>
      <x:c r="C3" s="55"/>
      <x:c r="D3" s="55"/>
      <x:c r="E3" s="55"/>
      <x:c r="F3" s="55"/>
      <x:c r="G3" s="55"/>
      <x:c r="H3" s="55"/>
    </x:row>
    <x:row r="4">
      <x:c r="B4" s="57"/>
      <x:c r="C4" s="57"/>
      <x:c r="D4" s="57"/>
      <x:c r="E4" s="57"/>
      <x:c r="F4" s="57"/>
      <x:c r="G4" s="57"/>
      <x:c r="H4" s="57"/>
    </x:row>
    <x:row r="5">
      <x:c r="B5" s="55"/>
      <x:c r="C5" s="55"/>
      <x:c r="D5" s="55"/>
      <x:c r="E5" s="55"/>
      <x:c r="F5" s="55"/>
      <x:c r="G5" s="55"/>
      <x:c r="H5" s="55"/>
    </x:row>
    <x:row r="6">
      <x:c r="B6" s="15" t="str">
        <x:v>Check</x:v>
      </x:c>
      <x:c r="C6" s="16" t="str">
        <x:v>Control</x:v>
      </x:c>
      <x:c r="D6" s="16" t="str">
        <x:v>Actual</x:v>
      </x:c>
      <x:c r="E6" s="16" t="str">
        <x:v>Expected</x:v>
      </x:c>
      <x:c r="F6" s="16" t="str">
        <x:v>Difference</x:v>
      </x:c>
      <x:c r="G6" s="16" t="str">
        <x:v>Result</x:v>
      </x:c>
      <x:c r="H6" s="16" t="str">
        <x:v>Notes</x:v>
      </x:c>
    </x:row>
    <x:row r="7" ht="28" customHeight="1">
      <x:c r="B7" s="65" t="str">
        <x:v>AU01</x:v>
      </x:c>
      <x:c r="C7" s="66" t="str">
        <x:v>Control input count</x:v>
      </x:c>
      <x:c r="D7" s="81" t="n">
        <x:f>COUNTA('Control Inputs'!B7:B66)</x:f>
        <x:v>60</x:v>
      </x:c>
      <x:c r="E7" s="81" t="n">
        <x:v>60</x:v>
      </x:c>
      <x:c r="F7" s="81" t="n">
        <x:f>D7-E7</x:f>
        <x:v>0</x:v>
      </x:c>
      <x:c r="G7" s="66" t="str">
        <x:f>IF(ABS(F7)&lt;0.0001,"PASS","FAIL")</x:f>
        <x:v>PASS</x:v>
      </x:c>
      <x:c r="H7" s="68" t="str"/>
    </x:row>
    <x:row r="8" ht="28" customHeight="1">
      <x:c r="B8" s="65" t="str">
        <x:v>AU02</x:v>
      </x:c>
      <x:c r="C8" s="66" t="str">
        <x:v>Reference artifacts</x:v>
      </x:c>
      <x:c r="D8" s="81" t="n">
        <x:f>'Reference Registry'!D34</x:f>
        <x:v>24</x:v>
      </x:c>
      <x:c r="E8" s="81" t="n">
        <x:v>24</x:v>
      </x:c>
      <x:c r="F8" s="81" t="n">
        <x:f>D8-E8</x:f>
        <x:v>0</x:v>
      </x:c>
      <x:c r="G8" s="66" t="str">
        <x:f>IF(ABS(F8)&lt;0.0001,"PASS","FAIL")</x:f>
        <x:v>PASS</x:v>
      </x:c>
      <x:c r="H8" s="68" t="str"/>
    </x:row>
    <x:row r="9" ht="28" customHeight="1">
      <x:c r="B9" s="65" t="str">
        <x:v>AU03</x:v>
      </x:c>
      <x:c r="C9" s="66" t="str">
        <x:v>Reference classes</x:v>
      </x:c>
      <x:c r="D9" s="81" t="n">
        <x:f>'Reference Registry'!D35</x:f>
        <x:v>8</x:v>
      </x:c>
      <x:c r="E9" s="81" t="n">
        <x:v>8</x:v>
      </x:c>
      <x:c r="F9" s="81" t="n">
        <x:f>D9-E9</x:f>
        <x:v>0</x:v>
      </x:c>
      <x:c r="G9" s="66" t="str">
        <x:f>IF(ABS(F9)&lt;0.0001,"PASS","FAIL")</x:f>
        <x:v>PASS</x:v>
      </x:c>
      <x:c r="H9" s="68" t="str"/>
    </x:row>
    <x:row r="10" ht="28" customHeight="1">
      <x:c r="B10" s="65" t="str">
        <x:v>AU04</x:v>
      </x:c>
      <x:c r="C10" s="66" t="str">
        <x:v>Calibration records</x:v>
      </x:c>
      <x:c r="D10" s="81" t="n">
        <x:f>COUNTA('Calibration Chain'!B7:B18)</x:f>
        <x:v>12</x:v>
      </x:c>
      <x:c r="E10" s="81" t="n">
        <x:v>12</x:v>
      </x:c>
      <x:c r="F10" s="81" t="n">
        <x:f>D10-E10</x:f>
        <x:v>0</x:v>
      </x:c>
      <x:c r="G10" s="66" t="str">
        <x:f>IF(ABS(F10)&lt;0.0001,"PASS","FAIL")</x:f>
        <x:v>PASS</x:v>
      </x:c>
      <x:c r="H10" s="68" t="str"/>
    </x:row>
    <x:row r="11" ht="28" customHeight="1">
      <x:c r="B11" s="65" t="str">
        <x:v>AU05</x:v>
      </x:c>
      <x:c r="C11" s="66" t="str">
        <x:v>Calibration tiers</x:v>
      </x:c>
      <x:c r="D11" s="81" t="n">
        <x:f>IF(COUNTIF('Calibration Chain'!D7:D18,"T0")&gt;0,1,0)+IF(COUNTIF('Calibration Chain'!D7:D18,"T1")&gt;0,1,0)+IF(COUNTIF('Calibration Chain'!D7:D18,"T2")&gt;0,1,0)+IF(COUNTIF('Calibration Chain'!D7:D18,"T3")&gt;0,1,0)</x:f>
        <x:v>4</x:v>
      </x:c>
      <x:c r="E11" s="81" t="n">
        <x:v>4</x:v>
      </x:c>
      <x:c r="F11" s="81" t="n">
        <x:f>D11-E11</x:f>
        <x:v>0</x:v>
      </x:c>
      <x:c r="G11" s="66" t="str">
        <x:f>IF(ABS(F11)&lt;0.0001,"PASS","FAIL")</x:f>
        <x:v>PASS</x:v>
      </x:c>
      <x:c r="H11" s="68" t="str"/>
    </x:row>
    <x:row r="12" ht="28" customHeight="1">
      <x:c r="B12" s="65" t="str">
        <x:v>AU06</x:v>
      </x:c>
      <x:c r="C12" s="66" t="str">
        <x:v>Uncertainty quantities</x:v>
      </x:c>
      <x:c r="D12" s="81" t="n">
        <x:f>COUNTA('Uncertainty Budget'!B7:B14)</x:f>
        <x:v>8</x:v>
      </x:c>
      <x:c r="E12" s="81" t="n">
        <x:v>8</x:v>
      </x:c>
      <x:c r="F12" s="81" t="n">
        <x:f>D12-E12</x:f>
        <x:v>0</x:v>
      </x:c>
      <x:c r="G12" s="66" t="str">
        <x:f>IF(ABS(F12)&lt;0.0001,"PASS","FAIL")</x:f>
        <x:v>PASS</x:v>
      </x:c>
      <x:c r="H12" s="68" t="str"/>
    </x:row>
    <x:row r="13" ht="28" customHeight="1">
      <x:c r="B13" s="65" t="str">
        <x:v>AU07</x:v>
      </x:c>
      <x:c r="C13" s="66" t="str">
        <x:v>Fixture uncertainty share</x:v>
      </x:c>
      <x:c r="D13" s="81" t="n">
        <x:f>'Uncertainty Budget'!D18</x:f>
        <x:v>0.2</x:v>
      </x:c>
      <x:c r="E13" s="81" t="n">
        <x:v>0.2</x:v>
      </x:c>
      <x:c r="F13" s="81" t="n">
        <x:f>D13-E13</x:f>
        <x:v>0</x:v>
      </x:c>
      <x:c r="G13" s="66" t="str">
        <x:f>IF(ABS(F13)&lt;0.0001,"PASS","FAIL")</x:f>
        <x:v>PASS</x:v>
      </x:c>
      <x:c r="H13" s="68" t="str"/>
    </x:row>
    <x:row r="14" ht="28" customHeight="1">
      <x:c r="B14" s="65" t="str">
        <x:v>AU08</x:v>
      </x:c>
      <x:c r="C14" s="66" t="str">
        <x:v>Waveform phases</x:v>
      </x:c>
      <x:c r="D14" s="81" t="n">
        <x:f>COUNTA('Waveform Tolerance'!B7:B18)</x:f>
        <x:v>12</x:v>
      </x:c>
      <x:c r="E14" s="81" t="n">
        <x:v>12</x:v>
      </x:c>
      <x:c r="F14" s="81" t="n">
        <x:f>D14-E14</x:f>
        <x:v>0</x:v>
      </x:c>
      <x:c r="G14" s="66" t="str">
        <x:f>IF(ABS(F14)&lt;0.0001,"PASS","FAIL")</x:f>
        <x:v>PASS</x:v>
      </x:c>
      <x:c r="H14" s="68" t="str"/>
    </x:row>
    <x:row r="15" ht="28" customHeight="1">
      <x:c r="B15" s="65" t="str">
        <x:v>AU09</x:v>
      </x:c>
      <x:c r="C15" s="66" t="str">
        <x:v>Clocks</x:v>
      </x:c>
      <x:c r="D15" s="81" t="n">
        <x:f>COUNTA(Timebase!B7:B9)</x:f>
        <x:v>3</x:v>
      </x:c>
      <x:c r="E15" s="81" t="n">
        <x:v>3</x:v>
      </x:c>
      <x:c r="F15" s="81" t="n">
        <x:f>D15-E15</x:f>
        <x:v>0</x:v>
      </x:c>
      <x:c r="G15" s="66" t="str">
        <x:f>IF(ABS(F15)&lt;0.0001,"PASS","FAIL")</x:f>
        <x:v>PASS</x:v>
      </x:c>
      <x:c r="H15" s="68" t="str"/>
    </x:row>
    <x:row r="16" ht="28" customHeight="1">
      <x:c r="B16" s="65" t="str">
        <x:v>AU10</x:v>
      </x:c>
      <x:c r="C16" s="66" t="str">
        <x:v>Schema fields</x:v>
      </x:c>
      <x:c r="D16" s="81" t="n">
        <x:f>'Data Schema'!D37</x:f>
        <x:v>28</x:v>
      </x:c>
      <x:c r="E16" s="81" t="n">
        <x:v>28</x:v>
      </x:c>
      <x:c r="F16" s="81" t="n">
        <x:f>D16-E16</x:f>
        <x:v>0</x:v>
      </x:c>
      <x:c r="G16" s="66" t="str">
        <x:f>IF(ABS(F16)&lt;0.0001,"PASS","FAIL")</x:f>
        <x:v>PASS</x:v>
      </x:c>
      <x:c r="H16" s="68" t="str"/>
    </x:row>
    <x:row r="17" ht="28" customHeight="1">
      <x:c r="B17" s="65" t="str">
        <x:v>AU11</x:v>
      </x:c>
      <x:c r="C17" s="66" t="str">
        <x:v>Record classes declared</x:v>
      </x:c>
      <x:c r="D17" s="81" t="n">
        <x:f>'Control Inputs'!D21</x:f>
        <x:v>14</x:v>
      </x:c>
      <x:c r="E17" s="81" t="n">
        <x:v>14</x:v>
      </x:c>
      <x:c r="F17" s="81" t="n">
        <x:f>D17-E17</x:f>
        <x:v>0</x:v>
      </x:c>
      <x:c r="G17" s="66" t="str">
        <x:f>IF(ABS(F17)&lt;0.0001,"PASS","FAIL")</x:f>
        <x:v>PASS</x:v>
      </x:c>
      <x:c r="H17" s="68" t="str"/>
    </x:row>
    <x:row r="18" ht="28" customHeight="1">
      <x:c r="B18" s="65" t="str">
        <x:v>AU12</x:v>
      </x:c>
      <x:c r="C18" s="66" t="str">
        <x:v>Closure samples/second</x:v>
      </x:c>
      <x:c r="D18" s="81" t="n">
        <x:f>'Data Volume'!E15</x:f>
        <x:v>195080</x:v>
      </x:c>
      <x:c r="E18" s="81" t="n">
        <x:v>195080</x:v>
      </x:c>
      <x:c r="F18" s="81" t="n">
        <x:f>D18-E18</x:f>
        <x:v>0</x:v>
      </x:c>
      <x:c r="G18" s="66" t="str">
        <x:f>IF(ABS(F18)&lt;0.0001,"PASS","FAIL")</x:f>
        <x:v>PASS</x:v>
      </x:c>
      <x:c r="H18" s="68" t="str"/>
    </x:row>
    <x:row r="19" ht="28" customHeight="1">
      <x:c r="B19" s="65" t="str">
        <x:v>AU13</x:v>
      </x:c>
      <x:c r="C19" s="66" t="str">
        <x:v>Damage samples/second</x:v>
      </x:c>
      <x:c r="D19" s="81" t="n">
        <x:f>'Data Volume'!K15</x:f>
        <x:v>284000</x:v>
      </x:c>
      <x:c r="E19" s="81" t="n">
        <x:v>284000</x:v>
      </x:c>
      <x:c r="F19" s="81" t="n">
        <x:f>D19-E19</x:f>
        <x:v>0</x:v>
      </x:c>
      <x:c r="G19" s="66" t="str">
        <x:f>IF(ABS(F19)&lt;0.0001,"PASS","FAIL")</x:f>
        <x:v>PASS</x:v>
      </x:c>
      <x:c r="H19" s="68" t="str"/>
    </x:row>
    <x:row r="20" ht="28" customHeight="1">
      <x:c r="B20" s="65" t="str">
        <x:v>AU14</x:v>
      </x:c>
      <x:c r="C20" s="66" t="str">
        <x:v>Closure retained TB/article</x:v>
      </x:c>
      <x:c r="D20" s="81" t="n">
        <x:f>'Data Volume'!D21</x:f>
        <x:v>2.809152</x:v>
      </x:c>
      <x:c r="E20" s="81" t="n">
        <x:v>2.809152</x:v>
      </x:c>
      <x:c r="F20" s="81" t="n">
        <x:f>D20-E20</x:f>
        <x:v>0</x:v>
      </x:c>
      <x:c r="G20" s="66" t="str">
        <x:f>IF(ABS(F20)&lt;0.0001,"PASS","FAIL")</x:f>
        <x:v>PASS</x:v>
      </x:c>
      <x:c r="H20" s="68" t="str"/>
    </x:row>
    <x:row r="21" ht="28" customHeight="1">
      <x:c r="B21" s="65" t="str">
        <x:v>AU15</x:v>
      </x:c>
      <x:c r="C21" s="66" t="str">
        <x:v>Closure campaign TB</x:v>
      </x:c>
      <x:c r="D21" s="81" t="n">
        <x:f>'Data Volume'!D22</x:f>
        <x:v>202.258944</x:v>
      </x:c>
      <x:c r="E21" s="81" t="n">
        <x:v>202.258944</x:v>
      </x:c>
      <x:c r="F21" s="81" t="n">
        <x:f>D21-E21</x:f>
        <x:v>0</x:v>
      </x:c>
      <x:c r="G21" s="66" t="str">
        <x:f>IF(ABS(F21)&lt;0.0001,"PASS","FAIL")</x:f>
        <x:v>PASS</x:v>
      </x:c>
      <x:c r="H21" s="68" t="str"/>
    </x:row>
    <x:row r="22" ht="28" customHeight="1">
      <x:c r="B22" s="65" t="str">
        <x:v>AU16</x:v>
      </x:c>
      <x:c r="C22" s="66" t="str">
        <x:v>Damage retained GB/run</x:v>
      </x:c>
      <x:c r="D22" s="81" t="n">
        <x:f>'Data Volume'!D24</x:f>
        <x:v>245.376</x:v>
      </x:c>
      <x:c r="E22" s="81" t="n">
        <x:v>245.376</x:v>
      </x:c>
      <x:c r="F22" s="81" t="n">
        <x:f>D22-E22</x:f>
        <x:v>0</x:v>
      </x:c>
      <x:c r="G22" s="66" t="str">
        <x:f>IF(ABS(F22)&lt;0.0001,"PASS","FAIL")</x:f>
        <x:v>PASS</x:v>
      </x:c>
      <x:c r="H22" s="68" t="str"/>
    </x:row>
    <x:row r="23" ht="28" customHeight="1">
      <x:c r="B23" s="65" t="str">
        <x:v>AU17</x:v>
      </x:c>
      <x:c r="C23" s="66" t="str">
        <x:v>Damage campaign TB</x:v>
      </x:c>
      <x:c r="D23" s="81" t="n">
        <x:f>'Data Volume'!D25</x:f>
        <x:v>6.379776</x:v>
      </x:c>
      <x:c r="E23" s="81" t="n">
        <x:v>6.379776</x:v>
      </x:c>
      <x:c r="F23" s="81" t="n">
        <x:f>D23-E23</x:f>
        <x:v>0</x:v>
      </x:c>
      <x:c r="G23" s="66" t="str">
        <x:f>IF(ABS(F23)&lt;0.0001,"PASS","FAIL")</x:f>
        <x:v>PASS</x:v>
      </x:c>
      <x:c r="H23" s="68" t="str"/>
    </x:row>
    <x:row r="24" ht="28" customHeight="1">
      <x:c r="B24" s="65" t="str">
        <x:v>AU18</x:v>
      </x:c>
      <x:c r="C24" s="66" t="str">
        <x:v>Campaign estate TB</x:v>
      </x:c>
      <x:c r="D24" s="81" t="n">
        <x:f>'Data Volume'!D26</x:f>
        <x:v>271.230336</x:v>
      </x:c>
      <x:c r="E24" s="81" t="n">
        <x:v>271.230336</x:v>
      </x:c>
      <x:c r="F24" s="81" t="n">
        <x:f>D24-E24</x:f>
        <x:v>0</x:v>
      </x:c>
      <x:c r="G24" s="66" t="str">
        <x:f>IF(ABS(F24)&lt;0.0001,"PASS","FAIL")</x:f>
        <x:v>PASS</x:v>
      </x:c>
      <x:c r="H24" s="68" t="str"/>
    </x:row>
    <x:row r="25" ht="28" customHeight="1">
      <x:c r="B25" s="65" t="str">
        <x:v>AU19</x:v>
      </x:c>
      <x:c r="C25" s="66" t="str">
        <x:v>Randomization controls</x:v>
      </x:c>
      <x:c r="D25" s="81" t="n">
        <x:f>COUNTA(Randomization!B7:B16)</x:f>
        <x:v>10</x:v>
      </x:c>
      <x:c r="E25" s="81" t="n">
        <x:v>10</x:v>
      </x:c>
      <x:c r="F25" s="81" t="n">
        <x:f>D25-E25</x:f>
        <x:v>0</x:v>
      </x:c>
      <x:c r="G25" s="66" t="str">
        <x:f>IF(ABS(F25)&lt;0.0001,"PASS","FAIL")</x:f>
        <x:v>PASS</x:v>
      </x:c>
      <x:c r="H25" s="68" t="str"/>
    </x:row>
    <x:row r="26" ht="28" customHeight="1">
      <x:c r="B26" s="65" t="str">
        <x:v>AU20</x:v>
      </x:c>
      <x:c r="C26" s="66" t="str">
        <x:v>Creditable events</x:v>
      </x:c>
      <x:c r="D26" s="81" t="n">
        <x:f>Randomization!D21</x:f>
        <x:v>98</x:v>
      </x:c>
      <x:c r="E26" s="81" t="n">
        <x:v>98</x:v>
      </x:c>
      <x:c r="F26" s="81" t="n">
        <x:f>D26-E26</x:f>
        <x:v>0</x:v>
      </x:c>
      <x:c r="G26" s="66" t="str">
        <x:f>IF(ABS(F26)&lt;0.0001,"PASS","FAIL")</x:f>
        <x:v>PASS</x:v>
      </x:c>
      <x:c r="H26" s="68" t="str"/>
    </x:row>
    <x:row r="27" ht="28" customHeight="1">
      <x:c r="B27" s="65" t="str">
        <x:v>AU21</x:v>
      </x:c>
      <x:c r="C27" s="66" t="str">
        <x:v>Commissioning events</x:v>
      </x:c>
      <x:c r="D27" s="81" t="n">
        <x:f>'Commissioning Matrix'!D42</x:f>
        <x:v>32</x:v>
      </x:c>
      <x:c r="E27" s="81" t="n">
        <x:v>32</x:v>
      </x:c>
      <x:c r="F27" s="81" t="n">
        <x:f>D27-E27</x:f>
        <x:v>0</x:v>
      </x:c>
      <x:c r="G27" s="66" t="str">
        <x:f>IF(ABS(F27)&lt;0.0001,"PASS","FAIL")</x:f>
        <x:v>PASS</x:v>
      </x:c>
      <x:c r="H27" s="68" t="str"/>
    </x:row>
    <x:row r="28" ht="28" customHeight="1">
      <x:c r="B28" s="65" t="str">
        <x:v>AU22</x:v>
      </x:c>
      <x:c r="C28" s="66" t="str">
        <x:v>Closure commissioning events</x:v>
      </x:c>
      <x:c r="D28" s="81" t="n">
        <x:f>'Commissioning Matrix'!D43</x:f>
        <x:v>16</x:v>
      </x:c>
      <x:c r="E28" s="81" t="n">
        <x:v>16</x:v>
      </x:c>
      <x:c r="F28" s="81" t="n">
        <x:f>D28-E28</x:f>
        <x:v>0</x:v>
      </x:c>
      <x:c r="G28" s="66" t="str">
        <x:f>IF(ABS(F28)&lt;0.0001,"PASS","FAIL")</x:f>
        <x:v>PASS</x:v>
      </x:c>
      <x:c r="H28" s="68" t="str"/>
    </x:row>
    <x:row r="29" ht="28" customHeight="1">
      <x:c r="B29" s="65" t="str">
        <x:v>AU23</x:v>
      </x:c>
      <x:c r="C29" s="66" t="str">
        <x:v>Damage A commissioning events</x:v>
      </x:c>
      <x:c r="D29" s="81" t="n">
        <x:f>'Commissioning Matrix'!D44</x:f>
        <x:v>8</x:v>
      </x:c>
      <x:c r="E29" s="81" t="n">
        <x:v>8</x:v>
      </x:c>
      <x:c r="F29" s="81" t="n">
        <x:f>D29-E29</x:f>
        <x:v>0</x:v>
      </x:c>
      <x:c r="G29" s="66" t="str">
        <x:f>IF(ABS(F29)&lt;0.0001,"PASS","FAIL")</x:f>
        <x:v>PASS</x:v>
      </x:c>
      <x:c r="H29" s="68" t="str"/>
    </x:row>
    <x:row r="30" ht="28" customHeight="1">
      <x:c r="B30" s="65" t="str">
        <x:v>AU24</x:v>
      </x:c>
      <x:c r="C30" s="66" t="str">
        <x:v>Damage B commissioning events</x:v>
      </x:c>
      <x:c r="D30" s="81" t="n">
        <x:f>'Commissioning Matrix'!D45</x:f>
        <x:v>8</x:v>
      </x:c>
      <x:c r="E30" s="81" t="n">
        <x:v>8</x:v>
      </x:c>
      <x:c r="F30" s="81" t="n">
        <x:f>D30-E30</x:f>
        <x:v>0</x:v>
      </x:c>
      <x:c r="G30" s="66" t="str">
        <x:f>IF(ABS(F30)&lt;0.0001,"PASS","FAIL")</x:f>
        <x:v>PASS</x:v>
      </x:c>
      <x:c r="H30" s="68" t="str"/>
    </x:row>
    <x:row r="31" ht="28" customHeight="1">
      <x:c r="B31" s="65" t="str">
        <x:v>AU25</x:v>
      </x:c>
      <x:c r="C31" s="66" t="str">
        <x:v>Blank/recovery controls</x:v>
      </x:c>
      <x:c r="D31" s="81" t="n">
        <x:f>COUNTA('Blank &amp; Recovery'!B7:B16)</x:f>
        <x:v>10</x:v>
      </x:c>
      <x:c r="E31" s="81" t="n">
        <x:v>10</x:v>
      </x:c>
      <x:c r="F31" s="81" t="n">
        <x:f>D31-E31</x:f>
        <x:v>0</x:v>
      </x:c>
      <x:c r="G31" s="66" t="str">
        <x:f>IF(ABS(F31)&lt;0.0001,"PASS","FAIL")</x:f>
        <x:v>PASS</x:v>
      </x:c>
      <x:c r="H31" s="68" t="str"/>
    </x:row>
    <x:row r="32" ht="28" customHeight="1">
      <x:c r="B32" s="65" t="str">
        <x:v>AU26</x:v>
      </x:c>
      <x:c r="C32" s="66" t="str">
        <x:v>Invalid-run rules</x:v>
      </x:c>
      <x:c r="D32" s="81" t="n">
        <x:f>COUNTA('Invalid Run Rules'!B7:B16)</x:f>
        <x:v>10</x:v>
      </x:c>
      <x:c r="E32" s="81" t="n">
        <x:v>10</x:v>
      </x:c>
      <x:c r="F32" s="81" t="n">
        <x:f>D32-E32</x:f>
        <x:v>0</x:v>
      </x:c>
      <x:c r="G32" s="66" t="str">
        <x:f>IF(ABS(F32)&lt;0.0001,"PASS","FAIL")</x:f>
        <x:v>PASS</x:v>
      </x:c>
      <x:c r="H32" s="68" t="str"/>
    </x:row>
    <x:row r="33" ht="28" customHeight="1">
      <x:c r="B33" s="65" t="str">
        <x:v>AU27</x:v>
      </x:c>
      <x:c r="C33" s="66" t="str">
        <x:v>Packet objects</x:v>
      </x:c>
      <x:c r="D33" s="81" t="n">
        <x:f>COUNTA('Decision Packet'!B7:B24)</x:f>
        <x:v>18</x:v>
      </x:c>
      <x:c r="E33" s="81" t="n">
        <x:v>18</x:v>
      </x:c>
      <x:c r="F33" s="81" t="n">
        <x:f>D33-E33</x:f>
        <x:v>0</x:v>
      </x:c>
      <x:c r="G33" s="66" t="str">
        <x:f>IF(ABS(F33)&lt;0.0001,"PASS","FAIL")</x:f>
        <x:v>PASS</x:v>
      </x:c>
      <x:c r="H33" s="68" t="str"/>
    </x:row>
    <x:row r="34" ht="28" customHeight="1">
      <x:c r="B34" s="65" t="str">
        <x:v>AU28</x:v>
      </x:c>
      <x:c r="C34" s="66" t="str">
        <x:v>Authority transitions</x:v>
      </x:c>
      <x:c r="D34" s="81" t="n">
        <x:f>COUNTA('Authority Choreography'!B7:B24)</x:f>
        <x:v>18</x:v>
      </x:c>
      <x:c r="E34" s="81" t="n">
        <x:v>18</x:v>
      </x:c>
      <x:c r="F34" s="81" t="n">
        <x:f>D34-E34</x:f>
        <x:v>0</x:v>
      </x:c>
      <x:c r="G34" s="66" t="str">
        <x:f>IF(ABS(F34)&lt;0.0001,"PASS","FAIL")</x:f>
        <x:v>PASS</x:v>
      </x:c>
      <x:c r="H34" s="68" t="str"/>
    </x:row>
    <x:row r="35" ht="28" customHeight="1">
      <x:c r="B35" s="65" t="str">
        <x:v>AU29</x:v>
      </x:c>
      <x:c r="C35" s="66" t="str">
        <x:v>First-run cards</x:v>
      </x:c>
      <x:c r="D35" s="81" t="n">
        <x:f>COUNTA('First Run Cards'!B7:B8)</x:f>
        <x:v>2</x:v>
      </x:c>
      <x:c r="E35" s="81" t="n">
        <x:v>2</x:v>
      </x:c>
      <x:c r="F35" s="81" t="n">
        <x:f>D35-E35</x:f>
        <x:v>0</x:v>
      </x:c>
      <x:c r="G35" s="66" t="str">
        <x:f>IF(ABS(F35)&lt;0.0001,"PASS","FAIL")</x:f>
        <x:v>PASS</x:v>
      </x:c>
      <x:c r="H35" s="68" t="str"/>
    </x:row>
    <x:row r="36" ht="28" customHeight="1">
      <x:c r="B36" s="65" t="str">
        <x:v>AU30</x:v>
      </x:c>
      <x:c r="C36" s="66" t="str">
        <x:v>Schedule work packages</x:v>
      </x:c>
      <x:c r="D36" s="81" t="n">
        <x:f>COUNTA(Schedule!B7:B14)</x:f>
        <x:v>8</x:v>
      </x:c>
      <x:c r="E36" s="81" t="n">
        <x:v>8</x:v>
      </x:c>
      <x:c r="F36" s="81" t="n">
        <x:f>D36-E36</x:f>
        <x:v>0</x:v>
      </x:c>
      <x:c r="G36" s="66" t="str">
        <x:f>IF(ABS(F36)&lt;0.0001,"PASS","FAIL")</x:f>
        <x:v>PASS</x:v>
      </x:c>
      <x:c r="H36" s="68" t="str"/>
    </x:row>
    <x:row r="37" ht="28" customHeight="1">
      <x:c r="B37" s="65" t="str">
        <x:v>AU31</x:v>
      </x:c>
      <x:c r="C37" s="66" t="str">
        <x:v>Schedule end month</x:v>
      </x:c>
      <x:c r="D37" s="81" t="n">
        <x:f>Schedule!D18</x:f>
        <x:v>18</x:v>
      </x:c>
      <x:c r="E37" s="81" t="n">
        <x:v>18</x:v>
      </x:c>
      <x:c r="F37" s="81" t="n">
        <x:f>D37-E37</x:f>
        <x:v>0</x:v>
      </x:c>
      <x:c r="G37" s="66" t="str">
        <x:f>IF(ABS(F37)&lt;0.0001,"PASS","FAIL")</x:f>
        <x:v>PASS</x:v>
      </x:c>
      <x:c r="H37" s="68" t="str"/>
    </x:row>
    <x:row r="38" ht="28" customHeight="1">
      <x:c r="B38" s="65" t="str">
        <x:v>AU32</x:v>
      </x:c>
      <x:c r="C38" s="66" t="str">
        <x:v>Capital uses</x:v>
      </x:c>
      <x:c r="D38" s="81" t="n">
        <x:f>COUNTA('Capital Control'!B7:B15)</x:f>
        <x:v>9</x:v>
      </x:c>
      <x:c r="E38" s="81" t="n">
        <x:v>9</x:v>
      </x:c>
      <x:c r="F38" s="81" t="n">
        <x:f>D38-E38</x:f>
        <x:v>0</x:v>
      </x:c>
      <x:c r="G38" s="66" t="str">
        <x:f>IF(ABS(F38)&lt;0.0001,"PASS","FAIL")</x:f>
        <x:v>PASS</x:v>
      </x:c>
      <x:c r="H38" s="68" t="str"/>
    </x:row>
    <x:row r="39" ht="28" customHeight="1">
      <x:c r="B39" s="65" t="str">
        <x:v>AU33</x:v>
      </x:c>
      <x:c r="C39" s="66" t="str">
        <x:v>Capital total</x:v>
      </x:c>
      <x:c r="D39" s="81" t="n">
        <x:f>'Capital Control'!D18</x:f>
        <x:v>0.42000000000000004</x:v>
      </x:c>
      <x:c r="E39" s="81" t="n">
        <x:v>0.42</x:v>
      </x:c>
      <x:c r="F39" s="81" t="n">
        <x:f>D39-E39</x:f>
        <x:v>5.551115123125783e-17</x:v>
      </x:c>
      <x:c r="G39" s="66" t="str">
        <x:f>IF(ABS(F39)&lt;0.0001,"PASS","FAIL")</x:f>
        <x:v>PASS</x:v>
      </x:c>
      <x:c r="H39" s="68" t="str"/>
    </x:row>
    <x:row r="40" ht="28" customHeight="1">
      <x:c r="B40" s="65" t="str">
        <x:v>AU34</x:v>
      </x:c>
      <x:c r="C40" s="66" t="str">
        <x:v>Capital parent boundary</x:v>
      </x:c>
      <x:c r="D40" s="81" t="n">
        <x:f>'Capital Control'!D19</x:f>
        <x:v>1.48</x:v>
      </x:c>
      <x:c r="E40" s="81" t="n">
        <x:v>1.48</x:v>
      </x:c>
      <x:c r="F40" s="81" t="n">
        <x:f>D40-E40</x:f>
        <x:v>0</x:v>
      </x:c>
      <x:c r="G40" s="66" t="str">
        <x:f>IF(ABS(F40)&lt;0.0001,"PASS","FAIL")</x:f>
        <x:v>PASS</x:v>
      </x:c>
      <x:c r="H40" s="68" t="str"/>
    </x:row>
    <x:row r="41" ht="28" customHeight="1">
      <x:c r="B41" s="65" t="str">
        <x:v>AU35</x:v>
      </x:c>
      <x:c r="C41" s="66" t="str">
        <x:v>Annual uses</x:v>
      </x:c>
      <x:c r="D41" s="81" t="n">
        <x:f>COUNTA('Annual Support'!B7:B12)</x:f>
        <x:v>6</x:v>
      </x:c>
      <x:c r="E41" s="81" t="n">
        <x:v>6</x:v>
      </x:c>
      <x:c r="F41" s="81" t="n">
        <x:f>D41-E41</x:f>
        <x:v>0</x:v>
      </x:c>
      <x:c r="G41" s="66" t="str">
        <x:f>IF(ABS(F41)&lt;0.0001,"PASS","FAIL")</x:f>
        <x:v>PASS</x:v>
      </x:c>
      <x:c r="H41" s="68" t="str"/>
    </x:row>
    <x:row r="42" ht="28" customHeight="1">
      <x:c r="B42" s="65" t="str">
        <x:v>AU36</x:v>
      </x:c>
      <x:c r="C42" s="66" t="str">
        <x:v>Annual total</x:v>
      </x:c>
      <x:c r="D42" s="81" t="n">
        <x:f>'Annual Support'!D15</x:f>
        <x:v>0.086</x:v>
      </x:c>
      <x:c r="E42" s="81" t="n">
        <x:v>0.086</x:v>
      </x:c>
      <x:c r="F42" s="81" t="n">
        <x:f>D42-E42</x:f>
        <x:v>0</x:v>
      </x:c>
      <x:c r="G42" s="66" t="str">
        <x:f>IF(ABS(F42)&lt;0.0001,"PASS","FAIL")</x:f>
        <x:v>PASS</x:v>
      </x:c>
      <x:c r="H42" s="68" t="str"/>
    </x:row>
    <x:row r="43" ht="28" customHeight="1">
      <x:c r="B43" s="65" t="str">
        <x:v>AU37</x:v>
      </x:c>
      <x:c r="C43" s="66" t="str">
        <x:v>Annual parent boundary</x:v>
      </x:c>
      <x:c r="D43" s="81" t="n">
        <x:f>'Annual Support'!D16</x:f>
        <x:v>0.192</x:v>
      </x:c>
      <x:c r="E43" s="81" t="n">
        <x:v>0.192</x:v>
      </x:c>
      <x:c r="F43" s="81" t="n">
        <x:f>D43-E43</x:f>
        <x:v>0</x:v>
      </x:c>
      <x:c r="G43" s="66" t="str">
        <x:f>IF(ABS(F43)&lt;0.0001,"PASS","FAIL")</x:f>
        <x:v>PASS</x:v>
      </x:c>
      <x:c r="H43" s="68" t="str"/>
    </x:row>
    <x:row r="44" ht="28" customHeight="1">
      <x:c r="B44" s="65" t="str">
        <x:v>AU38</x:v>
      </x:c>
      <x:c r="C44" s="66" t="str">
        <x:v>Release gates</x:v>
      </x:c>
      <x:c r="D44" s="81" t="n">
        <x:f>COUNTA('Release Gates'!B7:B28)</x:f>
        <x:v>22</x:v>
      </x:c>
      <x:c r="E44" s="81" t="n">
        <x:v>22</x:v>
      </x:c>
      <x:c r="F44" s="81" t="n">
        <x:f>D44-E44</x:f>
        <x:v>0</x:v>
      </x:c>
      <x:c r="G44" s="66" t="str">
        <x:f>IF(ABS(F44)&lt;0.0001,"PASS","FAIL")</x:f>
        <x:v>PASS</x:v>
      </x:c>
      <x:c r="H44" s="68" t="str"/>
    </x:row>
    <x:row r="45" ht="28" customHeight="1">
      <x:c r="B45" s="65" t="str">
        <x:v>AU39</x:v>
      </x:c>
      <x:c r="C45" s="66" t="str">
        <x:v>Planning gates passing</x:v>
      </x:c>
      <x:c r="D45" s="81" t="n">
        <x:f>COUNTIF('Release Gates'!G7:G22,"PLANNING PASS")</x:f>
        <x:v>16</x:v>
      </x:c>
      <x:c r="E45" s="81" t="n">
        <x:v>16</x:v>
      </x:c>
      <x:c r="F45" s="81" t="n">
        <x:f>D45-E45</x:f>
        <x:v>0</x:v>
      </x:c>
      <x:c r="G45" s="66" t="str">
        <x:f>IF(ABS(F45)&lt;0.0001,"PASS","FAIL")</x:f>
        <x:v>PASS</x:v>
      </x:c>
      <x:c r="H45" s="68" t="str"/>
    </x:row>
    <x:row r="46" ht="28" customHeight="1">
      <x:c r="B46" s="65" t="str">
        <x:v>AU40</x:v>
      </x:c>
      <x:c r="C46" s="66" t="str">
        <x:v>Physical gates passing</x:v>
      </x:c>
      <x:c r="D46" s="81" t="n">
        <x:f>COUNTIF('Release Gates'!G23:G28,"PASS")</x:f>
        <x:v>0</x:v>
      </x:c>
      <x:c r="E46" s="81" t="n">
        <x:v>0</x:v>
      </x:c>
      <x:c r="F46" s="81" t="n">
        <x:f>D46-E46</x:f>
        <x:v>0</x:v>
      </x:c>
      <x:c r="G46" s="66" t="str">
        <x:f>IF(ABS(F46)&lt;0.0001,"PASS","FAIL")</x:f>
        <x:v>PASS</x:v>
      </x:c>
      <x:c r="H46" s="68" t="str">
        <x:v>physical or authority state intentionally zero/held</x:v>
      </x:c>
    </x:row>
    <x:row r="47" ht="28" customHeight="1">
      <x:c r="B47" s="65" t="str">
        <x:v>AU41</x:v>
      </x:c>
      <x:c r="C47" s="66" t="str">
        <x:v>Protocol drafting authorized</x:v>
      </x:c>
      <x:c r="D47" s="81" t="n">
        <x:f>IF('Release Gates'!D32="AUTHORIZED",1,0)</x:f>
        <x:v>1</x:v>
      </x:c>
      <x:c r="E47" s="81" t="n">
        <x:v>1</x:v>
      </x:c>
      <x:c r="F47" s="81" t="n">
        <x:f>D47-E47</x:f>
        <x:v>0</x:v>
      </x:c>
      <x:c r="G47" s="66" t="str">
        <x:f>IF(ABS(F47)&lt;0.0001,"PASS","FAIL")</x:f>
        <x:v>PASS</x:v>
      </x:c>
      <x:c r="H47" s="68" t="str">
        <x:v>physical or authority state intentionally zero/held</x:v>
      </x:c>
    </x:row>
    <x:row r="48" ht="28" customHeight="1">
      <x:c r="B48" s="65" t="str">
        <x:v>AU42</x:v>
      </x:c>
      <x:c r="C48" s="66" t="str">
        <x:v>Artifact manufacture held</x:v>
      </x:c>
      <x:c r="D48" s="81" t="n">
        <x:f>IF('Release Gates'!D33="HOLD",1,0)</x:f>
        <x:v>1</x:v>
      </x:c>
      <x:c r="E48" s="81" t="n">
        <x:v>1</x:v>
      </x:c>
      <x:c r="F48" s="81" t="n">
        <x:f>D48-E48</x:f>
        <x:v>0</x:v>
      </x:c>
      <x:c r="G48" s="66" t="str">
        <x:f>IF(ABS(F48)&lt;0.0001,"PASS","FAIL")</x:f>
        <x:v>PASS</x:v>
      </x:c>
      <x:c r="H48" s="68" t="str">
        <x:v>physical or authority state intentionally zero/held</x:v>
      </x:c>
    </x:row>
    <x:row r="49" ht="28" customHeight="1">
      <x:c r="B49" s="65" t="str">
        <x:v>AU43</x:v>
      </x:c>
      <x:c r="C49" s="66" t="str">
        <x:v>Calibration transfer held</x:v>
      </x:c>
      <x:c r="D49" s="81" t="n">
        <x:f>IF('Release Gates'!D34="HOLD",1,0)</x:f>
        <x:v>1</x:v>
      </x:c>
      <x:c r="E49" s="81" t="n">
        <x:v>1</x:v>
      </x:c>
      <x:c r="F49" s="81" t="n">
        <x:f>D49-E49</x:f>
        <x:v>0</x:v>
      </x:c>
      <x:c r="G49" s="66" t="str">
        <x:f>IF(ABS(F49)&lt;0.0001,"PASS","FAIL")</x:f>
        <x:v>PASS</x:v>
      </x:c>
      <x:c r="H49" s="68" t="str">
        <x:v>physical or authority state intentionally zero/held</x:v>
      </x:c>
    </x:row>
    <x:row r="50" ht="28" customHeight="1">
      <x:c r="B50" s="65" t="str">
        <x:v>AU44</x:v>
      </x:c>
      <x:c r="C50" s="66" t="str">
        <x:v>Commissioning execution held</x:v>
      </x:c>
      <x:c r="D50" s="81" t="n">
        <x:f>IF('Release Gates'!D35="HOLD",1,0)</x:f>
        <x:v>1</x:v>
      </x:c>
      <x:c r="E50" s="81" t="n">
        <x:v>1</x:v>
      </x:c>
      <x:c r="F50" s="81" t="n">
        <x:f>D50-E50</x:f>
        <x:v>0</x:v>
      </x:c>
      <x:c r="G50" s="66" t="str">
        <x:f>IF(ABS(F50)&lt;0.0001,"PASS","FAIL")</x:f>
        <x:v>PASS</x:v>
      </x:c>
      <x:c r="H50" s="68" t="str">
        <x:v>physical or authority state intentionally zero/held</x:v>
      </x:c>
    </x:row>
    <x:row r="51" ht="28" customHeight="1">
      <x:c r="B51" s="65" t="str">
        <x:v>AU45</x:v>
      </x:c>
      <x:c r="C51" s="66" t="str">
        <x:v>First closure held</x:v>
      </x:c>
      <x:c r="D51" s="81" t="n">
        <x:f>IF('Release Gates'!D36="HOLD",1,0)</x:f>
        <x:v>1</x:v>
      </x:c>
      <x:c r="E51" s="81" t="n">
        <x:v>1</x:v>
      </x:c>
      <x:c r="F51" s="81" t="n">
        <x:f>D51-E51</x:f>
        <x:v>0</x:v>
      </x:c>
      <x:c r="G51" s="66" t="str">
        <x:f>IF(ABS(F51)&lt;0.0001,"PASS","FAIL")</x:f>
        <x:v>PASS</x:v>
      </x:c>
      <x:c r="H51" s="68" t="str">
        <x:v>physical or authority state intentionally zero/held</x:v>
      </x:c>
    </x:row>
    <x:row r="52" ht="28" customHeight="1">
      <x:c r="B52" s="65" t="str">
        <x:v>AU46</x:v>
      </x:c>
      <x:c r="C52" s="66" t="str">
        <x:v>First damage held</x:v>
      </x:c>
      <x:c r="D52" s="81" t="n">
        <x:f>IF('Release Gates'!D37="HOLD",1,0)</x:f>
        <x:v>1</x:v>
      </x:c>
      <x:c r="E52" s="81" t="n">
        <x:v>1</x:v>
      </x:c>
      <x:c r="F52" s="81" t="n">
        <x:f>D52-E52</x:f>
        <x:v>0</x:v>
      </x:c>
      <x:c r="G52" s="66" t="str">
        <x:f>IF(ABS(F52)&lt;0.0001,"PASS","FAIL")</x:f>
        <x:v>PASS</x:v>
      </x:c>
      <x:c r="H52" s="68" t="str">
        <x:v>physical or authority state intentionally zero/held</x:v>
      </x:c>
    </x:row>
    <x:row r="53" ht="28" customHeight="1">
      <x:c r="B53" s="65" t="str">
        <x:v>AU47</x:v>
      </x:c>
      <x:c r="C53" s="66" t="str">
        <x:v>Production/form blocked</x:v>
      </x:c>
      <x:c r="D53" s="81" t="n">
        <x:f>IF('Release Gates'!D38="BLOCKED",1,0)</x:f>
        <x:v>1</x:v>
      </x:c>
      <x:c r="E53" s="81" t="n">
        <x:v>1</x:v>
      </x:c>
      <x:c r="F53" s="81" t="n">
        <x:f>D53-E53</x:f>
        <x:v>0</x:v>
      </x:c>
      <x:c r="G53" s="66" t="str">
        <x:f>IF(ABS(F53)&lt;0.0001,"PASS","FAIL")</x:f>
        <x:v>PASS</x:v>
      </x:c>
      <x:c r="H53" s="68" t="str">
        <x:v>physical or authority state intentionally zero/held</x:v>
      </x:c>
    </x:row>
    <x:row r="54" ht="28" customHeight="1">
      <x:c r="B54" s="65" t="str">
        <x:v>AU48</x:v>
      </x:c>
      <x:c r="C54" s="66" t="str">
        <x:v>Exterior rendering blocked</x:v>
      </x:c>
      <x:c r="D54" s="81" t="n">
        <x:f>IF('Release Gates'!D39="BLOCKED",1,0)</x:f>
        <x:v>1</x:v>
      </x:c>
      <x:c r="E54" s="81" t="n">
        <x:v>1</x:v>
      </x:c>
      <x:c r="F54" s="81" t="n">
        <x:f>D54-E54</x:f>
        <x:v>0</x:v>
      </x:c>
      <x:c r="G54" s="66" t="str">
        <x:f>IF(ABS(F54)&lt;0.0001,"PASS","FAIL")</x:f>
        <x:v>PASS</x:v>
      </x:c>
      <x:c r="H54" s="68" t="str">
        <x:v>physical or authority state intentionally zero/held</x:v>
      </x:c>
    </x:row>
    <x:row r="55" ht="28" customHeight="1">
      <x:c r="B55" s="65" t="str">
        <x:v>AU49</x:v>
      </x:c>
      <x:c r="C55" s="66" t="str">
        <x:v>Original copies</x:v>
      </x:c>
      <x:c r="D55" s="81" t="n">
        <x:f>'Control Inputs'!D15</x:f>
        <x:v>2</x:v>
      </x:c>
      <x:c r="E55" s="81" t="n">
        <x:v>2</x:v>
      </x:c>
      <x:c r="F55" s="81" t="n">
        <x:f>D55-E55</x:f>
        <x:v>0</x:v>
      </x:c>
      <x:c r="G55" s="66" t="str">
        <x:f>IF(ABS(F55)&lt;0.0001,"PASS","FAIL")</x:f>
        <x:v>PASS</x:v>
      </x:c>
      <x:c r="H55" s="68" t="str">
        <x:v>physical or authority state intentionally zero/held</x:v>
      </x:c>
    </x:row>
    <x:row r="56" ht="28" customHeight="1">
      <x:c r="B56" s="65" t="str">
        <x:v>AU50</x:v>
      </x:c>
      <x:c r="C56" s="66" t="str">
        <x:v>Commit-reveal authorities</x:v>
      </x:c>
      <x:c r="D56" s="81" t="n">
        <x:f>'Control Inputs'!D61</x:f>
        <x:v>3</x:v>
      </x:c>
      <x:c r="E56" s="81" t="n">
        <x:v>3</x:v>
      </x:c>
      <x:c r="F56" s="81" t="n">
        <x:f>D56-E56</x:f>
        <x:v>0</x:v>
      </x:c>
      <x:c r="G56" s="66" t="str">
        <x:f>IF(ABS(F56)&lt;0.0001,"PASS","FAIL")</x:f>
        <x:v>PASS</x:v>
      </x:c>
      <x:c r="H56" s="68" t="str">
        <x:v>physical or authority state intentionally zero/held</x:v>
      </x:c>
    </x:row>
    <x:row r="57" ht="28" customHeight="1">
      <x:c r="B57" s="65" t="str">
        <x:v>AU51</x:v>
      </x:c>
      <x:c r="C57" s="66" t="str">
        <x:v>Consecutive-root cap</x:v>
      </x:c>
      <x:c r="D57" s="81" t="n">
        <x:f>'Control Inputs'!D60</x:f>
        <x:v>2</x:v>
      </x:c>
      <x:c r="E57" s="81" t="n">
        <x:v>2</x:v>
      </x:c>
      <x:c r="F57" s="81" t="n">
        <x:f>D57-E57</x:f>
        <x:v>0</x:v>
      </x:c>
      <x:c r="G57" s="66" t="str">
        <x:f>IF(ABS(F57)&lt;0.0001,"PASS","FAIL")</x:f>
        <x:v>PASS</x:v>
      </x:c>
      <x:c r="H57" s="68" t="str">
        <x:v>physical or authority state intentionally zero/held</x:v>
      </x:c>
    </x:row>
    <x:row r="58" ht="28" customHeight="1">
      <x:c r="B58" s="65" t="str">
        <x:v>AU52</x:v>
      </x:c>
      <x:c r="C58" s="66" t="str">
        <x:v>Physical reference count</x:v>
      </x:c>
      <x:c r="D58" s="81" t="n">
        <x:f>'Control Inputs'!D35</x:f>
        <x:v>0</x:v>
      </x:c>
      <x:c r="E58" s="81" t="n">
        <x:v>0</x:v>
      </x:c>
      <x:c r="F58" s="81" t="n">
        <x:f>D58-E58</x:f>
        <x:v>0</x:v>
      </x:c>
      <x:c r="G58" s="66" t="str">
        <x:f>IF(ABS(F58)&lt;0.0001,"PASS","FAIL")</x:f>
        <x:v>PASS</x:v>
      </x:c>
      <x:c r="H58" s="68" t="str">
        <x:v>physical or authority state intentionally zero/held</x:v>
      </x:c>
    </x:row>
    <x:row r="59" ht="28" customHeight="1">
      <x:c r="B59" s="65" t="str">
        <x:v>AU53</x:v>
      </x:c>
      <x:c r="C59" s="66" t="str">
        <x:v>Commissioning passes</x:v>
      </x:c>
      <x:c r="D59" s="81" t="n">
        <x:f>'Control Inputs'!D37</x:f>
        <x:v>0</x:v>
      </x:c>
      <x:c r="E59" s="81" t="n">
        <x:v>0</x:v>
      </x:c>
      <x:c r="F59" s="81" t="n">
        <x:f>D59-E59</x:f>
        <x:v>0</x:v>
      </x:c>
      <x:c r="G59" s="66" t="str">
        <x:f>IF(ABS(F59)&lt;0.0001,"PASS","FAIL")</x:f>
        <x:v>PASS</x:v>
      </x:c>
      <x:c r="H59" s="68" t="str">
        <x:v>physical or authority state intentionally zero/held</x:v>
      </x:c>
    </x:row>
    <x:row r="60" ht="28" customHeight="1">
      <x:c r="B60" s="65" t="str">
        <x:v>AU54</x:v>
      </x:c>
      <x:c r="C60" s="66" t="str">
        <x:v>First closure admissions</x:v>
      </x:c>
      <x:c r="D60" s="81" t="n">
        <x:f>'Control Inputs'!D38</x:f>
        <x:v>0</x:v>
      </x:c>
      <x:c r="E60" s="81" t="n">
        <x:v>0</x:v>
      </x:c>
      <x:c r="F60" s="81" t="n">
        <x:f>D60-E60</x:f>
        <x:v>0</x:v>
      </x:c>
      <x:c r="G60" s="66" t="str">
        <x:f>IF(ABS(F60)&lt;0.0001,"PASS","FAIL")</x:f>
        <x:v>PASS</x:v>
      </x:c>
      <x:c r="H60" s="68" t="str">
        <x:v>physical or authority state intentionally zero/held</x:v>
      </x:c>
    </x:row>
    <x:row r="61" ht="28" customHeight="1">
      <x:c r="B61" s="70" t="str">
        <x:v>AU55</x:v>
      </x:c>
      <x:c r="C61" s="71" t="str">
        <x:v>First damage admissions</x:v>
      </x:c>
      <x:c r="D61" s="82" t="n">
        <x:f>'Control Inputs'!D39</x:f>
        <x:v>0</x:v>
      </x:c>
      <x:c r="E61" s="82" t="n">
        <x:v>0</x:v>
      </x:c>
      <x:c r="F61" s="82" t="n">
        <x:f>D61-E61</x:f>
        <x:v>0</x:v>
      </x:c>
      <x:c r="G61" s="71" t="str">
        <x:f>IF(ABS(F61)&lt;0.0001,"PASS","FAIL")</x:f>
        <x:v>PASS</x:v>
      </x:c>
      <x:c r="H61" s="73" t="str">
        <x:v>physical or authority state intentionally zero/held</x:v>
      </x:c>
    </x:row>
  </x:sheetData>
  <x:mergeCells>
    <x:mergeCell ref="B3:H3"/>
  </x:mergeCells>
  <x:conditionalFormatting sqref="G7:G61">
    <x:cfRule type="containsText" dxfId="528" priority="1" operator="containsText" text="FAIL"/>
    <x:cfRule type="containsText" dxfId="529" priority="2" operator="containsText" text="BLOCKED"/>
    <x:cfRule type="containsText" dxfId="530" priority="3" operator="containsText" text="HOLD"/>
    <x:cfRule type="containsText" dxfId="531" priority="4" operator="containsText" text="OPEN"/>
    <x:cfRule type="containsText" dxfId="532" priority="5" operator="containsText" text="UNTESTED"/>
    <x:cfRule type="containsText" dxfId="533" priority="6" operator="containsText" text="INDETERMINATE"/>
    <x:cfRule type="containsText" dxfId="534" priority="7" operator="containsText" text="INVALID"/>
    <x:cfRule type="containsText" dxfId="535" priority="8" operator="containsText" text="PASS"/>
    <x:cfRule type="containsText" dxfId="536" priority="9" operator="containsText" text="CLOSED"/>
    <x:cfRule type="containsText" dxfId="537" priority="10" operator="containsText" text="READY"/>
    <x:cfRule type="containsText" dxfId="538" priority="11" operator="containsText" text="AUTHORIZED"/>
    <x:cfRule type="containsText" dxfId="539" priority="12" operator="containsText" text="PLANNING PASS"/>
    <x:cfRule type="containsText" dxfId="540" priority="13" operator="containsText" text="COMPLETE"/>
    <x:cfRule type="containsText" dxfId="541" priority="14" operator="containsText" text="ACCEPTED"/>
    <x:cfRule type="containsText" dxfId="542" priority="15" operator="containsText" text="ADMITTED"/>
    <x:cfRule type="containsText" dxfId="543" priority="16" operator="containsText" text="RELEASED"/>
  </x:conditionalFormatting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Pr>
    <x:tabColor rgb="FF8C6D3F"/>
  </x:sheetPr>
  <x:sheetViews>
    <x:sheetView showGridLines="0" workbookViewId="0"/>
  </x:sheetViews>
  <x:sheetFormatPr defaultRowHeight="15"/>
  <x:cols>
    <x:col min="2" max="2" width="29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2">
      <x:c r="B2" s="1" t="str">
        <x:v>Workbook method and limitations</x:v>
      </x:c>
      <x:c r="C2" s="55"/>
      <x:c r="D2" s="55"/>
      <x:c r="E2" s="55"/>
      <x:c r="F2" s="55"/>
      <x:c r="G2" s="55"/>
      <x:c r="H2" s="55"/>
      <x:c r="I2" s="55"/>
      <x:c r="J2" s="55"/>
    </x:row>
    <x:row r="3">
      <x:c r="B3" s="2" t="str">
        <x:v>A prospective commissioning constitution with no vendor data, observed performance or adopted engineering standard.</x:v>
      </x:c>
      <x:c r="C3" s="55"/>
      <x:c r="D3" s="55"/>
      <x:c r="E3" s="55"/>
      <x:c r="F3" s="55"/>
      <x:c r="G3" s="55"/>
      <x:c r="H3" s="55"/>
      <x:c r="I3" s="55"/>
      <x:c r="J3" s="55"/>
    </x:row>
    <x:row r="4">
      <x:c r="B4" s="57"/>
      <x:c r="C4" s="57"/>
      <x:c r="D4" s="57"/>
      <x:c r="E4" s="57"/>
      <x:c r="F4" s="57"/>
      <x:c r="G4" s="57"/>
      <x:c r="H4" s="57"/>
      <x:c r="I4" s="57"/>
      <x:c r="J4" s="57"/>
    </x:row>
    <x:row r="5">
      <x:c r="B5" s="55"/>
      <x:c r="C5" s="55"/>
      <x:c r="D5" s="55"/>
      <x:c r="E5" s="55"/>
      <x:c r="F5" s="55"/>
      <x:c r="G5" s="55"/>
      <x:c r="H5" s="55"/>
      <x:c r="I5" s="55"/>
      <x:c r="J5" s="55"/>
    </x:row>
    <x:row r="6">
      <x:c r="B6" s="58" t="str">
        <x:v>What this workbook owns</x:v>
      </x:c>
      <x:c r="C6" s="59" t="str">
        <x:v>What this workbook owns</x:v>
      </x:c>
      <x:c r="D6" s="59" t="str">
        <x:v>What this workbook owns</x:v>
      </x:c>
      <x:c r="E6" s="59" t="str">
        <x:v>What this workbook owns</x:v>
      </x:c>
      <x:c r="F6" s="59" t="str">
        <x:v>What this workbook owns</x:v>
      </x:c>
      <x:c r="G6" s="59" t="str">
        <x:v>What this workbook owns</x:v>
      </x:c>
      <x:c r="H6" s="59" t="str">
        <x:v>What this workbook owns</x:v>
      </x:c>
      <x:c r="I6" s="59" t="str">
        <x:v>What this workbook owns</x:v>
      </x:c>
      <x:c r="J6" s="60" t="str">
        <x:v>What this workbook owns</x:v>
      </x:c>
    </x:row>
    <x:row r="7" ht="50" customHeight="1">
      <x:c r="B7" s="54" t="str">
        <x:v>Decision</x:v>
      </x:c>
      <x:c r="C7" s="62" t="str">
        <x:v>Whether a complete range can classify known truth and reproduce the same frozen result before judging a root.</x:v>
      </x:c>
      <x:c r="D7" s="62"/>
      <x:c r="E7" s="62"/>
      <x:c r="F7" s="62"/>
      <x:c r="G7" s="62"/>
      <x:c r="H7" s="62"/>
      <x:c r="I7" s="62"/>
      <x:c r="J7" s="62"/>
    </x:row>
    <x:row r="8" ht="50" customHeight="1">
      <x:c r="B8" s="54" t="str">
        <x:v>Sources</x:v>
      </x:c>
      <x:c r="C8" s="62" t="str">
        <x:v>Internal program lineage from Passes 100–102. No external sites or current standards are used.</x:v>
      </x:c>
      <x:c r="D8" s="62"/>
      <x:c r="E8" s="62"/>
      <x:c r="F8" s="62"/>
      <x:c r="G8" s="62"/>
      <x:c r="H8" s="62"/>
      <x:c r="I8" s="62"/>
      <x:c r="J8" s="62"/>
    </x:row>
    <x:row r="9" ht="50" customHeight="1">
      <x:c r="B9" s="54" t="str">
        <x:v>Inputs</x:v>
      </x:c>
      <x:c r="C9" s="62" t="str">
        <x:v>Blue-font numeric cells are inherited boundaries or prospective targets. Physical observations remain zero.</x:v>
      </x:c>
      <x:c r="D9" s="62"/>
      <x:c r="E9" s="62"/>
      <x:c r="F9" s="62"/>
      <x:c r="G9" s="62"/>
      <x:c r="H9" s="62"/>
      <x:c r="I9" s="62"/>
      <x:c r="J9" s="62"/>
    </x:row>
    <x:row r="10" ht="50" customHeight="1">
      <x:c r="B10" s="54" t="str">
        <x:v>Data</x:v>
      </x:c>
      <x:c r="C10" s="62" t="str">
        <x:v>Decimal GB/TB; native samples × hours × bytes × 2.5 envelopes × two originals, then 30% derivative/index margin.</x:v>
      </x:c>
      <x:c r="D10" s="62"/>
      <x:c r="E10" s="62"/>
      <x:c r="F10" s="62"/>
      <x:c r="G10" s="62"/>
      <x:c r="H10" s="62"/>
      <x:c r="I10" s="62"/>
      <x:c r="J10" s="62"/>
    </x:row>
    <x:row r="11" ht="50" customHeight="1">
      <x:c r="B11" s="54" t="str">
        <x:v>Guard bands</x:v>
      </x:c>
      <x:c r="C11" s="62" t="str">
        <x:v>The workbook records target uncertainties and the decision grammar; constituted metrology must approve physical budgets.</x:v>
      </x:c>
      <x:c r="D11" s="62"/>
      <x:c r="E11" s="62"/>
      <x:c r="F11" s="62"/>
      <x:c r="G11" s="62"/>
      <x:c r="H11" s="62"/>
      <x:c r="I11" s="62"/>
      <x:c r="J11" s="62"/>
    </x:row>
    <x:row r="12" ht="50" customHeight="1">
      <x:c r="B12" s="54" t="str">
        <x:v>Authority</x:v>
      </x:c>
      <x:c r="C12" s="62" t="str">
        <x:v>Sixteen content gates pass. Manufacture, transfer, commissioning, root credit, production and rendering remain held or blocked.</x:v>
      </x:c>
      <x:c r="D12" s="62"/>
      <x:c r="E12" s="62"/>
      <x:c r="F12" s="62"/>
      <x:c r="G12" s="62"/>
      <x:c r="H12" s="62"/>
      <x:c r="I12" s="62"/>
      <x:c r="J12" s="62"/>
    </x:row>
    <x:row r="13">
      <x:c r="B13" s="55"/>
      <x:c r="C13" s="55"/>
      <x:c r="D13" s="55"/>
      <x:c r="E13" s="55"/>
      <x:c r="F13" s="55"/>
      <x:c r="G13" s="55"/>
      <x:c r="H13" s="55"/>
      <x:c r="I13" s="55"/>
      <x:c r="J13" s="55"/>
    </x:row>
    <x:row r="14">
      <x:c r="B14" s="55"/>
      <x:c r="C14" s="55"/>
      <x:c r="D14" s="55"/>
      <x:c r="E14" s="55"/>
      <x:c r="F14" s="55"/>
      <x:c r="G14" s="55"/>
      <x:c r="H14" s="55"/>
      <x:c r="I14" s="55"/>
      <x:c r="J14" s="55"/>
    </x:row>
    <x:row r="15">
      <x:c r="B15" s="58" t="str">
        <x:v>State grammar</x:v>
      </x:c>
      <x:c r="C15" s="59" t="str">
        <x:v>State grammar</x:v>
      </x:c>
      <x:c r="D15" s="59" t="str">
        <x:v>State grammar</x:v>
      </x:c>
      <x:c r="E15" s="59" t="str">
        <x:v>State grammar</x:v>
      </x:c>
      <x:c r="F15" s="59" t="str">
        <x:v>State grammar</x:v>
      </x:c>
      <x:c r="G15" s="59" t="str">
        <x:v>State grammar</x:v>
      </x:c>
      <x:c r="H15" s="59" t="str">
        <x:v>State grammar</x:v>
      </x:c>
      <x:c r="I15" s="59" t="str">
        <x:v>State grammar</x:v>
      </x:c>
      <x:c r="J15" s="60" t="str">
        <x:v>State grammar</x:v>
      </x:c>
    </x:row>
    <x:row r="16" ht="41" customHeight="1">
      <x:c r="B16" s="54" t="str">
        <x:v>PLANNING PASS</x:v>
      </x:c>
      <x:c r="C16" s="62" t="str">
        <x:v>Required constitutional content is present; it is not physical evidence.</x:v>
      </x:c>
      <x:c r="D16" s="62"/>
      <x:c r="E16" s="62"/>
      <x:c r="F16" s="62"/>
      <x:c r="G16" s="62"/>
      <x:c r="H16" s="62"/>
      <x:c r="I16" s="62"/>
      <x:c r="J16" s="62"/>
    </x:row>
    <x:row r="17" ht="41" customHeight="1">
      <x:c r="B17" s="54" t="str">
        <x:v>OPEN</x:v>
      </x:c>
      <x:c r="C17" s="62" t="str">
        <x:v>The physical event or external decision has not occurred.</x:v>
      </x:c>
      <x:c r="D17" s="62"/>
      <x:c r="E17" s="62"/>
      <x:c r="F17" s="62"/>
      <x:c r="G17" s="62"/>
      <x:c r="H17" s="62"/>
      <x:c r="I17" s="62"/>
      <x:c r="J17" s="62"/>
    </x:row>
    <x:row r="18" ht="41" customHeight="1">
      <x:c r="B18" s="54" t="str">
        <x:v>HOLD</x:v>
      </x:c>
      <x:c r="C18" s="62" t="str">
        <x:v>A predecessor authority is absent; the next governed state cannot begin.</x:v>
      </x:c>
      <x:c r="D18" s="62"/>
      <x:c r="E18" s="62"/>
      <x:c r="F18" s="62"/>
      <x:c r="G18" s="62"/>
      <x:c r="H18" s="62"/>
      <x:c r="I18" s="62"/>
      <x:c r="J18" s="62"/>
    </x:row>
    <x:row r="19" ht="41" customHeight="1">
      <x:c r="B19" s="54" t="str">
        <x:v>INDETERMINATE</x:v>
      </x:c>
      <x:c r="C19" s="62" t="str">
        <x:v>Evidence is complete enough to decide that uncertainty crosses the boundary; no service credit.</x:v>
      </x:c>
      <x:c r="D19" s="62"/>
      <x:c r="E19" s="62"/>
      <x:c r="F19" s="62"/>
      <x:c r="G19" s="62"/>
      <x:c r="H19" s="62"/>
      <x:c r="I19" s="62"/>
      <x:c r="J19" s="62"/>
    </x:row>
    <x:row r="20" ht="41" customHeight="1">
      <x:c r="B20" s="54" t="str">
        <x:v>INVALID</x:v>
      </x:c>
      <x:c r="C20" s="62" t="str">
        <x:v>The event cannot answer its registered question because a test prerequisite failed.</x:v>
      </x:c>
      <x:c r="D20" s="62"/>
      <x:c r="E20" s="62"/>
      <x:c r="F20" s="62"/>
      <x:c r="G20" s="62"/>
      <x:c r="H20" s="62"/>
      <x:c r="I20" s="62"/>
      <x:c r="J20" s="62"/>
    </x:row>
    <x:row r="21" ht="41" customHeight="1">
      <x:c r="B21" s="54" t="str">
        <x:v>FAILED</x:v>
      </x:c>
      <x:c r="C21" s="62" t="str">
        <x:v>A valid event demonstrated that the article missed its requirement.</x:v>
      </x:c>
      <x:c r="D21" s="62"/>
      <x:c r="E21" s="62"/>
      <x:c r="F21" s="62"/>
      <x:c r="G21" s="62"/>
      <x:c r="H21" s="62"/>
      <x:c r="I21" s="62"/>
      <x:c r="J21" s="62"/>
    </x:row>
    <x:row r="22" ht="41" customHeight="1">
      <x:c r="B22" s="54" t="str">
        <x:v>ADMITTED</x:v>
      </x:c>
      <x:c r="C22" s="62" t="str">
        <x:v>The evidence board accepted one complete packet within its declared credit limit.</x:v>
      </x:c>
      <x:c r="D22" s="62"/>
      <x:c r="E22" s="62"/>
      <x:c r="F22" s="62"/>
      <x:c r="G22" s="62"/>
      <x:c r="H22" s="62"/>
      <x:c r="I22" s="62"/>
      <x:c r="J22" s="62"/>
    </x:row>
    <x:row r="23" ht="41" customHeight="1">
      <x:c r="B23" s="54" t="str">
        <x:v>BLOCKED</x:v>
      </x:c>
      <x:c r="C23" s="62" t="str">
        <x:v>Production, form or rendering authority is explicitly unavailable.</x:v>
      </x:c>
      <x:c r="D23" s="62"/>
      <x:c r="E23" s="62"/>
      <x:c r="F23" s="62"/>
      <x:c r="G23" s="62"/>
      <x:c r="H23" s="62"/>
      <x:c r="I23" s="62"/>
      <x:c r="J23" s="62"/>
    </x:row>
  </x:sheetData>
  <x:mergeCells>
    <x:mergeCell ref="B3:J3"/>
    <x:mergeCell ref="B6:J6"/>
    <x:mergeCell ref="C7:J7"/>
    <x:mergeCell ref="C8:J8"/>
    <x:mergeCell ref="C9:J9"/>
    <x:mergeCell ref="C10:J10"/>
    <x:mergeCell ref="C11:J11"/>
    <x:mergeCell ref="C12:J12"/>
    <x:mergeCell ref="B15:J15"/>
    <x:mergeCell ref="C16:J16"/>
    <x:mergeCell ref="C17:J17"/>
    <x:mergeCell ref="C18:J18"/>
    <x:mergeCell ref="C19:J19"/>
    <x:mergeCell ref="C20:J20"/>
    <x:mergeCell ref="C21:J21"/>
    <x:mergeCell ref="C22:J22"/>
    <x:mergeCell ref="C23:J23"/>
  </x:mergeCells>
  <x:conditionalFormatting sqref="B16:B23">
    <x:cfRule type="containsText" dxfId="560" priority="1" operator="containsText" text="FAIL"/>
    <x:cfRule type="containsText" dxfId="561" priority="2" operator="containsText" text="BLOCKED"/>
    <x:cfRule type="containsText" dxfId="562" priority="3" operator="containsText" text="HOLD"/>
    <x:cfRule type="containsText" dxfId="563" priority="4" operator="containsText" text="OPEN"/>
    <x:cfRule type="containsText" dxfId="564" priority="5" operator="containsText" text="UNTESTED"/>
    <x:cfRule type="containsText" dxfId="565" priority="6" operator="containsText" text="INDETERMINATE"/>
    <x:cfRule type="containsText" dxfId="566" priority="7" operator="containsText" text="INVALID"/>
    <x:cfRule type="containsText" dxfId="567" priority="8" operator="containsText" text="PASS"/>
    <x:cfRule type="containsText" dxfId="568" priority="9" operator="containsText" text="CLOSED"/>
    <x:cfRule type="containsText" dxfId="569" priority="10" operator="containsText" text="READY"/>
    <x:cfRule type="containsText" dxfId="570" priority="11" operator="containsText" text="AUTHORIZED"/>
    <x:cfRule type="containsText" dxfId="571" priority="12" operator="containsText" text="PLANNING PASS"/>
    <x:cfRule type="containsText" dxfId="572" priority="13" operator="containsText" text="COMPLETE"/>
    <x:cfRule type="containsText" dxfId="573" priority="14" operator="containsText" text="ACCEPTED"/>
    <x:cfRule type="containsText" dxfId="574" priority="15" operator="containsText" text="ADMITTED"/>
    <x:cfRule type="containsText" dxfId="575" priority="16" operator="containsText" text="RELEASED"/>
  </x:conditionalFormatting>
  <x:pageMargins left="0.7" right="0.7" top="0.75" bottom="0.75" header="0.3" footer="0.3"/>
</x:worksheet>
</file>