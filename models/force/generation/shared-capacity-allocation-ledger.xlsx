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057bc2cda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4515519da2654263"/>
    <x:sheet xmlns:r="http://schemas.openxmlformats.org/officeDocument/2006/relationships" name="01 Controls" sheetId="2" r:id="Rd61b816d92ce47b6"/>
    <x:sheet xmlns:r="http://schemas.openxmlformats.org/officeDocument/2006/relationships" name="02 Pool Register" sheetId="3" r:id="Rbe1aecc0f7f04233"/>
    <x:sheet xmlns:r="http://schemas.openxmlformats.org/officeDocument/2006/relationships" name="03 Demand Build" sheetId="4" r:id="R60097a7ac288453a"/>
    <x:sheet xmlns:r="http://schemas.openxmlformats.org/officeDocument/2006/relationships" name="04 Allocation Ledger" sheetId="5" r:id="R3ef2d3984d4746b1"/>
    <x:sheet xmlns:r="http://schemas.openxmlformats.org/officeDocument/2006/relationships" name="05 Campaign Result" sheetId="6" r:id="Rf3b65064ff854c8b"/>
    <x:sheet xmlns:r="http://schemas.openxmlformats.org/officeDocument/2006/relationships" name="06 Credit Control" sheetId="7" r:id="R5ebb85f234fe4d06"/>
    <x:sheet xmlns:r="http://schemas.openxmlformats.org/officeDocument/2006/relationships" name="07 Sources &amp; Gates" sheetId="8" r:id="Rf73efde22ecf44fd"/>
    <x:sheet xmlns:r="http://schemas.openxmlformats.org/officeDocument/2006/relationships" name="08 Integrity" sheetId="9" r:id="Rf7412a9efb35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[Red](#,##0.00);-"/>
    <x:numFmt numFmtId="201" formatCode="0.0%"/>
    <x:numFmt numFmtId="202" formatCode="#,##0.0;[Red](#,##0.0);-"/>
    <x:numFmt numFmtId="203" formatCode="#,##0"/>
    <x:numFmt numFmtId="204" formatCode="#,##0.0"/>
    <x:numFmt numFmtId="205" formatCode="$#,##0.0"/>
    <x:numFmt numFmtId="206" formatCode="$#,##0.0;[Red]($#,##0.0);-"/>
    <x:numFmt numFmtId="207" formatCode="0.000"/>
  </x:numFmts>
  <x:fonts count="10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  <x:font>
      <x:sz val="10"/>
      <x:color rgb="FF1F6B3B"/>
      <x:name val="Arial"/>
    </x:font>
    <x:font>
      <x:b/>
      <x:sz val="10"/>
      <x:color rgb="FF17212B"/>
      <x:name val="Arial"/>
    </x:font>
    <x:font>
      <x:b/>
      <x:sz val="13"/>
      <x:color rgb="FF17324D"/>
      <x:name val="Arial"/>
    </x:font>
    <x:font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  <x:fill>
      <x:patternFill patternType="solid">
        <x:fgColor rgb="FFEEF2F5"/>
      </x:patternFill>
    </x:fill>
    <x:fill>
      <x:patternFill patternType="solid">
        <x:fgColor rgb="FFDCEAF5"/>
      </x:patternFill>
    </x:fill>
    <x:fill>
      <x:patternFill patternType="solid">
        <x:fgColor rgb="FFE5F1E8"/>
      </x:patternFill>
    </x:fill>
    <x:fill>
      <x:patternFill patternType="solid">
        <x:fgColor rgb="FFF8DDDD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2" fontId="4" fillId="4" borderId="0" xfId="0" applyNumberFormat="1" applyFont="1" applyFill="1" applyBorder="1" applyAlignment="1">
      <x:alignment vertical="top"/>
    </x:xf>
    <x:xf numFmtId="203" fontId="6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6" fontId="6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207" fontId="8" fillId="6" borderId="0" xfId="0" applyNumberFormat="1" applyFont="1" applyFill="1" applyBorder="1" applyAlignment="1">
      <x:alignment horizontal="center"/>
    </x:xf>
    <x:xf numFmtId="201" fontId="8" fillId="6" borderId="0" xfId="0" applyNumberFormat="1" applyFont="1" applyFill="1" applyBorder="1" applyAlignment="1">
      <x:alignment horizontal="center"/>
    </x:xf>
    <x:xf numFmtId="204" fontId="8" fillId="6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2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5C6873"/>
      </x:font>
      <x:fill>
        <x:patternFill patternType="solid">
          <x:bgColor rgb="FFEEF2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8addbe92144c3" /><Relationship Type="http://schemas.openxmlformats.org/officeDocument/2006/relationships/theme" Target="/xl/theme/theme1.xml" Id="Rb691883286134256" /><Relationship Type="http://schemas.openxmlformats.org/officeDocument/2006/relationships/sharedStrings" Target="/xl/sharedStrings.xml" Id="Rfeab57b57b1a40c4" /><Relationship Type="http://schemas.openxmlformats.org/officeDocument/2006/relationships/worksheet" Target="/xl/worksheets/sheet1.xml" Id="R4515519da2654263" /><Relationship Type="http://schemas.openxmlformats.org/officeDocument/2006/relationships/worksheet" Target="/xl/worksheets/sheet2.xml" Id="Rd61b816d92ce47b6" /><Relationship Type="http://schemas.openxmlformats.org/officeDocument/2006/relationships/worksheet" Target="/xl/worksheets/sheet3.xml" Id="Rbe1aecc0f7f04233" /><Relationship Type="http://schemas.openxmlformats.org/officeDocument/2006/relationships/worksheet" Target="/xl/worksheets/sheet4.xml" Id="R60097a7ac288453a" /><Relationship Type="http://schemas.openxmlformats.org/officeDocument/2006/relationships/worksheet" Target="/xl/worksheets/sheet5.xml" Id="R3ef2d3984d4746b1" /><Relationship Type="http://schemas.openxmlformats.org/officeDocument/2006/relationships/worksheet" Target="/xl/worksheets/sheet6.xml" Id="Rf3b65064ff854c8b" /><Relationship Type="http://schemas.openxmlformats.org/officeDocument/2006/relationships/worksheet" Target="/xl/worksheets/sheet7.xml" Id="R5ebb85f234fe4d06" /><Relationship Type="http://schemas.openxmlformats.org/officeDocument/2006/relationships/worksheet" Target="/xl/worksheets/sheet8.xml" Id="Rf73efde22ecf44fd" /><Relationship Type="http://schemas.openxmlformats.org/officeDocument/2006/relationships/worksheet" Target="/xl/worksheets/sheet9.xml" Id="Rf7412a9efb354656" /></Relationships>
</file>

<file path=xl/tables/table1.xml><?xml version="1.0" encoding="utf-8"?>
<x:table xmlns:x="http://schemas.openxmlformats.org/spreadsheetml/2006/main" id="1" name="CapacityControlTable" displayName="CapacityControlTable" ref="C5:G27" headerRowCount="1" totalsRowCount="0" totalsRowShown="0">
  <x:tableColumns count="5">
    <x:tableColumn id="1" name="ID"/>
    <x:tableColumn id="2" name="Control"/>
    <x:tableColumn id="3" name="Reference"/>
    <x:tableColumn id="4" name="Unit"/>
    <x:tableColumn id="5" name="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paignRoutingTable" displayName="CampaignRoutingTable" ref="C31:I41" headerRowCount="1" totalsRowCount="0" totalsRowShown="0">
  <x:tableColumns count="7">
    <x:tableColumn id="1" name="Campaign"/>
    <x:tableColumn id="2" name="Allocation order"/>
    <x:tableColumn id="3" name="Air"/>
    <x:tableColumn id="4" name="Ocean"/>
    <x:tableColumn id="5" name="Land and rail"/>
    <x:tableColumn id="6" name="Inland water"/>
    <x:tableColumn id="7" name="Mode-share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cityPoolTable" displayName="CapacityPoolTable" ref="C5:O19" headerRowCount="1" totalsRowCount="0" totalsRowShown="0">
  <x:tableColumns count="13">
    <x:tableColumn id="1" name="Pool ID"/>
    <x:tableColumn id="2" name="Service"/>
    <x:tableColumn id="3" name="Unit"/>
    <x:tableColumn id="4" name="Provider / authority"/>
    <x:tableColumn id="5" name="Nominal supply"/>
    <x:tableColumn id="6" name="Readiness"/>
    <x:tableColumn id="7" name="Effective capacity"/>
    <x:tableColumn id="8" name="Interval"/>
    <x:tableColumn id="9" name="Geography"/>
    <x:tableColumn id="10" name="Capacity form"/>
    <x:tableColumn id="11" name="Substitution boundary"/>
    <x:tableColumn id="12" name="Evidence state"/>
    <x:tableColumn id="13" name="Allocatio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mationCampaignDemandTable" displayName="FormationCampaignDemandTable" ref="C5:AF485" headerRowCount="1" totalsRowCount="0" totalsRowShown="0">
  <x:tableColumns count="30">
    <x:tableColumn id="1" name="Record ID"/>
    <x:tableColumn id="2" name="Sequence"/>
    <x:tableColumn id="3" name="Campaign"/>
    <x:tableColumn id="4" name="Campaign name"/>
    <x:tableColumn id="5" name="Order"/>
    <x:tableColumn id="6" name="Family ID"/>
    <x:tableColumn id="7" name="Service"/>
    <x:tableColumn id="8" name="Formation family"/>
    <x:tableColumn id="9" name="Formation qty"/>
    <x:tableColumn id="10" name="Gross people / unit"/>
    <x:tableColumn id="11" name="Shared people / unit"/>
    <x:tableColumn id="12" name="Gross on-duty claim"/>
    <x:tableColumn id="13" name="Mass / unit t"/>
    <x:tableColumn id="14" name="Early share"/>
    <x:tableColumn id="15" name="Gross early mass t"/>
    <x:tableColumn id="16" name="After preposition t"/>
    <x:tableColumn id="17" name="Supply / unit t/day"/>
    <x:tableColumn id="18" name="Sustain claim t/day"/>
    <x:tableColumn id="19" name="Air share"/>
    <x:tableColumn id="20" name="Air claim t"/>
    <x:tableColumn id="21" name="Ocean share"/>
    <x:tableColumn id="22" name="Ocean claim t"/>
    <x:tableColumn id="23" name="Land/rail share"/>
    <x:tableColumn id="24" name="Land/rail claim t"/>
    <x:tableColumn id="25" name="Inland share"/>
    <x:tableColumn id="26" name="Inland claim t"/>
    <x:tableColumn id="27" name="District packages"/>
    <x:tableColumn id="28" name="Route detachments"/>
    <x:tableColumn id="29" name="Power blocks"/>
    <x:tableColumn id="30" name="Water islan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pacityAllocationTable" displayName="CapacityAllocationTable" ref="C5:Q105" headerRowCount="1" totalsRowCount="0" totalsRowShown="0">
  <x:tableColumns count="15">
    <x:tableColumn id="1" name="Claim ID"/>
    <x:tableColumn id="2" name="Pool ID"/>
    <x:tableColumn id="3" name="Campaign"/>
    <x:tableColumn id="4" name="Order"/>
    <x:tableColumn id="5" name="Service"/>
    <x:tableColumn id="6" name="Interval"/>
    <x:tableColumn id="7" name="Unit"/>
    <x:tableColumn id="8" name="Demand"/>
    <x:tableColumn id="9" name="Pool capacity"/>
    <x:tableColumn id="10" name="Opening capacity"/>
    <x:tableColumn id="11" name="Granted"/>
    <x:tableColumn id="12" name="Denied"/>
    <x:tableColumn id="13" name="Closing capacity"/>
    <x:tableColumn id="14" name="Coverage"/>
    <x:tableColumn id="1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mpaignCapacityResultTable" displayName="CampaignCapacityResultTable" ref="C5:Q15" headerRowCount="1" totalsRowCount="0" totalsRowShown="0">
  <x:tableColumns count="15">
    <x:tableColumn id="1" name="Campaign"/>
    <x:tableColumn id="2" name="Campaign name"/>
    <x:tableColumn id="3" name="Gross responders"/>
    <x:tableColumn id="4" name="Base coverage"/>
    <x:tableColumn id="5" name="Early lift t"/>
    <x:tableColumn id="6" name="Lift coverage"/>
    <x:tableColumn id="7" name="Sustainment t/day"/>
    <x:tableColumn id="8" name="Sustain coverage"/>
    <x:tableColumn id="9" name="District coverage"/>
    <x:tableColumn id="10" name="Route coverage"/>
    <x:tableColumn id="11" name="Power coverage"/>
    <x:tableColumn id="12" name="Water coverage"/>
    <x:tableColumn id="13" name="Minimum serialized coverage"/>
    <x:tableColumn id="14" name="Failed pools"/>
    <x:tableColumn id="15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haredCapacitySourceTable" displayName="SharedCapacitySourceTable" ref="C5:E11" headerRowCount="1" totalsRowCount="0" totalsRowShown="0">
  <x:tableColumns count="3">
    <x:tableColumn id="1" name="ID"/>
    <x:tableColumn id="2" name="Repository authority"/>
    <x:tableColumn id="3" name="U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haredCapacityGateTable" displayName="SharedCapacityGateTable" ref="C16:G28" headerRowCount="1" totalsRowCount="0" totalsRowShown="0">
  <x:tableColumns count="5">
    <x:tableColumn id="1" name="Gate"/>
    <x:tableColumn id="2" name="Question"/>
    <x:tableColumn id="3" name="Admission evidence"/>
    <x:tableColumn id="4" name="State"/>
    <x:tableColumn id="5" name="Blocks render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3b2cc6211c4b49" /><Relationship Type="http://schemas.openxmlformats.org/officeDocument/2006/relationships/table" Target="/xl/tables/table2.xml" Id="Rf1bb161d92064a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a5a1a451174a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db0085e1b943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ec5274e28f45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fdffea2bcb40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8cfc0ae3ca41d8" /><Relationship Type="http://schemas.openxmlformats.org/officeDocument/2006/relationships/table" Target="/xl/tables/table8.xml" Id="Ra82267eaf9ad4687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3" max="3" width="38" hidden="0" customWidth="1"/>
    <x:col min="4" max="4" width="20" hidden="0" customWidth="1"/>
    <x:col min="5" max="5" width="4" hidden="0" customWidth="1"/>
    <x:col min="6" max="6" width="26" hidden="0" customWidth="1"/>
    <x:col min="7" max="7" width="36" hidden="0" customWidth="1"/>
    <x:col min="8" max="8" width="30" hidden="0" customWidth="1"/>
    <x:col min="9" max="9" width="26" hidden="0" customWidth="1"/>
    <x:col min="10" max="10" width="36" hidden="0" customWidth="1"/>
    <x:col min="11" max="11" width="30" hidden="0" customWidth="1"/>
    <x:col min="12" max="12" width="26" hidden="0" customWidth="1"/>
    <x:col min="13" max="13" width="36" hidden="0" customWidth="1"/>
    <x:col min="14" max="14" width="30" hidden="0" customWidth="1"/>
  </x:cols>
  <x:sheetData>
    <x:row r="2">
      <x:c r="C2" s="2" t="str">
        <x:v>Shared-capacity allocation — decision view</x:v>
      </x:c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3">
      <x:c r="C3" s="3" t="str">
        <x:v>Pass 60 converts shared capacity from narrative credit into conserved claims, reservations, denials and ownership tests.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>
      <x:c r="C5" s="38" t="str">
        <x:v>Canonical families</x:v>
      </x:c>
      <x:c r="D5" s="41" t="n">
        <x:f>48</x:f>
        <x:v>48</x:v>
      </x:c>
      <x:c r="E5" s="47"/>
      <x:c r="F5" s="9" t="str">
        <x:v>Judgment</x:v>
      </x:c>
      <x:c r="G5" s="9" t="str">
        <x:v>Finding</x:v>
      </x:c>
      <x:c r="H5" s="9" t="str">
        <x:v>Operational meaning</x:v>
      </x:c>
      <x:c r="I5" s="9" t="str">
        <x:v>Institutional owner</x:v>
      </x:c>
      <x:c r="J5" s="9" t="str">
        <x:v>Decision</x:v>
      </x:c>
      <x:c r="K5" s="9" t="str">
        <x:v>Evidence boundary</x:v>
      </x:c>
      <x:c r="L5" s="9" t="str">
        <x:v>National headline</x:v>
      </x:c>
      <x:c r="M5" s="9" t="str">
        <x:v>Status</x:v>
      </x:c>
      <x:c r="N5" s="9" t="str">
        <x:v>Next test</x:v>
      </x:c>
    </x:row>
    <x:row r="6" ht="92" customHeight="1">
      <x:c r="C6" s="38" t="str">
        <x:v>Formation-campaign records</x:v>
      </x:c>
      <x:c r="D6" s="41" t="n">
        <x:f>480</x:f>
        <x:v>480</x:v>
      </x:c>
      <x:c r="E6" s="47"/>
      <x:c r="F6" s="15" t="str">
        <x:v>Accounting netting cannot reduce physical demand.</x:v>
      </x:c>
      <x:c r="G6" s="15" t="str">
        <x:v>Gross simultaneous responders are 2.011M, not the 1.702M net-person screen.</x:v>
      </x:c>
      <x:c r="H6" s="15" t="str">
        <x:v>Shared crews still require reception, power, food, sanitation and protection.</x:v>
      </x:c>
      <x:c r="I6" s="15" t="str">
        <x:v>Joint Capacity Authority and J-TOC</x:v>
      </x:c>
      <x:c r="J6" s="15" t="str">
        <x:v>Use gross people in every basing claim.</x:v>
      </x:c>
      <x:c r="K6" s="15" t="str">
        <x:v>People-per-formation values remain planning coefficients.</x:v>
      </x:c>
      <x:c r="L6" s="15" t="str">
        <x:v>Pass 58 totals held</x:v>
      </x:c>
      <x:c r="M6" s="15" t="str">
        <x:v>ADOPT</x:v>
      </x:c>
      <x:c r="N6" s="15" t="str">
        <x:v>Occupied receiving-base mission</x:v>
      </x:c>
    </x:row>
    <x:row r="7" ht="92" customHeight="1">
      <x:c r="C7" s="38" t="str">
        <x:v>Quantified pools</x:v>
      </x:c>
      <x:c r="D7" s="41" t="n">
        <x:f>10</x:f>
        <x:v>10</x:v>
      </x:c>
      <x:c r="E7" s="47"/>
      <x:c r="F7" s="15" t="str">
        <x:v>Early movement is the dominant quantified shared-capacity failure.</x:v>
      </x:c>
      <x:c r="G7" s="15" t="str">
        <x:v>6.677M tonnes claim 2.463M tonnes of 72-hour throughput; 36.9% is granted.</x:v>
      </x:c>
      <x:c r="H7" s="15" t="str">
        <x:v>At least 4.214M tonnes require prepositioning, later arrival, new transport or mission redesign.</x:v>
      </x:c>
      <x:c r="I7" s="15" t="str">
        <x:v>Strategic Mobility Command</x:v>
      </x:c>
      <x:c r="J7" s="15" t="str">
        <x:v>Rebuild canonical cargo and route-compatible lift.</x:v>
      </x:c>
      <x:c r="K7" s="15" t="str">
        <x:v>Mode shares and aggregate throughput are declared hypotheses.</x:v>
      </x:c>
      <x:c r="L7" s="15" t="str">
        <x:v>Pass 58 totals held</x:v>
      </x:c>
      <x:c r="M7" s="15" t="str">
        <x:v>FAIL</x:v>
      </x:c>
      <x:c r="N7" s="15" t="str">
        <x:v>Itemized cargo and route cycles</x:v>
      </x:c>
    </x:row>
    <x:row r="8" ht="92" customHeight="1">
      <x:c r="C8" s="38" t="str">
        <x:v>Early movement claim (M tonnes)</x:v>
      </x:c>
      <x:c r="D8" s="42" t="n">
        <x:f>SUM('03 Demand Build'!R6:R485)/1000000</x:f>
        <x:v>6.677140349999999</x:v>
      </x:c>
      <x:c r="E8" s="47"/>
      <x:c r="F8" s="15" t="str">
        <x:v>Responder basing fails after credit conservation.</x:v>
      </x:c>
      <x:c r="G8" s="15" t="str">
        <x:v>1.483M places cover 73.7% of the gross claim; 528,783 people lack modeled base capacity.</x:v>
      </x:c>
      <x:c r="H8" s="15" t="str">
        <x:v>A force can arrive and still be unable to live or work safely.</x:v>
      </x:c>
      <x:c r="I8" s="15" t="str">
        <x:v>J-TOC and receiving geography</x:v>
      </x:c>
      <x:c r="J8" s="15" t="str">
        <x:v>Make base modules and prepared sites force objects.</x:v>
      </x:c>
      <x:c r="K8" s="15" t="str">
        <x:v>No occupied-site or common-mode evidence.</x:v>
      </x:c>
      <x:c r="L8" s="15" t="str">
        <x:v>Pass 58 totals held</x:v>
      </x:c>
      <x:c r="M8" s="15" t="str">
        <x:v>FAIL</x:v>
      </x:c>
      <x:c r="N8" s="15" t="str">
        <x:v>Zero-host-utility base trial</x:v>
      </x:c>
    </x:row>
    <x:row r="9" ht="92" customHeight="1">
      <x:c r="C9" s="38" t="str">
        <x:v>72-hour throughput (M tonnes)</x:v>
      </x:c>
      <x:c r="D9" s="42" t="n">
        <x:f>SUM('02 Pool Register'!S6:S9)/1000000</x:f>
        <x:v>2.462931</x:v>
      </x:c>
      <x:c r="E9" s="47"/>
      <x:c r="F9" s="15" t="str">
        <x:v>HCG external pools are numerically sized but not admitted.</x:v>
      </x:c>
      <x:c r="G9" s="15" t="str">
        <x:v>District, route, power and water inventories cover direct claims after readiness.</x:v>
      </x:c>
      <x:c r="H9" s="15" t="str">
        <x:v>A passing aggregate does not prove location, travel time, release or non-conflict.</x:v>
      </x:c>
      <x:c r="I9" s="15" t="str">
        <x:v>Supporting services and affected civil authorities</x:v>
      </x:c>
      <x:c r="J9" s="15" t="str">
        <x:v>Retain all four contracts and deny operational credit.</x:v>
      </x:c>
      <x:c r="K9" s="15" t="str">
        <x:v>Every item and site map remains open.</x:v>
      </x:c>
      <x:c r="L9" s="15" t="str">
        <x:v>Pass 58 totals held</x:v>
      </x:c>
      <x:c r="M9" s="15" t="str">
        <x:v>OPEN</x:v>
      </x:c>
      <x:c r="N9" s="15" t="str">
        <x:v>Two-HCG competing-claim trial</x:v>
      </x:c>
    </x:row>
    <x:row r="10" ht="92" customHeight="1">
      <x:c r="C10" s="38" t="str">
        <x:v>Movement coverage</x:v>
      </x:c>
      <x:c r="D10" s="43" t="n">
        <x:f>SUM('02 Pool Register'!T6:T9)/SUM('02 Pool Register'!R6:R9)</x:f>
        <x:v>0.3656231903976678</x:v>
      </x:c>
      <x:c r="E10" s="47"/>
      <x:c r="F10" s="15" t="str">
        <x:v>The credit ledger finds one explicit capital ownership gap.</x:v>
      </x:c>
      <x:c r="G10" s="15" t="str">
        <x:v>$240B of rail-stock credit has no counted source; $288B is exposed after reserve.</x:v>
      </x:c>
      <x:c r="H10" s="15" t="str">
        <x:v>Unsupported fiscal credits cannot become readiness or savings.</x:v>
      </x:c>
      <x:c r="I10" s="15" t="str">
        <x:v>Civil Mobility and capital-account authority</x:v>
      </x:c>
      <x:c r="J10" s="15" t="str">
        <x:v>Quarantine the credit; do not yet revise the headline.</x:v>
      </x:c>
      <x:c r="K10" s="15" t="str">
        <x:v>Other mapped ceilings still lack item WBS and operational allocation.</x:v>
      </x:c>
      <x:c r="L10" s="15" t="str">
        <x:v>Pass 58 totals held</x:v>
      </x:c>
      <x:c r="M10" s="15" t="str">
        <x:v>OPEN</x:v>
      </x:c>
      <x:c r="N10" s="15" t="str">
        <x:v>Item-level shared WBS</x:v>
      </x:c>
    </x:row>
    <x:row r="11" ht="92" customHeight="1">
      <x:c r="C11" s="38" t="str">
        <x:v>Gross responder claim (M)</x:v>
      </x:c>
      <x:c r="D11" s="42" t="n">
        <x:f>SUM('03 Demand Build'!N6:N485)/1000000</x:f>
        <x:v>2.011407</x:v>
      </x:c>
      <x:c r="E11" s="47"/>
      <x:c r="F11" s="15" t="str">
        <x:v>Shared workforce ownership is largely absent.</x:v>
      </x:c>
      <x:c r="G11" s="15" t="str">
        <x:v>Of 915,209 active non-HCG affiliated credits, 717,011 lack a quantified common source.</x:v>
      </x:c>
      <x:c r="H11" s="15" t="str">
        <x:v>Pass 59 also creates 519,644 external HCG affiliates; the two screens may overlap and are not additive.</x:v>
      </x:c>
      <x:c r="I11" s="15" t="str">
        <x:v>Generating services and components</x:v>
      </x:c>
      <x:c r="J11" s="15" t="str">
        <x:v>Build occupation and roster pools before revising workforce.</x:v>
      </x:c>
      <x:c r="K11" s="15" t="str">
        <x:v>Only the NUPS common workforce has a quantified source ceiling.</x:v>
      </x:c>
      <x:c r="L11" s="15" t="str">
        <x:v>Pass 58 totals held</x:v>
      </x:c>
      <x:c r="M11" s="15" t="str">
        <x:v>OPEN</x:v>
      </x:c>
      <x:c r="N11" s="15" t="str">
        <x:v>Qualification and employer-release ledger</x:v>
      </x:c>
    </x:row>
    <x:row r="12">
      <x:c r="C12" s="38" t="str">
        <x:v>Responder-base capacity (M)</x:v>
      </x:c>
      <x:c r="D12" s="42" t="n">
        <x:f>'02 Pool Register'!S10/1000000</x:f>
        <x:v>1.482624</x:v>
      </x:c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</x:row>
    <x:row r="13">
      <x:c r="C13" s="38" t="str">
        <x:v>Responder-base coverage</x:v>
      </x:c>
      <x:c r="D13" s="43" t="n">
        <x:f>'02 Pool Register'!T10/'02 Pool Register'!R10</x:f>
        <x:v>0.7371079050634705</x:v>
      </x:c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</x:row>
    <x:row r="14">
      <x:c r="C14" s="38" t="str">
        <x:v>Sustainment coverage</x:v>
      </x:c>
      <x:c r="D14" s="43" t="n">
        <x:f>'02 Pool Register'!S11/'02 Pool Register'!R11</x:f>
        <x:v>2.882360044854653</x:v>
      </x:c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</x:row>
    <x:row r="15">
      <x:c r="C15" s="38" t="str">
        <x:v>Unallocated workforce credits</x:v>
      </x:c>
      <x:c r="D15" s="44" t="n">
        <x:f>SUMIFS('06 Credit Control'!N20:N33,'06 Credit Control'!D20:D33,"Pass 58 shared-person credit")</x:f>
        <x:v>717011.45</x:v>
      </x:c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</x:row>
    <x:row r="16">
      <x:c r="C16" s="38" t="str">
        <x:v>HCG external affiliates unallocated</x:v>
      </x:c>
      <x:c r="D16" s="44" t="n">
        <x:f>'01 Controls'!$E$21</x:f>
        <x:v>519644.10600000015</x:v>
      </x:c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</x:row>
    <x:row r="17">
      <x:c r="C17" s="38" t="str">
        <x:v>No-source capital credit $B</x:v>
      </x:c>
      <x:c r="D17" s="44" t="n">
        <x:f>SUM('06 Credit Control'!K48:K59)</x:f>
        <x:v>240</x:v>
      </x:c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</x:row>
    <x:row r="18">
      <x:c r="C18" s="38" t="str">
        <x:v>Rendering status</x:v>
      </x:c>
      <x:c r="D18" s="45" t="str">
        <x:v>BLOCKED</x:v>
      </x:c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</x:row>
    <x:row r="19"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</x:row>
    <x:row r="20"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</x:row>
    <x:row r="21"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</x:row>
    <x:row r="22">
      <x:c r="C22" s="47"/>
      <x:c r="D22" s="47"/>
      <x:c r="E22" s="47"/>
      <x:c r="F22" s="9" t="str">
        <x:v>Principle</x:v>
      </x:c>
      <x:c r="G22" s="9" t="str">
        <x:v>Rule</x:v>
      </x:c>
      <x:c r="H22" s="9" t="str">
        <x:v>Reason</x:v>
      </x:c>
      <x:c r="I22" s="9" t="str">
        <x:v>Principle</x:v>
      </x:c>
      <x:c r="J22" s="9" t="str">
        <x:v>Rule</x:v>
      </x:c>
      <x:c r="K22" s="9" t="str">
        <x:v>Reason</x:v>
      </x:c>
      <x:c r="L22" s="9" t="str">
        <x:v>Principle</x:v>
      </x:c>
      <x:c r="M22" s="9" t="str">
        <x:v>Rule</x:v>
      </x:c>
      <x:c r="N22" s="9" t="str">
        <x:v>Reason</x:v>
      </x:c>
    </x:row>
    <x:row r="23" ht="62" customHeight="1">
      <x:c r="C23" s="47"/>
      <x:c r="D23" s="47"/>
      <x:c r="E23" s="47"/>
      <x:c r="F23" s="15" t="str">
        <x:v>Conservation</x:v>
      </x:c>
      <x:c r="G23" s="15" t="str">
        <x:v>One capacity object cannot serve overlapping claims twice.</x:v>
      </x:c>
      <x:c r="H23" s="15" t="str">
        <x:v>Prevents fictional readiness.</x:v>
      </x:c>
      <x:c r="I23" s="15" t="str">
        <x:v>Space–time identity</x:v>
      </x:c>
      <x:c r="J23" s="15" t="str">
        <x:v>Location and interval are part of capacity.</x:v>
      </x:c>
      <x:c r="K23" s="15" t="str">
        <x:v>Prevents remote or late capacity from appearing local.</x:v>
      </x:c>
      <x:c r="L23" s="15" t="str">
        <x:v>No silent substitution</x:v>
      </x:c>
      <x:c r="M23" s="15" t="str">
        <x:v>Mode, license and configuration changes require proof.</x:v>
      </x:c>
      <x:c r="N23" s="15" t="str">
        <x:v>Preserves physical meaning.</x:v>
      </x:c>
    </x:row>
    <x:row r="24" ht="62" customHeight="1">
      <x:c r="C24" s="47"/>
      <x:c r="D24" s="47"/>
      <x:c r="E24" s="47"/>
      <x:c r="F24" s="15" t="str">
        <x:v>Authority</x:v>
      </x:c>
      <x:c r="G24" s="15" t="str">
        <x:v>Civil priority, allocation and technical release remain distinct.</x:v>
      </x:c>
      <x:c r="H24" s="15" t="str">
        <x:v>Equipment ownership does not confer public authority.</x:v>
      </x:c>
      <x:c r="I24" s="15" t="str">
        <x:v>Denied-service propagation</x:v>
      </x:c>
      <x:c r="J24" s="15" t="str">
        <x:v>Every shortfall names the affected mission.</x:v>
      </x:c>
      <x:c r="K24" s="15" t="str">
        <x:v>Makes scarcity visible to decision makers.</x:v>
      </x:c>
      <x:c r="L24" s="15" t="str">
        <x:v>Protected reserve</x:v>
      </x:c>
      <x:c r="M24" s="15" t="str">
        <x:v>The next catastrophe remains an explicit claimant.</x:v>
      </x:c>
      <x:c r="N24" s="15" t="str">
        <x:v>Prevents first-event exhaustion.</x:v>
      </x:c>
    </x:row>
    <x:row r="25" ht="62" customHeight="1">
      <x:c r="C25" s="47"/>
      <x:c r="D25" s="47"/>
      <x:c r="E25" s="47"/>
      <x:c r="F25" s="15" t="str">
        <x:v>Evidence</x:v>
      </x:c>
      <x:c r="G25" s="15" t="str">
        <x:v>Unquantified means unavailable, not zero.</x:v>
      </x:c>
      <x:c r="H25" s="15" t="str">
        <x:v>Missing conversion remains visible.</x:v>
      </x:c>
      <x:c r="I25" s="15" t="str">
        <x:v>Credit control</x:v>
      </x:c>
      <x:c r="J25" s="15" t="str">
        <x:v>Every workforce and capital deduction names its source.</x:v>
      </x:c>
      <x:c r="K25" s="15" t="str">
        <x:v>Prevents savings by relabeling.</x:v>
      </x:c>
      <x:c r="L25" s="15" t="str">
        <x:v>Rendering gate</x:v>
      </x:c>
      <x:c r="M25" s="15" t="str">
        <x:v>Exterior form remains blocked until service and interface closure.</x:v>
      </x:c>
      <x:c r="N25" s="15" t="str">
        <x:v>Prevents premature design lock.</x:v>
      </x:c>
    </x:row>
  </x:sheetData>
  <x:conditionalFormatting sqref="M6:M11">
    <x:cfRule type="containsText" dxfId="66" priority="1" operator="containsText" text="FAIL"/>
    <x:cfRule type="containsText" dxfId="67" priority="2" operator="containsText" text="UNALLOCATED"/>
    <x:cfRule type="containsText" dxfId="68" priority="3" operator="containsText" text="OPEN"/>
    <x:cfRule type="containsText" dxfId="69" priority="4" operator="containsText" text="BLOCKED"/>
    <x:cfRule type="containsText" dxfId="70" priority="5" operator="containsText" text="PASS"/>
    <x:cfRule type="containsText" dxfId="71" priority="6" operator="containsText" text="SUPERSED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2" hidden="0" customWidth="1"/>
    <x:col min="4" max="4" width="38" hidden="0" customWidth="1"/>
    <x:col min="5" max="5" width="20" hidden="0" customWidth="1"/>
    <x:col min="6" max="6" width="25" hidden="0" customWidth="1"/>
    <x:col min="7" max="7" width="58" hidden="0" customWidth="1"/>
    <x:col min="8" max="8" width="14" hidden="0" customWidth="1"/>
    <x:col min="9" max="9" width="14" hidden="0" customWidth="1"/>
  </x:cols>
  <x:sheetData>
    <x:row r="2">
      <x:c r="C2" s="2" t="str">
        <x:v>Shared-capacity controls</x:v>
      </x:c>
      <x:c r="D2" s="46"/>
      <x:c r="E2" s="46"/>
      <x:c r="F2" s="46"/>
      <x:c r="G2" s="46"/>
      <x:c r="H2" s="46"/>
      <x:c r="I2" s="46"/>
      <x:c r="J2" s="46"/>
    </x:row>
    <x:row r="3">
      <x:c r="C3" s="3" t="str">
        <x:v>Blue values are inherited or declared research inputs. Mode shares are a routing hypothesis, not a transport plan.</x:v>
      </x:c>
      <x:c r="D3" s="3"/>
      <x:c r="E3" s="3"/>
      <x:c r="F3" s="3"/>
      <x:c r="G3" s="3"/>
      <x:c r="H3" s="3"/>
      <x:c r="I3" s="3"/>
      <x:c r="J3" s="3"/>
    </x:row>
    <x:row r="4">
      <x:c r="C4" s="47"/>
      <x:c r="D4" s="47"/>
      <x:c r="E4" s="47"/>
      <x:c r="F4" s="47"/>
      <x:c r="G4" s="47"/>
      <x:c r="H4" s="47"/>
      <x:c r="I4" s="47"/>
      <x:c r="J4" s="47"/>
    </x:row>
    <x:row r="5">
      <x:c r="C5" s="9" t="str">
        <x:v>ID</x:v>
      </x:c>
      <x:c r="D5" s="9" t="str">
        <x:v>Control</x:v>
      </x:c>
      <x:c r="E5" s="9" t="str">
        <x:v>Reference</x:v>
      </x:c>
      <x:c r="F5" s="9" t="str">
        <x:v>Unit</x:v>
      </x:c>
      <x:c r="G5" s="9" t="str">
        <x:v>Boundary</x:v>
      </x:c>
      <x:c r="H5" s="47"/>
      <x:c r="I5" s="47"/>
      <x:c r="J5" s="47"/>
    </x:row>
    <x:row r="6">
      <x:c r="C6" s="11" t="str">
        <x:v>A01</x:v>
      </x:c>
      <x:c r="D6" s="11" t="str">
        <x:v>Prepositioned early mass</x:v>
      </x:c>
      <x:c r="E6" s="14" t="n">
        <x:v>0.25</x:v>
      </x:c>
      <x:c r="F6" s="15" t="str">
        <x:v>share</x:v>
      </x:c>
      <x:c r="G6" s="15" t="str">
        <x:v>Pass 58 planning credit</x:v>
      </x:c>
      <x:c r="H6" s="47"/>
      <x:c r="I6" s="47"/>
      <x:c r="J6" s="47"/>
    </x:row>
    <x:row r="7">
      <x:c r="C7" s="11" t="str">
        <x:v>A02</x:v>
      </x:c>
      <x:c r="D7" s="11" t="str">
        <x:v>Air throughput</x:v>
      </x:c>
      <x:c r="E7" s="14" t="n">
        <x:v>53627</x:v>
      </x:c>
      <x:c r="F7" s="15" t="str">
        <x:v>t/day</x:v>
      </x:c>
      <x:c r="G7" s="15" t="str">
        <x:v>Pass 24 effective national screen</x:v>
      </x:c>
      <x:c r="H7" s="47"/>
      <x:c r="I7" s="47"/>
      <x:c r="J7" s="47"/>
    </x:row>
    <x:row r="8">
      <x:c r="C8" s="11" t="str">
        <x:v>A03</x:v>
      </x:c>
      <x:c r="D8" s="11" t="str">
        <x:v>Ocean throughput</x:v>
      </x:c>
      <x:c r="E8" s="14" t="n">
        <x:v>198800</x:v>
      </x:c>
      <x:c r="F8" s="15" t="str">
        <x:v>t/day</x:v>
      </x:c>
      <x:c r="G8" s="15" t="str">
        <x:v>Pass 24 effective national screen</x:v>
      </x:c>
      <x:c r="H8" s="47"/>
      <x:c r="I8" s="47"/>
      <x:c r="J8" s="47"/>
    </x:row>
    <x:row r="9">
      <x:c r="C9" s="11" t="str">
        <x:v>A04</x:v>
      </x:c>
      <x:c r="D9" s="11" t="str">
        <x:v>Land and rail throughput</x:v>
      </x:c>
      <x:c r="E9" s="14" t="n">
        <x:v>394400</x:v>
      </x:c>
      <x:c r="F9" s="15" t="str">
        <x:v>t/day</x:v>
      </x:c>
      <x:c r="G9" s="15" t="str">
        <x:v>Pass 24 effective national screen</x:v>
      </x:c>
      <x:c r="H9" s="47"/>
      <x:c r="I9" s="47"/>
      <x:c r="J9" s="47"/>
    </x:row>
    <x:row r="10">
      <x:c r="C10" s="11" t="str">
        <x:v>A05</x:v>
      </x:c>
      <x:c r="D10" s="11" t="str">
        <x:v>Inland-water throughput</x:v>
      </x:c>
      <x:c r="E10" s="14" t="n">
        <x:v>174150</x:v>
      </x:c>
      <x:c r="F10" s="15" t="str">
        <x:v>t/day</x:v>
      </x:c>
      <x:c r="G10" s="15" t="str">
        <x:v>Pass 24 effective national screen</x:v>
      </x:c>
      <x:c r="H10" s="47"/>
      <x:c r="I10" s="47"/>
      <x:c r="J10" s="47"/>
    </x:row>
    <x:row r="11">
      <x:c r="C11" s="11" t="str">
        <x:v>A06</x:v>
      </x:c>
      <x:c r="D11" s="11" t="str">
        <x:v>Early allocation interval</x:v>
      </x:c>
      <x:c r="E11" s="14" t="n">
        <x:v>3</x:v>
      </x:c>
      <x:c r="F11" s="15" t="str">
        <x:v>days</x:v>
      </x:c>
      <x:c r="G11" s="15" t="str">
        <x:v>72-hour planning interval</x:v>
      </x:c>
      <x:c r="H11" s="47"/>
      <x:c r="I11" s="47"/>
      <x:c r="J11" s="47"/>
    </x:row>
    <x:row r="12">
      <x:c r="C12" s="11" t="str">
        <x:v>A07</x:v>
      </x:c>
      <x:c r="D12" s="11" t="str">
        <x:v>Responder base capacity per J-TOC</x:v>
      </x:c>
      <x:c r="E12" s="14" t="n">
        <x:v>52800</x:v>
      </x:c>
      <x:c r="F12" s="15" t="str">
        <x:v>people</x:v>
      </x:c>
      <x:c r="G12" s="15" t="str">
        <x:v>Pass 58 inherited base screen</x:v>
      </x:c>
      <x:c r="H12" s="47"/>
      <x:c r="I12" s="47"/>
      <x:c r="J12" s="47"/>
    </x:row>
    <x:row r="13">
      <x:c r="C13" s="11" t="str">
        <x:v>A08</x:v>
      </x:c>
      <x:c r="D13" s="11" t="str">
        <x:v>Sustainment output per J-TSC</x:v>
      </x:c>
      <x:c r="E13" s="14" t="n">
        <x:v>18000</x:v>
      </x:c>
      <x:c r="F13" s="15" t="str">
        <x:v>t/day</x:v>
      </x:c>
      <x:c r="G13" s="15" t="str">
        <x:v>Pass 58 gross planning output</x:v>
      </x:c>
      <x:c r="H13" s="47"/>
      <x:c r="I13" s="47"/>
      <x:c r="J13" s="47"/>
    </x:row>
    <x:row r="14">
      <x:c r="C14" s="11" t="str">
        <x:v>A09</x:v>
      </x:c>
      <x:c r="D14" s="11" t="str">
        <x:v>Degraded theater-route factor</x:v>
      </x:c>
      <x:c r="E14" s="14" t="n">
        <x:v>0.7</x:v>
      </x:c>
      <x:c r="F14" s="15" t="str">
        <x:v>share</x:v>
      </x:c>
      <x:c r="G14" s="15" t="str">
        <x:v>Applied to J-TSC output</x:v>
      </x:c>
      <x:c r="H14" s="47"/>
      <x:c r="I14" s="47"/>
      <x:c r="J14" s="47"/>
    </x:row>
    <x:row r="15">
      <x:c r="C15" s="11" t="str">
        <x:v>A10</x:v>
      </x:c>
      <x:c r="D15" s="11" t="str">
        <x:v>NUPS affiliated workforce</x:v>
      </x:c>
      <x:c r="E15" s="14" t="n">
        <x:v>198197.55</x:v>
      </x:c>
      <x:c r="F15" s="15" t="str">
        <x:v>billet-equivalents</x:v>
      </x:c>
      <x:c r="G15" s="15" t="str">
        <x:v>Pass 58 common enterprise held once</x:v>
      </x:c>
      <x:c r="H15" s="47"/>
      <x:c r="I15" s="47"/>
      <x:c r="J15" s="47"/>
    </x:row>
    <x:row r="16">
      <x:c r="C16" s="11" t="str">
        <x:v>A11</x:v>
      </x:c>
      <x:c r="D16" s="11" t="str">
        <x:v>Institutional depth</x:v>
      </x:c>
      <x:c r="E16" s="14" t="n">
        <x:v>0.12</x:v>
      </x:c>
      <x:c r="F16" s="15" t="str">
        <x:v>share</x:v>
      </x:c>
      <x:c r="G16" s="15" t="str">
        <x:v>Pass 58 schools, depots, test and replacement</x:v>
      </x:c>
      <x:c r="H16" s="47"/>
      <x:c r="I16" s="47"/>
      <x:c r="J16" s="47"/>
    </x:row>
    <x:row r="17">
      <x:c r="C17" s="11" t="str">
        <x:v>A12</x:v>
      </x:c>
      <x:c r="D17" s="11" t="str">
        <x:v>Portfolio reserve</x:v>
      </x:c>
      <x:c r="E17" s="14" t="n">
        <x:v>0.2</x:v>
      </x:c>
      <x:c r="F17" s="15" t="str">
        <x:v>share</x:v>
      </x:c>
      <x:c r="G17" s="15" t="str">
        <x:v>Pass 58 capital reserve</x:v>
      </x:c>
      <x:c r="H17" s="47"/>
      <x:c r="I17" s="47"/>
      <x:c r="J17" s="47"/>
    </x:row>
    <x:row r="18">
      <x:c r="C18" s="11" t="str">
        <x:v>A13</x:v>
      </x:c>
      <x:c r="D18" s="11" t="str">
        <x:v>Pass 58 Department capital</x:v>
      </x:c>
      <x:c r="E18" s="14" t="n">
        <x:v>15178.9176</x:v>
      </x:c>
      <x:c r="F18" s="15" t="str">
        <x:v>$B</x:v>
      </x:c>
      <x:c r="G18" s="15" t="str">
        <x:v>Current planning headline</x:v>
      </x:c>
      <x:c r="H18" s="47"/>
      <x:c r="I18" s="47"/>
      <x:c r="J18" s="47"/>
    </x:row>
    <x:row r="19">
      <x:c r="C19" s="11" t="str">
        <x:v>A14</x:v>
      </x:c>
      <x:c r="D19" s="11" t="str">
        <x:v>Pass 58 affiliated establishment</x:v>
      </x:c>
      <x:c r="E19" s="14" t="n">
        <x:v>10484235.438</x:v>
      </x:c>
      <x:c r="F19" s="15" t="str">
        <x:v>billet-equivalents</x:v>
      </x:c>
      <x:c r="G19" s="15" t="str">
        <x:v>Current planning headline</x:v>
      </x:c>
      <x:c r="H19" s="47"/>
      <x:c r="I19" s="47"/>
      <x:c r="J19" s="47"/>
    </x:row>
    <x:row r="20">
      <x:c r="C20" s="11" t="str">
        <x:v>A15</x:v>
      </x:c>
      <x:c r="D20" s="11" t="str">
        <x:v>Pass 58 mature annual operations</x:v>
      </x:c>
      <x:c r="E20" s="14" t="n">
        <x:v>1736.41782438</x:v>
      </x:c>
      <x:c r="F20" s="15" t="str">
        <x:v>$B/year</x:v>
      </x:c>
      <x:c r="G20" s="15" t="str">
        <x:v>Current planning headline</x:v>
      </x:c>
      <x:c r="H20" s="47"/>
      <x:c r="I20" s="47"/>
      <x:c r="J20" s="47"/>
    </x:row>
    <x:row r="21">
      <x:c r="C21" s="11" t="str">
        <x:v>A16</x:v>
      </x:c>
      <x:c r="D21" s="11" t="str">
        <x:v>HCG external affiliated workforce screen</x:v>
      </x:c>
      <x:c r="E21" s="14" t="n">
        <x:v>519644.10600000015</x:v>
      </x:c>
      <x:c r="F21" s="15" t="str">
        <x:v>billet-equivalents</x:v>
      </x:c>
      <x:c r="G21" s="15" t="str">
        <x:v>Pass 59 exclusive-support hypothesis</x:v>
      </x:c>
      <x:c r="H21" s="47"/>
      <x:c r="I21" s="47"/>
      <x:c r="J21" s="47"/>
    </x:row>
    <x:row r="22">
      <x:c r="C22" s="11" t="str">
        <x:v>A17</x:v>
      </x:c>
      <x:c r="D22" s="11" t="str">
        <x:v>HCG external on-duty requirement</x:v>
      </x:c>
      <x:c r="E22" s="14" t="n">
        <x:v>207857.64240000007</x:v>
      </x:c>
      <x:c r="F22" s="15" t="str">
        <x:v>people</x:v>
      </x:c>
      <x:c r="G22" s="15" t="str">
        <x:v>Pass 59 simultaneous reserved demand</x:v>
      </x:c>
      <x:c r="H22" s="47"/>
      <x:c r="I22" s="47"/>
      <x:c r="J22" s="47"/>
    </x:row>
    <x:row r="23">
      <x:c r="C23" s="11" t="str">
        <x:v>A18</x:v>
      </x:c>
      <x:c r="D23" s="11" t="str">
        <x:v>Allocation tolerance</x:v>
      </x:c>
      <x:c r="E23" s="14" t="n">
        <x:v>0.000001</x:v>
      </x:c>
      <x:c r="F23" s="15" t="str">
        <x:v>unit</x:v>
      </x:c>
      <x:c r="G23" s="15" t="str">
        <x:v>Numerical comparison only</x:v>
      </x:c>
      <x:c r="H23" s="47"/>
      <x:c r="I23" s="47"/>
      <x:c r="J23" s="47"/>
    </x:row>
    <x:row r="24">
      <x:c r="C24" s="11" t="str">
        <x:v>A19</x:v>
      </x:c>
      <x:c r="D24" s="11" t="str">
        <x:v>District packages per active HCG</x:v>
      </x:c>
      <x:c r="E24" s="14" t="n">
        <x:v>34</x:v>
      </x:c>
      <x:c r="F24" s="15" t="str">
        <x:v>packages</x:v>
      </x:c>
      <x:c r="G24" s="15" t="str">
        <x:v>Pass 59 complete-system contract</x:v>
      </x:c>
      <x:c r="H24" s="47"/>
      <x:c r="I24" s="47"/>
      <x:c r="J24" s="47"/>
    </x:row>
    <x:row r="25">
      <x:c r="C25" s="11" t="str">
        <x:v>A20</x:v>
      </x:c>
      <x:c r="D25" s="11" t="str">
        <x:v>Route detachments per active HCG</x:v>
      </x:c>
      <x:c r="E25" s="14" t="n">
        <x:v>7</x:v>
      </x:c>
      <x:c r="F25" s="15" t="str">
        <x:v>detachments</x:v>
      </x:c>
      <x:c r="G25" s="15" t="str">
        <x:v>Pass 59 complete-system contract</x:v>
      </x:c>
      <x:c r="H25" s="47"/>
      <x:c r="I25" s="47"/>
      <x:c r="J25" s="47"/>
    </x:row>
    <x:row r="26">
      <x:c r="C26" s="11" t="str">
        <x:v>A21</x:v>
      </x:c>
      <x:c r="D26" s="11" t="str">
        <x:v>Power blocks per active HCG</x:v>
      </x:c>
      <x:c r="E26" s="14" t="n">
        <x:v>10</x:v>
      </x:c>
      <x:c r="F26" s="15" t="str">
        <x:v>blocks</x:v>
      </x:c>
      <x:c r="G26" s="15" t="str">
        <x:v>Pass 59 complete-system contract</x:v>
      </x:c>
      <x:c r="H26" s="47"/>
      <x:c r="I26" s="47"/>
      <x:c r="J26" s="47"/>
    </x:row>
    <x:row r="27">
      <x:c r="C27" s="11" t="str">
        <x:v>A22</x:v>
      </x:c>
      <x:c r="D27" s="11" t="str">
        <x:v>Water islands per active HCG</x:v>
      </x:c>
      <x:c r="E27" s="14" t="n">
        <x:v>9</x:v>
      </x:c>
      <x:c r="F27" s="15" t="str">
        <x:v>islands</x:v>
      </x:c>
      <x:c r="G27" s="15" t="str">
        <x:v>Pass 59 complete-system contract</x:v>
      </x:c>
      <x:c r="H27" s="47"/>
      <x:c r="I27" s="47"/>
      <x:c r="J27" s="47"/>
    </x:row>
    <x:row r="28">
      <x:c r="C28" s="47"/>
      <x:c r="D28" s="47"/>
      <x:c r="E28" s="47"/>
      <x:c r="F28" s="47"/>
      <x:c r="G28" s="47"/>
      <x:c r="H28" s="47"/>
      <x:c r="I28" s="47"/>
      <x:c r="J28" s="47"/>
    </x:row>
    <x:row r="29">
      <x:c r="C29" s="47"/>
      <x:c r="D29" s="47"/>
      <x:c r="E29" s="47"/>
      <x:c r="F29" s="47"/>
      <x:c r="G29" s="47"/>
      <x:c r="H29" s="47"/>
      <x:c r="I29" s="47"/>
      <x:c r="J29" s="47"/>
    </x:row>
    <x:row r="30">
      <x:c r="C30" s="47"/>
      <x:c r="D30" s="47"/>
      <x:c r="E30" s="47"/>
      <x:c r="F30" s="47"/>
      <x:c r="G30" s="47"/>
      <x:c r="H30" s="47"/>
      <x:c r="I30" s="47"/>
      <x:c r="J30" s="47"/>
    </x:row>
    <x:row r="31">
      <x:c r="C31" s="9" t="str">
        <x:v>Campaign</x:v>
      </x:c>
      <x:c r="D31" s="9" t="str">
        <x:v>Allocation order</x:v>
      </x:c>
      <x:c r="E31" s="9" t="str">
        <x:v>Air</x:v>
      </x:c>
      <x:c r="F31" s="9" t="str">
        <x:v>Ocean</x:v>
      </x:c>
      <x:c r="G31" s="9" t="str">
        <x:v>Land and rail</x:v>
      </x:c>
      <x:c r="H31" s="9" t="str">
        <x:v>Inland water</x:v>
      </x:c>
      <x:c r="I31" s="9" t="str">
        <x:v>Mode-share check</x:v>
      </x:c>
      <x:c r="J31" s="47"/>
    </x:row>
    <x:row r="32">
      <x:c r="C32" s="11" t="str">
        <x:v>C1</x:v>
      </x:c>
      <x:c r="D32" s="13" t="n">
        <x:v>1</x:v>
      </x:c>
      <x:c r="E32" s="16" t="n">
        <x:v>0.05</x:v>
      </x:c>
      <x:c r="F32" s="16" t="n">
        <x:v>0</x:v>
      </x:c>
      <x:c r="G32" s="16" t="n">
        <x:v>0.9</x:v>
      </x:c>
      <x:c r="H32" s="16" t="n">
        <x:v>0.05</x:v>
      </x:c>
      <x:c r="I32" s="18" t="n">
        <x:f>SUM(E32:H32)</x:f>
        <x:v>1</x:v>
      </x:c>
      <x:c r="J32" s="47"/>
    </x:row>
    <x:row r="33">
      <x:c r="C33" s="11" t="str">
        <x:v>C2</x:v>
      </x:c>
      <x:c r="D33" s="13" t="n">
        <x:v>2</x:v>
      </x:c>
      <x:c r="E33" s="16" t="n">
        <x:v>0.05</x:v>
      </x:c>
      <x:c r="F33" s="16" t="n">
        <x:v>0.2</x:v>
      </x:c>
      <x:c r="G33" s="16" t="n">
        <x:v>0.6</x:v>
      </x:c>
      <x:c r="H33" s="16" t="n">
        <x:v>0.15</x:v>
      </x:c>
      <x:c r="I33" s="18" t="n">
        <x:f>SUM(E33:H33)</x:f>
        <x:v>1</x:v>
      </x:c>
      <x:c r="J33" s="47"/>
    </x:row>
    <x:row r="34">
      <x:c r="C34" s="11" t="str">
        <x:v>C3</x:v>
      </x:c>
      <x:c r="D34" s="13" t="n">
        <x:v>3</x:v>
      </x:c>
      <x:c r="E34" s="16" t="n">
        <x:v>0.1</x:v>
      </x:c>
      <x:c r="F34" s="16" t="n">
        <x:v>0.35</x:v>
      </x:c>
      <x:c r="G34" s="16" t="n">
        <x:v>0.5</x:v>
      </x:c>
      <x:c r="H34" s="16" t="n">
        <x:v>0.05</x:v>
      </x:c>
      <x:c r="I34" s="18" t="n">
        <x:f>SUM(E34:H34)</x:f>
        <x:v>1</x:v>
      </x:c>
      <x:c r="J34" s="47"/>
    </x:row>
    <x:row r="35">
      <x:c r="C35" s="11" t="str">
        <x:v>M1</x:v>
      </x:c>
      <x:c r="D35" s="13" t="n">
        <x:v>4</x:v>
      </x:c>
      <x:c r="E35" s="16" t="n">
        <x:v>0.1</x:v>
      </x:c>
      <x:c r="F35" s="16" t="n">
        <x:v>0</x:v>
      </x:c>
      <x:c r="G35" s="16" t="n">
        <x:v>0.9</x:v>
      </x:c>
      <x:c r="H35" s="16" t="n">
        <x:v>0</x:v>
      </x:c>
      <x:c r="I35" s="18" t="n">
        <x:f>SUM(E35:H35)</x:f>
        <x:v>1</x:v>
      </x:c>
      <x:c r="J35" s="47"/>
    </x:row>
    <x:row r="36">
      <x:c r="C36" s="11" t="str">
        <x:v>M2</x:v>
      </x:c>
      <x:c r="D36" s="13" t="n">
        <x:v>5</x:v>
      </x:c>
      <x:c r="E36" s="16" t="n">
        <x:v>0.05</x:v>
      </x:c>
      <x:c r="F36" s="16" t="n">
        <x:v>0</x:v>
      </x:c>
      <x:c r="G36" s="16" t="n">
        <x:v>0.95</x:v>
      </x:c>
      <x:c r="H36" s="16" t="n">
        <x:v>0</x:v>
      </x:c>
      <x:c r="I36" s="18" t="n">
        <x:f>SUM(E36:H36)</x:f>
        <x:v>1</x:v>
      </x:c>
      <x:c r="J36" s="47"/>
    </x:row>
    <x:row r="37">
      <x:c r="C37" s="11" t="str">
        <x:v>M3</x:v>
      </x:c>
      <x:c r="D37" s="13" t="n">
        <x:v>6</x:v>
      </x:c>
      <x:c r="E37" s="16" t="n">
        <x:v>0.05</x:v>
      </x:c>
      <x:c r="F37" s="16" t="n">
        <x:v>0</x:v>
      </x:c>
      <x:c r="G37" s="16" t="n">
        <x:v>0.7</x:v>
      </x:c>
      <x:c r="H37" s="16" t="n">
        <x:v>0.25</x:v>
      </x:c>
      <x:c r="I37" s="18" t="n">
        <x:f>SUM(E37:H37)</x:f>
        <x:v>1</x:v>
      </x:c>
      <x:c r="J37" s="47"/>
    </x:row>
    <x:row r="38">
      <x:c r="C38" s="11" t="str">
        <x:v>M4</x:v>
      </x:c>
      <x:c r="D38" s="13" t="n">
        <x:v>7</x:v>
      </x:c>
      <x:c r="E38" s="16" t="n">
        <x:v>0.05</x:v>
      </x:c>
      <x:c r="F38" s="16" t="n">
        <x:v>0</x:v>
      </x:c>
      <x:c r="G38" s="16" t="n">
        <x:v>0.95</x:v>
      </x:c>
      <x:c r="H38" s="16" t="n">
        <x:v>0</x:v>
      </x:c>
      <x:c r="I38" s="18" t="n">
        <x:f>SUM(E38:H38)</x:f>
        <x:v>1</x:v>
      </x:c>
      <x:c r="J38" s="47"/>
    </x:row>
    <x:row r="39">
      <x:c r="C39" s="11" t="str">
        <x:v>M5</x:v>
      </x:c>
      <x:c r="D39" s="13" t="n">
        <x:v>8</x:v>
      </x:c>
      <x:c r="E39" s="16" t="n">
        <x:v>0.05</x:v>
      </x:c>
      <x:c r="F39" s="16" t="n">
        <x:v>0</x:v>
      </x:c>
      <x:c r="G39" s="16" t="n">
        <x:v>0.8</x:v>
      </x:c>
      <x:c r="H39" s="16" t="n">
        <x:v>0.15</x:v>
      </x:c>
      <x:c r="I39" s="18" t="n">
        <x:f>SUM(E39:H39)</x:f>
        <x:v>1</x:v>
      </x:c>
      <x:c r="J39" s="47"/>
    </x:row>
    <x:row r="40">
      <x:c r="C40" s="11" t="str">
        <x:v>G1</x:v>
      </x:c>
      <x:c r="D40" s="13" t="n">
        <x:v>9</x:v>
      </x:c>
      <x:c r="E40" s="16" t="n">
        <x:v>0.15</x:v>
      </x:c>
      <x:c r="F40" s="16" t="n">
        <x:v>0.85</x:v>
      </x:c>
      <x:c r="G40" s="16" t="n">
        <x:v>0</x:v>
      </x:c>
      <x:c r="H40" s="16" t="n">
        <x:v>0</x:v>
      </x:c>
      <x:c r="I40" s="18" t="n">
        <x:f>SUM(E40:H40)</x:f>
        <x:v>1</x:v>
      </x:c>
      <x:c r="J40" s="47"/>
    </x:row>
    <x:row r="41">
      <x:c r="C41" s="11" t="str">
        <x:v>G2</x:v>
      </x:c>
      <x:c r="D41" s="13" t="n">
        <x:v>10</x:v>
      </x:c>
      <x:c r="E41" s="16" t="n">
        <x:v>0.15</x:v>
      </x:c>
      <x:c r="F41" s="16" t="n">
        <x:v>0.75</x:v>
      </x:c>
      <x:c r="G41" s="16" t="n">
        <x:v>0</x:v>
      </x:c>
      <x:c r="H41" s="16" t="n">
        <x:v>0.1</x:v>
      </x:c>
      <x:c r="I41" s="18" t="n">
        <x:f>SUM(E41:H41)</x:f>
        <x:v>1</x:v>
      </x:c>
      <x:c r="J41" s="47"/>
    </x:row>
  </x:sheetData>
  <x:pageMargins left="0.7" right="0.7" top="0.75" bottom="0.75" header="0.3" footer="0.3"/>
  <x:tableParts count="2">
    <x:tablePart xmlns:r="http://schemas.openxmlformats.org/officeDocument/2006/relationships" r:id="R003b2cc6211c4b49"/>
    <x:tablePart xmlns:r="http://schemas.openxmlformats.org/officeDocument/2006/relationships" r:id="Rf1bb161d92064a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2" hidden="0" customWidth="1"/>
    <x:col min="4" max="4" width="27" hidden="0" customWidth="1"/>
    <x:col min="5" max="5" width="20" hidden="0" customWidth="1"/>
    <x:col min="6" max="6" width="37" hidden="0" customWidth="1"/>
    <x:col min="7" max="7" width="16" hidden="0" customWidth="1"/>
    <x:col min="8" max="8" width="13" hidden="0" customWidth="1"/>
    <x:col min="9" max="9" width="18" hidden="0" customWidth="1"/>
    <x:col min="10" max="10" width="14" hidden="0" customWidth="1"/>
    <x:col min="11" max="11" width="28" hidden="0" customWidth="1"/>
    <x:col min="12" max="12" width="20" hidden="0" customWidth="1"/>
    <x:col min="13" max="13" width="50" hidden="0" customWidth="1"/>
    <x:col min="14" max="14" width="17" hidden="0" customWidth="1"/>
    <x:col min="15" max="15" width="17" hidden="0" customWidth="1"/>
    <x:col min="16" max="16" width="4" hidden="0" customWidth="1"/>
    <x:col min="17" max="17" width="2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4" hidden="0" customWidth="1"/>
    <x:col min="23" max="23" width="14" hidden="0" customWidth="1"/>
  </x:cols>
  <x:sheetData>
    <x:row r="2">
      <x:c r="C2" s="2" t="str">
        <x:v>Capacity-object register</x:v>
      </x:c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7"/>
      <x:c r="T2" s="47"/>
      <x:c r="U2" s="47"/>
      <x:c r="V2" s="47"/>
      <x:c r="W2" s="47"/>
    </x:row>
    <x:row r="3">
      <x:c r="C3" s="3" t="str">
        <x:v>Each pool has one identity, unit, interval, geography, owner and substitution boundary. Unquantified pools are not treated as zero.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47"/>
      <x:c r="T3" s="47"/>
      <x:c r="U3" s="47"/>
      <x:c r="V3" s="47"/>
      <x:c r="W3" s="47"/>
    </x:row>
    <x:row r="4"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</x:row>
    <x:row r="5">
      <x:c r="C5" s="9" t="str">
        <x:v>Pool ID</x:v>
      </x:c>
      <x:c r="D5" s="9" t="str">
        <x:v>Service</x:v>
      </x:c>
      <x:c r="E5" s="9" t="str">
        <x:v>Unit</x:v>
      </x:c>
      <x:c r="F5" s="9" t="str">
        <x:v>Provider / authority</x:v>
      </x:c>
      <x:c r="G5" s="9" t="str">
        <x:v>Nominal supply</x:v>
      </x:c>
      <x:c r="H5" s="9" t="str">
        <x:v>Readiness</x:v>
      </x:c>
      <x:c r="I5" s="9" t="str">
        <x:v>Effective capacity</x:v>
      </x:c>
      <x:c r="J5" s="9" t="str">
        <x:v>Interval</x:v>
      </x:c>
      <x:c r="K5" s="9" t="str">
        <x:v>Geography</x:v>
      </x:c>
      <x:c r="L5" s="9" t="str">
        <x:v>Capacity form</x:v>
      </x:c>
      <x:c r="M5" s="9" t="str">
        <x:v>Substitution boundary</x:v>
      </x:c>
      <x:c r="N5" s="9" t="str">
        <x:v>Evidence state</x:v>
      </x:c>
      <x:c r="O5" s="9" t="str">
        <x:v>Allocation status</x:v>
      </x:c>
      <x:c r="P5" s="47"/>
      <x:c r="Q5" s="9" t="str">
        <x:v>Pool ID</x:v>
      </x:c>
      <x:c r="R5" s="9" t="str">
        <x:v>Total claim</x:v>
      </x:c>
      <x:c r="S5" s="9" t="str">
        <x:v>Effective capacity</x:v>
      </x:c>
      <x:c r="T5" s="9" t="str">
        <x:v>Granted</x:v>
      </x:c>
      <x:c r="U5" s="9" t="str">
        <x:v>Denied</x:v>
      </x:c>
      <x:c r="V5" s="9" t="str">
        <x:v>Coverage</x:v>
      </x:c>
      <x:c r="W5" s="9" t="str">
        <x:v>Result</x:v>
      </x:c>
    </x:row>
    <x:row r="6">
      <x:c r="C6" s="11" t="str">
        <x:v>LIFT-AIR-H72</x:v>
      </x:c>
      <x:c r="D6" s="11" t="str">
        <x:v>Strategic entry</x:v>
      </x:c>
      <x:c r="E6" s="11" t="str">
        <x:v>tonnes/72h</x:v>
      </x:c>
      <x:c r="F6" s="15" t="str">
        <x:v>A-SMW / Strategic Mobility Command</x:v>
      </x:c>
      <x:c r="G6" s="20" t="n">
        <x:f>'01 Controls'!$E$7*'01 Controls'!$E$11</x:f>
        <x:v>160881</x:v>
      </x:c>
      <x:c r="H6" s="20" t="n">
        <x:v>1</x:v>
      </x:c>
      <x:c r="I6" s="20" t="n">
        <x:f>G6*H6</x:f>
        <x:v>160881</x:v>
      </x:c>
      <x:c r="J6" s="15" t="str">
        <x:v>H0–72</x:v>
      </x:c>
      <x:c r="K6" s="15" t="str">
        <x:v>National and partner access</x:v>
      </x:c>
      <x:c r="L6" s="15" t="str">
        <x:v>divisible flow</x:v>
      </x:c>
      <x:c r="M6" s="15" t="str">
        <x:v>No cross-mode substitution without compatible route and cargo proof</x:v>
      </x:c>
      <x:c r="N6" s="15" t="str">
        <x:v>R2 planning</x:v>
      </x:c>
      <x:c r="O6" s="11" t="str">
        <x:f>IF(SUMIFS('04 Allocation Ledger'!$N$6:$N$105,'04 Allocation Ledger'!$D$6:$D$105,C6)&lt;='01 Controls'!$E$23,"PASS","FAIL")</x:f>
        <x:v>FAIL</x:v>
      </x:c>
      <x:c r="P6" s="47"/>
      <x:c r="Q6" s="11" t="str">
        <x:v>LIFT-AIR-H72</x:v>
      </x:c>
      <x:c r="R6" s="20" t="n">
        <x:f>SUMIFS('04 Allocation Ledger'!$J$6:$J$105,'04 Allocation Ledger'!$D$6:$D$105,Q6)</x:f>
        <x:v>585930.9862500001</x:v>
      </x:c>
      <x:c r="S6" s="20" t="n">
        <x:f>I6</x:f>
        <x:v>160881</x:v>
      </x:c>
      <x:c r="T6" s="20" t="n">
        <x:f>SUMIFS('04 Allocation Ledger'!$M$6:$M$105,'04 Allocation Ledger'!$D$6:$D$105,Q6)</x:f>
        <x:v>160881</x:v>
      </x:c>
      <x:c r="U6" s="20" t="n">
        <x:f>R6-T6</x:f>
        <x:v>425049.9862500001</x:v>
      </x:c>
      <x:c r="V6" s="18" t="n">
        <x:f>IF(R6=0,"n.a.",T6/R6)</x:f>
        <x:v>0.2745732923763767</x:v>
      </x:c>
      <x:c r="W6" s="21" t="str">
        <x:f>IF(U6&lt;='01 Controls'!$E$23,"PASS","FAIL")</x:f>
        <x:v>FAIL</x:v>
      </x:c>
    </x:row>
    <x:row r="7">
      <x:c r="C7" s="11" t="str">
        <x:v>LIFT-OCEAN-H72</x:v>
      </x:c>
      <x:c r="D7" s="11" t="str">
        <x:v>Strategic entry</x:v>
      </x:c>
      <x:c r="E7" s="11" t="str">
        <x:v>tonnes/72h</x:v>
      </x:c>
      <x:c r="F7" s="15" t="str">
        <x:v>M-SSG / Strategic Mobility Command</x:v>
      </x:c>
      <x:c r="G7" s="20" t="n">
        <x:f>'01 Controls'!$E$8*'01 Controls'!$E$11</x:f>
        <x:v>596400</x:v>
      </x:c>
      <x:c r="H7" s="20" t="n">
        <x:v>1</x:v>
      </x:c>
      <x:c r="I7" s="20" t="n">
        <x:f>G7*H7</x:f>
        <x:v>596400</x:v>
      </x:c>
      <x:c r="J7" s="15" t="str">
        <x:v>H0–72</x:v>
      </x:c>
      <x:c r="K7" s="15" t="str">
        <x:v>National ports and offshore entry</x:v>
      </x:c>
      <x:c r="L7" s="15" t="str">
        <x:v>divisible flow</x:v>
      </x:c>
      <x:c r="M7" s="15" t="str">
        <x:v>No cross-mode substitution without compatible route and cargo proof</x:v>
      </x:c>
      <x:c r="N7" s="15" t="str">
        <x:v>R2 planning</x:v>
      </x:c>
      <x:c r="O7" s="11" t="str">
        <x:f>IF(SUMIFS('04 Allocation Ledger'!$N$6:$N$105,'04 Allocation Ledger'!$D$6:$D$105,C7)&lt;='01 Controls'!$E$23,"PASS","FAIL")</x:f>
        <x:v>FAIL</x:v>
      </x:c>
      <x:c r="P7" s="47"/>
      <x:c r="Q7" s="11" t="str">
        <x:v>LIFT-OCEAN-H72</x:v>
      </x:c>
      <x:c r="R7" s="20" t="n">
        <x:f>SUMIFS('04 Allocation Ledger'!$J$6:$J$105,'04 Allocation Ledger'!$D$6:$D$105,Q7)</x:f>
        <x:v>1971680.8199999998</x:v>
      </x:c>
      <x:c r="S7" s="20" t="n">
        <x:f>I7</x:f>
        <x:v>596400</x:v>
      </x:c>
      <x:c r="T7" s="20" t="n">
        <x:f>SUMIFS('04 Allocation Ledger'!$M$6:$M$105,'04 Allocation Ledger'!$D$6:$D$105,Q7)</x:f>
        <x:v>596400</x:v>
      </x:c>
      <x:c r="U7" s="20" t="n">
        <x:f>R7-T7</x:f>
        <x:v>1375280.8199999998</x:v>
      </x:c>
      <x:c r="V7" s="18" t="n">
        <x:f>IF(R7=0,"n.a.",T7/R7)</x:f>
        <x:v>0.30248303576843644</x:v>
      </x:c>
      <x:c r="W7" s="21" t="str">
        <x:f>IF(U7&lt;='01 Controls'!$E$23,"PASS","FAIL")</x:f>
        <x:v>FAIL</x:v>
      </x:c>
    </x:row>
    <x:row r="8">
      <x:c r="C8" s="11" t="str">
        <x:v>LIFT-LAND-H72</x:v>
      </x:c>
      <x:c r="D8" s="11" t="str">
        <x:v>Strategic entry</x:v>
      </x:c>
      <x:c r="E8" s="11" t="str">
        <x:v>tonnes/72h</x:v>
      </x:c>
      <x:c r="F8" s="15" t="str">
        <x:v>A-TDG / Strategic Mobility Command</x:v>
      </x:c>
      <x:c r="G8" s="20" t="n">
        <x:f>'01 Controls'!$E$9*'01 Controls'!$E$11</x:f>
        <x:v>1183200</x:v>
      </x:c>
      <x:c r="H8" s="20" t="n">
        <x:v>1</x:v>
      </x:c>
      <x:c r="I8" s="20" t="n">
        <x:f>G8*H8</x:f>
        <x:v>1183200</x:v>
      </x:c>
      <x:c r="J8" s="15" t="str">
        <x:v>H0–72</x:v>
      </x:c>
      <x:c r="K8" s="15" t="str">
        <x:v>Domestic and treaty-connected corridors</x:v>
      </x:c>
      <x:c r="L8" s="15" t="str">
        <x:v>divisible flow</x:v>
      </x:c>
      <x:c r="M8" s="15" t="str">
        <x:v>Rail and road share only within demonstrated interchange</x:v>
      </x:c>
      <x:c r="N8" s="15" t="str">
        <x:v>R2 planning</x:v>
      </x:c>
      <x:c r="O8" s="11" t="str">
        <x:f>IF(SUMIFS('04 Allocation Ledger'!$N$6:$N$105,'04 Allocation Ledger'!$D$6:$D$105,C8)&lt;='01 Controls'!$E$23,"PASS","FAIL")</x:f>
        <x:v>FAIL</x:v>
      </x:c>
      <x:c r="P8" s="47"/>
      <x:c r="Q8" s="11" t="str">
        <x:v>LIFT-LAND-H72</x:v>
      </x:c>
      <x:c r="R8" s="20" t="n">
        <x:f>SUMIFS('04 Allocation Ledger'!$J$6:$J$105,'04 Allocation Ledger'!$D$6:$D$105,Q8)</x:f>
        <x:v>3618692.18625</x:v>
      </x:c>
      <x:c r="S8" s="20" t="n">
        <x:f>I8</x:f>
        <x:v>1183200</x:v>
      </x:c>
      <x:c r="T8" s="20" t="n">
        <x:f>SUMIFS('04 Allocation Ledger'!$M$6:$M$105,'04 Allocation Ledger'!$D$6:$D$105,Q8)</x:f>
        <x:v>1183200</x:v>
      </x:c>
      <x:c r="U8" s="20" t="n">
        <x:f>R8-T8</x:f>
        <x:v>2435492.18625</x:v>
      </x:c>
      <x:c r="V8" s="18" t="n">
        <x:f>IF(R8=0,"n.a.",T8/R8)</x:f>
        <x:v>0.32696895428017425</x:v>
      </x:c>
      <x:c r="W8" s="21" t="str">
        <x:f>IF(U8&lt;='01 Controls'!$E$23,"PASS","FAIL")</x:f>
        <x:v>FAIL</x:v>
      </x:c>
    </x:row>
    <x:row r="9">
      <x:c r="C9" s="11" t="str">
        <x:v>LIFT-INLAND-H72</x:v>
      </x:c>
      <x:c r="D9" s="11" t="str">
        <x:v>Strategic entry</x:v>
      </x:c>
      <x:c r="E9" s="11" t="str">
        <x:v>tonnes/72h</x:v>
      </x:c>
      <x:c r="F9" s="15" t="str">
        <x:v>M-IWG / Strategic Mobility Command</x:v>
      </x:c>
      <x:c r="G9" s="20" t="n">
        <x:f>'01 Controls'!$E$10*'01 Controls'!$E$11</x:f>
        <x:v>522450</x:v>
      </x:c>
      <x:c r="H9" s="20" t="n">
        <x:v>1</x:v>
      </x:c>
      <x:c r="I9" s="20" t="n">
        <x:f>G9*H9</x:f>
        <x:v>522450</x:v>
      </x:c>
      <x:c r="J9" s="15" t="str">
        <x:v>H0–72</x:v>
      </x:c>
      <x:c r="K9" s="15" t="str">
        <x:v>Navigable inland-water network</x:v>
      </x:c>
      <x:c r="L9" s="15" t="str">
        <x:v>divisible flow</x:v>
      </x:c>
      <x:c r="M9" s="15" t="str">
        <x:v>Cannot serve campaigns without surviving waterway access</x:v>
      </x:c>
      <x:c r="N9" s="15" t="str">
        <x:v>R2 planning</x:v>
      </x:c>
      <x:c r="O9" s="11" t="str">
        <x:f>IF(SUMIFS('04 Allocation Ledger'!$N$6:$N$105,'04 Allocation Ledger'!$D$6:$D$105,C9)&lt;='01 Controls'!$E$23,"PASS","FAIL")</x:f>
        <x:v>PASS</x:v>
      </x:c>
      <x:c r="P9" s="47"/>
      <x:c r="Q9" s="11" t="str">
        <x:v>LIFT-INLAND-H72</x:v>
      </x:c>
      <x:c r="R9" s="20" t="n">
        <x:f>SUMIFS('04 Allocation Ledger'!$J$6:$J$105,'04 Allocation Ledger'!$D$6:$D$105,Q9)</x:f>
        <x:v>500836.35750000004</x:v>
      </x:c>
      <x:c r="S9" s="20" t="n">
        <x:f>I9</x:f>
        <x:v>522450</x:v>
      </x:c>
      <x:c r="T9" s="20" t="n">
        <x:f>SUMIFS('04 Allocation Ledger'!$M$6:$M$105,'04 Allocation Ledger'!$D$6:$D$105,Q9)</x:f>
        <x:v>500836.35750000004</x:v>
      </x:c>
      <x:c r="U9" s="20" t="n">
        <x:f>R9-T9</x:f>
        <x:v>0</x:v>
      </x:c>
      <x:c r="V9" s="18" t="n">
        <x:f>IF(R9=0,"n.a.",T9/R9)</x:f>
        <x:v>1</x:v>
      </x:c>
      <x:c r="W9" s="21" t="str">
        <x:f>IF(U9&lt;='01 Controls'!$E$23,"PASS","FAIL")</x:f>
        <x:v>PASS</x:v>
      </x:c>
    </x:row>
    <x:row r="10">
      <x:c r="C10" s="11" t="str">
        <x:v>BASE-RESP-D7</x:v>
      </x:c>
      <x:c r="D10" s="11" t="str">
        <x:v>Responder reception</x:v>
      </x:c>
      <x:c r="E10" s="11" t="str">
        <x:v>people</x:v>
      </x:c>
      <x:c r="F10" s="15" t="str">
        <x:v>J-TOC / receiving geography</x:v>
      </x:c>
      <x:c r="G10" s="20" t="n">
        <x:f>36*'01 Controls'!$E$12</x:f>
        <x:v>1900800</x:v>
      </x:c>
      <x:c r="H10" s="20" t="n">
        <x:v>0.78</x:v>
      </x:c>
      <x:c r="I10" s="20" t="n">
        <x:f>G10*H10</x:f>
        <x:v>1482624</x:v>
      </x:c>
      <x:c r="J10" s="15" t="str">
        <x:v>H0–D7</x:v>
      </x:c>
      <x:c r="K10" s="15" t="str">
        <x:v>Campaign receiving geography</x:v>
      </x:c>
      <x:c r="L10" s="15" t="str">
        <x:v>divisible service</x:v>
      </x:c>
      <x:c r="M10" s="15" t="str">
        <x:v>No credit without occupied, powered and supplied base</x:v>
      </x:c>
      <x:c r="N10" s="15" t="str">
        <x:v>R2 planning</x:v>
      </x:c>
      <x:c r="O10" s="11" t="str">
        <x:f>IF(SUMIFS('04 Allocation Ledger'!$N$6:$N$105,'04 Allocation Ledger'!$D$6:$D$105,C10)&lt;='01 Controls'!$E$23,"PASS","FAIL")</x:f>
        <x:v>FAIL</x:v>
      </x:c>
      <x:c r="P10" s="47"/>
      <x:c r="Q10" s="11" t="str">
        <x:v>BASE-RESP-D7</x:v>
      </x:c>
      <x:c r="R10" s="20" t="n">
        <x:f>SUMIFS('04 Allocation Ledger'!$J$6:$J$105,'04 Allocation Ledger'!$D$6:$D$105,Q10)</x:f>
        <x:v>2011407</x:v>
      </x:c>
      <x:c r="S10" s="20" t="n">
        <x:f>I10</x:f>
        <x:v>1482624</x:v>
      </x:c>
      <x:c r="T10" s="20" t="n">
        <x:f>SUMIFS('04 Allocation Ledger'!$M$6:$M$105,'04 Allocation Ledger'!$D$6:$D$105,Q10)</x:f>
        <x:v>1482624</x:v>
      </x:c>
      <x:c r="U10" s="20" t="n">
        <x:f>R10-T10</x:f>
        <x:v>528783</x:v>
      </x:c>
      <x:c r="V10" s="18" t="n">
        <x:f>IF(R10=0,"n.a.",T10/R10)</x:f>
        <x:v>0.7371079050634705</x:v>
      </x:c>
      <x:c r="W10" s="21" t="str">
        <x:f>IF(U10&lt;='01 Controls'!$E$23,"PASS","FAIL")</x:f>
        <x:v>FAIL</x:v>
      </x:c>
    </x:row>
    <x:row r="11">
      <x:c r="C11" s="11" t="str">
        <x:v>SUSTAIN-DAY</x:v>
      </x:c>
      <x:c r="D11" s="11" t="str">
        <x:v>Force sustainment</x:v>
      </x:c>
      <x:c r="E11" s="11" t="str">
        <x:v>tonnes/day</x:v>
      </x:c>
      <x:c r="F11" s="15" t="str">
        <x:v>J-TSC / Strategic Sustainment Command</x:v>
      </x:c>
      <x:c r="G11" s="20" t="n">
        <x:f>51*'01 Controls'!$E$13</x:f>
        <x:v>918000</x:v>
      </x:c>
      <x:c r="H11" s="20" t="n">
        <x:f>0.78*'01 Controls'!$E$14</x:f>
        <x:v>0.5459999999999999</x:v>
      </x:c>
      <x:c r="I11" s="20" t="n">
        <x:f>G11*H11</x:f>
        <x:v>501227.99999999994</x:v>
      </x:c>
      <x:c r="J11" s="15" t="str">
        <x:v>D1–7</x:v>
      </x:c>
      <x:c r="K11" s="15" t="str">
        <x:v>National-to-theater network</x:v>
      </x:c>
      <x:c r="L11" s="15" t="str">
        <x:v>divisible flow</x:v>
      </x:c>
      <x:c r="M11" s="15" t="str">
        <x:v>Does not include unmodeled public commodities or residuals</x:v>
      </x:c>
      <x:c r="N11" s="15" t="str">
        <x:v>R2 planning</x:v>
      </x:c>
      <x:c r="O11" s="11" t="str">
        <x:f>IF(SUMIFS('04 Allocation Ledger'!$N$6:$N$105,'04 Allocation Ledger'!$D$6:$D$105,C11)&lt;='01 Controls'!$E$23,"PASS","FAIL")</x:f>
        <x:v>PASS</x:v>
      </x:c>
      <x:c r="P11" s="47"/>
      <x:c r="Q11" s="11" t="str">
        <x:v>SUSTAIN-DAY</x:v>
      </x:c>
      <x:c r="R11" s="20" t="n">
        <x:f>SUMIFS('04 Allocation Ledger'!$J$6:$J$105,'04 Allocation Ledger'!$D$6:$D$105,Q11)</x:f>
        <x:v>173895</x:v>
      </x:c>
      <x:c r="S11" s="20" t="n">
        <x:f>I11</x:f>
        <x:v>501227.99999999994</x:v>
      </x:c>
      <x:c r="T11" s="20" t="n">
        <x:f>SUMIFS('04 Allocation Ledger'!$M$6:$M$105,'04 Allocation Ledger'!$D$6:$D$105,Q11)</x:f>
        <x:v>173895</x:v>
      </x:c>
      <x:c r="U11" s="20" t="n">
        <x:f>R11-T11</x:f>
        <x:v>0</x:v>
      </x:c>
      <x:c r="V11" s="18" t="n">
        <x:f>IF(R11=0,"n.a.",T11/R11)</x:f>
        <x:v>1</x:v>
      </x:c>
      <x:c r="W11" s="21" t="str">
        <x:f>IF(U11&lt;='01 Controls'!$E$23,"PASS","FAIL")</x:f>
        <x:v>PASS</x:v>
      </x:c>
    </x:row>
    <x:row r="12">
      <x:c r="C12" s="11" t="str">
        <x:v>HCG-DISTRICT-D7</x:v>
      </x:c>
      <x:c r="D12" s="11" t="str">
        <x:v>Prepared district service</x:v>
      </x:c>
      <x:c r="E12" s="11" t="str">
        <x:v>packages</x:v>
      </x:c>
      <x:c r="F12" s="15" t="str">
        <x:v>C-PSG / prepared lattice</x:v>
      </x:c>
      <x:c r="G12" s="20" t="n">
        <x:v>3754</x:v>
      </x:c>
      <x:c r="H12" s="20" t="n">
        <x:v>0.75</x:v>
      </x:c>
      <x:c r="I12" s="20" t="n">
        <x:f>G12*H12</x:f>
        <x:v>2815.5</x:v>
      </x:c>
      <x:c r="J12" s="15" t="str">
        <x:v>H0–D7</x:v>
      </x:c>
      <x:c r="K12" s="15" t="str">
        <x:v>Affected civil terrain</x:v>
      </x:c>
      <x:c r="L12" s="15" t="str">
        <x:v>indivisible package</x:v>
      </x:c>
      <x:c r="M12" s="15" t="str">
        <x:v>Site must be released, occupied and connected</x:v>
      </x:c>
      <x:c r="N12" s="15" t="str">
        <x:v>R2 planning</x:v>
      </x:c>
      <x:c r="O12" s="11" t="str">
        <x:f>IF(SUMIFS('04 Allocation Ledger'!$N$6:$N$105,'04 Allocation Ledger'!$D$6:$D$105,C12)&lt;='01 Controls'!$E$23,"PASS","FAIL")</x:f>
        <x:v>PASS</x:v>
      </x:c>
      <x:c r="P12" s="47"/>
      <x:c r="Q12" s="11" t="str">
        <x:v>HCG-DISTRICT-D7</x:v>
      </x:c>
      <x:c r="R12" s="20" t="n">
        <x:f>SUMIFS('04 Allocation Ledger'!$J$6:$J$105,'04 Allocation Ledger'!$D$6:$D$105,Q12)</x:f>
        <x:v>2346</x:v>
      </x:c>
      <x:c r="S12" s="20" t="n">
        <x:f>I12</x:f>
        <x:v>2815.5</x:v>
      </x:c>
      <x:c r="T12" s="20" t="n">
        <x:f>SUMIFS('04 Allocation Ledger'!$M$6:$M$105,'04 Allocation Ledger'!$D$6:$D$105,Q12)</x:f>
        <x:v>2346</x:v>
      </x:c>
      <x:c r="U12" s="20" t="n">
        <x:f>R12-T12</x:f>
        <x:v>0</x:v>
      </x:c>
      <x:c r="V12" s="18" t="n">
        <x:f>IF(R12=0,"n.a.",T12/R12)</x:f>
        <x:v>1</x:v>
      </x:c>
      <x:c r="W12" s="21" t="str">
        <x:f>IF(U12&lt;='01 Controls'!$E$23,"PASS","FAIL")</x:f>
        <x:v>PASS</x:v>
      </x:c>
    </x:row>
    <x:row r="13">
      <x:c r="C13" s="11" t="str">
        <x:v>HCG-ROUTE-H48</x:v>
      </x:c>
      <x:c r="D13" s="11" t="str">
        <x:v>Local route release</x:v>
      </x:c>
      <x:c r="E13" s="11" t="str">
        <x:v>detachments</x:v>
      </x:c>
      <x:c r="F13" s="15" t="str">
        <x:v>L-ROG / CM-RMG</x:v>
      </x:c>
      <x:c r="G13" s="20" t="n">
        <x:v>828</x:v>
      </x:c>
      <x:c r="H13" s="20" t="n">
        <x:v>0.7</x:v>
      </x:c>
      <x:c r="I13" s="20" t="n">
        <x:f>G13*H13</x:f>
        <x:v>579.5999999999999</x:v>
      </x:c>
      <x:c r="J13" s="15" t="str">
        <x:v>H0–48</x:v>
      </x:c>
      <x:c r="K13" s="15" t="str">
        <x:v>HCG operating sectors</x:v>
      </x:c>
      <x:c r="L13" s="15" t="str">
        <x:v>indivisible detachment</x:v>
      </x:c>
      <x:c r="M13" s="15" t="str">
        <x:v>Start-delay and technical-release contract applies</x:v>
      </x:c>
      <x:c r="N13" s="15" t="str">
        <x:v>R2 planning</x:v>
      </x:c>
      <x:c r="O13" s="11" t="str">
        <x:f>IF(SUMIFS('04 Allocation Ledger'!$N$6:$N$105,'04 Allocation Ledger'!$D$6:$D$105,C13)&lt;='01 Controls'!$E$23,"PASS","FAIL")</x:f>
        <x:v>PASS</x:v>
      </x:c>
      <x:c r="P13" s="47"/>
      <x:c r="Q13" s="11" t="str">
        <x:v>HCG-ROUTE-H48</x:v>
      </x:c>
      <x:c r="R13" s="20" t="n">
        <x:f>SUMIFS('04 Allocation Ledger'!$J$6:$J$105,'04 Allocation Ledger'!$D$6:$D$105,Q13)</x:f>
        <x:v>483</x:v>
      </x:c>
      <x:c r="S13" s="20" t="n">
        <x:f>I13</x:f>
        <x:v>579.5999999999999</x:v>
      </x:c>
      <x:c r="T13" s="20" t="n">
        <x:f>SUMIFS('04 Allocation Ledger'!$M$6:$M$105,'04 Allocation Ledger'!$D$6:$D$105,Q13)</x:f>
        <x:v>483</x:v>
      </x:c>
      <x:c r="U13" s="20" t="n">
        <x:f>R13-T13</x:f>
        <x:v>0</x:v>
      </x:c>
      <x:c r="V13" s="18" t="n">
        <x:f>IF(R13=0,"n.a.",T13/R13)</x:f>
        <x:v>1</x:v>
      </x:c>
      <x:c r="W13" s="21" t="str">
        <x:f>IF(U13&lt;='01 Controls'!$E$23,"PASS","FAIL")</x:f>
        <x:v>PASS</x:v>
      </x:c>
    </x:row>
    <x:row r="14">
      <x:c r="C14" s="11" t="str">
        <x:v>HCG-POWER-H72</x:v>
      </x:c>
      <x:c r="D14" s="11" t="str">
        <x:v>Local power</x:v>
      </x:c>
      <x:c r="E14" s="11" t="str">
        <x:v>blocks</x:v>
      </x:c>
      <x:c r="F14" s="15" t="str">
        <x:v>I-PRG / I-GBG</x:v>
      </x:c>
      <x:c r="G14" s="20" t="n">
        <x:v>1183</x:v>
      </x:c>
      <x:c r="H14" s="20" t="n">
        <x:v>0.7</x:v>
      </x:c>
      <x:c r="I14" s="20" t="n">
        <x:f>G14*H14</x:f>
        <x:v>828.0999999999999</x:v>
      </x:c>
      <x:c r="J14" s="15" t="str">
        <x:v>H0–72</x:v>
      </x:c>
      <x:c r="K14" s="15" t="str">
        <x:v>Prepared districts</x:v>
      </x:c>
      <x:c r="L14" s="15" t="str">
        <x:v>indivisible block</x:v>
      </x:c>
      <x:c r="M14" s="15" t="str">
        <x:v>Distribution and technical release remain required</x:v>
      </x:c>
      <x:c r="N14" s="15" t="str">
        <x:v>R2 planning</x:v>
      </x:c>
      <x:c r="O14" s="11" t="str">
        <x:f>IF(SUMIFS('04 Allocation Ledger'!$N$6:$N$105,'04 Allocation Ledger'!$D$6:$D$105,C14)&lt;='01 Controls'!$E$23,"PASS","FAIL")</x:f>
        <x:v>PASS</x:v>
      </x:c>
      <x:c r="P14" s="47"/>
      <x:c r="Q14" s="11" t="str">
        <x:v>HCG-POWER-H72</x:v>
      </x:c>
      <x:c r="R14" s="20" t="n">
        <x:f>SUMIFS('04 Allocation Ledger'!$J$6:$J$105,'04 Allocation Ledger'!$D$6:$D$105,Q14)</x:f>
        <x:v>690</x:v>
      </x:c>
      <x:c r="S14" s="20" t="n">
        <x:f>I14</x:f>
        <x:v>828.0999999999999</x:v>
      </x:c>
      <x:c r="T14" s="20" t="n">
        <x:f>SUMIFS('04 Allocation Ledger'!$M$6:$M$105,'04 Allocation Ledger'!$D$6:$D$105,Q14)</x:f>
        <x:v>690</x:v>
      </x:c>
      <x:c r="U14" s="20" t="n">
        <x:f>R14-T14</x:f>
        <x:v>0</x:v>
      </x:c>
      <x:c r="V14" s="18" t="n">
        <x:f>IF(R14=0,"n.a.",T14/R14)</x:f>
        <x:v>1</x:v>
      </x:c>
      <x:c r="W14" s="21" t="str">
        <x:f>IF(U14&lt;='01 Controls'!$E$23,"PASS","FAIL")</x:f>
        <x:v>PASS</x:v>
      </x:c>
    </x:row>
    <x:row r="15">
      <x:c r="C15" s="11" t="str">
        <x:v>HCG-WATER-H72</x:v>
      </x:c>
      <x:c r="D15" s="11" t="str">
        <x:v>Local water</x:v>
      </x:c>
      <x:c r="E15" s="11" t="str">
        <x:v>islands</x:v>
      </x:c>
      <x:c r="F15" s="15" t="str">
        <x:v>I-WRG</x:v>
      </x:c>
      <x:c r="G15" s="20" t="n">
        <x:v>1065</x:v>
      </x:c>
      <x:c r="H15" s="20" t="n">
        <x:v>0.7</x:v>
      </x:c>
      <x:c r="I15" s="20" t="n">
        <x:f>G15*H15</x:f>
        <x:v>745.5</x:v>
      </x:c>
      <x:c r="J15" s="15" t="str">
        <x:v>H0–72</x:v>
      </x:c>
      <x:c r="K15" s="15" t="str">
        <x:v>Prepared districts</x:v>
      </x:c>
      <x:c r="L15" s="15" t="str">
        <x:v>indivisible island</x:v>
      </x:c>
      <x:c r="M15" s="15" t="str">
        <x:v>Treatment, distribution and residuals remain required</x:v>
      </x:c>
      <x:c r="N15" s="15" t="str">
        <x:v>R2 planning</x:v>
      </x:c>
      <x:c r="O15" s="11" t="str">
        <x:f>IF(SUMIFS('04 Allocation Ledger'!$N$6:$N$105,'04 Allocation Ledger'!$D$6:$D$105,C15)&lt;='01 Controls'!$E$23,"PASS","FAIL")</x:f>
        <x:v>PASS</x:v>
      </x:c>
      <x:c r="P15" s="47"/>
      <x:c r="Q15" s="11" t="str">
        <x:v>HCG-WATER-H72</x:v>
      </x:c>
      <x:c r="R15" s="20" t="n">
        <x:f>SUMIFS('04 Allocation Ledger'!$J$6:$J$105,'04 Allocation Ledger'!$D$6:$D$105,Q15)</x:f>
        <x:v>621</x:v>
      </x:c>
      <x:c r="S15" s="20" t="n">
        <x:f>I15</x:f>
        <x:v>745.5</x:v>
      </x:c>
      <x:c r="T15" s="20" t="n">
        <x:f>SUMIFS('04 Allocation Ledger'!$M$6:$M$105,'04 Allocation Ledger'!$D$6:$D$105,Q15)</x:f>
        <x:v>621</x:v>
      </x:c>
      <x:c r="U15" s="20" t="n">
        <x:f>R15-T15</x:f>
        <x:v>0</x:v>
      </x:c>
      <x:c r="V15" s="18" t="n">
        <x:f>IF(R15=0,"n.a.",T15/R15)</x:f>
        <x:v>1</x:v>
      </x:c>
      <x:c r="W15" s="21" t="str">
        <x:f>IF(U15&lt;='01 Controls'!$E$23,"PASS","FAIL")</x:f>
        <x:v>PASS</x:v>
      </x:c>
    </x:row>
    <x:row r="16">
      <x:c r="C16" s="11" t="str">
        <x:v>INFO-OFFLINE-H36</x:v>
      </x:c>
      <x:c r="D16" s="11" t="str">
        <x:v>Disconnected information</x:v>
      </x:c>
      <x:c r="E16" s="11" t="str">
        <x:v>service-equivalent</x:v>
      </x:c>
      <x:c r="F16" s="15" t="str">
        <x:v>J-RIG / Information and Forecast Command</x:v>
      </x:c>
      <x:c r="G16" s="19"/>
      <x:c r="H16" s="19"/>
      <x:c r="I16" s="19" t="str">
        <x:v>n.a.</x:v>
      </x:c>
      <x:c r="J16" s="15" t="str">
        <x:v>H0–36</x:v>
      </x:c>
      <x:c r="K16" s="15" t="str">
        <x:v>All campaigns</x:v>
      </x:c>
      <x:c r="L16" s="15" t="str">
        <x:v>authority-bound service</x:v>
      </x:c>
      <x:c r="M16" s="15" t="str">
        <x:v>No rate or workload conversion exists</x:v>
      </x:c>
      <x:c r="N16" s="15" t="str">
        <x:v>UNQUANTIFIED</x:v>
      </x:c>
      <x:c r="O16" s="11" t="str">
        <x:v>OPEN</x:v>
      </x:c>
      <x:c r="P16" s="47"/>
      <x:c r="Q16" s="47"/>
      <x:c r="R16" s="47"/>
      <x:c r="S16" s="47"/>
      <x:c r="T16" s="47"/>
      <x:c r="U16" s="47"/>
      <x:c r="V16" s="47"/>
      <x:c r="W16" s="47"/>
    </x:row>
    <x:row r="17">
      <x:c r="C17" s="11" t="str">
        <x:v>MAINT-REGEN-D30</x:v>
      </x:c>
      <x:c r="D17" s="11" t="str">
        <x:v>Maintenance and regeneration</x:v>
      </x:c>
      <x:c r="E17" s="11" t="str">
        <x:v>work-hours/day</x:v>
      </x:c>
      <x:c r="F17" s="15" t="str">
        <x:v>J-RRG / Strategic Sustainment Command</x:v>
      </x:c>
      <x:c r="G17" s="19"/>
      <x:c r="H17" s="19"/>
      <x:c r="I17" s="19" t="str">
        <x:v>n.a.</x:v>
      </x:c>
      <x:c r="J17" s="15" t="str">
        <x:v>D1–30</x:v>
      </x:c>
      <x:c r="K17" s="15" t="str">
        <x:v>National depots and field sites</x:v>
      </x:c>
      <x:c r="L17" s="15" t="str">
        <x:v>serial work queue</x:v>
      </x:c>
      <x:c r="M17" s="15" t="str">
        <x:v>No repair-class or work-content ledger exists</x:v>
      </x:c>
      <x:c r="N17" s="15" t="str">
        <x:v>UNQUANTIFIED</x:v>
      </x:c>
      <x:c r="O17" s="11" t="str">
        <x:v>OPEN</x:v>
      </x:c>
      <x:c r="P17" s="47"/>
      <x:c r="Q17" s="47"/>
      <x:c r="R17" s="47"/>
      <x:c r="S17" s="47"/>
      <x:c r="T17" s="47"/>
      <x:c r="U17" s="47"/>
      <x:c r="V17" s="47"/>
      <x:c r="W17" s="47"/>
    </x:row>
    <x:row r="18">
      <x:c r="C18" s="11" t="str">
        <x:v>CLINICAL-RECV-H72</x:v>
      </x:c>
      <x:c r="D18" s="11" t="str">
        <x:v>Clinical regulation and receiving</x:v>
      </x:c>
      <x:c r="E18" s="11" t="str">
        <x:v>accepted patients</x:v>
      </x:c>
      <x:c r="F18" s="15" t="str">
        <x:v>H-THC / Resilience Medical Command</x:v>
      </x:c>
      <x:c r="G18" s="19"/>
      <x:c r="H18" s="19"/>
      <x:c r="I18" s="19" t="str">
        <x:v>n.a.</x:v>
      </x:c>
      <x:c r="J18" s="15" t="str">
        <x:v>H0–72</x:v>
      </x:c>
      <x:c r="K18" s="15" t="str">
        <x:v>Origin, movement and receiver</x:v>
      </x:c>
      <x:c r="L18" s="15" t="str">
        <x:v>authority-bound service</x:v>
      </x:c>
      <x:c r="M18" s="15" t="str">
        <x:v>No complete patient-state conversion exists</x:v>
      </x:c>
      <x:c r="N18" s="15" t="str">
        <x:v>UNQUANTIFIED</x:v>
      </x:c>
      <x:c r="O18" s="11" t="str">
        <x:v>OPEN</x:v>
      </x:c>
      <x:c r="P18" s="47"/>
      <x:c r="Q18" s="47"/>
      <x:c r="R18" s="47"/>
      <x:c r="S18" s="47"/>
      <x:c r="T18" s="47"/>
      <x:c r="U18" s="47"/>
      <x:c r="V18" s="47"/>
      <x:c r="W18" s="47"/>
    </x:row>
    <x:row r="19">
      <x:c r="C19" s="11" t="str">
        <x:v>CREW-LICENSE-H0</x:v>
      </x:c>
      <x:c r="D19" s="11" t="str">
        <x:v>Licensed technical labor</x:v>
      </x:c>
      <x:c r="E19" s="11" t="str">
        <x:v>qualified person-shifts</x:v>
      </x:c>
      <x:c r="F19" s="15" t="str">
        <x:v>Generating services and components</x:v>
      </x:c>
      <x:c r="G19" s="19"/>
      <x:c r="H19" s="19"/>
      <x:c r="I19" s="19" t="str">
        <x:v>n.a.</x:v>
      </x:c>
      <x:c r="J19" s="15" t="str">
        <x:v>H0 onward</x:v>
      </x:c>
      <x:c r="K19" s="15" t="str">
        <x:v>Home station through theater</x:v>
      </x:c>
      <x:c r="L19" s="15" t="str">
        <x:v>indivisible qualification</x:v>
      </x:c>
      <x:c r="M19" s="15" t="str">
        <x:v>Roster identity and release conflicts are absent</x:v>
      </x:c>
      <x:c r="N19" s="15" t="str">
        <x:v>UNQUANTIFIED</x:v>
      </x:c>
      <x:c r="O19" s="11" t="str">
        <x:v>OPEN</x:v>
      </x:c>
      <x:c r="P19" s="47"/>
      <x:c r="Q19" s="47"/>
      <x:c r="R19" s="47"/>
      <x:c r="S19" s="47"/>
      <x:c r="T19" s="47"/>
      <x:c r="U19" s="47"/>
      <x:c r="V19" s="47"/>
      <x:c r="W19" s="47"/>
    </x:row>
  </x:sheetData>
  <x:conditionalFormatting sqref="N6:O19">
    <x:cfRule type="containsText" dxfId="0" priority="1" operator="containsText" text="FAIL"/>
    <x:cfRule type="containsText" dxfId="1" priority="2" operator="containsText" text="UNALLOCATED"/>
    <x:cfRule type="containsText" dxfId="2" priority="3" operator="containsText" text="OPEN"/>
    <x:cfRule type="containsText" dxfId="3" priority="4" operator="containsText" text="BLOCKED"/>
    <x:cfRule type="containsText" dxfId="4" priority="5" operator="containsText" text="PASS"/>
    <x:cfRule type="containsText" dxfId="5" priority="6" operator="containsText" text="SUPERSEDED"/>
  </x:conditionalFormatting>
  <x:conditionalFormatting sqref="W6:W15">
    <x:cfRule type="containsText" dxfId="6" priority="7" operator="containsText" text="FAIL"/>
    <x:cfRule type="containsText" dxfId="7" priority="8" operator="containsText" text="UNALLOCATED"/>
    <x:cfRule type="containsText" dxfId="8" priority="9" operator="containsText" text="OPEN"/>
    <x:cfRule type="containsText" dxfId="9" priority="10" operator="containsText" text="BLOCKED"/>
    <x:cfRule type="containsText" dxfId="10" priority="11" operator="containsText" text="PASS"/>
    <x:cfRule type="containsText" dxfId="11" priority="12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c1a5a1a451174a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8" ySplit="5" topLeftCell="I6" activePane="bottomRight" state="frozen"/>
    </x:sheetView>
  </x:sheetViews>
  <x:sheetFormatPr defaultRowHeight="15"/>
  <x:cols>
    <x:col min="3" max="3" width="18" hidden="0" customWidth="1"/>
    <x:col min="4" max="4" width="10" hidden="0" customWidth="1"/>
    <x:col min="5" max="5" width="10" hidden="0" customWidth="1"/>
    <x:col min="6" max="6" width="28" hidden="0" customWidth="1"/>
    <x:col min="7" max="7" width="9" hidden="0" customWidth="1"/>
    <x:col min="8" max="8" width="13" hidden="0" customWidth="1"/>
    <x:col min="9" max="9" width="25" hidden="0" customWidth="1"/>
    <x:col min="10" max="10" width="34" hidden="0" customWidth="1"/>
    <x:col min="11" max="11" width="12" hidden="0" customWidth="1"/>
    <x:col min="12" max="12" width="17" hidden="0" customWidth="1"/>
    <x:col min="13" max="13" width="17" hidden="0" customWidth="1"/>
    <x:col min="14" max="14" width="18" hidden="0" customWidth="1"/>
    <x:col min="15" max="15" width="15" hidden="0" customWidth="1"/>
    <x:col min="16" max="16" width="11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1" hidden="0" customWidth="1"/>
    <x:col min="22" max="22" width="16" hidden="0" customWidth="1"/>
    <x:col min="23" max="23" width="11" hidden="0" customWidth="1"/>
    <x:col min="24" max="24" width="16" hidden="0" customWidth="1"/>
    <x:col min="25" max="25" width="11" hidden="0" customWidth="1"/>
    <x:col min="26" max="26" width="18" hidden="0" customWidth="1"/>
    <x:col min="27" max="27" width="11" hidden="0" customWidth="1"/>
    <x:col min="28" max="28" width="16" hidden="0" customWidth="1"/>
    <x:col min="29" max="29" width="16" hidden="0" customWidth="1"/>
    <x:col min="30" max="30" width="16" hidden="0" customWidth="1"/>
    <x:col min="31" max="31" width="14" hidden="0" customWidth="1"/>
    <x:col min="32" max="32" width="14" hidden="0" customWidth="1"/>
  </x:cols>
  <x:sheetData>
    <x:row r="2">
      <x:c r="C2" s="2" t="str">
        <x:v>Formation-to-campaign demand build</x:v>
      </x:c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  <x:c r="AA2" s="46"/>
      <x:c r="AB2" s="46"/>
      <x:c r="AC2" s="46"/>
      <x:c r="AD2" s="46"/>
      <x:c r="AE2" s="46"/>
      <x:c r="AF2" s="46"/>
    </x:row>
    <x:row r="3">
      <x:c r="C3" s="3" t="str">
        <x:v>All 48 families are carried through all ten simultaneous campaigns. Operational basing uses gross people because accounting credits do not remove responders.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</x:row>
    <x:row r="4"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  <x:c r="AA4" s="47"/>
      <x:c r="AB4" s="47"/>
      <x:c r="AC4" s="47"/>
      <x:c r="AD4" s="47"/>
      <x:c r="AE4" s="47"/>
      <x:c r="AF4" s="47"/>
    </x:row>
    <x:row r="5">
      <x:c r="C5" s="9" t="str">
        <x:v>Record ID</x:v>
      </x:c>
      <x:c r="D5" s="9" t="str">
        <x:v>Sequence</x:v>
      </x:c>
      <x:c r="E5" s="9" t="str">
        <x:v>Campaign</x:v>
      </x:c>
      <x:c r="F5" s="9" t="str">
        <x:v>Campaign name</x:v>
      </x:c>
      <x:c r="G5" s="9" t="str">
        <x:v>Order</x:v>
      </x:c>
      <x:c r="H5" s="9" t="str">
        <x:v>Family ID</x:v>
      </x:c>
      <x:c r="I5" s="9" t="str">
        <x:v>Service</x:v>
      </x:c>
      <x:c r="J5" s="9" t="str">
        <x:v>Formation family</x:v>
      </x:c>
      <x:c r="K5" s="9" t="str">
        <x:v>Formation qty</x:v>
      </x:c>
      <x:c r="L5" s="9" t="str">
        <x:v>Gross people / unit</x:v>
      </x:c>
      <x:c r="M5" s="9" t="str">
        <x:v>Shared people / unit</x:v>
      </x:c>
      <x:c r="N5" s="9" t="str">
        <x:v>Gross on-duty claim</x:v>
      </x:c>
      <x:c r="O5" s="9" t="str">
        <x:v>Mass / unit t</x:v>
      </x:c>
      <x:c r="P5" s="9" t="str">
        <x:v>Early share</x:v>
      </x:c>
      <x:c r="Q5" s="9" t="str">
        <x:v>Gross early mass t</x:v>
      </x:c>
      <x:c r="R5" s="9" t="str">
        <x:v>After preposition t</x:v>
      </x:c>
      <x:c r="S5" s="9" t="str">
        <x:v>Supply / unit t/day</x:v>
      </x:c>
      <x:c r="T5" s="9" t="str">
        <x:v>Sustain claim t/day</x:v>
      </x:c>
      <x:c r="U5" s="9" t="str">
        <x:v>Air share</x:v>
      </x:c>
      <x:c r="V5" s="9" t="str">
        <x:v>Air claim t</x:v>
      </x:c>
      <x:c r="W5" s="9" t="str">
        <x:v>Ocean share</x:v>
      </x:c>
      <x:c r="X5" s="9" t="str">
        <x:v>Ocean claim t</x:v>
      </x:c>
      <x:c r="Y5" s="9" t="str">
        <x:v>Land/rail share</x:v>
      </x:c>
      <x:c r="Z5" s="9" t="str">
        <x:v>Land/rail claim t</x:v>
      </x:c>
      <x:c r="AA5" s="9" t="str">
        <x:v>Inland share</x:v>
      </x:c>
      <x:c r="AB5" s="9" t="str">
        <x:v>Inland claim t</x:v>
      </x:c>
      <x:c r="AC5" s="9" t="str">
        <x:v>District packages</x:v>
      </x:c>
      <x:c r="AD5" s="9" t="str">
        <x:v>Route detachments</x:v>
      </x:c>
      <x:c r="AE5" s="9" t="str">
        <x:v>Power blocks</x:v>
      </x:c>
      <x:c r="AF5" s="9" t="str">
        <x:v>Water islands</x:v>
      </x:c>
    </x:row>
    <x:row r="6">
      <x:c r="C6" s="22" t="str">
        <x:v>C1-J-CIE</x:v>
      </x:c>
      <x:c r="D6" s="22" t="n">
        <x:v>1</x:v>
      </x:c>
      <x:c r="E6" s="22" t="str">
        <x:v>C1</x:v>
      </x:c>
      <x:c r="F6" s="22" t="str">
        <x:v>Grid failure</x:v>
      </x:c>
      <x:c r="G6" s="22" t="n">
        <x:v>1</x:v>
      </x:c>
      <x:c r="H6" s="22" t="str">
        <x:v>J-CIE</x:v>
      </x:c>
      <x:c r="I6" s="22" t="str">
        <x:v>Joint</x:v>
      </x:c>
      <x:c r="J6" s="22" t="str">
        <x:v>Civil integration and effects group</x:v>
      </x:c>
      <x:c r="K6" s="23" t="n">
        <x:v>4</x:v>
      </x:c>
      <x:c r="L6" s="23" t="n">
        <x:v>120</x:v>
      </x:c>
      <x:c r="M6" s="23" t="n">
        <x:v>0</x:v>
      </x:c>
      <x:c r="N6" s="20" t="n">
        <x:f>K6*L6</x:f>
        <x:v>480</x:v>
      </x:c>
      <x:c r="O6" s="19" t="n">
        <x:v>2200</x:v>
      </x:c>
      <x:c r="P6" s="17" t="n">
        <x:v>0.65</x:v>
      </x:c>
      <x:c r="Q6" s="20" t="n">
        <x:f>K6*O6*P6</x:f>
        <x:v>5720</x:v>
      </x:c>
      <x:c r="R6" s="20" t="n">
        <x:f>Q6*(1-'01 Controls'!$E$6)</x:f>
        <x:v>4290</x:v>
      </x:c>
      <x:c r="S6" s="19" t="n">
        <x:v>45</x:v>
      </x:c>
      <x:c r="T6" s="20" t="n">
        <x:f>K6*S6</x:f>
        <x:v>180</x:v>
      </x:c>
      <x:c r="U6" s="18" t="n">
        <x:f>'01 Controls'!E32</x:f>
        <x:v>0.05</x:v>
      </x:c>
      <x:c r="V6" s="20" t="n">
        <x:f>R6*U6</x:f>
        <x:v>214.5</x:v>
      </x:c>
      <x:c r="W6" s="18" t="n">
        <x:f>'01 Controls'!F32</x:f>
        <x:v>0</x:v>
      </x:c>
      <x:c r="X6" s="20" t="n">
        <x:f>R6*W6</x:f>
        <x:v>0</x:v>
      </x:c>
      <x:c r="Y6" s="18" t="n">
        <x:f>'01 Controls'!G32</x:f>
        <x:v>0.9</x:v>
      </x:c>
      <x:c r="Z6" s="20" t="n">
        <x:f>R6*Y6</x:f>
        <x:v>3861</x:v>
      </x:c>
      <x:c r="AA6" s="18" t="n">
        <x:f>'01 Controls'!H32</x:f>
        <x:v>0.05</x:v>
      </x:c>
      <x:c r="AB6" s="20" t="n">
        <x:f>R6*AA6</x:f>
        <x:v>214.5</x:v>
      </x:c>
      <x:c r="AC6" s="20" t="n">
        <x:f>IF(H6="CM-HCG",K6*'01 Controls'!$E$24,0)</x:f>
        <x:v>0</x:v>
      </x:c>
      <x:c r="AD6" s="20" t="n">
        <x:f>IF(H6="CM-HCG",K6*'01 Controls'!$E$25,0)</x:f>
        <x:v>0</x:v>
      </x:c>
      <x:c r="AE6" s="20" t="n">
        <x:f>IF(H6="CM-HCG",K6*'01 Controls'!$E$26,0)</x:f>
        <x:v>0</x:v>
      </x:c>
      <x:c r="AF6" s="20" t="n">
        <x:f>IF(H6="CM-HCG",K6*'01 Controls'!$E$27,0)</x:f>
        <x:v>0</x:v>
      </x:c>
    </x:row>
    <x:row r="7">
      <x:c r="C7" s="22" t="str">
        <x:v>C1-J-TOC</x:v>
      </x:c>
      <x:c r="D7" s="22" t="n">
        <x:v>2</x:v>
      </x:c>
      <x:c r="E7" s="22" t="str">
        <x:v>C1</x:v>
      </x:c>
      <x:c r="F7" s="22" t="str">
        <x:v>Grid failure</x:v>
      </x:c>
      <x:c r="G7" s="22" t="n">
        <x:v>1</x:v>
      </x:c>
      <x:c r="H7" s="22" t="str">
        <x:v>J-TOC</x:v>
      </x:c>
      <x:c r="I7" s="22" t="str">
        <x:v>Joint</x:v>
      </x:c>
      <x:c r="J7" s="22" t="str">
        <x:v>Theater-opening command</x:v>
      </x:c>
      <x:c r="K7" s="23" t="n">
        <x:v>2</x:v>
      </x:c>
      <x:c r="L7" s="23" t="n">
        <x:v>600</x:v>
      </x:c>
      <x:c r="M7" s="23" t="n">
        <x:v>0</x:v>
      </x:c>
      <x:c r="N7" s="20" t="n">
        <x:f>K7*L7</x:f>
        <x:v>1200</x:v>
      </x:c>
      <x:c r="O7" s="19" t="n">
        <x:v>2200</x:v>
      </x:c>
      <x:c r="P7" s="17" t="n">
        <x:v>0.65</x:v>
      </x:c>
      <x:c r="Q7" s="20" t="n">
        <x:f>K7*O7*P7</x:f>
        <x:v>2860</x:v>
      </x:c>
      <x:c r="R7" s="20" t="n">
        <x:f>Q7*(1-'01 Controls'!$E$6)</x:f>
        <x:v>2145</x:v>
      </x:c>
      <x:c r="S7" s="19" t="n">
        <x:v>45</x:v>
      </x:c>
      <x:c r="T7" s="20" t="n">
        <x:f>K7*S7</x:f>
        <x:v>90</x:v>
      </x:c>
      <x:c r="U7" s="18" t="n">
        <x:f>'01 Controls'!E32</x:f>
        <x:v>0.05</x:v>
      </x:c>
      <x:c r="V7" s="20" t="n">
        <x:f>R7*U7</x:f>
        <x:v>107.25</x:v>
      </x:c>
      <x:c r="W7" s="18" t="n">
        <x:f>'01 Controls'!F32</x:f>
        <x:v>0</x:v>
      </x:c>
      <x:c r="X7" s="20" t="n">
        <x:f>R7*W7</x:f>
        <x:v>0</x:v>
      </x:c>
      <x:c r="Y7" s="18" t="n">
        <x:f>'01 Controls'!G32</x:f>
        <x:v>0.9</x:v>
      </x:c>
      <x:c r="Z7" s="20" t="n">
        <x:f>R7*Y7</x:f>
        <x:v>1930.5</x:v>
      </x:c>
      <x:c r="AA7" s="18" t="n">
        <x:f>'01 Controls'!H32</x:f>
        <x:v>0.05</x:v>
      </x:c>
      <x:c r="AB7" s="20" t="n">
        <x:f>R7*AA7</x:f>
        <x:v>107.25</x:v>
      </x:c>
      <x:c r="AC7" s="20" t="n">
        <x:f>IF(H7="CM-HCG",K7*'01 Controls'!$E$24,0)</x:f>
        <x:v>0</x:v>
      </x:c>
      <x:c r="AD7" s="20" t="n">
        <x:f>IF(H7="CM-HCG",K7*'01 Controls'!$E$25,0)</x:f>
        <x:v>0</x:v>
      </x:c>
      <x:c r="AE7" s="20" t="n">
        <x:f>IF(H7="CM-HCG",K7*'01 Controls'!$E$26,0)</x:f>
        <x:v>0</x:v>
      </x:c>
      <x:c r="AF7" s="20" t="n">
        <x:f>IF(H7="CM-HCG",K7*'01 Controls'!$E$27,0)</x:f>
        <x:v>0</x:v>
      </x:c>
    </x:row>
    <x:row r="8">
      <x:c r="C8" s="22" t="str">
        <x:v>C1-J-TSC</x:v>
      </x:c>
      <x:c r="D8" s="22" t="n">
        <x:v>3</x:v>
      </x:c>
      <x:c r="E8" s="22" t="str">
        <x:v>C1</x:v>
      </x:c>
      <x:c r="F8" s="22" t="str">
        <x:v>Grid failure</x:v>
      </x:c>
      <x:c r="G8" s="22" t="n">
        <x:v>1</x:v>
      </x:c>
      <x:c r="H8" s="22" t="str">
        <x:v>J-TSC</x:v>
      </x:c>
      <x:c r="I8" s="22" t="str">
        <x:v>Joint</x:v>
      </x:c>
      <x:c r="J8" s="22" t="str">
        <x:v>Theater sustainment command</x:v>
      </x:c>
      <x:c r="K8" s="23" t="n">
        <x:v>3</x:v>
      </x:c>
      <x:c r="L8" s="23" t="n">
        <x:v>900</x:v>
      </x:c>
      <x:c r="M8" s="23" t="n">
        <x:v>0</x:v>
      </x:c>
      <x:c r="N8" s="20" t="n">
        <x:f>K8*L8</x:f>
        <x:v>2700</x:v>
      </x:c>
      <x:c r="O8" s="19" t="n">
        <x:v>2200</x:v>
      </x:c>
      <x:c r="P8" s="17" t="n">
        <x:v>0.65</x:v>
      </x:c>
      <x:c r="Q8" s="20" t="n">
        <x:f>K8*O8*P8</x:f>
        <x:v>4290</x:v>
      </x:c>
      <x:c r="R8" s="20" t="n">
        <x:f>Q8*(1-'01 Controls'!$E$6)</x:f>
        <x:v>3217.5</x:v>
      </x:c>
      <x:c r="S8" s="19" t="n">
        <x:v>45</x:v>
      </x:c>
      <x:c r="T8" s="20" t="n">
        <x:f>K8*S8</x:f>
        <x:v>135</x:v>
      </x:c>
      <x:c r="U8" s="18" t="n">
        <x:f>'01 Controls'!E32</x:f>
        <x:v>0.05</x:v>
      </x:c>
      <x:c r="V8" s="20" t="n">
        <x:f>R8*U8</x:f>
        <x:v>160.875</x:v>
      </x:c>
      <x:c r="W8" s="18" t="n">
        <x:f>'01 Controls'!F32</x:f>
        <x:v>0</x:v>
      </x:c>
      <x:c r="X8" s="20" t="n">
        <x:f>R8*W8</x:f>
        <x:v>0</x:v>
      </x:c>
      <x:c r="Y8" s="18" t="n">
        <x:f>'01 Controls'!G32</x:f>
        <x:v>0.9</x:v>
      </x:c>
      <x:c r="Z8" s="20" t="n">
        <x:f>R8*Y8</x:f>
        <x:v>2895.75</x:v>
      </x:c>
      <x:c r="AA8" s="18" t="n">
        <x:f>'01 Controls'!H32</x:f>
        <x:v>0.05</x:v>
      </x:c>
      <x:c r="AB8" s="20" t="n">
        <x:f>R8*AA8</x:f>
        <x:v>160.875</x:v>
      </x:c>
      <x:c r="AC8" s="20" t="n">
        <x:f>IF(H8="CM-HCG",K8*'01 Controls'!$E$24,0)</x:f>
        <x:v>0</x:v>
      </x:c>
      <x:c r="AD8" s="20" t="n">
        <x:f>IF(H8="CM-HCG",K8*'01 Controls'!$E$25,0)</x:f>
        <x:v>0</x:v>
      </x:c>
      <x:c r="AE8" s="20" t="n">
        <x:f>IF(H8="CM-HCG",K8*'01 Controls'!$E$26,0)</x:f>
        <x:v>0</x:v>
      </x:c>
      <x:c r="AF8" s="20" t="n">
        <x:f>IF(H8="CM-HCG",K8*'01 Controls'!$E$27,0)</x:f>
        <x:v>0</x:v>
      </x:c>
    </x:row>
    <x:row r="9">
      <x:c r="C9" s="22" t="str">
        <x:v>C1-J-RRG</x:v>
      </x:c>
      <x:c r="D9" s="22" t="n">
        <x:v>4</x:v>
      </x:c>
      <x:c r="E9" s="22" t="str">
        <x:v>C1</x:v>
      </x:c>
      <x:c r="F9" s="22" t="str">
        <x:v>Grid failure</x:v>
      </x:c>
      <x:c r="G9" s="22" t="n">
        <x:v>1</x:v>
      </x:c>
      <x:c r="H9" s="22" t="str">
        <x:v>J-RRG</x:v>
      </x:c>
      <x:c r="I9" s="22" t="str">
        <x:v>Joint</x:v>
      </x:c>
      <x:c r="J9" s="22" t="str">
        <x:v>Replacement and reconstitution group</x:v>
      </x:c>
      <x:c r="K9" s="23" t="n">
        <x:v>3</x:v>
      </x:c>
      <x:c r="L9" s="23" t="n">
        <x:v>400</x:v>
      </x:c>
      <x:c r="M9" s="23" t="n">
        <x:v>0</x:v>
      </x:c>
      <x:c r="N9" s="20" t="n">
        <x:f>K9*L9</x:f>
        <x:v>1200</x:v>
      </x:c>
      <x:c r="O9" s="19" t="n">
        <x:v>2200</x:v>
      </x:c>
      <x:c r="P9" s="17" t="n">
        <x:v>0.65</x:v>
      </x:c>
      <x:c r="Q9" s="20" t="n">
        <x:f>K9*O9*P9</x:f>
        <x:v>4290</x:v>
      </x:c>
      <x:c r="R9" s="20" t="n">
        <x:f>Q9*(1-'01 Controls'!$E$6)</x:f>
        <x:v>3217.5</x:v>
      </x:c>
      <x:c r="S9" s="19" t="n">
        <x:v>45</x:v>
      </x:c>
      <x:c r="T9" s="20" t="n">
        <x:f>K9*S9</x:f>
        <x:v>135</x:v>
      </x:c>
      <x:c r="U9" s="18" t="n">
        <x:f>'01 Controls'!E32</x:f>
        <x:v>0.05</x:v>
      </x:c>
      <x:c r="V9" s="20" t="n">
        <x:f>R9*U9</x:f>
        <x:v>160.875</x:v>
      </x:c>
      <x:c r="W9" s="18" t="n">
        <x:f>'01 Controls'!F32</x:f>
        <x:v>0</x:v>
      </x:c>
      <x:c r="X9" s="20" t="n">
        <x:f>R9*W9</x:f>
        <x:v>0</x:v>
      </x:c>
      <x:c r="Y9" s="18" t="n">
        <x:f>'01 Controls'!G32</x:f>
        <x:v>0.9</x:v>
      </x:c>
      <x:c r="Z9" s="20" t="n">
        <x:f>R9*Y9</x:f>
        <x:v>2895.75</x:v>
      </x:c>
      <x:c r="AA9" s="18" t="n">
        <x:f>'01 Controls'!H32</x:f>
        <x:v>0.05</x:v>
      </x:c>
      <x:c r="AB9" s="20" t="n">
        <x:f>R9*AA9</x:f>
        <x:v>160.875</x:v>
      </x:c>
      <x:c r="AC9" s="20" t="n">
        <x:f>IF(H9="CM-HCG",K9*'01 Controls'!$E$24,0)</x:f>
        <x:v>0</x:v>
      </x:c>
      <x:c r="AD9" s="20" t="n">
        <x:f>IF(H9="CM-HCG",K9*'01 Controls'!$E$25,0)</x:f>
        <x:v>0</x:v>
      </x:c>
      <x:c r="AE9" s="20" t="n">
        <x:f>IF(H9="CM-HCG",K9*'01 Controls'!$E$26,0)</x:f>
        <x:v>0</x:v>
      </x:c>
      <x:c r="AF9" s="20" t="n">
        <x:f>IF(H9="CM-HCG",K9*'01 Controls'!$E$27,0)</x:f>
        <x:v>0</x:v>
      </x:c>
    </x:row>
    <x:row r="10">
      <x:c r="C10" s="22" t="str">
        <x:v>C1-J-TDG</x:v>
      </x:c>
      <x:c r="D10" s="22" t="n">
        <x:v>5</x:v>
      </x:c>
      <x:c r="E10" s="22" t="str">
        <x:v>C1</x:v>
      </x:c>
      <x:c r="F10" s="22" t="str">
        <x:v>Grid failure</x:v>
      </x:c>
      <x:c r="G10" s="22" t="n">
        <x:v>1</x:v>
      </x:c>
      <x:c r="H10" s="22" t="str">
        <x:v>J-TDG</x:v>
      </x:c>
      <x:c r="I10" s="22" t="str">
        <x:v>Joint</x:v>
      </x:c>
      <x:c r="J10" s="22" t="str">
        <x:v>Transfer and demobilization group</x:v>
      </x:c>
      <x:c r="K10" s="23" t="n">
        <x:v>2</x:v>
      </x:c>
      <x:c r="L10" s="23" t="n">
        <x:v>150</x:v>
      </x:c>
      <x:c r="M10" s="23" t="n">
        <x:v>0</x:v>
      </x:c>
      <x:c r="N10" s="20" t="n">
        <x:f>K10*L10</x:f>
        <x:v>300</x:v>
      </x:c>
      <x:c r="O10" s="19" t="n">
        <x:v>2200</x:v>
      </x:c>
      <x:c r="P10" s="17" t="n">
        <x:v>0.65</x:v>
      </x:c>
      <x:c r="Q10" s="20" t="n">
        <x:f>K10*O10*P10</x:f>
        <x:v>2860</x:v>
      </x:c>
      <x:c r="R10" s="20" t="n">
        <x:f>Q10*(1-'01 Controls'!$E$6)</x:f>
        <x:v>2145</x:v>
      </x:c>
      <x:c r="S10" s="19" t="n">
        <x:v>45</x:v>
      </x:c>
      <x:c r="T10" s="20" t="n">
        <x:f>K10*S10</x:f>
        <x:v>90</x:v>
      </x:c>
      <x:c r="U10" s="18" t="n">
        <x:f>'01 Controls'!E32</x:f>
        <x:v>0.05</x:v>
      </x:c>
      <x:c r="V10" s="20" t="n">
        <x:f>R10*U10</x:f>
        <x:v>107.25</x:v>
      </x:c>
      <x:c r="W10" s="18" t="n">
        <x:f>'01 Controls'!F32</x:f>
        <x:v>0</x:v>
      </x:c>
      <x:c r="X10" s="20" t="n">
        <x:f>R10*W10</x:f>
        <x:v>0</x:v>
      </x:c>
      <x:c r="Y10" s="18" t="n">
        <x:f>'01 Controls'!G32</x:f>
        <x:v>0.9</x:v>
      </x:c>
      <x:c r="Z10" s="20" t="n">
        <x:f>R10*Y10</x:f>
        <x:v>1930.5</x:v>
      </x:c>
      <x:c r="AA10" s="18" t="n">
        <x:f>'01 Controls'!H32</x:f>
        <x:v>0.05</x:v>
      </x:c>
      <x:c r="AB10" s="20" t="n">
        <x:f>R10*AA10</x:f>
        <x:v>107.25</x:v>
      </x:c>
      <x:c r="AC10" s="20" t="n">
        <x:f>IF(H10="CM-HCG",K10*'01 Controls'!$E$24,0)</x:f>
        <x:v>0</x:v>
      </x:c>
      <x:c r="AD10" s="20" t="n">
        <x:f>IF(H10="CM-HCG",K10*'01 Controls'!$E$25,0)</x:f>
        <x:v>0</x:v>
      </x:c>
      <x:c r="AE10" s="20" t="n">
        <x:f>IF(H10="CM-HCG",K10*'01 Controls'!$E$26,0)</x:f>
        <x:v>0</x:v>
      </x:c>
      <x:c r="AF10" s="20" t="n">
        <x:f>IF(H10="CM-HCG",K10*'01 Controls'!$E$27,0)</x:f>
        <x:v>0</x:v>
      </x:c>
    </x:row>
    <x:row r="11">
      <x:c r="C11" s="22" t="str">
        <x:v>C1-L-ROG</x:v>
      </x:c>
      <x:c r="D11" s="22" t="n">
        <x:v>6</x:v>
      </x:c>
      <x:c r="E11" s="22" t="str">
        <x:v>C1</x:v>
      </x:c>
      <x:c r="F11" s="22" t="str">
        <x:v>Grid failure</x:v>
      </x:c>
      <x:c r="G11" s="22" t="n">
        <x:v>1</x:v>
      </x:c>
      <x:c r="H11" s="22" t="str">
        <x:v>L-ROG</x:v>
      </x:c>
      <x:c r="I11" s="22" t="str">
        <x:v>Land Engineering</x:v>
      </x:c>
      <x:c r="J11" s="22" t="str">
        <x:v>Access and route-opening group</x:v>
      </x:c>
      <x:c r="K11" s="23" t="n">
        <x:v>4</x:v>
      </x:c>
      <x:c r="L11" s="23" t="n">
        <x:v>350</x:v>
      </x:c>
      <x:c r="M11" s="23" t="n">
        <x:v>0</x:v>
      </x:c>
      <x:c r="N11" s="20" t="n">
        <x:f>K11*L11</x:f>
        <x:v>1400</x:v>
      </x:c>
      <x:c r="O11" s="19" t="n">
        <x:v>9000</x:v>
      </x:c>
      <x:c r="P11" s="17" t="n">
        <x:v>0.45</x:v>
      </x:c>
      <x:c r="Q11" s="20" t="n">
        <x:f>K11*O11*P11</x:f>
        <x:v>16200</x:v>
      </x:c>
      <x:c r="R11" s="20" t="n">
        <x:f>Q11*(1-'01 Controls'!$E$6)</x:f>
        <x:v>12150</x:v>
      </x:c>
      <x:c r="S11" s="19" t="n">
        <x:v>90</x:v>
      </x:c>
      <x:c r="T11" s="20" t="n">
        <x:f>K11*S11</x:f>
        <x:v>360</x:v>
      </x:c>
      <x:c r="U11" s="18" t="n">
        <x:f>'01 Controls'!E32</x:f>
        <x:v>0.05</x:v>
      </x:c>
      <x:c r="V11" s="20" t="n">
        <x:f>R11*U11</x:f>
        <x:v>607.5</x:v>
      </x:c>
      <x:c r="W11" s="18" t="n">
        <x:f>'01 Controls'!F32</x:f>
        <x:v>0</x:v>
      </x:c>
      <x:c r="X11" s="20" t="n">
        <x:f>R11*W11</x:f>
        <x:v>0</x:v>
      </x:c>
      <x:c r="Y11" s="18" t="n">
        <x:f>'01 Controls'!G32</x:f>
        <x:v>0.9</x:v>
      </x:c>
      <x:c r="Z11" s="20" t="n">
        <x:f>R11*Y11</x:f>
        <x:v>10935</x:v>
      </x:c>
      <x:c r="AA11" s="18" t="n">
        <x:f>'01 Controls'!H32</x:f>
        <x:v>0.05</x:v>
      </x:c>
      <x:c r="AB11" s="20" t="n">
        <x:f>R11*AA11</x:f>
        <x:v>607.5</x:v>
      </x:c>
      <x:c r="AC11" s="20" t="n">
        <x:f>IF(H11="CM-HCG",K11*'01 Controls'!$E$24,0)</x:f>
        <x:v>0</x:v>
      </x:c>
      <x:c r="AD11" s="20" t="n">
        <x:f>IF(H11="CM-HCG",K11*'01 Controls'!$E$25,0)</x:f>
        <x:v>0</x:v>
      </x:c>
      <x:c r="AE11" s="20" t="n">
        <x:f>IF(H11="CM-HCG",K11*'01 Controls'!$E$26,0)</x:f>
        <x:v>0</x:v>
      </x:c>
      <x:c r="AF11" s="20" t="n">
        <x:f>IF(H11="CM-HCG",K11*'01 Controls'!$E$27,0)</x:f>
        <x:v>0</x:v>
      </x:c>
    </x:row>
    <x:row r="12">
      <x:c r="C12" s="22" t="str">
        <x:v>C1-L-HCG</x:v>
      </x:c>
      <x:c r="D12" s="22" t="n">
        <x:v>7</x:v>
      </x:c>
      <x:c r="E12" s="22" t="str">
        <x:v>C1</x:v>
      </x:c>
      <x:c r="F12" s="22" t="str">
        <x:v>Grid failure</x:v>
      </x:c>
      <x:c r="G12" s="22" t="n">
        <x:v>1</x:v>
      </x:c>
      <x:c r="H12" s="22" t="str">
        <x:v>L-HCG</x:v>
      </x:c>
      <x:c r="I12" s="22" t="str">
        <x:v>Land Engineering</x:v>
      </x:c>
      <x:c r="J12" s="22" t="str">
        <x:v>Flood and hydraulic-control group</x:v>
      </x:c>
      <x:c r="K12" s="23" t="n">
        <x:v>1</x:v>
      </x:c>
      <x:c r="L12" s="23" t="n">
        <x:v>500</x:v>
      </x:c>
      <x:c r="M12" s="23" t="n">
        <x:v>0</x:v>
      </x:c>
      <x:c r="N12" s="20" t="n">
        <x:f>K12*L12</x:f>
        <x:v>500</x:v>
      </x:c>
      <x:c r="O12" s="19" t="n">
        <x:v>9000</x:v>
      </x:c>
      <x:c r="P12" s="17" t="n">
        <x:v>0.45</x:v>
      </x:c>
      <x:c r="Q12" s="20" t="n">
        <x:f>K12*O12*P12</x:f>
        <x:v>4050</x:v>
      </x:c>
      <x:c r="R12" s="20" t="n">
        <x:f>Q12*(1-'01 Controls'!$E$6)</x:f>
        <x:v>3037.5</x:v>
      </x:c>
      <x:c r="S12" s="19" t="n">
        <x:v>90</x:v>
      </x:c>
      <x:c r="T12" s="20" t="n">
        <x:f>K12*S12</x:f>
        <x:v>90</x:v>
      </x:c>
      <x:c r="U12" s="18" t="n">
        <x:f>'01 Controls'!E32</x:f>
        <x:v>0.05</x:v>
      </x:c>
      <x:c r="V12" s="20" t="n">
        <x:f>R12*U12</x:f>
        <x:v>151.875</x:v>
      </x:c>
      <x:c r="W12" s="18" t="n">
        <x:f>'01 Controls'!F32</x:f>
        <x:v>0</x:v>
      </x:c>
      <x:c r="X12" s="20" t="n">
        <x:f>R12*W12</x:f>
        <x:v>0</x:v>
      </x:c>
      <x:c r="Y12" s="18" t="n">
        <x:f>'01 Controls'!G32</x:f>
        <x:v>0.9</x:v>
      </x:c>
      <x:c r="Z12" s="20" t="n">
        <x:f>R12*Y12</x:f>
        <x:v>2733.75</x:v>
      </x:c>
      <x:c r="AA12" s="18" t="n">
        <x:f>'01 Controls'!H32</x:f>
        <x:v>0.05</x:v>
      </x:c>
      <x:c r="AB12" s="20" t="n">
        <x:f>R12*AA12</x:f>
        <x:v>151.875</x:v>
      </x:c>
      <x:c r="AC12" s="20" t="n">
        <x:f>IF(H12="CM-HCG",K12*'01 Controls'!$E$24,0)</x:f>
        <x:v>0</x:v>
      </x:c>
      <x:c r="AD12" s="20" t="n">
        <x:f>IF(H12="CM-HCG",K12*'01 Controls'!$E$25,0)</x:f>
        <x:v>0</x:v>
      </x:c>
      <x:c r="AE12" s="20" t="n">
        <x:f>IF(H12="CM-HCG",K12*'01 Controls'!$E$26,0)</x:f>
        <x:v>0</x:v>
      </x:c>
      <x:c r="AF12" s="20" t="n">
        <x:f>IF(H12="CM-HCG",K12*'01 Controls'!$E$27,0)</x:f>
        <x:v>0</x:v>
      </x:c>
    </x:row>
    <x:row r="13">
      <x:c r="C13" s="22" t="str">
        <x:v>C1-L-DMG</x:v>
      </x:c>
      <x:c r="D13" s="22" t="n">
        <x:v>8</x:v>
      </x:c>
      <x:c r="E13" s="22" t="str">
        <x:v>C1</x:v>
      </x:c>
      <x:c r="F13" s="22" t="str">
        <x:v>Grid failure</x:v>
      </x:c>
      <x:c r="G13" s="22" t="n">
        <x:v>1</x:v>
      </x:c>
      <x:c r="H13" s="22" t="str">
        <x:v>L-DMG</x:v>
      </x:c>
      <x:c r="I13" s="22" t="str">
        <x:v>Land Engineering</x:v>
      </x:c>
      <x:c r="J13" s="22" t="str">
        <x:v>Debris and materials group</x:v>
      </x:c>
      <x:c r="K13" s="23" t="n">
        <x:v>2</x:v>
      </x:c>
      <x:c r="L13" s="23" t="n">
        <x:v>400</x:v>
      </x:c>
      <x:c r="M13" s="23" t="n">
        <x:v>0</x:v>
      </x:c>
      <x:c r="N13" s="20" t="n">
        <x:f>K13*L13</x:f>
        <x:v>800</x:v>
      </x:c>
      <x:c r="O13" s="19" t="n">
        <x:v>9000</x:v>
      </x:c>
      <x:c r="P13" s="17" t="n">
        <x:v>0.45</x:v>
      </x:c>
      <x:c r="Q13" s="20" t="n">
        <x:f>K13*O13*P13</x:f>
        <x:v>8100</x:v>
      </x:c>
      <x:c r="R13" s="20" t="n">
        <x:f>Q13*(1-'01 Controls'!$E$6)</x:f>
        <x:v>6075</x:v>
      </x:c>
      <x:c r="S13" s="19" t="n">
        <x:v>90</x:v>
      </x:c>
      <x:c r="T13" s="20" t="n">
        <x:f>K13*S13</x:f>
        <x:v>180</x:v>
      </x:c>
      <x:c r="U13" s="18" t="n">
        <x:f>'01 Controls'!E32</x:f>
        <x:v>0.05</x:v>
      </x:c>
      <x:c r="V13" s="20" t="n">
        <x:f>R13*U13</x:f>
        <x:v>303.75</x:v>
      </x:c>
      <x:c r="W13" s="18" t="n">
        <x:f>'01 Controls'!F32</x:f>
        <x:v>0</x:v>
      </x:c>
      <x:c r="X13" s="20" t="n">
        <x:f>R13*W13</x:f>
        <x:v>0</x:v>
      </x:c>
      <x:c r="Y13" s="18" t="n">
        <x:f>'01 Controls'!G32</x:f>
        <x:v>0.9</x:v>
      </x:c>
      <x:c r="Z13" s="20" t="n">
        <x:f>R13*Y13</x:f>
        <x:v>5467.5</x:v>
      </x:c>
      <x:c r="AA13" s="18" t="n">
        <x:f>'01 Controls'!H32</x:f>
        <x:v>0.05</x:v>
      </x:c>
      <x:c r="AB13" s="20" t="n">
        <x:f>R13*AA13</x:f>
        <x:v>303.75</x:v>
      </x:c>
      <x:c r="AC13" s="20" t="n">
        <x:f>IF(H13="CM-HCG",K13*'01 Controls'!$E$24,0)</x:f>
        <x:v>0</x:v>
      </x:c>
      <x:c r="AD13" s="20" t="n">
        <x:f>IF(H13="CM-HCG",K13*'01 Controls'!$E$25,0)</x:f>
        <x:v>0</x:v>
      </x:c>
      <x:c r="AE13" s="20" t="n">
        <x:f>IF(H13="CM-HCG",K13*'01 Controls'!$E$26,0)</x:f>
        <x:v>0</x:v>
      </x:c>
      <x:c r="AF13" s="20" t="n">
        <x:f>IF(H13="CM-HCG",K13*'01 Controls'!$E$27,0)</x:f>
        <x:v>0</x:v>
      </x:c>
    </x:row>
    <x:row r="14">
      <x:c r="C14" s="22" t="str">
        <x:v>C1-L-TWG</x:v>
      </x:c>
      <x:c r="D14" s="22" t="n">
        <x:v>9</x:v>
      </x:c>
      <x:c r="E14" s="22" t="str">
        <x:v>C1</x:v>
      </x:c>
      <x:c r="F14" s="22" t="str">
        <x:v>Grid failure</x:v>
      </x:c>
      <x:c r="G14" s="22" t="n">
        <x:v>1</x:v>
      </x:c>
      <x:c r="H14" s="22" t="str">
        <x:v>L-TWG</x:v>
      </x:c>
      <x:c r="I14" s="22" t="str">
        <x:v>Land Engineering</x:v>
      </x:c>
      <x:c r="J14" s="22" t="str">
        <x:v>Temporary works and crossing group</x:v>
      </x:c>
      <x:c r="K14" s="23" t="n">
        <x:v>3</x:v>
      </x:c>
      <x:c r="L14" s="23" t="n">
        <x:v>350</x:v>
      </x:c>
      <x:c r="M14" s="23" t="n">
        <x:v>0</x:v>
      </x:c>
      <x:c r="N14" s="20" t="n">
        <x:f>K14*L14</x:f>
        <x:v>1050</x:v>
      </x:c>
      <x:c r="O14" s="19" t="n">
        <x:v>9000</x:v>
      </x:c>
      <x:c r="P14" s="17" t="n">
        <x:v>0.45</x:v>
      </x:c>
      <x:c r="Q14" s="20" t="n">
        <x:f>K14*O14*P14</x:f>
        <x:v>12150</x:v>
      </x:c>
      <x:c r="R14" s="20" t="n">
        <x:f>Q14*(1-'01 Controls'!$E$6)</x:f>
        <x:v>9112.5</x:v>
      </x:c>
      <x:c r="S14" s="19" t="n">
        <x:v>90</x:v>
      </x:c>
      <x:c r="T14" s="20" t="n">
        <x:f>K14*S14</x:f>
        <x:v>270</x:v>
      </x:c>
      <x:c r="U14" s="18" t="n">
        <x:f>'01 Controls'!E32</x:f>
        <x:v>0.05</x:v>
      </x:c>
      <x:c r="V14" s="20" t="n">
        <x:f>R14*U14</x:f>
        <x:v>455.625</x:v>
      </x:c>
      <x:c r="W14" s="18" t="n">
        <x:f>'01 Controls'!F32</x:f>
        <x:v>0</x:v>
      </x:c>
      <x:c r="X14" s="20" t="n">
        <x:f>R14*W14</x:f>
        <x:v>0</x:v>
      </x:c>
      <x:c r="Y14" s="18" t="n">
        <x:f>'01 Controls'!G32</x:f>
        <x:v>0.9</x:v>
      </x:c>
      <x:c r="Z14" s="20" t="n">
        <x:f>R14*Y14</x:f>
        <x:v>8201.25</x:v>
      </x:c>
      <x:c r="AA14" s="18" t="n">
        <x:f>'01 Controls'!H32</x:f>
        <x:v>0.05</x:v>
      </x:c>
      <x:c r="AB14" s="20" t="n">
        <x:f>R14*AA14</x:f>
        <x:v>455.625</x:v>
      </x:c>
      <x:c r="AC14" s="20" t="n">
        <x:f>IF(H14="CM-HCG",K14*'01 Controls'!$E$24,0)</x:f>
        <x:v>0</x:v>
      </x:c>
      <x:c r="AD14" s="20" t="n">
        <x:f>IF(H14="CM-HCG",K14*'01 Controls'!$E$25,0)</x:f>
        <x:v>0</x:v>
      </x:c>
      <x:c r="AE14" s="20" t="n">
        <x:f>IF(H14="CM-HCG",K14*'01 Controls'!$E$26,0)</x:f>
        <x:v>0</x:v>
      </x:c>
      <x:c r="AF14" s="20" t="n">
        <x:f>IF(H14="CM-HCG",K14*'01 Controls'!$E$27,0)</x:f>
        <x:v>0</x:v>
      </x:c>
    </x:row>
    <x:row r="15">
      <x:c r="C15" s="22" t="str">
        <x:v>C1-L-GFG</x:v>
      </x:c>
      <x:c r="D15" s="22" t="n">
        <x:v>10</x:v>
      </x:c>
      <x:c r="E15" s="22" t="str">
        <x:v>C1</x:v>
      </x:c>
      <x:c r="F15" s="22" t="str">
        <x:v>Grid failure</x:v>
      </x:c>
      <x:c r="G15" s="22" t="n">
        <x:v>1</x:v>
      </x:c>
      <x:c r="H15" s="22" t="str">
        <x:v>L-GFG</x:v>
      </x:c>
      <x:c r="I15" s="22" t="str">
        <x:v>Land Engineering</x:v>
      </x:c>
      <x:c r="J15" s="22" t="str">
        <x:v>Ground fire and landscape group</x:v>
      </x:c>
      <x:c r="K15" s="23" t="n">
        <x:v>2</x:v>
      </x:c>
      <x:c r="L15" s="23" t="n">
        <x:v>450</x:v>
      </x:c>
      <x:c r="M15" s="23" t="n">
        <x:v>0</x:v>
      </x:c>
      <x:c r="N15" s="20" t="n">
        <x:f>K15*L15</x:f>
        <x:v>900</x:v>
      </x:c>
      <x:c r="O15" s="19" t="n">
        <x:v>9000</x:v>
      </x:c>
      <x:c r="P15" s="17" t="n">
        <x:v>0.45</x:v>
      </x:c>
      <x:c r="Q15" s="20" t="n">
        <x:f>K15*O15*P15</x:f>
        <x:v>8100</x:v>
      </x:c>
      <x:c r="R15" s="20" t="n">
        <x:f>Q15*(1-'01 Controls'!$E$6)</x:f>
        <x:v>6075</x:v>
      </x:c>
      <x:c r="S15" s="19" t="n">
        <x:v>90</x:v>
      </x:c>
      <x:c r="T15" s="20" t="n">
        <x:f>K15*S15</x:f>
        <x:v>180</x:v>
      </x:c>
      <x:c r="U15" s="18" t="n">
        <x:f>'01 Controls'!E32</x:f>
        <x:v>0.05</x:v>
      </x:c>
      <x:c r="V15" s="20" t="n">
        <x:f>R15*U15</x:f>
        <x:v>303.75</x:v>
      </x:c>
      <x:c r="W15" s="18" t="n">
        <x:f>'01 Controls'!F32</x:f>
        <x:v>0</x:v>
      </x:c>
      <x:c r="X15" s="20" t="n">
        <x:f>R15*W15</x:f>
        <x:v>0</x:v>
      </x:c>
      <x:c r="Y15" s="18" t="n">
        <x:f>'01 Controls'!G32</x:f>
        <x:v>0.9</x:v>
      </x:c>
      <x:c r="Z15" s="20" t="n">
        <x:f>R15*Y15</x:f>
        <x:v>5467.5</x:v>
      </x:c>
      <x:c r="AA15" s="18" t="n">
        <x:f>'01 Controls'!H32</x:f>
        <x:v>0.05</x:v>
      </x:c>
      <x:c r="AB15" s="20" t="n">
        <x:f>R15*AA15</x:f>
        <x:v>303.75</x:v>
      </x:c>
      <x:c r="AC15" s="20" t="n">
        <x:f>IF(H15="CM-HCG",K15*'01 Controls'!$E$24,0)</x:f>
        <x:v>0</x:v>
      </x:c>
      <x:c r="AD15" s="20" t="n">
        <x:f>IF(H15="CM-HCG",K15*'01 Controls'!$E$25,0)</x:f>
        <x:v>0</x:v>
      </x:c>
      <x:c r="AE15" s="20" t="n">
        <x:f>IF(H15="CM-HCG",K15*'01 Controls'!$E$26,0)</x:f>
        <x:v>0</x:v>
      </x:c>
      <x:c r="AF15" s="20" t="n">
        <x:f>IF(H15="CM-HCG",K15*'01 Controls'!$E$27,0)</x:f>
        <x:v>0</x:v>
      </x:c>
    </x:row>
    <x:row r="16">
      <x:c r="C16" s="22" t="str">
        <x:v>C1-A-SMW</x:v>
      </x:c>
      <x:c r="D16" s="22" t="n">
        <x:v>11</x:v>
      </x:c>
      <x:c r="E16" s="22" t="str">
        <x:v>C1</x:v>
      </x:c>
      <x:c r="F16" s="22" t="str">
        <x:v>Grid failure</x:v>
      </x:c>
      <x:c r="G16" s="22" t="n">
        <x:v>1</x:v>
      </x:c>
      <x:c r="H16" s="22" t="str">
        <x:v>A-SMW</x:v>
      </x:c>
      <x:c r="I16" s="22" t="str">
        <x:v>Air Response</x:v>
      </x:c>
      <x:c r="J16" s="22" t="str">
        <x:v>Strategic mobility wing</x:v>
      </x:c>
      <x:c r="K16" s="23" t="n">
        <x:v>2</x:v>
      </x:c>
      <x:c r="L16" s="23" t="n">
        <x:v>900</x:v>
      </x:c>
      <x:c r="M16" s="23" t="n">
        <x:v>0</x:v>
      </x:c>
      <x:c r="N16" s="20" t="n">
        <x:f>K16*L16</x:f>
        <x:v>1800</x:v>
      </x:c>
      <x:c r="O16" s="19" t="n">
        <x:v>5000</x:v>
      </x:c>
      <x:c r="P16" s="17" t="n">
        <x:v>0.75</x:v>
      </x:c>
      <x:c r="Q16" s="20" t="n">
        <x:f>K16*O16*P16</x:f>
        <x:v>7500</x:v>
      </x:c>
      <x:c r="R16" s="20" t="n">
        <x:f>Q16*(1-'01 Controls'!$E$6)</x:f>
        <x:v>5625</x:v>
      </x:c>
      <x:c r="S16" s="19" t="n">
        <x:v>100</x:v>
      </x:c>
      <x:c r="T16" s="20" t="n">
        <x:f>K16*S16</x:f>
        <x:v>200</x:v>
      </x:c>
      <x:c r="U16" s="18" t="n">
        <x:f>'01 Controls'!E32</x:f>
        <x:v>0.05</x:v>
      </x:c>
      <x:c r="V16" s="20" t="n">
        <x:f>R16*U16</x:f>
        <x:v>281.25</x:v>
      </x:c>
      <x:c r="W16" s="18" t="n">
        <x:f>'01 Controls'!F32</x:f>
        <x:v>0</x:v>
      </x:c>
      <x:c r="X16" s="20" t="n">
        <x:f>R16*W16</x:f>
        <x:v>0</x:v>
      </x:c>
      <x:c r="Y16" s="18" t="n">
        <x:f>'01 Controls'!G32</x:f>
        <x:v>0.9</x:v>
      </x:c>
      <x:c r="Z16" s="20" t="n">
        <x:f>R16*Y16</x:f>
        <x:v>5062.5</x:v>
      </x:c>
      <x:c r="AA16" s="18" t="n">
        <x:f>'01 Controls'!H32</x:f>
        <x:v>0.05</x:v>
      </x:c>
      <x:c r="AB16" s="20" t="n">
        <x:f>R16*AA16</x:f>
        <x:v>281.25</x:v>
      </x:c>
      <x:c r="AC16" s="20" t="n">
        <x:f>IF(H16="CM-HCG",K16*'01 Controls'!$E$24,0)</x:f>
        <x:v>0</x:v>
      </x:c>
      <x:c r="AD16" s="20" t="n">
        <x:f>IF(H16="CM-HCG",K16*'01 Controls'!$E$25,0)</x:f>
        <x:v>0</x:v>
      </x:c>
      <x:c r="AE16" s="20" t="n">
        <x:f>IF(H16="CM-HCG",K16*'01 Controls'!$E$26,0)</x:f>
        <x:v>0</x:v>
      </x:c>
      <x:c r="AF16" s="20" t="n">
        <x:f>IF(H16="CM-HCG",K16*'01 Controls'!$E$27,0)</x:f>
        <x:v>0</x:v>
      </x:c>
    </x:row>
    <x:row r="17">
      <x:c r="C17" s="22" t="str">
        <x:v>C1-A-AAG</x:v>
      </x:c>
      <x:c r="D17" s="22" t="n">
        <x:v>12</x:v>
      </x:c>
      <x:c r="E17" s="22" t="str">
        <x:v>C1</x:v>
      </x:c>
      <x:c r="F17" s="22" t="str">
        <x:v>Grid failure</x:v>
      </x:c>
      <x:c r="G17" s="22" t="n">
        <x:v>1</x:v>
      </x:c>
      <x:c r="H17" s="22" t="str">
        <x:v>A-AAG</x:v>
      </x:c>
      <x:c r="I17" s="22" t="str">
        <x:v>Air Response</x:v>
      </x:c>
      <x:c r="J17" s="22" t="str">
        <x:v>Austere air-access group</x:v>
      </x:c>
      <x:c r="K17" s="23" t="n">
        <x:v>2</x:v>
      </x:c>
      <x:c r="L17" s="23" t="n">
        <x:v>350</x:v>
      </x:c>
      <x:c r="M17" s="23" t="n">
        <x:v>0</x:v>
      </x:c>
      <x:c r="N17" s="20" t="n">
        <x:f>K17*L17</x:f>
        <x:v>700</x:v>
      </x:c>
      <x:c r="O17" s="19" t="n">
        <x:v>5000</x:v>
      </x:c>
      <x:c r="P17" s="17" t="n">
        <x:v>0.75</x:v>
      </x:c>
      <x:c r="Q17" s="20" t="n">
        <x:f>K17*O17*P17</x:f>
        <x:v>7500</x:v>
      </x:c>
      <x:c r="R17" s="20" t="n">
        <x:f>Q17*(1-'01 Controls'!$E$6)</x:f>
        <x:v>5625</x:v>
      </x:c>
      <x:c r="S17" s="19" t="n">
        <x:v>100</x:v>
      </x:c>
      <x:c r="T17" s="20" t="n">
        <x:f>K17*S17</x:f>
        <x:v>200</x:v>
      </x:c>
      <x:c r="U17" s="18" t="n">
        <x:f>'01 Controls'!E32</x:f>
        <x:v>0.05</x:v>
      </x:c>
      <x:c r="V17" s="20" t="n">
        <x:f>R17*U17</x:f>
        <x:v>281.25</x:v>
      </x:c>
      <x:c r="W17" s="18" t="n">
        <x:f>'01 Controls'!F32</x:f>
        <x:v>0</x:v>
      </x:c>
      <x:c r="X17" s="20" t="n">
        <x:f>R17*W17</x:f>
        <x:v>0</x:v>
      </x:c>
      <x:c r="Y17" s="18" t="n">
        <x:f>'01 Controls'!G32</x:f>
        <x:v>0.9</x:v>
      </x:c>
      <x:c r="Z17" s="20" t="n">
        <x:f>R17*Y17</x:f>
        <x:v>5062.5</x:v>
      </x:c>
      <x:c r="AA17" s="18" t="n">
        <x:f>'01 Controls'!H32</x:f>
        <x:v>0.05</x:v>
      </x:c>
      <x:c r="AB17" s="20" t="n">
        <x:f>R17*AA17</x:f>
        <x:v>281.25</x:v>
      </x:c>
      <x:c r="AC17" s="20" t="n">
        <x:f>IF(H17="CM-HCG",K17*'01 Controls'!$E$24,0)</x:f>
        <x:v>0</x:v>
      </x:c>
      <x:c r="AD17" s="20" t="n">
        <x:f>IF(H17="CM-HCG",K17*'01 Controls'!$E$25,0)</x:f>
        <x:v>0</x:v>
      </x:c>
      <x:c r="AE17" s="20" t="n">
        <x:f>IF(H17="CM-HCG",K17*'01 Controls'!$E$26,0)</x:f>
        <x:v>0</x:v>
      </x:c>
      <x:c r="AF17" s="20" t="n">
        <x:f>IF(H17="CM-HCG",K17*'01 Controls'!$E$27,0)</x:f>
        <x:v>0</x:v>
      </x:c>
    </x:row>
    <x:row r="18">
      <x:c r="C18" s="22" t="str">
        <x:v>C1-A-AHW</x:v>
      </x:c>
      <x:c r="D18" s="22" t="n">
        <x:v>13</x:v>
      </x:c>
      <x:c r="E18" s="22" t="str">
        <x:v>C1</x:v>
      </x:c>
      <x:c r="F18" s="22" t="str">
        <x:v>Grid failure</x:v>
      </x:c>
      <x:c r="G18" s="22" t="n">
        <x:v>1</x:v>
      </x:c>
      <x:c r="H18" s="22" t="str">
        <x:v>A-AHW</x:v>
      </x:c>
      <x:c r="I18" s="22" t="str">
        <x:v>Air Response</x:v>
      </x:c>
      <x:c r="J18" s="22" t="str">
        <x:v>Aerial hazard-control wing</x:v>
      </x:c>
      <x:c r="K18" s="23" t="n">
        <x:v>1</x:v>
      </x:c>
      <x:c r="L18" s="23" t="n">
        <x:v>600</x:v>
      </x:c>
      <x:c r="M18" s="23" t="n">
        <x:v>0</x:v>
      </x:c>
      <x:c r="N18" s="20" t="n">
        <x:f>K18*L18</x:f>
        <x:v>600</x:v>
      </x:c>
      <x:c r="O18" s="19" t="n">
        <x:v>5000</x:v>
      </x:c>
      <x:c r="P18" s="17" t="n">
        <x:v>0.75</x:v>
      </x:c>
      <x:c r="Q18" s="20" t="n">
        <x:f>K18*O18*P18</x:f>
        <x:v>3750</x:v>
      </x:c>
      <x:c r="R18" s="20" t="n">
        <x:f>Q18*(1-'01 Controls'!$E$6)</x:f>
        <x:v>2812.5</x:v>
      </x:c>
      <x:c r="S18" s="19" t="n">
        <x:v>100</x:v>
      </x:c>
      <x:c r="T18" s="20" t="n">
        <x:f>K18*S18</x:f>
        <x:v>100</x:v>
      </x:c>
      <x:c r="U18" s="18" t="n">
        <x:f>'01 Controls'!E32</x:f>
        <x:v>0.05</x:v>
      </x:c>
      <x:c r="V18" s="20" t="n">
        <x:f>R18*U18</x:f>
        <x:v>140.625</x:v>
      </x:c>
      <x:c r="W18" s="18" t="n">
        <x:f>'01 Controls'!F32</x:f>
        <x:v>0</x:v>
      </x:c>
      <x:c r="X18" s="20" t="n">
        <x:f>R18*W18</x:f>
        <x:v>0</x:v>
      </x:c>
      <x:c r="Y18" s="18" t="n">
        <x:f>'01 Controls'!G32</x:f>
        <x:v>0.9</x:v>
      </x:c>
      <x:c r="Z18" s="20" t="n">
        <x:f>R18*Y18</x:f>
        <x:v>2531.25</x:v>
      </x:c>
      <x:c r="AA18" s="18" t="n">
        <x:f>'01 Controls'!H32</x:f>
        <x:v>0.05</x:v>
      </x:c>
      <x:c r="AB18" s="20" t="n">
        <x:f>R18*AA18</x:f>
        <x:v>140.625</x:v>
      </x:c>
      <x:c r="AC18" s="20" t="n">
        <x:f>IF(H18="CM-HCG",K18*'01 Controls'!$E$24,0)</x:f>
        <x:v>0</x:v>
      </x:c>
      <x:c r="AD18" s="20" t="n">
        <x:f>IF(H18="CM-HCG",K18*'01 Controls'!$E$25,0)</x:f>
        <x:v>0</x:v>
      </x:c>
      <x:c r="AE18" s="20" t="n">
        <x:f>IF(H18="CM-HCG",K18*'01 Controls'!$E$26,0)</x:f>
        <x:v>0</x:v>
      </x:c>
      <x:c r="AF18" s="20" t="n">
        <x:f>IF(H18="CM-HCG",K18*'01 Controls'!$E$27,0)</x:f>
        <x:v>0</x:v>
      </x:c>
    </x:row>
    <x:row r="19">
      <x:c r="C19" s="22" t="str">
        <x:v>C1-A-TDG</x:v>
      </x:c>
      <x:c r="D19" s="22" t="n">
        <x:v>14</x:v>
      </x:c>
      <x:c r="E19" s="22" t="str">
        <x:v>C1</x:v>
      </x:c>
      <x:c r="F19" s="22" t="str">
        <x:v>Grid failure</x:v>
      </x:c>
      <x:c r="G19" s="22" t="n">
        <x:v>1</x:v>
      </x:c>
      <x:c r="H19" s="22" t="str">
        <x:v>A-TDG</x:v>
      </x:c>
      <x:c r="I19" s="22" t="str">
        <x:v>Air Response</x:v>
      </x:c>
      <x:c r="J19" s="22" t="str">
        <x:v>Tactical distribution group</x:v>
      </x:c>
      <x:c r="K19" s="23" t="n">
        <x:v>4</x:v>
      </x:c>
      <x:c r="L19" s="23" t="n">
        <x:v>450</x:v>
      </x:c>
      <x:c r="M19" s="23" t="n">
        <x:v>0</x:v>
      </x:c>
      <x:c r="N19" s="20" t="n">
        <x:f>K19*L19</x:f>
        <x:v>1800</x:v>
      </x:c>
      <x:c r="O19" s="19" t="n">
        <x:v>5000</x:v>
      </x:c>
      <x:c r="P19" s="17" t="n">
        <x:v>0.75</x:v>
      </x:c>
      <x:c r="Q19" s="20" t="n">
        <x:f>K19*O19*P19</x:f>
        <x:v>15000</x:v>
      </x:c>
      <x:c r="R19" s="20" t="n">
        <x:f>Q19*(1-'01 Controls'!$E$6)</x:f>
        <x:v>11250</x:v>
      </x:c>
      <x:c r="S19" s="19" t="n">
        <x:v>100</x:v>
      </x:c>
      <x:c r="T19" s="20" t="n">
        <x:f>K19*S19</x:f>
        <x:v>400</x:v>
      </x:c>
      <x:c r="U19" s="18" t="n">
        <x:f>'01 Controls'!E32</x:f>
        <x:v>0.05</x:v>
      </x:c>
      <x:c r="V19" s="20" t="n">
        <x:f>R19*U19</x:f>
        <x:v>562.5</x:v>
      </x:c>
      <x:c r="W19" s="18" t="n">
        <x:f>'01 Controls'!F32</x:f>
        <x:v>0</x:v>
      </x:c>
      <x:c r="X19" s="20" t="n">
        <x:f>R19*W19</x:f>
        <x:v>0</x:v>
      </x:c>
      <x:c r="Y19" s="18" t="n">
        <x:f>'01 Controls'!G32</x:f>
        <x:v>0.9</x:v>
      </x:c>
      <x:c r="Z19" s="20" t="n">
        <x:f>R19*Y19</x:f>
        <x:v>10125</x:v>
      </x:c>
      <x:c r="AA19" s="18" t="n">
        <x:f>'01 Controls'!H32</x:f>
        <x:v>0.05</x:v>
      </x:c>
      <x:c r="AB19" s="20" t="n">
        <x:f>R19*AA19</x:f>
        <x:v>562.5</x:v>
      </x:c>
      <x:c r="AC19" s="20" t="n">
        <x:f>IF(H19="CM-HCG",K19*'01 Controls'!$E$24,0)</x:f>
        <x:v>0</x:v>
      </x:c>
      <x:c r="AD19" s="20" t="n">
        <x:f>IF(H19="CM-HCG",K19*'01 Controls'!$E$25,0)</x:f>
        <x:v>0</x:v>
      </x:c>
      <x:c r="AE19" s="20" t="n">
        <x:f>IF(H19="CM-HCG",K19*'01 Controls'!$E$26,0)</x:f>
        <x:v>0</x:v>
      </x:c>
      <x:c r="AF19" s="20" t="n">
        <x:f>IF(H19="CM-HCG",K19*'01 Controls'!$E$27,0)</x:f>
        <x:v>0</x:v>
      </x:c>
    </x:row>
    <x:row r="20">
      <x:c r="C20" s="22" t="str">
        <x:v>C1-A-SRG</x:v>
      </x:c>
      <x:c r="D20" s="22" t="n">
        <x:v>15</x:v>
      </x:c>
      <x:c r="E20" s="22" t="str">
        <x:v>C1</x:v>
      </x:c>
      <x:c r="F20" s="22" t="str">
        <x:v>Grid failure</x:v>
      </x:c>
      <x:c r="G20" s="22" t="n">
        <x:v>1</x:v>
      </x:c>
      <x:c r="H20" s="22" t="str">
        <x:v>A-SRG</x:v>
      </x:c>
      <x:c r="I20" s="22" t="str">
        <x:v>Air Response</x:v>
      </x:c>
      <x:c r="J20" s="22" t="str">
        <x:v>Air sensing and relay group</x:v>
      </x:c>
      <x:c r="K20" s="23" t="n">
        <x:v>3</x:v>
      </x:c>
      <x:c r="L20" s="23" t="n">
        <x:v>180</x:v>
      </x:c>
      <x:c r="M20" s="23" t="n">
        <x:v>0</x:v>
      </x:c>
      <x:c r="N20" s="20" t="n">
        <x:f>K20*L20</x:f>
        <x:v>540</x:v>
      </x:c>
      <x:c r="O20" s="19" t="n">
        <x:v>5000</x:v>
      </x:c>
      <x:c r="P20" s="17" t="n">
        <x:v>0.75</x:v>
      </x:c>
      <x:c r="Q20" s="20" t="n">
        <x:f>K20*O20*P20</x:f>
        <x:v>11250</x:v>
      </x:c>
      <x:c r="R20" s="20" t="n">
        <x:f>Q20*(1-'01 Controls'!$E$6)</x:f>
        <x:v>8437.5</x:v>
      </x:c>
      <x:c r="S20" s="19" t="n">
        <x:v>100</x:v>
      </x:c>
      <x:c r="T20" s="20" t="n">
        <x:f>K20*S20</x:f>
        <x:v>300</x:v>
      </x:c>
      <x:c r="U20" s="18" t="n">
        <x:f>'01 Controls'!E32</x:f>
        <x:v>0.05</x:v>
      </x:c>
      <x:c r="V20" s="20" t="n">
        <x:f>R20*U20</x:f>
        <x:v>421.875</x:v>
      </x:c>
      <x:c r="W20" s="18" t="n">
        <x:f>'01 Controls'!F32</x:f>
        <x:v>0</x:v>
      </x:c>
      <x:c r="X20" s="20" t="n">
        <x:f>R20*W20</x:f>
        <x:v>0</x:v>
      </x:c>
      <x:c r="Y20" s="18" t="n">
        <x:f>'01 Controls'!G32</x:f>
        <x:v>0.9</x:v>
      </x:c>
      <x:c r="Z20" s="20" t="n">
        <x:f>R20*Y20</x:f>
        <x:v>7593.75</x:v>
      </x:c>
      <x:c r="AA20" s="18" t="n">
        <x:f>'01 Controls'!H32</x:f>
        <x:v>0.05</x:v>
      </x:c>
      <x:c r="AB20" s="20" t="n">
        <x:f>R20*AA20</x:f>
        <x:v>421.875</x:v>
      </x:c>
      <x:c r="AC20" s="20" t="n">
        <x:f>IF(H20="CM-HCG",K20*'01 Controls'!$E$24,0)</x:f>
        <x:v>0</x:v>
      </x:c>
      <x:c r="AD20" s="20" t="n">
        <x:f>IF(H20="CM-HCG",K20*'01 Controls'!$E$25,0)</x:f>
        <x:v>0</x:v>
      </x:c>
      <x:c r="AE20" s="20" t="n">
        <x:f>IF(H20="CM-HCG",K20*'01 Controls'!$E$26,0)</x:f>
        <x:v>0</x:v>
      </x:c>
      <x:c r="AF20" s="20" t="n">
        <x:f>IF(H20="CM-HCG",K20*'01 Controls'!$E$27,0)</x:f>
        <x:v>0</x:v>
      </x:c>
    </x:row>
    <x:row r="21">
      <x:c r="C21" s="22" t="str">
        <x:v>C1-A-AMG</x:v>
      </x:c>
      <x:c r="D21" s="22" t="n">
        <x:v>16</x:v>
      </x:c>
      <x:c r="E21" s="22" t="str">
        <x:v>C1</x:v>
      </x:c>
      <x:c r="F21" s="22" t="str">
        <x:v>Grid failure</x:v>
      </x:c>
      <x:c r="G21" s="22" t="n">
        <x:v>1</x:v>
      </x:c>
      <x:c r="H21" s="22" t="str">
        <x:v>A-AMG</x:v>
      </x:c>
      <x:c r="I21" s="22" t="str">
        <x:v>Air Response</x:v>
      </x:c>
      <x:c r="J21" s="22" t="str">
        <x:v>Aeromedical movement group</x:v>
      </x:c>
      <x:c r="K21" s="23" t="n">
        <x:v>2</x:v>
      </x:c>
      <x:c r="L21" s="23" t="n">
        <x:v>300</x:v>
      </x:c>
      <x:c r="M21" s="23" t="n">
        <x:v>0</x:v>
      </x:c>
      <x:c r="N21" s="20" t="n">
        <x:f>K21*L21</x:f>
        <x:v>600</x:v>
      </x:c>
      <x:c r="O21" s="19" t="n">
        <x:v>5000</x:v>
      </x:c>
      <x:c r="P21" s="17" t="n">
        <x:v>0.75</x:v>
      </x:c>
      <x:c r="Q21" s="20" t="n">
        <x:f>K21*O21*P21</x:f>
        <x:v>7500</x:v>
      </x:c>
      <x:c r="R21" s="20" t="n">
        <x:f>Q21*(1-'01 Controls'!$E$6)</x:f>
        <x:v>5625</x:v>
      </x:c>
      <x:c r="S21" s="19" t="n">
        <x:v>100</x:v>
      </x:c>
      <x:c r="T21" s="20" t="n">
        <x:f>K21*S21</x:f>
        <x:v>200</x:v>
      </x:c>
      <x:c r="U21" s="18" t="n">
        <x:f>'01 Controls'!E32</x:f>
        <x:v>0.05</x:v>
      </x:c>
      <x:c r="V21" s="20" t="n">
        <x:f>R21*U21</x:f>
        <x:v>281.25</x:v>
      </x:c>
      <x:c r="W21" s="18" t="n">
        <x:f>'01 Controls'!F32</x:f>
        <x:v>0</x:v>
      </x:c>
      <x:c r="X21" s="20" t="n">
        <x:f>R21*W21</x:f>
        <x:v>0</x:v>
      </x:c>
      <x:c r="Y21" s="18" t="n">
        <x:f>'01 Controls'!G32</x:f>
        <x:v>0.9</x:v>
      </x:c>
      <x:c r="Z21" s="20" t="n">
        <x:f>R21*Y21</x:f>
        <x:v>5062.5</x:v>
      </x:c>
      <x:c r="AA21" s="18" t="n">
        <x:f>'01 Controls'!H32</x:f>
        <x:v>0.05</x:v>
      </x:c>
      <x:c r="AB21" s="20" t="n">
        <x:f>R21*AA21</x:f>
        <x:v>281.25</x:v>
      </x:c>
      <x:c r="AC21" s="20" t="n">
        <x:f>IF(H21="CM-HCG",K21*'01 Controls'!$E$24,0)</x:f>
        <x:v>0</x:v>
      </x:c>
      <x:c r="AD21" s="20" t="n">
        <x:f>IF(H21="CM-HCG",K21*'01 Controls'!$E$25,0)</x:f>
        <x:v>0</x:v>
      </x:c>
      <x:c r="AE21" s="20" t="n">
        <x:f>IF(H21="CM-HCG",K21*'01 Controls'!$E$26,0)</x:f>
        <x:v>0</x:v>
      </x:c>
      <x:c r="AF21" s="20" t="n">
        <x:f>IF(H21="CM-HCG",K21*'01 Controls'!$E$27,0)</x:f>
        <x:v>0</x:v>
      </x:c>
    </x:row>
    <x:row r="22">
      <x:c r="C22" s="22" t="str">
        <x:v>C1-M-POG</x:v>
      </x:c>
      <x:c r="D22" s="22" t="n">
        <x:v>17</x:v>
      </x:c>
      <x:c r="E22" s="22" t="str">
        <x:v>C1</x:v>
      </x:c>
      <x:c r="F22" s="22" t="str">
        <x:v>Grid failure</x:v>
      </x:c>
      <x:c r="G22" s="22" t="n">
        <x:v>1</x:v>
      </x:c>
      <x:c r="H22" s="22" t="str">
        <x:v>M-POG</x:v>
      </x:c>
      <x:c r="I22" s="22" t="str">
        <x:v>Maritime Response</x:v>
      </x:c>
      <x:c r="J22" s="22" t="str">
        <x:v>Port-opening group</x:v>
      </x:c>
      <x:c r="K22" s="23" t="n">
        <x:v>1</x:v>
      </x:c>
      <x:c r="L22" s="23" t="n">
        <x:v>450</x:v>
      </x:c>
      <x:c r="M22" s="23" t="n">
        <x:v>0</x:v>
      </x:c>
      <x:c r="N22" s="20" t="n">
        <x:f>K22*L22</x:f>
        <x:v>450</x:v>
      </x:c>
      <x:c r="O22" s="19" t="n">
        <x:v>8000</x:v>
      </x:c>
      <x:c r="P22" s="17" t="n">
        <x:v>0.35</x:v>
      </x:c>
      <x:c r="Q22" s="20" t="n">
        <x:f>K22*O22*P22</x:f>
        <x:v>2800</x:v>
      </x:c>
      <x:c r="R22" s="20" t="n">
        <x:f>Q22*(1-'01 Controls'!$E$6)</x:f>
        <x:v>2100</x:v>
      </x:c>
      <x:c r="S22" s="19" t="n">
        <x:v>120</x:v>
      </x:c>
      <x:c r="T22" s="20" t="n">
        <x:f>K22*S22</x:f>
        <x:v>120</x:v>
      </x:c>
      <x:c r="U22" s="18" t="n">
        <x:f>'01 Controls'!E32</x:f>
        <x:v>0.05</x:v>
      </x:c>
      <x:c r="V22" s="20" t="n">
        <x:f>R22*U22</x:f>
        <x:v>105</x:v>
      </x:c>
      <x:c r="W22" s="18" t="n">
        <x:f>'01 Controls'!F32</x:f>
        <x:v>0</x:v>
      </x:c>
      <x:c r="X22" s="20" t="n">
        <x:f>R22*W22</x:f>
        <x:v>0</x:v>
      </x:c>
      <x:c r="Y22" s="18" t="n">
        <x:f>'01 Controls'!G32</x:f>
        <x:v>0.9</x:v>
      </x:c>
      <x:c r="Z22" s="20" t="n">
        <x:f>R22*Y22</x:f>
        <x:v>1890</x:v>
      </x:c>
      <x:c r="AA22" s="18" t="n">
        <x:f>'01 Controls'!H32</x:f>
        <x:v>0.05</x:v>
      </x:c>
      <x:c r="AB22" s="20" t="n">
        <x:f>R22*AA22</x:f>
        <x:v>105</x:v>
      </x:c>
      <x:c r="AC22" s="20" t="n">
        <x:f>IF(H22="CM-HCG",K22*'01 Controls'!$E$24,0)</x:f>
        <x:v>0</x:v>
      </x:c>
      <x:c r="AD22" s="20" t="n">
        <x:f>IF(H22="CM-HCG",K22*'01 Controls'!$E$25,0)</x:f>
        <x:v>0</x:v>
      </x:c>
      <x:c r="AE22" s="20" t="n">
        <x:f>IF(H22="CM-HCG",K22*'01 Controls'!$E$26,0)</x:f>
        <x:v>0</x:v>
      </x:c>
      <x:c r="AF22" s="20" t="n">
        <x:f>IF(H22="CM-HCG",K22*'01 Controls'!$E$27,0)</x:f>
        <x:v>0</x:v>
      </x:c>
    </x:row>
    <x:row r="23">
      <x:c r="C23" s="22" t="str">
        <x:v>C1-M-LAG</x:v>
      </x:c>
      <x:c r="D23" s="22" t="n">
        <x:v>18</x:v>
      </x:c>
      <x:c r="E23" s="22" t="str">
        <x:v>C1</x:v>
      </x:c>
      <x:c r="F23" s="22" t="str">
        <x:v>Grid failure</x:v>
      </x:c>
      <x:c r="G23" s="22" t="n">
        <x:v>1</x:v>
      </x:c>
      <x:c r="H23" s="22" t="str">
        <x:v>M-LAG</x:v>
      </x:c>
      <x:c r="I23" s="22" t="str">
        <x:v>Maritime Response</x:v>
      </x:c>
      <x:c r="J23" s="22" t="str">
        <x:v>Littoral-access group</x:v>
      </x:c>
      <x:c r="K23" s="23" t="n">
        <x:v>1</x:v>
      </x:c>
      <x:c r="L23" s="23" t="n">
        <x:v>350</x:v>
      </x:c>
      <x:c r="M23" s="23" t="n">
        <x:v>0</x:v>
      </x:c>
      <x:c r="N23" s="20" t="n">
        <x:f>K23*L23</x:f>
        <x:v>350</x:v>
      </x:c>
      <x:c r="O23" s="19" t="n">
        <x:v>8000</x:v>
      </x:c>
      <x:c r="P23" s="17" t="n">
        <x:v>0.35</x:v>
      </x:c>
      <x:c r="Q23" s="20" t="n">
        <x:f>K23*O23*P23</x:f>
        <x:v>2800</x:v>
      </x:c>
      <x:c r="R23" s="20" t="n">
        <x:f>Q23*(1-'01 Controls'!$E$6)</x:f>
        <x:v>2100</x:v>
      </x:c>
      <x:c r="S23" s="19" t="n">
        <x:v>120</x:v>
      </x:c>
      <x:c r="T23" s="20" t="n">
        <x:f>K23*S23</x:f>
        <x:v>120</x:v>
      </x:c>
      <x:c r="U23" s="18" t="n">
        <x:f>'01 Controls'!E32</x:f>
        <x:v>0.05</x:v>
      </x:c>
      <x:c r="V23" s="20" t="n">
        <x:f>R23*U23</x:f>
        <x:v>105</x:v>
      </x:c>
      <x:c r="W23" s="18" t="n">
        <x:f>'01 Controls'!F32</x:f>
        <x:v>0</x:v>
      </x:c>
      <x:c r="X23" s="20" t="n">
        <x:f>R23*W23</x:f>
        <x:v>0</x:v>
      </x:c>
      <x:c r="Y23" s="18" t="n">
        <x:f>'01 Controls'!G32</x:f>
        <x:v>0.9</x:v>
      </x:c>
      <x:c r="Z23" s="20" t="n">
        <x:f>R23*Y23</x:f>
        <x:v>1890</x:v>
      </x:c>
      <x:c r="AA23" s="18" t="n">
        <x:f>'01 Controls'!H32</x:f>
        <x:v>0.05</x:v>
      </x:c>
      <x:c r="AB23" s="20" t="n">
        <x:f>R23*AA23</x:f>
        <x:v>105</x:v>
      </x:c>
      <x:c r="AC23" s="20" t="n">
        <x:f>IF(H23="CM-HCG",K23*'01 Controls'!$E$24,0)</x:f>
        <x:v>0</x:v>
      </x:c>
      <x:c r="AD23" s="20" t="n">
        <x:f>IF(H23="CM-HCG",K23*'01 Controls'!$E$25,0)</x:f>
        <x:v>0</x:v>
      </x:c>
      <x:c r="AE23" s="20" t="n">
        <x:f>IF(H23="CM-HCG",K23*'01 Controls'!$E$26,0)</x:f>
        <x:v>0</x:v>
      </x:c>
      <x:c r="AF23" s="20" t="n">
        <x:f>IF(H23="CM-HCG",K23*'01 Controls'!$E$27,0)</x:f>
        <x:v>0</x:v>
      </x:c>
    </x:row>
    <x:row r="24">
      <x:c r="C24" s="22" t="str">
        <x:v>C1-M-IWG</x:v>
      </x:c>
      <x:c r="D24" s="22" t="n">
        <x:v>19</x:v>
      </x:c>
      <x:c r="E24" s="22" t="str">
        <x:v>C1</x:v>
      </x:c>
      <x:c r="F24" s="22" t="str">
        <x:v>Grid failure</x:v>
      </x:c>
      <x:c r="G24" s="22" t="n">
        <x:v>1</x:v>
      </x:c>
      <x:c r="H24" s="22" t="str">
        <x:v>M-IWG</x:v>
      </x:c>
      <x:c r="I24" s="22" t="str">
        <x:v>Maritime Response</x:v>
      </x:c>
      <x:c r="J24" s="22" t="str">
        <x:v>Inland-waterway group</x:v>
      </x:c>
      <x:c r="K24" s="23" t="n">
        <x:v>2</x:v>
      </x:c>
      <x:c r="L24" s="23" t="n">
        <x:v>250</x:v>
      </x:c>
      <x:c r="M24" s="23" t="n">
        <x:v>0</x:v>
      </x:c>
      <x:c r="N24" s="20" t="n">
        <x:f>K24*L24</x:f>
        <x:v>500</x:v>
      </x:c>
      <x:c r="O24" s="19" t="n">
        <x:v>8000</x:v>
      </x:c>
      <x:c r="P24" s="17" t="n">
        <x:v>0.35</x:v>
      </x:c>
      <x:c r="Q24" s="20" t="n">
        <x:f>K24*O24*P24</x:f>
        <x:v>5600</x:v>
      </x:c>
      <x:c r="R24" s="20" t="n">
        <x:f>Q24*(1-'01 Controls'!$E$6)</x:f>
        <x:v>4200</x:v>
      </x:c>
      <x:c r="S24" s="19" t="n">
        <x:v>120</x:v>
      </x:c>
      <x:c r="T24" s="20" t="n">
        <x:f>K24*S24</x:f>
        <x:v>240</x:v>
      </x:c>
      <x:c r="U24" s="18" t="n">
        <x:f>'01 Controls'!E32</x:f>
        <x:v>0.05</x:v>
      </x:c>
      <x:c r="V24" s="20" t="n">
        <x:f>R24*U24</x:f>
        <x:v>210</x:v>
      </x:c>
      <x:c r="W24" s="18" t="n">
        <x:f>'01 Controls'!F32</x:f>
        <x:v>0</x:v>
      </x:c>
      <x:c r="X24" s="20" t="n">
        <x:f>R24*W24</x:f>
        <x:v>0</x:v>
      </x:c>
      <x:c r="Y24" s="18" t="n">
        <x:f>'01 Controls'!G32</x:f>
        <x:v>0.9</x:v>
      </x:c>
      <x:c r="Z24" s="20" t="n">
        <x:f>R24*Y24</x:f>
        <x:v>3780</x:v>
      </x:c>
      <x:c r="AA24" s="18" t="n">
        <x:f>'01 Controls'!H32</x:f>
        <x:v>0.05</x:v>
      </x:c>
      <x:c r="AB24" s="20" t="n">
        <x:f>R24*AA24</x:f>
        <x:v>210</x:v>
      </x:c>
      <x:c r="AC24" s="20" t="n">
        <x:f>IF(H24="CM-HCG",K24*'01 Controls'!$E$24,0)</x:f>
        <x:v>0</x:v>
      </x:c>
      <x:c r="AD24" s="20" t="n">
        <x:f>IF(H24="CM-HCG",K24*'01 Controls'!$E$25,0)</x:f>
        <x:v>0</x:v>
      </x:c>
      <x:c r="AE24" s="20" t="n">
        <x:f>IF(H24="CM-HCG",K24*'01 Controls'!$E$26,0)</x:f>
        <x:v>0</x:v>
      </x:c>
      <x:c r="AF24" s="20" t="n">
        <x:f>IF(H24="CM-HCG",K24*'01 Controls'!$E$27,0)</x:f>
        <x:v>0</x:v>
      </x:c>
    </x:row>
    <x:row r="25">
      <x:c r="C25" s="22" t="str">
        <x:v>C1-M-OSG</x:v>
      </x:c>
      <x:c r="D25" s="22" t="n">
        <x:v>20</x:v>
      </x:c>
      <x:c r="E25" s="22" t="str">
        <x:v>C1</x:v>
      </x:c>
      <x:c r="F25" s="22" t="str">
        <x:v>Grid failure</x:v>
      </x:c>
      <x:c r="G25" s="22" t="n">
        <x:v>1</x:v>
      </x:c>
      <x:c r="H25" s="22" t="str">
        <x:v>M-OSG</x:v>
      </x:c>
      <x:c r="I25" s="22" t="str">
        <x:v>Maritime Response</x:v>
      </x:c>
      <x:c r="J25" s="22" t="str">
        <x:v>Offshore-support group</x:v>
      </x:c>
      <x:c r="K25" s="23" t="n">
        <x:v>1</x:v>
      </x:c>
      <x:c r="L25" s="23" t="n">
        <x:v>700</x:v>
      </x:c>
      <x:c r="M25" s="23" t="n">
        <x:v>0</x:v>
      </x:c>
      <x:c r="N25" s="20" t="n">
        <x:f>K25*L25</x:f>
        <x:v>700</x:v>
      </x:c>
      <x:c r="O25" s="19" t="n">
        <x:v>8000</x:v>
      </x:c>
      <x:c r="P25" s="17" t="n">
        <x:v>0.35</x:v>
      </x:c>
      <x:c r="Q25" s="20" t="n">
        <x:f>K25*O25*P25</x:f>
        <x:v>2800</x:v>
      </x:c>
      <x:c r="R25" s="20" t="n">
        <x:f>Q25*(1-'01 Controls'!$E$6)</x:f>
        <x:v>2100</x:v>
      </x:c>
      <x:c r="S25" s="19" t="n">
        <x:v>120</x:v>
      </x:c>
      <x:c r="T25" s="20" t="n">
        <x:f>K25*S25</x:f>
        <x:v>120</x:v>
      </x:c>
      <x:c r="U25" s="18" t="n">
        <x:f>'01 Controls'!E32</x:f>
        <x:v>0.05</x:v>
      </x:c>
      <x:c r="V25" s="20" t="n">
        <x:f>R25*U25</x:f>
        <x:v>105</x:v>
      </x:c>
      <x:c r="W25" s="18" t="n">
        <x:f>'01 Controls'!F32</x:f>
        <x:v>0</x:v>
      </x:c>
      <x:c r="X25" s="20" t="n">
        <x:f>R25*W25</x:f>
        <x:v>0</x:v>
      </x:c>
      <x:c r="Y25" s="18" t="n">
        <x:f>'01 Controls'!G32</x:f>
        <x:v>0.9</x:v>
      </x:c>
      <x:c r="Z25" s="20" t="n">
        <x:f>R25*Y25</x:f>
        <x:v>1890</x:v>
      </x:c>
      <x:c r="AA25" s="18" t="n">
        <x:f>'01 Controls'!H32</x:f>
        <x:v>0.05</x:v>
      </x:c>
      <x:c r="AB25" s="20" t="n">
        <x:f>R25*AA25</x:f>
        <x:v>105</x:v>
      </x:c>
      <x:c r="AC25" s="20" t="n">
        <x:f>IF(H25="CM-HCG",K25*'01 Controls'!$E$24,0)</x:f>
        <x:v>0</x:v>
      </x:c>
      <x:c r="AD25" s="20" t="n">
        <x:f>IF(H25="CM-HCG",K25*'01 Controls'!$E$25,0)</x:f>
        <x:v>0</x:v>
      </x:c>
      <x:c r="AE25" s="20" t="n">
        <x:f>IF(H25="CM-HCG",K25*'01 Controls'!$E$26,0)</x:f>
        <x:v>0</x:v>
      </x:c>
      <x:c r="AF25" s="20" t="n">
        <x:f>IF(H25="CM-HCG",K25*'01 Controls'!$E$27,0)</x:f>
        <x:v>0</x:v>
      </x:c>
    </x:row>
    <x:row r="26">
      <x:c r="C26" s="22" t="str">
        <x:v>C1-M-SSG</x:v>
      </x:c>
      <x:c r="D26" s="22" t="n">
        <x:v>21</x:v>
      </x:c>
      <x:c r="E26" s="22" t="str">
        <x:v>C1</x:v>
      </x:c>
      <x:c r="F26" s="22" t="str">
        <x:v>Grid failure</x:v>
      </x:c>
      <x:c r="G26" s="22" t="n">
        <x:v>1</x:v>
      </x:c>
      <x:c r="H26" s="22" t="str">
        <x:v>M-SSG</x:v>
      </x:c>
      <x:c r="I26" s="22" t="str">
        <x:v>Maritime Response</x:v>
      </x:c>
      <x:c r="J26" s="22" t="str">
        <x:v>Ocean sustainment group</x:v>
      </x:c>
      <x:c r="K26" s="23" t="n">
        <x:v>2</x:v>
      </x:c>
      <x:c r="L26" s="23" t="n">
        <x:v>650</x:v>
      </x:c>
      <x:c r="M26" s="23" t="n">
        <x:v>0</x:v>
      </x:c>
      <x:c r="N26" s="20" t="n">
        <x:f>K26*L26</x:f>
        <x:v>1300</x:v>
      </x:c>
      <x:c r="O26" s="19" t="n">
        <x:v>8000</x:v>
      </x:c>
      <x:c r="P26" s="17" t="n">
        <x:v>0.35</x:v>
      </x:c>
      <x:c r="Q26" s="20" t="n">
        <x:f>K26*O26*P26</x:f>
        <x:v>5600</x:v>
      </x:c>
      <x:c r="R26" s="20" t="n">
        <x:f>Q26*(1-'01 Controls'!$E$6)</x:f>
        <x:v>4200</x:v>
      </x:c>
      <x:c r="S26" s="19" t="n">
        <x:v>120</x:v>
      </x:c>
      <x:c r="T26" s="20" t="n">
        <x:f>K26*S26</x:f>
        <x:v>240</x:v>
      </x:c>
      <x:c r="U26" s="18" t="n">
        <x:f>'01 Controls'!E32</x:f>
        <x:v>0.05</x:v>
      </x:c>
      <x:c r="V26" s="20" t="n">
        <x:f>R26*U26</x:f>
        <x:v>210</x:v>
      </x:c>
      <x:c r="W26" s="18" t="n">
        <x:f>'01 Controls'!F32</x:f>
        <x:v>0</x:v>
      </x:c>
      <x:c r="X26" s="20" t="n">
        <x:f>R26*W26</x:f>
        <x:v>0</x:v>
      </x:c>
      <x:c r="Y26" s="18" t="n">
        <x:f>'01 Controls'!G32</x:f>
        <x:v>0.9</x:v>
      </x:c>
      <x:c r="Z26" s="20" t="n">
        <x:f>R26*Y26</x:f>
        <x:v>3780</x:v>
      </x:c>
      <x:c r="AA26" s="18" t="n">
        <x:f>'01 Controls'!H32</x:f>
        <x:v>0.05</x:v>
      </x:c>
      <x:c r="AB26" s="20" t="n">
        <x:f>R26*AA26</x:f>
        <x:v>210</x:v>
      </x:c>
      <x:c r="AC26" s="20" t="n">
        <x:f>IF(H26="CM-HCG",K26*'01 Controls'!$E$24,0)</x:f>
        <x:v>0</x:v>
      </x:c>
      <x:c r="AD26" s="20" t="n">
        <x:f>IF(H26="CM-HCG",K26*'01 Controls'!$E$25,0)</x:f>
        <x:v>0</x:v>
      </x:c>
      <x:c r="AE26" s="20" t="n">
        <x:f>IF(H26="CM-HCG",K26*'01 Controls'!$E$26,0)</x:f>
        <x:v>0</x:v>
      </x:c>
      <x:c r="AF26" s="20" t="n">
        <x:f>IF(H26="CM-HCG",K26*'01 Controls'!$E$27,0)</x:f>
        <x:v>0</x:v>
      </x:c>
    </x:row>
    <x:row r="27">
      <x:c r="C27" s="22" t="str">
        <x:v>C1-I-CUG</x:v>
      </x:c>
      <x:c r="D27" s="22" t="n">
        <x:v>22</x:v>
      </x:c>
      <x:c r="E27" s="22" t="str">
        <x:v>C1</x:v>
      </x:c>
      <x:c r="F27" s="22" t="str">
        <x:v>Grid failure</x:v>
      </x:c>
      <x:c r="G27" s="22" t="n">
        <x:v>1</x:v>
      </x:c>
      <x:c r="H27" s="22" t="str">
        <x:v>I-CUG</x:v>
      </x:c>
      <x:c r="I27" s="22" t="str">
        <x:v>Infrastructure Restoration</x:v>
      </x:c>
      <x:c r="J27" s="22" t="str">
        <x:v>Communications utility group</x:v>
      </x:c>
      <x:c r="K27" s="23" t="n">
        <x:v>6</x:v>
      </x:c>
      <x:c r="L27" s="23" t="n">
        <x:v>250</x:v>
      </x:c>
      <x:c r="M27" s="23" t="n">
        <x:v>0</x:v>
      </x:c>
      <x:c r="N27" s="20" t="n">
        <x:f>K27*L27</x:f>
        <x:v>1500</x:v>
      </x:c>
      <x:c r="O27" s="19" t="n">
        <x:v>12000</x:v>
      </x:c>
      <x:c r="P27" s="17" t="n">
        <x:v>0.4</x:v>
      </x:c>
      <x:c r="Q27" s="20" t="n">
        <x:f>K27*O27*P27</x:f>
        <x:v>28800</x:v>
      </x:c>
      <x:c r="R27" s="20" t="n">
        <x:f>Q27*(1-'01 Controls'!$E$6)</x:f>
        <x:v>21600</x:v>
      </x:c>
      <x:c r="S27" s="19" t="n">
        <x:v>110</x:v>
      </x:c>
      <x:c r="T27" s="20" t="n">
        <x:f>K27*S27</x:f>
        <x:v>660</x:v>
      </x:c>
      <x:c r="U27" s="18" t="n">
        <x:f>'01 Controls'!E32</x:f>
        <x:v>0.05</x:v>
      </x:c>
      <x:c r="V27" s="20" t="n">
        <x:f>R27*U27</x:f>
        <x:v>1080</x:v>
      </x:c>
      <x:c r="W27" s="18" t="n">
        <x:f>'01 Controls'!F32</x:f>
        <x:v>0</x:v>
      </x:c>
      <x:c r="X27" s="20" t="n">
        <x:f>R27*W27</x:f>
        <x:v>0</x:v>
      </x:c>
      <x:c r="Y27" s="18" t="n">
        <x:f>'01 Controls'!G32</x:f>
        <x:v>0.9</x:v>
      </x:c>
      <x:c r="Z27" s="20" t="n">
        <x:f>R27*Y27</x:f>
        <x:v>19440</x:v>
      </x:c>
      <x:c r="AA27" s="18" t="n">
        <x:f>'01 Controls'!H32</x:f>
        <x:v>0.05</x:v>
      </x:c>
      <x:c r="AB27" s="20" t="n">
        <x:f>R27*AA27</x:f>
        <x:v>1080</x:v>
      </x:c>
      <x:c r="AC27" s="20" t="n">
        <x:f>IF(H27="CM-HCG",K27*'01 Controls'!$E$24,0)</x:f>
        <x:v>0</x:v>
      </x:c>
      <x:c r="AD27" s="20" t="n">
        <x:f>IF(H27="CM-HCG",K27*'01 Controls'!$E$25,0)</x:f>
        <x:v>0</x:v>
      </x:c>
      <x:c r="AE27" s="20" t="n">
        <x:f>IF(H27="CM-HCG",K27*'01 Controls'!$E$26,0)</x:f>
        <x:v>0</x:v>
      </x:c>
      <x:c r="AF27" s="20" t="n">
        <x:f>IF(H27="CM-HCG",K27*'01 Controls'!$E$27,0)</x:f>
        <x:v>0</x:v>
      </x:c>
    </x:row>
    <x:row r="28">
      <x:c r="C28" s="22" t="str">
        <x:v>C1-I-TSG</x:v>
      </x:c>
      <x:c r="D28" s="22" t="n">
        <x:v>23</x:v>
      </x:c>
      <x:c r="E28" s="22" t="str">
        <x:v>C1</x:v>
      </x:c>
      <x:c r="F28" s="22" t="str">
        <x:v>Grid failure</x:v>
      </x:c>
      <x:c r="G28" s="22" t="n">
        <x:v>1</x:v>
      </x:c>
      <x:c r="H28" s="22" t="str">
        <x:v>I-TSG</x:v>
      </x:c>
      <x:c r="I28" s="22" t="str">
        <x:v>Infrastructure Restoration</x:v>
      </x:c>
      <x:c r="J28" s="22" t="str">
        <x:v>Thermal safety group</x:v>
      </x:c>
      <x:c r="K28" s="23" t="n">
        <x:v>12</x:v>
      </x:c>
      <x:c r="L28" s="23" t="n">
        <x:v>250</x:v>
      </x:c>
      <x:c r="M28" s="23" t="n">
        <x:v>0</x:v>
      </x:c>
      <x:c r="N28" s="20" t="n">
        <x:f>K28*L28</x:f>
        <x:v>3000</x:v>
      </x:c>
      <x:c r="O28" s="19" t="n">
        <x:v>12000</x:v>
      </x:c>
      <x:c r="P28" s="17" t="n">
        <x:v>0.4</x:v>
      </x:c>
      <x:c r="Q28" s="20" t="n">
        <x:f>K28*O28*P28</x:f>
        <x:v>57600</x:v>
      </x:c>
      <x:c r="R28" s="20" t="n">
        <x:f>Q28*(1-'01 Controls'!$E$6)</x:f>
        <x:v>43200</x:v>
      </x:c>
      <x:c r="S28" s="19" t="n">
        <x:v>110</x:v>
      </x:c>
      <x:c r="T28" s="20" t="n">
        <x:f>K28*S28</x:f>
        <x:v>1320</x:v>
      </x:c>
      <x:c r="U28" s="18" t="n">
        <x:f>'01 Controls'!E32</x:f>
        <x:v>0.05</x:v>
      </x:c>
      <x:c r="V28" s="20" t="n">
        <x:f>R28*U28</x:f>
        <x:v>2160</x:v>
      </x:c>
      <x:c r="W28" s="18" t="n">
        <x:f>'01 Controls'!F32</x:f>
        <x:v>0</x:v>
      </x:c>
      <x:c r="X28" s="20" t="n">
        <x:f>R28*W28</x:f>
        <x:v>0</x:v>
      </x:c>
      <x:c r="Y28" s="18" t="n">
        <x:f>'01 Controls'!G32</x:f>
        <x:v>0.9</x:v>
      </x:c>
      <x:c r="Z28" s="20" t="n">
        <x:f>R28*Y28</x:f>
        <x:v>38880</x:v>
      </x:c>
      <x:c r="AA28" s="18" t="n">
        <x:f>'01 Controls'!H32</x:f>
        <x:v>0.05</x:v>
      </x:c>
      <x:c r="AB28" s="20" t="n">
        <x:f>R28*AA28</x:f>
        <x:v>2160</x:v>
      </x:c>
      <x:c r="AC28" s="20" t="n">
        <x:f>IF(H28="CM-HCG",K28*'01 Controls'!$E$24,0)</x:f>
        <x:v>0</x:v>
      </x:c>
      <x:c r="AD28" s="20" t="n">
        <x:f>IF(H28="CM-HCG",K28*'01 Controls'!$E$25,0)</x:f>
        <x:v>0</x:v>
      </x:c>
      <x:c r="AE28" s="20" t="n">
        <x:f>IF(H28="CM-HCG",K28*'01 Controls'!$E$26,0)</x:f>
        <x:v>0</x:v>
      </x:c>
      <x:c r="AF28" s="20" t="n">
        <x:f>IF(H28="CM-HCG",K28*'01 Controls'!$E$27,0)</x:f>
        <x:v>0</x:v>
      </x:c>
    </x:row>
    <x:row r="29">
      <x:c r="C29" s="22" t="str">
        <x:v>C1-I-URG</x:v>
      </x:c>
      <x:c r="D29" s="22" t="n">
        <x:v>24</x:v>
      </x:c>
      <x:c r="E29" s="22" t="str">
        <x:v>C1</x:v>
      </x:c>
      <x:c r="F29" s="22" t="str">
        <x:v>Grid failure</x:v>
      </x:c>
      <x:c r="G29" s="22" t="n">
        <x:v>1</x:v>
      </x:c>
      <x:c r="H29" s="22" t="str">
        <x:v>I-URG</x:v>
      </x:c>
      <x:c r="I29" s="22" t="str">
        <x:v>Infrastructure Restoration</x:v>
      </x:c>
      <x:c r="J29" s="22" t="str">
        <x:v>Utility reconstruction group</x:v>
      </x:c>
      <x:c r="K29" s="23" t="n">
        <x:v>8</x:v>
      </x:c>
      <x:c r="L29" s="23" t="n">
        <x:v>450</x:v>
      </x:c>
      <x:c r="M29" s="23" t="n">
        <x:v>0</x:v>
      </x:c>
      <x:c r="N29" s="20" t="n">
        <x:f>K29*L29</x:f>
        <x:v>3600</x:v>
      </x:c>
      <x:c r="O29" s="19" t="n">
        <x:v>12000</x:v>
      </x:c>
      <x:c r="P29" s="17" t="n">
        <x:v>0.4</x:v>
      </x:c>
      <x:c r="Q29" s="20" t="n">
        <x:f>K29*O29*P29</x:f>
        <x:v>38400</x:v>
      </x:c>
      <x:c r="R29" s="20" t="n">
        <x:f>Q29*(1-'01 Controls'!$E$6)</x:f>
        <x:v>28800</x:v>
      </x:c>
      <x:c r="S29" s="19" t="n">
        <x:v>110</x:v>
      </x:c>
      <x:c r="T29" s="20" t="n">
        <x:f>K29*S29</x:f>
        <x:v>880</x:v>
      </x:c>
      <x:c r="U29" s="18" t="n">
        <x:f>'01 Controls'!E32</x:f>
        <x:v>0.05</x:v>
      </x:c>
      <x:c r="V29" s="20" t="n">
        <x:f>R29*U29</x:f>
        <x:v>1440</x:v>
      </x:c>
      <x:c r="W29" s="18" t="n">
        <x:f>'01 Controls'!F32</x:f>
        <x:v>0</x:v>
      </x:c>
      <x:c r="X29" s="20" t="n">
        <x:f>R29*W29</x:f>
        <x:v>0</x:v>
      </x:c>
      <x:c r="Y29" s="18" t="n">
        <x:f>'01 Controls'!G32</x:f>
        <x:v>0.9</x:v>
      </x:c>
      <x:c r="Z29" s="20" t="n">
        <x:f>R29*Y29</x:f>
        <x:v>25920</x:v>
      </x:c>
      <x:c r="AA29" s="18" t="n">
        <x:f>'01 Controls'!H32</x:f>
        <x:v>0.05</x:v>
      </x:c>
      <x:c r="AB29" s="20" t="n">
        <x:f>R29*AA29</x:f>
        <x:v>1440</x:v>
      </x:c>
      <x:c r="AC29" s="20" t="n">
        <x:f>IF(H29="CM-HCG",K29*'01 Controls'!$E$24,0)</x:f>
        <x:v>0</x:v>
      </x:c>
      <x:c r="AD29" s="20" t="n">
        <x:f>IF(H29="CM-HCG",K29*'01 Controls'!$E$25,0)</x:f>
        <x:v>0</x:v>
      </x:c>
      <x:c r="AE29" s="20" t="n">
        <x:f>IF(H29="CM-HCG",K29*'01 Controls'!$E$26,0)</x:f>
        <x:v>0</x:v>
      </x:c>
      <x:c r="AF29" s="20" t="n">
        <x:f>IF(H29="CM-HCG",K29*'01 Controls'!$E$27,0)</x:f>
        <x:v>0</x:v>
      </x:c>
    </x:row>
    <x:row r="30">
      <x:c r="C30" s="22" t="str">
        <x:v>C1-H-CHC</x:v>
      </x:c>
      <x:c r="D30" s="22" t="n">
        <x:v>25</x:v>
      </x:c>
      <x:c r="E30" s="22" t="str">
        <x:v>C1</x:v>
      </x:c>
      <x:c r="F30" s="22" t="str">
        <x:v>Grid failure</x:v>
      </x:c>
      <x:c r="G30" s="22" t="n">
        <x:v>1</x:v>
      </x:c>
      <x:c r="H30" s="22" t="str">
        <x:v>H-CHC</x:v>
      </x:c>
      <x:c r="I30" s="22" t="str">
        <x:v>Health Protection</x:v>
      </x:c>
      <x:c r="J30" s="22" t="str">
        <x:v>Community health continuity group</x:v>
      </x:c>
      <x:c r="K30" s="23" t="n">
        <x:v>8</x:v>
      </x:c>
      <x:c r="L30" s="23" t="n">
        <x:v>500</x:v>
      </x:c>
      <x:c r="M30" s="23" t="n">
        <x:v>0</x:v>
      </x:c>
      <x:c r="N30" s="20" t="n">
        <x:f>K30*L30</x:f>
        <x:v>4000</x:v>
      </x:c>
      <x:c r="O30" s="19" t="n">
        <x:v>5000</x:v>
      </x:c>
      <x:c r="P30" s="17" t="n">
        <x:v>0.7</x:v>
      </x:c>
      <x:c r="Q30" s="20" t="n">
        <x:f>K30*O30*P30</x:f>
        <x:v>28000</x:v>
      </x:c>
      <x:c r="R30" s="20" t="n">
        <x:f>Q30*(1-'01 Controls'!$E$6)</x:f>
        <x:v>21000</x:v>
      </x:c>
      <x:c r="S30" s="19" t="n">
        <x:v>55</x:v>
      </x:c>
      <x:c r="T30" s="20" t="n">
        <x:f>K30*S30</x:f>
        <x:v>440</x:v>
      </x:c>
      <x:c r="U30" s="18" t="n">
        <x:f>'01 Controls'!E32</x:f>
        <x:v>0.05</x:v>
      </x:c>
      <x:c r="V30" s="20" t="n">
        <x:f>R30*U30</x:f>
        <x:v>1050</x:v>
      </x:c>
      <x:c r="W30" s="18" t="n">
        <x:f>'01 Controls'!F32</x:f>
        <x:v>0</x:v>
      </x:c>
      <x:c r="X30" s="20" t="n">
        <x:f>R30*W30</x:f>
        <x:v>0</x:v>
      </x:c>
      <x:c r="Y30" s="18" t="n">
        <x:f>'01 Controls'!G32</x:f>
        <x:v>0.9</x:v>
      </x:c>
      <x:c r="Z30" s="20" t="n">
        <x:f>R30*Y30</x:f>
        <x:v>18900</x:v>
      </x:c>
      <x:c r="AA30" s="18" t="n">
        <x:f>'01 Controls'!H32</x:f>
        <x:v>0.05</x:v>
      </x:c>
      <x:c r="AB30" s="20" t="n">
        <x:f>R30*AA30</x:f>
        <x:v>1050</x:v>
      </x:c>
      <x:c r="AC30" s="20" t="n">
        <x:f>IF(H30="CM-HCG",K30*'01 Controls'!$E$24,0)</x:f>
        <x:v>0</x:v>
      </x:c>
      <x:c r="AD30" s="20" t="n">
        <x:f>IF(H30="CM-HCG",K30*'01 Controls'!$E$25,0)</x:f>
        <x:v>0</x:v>
      </x:c>
      <x:c r="AE30" s="20" t="n">
        <x:f>IF(H30="CM-HCG",K30*'01 Controls'!$E$26,0)</x:f>
        <x:v>0</x:v>
      </x:c>
      <x:c r="AF30" s="20" t="n">
        <x:f>IF(H30="CM-HCG",K30*'01 Controls'!$E$27,0)</x:f>
        <x:v>0</x:v>
      </x:c>
    </x:row>
    <x:row r="31">
      <x:c r="C31" s="22" t="str">
        <x:v>C1-H-MAC</x:v>
      </x:c>
      <x:c r="D31" s="22" t="n">
        <x:v>26</x:v>
      </x:c>
      <x:c r="E31" s="22" t="str">
        <x:v>C1</x:v>
      </x:c>
      <x:c r="F31" s="22" t="str">
        <x:v>Grid failure</x:v>
      </x:c>
      <x:c r="G31" s="22" t="n">
        <x:v>1</x:v>
      </x:c>
      <x:c r="H31" s="22" t="str">
        <x:v>H-MAC</x:v>
      </x:c>
      <x:c r="I31" s="22" t="str">
        <x:v>Health Protection</x:v>
      </x:c>
      <x:c r="J31" s="22" t="str">
        <x:v>Mobile acute-care group</x:v>
      </x:c>
      <x:c r="K31" s="23" t="n">
        <x:v>4</x:v>
      </x:c>
      <x:c r="L31" s="23" t="n">
        <x:v>600</x:v>
      </x:c>
      <x:c r="M31" s="23" t="n">
        <x:v>0</x:v>
      </x:c>
      <x:c r="N31" s="20" t="n">
        <x:f>K31*L31</x:f>
        <x:v>2400</x:v>
      </x:c>
      <x:c r="O31" s="19" t="n">
        <x:v>5000</x:v>
      </x:c>
      <x:c r="P31" s="17" t="n">
        <x:v>0.7</x:v>
      </x:c>
      <x:c r="Q31" s="20" t="n">
        <x:f>K31*O31*P31</x:f>
        <x:v>14000</x:v>
      </x:c>
      <x:c r="R31" s="20" t="n">
        <x:f>Q31*(1-'01 Controls'!$E$6)</x:f>
        <x:v>10500</x:v>
      </x:c>
      <x:c r="S31" s="19" t="n">
        <x:v>55</x:v>
      </x:c>
      <x:c r="T31" s="20" t="n">
        <x:f>K31*S31</x:f>
        <x:v>220</x:v>
      </x:c>
      <x:c r="U31" s="18" t="n">
        <x:f>'01 Controls'!E32</x:f>
        <x:v>0.05</x:v>
      </x:c>
      <x:c r="V31" s="20" t="n">
        <x:f>R31*U31</x:f>
        <x:v>525</x:v>
      </x:c>
      <x:c r="W31" s="18" t="n">
        <x:f>'01 Controls'!F32</x:f>
        <x:v>0</x:v>
      </x:c>
      <x:c r="X31" s="20" t="n">
        <x:f>R31*W31</x:f>
        <x:v>0</x:v>
      </x:c>
      <x:c r="Y31" s="18" t="n">
        <x:f>'01 Controls'!G32</x:f>
        <x:v>0.9</x:v>
      </x:c>
      <x:c r="Z31" s="20" t="n">
        <x:f>R31*Y31</x:f>
        <x:v>9450</x:v>
      </x:c>
      <x:c r="AA31" s="18" t="n">
        <x:f>'01 Controls'!H32</x:f>
        <x:v>0.05</x:v>
      </x:c>
      <x:c r="AB31" s="20" t="n">
        <x:f>R31*AA31</x:f>
        <x:v>525</x:v>
      </x:c>
      <x:c r="AC31" s="20" t="n">
        <x:f>IF(H31="CM-HCG",K31*'01 Controls'!$E$24,0)</x:f>
        <x:v>0</x:v>
      </x:c>
      <x:c r="AD31" s="20" t="n">
        <x:f>IF(H31="CM-HCG",K31*'01 Controls'!$E$25,0)</x:f>
        <x:v>0</x:v>
      </x:c>
      <x:c r="AE31" s="20" t="n">
        <x:f>IF(H31="CM-HCG",K31*'01 Controls'!$E$26,0)</x:f>
        <x:v>0</x:v>
      </x:c>
      <x:c r="AF31" s="20" t="n">
        <x:f>IF(H31="CM-HCG",K31*'01 Controls'!$E$27,0)</x:f>
        <x:v>0</x:v>
      </x:c>
    </x:row>
    <x:row r="32">
      <x:c r="C32" s="22" t="str">
        <x:v>C1-H-PHC</x:v>
      </x:c>
      <x:c r="D32" s="22" t="n">
        <x:v>27</x:v>
      </x:c>
      <x:c r="E32" s="22" t="str">
        <x:v>C1</x:v>
      </x:c>
      <x:c r="F32" s="22" t="str">
        <x:v>Grid failure</x:v>
      </x:c>
      <x:c r="G32" s="22" t="n">
        <x:v>1</x:v>
      </x:c>
      <x:c r="H32" s="22" t="str">
        <x:v>H-PHC</x:v>
      </x:c>
      <x:c r="I32" s="22" t="str">
        <x:v>Health Protection</x:v>
      </x:c>
      <x:c r="J32" s="22" t="str">
        <x:v>Public-health control group</x:v>
      </x:c>
      <x:c r="K32" s="23" t="n">
        <x:v>4</x:v>
      </x:c>
      <x:c r="L32" s="23" t="n">
        <x:v>250</x:v>
      </x:c>
      <x:c r="M32" s="23" t="n">
        <x:v>0</x:v>
      </x:c>
      <x:c r="N32" s="20" t="n">
        <x:f>K32*L32</x:f>
        <x:v>1000</x:v>
      </x:c>
      <x:c r="O32" s="19" t="n">
        <x:v>5000</x:v>
      </x:c>
      <x:c r="P32" s="17" t="n">
        <x:v>0.7</x:v>
      </x:c>
      <x:c r="Q32" s="20" t="n">
        <x:f>K32*O32*P32</x:f>
        <x:v>14000</x:v>
      </x:c>
      <x:c r="R32" s="20" t="n">
        <x:f>Q32*(1-'01 Controls'!$E$6)</x:f>
        <x:v>10500</x:v>
      </x:c>
      <x:c r="S32" s="19" t="n">
        <x:v>55</x:v>
      </x:c>
      <x:c r="T32" s="20" t="n">
        <x:f>K32*S32</x:f>
        <x:v>220</x:v>
      </x:c>
      <x:c r="U32" s="18" t="n">
        <x:f>'01 Controls'!E32</x:f>
        <x:v>0.05</x:v>
      </x:c>
      <x:c r="V32" s="20" t="n">
        <x:f>R32*U32</x:f>
        <x:v>525</x:v>
      </x:c>
      <x:c r="W32" s="18" t="n">
        <x:f>'01 Controls'!F32</x:f>
        <x:v>0</x:v>
      </x:c>
      <x:c r="X32" s="20" t="n">
        <x:f>R32*W32</x:f>
        <x:v>0</x:v>
      </x:c>
      <x:c r="Y32" s="18" t="n">
        <x:f>'01 Controls'!G32</x:f>
        <x:v>0.9</x:v>
      </x:c>
      <x:c r="Z32" s="20" t="n">
        <x:f>R32*Y32</x:f>
        <x:v>9450</x:v>
      </x:c>
      <x:c r="AA32" s="18" t="n">
        <x:f>'01 Controls'!H32</x:f>
        <x:v>0.05</x:v>
      </x:c>
      <x:c r="AB32" s="20" t="n">
        <x:f>R32*AA32</x:f>
        <x:v>525</x:v>
      </x:c>
      <x:c r="AC32" s="20" t="n">
        <x:f>IF(H32="CM-HCG",K32*'01 Controls'!$E$24,0)</x:f>
        <x:v>0</x:v>
      </x:c>
      <x:c r="AD32" s="20" t="n">
        <x:f>IF(H32="CM-HCG",K32*'01 Controls'!$E$25,0)</x:f>
        <x:v>0</x:v>
      </x:c>
      <x:c r="AE32" s="20" t="n">
        <x:f>IF(H32="CM-HCG",K32*'01 Controls'!$E$26,0)</x:f>
        <x:v>0</x:v>
      </x:c>
      <x:c r="AF32" s="20" t="n">
        <x:f>IF(H32="CM-HCG",K32*'01 Controls'!$E$27,0)</x:f>
        <x:v>0</x:v>
      </x:c>
    </x:row>
    <x:row r="33">
      <x:c r="C33" s="22" t="str">
        <x:v>C1-H-HWR</x:v>
      </x:c>
      <x:c r="D33" s="22" t="n">
        <x:v>28</x:v>
      </x:c>
      <x:c r="E33" s="22" t="str">
        <x:v>C1</x:v>
      </x:c>
      <x:c r="F33" s="22" t="str">
        <x:v>Grid failure</x:v>
      </x:c>
      <x:c r="G33" s="22" t="n">
        <x:v>1</x:v>
      </x:c>
      <x:c r="H33" s="22" t="str">
        <x:v>H-HWR</x:v>
      </x:c>
      <x:c r="I33" s="22" t="str">
        <x:v>Health Protection</x:v>
      </x:c>
      <x:c r="J33" s="22" t="str">
        <x:v>Health workforce replacement group</x:v>
      </x:c>
      <x:c r="K33" s="23" t="n">
        <x:v>8</x:v>
      </x:c>
      <x:c r="L33" s="23" t="n">
        <x:v>550</x:v>
      </x:c>
      <x:c r="M33" s="23" t="n">
        <x:v>0</x:v>
      </x:c>
      <x:c r="N33" s="20" t="n">
        <x:f>K33*L33</x:f>
        <x:v>4400</x:v>
      </x:c>
      <x:c r="O33" s="19" t="n">
        <x:v>5000</x:v>
      </x:c>
      <x:c r="P33" s="17" t="n">
        <x:v>0.7</x:v>
      </x:c>
      <x:c r="Q33" s="20" t="n">
        <x:f>K33*O33*P33</x:f>
        <x:v>28000</x:v>
      </x:c>
      <x:c r="R33" s="20" t="n">
        <x:f>Q33*(1-'01 Controls'!$E$6)</x:f>
        <x:v>21000</x:v>
      </x:c>
      <x:c r="S33" s="19" t="n">
        <x:v>55</x:v>
      </x:c>
      <x:c r="T33" s="20" t="n">
        <x:f>K33*S33</x:f>
        <x:v>440</x:v>
      </x:c>
      <x:c r="U33" s="18" t="n">
        <x:f>'01 Controls'!E32</x:f>
        <x:v>0.05</x:v>
      </x:c>
      <x:c r="V33" s="20" t="n">
        <x:f>R33*U33</x:f>
        <x:v>1050</x:v>
      </x:c>
      <x:c r="W33" s="18" t="n">
        <x:f>'01 Controls'!F32</x:f>
        <x:v>0</x:v>
      </x:c>
      <x:c r="X33" s="20" t="n">
        <x:f>R33*W33</x:f>
        <x:v>0</x:v>
      </x:c>
      <x:c r="Y33" s="18" t="n">
        <x:f>'01 Controls'!G32</x:f>
        <x:v>0.9</x:v>
      </x:c>
      <x:c r="Z33" s="20" t="n">
        <x:f>R33*Y33</x:f>
        <x:v>18900</x:v>
      </x:c>
      <x:c r="AA33" s="18" t="n">
        <x:f>'01 Controls'!H32</x:f>
        <x:v>0.05</x:v>
      </x:c>
      <x:c r="AB33" s="20" t="n">
        <x:f>R33*AA33</x:f>
        <x:v>1050</x:v>
      </x:c>
      <x:c r="AC33" s="20" t="n">
        <x:f>IF(H33="CM-HCG",K33*'01 Controls'!$E$24,0)</x:f>
        <x:v>0</x:v>
      </x:c>
      <x:c r="AD33" s="20" t="n">
        <x:f>IF(H33="CM-HCG",K33*'01 Controls'!$E$25,0)</x:f>
        <x:v>0</x:v>
      </x:c>
      <x:c r="AE33" s="20" t="n">
        <x:f>IF(H33="CM-HCG",K33*'01 Controls'!$E$26,0)</x:f>
        <x:v>0</x:v>
      </x:c>
      <x:c r="AF33" s="20" t="n">
        <x:f>IF(H33="CM-HCG",K33*'01 Controls'!$E$27,0)</x:f>
        <x:v>0</x:v>
      </x:c>
    </x:row>
    <x:row r="34">
      <x:c r="C34" s="22" t="str">
        <x:v>C1-C-PSG</x:v>
      </x:c>
      <x:c r="D34" s="22" t="n">
        <x:v>29</x:v>
      </x:c>
      <x:c r="E34" s="22" t="str">
        <x:v>C1</x:v>
      </x:c>
      <x:c r="F34" s="22" t="str">
        <x:v>Grid failure</x:v>
      </x:c>
      <x:c r="G34" s="22" t="n">
        <x:v>1</x:v>
      </x:c>
      <x:c r="H34" s="22" t="str">
        <x:v>C-PSG</x:v>
      </x:c>
      <x:c r="I34" s="22" t="str">
        <x:v>Community Stabilization</x:v>
      </x:c>
      <x:c r="J34" s="22" t="str">
        <x:v>Population support group</x:v>
      </x:c>
      <x:c r="K34" s="23" t="n">
        <x:v>10</x:v>
      </x:c>
      <x:c r="L34" s="23" t="n">
        <x:v>450</x:v>
      </x:c>
      <x:c r="M34" s="23" t="n">
        <x:v>0</x:v>
      </x:c>
      <x:c r="N34" s="20" t="n">
        <x:f>K34*L34</x:f>
        <x:v>4500</x:v>
      </x:c>
      <x:c r="O34" s="19" t="n">
        <x:v>4500</x:v>
      </x:c>
      <x:c r="P34" s="17" t="n">
        <x:v>0.65</x:v>
      </x:c>
      <x:c r="Q34" s="20" t="n">
        <x:f>K34*O34*P34</x:f>
        <x:v>29250</x:v>
      </x:c>
      <x:c r="R34" s="20" t="n">
        <x:f>Q34*(1-'01 Controls'!$E$6)</x:f>
        <x:v>21937.5</x:v>
      </x:c>
      <x:c r="S34" s="19" t="n">
        <x:v>75</x:v>
      </x:c>
      <x:c r="T34" s="20" t="n">
        <x:f>K34*S34</x:f>
        <x:v>750</x:v>
      </x:c>
      <x:c r="U34" s="18" t="n">
        <x:f>'01 Controls'!E32</x:f>
        <x:v>0.05</x:v>
      </x:c>
      <x:c r="V34" s="20" t="n">
        <x:f>R34*U34</x:f>
        <x:v>1096.875</x:v>
      </x:c>
      <x:c r="W34" s="18" t="n">
        <x:f>'01 Controls'!F32</x:f>
        <x:v>0</x:v>
      </x:c>
      <x:c r="X34" s="20" t="n">
        <x:f>R34*W34</x:f>
        <x:v>0</x:v>
      </x:c>
      <x:c r="Y34" s="18" t="n">
        <x:f>'01 Controls'!G32</x:f>
        <x:v>0.9</x:v>
      </x:c>
      <x:c r="Z34" s="20" t="n">
        <x:f>R34*Y34</x:f>
        <x:v>19743.75</x:v>
      </x:c>
      <x:c r="AA34" s="18" t="n">
        <x:f>'01 Controls'!H32</x:f>
        <x:v>0.05</x:v>
      </x:c>
      <x:c r="AB34" s="20" t="n">
        <x:f>R34*AA34</x:f>
        <x:v>1096.875</x:v>
      </x:c>
      <x:c r="AC34" s="20" t="n">
        <x:f>IF(H34="CM-HCG",K34*'01 Controls'!$E$24,0)</x:f>
        <x:v>0</x:v>
      </x:c>
      <x:c r="AD34" s="20" t="n">
        <x:f>IF(H34="CM-HCG",K34*'01 Controls'!$E$25,0)</x:f>
        <x:v>0</x:v>
      </x:c>
      <x:c r="AE34" s="20" t="n">
        <x:f>IF(H34="CM-HCG",K34*'01 Controls'!$E$26,0)</x:f>
        <x:v>0</x:v>
      </x:c>
      <x:c r="AF34" s="20" t="n">
        <x:f>IF(H34="CM-HCG",K34*'01 Controls'!$E$27,0)</x:f>
        <x:v>0</x:v>
      </x:c>
    </x:row>
    <x:row r="35">
      <x:c r="C35" s="22" t="str">
        <x:v>C1-C-EGG</x:v>
      </x:c>
      <x:c r="D35" s="22" t="n">
        <x:v>30</x:v>
      </x:c>
      <x:c r="E35" s="22" t="str">
        <x:v>C1</x:v>
      </x:c>
      <x:c r="F35" s="22" t="str">
        <x:v>Grid failure</x:v>
      </x:c>
      <x:c r="G35" s="22" t="n">
        <x:v>1</x:v>
      </x:c>
      <x:c r="H35" s="22" t="str">
        <x:v>C-EGG</x:v>
      </x:c>
      <x:c r="I35" s="22" t="str">
        <x:v>Community Stabilization</x:v>
      </x:c>
      <x:c r="J35" s="22" t="str">
        <x:v>Essential-goods group</x:v>
      </x:c>
      <x:c r="K35" s="23" t="n">
        <x:v>10</x:v>
      </x:c>
      <x:c r="L35" s="23" t="n">
        <x:v>350</x:v>
      </x:c>
      <x:c r="M35" s="23" t="n">
        <x:v>0</x:v>
      </x:c>
      <x:c r="N35" s="20" t="n">
        <x:f>K35*L35</x:f>
        <x:v>3500</x:v>
      </x:c>
      <x:c r="O35" s="19" t="n">
        <x:v>4500</x:v>
      </x:c>
      <x:c r="P35" s="17" t="n">
        <x:v>0.65</x:v>
      </x:c>
      <x:c r="Q35" s="20" t="n">
        <x:f>K35*O35*P35</x:f>
        <x:v>29250</x:v>
      </x:c>
      <x:c r="R35" s="20" t="n">
        <x:f>Q35*(1-'01 Controls'!$E$6)</x:f>
        <x:v>21937.5</x:v>
      </x:c>
      <x:c r="S35" s="19" t="n">
        <x:v>75</x:v>
      </x:c>
      <x:c r="T35" s="20" t="n">
        <x:f>K35*S35</x:f>
        <x:v>750</x:v>
      </x:c>
      <x:c r="U35" s="18" t="n">
        <x:f>'01 Controls'!E32</x:f>
        <x:v>0.05</x:v>
      </x:c>
      <x:c r="V35" s="20" t="n">
        <x:f>R35*U35</x:f>
        <x:v>1096.875</x:v>
      </x:c>
      <x:c r="W35" s="18" t="n">
        <x:f>'01 Controls'!F32</x:f>
        <x:v>0</x:v>
      </x:c>
      <x:c r="X35" s="20" t="n">
        <x:f>R35*W35</x:f>
        <x:v>0</x:v>
      </x:c>
      <x:c r="Y35" s="18" t="n">
        <x:f>'01 Controls'!G32</x:f>
        <x:v>0.9</x:v>
      </x:c>
      <x:c r="Z35" s="20" t="n">
        <x:f>R35*Y35</x:f>
        <x:v>19743.75</x:v>
      </x:c>
      <x:c r="AA35" s="18" t="n">
        <x:f>'01 Controls'!H32</x:f>
        <x:v>0.05</x:v>
      </x:c>
      <x:c r="AB35" s="20" t="n">
        <x:f>R35*AA35</x:f>
        <x:v>1096.875</x:v>
      </x:c>
      <x:c r="AC35" s="20" t="n">
        <x:f>IF(H35="CM-HCG",K35*'01 Controls'!$E$24,0)</x:f>
        <x:v>0</x:v>
      </x:c>
      <x:c r="AD35" s="20" t="n">
        <x:f>IF(H35="CM-HCG",K35*'01 Controls'!$E$25,0)</x:f>
        <x:v>0</x:v>
      </x:c>
      <x:c r="AE35" s="20" t="n">
        <x:f>IF(H35="CM-HCG",K35*'01 Controls'!$E$26,0)</x:f>
        <x:v>0</x:v>
      </x:c>
      <x:c r="AF35" s="20" t="n">
        <x:f>IF(H35="CM-HCG",K35*'01 Controls'!$E$27,0)</x:f>
        <x:v>0</x:v>
      </x:c>
    </x:row>
    <x:row r="36">
      <x:c r="C36" s="22" t="str">
        <x:v>C1-C-CAG</x:v>
      </x:c>
      <x:c r="D36" s="22" t="n">
        <x:v>31</x:v>
      </x:c>
      <x:c r="E36" s="22" t="str">
        <x:v>C1</x:v>
      </x:c>
      <x:c r="F36" s="22" t="str">
        <x:v>Grid failure</x:v>
      </x:c>
      <x:c r="G36" s="22" t="n">
        <x:v>1</x:v>
      </x:c>
      <x:c r="H36" s="22" t="str">
        <x:v>C-CAG</x:v>
      </x:c>
      <x:c r="I36" s="22" t="str">
        <x:v>Community Stabilization</x:v>
      </x:c>
      <x:c r="J36" s="22" t="str">
        <x:v>Civil access group</x:v>
      </x:c>
      <x:c r="K36" s="23" t="n">
        <x:v>8</x:v>
      </x:c>
      <x:c r="L36" s="23" t="n">
        <x:v>180</x:v>
      </x:c>
      <x:c r="M36" s="23" t="n">
        <x:v>0</x:v>
      </x:c>
      <x:c r="N36" s="20" t="n">
        <x:f>K36*L36</x:f>
        <x:v>1440</x:v>
      </x:c>
      <x:c r="O36" s="19" t="n">
        <x:v>4500</x:v>
      </x:c>
      <x:c r="P36" s="17" t="n">
        <x:v>0.65</x:v>
      </x:c>
      <x:c r="Q36" s="20" t="n">
        <x:f>K36*O36*P36</x:f>
        <x:v>23400</x:v>
      </x:c>
      <x:c r="R36" s="20" t="n">
        <x:f>Q36*(1-'01 Controls'!$E$6)</x:f>
        <x:v>17550</x:v>
      </x:c>
      <x:c r="S36" s="19" t="n">
        <x:v>75</x:v>
      </x:c>
      <x:c r="T36" s="20" t="n">
        <x:f>K36*S36</x:f>
        <x:v>600</x:v>
      </x:c>
      <x:c r="U36" s="18" t="n">
        <x:f>'01 Controls'!E32</x:f>
        <x:v>0.05</x:v>
      </x:c>
      <x:c r="V36" s="20" t="n">
        <x:f>R36*U36</x:f>
        <x:v>877.5</x:v>
      </x:c>
      <x:c r="W36" s="18" t="n">
        <x:f>'01 Controls'!F32</x:f>
        <x:v>0</x:v>
      </x:c>
      <x:c r="X36" s="20" t="n">
        <x:f>R36*W36</x:f>
        <x:v>0</x:v>
      </x:c>
      <x:c r="Y36" s="18" t="n">
        <x:f>'01 Controls'!G32</x:f>
        <x:v>0.9</x:v>
      </x:c>
      <x:c r="Z36" s="20" t="n">
        <x:f>R36*Y36</x:f>
        <x:v>15795</x:v>
      </x:c>
      <x:c r="AA36" s="18" t="n">
        <x:f>'01 Controls'!H32</x:f>
        <x:v>0.05</x:v>
      </x:c>
      <x:c r="AB36" s="20" t="n">
        <x:f>R36*AA36</x:f>
        <x:v>877.5</x:v>
      </x:c>
      <x:c r="AC36" s="20" t="n">
        <x:f>IF(H36="CM-HCG",K36*'01 Controls'!$E$24,0)</x:f>
        <x:v>0</x:v>
      </x:c>
      <x:c r="AD36" s="20" t="n">
        <x:f>IF(H36="CM-HCG",K36*'01 Controls'!$E$25,0)</x:f>
        <x:v>0</x:v>
      </x:c>
      <x:c r="AE36" s="20" t="n">
        <x:f>IF(H36="CM-HCG",K36*'01 Controls'!$E$26,0)</x:f>
        <x:v>0</x:v>
      </x:c>
      <x:c r="AF36" s="20" t="n">
        <x:f>IF(H36="CM-HCG",K36*'01 Controls'!$E$27,0)</x:f>
        <x:v>0</x:v>
      </x:c>
    </x:row>
    <x:row r="37">
      <x:c r="C37" s="22" t="str">
        <x:v>C1-C-DTG</x:v>
      </x:c>
      <x:c r="D37" s="22" t="n">
        <x:v>32</x:v>
      </x:c>
      <x:c r="E37" s="22" t="str">
        <x:v>C1</x:v>
      </x:c>
      <x:c r="F37" s="22" t="str">
        <x:v>Grid failure</x:v>
      </x:c>
      <x:c r="G37" s="22" t="n">
        <x:v>1</x:v>
      </x:c>
      <x:c r="H37" s="22" t="str">
        <x:v>C-DTG</x:v>
      </x:c>
      <x:c r="I37" s="22" t="str">
        <x:v>Community Stabilization</x:v>
      </x:c>
      <x:c r="J37" s="22" t="str">
        <x:v>Displacement transition group</x:v>
      </x:c>
      <x:c r="K37" s="23" t="n">
        <x:v>6</x:v>
      </x:c>
      <x:c r="L37" s="23" t="n">
        <x:v>300</x:v>
      </x:c>
      <x:c r="M37" s="23" t="n">
        <x:v>0</x:v>
      </x:c>
      <x:c r="N37" s="20" t="n">
        <x:f>K37*L37</x:f>
        <x:v>1800</x:v>
      </x:c>
      <x:c r="O37" s="19" t="n">
        <x:v>4500</x:v>
      </x:c>
      <x:c r="P37" s="17" t="n">
        <x:v>0.65</x:v>
      </x:c>
      <x:c r="Q37" s="20" t="n">
        <x:f>K37*O37*P37</x:f>
        <x:v>17550</x:v>
      </x:c>
      <x:c r="R37" s="20" t="n">
        <x:f>Q37*(1-'01 Controls'!$E$6)</x:f>
        <x:v>13162.5</x:v>
      </x:c>
      <x:c r="S37" s="19" t="n">
        <x:v>75</x:v>
      </x:c>
      <x:c r="T37" s="20" t="n">
        <x:f>K37*S37</x:f>
        <x:v>450</x:v>
      </x:c>
      <x:c r="U37" s="18" t="n">
        <x:f>'01 Controls'!E32</x:f>
        <x:v>0.05</x:v>
      </x:c>
      <x:c r="V37" s="20" t="n">
        <x:f>R37*U37</x:f>
        <x:v>658.125</x:v>
      </x:c>
      <x:c r="W37" s="18" t="n">
        <x:f>'01 Controls'!F32</x:f>
        <x:v>0</x:v>
      </x:c>
      <x:c r="X37" s="20" t="n">
        <x:f>R37*W37</x:f>
        <x:v>0</x:v>
      </x:c>
      <x:c r="Y37" s="18" t="n">
        <x:f>'01 Controls'!G32</x:f>
        <x:v>0.9</x:v>
      </x:c>
      <x:c r="Z37" s="20" t="n">
        <x:f>R37*Y37</x:f>
        <x:v>11846.25</x:v>
      </x:c>
      <x:c r="AA37" s="18" t="n">
        <x:f>'01 Controls'!H32</x:f>
        <x:v>0.05</x:v>
      </x:c>
      <x:c r="AB37" s="20" t="n">
        <x:f>R37*AA37</x:f>
        <x:v>658.125</x:v>
      </x:c>
      <x:c r="AC37" s="20" t="n">
        <x:f>IF(H37="CM-HCG",K37*'01 Controls'!$E$24,0)</x:f>
        <x:v>0</x:v>
      </x:c>
      <x:c r="AD37" s="20" t="n">
        <x:f>IF(H37="CM-HCG",K37*'01 Controls'!$E$25,0)</x:f>
        <x:v>0</x:v>
      </x:c>
      <x:c r="AE37" s="20" t="n">
        <x:f>IF(H37="CM-HCG",K37*'01 Controls'!$E$26,0)</x:f>
        <x:v>0</x:v>
      </x:c>
      <x:c r="AF37" s="20" t="n">
        <x:f>IF(H37="CM-HCG",K37*'01 Controls'!$E$27,0)</x:f>
        <x:v>0</x:v>
      </x:c>
    </x:row>
    <x:row r="38">
      <x:c r="C38" s="22" t="str">
        <x:v>C1-C-CIG</x:v>
      </x:c>
      <x:c r="D38" s="22" t="n">
        <x:v>33</x:v>
      </x:c>
      <x:c r="E38" s="22" t="str">
        <x:v>C1</x:v>
      </x:c>
      <x:c r="F38" s="22" t="str">
        <x:v>Grid failure</x:v>
      </x:c>
      <x:c r="G38" s="22" t="n">
        <x:v>1</x:v>
      </x:c>
      <x:c r="H38" s="22" t="str">
        <x:v>C-CIG</x:v>
      </x:c>
      <x:c r="I38" s="22" t="str">
        <x:v>Community Stabilization</x:v>
      </x:c>
      <x:c r="J38" s="22" t="str">
        <x:v>Community institutions group</x:v>
      </x:c>
      <x:c r="K38" s="23" t="n">
        <x:v>6</x:v>
      </x:c>
      <x:c r="L38" s="23" t="n">
        <x:v>250</x:v>
      </x:c>
      <x:c r="M38" s="23" t="n">
        <x:v>0</x:v>
      </x:c>
      <x:c r="N38" s="20" t="n">
        <x:f>K38*L38</x:f>
        <x:v>1500</x:v>
      </x:c>
      <x:c r="O38" s="19" t="n">
        <x:v>4500</x:v>
      </x:c>
      <x:c r="P38" s="17" t="n">
        <x:v>0.65</x:v>
      </x:c>
      <x:c r="Q38" s="20" t="n">
        <x:f>K38*O38*P38</x:f>
        <x:v>17550</x:v>
      </x:c>
      <x:c r="R38" s="20" t="n">
        <x:f>Q38*(1-'01 Controls'!$E$6)</x:f>
        <x:v>13162.5</x:v>
      </x:c>
      <x:c r="S38" s="19" t="n">
        <x:v>75</x:v>
      </x:c>
      <x:c r="T38" s="20" t="n">
        <x:f>K38*S38</x:f>
        <x:v>450</x:v>
      </x:c>
      <x:c r="U38" s="18" t="n">
        <x:f>'01 Controls'!E32</x:f>
        <x:v>0.05</x:v>
      </x:c>
      <x:c r="V38" s="20" t="n">
        <x:f>R38*U38</x:f>
        <x:v>658.125</x:v>
      </x:c>
      <x:c r="W38" s="18" t="n">
        <x:f>'01 Controls'!F32</x:f>
        <x:v>0</x:v>
      </x:c>
      <x:c r="X38" s="20" t="n">
        <x:f>R38*W38</x:f>
        <x:v>0</x:v>
      </x:c>
      <x:c r="Y38" s="18" t="n">
        <x:f>'01 Controls'!G32</x:f>
        <x:v>0.9</x:v>
      </x:c>
      <x:c r="Z38" s="20" t="n">
        <x:f>R38*Y38</x:f>
        <x:v>11846.25</x:v>
      </x:c>
      <x:c r="AA38" s="18" t="n">
        <x:f>'01 Controls'!H32</x:f>
        <x:v>0.05</x:v>
      </x:c>
      <x:c r="AB38" s="20" t="n">
        <x:f>R38*AA38</x:f>
        <x:v>658.125</x:v>
      </x:c>
      <x:c r="AC38" s="20" t="n">
        <x:f>IF(H38="CM-HCG",K38*'01 Controls'!$E$24,0)</x:f>
        <x:v>0</x:v>
      </x:c>
      <x:c r="AD38" s="20" t="n">
        <x:f>IF(H38="CM-HCG",K38*'01 Controls'!$E$25,0)</x:f>
        <x:v>0</x:v>
      </x:c>
      <x:c r="AE38" s="20" t="n">
        <x:f>IF(H38="CM-HCG",K38*'01 Controls'!$E$26,0)</x:f>
        <x:v>0</x:v>
      </x:c>
      <x:c r="AF38" s="20" t="n">
        <x:f>IF(H38="CM-HCG",K38*'01 Controls'!$E$27,0)</x:f>
        <x:v>0</x:v>
      </x:c>
    </x:row>
    <x:row r="39">
      <x:c r="C39" s="22" t="str">
        <x:v>C1-J-RIG</x:v>
      </x:c>
      <x:c r="D39" s="22" t="n">
        <x:v>34</x:v>
      </x:c>
      <x:c r="E39" s="22" t="str">
        <x:v>C1</x:v>
      </x:c>
      <x:c r="F39" s="22" t="str">
        <x:v>Grid failure</x:v>
      </x:c>
      <x:c r="G39" s="22" t="n">
        <x:v>1</x:v>
      </x:c>
      <x:c r="H39" s="22" t="str">
        <x:v>J-RIG</x:v>
      </x:c>
      <x:c r="I39" s="22" t="str">
        <x:v>Joint</x:v>
      </x:c>
      <x:c r="J39" s="22" t="str">
        <x:v>Resilience information group</x:v>
      </x:c>
      <x:c r="K39" s="23" t="n">
        <x:v>6</x:v>
      </x:c>
      <x:c r="L39" s="23" t="n">
        <x:v>420</x:v>
      </x:c>
      <x:c r="M39" s="23" t="n">
        <x:v>60</x:v>
      </x:c>
      <x:c r="N39" s="20" t="n">
        <x:f>K39*L39</x:f>
        <x:v>2520</x:v>
      </x:c>
      <x:c r="O39" s="19" t="n">
        <x:v>2800</x:v>
      </x:c>
      <x:c r="P39" s="17" t="n">
        <x:v>0.65</x:v>
      </x:c>
      <x:c r="Q39" s="20" t="n">
        <x:f>K39*O39*P39</x:f>
        <x:v>10920</x:v>
      </x:c>
      <x:c r="R39" s="20" t="n">
        <x:f>Q39*(1-'01 Controls'!$E$6)</x:f>
        <x:v>8190</x:v>
      </x:c>
      <x:c r="S39" s="19" t="n">
        <x:v>35</x:v>
      </x:c>
      <x:c r="T39" s="20" t="n">
        <x:f>K39*S39</x:f>
        <x:v>210</x:v>
      </x:c>
      <x:c r="U39" s="18" t="n">
        <x:f>'01 Controls'!E32</x:f>
        <x:v>0.05</x:v>
      </x:c>
      <x:c r="V39" s="20" t="n">
        <x:f>R39*U39</x:f>
        <x:v>409.5</x:v>
      </x:c>
      <x:c r="W39" s="18" t="n">
        <x:f>'01 Controls'!F32</x:f>
        <x:v>0</x:v>
      </x:c>
      <x:c r="X39" s="20" t="n">
        <x:f>R39*W39</x:f>
        <x:v>0</x:v>
      </x:c>
      <x:c r="Y39" s="18" t="n">
        <x:f>'01 Controls'!G32</x:f>
        <x:v>0.9</x:v>
      </x:c>
      <x:c r="Z39" s="20" t="n">
        <x:f>R39*Y39</x:f>
        <x:v>7371</x:v>
      </x:c>
      <x:c r="AA39" s="18" t="n">
        <x:f>'01 Controls'!H32</x:f>
        <x:v>0.05</x:v>
      </x:c>
      <x:c r="AB39" s="20" t="n">
        <x:f>R39*AA39</x:f>
        <x:v>409.5</x:v>
      </x:c>
      <x:c r="AC39" s="20" t="n">
        <x:f>IF(H39="CM-HCG",K39*'01 Controls'!$E$24,0)</x:f>
        <x:v>0</x:v>
      </x:c>
      <x:c r="AD39" s="20" t="n">
        <x:f>IF(H39="CM-HCG",K39*'01 Controls'!$E$25,0)</x:f>
        <x:v>0</x:v>
      </x:c>
      <x:c r="AE39" s="20" t="n">
        <x:f>IF(H39="CM-HCG",K39*'01 Controls'!$E$26,0)</x:f>
        <x:v>0</x:v>
      </x:c>
      <x:c r="AF39" s="20" t="n">
        <x:f>IF(H39="CM-HCG",K39*'01 Controls'!$E$27,0)</x:f>
        <x:v>0</x:v>
      </x:c>
    </x:row>
    <x:row r="40">
      <x:c r="C40" s="22" t="str">
        <x:v>C1-M-MPG</x:v>
      </x:c>
      <x:c r="D40" s="22" t="n">
        <x:v>35</x:v>
      </x:c>
      <x:c r="E40" s="22" t="str">
        <x:v>C1</x:v>
      </x:c>
      <x:c r="F40" s="22" t="str">
        <x:v>Grid failure</x:v>
      </x:c>
      <x:c r="G40" s="22" t="n">
        <x:v>1</x:v>
      </x:c>
      <x:c r="H40" s="22" t="str">
        <x:v>M-MPG</x:v>
      </x:c>
      <x:c r="I40" s="22" t="str">
        <x:v>Maritime Response</x:v>
      </x:c>
      <x:c r="J40" s="22" t="str">
        <x:v>Maritime production group</x:v>
      </x:c>
      <x:c r="K40" s="23" t="n">
        <x:v>2</x:v>
      </x:c>
      <x:c r="L40" s="23" t="n">
        <x:v>1100</x:v>
      </x:c>
      <x:c r="M40" s="23" t="n">
        <x:v>200</x:v>
      </x:c>
      <x:c r="N40" s="20" t="n">
        <x:f>K40*L40</x:f>
        <x:v>2200</x:v>
      </x:c>
      <x:c r="O40" s="19" t="n">
        <x:v>28000</x:v>
      </x:c>
      <x:c r="P40" s="17" t="n">
        <x:v>0.35</x:v>
      </x:c>
      <x:c r="Q40" s="20" t="n">
        <x:f>K40*O40*P40</x:f>
        <x:v>19600</x:v>
      </x:c>
      <x:c r="R40" s="20" t="n">
        <x:f>Q40*(1-'01 Controls'!$E$6)</x:f>
        <x:v>14700</x:v>
      </x:c>
      <x:c r="S40" s="19" t="n">
        <x:v>50</x:v>
      </x:c>
      <x:c r="T40" s="20" t="n">
        <x:f>K40*S40</x:f>
        <x:v>100</x:v>
      </x:c>
      <x:c r="U40" s="18" t="n">
        <x:f>'01 Controls'!E32</x:f>
        <x:v>0.05</x:v>
      </x:c>
      <x:c r="V40" s="20" t="n">
        <x:f>R40*U40</x:f>
        <x:v>735</x:v>
      </x:c>
      <x:c r="W40" s="18" t="n">
        <x:f>'01 Controls'!F32</x:f>
        <x:v>0</x:v>
      </x:c>
      <x:c r="X40" s="20" t="n">
        <x:f>R40*W40</x:f>
        <x:v>0</x:v>
      </x:c>
      <x:c r="Y40" s="18" t="n">
        <x:f>'01 Controls'!G32</x:f>
        <x:v>0.9</x:v>
      </x:c>
      <x:c r="Z40" s="20" t="n">
        <x:f>R40*Y40</x:f>
        <x:v>13230</x:v>
      </x:c>
      <x:c r="AA40" s="18" t="n">
        <x:f>'01 Controls'!H32</x:f>
        <x:v>0.05</x:v>
      </x:c>
      <x:c r="AB40" s="20" t="n">
        <x:f>R40*AA40</x:f>
        <x:v>735</x:v>
      </x:c>
      <x:c r="AC40" s="20" t="n">
        <x:f>IF(H40="CM-HCG",K40*'01 Controls'!$E$24,0)</x:f>
        <x:v>0</x:v>
      </x:c>
      <x:c r="AD40" s="20" t="n">
        <x:f>IF(H40="CM-HCG",K40*'01 Controls'!$E$25,0)</x:f>
        <x:v>0</x:v>
      </x:c>
      <x:c r="AE40" s="20" t="n">
        <x:f>IF(H40="CM-HCG",K40*'01 Controls'!$E$26,0)</x:f>
        <x:v>0</x:v>
      </x:c>
      <x:c r="AF40" s="20" t="n">
        <x:f>IF(H40="CM-HCG",K40*'01 Controls'!$E$27,0)</x:f>
        <x:v>0</x:v>
      </x:c>
    </x:row>
    <x:row r="41">
      <x:c r="C41" s="22" t="str">
        <x:v>C1-I-WRG</x:v>
      </x:c>
      <x:c r="D41" s="22" t="n">
        <x:v>36</x:v>
      </x:c>
      <x:c r="E41" s="22" t="str">
        <x:v>C1</x:v>
      </x:c>
      <x:c r="F41" s="22" t="str">
        <x:v>Grid failure</x:v>
      </x:c>
      <x:c r="G41" s="22" t="n">
        <x:v>1</x:v>
      </x:c>
      <x:c r="H41" s="22" t="str">
        <x:v>I-WRG</x:v>
      </x:c>
      <x:c r="I41" s="22" t="str">
        <x:v>Infrastructure Restoration</x:v>
      </x:c>
      <x:c r="J41" s="22" t="str">
        <x:v>Water restoration group</x:v>
      </x:c>
      <x:c r="K41" s="23" t="n">
        <x:v>6</x:v>
      </x:c>
      <x:c r="L41" s="23" t="n">
        <x:v>2720</x:v>
      </x:c>
      <x:c r="M41" s="23" t="n">
        <x:v>600</x:v>
      </x:c>
      <x:c r="N41" s="20" t="n">
        <x:f>K41*L41</x:f>
        <x:v>16320</x:v>
      </x:c>
      <x:c r="O41" s="19" t="n">
        <x:v>23516</x:v>
      </x:c>
      <x:c r="P41" s="17" t="n">
        <x:v>0.4</x:v>
      </x:c>
      <x:c r="Q41" s="20" t="n">
        <x:f>K41*O41*P41</x:f>
        <x:v>56438.4</x:v>
      </x:c>
      <x:c r="R41" s="20" t="n">
        <x:f>Q41*(1-'01 Controls'!$E$6)</x:f>
        <x:v>42328.8</x:v>
      </x:c>
      <x:c r="S41" s="19" t="n">
        <x:v>65</x:v>
      </x:c>
      <x:c r="T41" s="20" t="n">
        <x:f>K41*S41</x:f>
        <x:v>390</x:v>
      </x:c>
      <x:c r="U41" s="18" t="n">
        <x:f>'01 Controls'!E32</x:f>
        <x:v>0.05</x:v>
      </x:c>
      <x:c r="V41" s="20" t="n">
        <x:f>R41*U41</x:f>
        <x:v>2116.44</x:v>
      </x:c>
      <x:c r="W41" s="18" t="n">
        <x:f>'01 Controls'!F32</x:f>
        <x:v>0</x:v>
      </x:c>
      <x:c r="X41" s="20" t="n">
        <x:f>R41*W41</x:f>
        <x:v>0</x:v>
      </x:c>
      <x:c r="Y41" s="18" t="n">
        <x:f>'01 Controls'!G32</x:f>
        <x:v>0.9</x:v>
      </x:c>
      <x:c r="Z41" s="20" t="n">
        <x:f>R41*Y41</x:f>
        <x:v>38095.920000000006</x:v>
      </x:c>
      <x:c r="AA41" s="18" t="n">
        <x:f>'01 Controls'!H32</x:f>
        <x:v>0.05</x:v>
      </x:c>
      <x:c r="AB41" s="20" t="n">
        <x:f>R41*AA41</x:f>
        <x:v>2116.44</x:v>
      </x:c>
      <x:c r="AC41" s="20" t="n">
        <x:f>IF(H41="CM-HCG",K41*'01 Controls'!$E$24,0)</x:f>
        <x:v>0</x:v>
      </x:c>
      <x:c r="AD41" s="20" t="n">
        <x:f>IF(H41="CM-HCG",K41*'01 Controls'!$E$25,0)</x:f>
        <x:v>0</x:v>
      </x:c>
      <x:c r="AE41" s="20" t="n">
        <x:f>IF(H41="CM-HCG",K41*'01 Controls'!$E$26,0)</x:f>
        <x:v>0</x:v>
      </x:c>
      <x:c r="AF41" s="20" t="n">
        <x:f>IF(H41="CM-HCG",K41*'01 Controls'!$E$27,0)</x:f>
        <x:v>0</x:v>
      </x:c>
    </x:row>
    <x:row r="42">
      <x:c r="C42" s="22" t="str">
        <x:v>C1-I-PRG</x:v>
      </x:c>
      <x:c r="D42" s="22" t="n">
        <x:v>37</x:v>
      </x:c>
      <x:c r="E42" s="22" t="str">
        <x:v>C1</x:v>
      </x:c>
      <x:c r="F42" s="22" t="str">
        <x:v>Grid failure</x:v>
      </x:c>
      <x:c r="G42" s="22" t="n">
        <x:v>1</x:v>
      </x:c>
      <x:c r="H42" s="22" t="str">
        <x:v>I-PRG</x:v>
      </x:c>
      <x:c r="I42" s="22" t="str">
        <x:v>Infrastructure Restoration</x:v>
      </x:c>
      <x:c r="J42" s="22" t="str">
        <x:v>Power restoration group</x:v>
      </x:c>
      <x:c r="K42" s="23" t="n">
        <x:v>8</x:v>
      </x:c>
      <x:c r="L42" s="23" t="n">
        <x:v>2796</x:v>
      </x:c>
      <x:c r="M42" s="23" t="n">
        <x:v>596</x:v>
      </x:c>
      <x:c r="N42" s="20" t="n">
        <x:f>K42*L42</x:f>
        <x:v>22368</x:v>
      </x:c>
      <x:c r="O42" s="19" t="n">
        <x:v>18332</x:v>
      </x:c>
      <x:c r="P42" s="17" t="n">
        <x:v>0.4</x:v>
      </x:c>
      <x:c r="Q42" s="20" t="n">
        <x:f>K42*O42*P42</x:f>
        <x:v>58662.4</x:v>
      </x:c>
      <x:c r="R42" s="20" t="n">
        <x:f>Q42*(1-'01 Controls'!$E$6)</x:f>
        <x:v>43996.8</x:v>
      </x:c>
      <x:c r="S42" s="19" t="n">
        <x:v>80</x:v>
      </x:c>
      <x:c r="T42" s="20" t="n">
        <x:f>K42*S42</x:f>
        <x:v>640</x:v>
      </x:c>
      <x:c r="U42" s="18" t="n">
        <x:f>'01 Controls'!E32</x:f>
        <x:v>0.05</x:v>
      </x:c>
      <x:c r="V42" s="20" t="n">
        <x:f>R42*U42</x:f>
        <x:v>2199.84</x:v>
      </x:c>
      <x:c r="W42" s="18" t="n">
        <x:f>'01 Controls'!F32</x:f>
        <x:v>0</x:v>
      </x:c>
      <x:c r="X42" s="20" t="n">
        <x:f>R42*W42</x:f>
        <x:v>0</x:v>
      </x:c>
      <x:c r="Y42" s="18" t="n">
        <x:f>'01 Controls'!G32</x:f>
        <x:v>0.9</x:v>
      </x:c>
      <x:c r="Z42" s="20" t="n">
        <x:f>R42*Y42</x:f>
        <x:v>39597.12</x:v>
      </x:c>
      <x:c r="AA42" s="18" t="n">
        <x:f>'01 Controls'!H32</x:f>
        <x:v>0.05</x:v>
      </x:c>
      <x:c r="AB42" s="20" t="n">
        <x:f>R42*AA42</x:f>
        <x:v>2199.84</x:v>
      </x:c>
      <x:c r="AC42" s="20" t="n">
        <x:f>IF(H42="CM-HCG",K42*'01 Controls'!$E$24,0)</x:f>
        <x:v>0</x:v>
      </x:c>
      <x:c r="AD42" s="20" t="n">
        <x:f>IF(H42="CM-HCG",K42*'01 Controls'!$E$25,0)</x:f>
        <x:v>0</x:v>
      </x:c>
      <x:c r="AE42" s="20" t="n">
        <x:f>IF(H42="CM-HCG",K42*'01 Controls'!$E$26,0)</x:f>
        <x:v>0</x:v>
      </x:c>
      <x:c r="AF42" s="20" t="n">
        <x:f>IF(H42="CM-HCG",K42*'01 Controls'!$E$27,0)</x:f>
        <x:v>0</x:v>
      </x:c>
    </x:row>
    <x:row r="43">
      <x:c r="C43" s="22" t="str">
        <x:v>C1-I-GBG</x:v>
      </x:c>
      <x:c r="D43" s="22" t="n">
        <x:v>38</x:v>
      </x:c>
      <x:c r="E43" s="22" t="str">
        <x:v>C1</x:v>
      </x:c>
      <x:c r="F43" s="22" t="str">
        <x:v>Grid failure</x:v>
      </x:c>
      <x:c r="G43" s="22" t="n">
        <x:v>1</x:v>
      </x:c>
      <x:c r="H43" s="22" t="str">
        <x:v>I-GBG</x:v>
      </x:c>
      <x:c r="I43" s="22" t="str">
        <x:v>Infrastructure Restoration</x:v>
      </x:c>
      <x:c r="J43" s="22" t="str">
        <x:v>Grid bridge group</x:v>
      </x:c>
      <x:c r="K43" s="23" t="n">
        <x:v>6</x:v>
      </x:c>
      <x:c r="L43" s="23" t="n">
        <x:v>1800</x:v>
      </x:c>
      <x:c r="M43" s="23" t="n">
        <x:v>400</x:v>
      </x:c>
      <x:c r="N43" s="20" t="n">
        <x:f>K43*L43</x:f>
        <x:v>10800</x:v>
      </x:c>
      <x:c r="O43" s="19" t="n">
        <x:v>15000</x:v>
      </x:c>
      <x:c r="P43" s="17" t="n">
        <x:v>0.4</x:v>
      </x:c>
      <x:c r="Q43" s="20" t="n">
        <x:f>K43*O43*P43</x:f>
        <x:v>36000</x:v>
      </x:c>
      <x:c r="R43" s="20" t="n">
        <x:f>Q43*(1-'01 Controls'!$E$6)</x:f>
        <x:v>27000</x:v>
      </x:c>
      <x:c r="S43" s="19" t="n">
        <x:v>55</x:v>
      </x:c>
      <x:c r="T43" s="20" t="n">
        <x:f>K43*S43</x:f>
        <x:v>330</x:v>
      </x:c>
      <x:c r="U43" s="18" t="n">
        <x:f>'01 Controls'!E32</x:f>
        <x:v>0.05</x:v>
      </x:c>
      <x:c r="V43" s="20" t="n">
        <x:f>R43*U43</x:f>
        <x:v>1350</x:v>
      </x:c>
      <x:c r="W43" s="18" t="n">
        <x:f>'01 Controls'!F32</x:f>
        <x:v>0</x:v>
      </x:c>
      <x:c r="X43" s="20" t="n">
        <x:f>R43*W43</x:f>
        <x:v>0</x:v>
      </x:c>
      <x:c r="Y43" s="18" t="n">
        <x:f>'01 Controls'!G32</x:f>
        <x:v>0.9</x:v>
      </x:c>
      <x:c r="Z43" s="20" t="n">
        <x:f>R43*Y43</x:f>
        <x:v>24300</x:v>
      </x:c>
      <x:c r="AA43" s="18" t="n">
        <x:f>'01 Controls'!H32</x:f>
        <x:v>0.05</x:v>
      </x:c>
      <x:c r="AB43" s="20" t="n">
        <x:f>R43*AA43</x:f>
        <x:v>1350</x:v>
      </x:c>
      <x:c r="AC43" s="20" t="n">
        <x:f>IF(H43="CM-HCG",K43*'01 Controls'!$E$24,0)</x:f>
        <x:v>0</x:v>
      </x:c>
      <x:c r="AD43" s="20" t="n">
        <x:f>IF(H43="CM-HCG",K43*'01 Controls'!$E$25,0)</x:f>
        <x:v>0</x:v>
      </x:c>
      <x:c r="AE43" s="20" t="n">
        <x:f>IF(H43="CM-HCG",K43*'01 Controls'!$E$26,0)</x:f>
        <x:v>0</x:v>
      </x:c>
      <x:c r="AF43" s="20" t="n">
        <x:f>IF(H43="CM-HCG",K43*'01 Controls'!$E$27,0)</x:f>
        <x:v>0</x:v>
      </x:c>
    </x:row>
    <x:row r="44">
      <x:c r="C44" s="22" t="str">
        <x:v>C1-H-THC</x:v>
      </x:c>
      <x:c r="D44" s="22" t="n">
        <x:v>39</x:v>
      </x:c>
      <x:c r="E44" s="22" t="str">
        <x:v>C1</x:v>
      </x:c>
      <x:c r="F44" s="22" t="str">
        <x:v>Grid failure</x:v>
      </x:c>
      <x:c r="G44" s="22" t="n">
        <x:v>1</x:v>
      </x:c>
      <x:c r="H44" s="22" t="str">
        <x:v>H-THC</x:v>
      </x:c>
      <x:c r="I44" s="22" t="str">
        <x:v>Health Protection</x:v>
      </x:c>
      <x:c r="J44" s="22" t="str">
        <x:v>Theater hospital command</x:v>
      </x:c>
      <x:c r="K44" s="23" t="n">
        <x:v>2</x:v>
      </x:c>
      <x:c r="L44" s="23" t="n">
        <x:v>900</x:v>
      </x:c>
      <x:c r="M44" s="23" t="n">
        <x:v>0</x:v>
      </x:c>
      <x:c r="N44" s="20" t="n">
        <x:f>K44*L44</x:f>
        <x:v>1800</x:v>
      </x:c>
      <x:c r="O44" s="19" t="n">
        <x:v>3500</x:v>
      </x:c>
      <x:c r="P44" s="17" t="n">
        <x:v>0.7</x:v>
      </x:c>
      <x:c r="Q44" s="20" t="n">
        <x:f>K44*O44*P44</x:f>
        <x:v>4900</x:v>
      </x:c>
      <x:c r="R44" s="20" t="n">
        <x:f>Q44*(1-'01 Controls'!$E$6)</x:f>
        <x:v>3675</x:v>
      </x:c>
      <x:c r="S44" s="19" t="n">
        <x:v>30</x:v>
      </x:c>
      <x:c r="T44" s="20" t="n">
        <x:f>K44*S44</x:f>
        <x:v>60</x:v>
      </x:c>
      <x:c r="U44" s="18" t="n">
        <x:f>'01 Controls'!E32</x:f>
        <x:v>0.05</x:v>
      </x:c>
      <x:c r="V44" s="20" t="n">
        <x:f>R44*U44</x:f>
        <x:v>183.75</x:v>
      </x:c>
      <x:c r="W44" s="18" t="n">
        <x:f>'01 Controls'!F32</x:f>
        <x:v>0</x:v>
      </x:c>
      <x:c r="X44" s="20" t="n">
        <x:f>R44*W44</x:f>
        <x:v>0</x:v>
      </x:c>
      <x:c r="Y44" s="18" t="n">
        <x:f>'01 Controls'!G32</x:f>
        <x:v>0.9</x:v>
      </x:c>
      <x:c r="Z44" s="20" t="n">
        <x:f>R44*Y44</x:f>
        <x:v>3307.5</x:v>
      </x:c>
      <x:c r="AA44" s="18" t="n">
        <x:f>'01 Controls'!H32</x:f>
        <x:v>0.05</x:v>
      </x:c>
      <x:c r="AB44" s="20" t="n">
        <x:f>R44*AA44</x:f>
        <x:v>183.75</x:v>
      </x:c>
      <x:c r="AC44" s="20" t="n">
        <x:f>IF(H44="CM-HCG",K44*'01 Controls'!$E$24,0)</x:f>
        <x:v>0</x:v>
      </x:c>
      <x:c r="AD44" s="20" t="n">
        <x:f>IF(H44="CM-HCG",K44*'01 Controls'!$E$25,0)</x:f>
        <x:v>0</x:v>
      </x:c>
      <x:c r="AE44" s="20" t="n">
        <x:f>IF(H44="CM-HCG",K44*'01 Controls'!$E$26,0)</x:f>
        <x:v>0</x:v>
      </x:c>
      <x:c r="AF44" s="20" t="n">
        <x:f>IF(H44="CM-HCG",K44*'01 Controls'!$E$27,0)</x:f>
        <x:v>0</x:v>
      </x:c>
    </x:row>
    <x:row r="45">
      <x:c r="C45" s="22" t="str">
        <x:v>C1-H-PMG</x:v>
      </x:c>
      <x:c r="D45" s="22" t="n">
        <x:v>40</x:v>
      </x:c>
      <x:c r="E45" s="22" t="str">
        <x:v>C1</x:v>
      </x:c>
      <x:c r="F45" s="22" t="str">
        <x:v>Grid failure</x:v>
      </x:c>
      <x:c r="G45" s="22" t="n">
        <x:v>1</x:v>
      </x:c>
      <x:c r="H45" s="22" t="str">
        <x:v>H-PMG</x:v>
      </x:c>
      <x:c r="I45" s="22" t="str">
        <x:v>Health Protection</x:v>
      </x:c>
      <x:c r="J45" s="22" t="str">
        <x:v>Patient movement group</x:v>
      </x:c>
      <x:c r="K45" s="23" t="n">
        <x:v>4</x:v>
      </x:c>
      <x:c r="L45" s="23" t="n">
        <x:v>650</x:v>
      </x:c>
      <x:c r="M45" s="23" t="n">
        <x:v>200</x:v>
      </x:c>
      <x:c r="N45" s="20" t="n">
        <x:f>K45*L45</x:f>
        <x:v>2600</x:v>
      </x:c>
      <x:c r="O45" s="19" t="n">
        <x:v>5500</x:v>
      </x:c>
      <x:c r="P45" s="17" t="n">
        <x:v>0.7</x:v>
      </x:c>
      <x:c r="Q45" s="20" t="n">
        <x:f>K45*O45*P45</x:f>
        <x:v>15399.999999999998</x:v>
      </x:c>
      <x:c r="R45" s="20" t="n">
        <x:f>Q45*(1-'01 Controls'!$E$6)</x:f>
        <x:v>11549.999999999998</x:v>
      </x:c>
      <x:c r="S45" s="19" t="n">
        <x:v>40</x:v>
      </x:c>
      <x:c r="T45" s="20" t="n">
        <x:f>K45*S45</x:f>
        <x:v>160</x:v>
      </x:c>
      <x:c r="U45" s="18" t="n">
        <x:f>'01 Controls'!E32</x:f>
        <x:v>0.05</x:v>
      </x:c>
      <x:c r="V45" s="20" t="n">
        <x:f>R45*U45</x:f>
        <x:v>577.4999999999999</x:v>
      </x:c>
      <x:c r="W45" s="18" t="n">
        <x:f>'01 Controls'!F32</x:f>
        <x:v>0</x:v>
      </x:c>
      <x:c r="X45" s="20" t="n">
        <x:f>R45*W45</x:f>
        <x:v>0</x:v>
      </x:c>
      <x:c r="Y45" s="18" t="n">
        <x:f>'01 Controls'!G32</x:f>
        <x:v>0.9</x:v>
      </x:c>
      <x:c r="Z45" s="20" t="n">
        <x:f>R45*Y45</x:f>
        <x:v>10394.999999999998</x:v>
      </x:c>
      <x:c r="AA45" s="18" t="n">
        <x:f>'01 Controls'!H32</x:f>
        <x:v>0.05</x:v>
      </x:c>
      <x:c r="AB45" s="20" t="n">
        <x:f>R45*AA45</x:f>
        <x:v>577.4999999999999</x:v>
      </x:c>
      <x:c r="AC45" s="20" t="n">
        <x:f>IF(H45="CM-HCG",K45*'01 Controls'!$E$24,0)</x:f>
        <x:v>0</x:v>
      </x:c>
      <x:c r="AD45" s="20" t="n">
        <x:f>IF(H45="CM-HCG",K45*'01 Controls'!$E$25,0)</x:f>
        <x:v>0</x:v>
      </x:c>
      <x:c r="AE45" s="20" t="n">
        <x:f>IF(H45="CM-HCG",K45*'01 Controls'!$E$26,0)</x:f>
        <x:v>0</x:v>
      </x:c>
      <x:c r="AF45" s="20" t="n">
        <x:f>IF(H45="CM-HCG",K45*'01 Controls'!$E$27,0)</x:f>
        <x:v>0</x:v>
      </x:c>
    </x:row>
    <x:row r="46">
      <x:c r="C46" s="22" t="str">
        <x:v>C1-C-ERG</x:v>
      </x:c>
      <x:c r="D46" s="22" t="n">
        <x:v>41</x:v>
      </x:c>
      <x:c r="E46" s="22" t="str">
        <x:v>C1</x:v>
      </x:c>
      <x:c r="F46" s="22" t="str">
        <x:v>Grid failure</x:v>
      </x:c>
      <x:c r="G46" s="22" t="n">
        <x:v>1</x:v>
      </x:c>
      <x:c r="H46" s="22" t="str">
        <x:v>C-ERG</x:v>
      </x:c>
      <x:c r="I46" s="22" t="str">
        <x:v>Community Stabilization</x:v>
      </x:c>
      <x:c r="J46" s="22" t="str">
        <x:v>Economic restart group</x:v>
      </x:c>
      <x:c r="K46" s="23" t="n">
        <x:v>4</x:v>
      </x:c>
      <x:c r="L46" s="23" t="n">
        <x:v>350</x:v>
      </x:c>
      <x:c r="M46" s="23" t="n">
        <x:v>0</x:v>
      </x:c>
      <x:c r="N46" s="20" t="n">
        <x:f>K46*L46</x:f>
        <x:v>1400</x:v>
      </x:c>
      <x:c r="O46" s="19" t="n">
        <x:v>2500</x:v>
      </x:c>
      <x:c r="P46" s="17" t="n">
        <x:v>0.65</x:v>
      </x:c>
      <x:c r="Q46" s="20" t="n">
        <x:f>K46*O46*P46</x:f>
        <x:v>6500</x:v>
      </x:c>
      <x:c r="R46" s="20" t="n">
        <x:f>Q46*(1-'01 Controls'!$E$6)</x:f>
        <x:v>4875</x:v>
      </x:c>
      <x:c r="S46" s="19" t="n">
        <x:v>30</x:v>
      </x:c>
      <x:c r="T46" s="20" t="n">
        <x:f>K46*S46</x:f>
        <x:v>120</x:v>
      </x:c>
      <x:c r="U46" s="18" t="n">
        <x:f>'01 Controls'!E32</x:f>
        <x:v>0.05</x:v>
      </x:c>
      <x:c r="V46" s="20" t="n">
        <x:f>R46*U46</x:f>
        <x:v>243.75</x:v>
      </x:c>
      <x:c r="W46" s="18" t="n">
        <x:f>'01 Controls'!F32</x:f>
        <x:v>0</x:v>
      </x:c>
      <x:c r="X46" s="20" t="n">
        <x:f>R46*W46</x:f>
        <x:v>0</x:v>
      </x:c>
      <x:c r="Y46" s="18" t="n">
        <x:f>'01 Controls'!G32</x:f>
        <x:v>0.9</x:v>
      </x:c>
      <x:c r="Z46" s="20" t="n">
        <x:f>R46*Y46</x:f>
        <x:v>4387.5</x:v>
      </x:c>
      <x:c r="AA46" s="18" t="n">
        <x:f>'01 Controls'!H32</x:f>
        <x:v>0.05</x:v>
      </x:c>
      <x:c r="AB46" s="20" t="n">
        <x:f>R46*AA46</x:f>
        <x:v>243.75</x:v>
      </x:c>
      <x:c r="AC46" s="20" t="n">
        <x:f>IF(H46="CM-HCG",K46*'01 Controls'!$E$24,0)</x:f>
        <x:v>0</x:v>
      </x:c>
      <x:c r="AD46" s="20" t="n">
        <x:f>IF(H46="CM-HCG",K46*'01 Controls'!$E$25,0)</x:f>
        <x:v>0</x:v>
      </x:c>
      <x:c r="AE46" s="20" t="n">
        <x:f>IF(H46="CM-HCG",K46*'01 Controls'!$E$26,0)</x:f>
        <x:v>0</x:v>
      </x:c>
      <x:c r="AF46" s="20" t="n">
        <x:f>IF(H46="CM-HCG",K46*'01 Controls'!$E$27,0)</x:f>
        <x:v>0</x:v>
      </x:c>
    </x:row>
    <x:row r="47">
      <x:c r="C47" s="22" t="str">
        <x:v>C1-CM-HCG</x:v>
      </x:c>
      <x:c r="D47" s="22" t="n">
        <x:v>42</x:v>
      </x:c>
      <x:c r="E47" s="22" t="str">
        <x:v>C1</x:v>
      </x:c>
      <x:c r="F47" s="22" t="str">
        <x:v>Grid failure</x:v>
      </x:c>
      <x:c r="G47" s="22" t="n">
        <x:v>1</x:v>
      </x:c>
      <x:c r="H47" s="22" t="str">
        <x:v>CM-HCG</x:v>
      </x:c>
      <x:c r="I47" s="22" t="str">
        <x:v>Civil Mobility and Continuity</x:v>
      </x:c>
      <x:c r="J47" s="22" t="str">
        <x:v>Household collection group</x:v>
      </x:c>
      <x:c r="K47" s="23" t="n">
        <x:v>6</x:v>
      </x:c>
      <x:c r="L47" s="23" t="n">
        <x:v>7587</x:v>
      </x:c>
      <x:c r="M47" s="23" t="n">
        <x:v>2000</x:v>
      </x:c>
      <x:c r="N47" s="20" t="n">
        <x:f>K47*L47</x:f>
        <x:v>45522</x:v>
      </x:c>
      <x:c r="O47" s="19" t="n">
        <x:v>6388</x:v>
      </x:c>
      <x:c r="P47" s="17" t="n">
        <x:v>0.7</x:v>
      </x:c>
      <x:c r="Q47" s="20" t="n">
        <x:f>K47*O47*P47</x:f>
        <x:v>26829.6</x:v>
      </x:c>
      <x:c r="R47" s="20" t="n">
        <x:f>Q47*(1-'01 Controls'!$E$6)</x:f>
        <x:v>20122.199999999997</x:v>
      </x:c>
      <x:c r="S47" s="19" t="n">
        <x:v>45</x:v>
      </x:c>
      <x:c r="T47" s="20" t="n">
        <x:f>K47*S47</x:f>
        <x:v>270</x:v>
      </x:c>
      <x:c r="U47" s="18" t="n">
        <x:f>'01 Controls'!E32</x:f>
        <x:v>0.05</x:v>
      </x:c>
      <x:c r="V47" s="20" t="n">
        <x:f>R47*U47</x:f>
        <x:v>1006.1099999999999</x:v>
      </x:c>
      <x:c r="W47" s="18" t="n">
        <x:f>'01 Controls'!F32</x:f>
        <x:v>0</x:v>
      </x:c>
      <x:c r="X47" s="20" t="n">
        <x:f>R47*W47</x:f>
        <x:v>0</x:v>
      </x:c>
      <x:c r="Y47" s="18" t="n">
        <x:f>'01 Controls'!G32</x:f>
        <x:v>0.9</x:v>
      </x:c>
      <x:c r="Z47" s="20" t="n">
        <x:f>R47*Y47</x:f>
        <x:v>18109.98</x:v>
      </x:c>
      <x:c r="AA47" s="18" t="n">
        <x:f>'01 Controls'!H32</x:f>
        <x:v>0.05</x:v>
      </x:c>
      <x:c r="AB47" s="20" t="n">
        <x:f>R47*AA47</x:f>
        <x:v>1006.1099999999999</x:v>
      </x:c>
      <x:c r="AC47" s="20" t="n">
        <x:f>IF(H47="CM-HCG",K47*'01 Controls'!$E$24,0)</x:f>
        <x:v>204</x:v>
      </x:c>
      <x:c r="AD47" s="20" t="n">
        <x:f>IF(H47="CM-HCG",K47*'01 Controls'!$E$25,0)</x:f>
        <x:v>42</x:v>
      </x:c>
      <x:c r="AE47" s="20" t="n">
        <x:f>IF(H47="CM-HCG",K47*'01 Controls'!$E$26,0)</x:f>
        <x:v>60</x:v>
      </x:c>
      <x:c r="AF47" s="20" t="n">
        <x:f>IF(H47="CM-HCG",K47*'01 Controls'!$E$27,0)</x:f>
        <x:v>54</x:v>
      </x:c>
    </x:row>
    <x:row r="48">
      <x:c r="C48" s="22" t="str">
        <x:v>C1-CM-CTN</x:v>
      </x:c>
      <x:c r="D48" s="22" t="n">
        <x:v>43</x:v>
      </x:c>
      <x:c r="E48" s="22" t="str">
        <x:v>C1</x:v>
      </x:c>
      <x:c r="F48" s="22" t="str">
        <x:v>Grid failure</x:v>
      </x:c>
      <x:c r="G48" s="22" t="n">
        <x:v>1</x:v>
      </x:c>
      <x:c r="H48" s="22" t="str">
        <x:v>CM-CTN</x:v>
      </x:c>
      <x:c r="I48" s="22" t="str">
        <x:v>Civil Mobility and Continuity</x:v>
      </x:c>
      <x:c r="J48" s="22" t="str">
        <x:v>Continuity transfer-node group</x:v>
      </x:c>
      <x:c r="K48" s="23" t="n">
        <x:v>4</x:v>
      </x:c>
      <x:c r="L48" s="23" t="n">
        <x:v>2289</x:v>
      </x:c>
      <x:c r="M48" s="23" t="n">
        <x:v>489</x:v>
      </x:c>
      <x:c r="N48" s="20" t="n">
        <x:f>K48*L48</x:f>
        <x:v>9156</x:v>
      </x:c>
      <x:c r="O48" s="19" t="n">
        <x:v>4513</x:v>
      </x:c>
      <x:c r="P48" s="17" t="n">
        <x:v>0.7</x:v>
      </x:c>
      <x:c r="Q48" s="20" t="n">
        <x:f>K48*O48*P48</x:f>
        <x:v>12636.4</x:v>
      </x:c>
      <x:c r="R48" s="20" t="n">
        <x:f>Q48*(1-'01 Controls'!$E$6)</x:f>
        <x:v>9477.3</x:v>
      </x:c>
      <x:c r="S48" s="19" t="n">
        <x:v>35</x:v>
      </x:c>
      <x:c r="T48" s="20" t="n">
        <x:f>K48*S48</x:f>
        <x:v>140</x:v>
      </x:c>
      <x:c r="U48" s="18" t="n">
        <x:f>'01 Controls'!E32</x:f>
        <x:v>0.05</x:v>
      </x:c>
      <x:c r="V48" s="20" t="n">
        <x:f>R48*U48</x:f>
        <x:v>473.865</x:v>
      </x:c>
      <x:c r="W48" s="18" t="n">
        <x:f>'01 Controls'!F32</x:f>
        <x:v>0</x:v>
      </x:c>
      <x:c r="X48" s="20" t="n">
        <x:f>R48*W48</x:f>
        <x:v>0</x:v>
      </x:c>
      <x:c r="Y48" s="18" t="n">
        <x:f>'01 Controls'!G32</x:f>
        <x:v>0.9</x:v>
      </x:c>
      <x:c r="Z48" s="20" t="n">
        <x:f>R48*Y48</x:f>
        <x:v>8529.57</x:v>
      </x:c>
      <x:c r="AA48" s="18" t="n">
        <x:f>'01 Controls'!H32</x:f>
        <x:v>0.05</x:v>
      </x:c>
      <x:c r="AB48" s="20" t="n">
        <x:f>R48*AA48</x:f>
        <x:v>473.865</x:v>
      </x:c>
      <x:c r="AC48" s="20" t="n">
        <x:f>IF(H48="CM-HCG",K48*'01 Controls'!$E$24,0)</x:f>
        <x:v>0</x:v>
      </x:c>
      <x:c r="AD48" s="20" t="n">
        <x:f>IF(H48="CM-HCG",K48*'01 Controls'!$E$25,0)</x:f>
        <x:v>0</x:v>
      </x:c>
      <x:c r="AE48" s="20" t="n">
        <x:f>IF(H48="CM-HCG",K48*'01 Controls'!$E$26,0)</x:f>
        <x:v>0</x:v>
      </x:c>
      <x:c r="AF48" s="20" t="n">
        <x:f>IF(H48="CM-HCG",K48*'01 Controls'!$E$27,0)</x:f>
        <x:v>0</x:v>
      </x:c>
    </x:row>
    <x:row r="49">
      <x:c r="C49" s="22" t="str">
        <x:v>C1-CM-RMG</x:v>
      </x:c>
      <x:c r="D49" s="22" t="n">
        <x:v>44</x:v>
      </x:c>
      <x:c r="E49" s="22" t="str">
        <x:v>C1</x:v>
      </x:c>
      <x:c r="F49" s="22" t="str">
        <x:v>Grid failure</x:v>
      </x:c>
      <x:c r="G49" s="22" t="n">
        <x:v>1</x:v>
      </x:c>
      <x:c r="H49" s="22" t="str">
        <x:v>CM-RMG</x:v>
      </x:c>
      <x:c r="I49" s="22" t="str">
        <x:v>Civil Mobility and Continuity</x:v>
      </x:c>
      <x:c r="J49" s="22" t="str">
        <x:v>Civil road-mobility group</x:v>
      </x:c>
      <x:c r="K49" s="23" t="n">
        <x:v>8</x:v>
      </x:c>
      <x:c r="L49" s="23" t="n">
        <x:v>900</x:v>
      </x:c>
      <x:c r="M49" s="23" t="n">
        <x:v>250</x:v>
      </x:c>
      <x:c r="N49" s="20" t="n">
        <x:f>K49*L49</x:f>
        <x:v>7200</x:v>
      </x:c>
      <x:c r="O49" s="19" t="n">
        <x:v>5000</x:v>
      </x:c>
      <x:c r="P49" s="17" t="n">
        <x:v>0.7</x:v>
      </x:c>
      <x:c r="Q49" s="20" t="n">
        <x:f>K49*O49*P49</x:f>
        <x:v>28000</x:v>
      </x:c>
      <x:c r="R49" s="20" t="n">
        <x:f>Q49*(1-'01 Controls'!$E$6)</x:f>
        <x:v>21000</x:v>
      </x:c>
      <x:c r="S49" s="19" t="n">
        <x:v>45</x:v>
      </x:c>
      <x:c r="T49" s="20" t="n">
        <x:f>K49*S49</x:f>
        <x:v>360</x:v>
      </x:c>
      <x:c r="U49" s="18" t="n">
        <x:f>'01 Controls'!E32</x:f>
        <x:v>0.05</x:v>
      </x:c>
      <x:c r="V49" s="20" t="n">
        <x:f>R49*U49</x:f>
        <x:v>1050</x:v>
      </x:c>
      <x:c r="W49" s="18" t="n">
        <x:f>'01 Controls'!F32</x:f>
        <x:v>0</x:v>
      </x:c>
      <x:c r="X49" s="20" t="n">
        <x:f>R49*W49</x:f>
        <x:v>0</x:v>
      </x:c>
      <x:c r="Y49" s="18" t="n">
        <x:f>'01 Controls'!G32</x:f>
        <x:v>0.9</x:v>
      </x:c>
      <x:c r="Z49" s="20" t="n">
        <x:f>R49*Y49</x:f>
        <x:v>18900</x:v>
      </x:c>
      <x:c r="AA49" s="18" t="n">
        <x:f>'01 Controls'!H32</x:f>
        <x:v>0.05</x:v>
      </x:c>
      <x:c r="AB49" s="20" t="n">
        <x:f>R49*AA49</x:f>
        <x:v>1050</x:v>
      </x:c>
      <x:c r="AC49" s="20" t="n">
        <x:f>IF(H49="CM-HCG",K49*'01 Controls'!$E$24,0)</x:f>
        <x:v>0</x:v>
      </x:c>
      <x:c r="AD49" s="20" t="n">
        <x:f>IF(H49="CM-HCG",K49*'01 Controls'!$E$25,0)</x:f>
        <x:v>0</x:v>
      </x:c>
      <x:c r="AE49" s="20" t="n">
        <x:f>IF(H49="CM-HCG",K49*'01 Controls'!$E$26,0)</x:f>
        <x:v>0</x:v>
      </x:c>
      <x:c r="AF49" s="20" t="n">
        <x:f>IF(H49="CM-HCG",K49*'01 Controls'!$E$27,0)</x:f>
        <x:v>0</x:v>
      </x:c>
    </x:row>
    <x:row r="50">
      <x:c r="C50" s="22" t="str">
        <x:v>C1-CM-RLG</x:v>
      </x:c>
      <x:c r="D50" s="22" t="n">
        <x:v>45</x:v>
      </x:c>
      <x:c r="E50" s="22" t="str">
        <x:v>C1</x:v>
      </x:c>
      <x:c r="F50" s="22" t="str">
        <x:v>Grid failure</x:v>
      </x:c>
      <x:c r="G50" s="22" t="n">
        <x:v>1</x:v>
      </x:c>
      <x:c r="H50" s="22" t="str">
        <x:v>CM-RLG</x:v>
      </x:c>
      <x:c r="I50" s="22" t="str">
        <x:v>Civil Mobility and Continuity</x:v>
      </x:c>
      <x:c r="J50" s="22" t="str">
        <x:v>Civil rail-mobility group</x:v>
      </x:c>
      <x:c r="K50" s="23" t="n">
        <x:v>3</x:v>
      </x:c>
      <x:c r="L50" s="23" t="n">
        <x:v>500</x:v>
      </x:c>
      <x:c r="M50" s="23" t="n">
        <x:v>100</x:v>
      </x:c>
      <x:c r="N50" s="20" t="n">
        <x:f>K50*L50</x:f>
        <x:v>1500</x:v>
      </x:c>
      <x:c r="O50" s="19" t="n">
        <x:v>8000</x:v>
      </x:c>
      <x:c r="P50" s="17" t="n">
        <x:v>0.6</x:v>
      </x:c>
      <x:c r="Q50" s="20" t="n">
        <x:f>K50*O50*P50</x:f>
        <x:v>14400</x:v>
      </x:c>
      <x:c r="R50" s="20" t="n">
        <x:f>Q50*(1-'01 Controls'!$E$6)</x:f>
        <x:v>10800</x:v>
      </x:c>
      <x:c r="S50" s="19" t="n">
        <x:v>40</x:v>
      </x:c>
      <x:c r="T50" s="20" t="n">
        <x:f>K50*S50</x:f>
        <x:v>120</x:v>
      </x:c>
      <x:c r="U50" s="18" t="n">
        <x:f>'01 Controls'!E32</x:f>
        <x:v>0.05</x:v>
      </x:c>
      <x:c r="V50" s="20" t="n">
        <x:f>R50*U50</x:f>
        <x:v>540</x:v>
      </x:c>
      <x:c r="W50" s="18" t="n">
        <x:f>'01 Controls'!F32</x:f>
        <x:v>0</x:v>
      </x:c>
      <x:c r="X50" s="20" t="n">
        <x:f>R50*W50</x:f>
        <x:v>0</x:v>
      </x:c>
      <x:c r="Y50" s="18" t="n">
        <x:f>'01 Controls'!G32</x:f>
        <x:v>0.9</x:v>
      </x:c>
      <x:c r="Z50" s="20" t="n">
        <x:f>R50*Y50</x:f>
        <x:v>9720</x:v>
      </x:c>
      <x:c r="AA50" s="18" t="n">
        <x:f>'01 Controls'!H32</x:f>
        <x:v>0.05</x:v>
      </x:c>
      <x:c r="AB50" s="20" t="n">
        <x:f>R50*AA50</x:f>
        <x:v>540</x:v>
      </x:c>
      <x:c r="AC50" s="20" t="n">
        <x:f>IF(H50="CM-HCG",K50*'01 Controls'!$E$24,0)</x:f>
        <x:v>0</x:v>
      </x:c>
      <x:c r="AD50" s="20" t="n">
        <x:f>IF(H50="CM-HCG",K50*'01 Controls'!$E$25,0)</x:f>
        <x:v>0</x:v>
      </x:c>
      <x:c r="AE50" s="20" t="n">
        <x:f>IF(H50="CM-HCG",K50*'01 Controls'!$E$26,0)</x:f>
        <x:v>0</x:v>
      </x:c>
      <x:c r="AF50" s="20" t="n">
        <x:f>IF(H50="CM-HCG",K50*'01 Controls'!$E$27,0)</x:f>
        <x:v>0</x:v>
      </x:c>
    </x:row>
    <x:row r="51">
      <x:c r="C51" s="22" t="str">
        <x:v>C1-CM-AMG</x:v>
      </x:c>
      <x:c r="D51" s="22" t="n">
        <x:v>46</x:v>
      </x:c>
      <x:c r="E51" s="22" t="str">
        <x:v>C1</x:v>
      </x:c>
      <x:c r="F51" s="22" t="str">
        <x:v>Grid failure</x:v>
      </x:c>
      <x:c r="G51" s="22" t="n">
        <x:v>1</x:v>
      </x:c>
      <x:c r="H51" s="22" t="str">
        <x:v>CM-AMG</x:v>
      </x:c>
      <x:c r="I51" s="22" t="str">
        <x:v>Civil Mobility and Continuity</x:v>
      </x:c>
      <x:c r="J51" s="22" t="str">
        <x:v>Civil air-mobility group</x:v>
      </x:c>
      <x:c r="K51" s="23" t="n">
        <x:v>2</x:v>
      </x:c>
      <x:c r="L51" s="23" t="n">
        <x:v>600</x:v>
      </x:c>
      <x:c r="M51" s="23" t="n">
        <x:v>200</x:v>
      </x:c>
      <x:c r="N51" s="20" t="n">
        <x:f>K51*L51</x:f>
        <x:v>1200</x:v>
      </x:c>
      <x:c r="O51" s="19" t="n">
        <x:v>6000</x:v>
      </x:c>
      <x:c r="P51" s="17" t="n">
        <x:v>0.75</x:v>
      </x:c>
      <x:c r="Q51" s="20" t="n">
        <x:f>K51*O51*P51</x:f>
        <x:v>9000</x:v>
      </x:c>
      <x:c r="R51" s="20" t="n">
        <x:f>Q51*(1-'01 Controls'!$E$6)</x:f>
        <x:v>6750</x:v>
      </x:c>
      <x:c r="S51" s="19" t="n">
        <x:v>55</x:v>
      </x:c>
      <x:c r="T51" s="20" t="n">
        <x:f>K51*S51</x:f>
        <x:v>110</x:v>
      </x:c>
      <x:c r="U51" s="18" t="n">
        <x:f>'01 Controls'!E32</x:f>
        <x:v>0.05</x:v>
      </x:c>
      <x:c r="V51" s="20" t="n">
        <x:f>R51*U51</x:f>
        <x:v>337.5</x:v>
      </x:c>
      <x:c r="W51" s="18" t="n">
        <x:f>'01 Controls'!F32</x:f>
        <x:v>0</x:v>
      </x:c>
      <x:c r="X51" s="20" t="n">
        <x:f>R51*W51</x:f>
        <x:v>0</x:v>
      </x:c>
      <x:c r="Y51" s="18" t="n">
        <x:f>'01 Controls'!G32</x:f>
        <x:v>0.9</x:v>
      </x:c>
      <x:c r="Z51" s="20" t="n">
        <x:f>R51*Y51</x:f>
        <x:v>6075</x:v>
      </x:c>
      <x:c r="AA51" s="18" t="n">
        <x:f>'01 Controls'!H32</x:f>
        <x:v>0.05</x:v>
      </x:c>
      <x:c r="AB51" s="20" t="n">
        <x:f>R51*AA51</x:f>
        <x:v>337.5</x:v>
      </x:c>
      <x:c r="AC51" s="20" t="n">
        <x:f>IF(H51="CM-HCG",K51*'01 Controls'!$E$24,0)</x:f>
        <x:v>0</x:v>
      </x:c>
      <x:c r="AD51" s="20" t="n">
        <x:f>IF(H51="CM-HCG",K51*'01 Controls'!$E$25,0)</x:f>
        <x:v>0</x:v>
      </x:c>
      <x:c r="AE51" s="20" t="n">
        <x:f>IF(H51="CM-HCG",K51*'01 Controls'!$E$26,0)</x:f>
        <x:v>0</x:v>
      </x:c>
      <x:c r="AF51" s="20" t="n">
        <x:f>IF(H51="CM-HCG",K51*'01 Controls'!$E$27,0)</x:f>
        <x:v>0</x:v>
      </x:c>
    </x:row>
    <x:row r="52">
      <x:c r="C52" s="22" t="str">
        <x:v>C1-CM-WMG</x:v>
      </x:c>
      <x:c r="D52" s="22" t="n">
        <x:v>47</x:v>
      </x:c>
      <x:c r="E52" s="22" t="str">
        <x:v>C1</x:v>
      </x:c>
      <x:c r="F52" s="22" t="str">
        <x:v>Grid failure</x:v>
      </x:c>
      <x:c r="G52" s="22" t="n">
        <x:v>1</x:v>
      </x:c>
      <x:c r="H52" s="22" t="str">
        <x:v>CM-WMG</x:v>
      </x:c>
      <x:c r="I52" s="22" t="str">
        <x:v>Civil Mobility and Continuity</x:v>
      </x:c>
      <x:c r="J52" s="22" t="str">
        <x:v>Civil water-mobility group</x:v>
      </x:c>
      <x:c r="K52" s="23" t="n">
        <x:v>2</x:v>
      </x:c>
      <x:c r="L52" s="23" t="n">
        <x:v>500</x:v>
      </x:c>
      <x:c r="M52" s="23" t="n">
        <x:v>100</x:v>
      </x:c>
      <x:c r="N52" s="20" t="n">
        <x:f>K52*L52</x:f>
        <x:v>1000</x:v>
      </x:c>
      <x:c r="O52" s="19" t="n">
        <x:v>9000</x:v>
      </x:c>
      <x:c r="P52" s="17" t="n">
        <x:v>0.5</x:v>
      </x:c>
      <x:c r="Q52" s="20" t="n">
        <x:f>K52*O52*P52</x:f>
        <x:v>9000</x:v>
      </x:c>
      <x:c r="R52" s="20" t="n">
        <x:f>Q52*(1-'01 Controls'!$E$6)</x:f>
        <x:v>6750</x:v>
      </x:c>
      <x:c r="S52" s="19" t="n">
        <x:v>50</x:v>
      </x:c>
      <x:c r="T52" s="20" t="n">
        <x:f>K52*S52</x:f>
        <x:v>100</x:v>
      </x:c>
      <x:c r="U52" s="18" t="n">
        <x:f>'01 Controls'!E32</x:f>
        <x:v>0.05</x:v>
      </x:c>
      <x:c r="V52" s="20" t="n">
        <x:f>R52*U52</x:f>
        <x:v>337.5</x:v>
      </x:c>
      <x:c r="W52" s="18" t="n">
        <x:f>'01 Controls'!F32</x:f>
        <x:v>0</x:v>
      </x:c>
      <x:c r="X52" s="20" t="n">
        <x:f>R52*W52</x:f>
        <x:v>0</x:v>
      </x:c>
      <x:c r="Y52" s="18" t="n">
        <x:f>'01 Controls'!G32</x:f>
        <x:v>0.9</x:v>
      </x:c>
      <x:c r="Z52" s="20" t="n">
        <x:f>R52*Y52</x:f>
        <x:v>6075</x:v>
      </x:c>
      <x:c r="AA52" s="18" t="n">
        <x:f>'01 Controls'!H32</x:f>
        <x:v>0.05</x:v>
      </x:c>
      <x:c r="AB52" s="20" t="n">
        <x:f>R52*AA52</x:f>
        <x:v>337.5</x:v>
      </x:c>
      <x:c r="AC52" s="20" t="n">
        <x:f>IF(H52="CM-HCG",K52*'01 Controls'!$E$24,0)</x:f>
        <x:v>0</x:v>
      </x:c>
      <x:c r="AD52" s="20" t="n">
        <x:f>IF(H52="CM-HCG",K52*'01 Controls'!$E$25,0)</x:f>
        <x:v>0</x:v>
      </x:c>
      <x:c r="AE52" s="20" t="n">
        <x:f>IF(H52="CM-HCG",K52*'01 Controls'!$E$26,0)</x:f>
        <x:v>0</x:v>
      </x:c>
      <x:c r="AF52" s="20" t="n">
        <x:f>IF(H52="CM-HCG",K52*'01 Controls'!$E$27,0)</x:f>
        <x:v>0</x:v>
      </x:c>
    </x:row>
    <x:row r="53">
      <x:c r="C53" s="22" t="str">
        <x:v>C1-CM-RDC</x:v>
      </x:c>
      <x:c r="D53" s="22" t="n">
        <x:v>48</x:v>
      </x:c>
      <x:c r="E53" s="22" t="str">
        <x:v>C1</x:v>
      </x:c>
      <x:c r="F53" s="22" t="str">
        <x:v>Grid failure</x:v>
      </x:c>
      <x:c r="G53" s="22" t="n">
        <x:v>1</x:v>
      </x:c>
      <x:c r="H53" s="22" t="str">
        <x:v>CM-RDC</x:v>
      </x:c>
      <x:c r="I53" s="22" t="str">
        <x:v>Civil Mobility and Continuity</x:v>
      </x:c>
      <x:c r="J53" s="22" t="str">
        <x:v>Return and durable-continuity group</x:v>
      </x:c>
      <x:c r="K53" s="23" t="n">
        <x:v>4</x:v>
      </x:c>
      <x:c r="L53" s="23" t="n">
        <x:v>450</x:v>
      </x:c>
      <x:c r="M53" s="23" t="n">
        <x:v>50</x:v>
      </x:c>
      <x:c r="N53" s="20" t="n">
        <x:f>K53*L53</x:f>
        <x:v>1800</x:v>
      </x:c>
      <x:c r="O53" s="19" t="n">
        <x:v>1800</x:v>
      </x:c>
      <x:c r="P53" s="17" t="n">
        <x:v>0.5</x:v>
      </x:c>
      <x:c r="Q53" s="20" t="n">
        <x:f>K53*O53*P53</x:f>
        <x:v>3600</x:v>
      </x:c>
      <x:c r="R53" s="20" t="n">
        <x:f>Q53*(1-'01 Controls'!$E$6)</x:f>
        <x:v>2700</x:v>
      </x:c>
      <x:c r="S53" s="19" t="n">
        <x:v>25</x:v>
      </x:c>
      <x:c r="T53" s="20" t="n">
        <x:f>K53*S53</x:f>
        <x:v>100</x:v>
      </x:c>
      <x:c r="U53" s="18" t="n">
        <x:f>'01 Controls'!E32</x:f>
        <x:v>0.05</x:v>
      </x:c>
      <x:c r="V53" s="20" t="n">
        <x:f>R53*U53</x:f>
        <x:v>135</x:v>
      </x:c>
      <x:c r="W53" s="18" t="n">
        <x:f>'01 Controls'!F32</x:f>
        <x:v>0</x:v>
      </x:c>
      <x:c r="X53" s="20" t="n">
        <x:f>R53*W53</x:f>
        <x:v>0</x:v>
      </x:c>
      <x:c r="Y53" s="18" t="n">
        <x:f>'01 Controls'!G32</x:f>
        <x:v>0.9</x:v>
      </x:c>
      <x:c r="Z53" s="20" t="n">
        <x:f>R53*Y53</x:f>
        <x:v>2430</x:v>
      </x:c>
      <x:c r="AA53" s="18" t="n">
        <x:f>'01 Controls'!H32</x:f>
        <x:v>0.05</x:v>
      </x:c>
      <x:c r="AB53" s="20" t="n">
        <x:f>R53*AA53</x:f>
        <x:v>135</x:v>
      </x:c>
      <x:c r="AC53" s="20" t="n">
        <x:f>IF(H53="CM-HCG",K53*'01 Controls'!$E$24,0)</x:f>
        <x:v>0</x:v>
      </x:c>
      <x:c r="AD53" s="20" t="n">
        <x:f>IF(H53="CM-HCG",K53*'01 Controls'!$E$25,0)</x:f>
        <x:v>0</x:v>
      </x:c>
      <x:c r="AE53" s="20" t="n">
        <x:f>IF(H53="CM-HCG",K53*'01 Controls'!$E$26,0)</x:f>
        <x:v>0</x:v>
      </x:c>
      <x:c r="AF53" s="20" t="n">
        <x:f>IF(H53="CM-HCG",K53*'01 Controls'!$E$27,0)</x:f>
        <x:v>0</x:v>
      </x:c>
    </x:row>
    <x:row r="54">
      <x:c r="C54" s="22" t="str">
        <x:v>C2-J-CIE</x:v>
      </x:c>
      <x:c r="D54" s="22" t="n">
        <x:v>49</x:v>
      </x:c>
      <x:c r="E54" s="22" t="str">
        <x:v>C2</x:v>
      </x:c>
      <x:c r="F54" s="22" t="str">
        <x:v>Gulf–Atlantic hurricane</x:v>
      </x:c>
      <x:c r="G54" s="22" t="n">
        <x:v>2</x:v>
      </x:c>
      <x:c r="H54" s="22" t="str">
        <x:v>J-CIE</x:v>
      </x:c>
      <x:c r="I54" s="22" t="str">
        <x:v>Joint</x:v>
      </x:c>
      <x:c r="J54" s="22" t="str">
        <x:v>Civil integration and effects group</x:v>
      </x:c>
      <x:c r="K54" s="23" t="n">
        <x:v>4</x:v>
      </x:c>
      <x:c r="L54" s="23" t="n">
        <x:v>120</x:v>
      </x:c>
      <x:c r="M54" s="23" t="n">
        <x:v>0</x:v>
      </x:c>
      <x:c r="N54" s="20" t="n">
        <x:f>K54*L54</x:f>
        <x:v>480</x:v>
      </x:c>
      <x:c r="O54" s="19" t="n">
        <x:v>2200</x:v>
      </x:c>
      <x:c r="P54" s="17" t="n">
        <x:v>0.65</x:v>
      </x:c>
      <x:c r="Q54" s="20" t="n">
        <x:f>K54*O54*P54</x:f>
        <x:v>5720</x:v>
      </x:c>
      <x:c r="R54" s="20" t="n">
        <x:f>Q54*(1-'01 Controls'!$E$6)</x:f>
        <x:v>4290</x:v>
      </x:c>
      <x:c r="S54" s="19" t="n">
        <x:v>45</x:v>
      </x:c>
      <x:c r="T54" s="20" t="n">
        <x:f>K54*S54</x:f>
        <x:v>180</x:v>
      </x:c>
      <x:c r="U54" s="18" t="n">
        <x:f>'01 Controls'!E33</x:f>
        <x:v>0.05</x:v>
      </x:c>
      <x:c r="V54" s="20" t="n">
        <x:f>R54*U54</x:f>
        <x:v>214.5</x:v>
      </x:c>
      <x:c r="W54" s="18" t="n">
        <x:f>'01 Controls'!F33</x:f>
        <x:v>0.2</x:v>
      </x:c>
      <x:c r="X54" s="20" t="n">
        <x:f>R54*W54</x:f>
        <x:v>858</x:v>
      </x:c>
      <x:c r="Y54" s="18" t="n">
        <x:f>'01 Controls'!G33</x:f>
        <x:v>0.6</x:v>
      </x:c>
      <x:c r="Z54" s="20" t="n">
        <x:f>R54*Y54</x:f>
        <x:v>2574</x:v>
      </x:c>
      <x:c r="AA54" s="18" t="n">
        <x:f>'01 Controls'!H33</x:f>
        <x:v>0.15</x:v>
      </x:c>
      <x:c r="AB54" s="20" t="n">
        <x:f>R54*AA54</x:f>
        <x:v>643.5</x:v>
      </x:c>
      <x:c r="AC54" s="20" t="n">
        <x:f>IF(H54="CM-HCG",K54*'01 Controls'!$E$24,0)</x:f>
        <x:v>0</x:v>
      </x:c>
      <x:c r="AD54" s="20" t="n">
        <x:f>IF(H54="CM-HCG",K54*'01 Controls'!$E$25,0)</x:f>
        <x:v>0</x:v>
      </x:c>
      <x:c r="AE54" s="20" t="n">
        <x:f>IF(H54="CM-HCG",K54*'01 Controls'!$E$26,0)</x:f>
        <x:v>0</x:v>
      </x:c>
      <x:c r="AF54" s="20" t="n">
        <x:f>IF(H54="CM-HCG",K54*'01 Controls'!$E$27,0)</x:f>
        <x:v>0</x:v>
      </x:c>
    </x:row>
    <x:row r="55">
      <x:c r="C55" s="22" t="str">
        <x:v>C2-J-TOC</x:v>
      </x:c>
      <x:c r="D55" s="22" t="n">
        <x:v>50</x:v>
      </x:c>
      <x:c r="E55" s="22" t="str">
        <x:v>C2</x:v>
      </x:c>
      <x:c r="F55" s="22" t="str">
        <x:v>Gulf–Atlantic hurricane</x:v>
      </x:c>
      <x:c r="G55" s="22" t="n">
        <x:v>2</x:v>
      </x:c>
      <x:c r="H55" s="22" t="str">
        <x:v>J-TOC</x:v>
      </x:c>
      <x:c r="I55" s="22" t="str">
        <x:v>Joint</x:v>
      </x:c>
      <x:c r="J55" s="22" t="str">
        <x:v>Theater-opening command</x:v>
      </x:c>
      <x:c r="K55" s="23" t="n">
        <x:v>3</x:v>
      </x:c>
      <x:c r="L55" s="23" t="n">
        <x:v>600</x:v>
      </x:c>
      <x:c r="M55" s="23" t="n">
        <x:v>0</x:v>
      </x:c>
      <x:c r="N55" s="20" t="n">
        <x:f>K55*L55</x:f>
        <x:v>1800</x:v>
      </x:c>
      <x:c r="O55" s="19" t="n">
        <x:v>2200</x:v>
      </x:c>
      <x:c r="P55" s="17" t="n">
        <x:v>0.65</x:v>
      </x:c>
      <x:c r="Q55" s="20" t="n">
        <x:f>K55*O55*P55</x:f>
        <x:v>4290</x:v>
      </x:c>
      <x:c r="R55" s="20" t="n">
        <x:f>Q55*(1-'01 Controls'!$E$6)</x:f>
        <x:v>3217.5</x:v>
      </x:c>
      <x:c r="S55" s="19" t="n">
        <x:v>45</x:v>
      </x:c>
      <x:c r="T55" s="20" t="n">
        <x:f>K55*S55</x:f>
        <x:v>135</x:v>
      </x:c>
      <x:c r="U55" s="18" t="n">
        <x:f>'01 Controls'!E33</x:f>
        <x:v>0.05</x:v>
      </x:c>
      <x:c r="V55" s="20" t="n">
        <x:f>R55*U55</x:f>
        <x:v>160.875</x:v>
      </x:c>
      <x:c r="W55" s="18" t="n">
        <x:f>'01 Controls'!F33</x:f>
        <x:v>0.2</x:v>
      </x:c>
      <x:c r="X55" s="20" t="n">
        <x:f>R55*W55</x:f>
        <x:v>643.5</x:v>
      </x:c>
      <x:c r="Y55" s="18" t="n">
        <x:f>'01 Controls'!G33</x:f>
        <x:v>0.6</x:v>
      </x:c>
      <x:c r="Z55" s="20" t="n">
        <x:f>R55*Y55</x:f>
        <x:v>1930.5</x:v>
      </x:c>
      <x:c r="AA55" s="18" t="n">
        <x:f>'01 Controls'!H33</x:f>
        <x:v>0.15</x:v>
      </x:c>
      <x:c r="AB55" s="20" t="n">
        <x:f>R55*AA55</x:f>
        <x:v>482.625</x:v>
      </x:c>
      <x:c r="AC55" s="20" t="n">
        <x:f>IF(H55="CM-HCG",K55*'01 Controls'!$E$24,0)</x:f>
        <x:v>0</x:v>
      </x:c>
      <x:c r="AD55" s="20" t="n">
        <x:f>IF(H55="CM-HCG",K55*'01 Controls'!$E$25,0)</x:f>
        <x:v>0</x:v>
      </x:c>
      <x:c r="AE55" s="20" t="n">
        <x:f>IF(H55="CM-HCG",K55*'01 Controls'!$E$26,0)</x:f>
        <x:v>0</x:v>
      </x:c>
      <x:c r="AF55" s="20" t="n">
        <x:f>IF(H55="CM-HCG",K55*'01 Controls'!$E$27,0)</x:f>
        <x:v>0</x:v>
      </x:c>
    </x:row>
    <x:row r="56">
      <x:c r="C56" s="22" t="str">
        <x:v>C2-J-TSC</x:v>
      </x:c>
      <x:c r="D56" s="22" t="n">
        <x:v>51</x:v>
      </x:c>
      <x:c r="E56" s="22" t="str">
        <x:v>C2</x:v>
      </x:c>
      <x:c r="F56" s="22" t="str">
        <x:v>Gulf–Atlantic hurricane</x:v>
      </x:c>
      <x:c r="G56" s="22" t="n">
        <x:v>2</x:v>
      </x:c>
      <x:c r="H56" s="22" t="str">
        <x:v>J-TSC</x:v>
      </x:c>
      <x:c r="I56" s="22" t="str">
        <x:v>Joint</x:v>
      </x:c>
      <x:c r="J56" s="22" t="str">
        <x:v>Theater sustainment command</x:v>
      </x:c>
      <x:c r="K56" s="23" t="n">
        <x:v>4</x:v>
      </x:c>
      <x:c r="L56" s="23" t="n">
        <x:v>900</x:v>
      </x:c>
      <x:c r="M56" s="23" t="n">
        <x:v>0</x:v>
      </x:c>
      <x:c r="N56" s="20" t="n">
        <x:f>K56*L56</x:f>
        <x:v>3600</x:v>
      </x:c>
      <x:c r="O56" s="19" t="n">
        <x:v>2200</x:v>
      </x:c>
      <x:c r="P56" s="17" t="n">
        <x:v>0.65</x:v>
      </x:c>
      <x:c r="Q56" s="20" t="n">
        <x:f>K56*O56*P56</x:f>
        <x:v>5720</x:v>
      </x:c>
      <x:c r="R56" s="20" t="n">
        <x:f>Q56*(1-'01 Controls'!$E$6)</x:f>
        <x:v>4290</x:v>
      </x:c>
      <x:c r="S56" s="19" t="n">
        <x:v>45</x:v>
      </x:c>
      <x:c r="T56" s="20" t="n">
        <x:f>K56*S56</x:f>
        <x:v>180</x:v>
      </x:c>
      <x:c r="U56" s="18" t="n">
        <x:f>'01 Controls'!E33</x:f>
        <x:v>0.05</x:v>
      </x:c>
      <x:c r="V56" s="20" t="n">
        <x:f>R56*U56</x:f>
        <x:v>214.5</x:v>
      </x:c>
      <x:c r="W56" s="18" t="n">
        <x:f>'01 Controls'!F33</x:f>
        <x:v>0.2</x:v>
      </x:c>
      <x:c r="X56" s="20" t="n">
        <x:f>R56*W56</x:f>
        <x:v>858</x:v>
      </x:c>
      <x:c r="Y56" s="18" t="n">
        <x:f>'01 Controls'!G33</x:f>
        <x:v>0.6</x:v>
      </x:c>
      <x:c r="Z56" s="20" t="n">
        <x:f>R56*Y56</x:f>
        <x:v>2574</x:v>
      </x:c>
      <x:c r="AA56" s="18" t="n">
        <x:f>'01 Controls'!H33</x:f>
        <x:v>0.15</x:v>
      </x:c>
      <x:c r="AB56" s="20" t="n">
        <x:f>R56*AA56</x:f>
        <x:v>643.5</x:v>
      </x:c>
      <x:c r="AC56" s="20" t="n">
        <x:f>IF(H56="CM-HCG",K56*'01 Controls'!$E$24,0)</x:f>
        <x:v>0</x:v>
      </x:c>
      <x:c r="AD56" s="20" t="n">
        <x:f>IF(H56="CM-HCG",K56*'01 Controls'!$E$25,0)</x:f>
        <x:v>0</x:v>
      </x:c>
      <x:c r="AE56" s="20" t="n">
        <x:f>IF(H56="CM-HCG",K56*'01 Controls'!$E$26,0)</x:f>
        <x:v>0</x:v>
      </x:c>
      <x:c r="AF56" s="20" t="n">
        <x:f>IF(H56="CM-HCG",K56*'01 Controls'!$E$27,0)</x:f>
        <x:v>0</x:v>
      </x:c>
    </x:row>
    <x:row r="57">
      <x:c r="C57" s="22" t="str">
        <x:v>C2-J-RRG</x:v>
      </x:c>
      <x:c r="D57" s="22" t="n">
        <x:v>52</x:v>
      </x:c>
      <x:c r="E57" s="22" t="str">
        <x:v>C2</x:v>
      </x:c>
      <x:c r="F57" s="22" t="str">
        <x:v>Gulf–Atlantic hurricane</x:v>
      </x:c>
      <x:c r="G57" s="22" t="n">
        <x:v>2</x:v>
      </x:c>
      <x:c r="H57" s="22" t="str">
        <x:v>J-RRG</x:v>
      </x:c>
      <x:c r="I57" s="22" t="str">
        <x:v>Joint</x:v>
      </x:c>
      <x:c r="J57" s="22" t="str">
        <x:v>Replacement and reconstitution group</x:v>
      </x:c>
      <x:c r="K57" s="23" t="n">
        <x:v>4</x:v>
      </x:c>
      <x:c r="L57" s="23" t="n">
        <x:v>400</x:v>
      </x:c>
      <x:c r="M57" s="23" t="n">
        <x:v>0</x:v>
      </x:c>
      <x:c r="N57" s="20" t="n">
        <x:f>K57*L57</x:f>
        <x:v>1600</x:v>
      </x:c>
      <x:c r="O57" s="19" t="n">
        <x:v>2200</x:v>
      </x:c>
      <x:c r="P57" s="17" t="n">
        <x:v>0.65</x:v>
      </x:c>
      <x:c r="Q57" s="20" t="n">
        <x:f>K57*O57*P57</x:f>
        <x:v>5720</x:v>
      </x:c>
      <x:c r="R57" s="20" t="n">
        <x:f>Q57*(1-'01 Controls'!$E$6)</x:f>
        <x:v>4290</x:v>
      </x:c>
      <x:c r="S57" s="19" t="n">
        <x:v>45</x:v>
      </x:c>
      <x:c r="T57" s="20" t="n">
        <x:f>K57*S57</x:f>
        <x:v>180</x:v>
      </x:c>
      <x:c r="U57" s="18" t="n">
        <x:f>'01 Controls'!E33</x:f>
        <x:v>0.05</x:v>
      </x:c>
      <x:c r="V57" s="20" t="n">
        <x:f>R57*U57</x:f>
        <x:v>214.5</x:v>
      </x:c>
      <x:c r="W57" s="18" t="n">
        <x:f>'01 Controls'!F33</x:f>
        <x:v>0.2</x:v>
      </x:c>
      <x:c r="X57" s="20" t="n">
        <x:f>R57*W57</x:f>
        <x:v>858</x:v>
      </x:c>
      <x:c r="Y57" s="18" t="n">
        <x:f>'01 Controls'!G33</x:f>
        <x:v>0.6</x:v>
      </x:c>
      <x:c r="Z57" s="20" t="n">
        <x:f>R57*Y57</x:f>
        <x:v>2574</x:v>
      </x:c>
      <x:c r="AA57" s="18" t="n">
        <x:f>'01 Controls'!H33</x:f>
        <x:v>0.15</x:v>
      </x:c>
      <x:c r="AB57" s="20" t="n">
        <x:f>R57*AA57</x:f>
        <x:v>643.5</x:v>
      </x:c>
      <x:c r="AC57" s="20" t="n">
        <x:f>IF(H57="CM-HCG",K57*'01 Controls'!$E$24,0)</x:f>
        <x:v>0</x:v>
      </x:c>
      <x:c r="AD57" s="20" t="n">
        <x:f>IF(H57="CM-HCG",K57*'01 Controls'!$E$25,0)</x:f>
        <x:v>0</x:v>
      </x:c>
      <x:c r="AE57" s="20" t="n">
        <x:f>IF(H57="CM-HCG",K57*'01 Controls'!$E$26,0)</x:f>
        <x:v>0</x:v>
      </x:c>
      <x:c r="AF57" s="20" t="n">
        <x:f>IF(H57="CM-HCG",K57*'01 Controls'!$E$27,0)</x:f>
        <x:v>0</x:v>
      </x:c>
    </x:row>
    <x:row r="58">
      <x:c r="C58" s="22" t="str">
        <x:v>C2-J-TDG</x:v>
      </x:c>
      <x:c r="D58" s="22" t="n">
        <x:v>53</x:v>
      </x:c>
      <x:c r="E58" s="22" t="str">
        <x:v>C2</x:v>
      </x:c>
      <x:c r="F58" s="22" t="str">
        <x:v>Gulf–Atlantic hurricane</x:v>
      </x:c>
      <x:c r="G58" s="22" t="n">
        <x:v>2</x:v>
      </x:c>
      <x:c r="H58" s="22" t="str">
        <x:v>J-TDG</x:v>
      </x:c>
      <x:c r="I58" s="22" t="str">
        <x:v>Joint</x:v>
      </x:c>
      <x:c r="J58" s="22" t="str">
        <x:v>Transfer and demobilization group</x:v>
      </x:c>
      <x:c r="K58" s="23" t="n">
        <x:v>3</x:v>
      </x:c>
      <x:c r="L58" s="23" t="n">
        <x:v>150</x:v>
      </x:c>
      <x:c r="M58" s="23" t="n">
        <x:v>0</x:v>
      </x:c>
      <x:c r="N58" s="20" t="n">
        <x:f>K58*L58</x:f>
        <x:v>450</x:v>
      </x:c>
      <x:c r="O58" s="19" t="n">
        <x:v>2200</x:v>
      </x:c>
      <x:c r="P58" s="17" t="n">
        <x:v>0.65</x:v>
      </x:c>
      <x:c r="Q58" s="20" t="n">
        <x:f>K58*O58*P58</x:f>
        <x:v>4290</x:v>
      </x:c>
      <x:c r="R58" s="20" t="n">
        <x:f>Q58*(1-'01 Controls'!$E$6)</x:f>
        <x:v>3217.5</x:v>
      </x:c>
      <x:c r="S58" s="19" t="n">
        <x:v>45</x:v>
      </x:c>
      <x:c r="T58" s="20" t="n">
        <x:f>K58*S58</x:f>
        <x:v>135</x:v>
      </x:c>
      <x:c r="U58" s="18" t="n">
        <x:f>'01 Controls'!E33</x:f>
        <x:v>0.05</x:v>
      </x:c>
      <x:c r="V58" s="20" t="n">
        <x:f>R58*U58</x:f>
        <x:v>160.875</x:v>
      </x:c>
      <x:c r="W58" s="18" t="n">
        <x:f>'01 Controls'!F33</x:f>
        <x:v>0.2</x:v>
      </x:c>
      <x:c r="X58" s="20" t="n">
        <x:f>R58*W58</x:f>
        <x:v>643.5</x:v>
      </x:c>
      <x:c r="Y58" s="18" t="n">
        <x:f>'01 Controls'!G33</x:f>
        <x:v>0.6</x:v>
      </x:c>
      <x:c r="Z58" s="20" t="n">
        <x:f>R58*Y58</x:f>
        <x:v>1930.5</x:v>
      </x:c>
      <x:c r="AA58" s="18" t="n">
        <x:f>'01 Controls'!H33</x:f>
        <x:v>0.15</x:v>
      </x:c>
      <x:c r="AB58" s="20" t="n">
        <x:f>R58*AA58</x:f>
        <x:v>482.625</x:v>
      </x:c>
      <x:c r="AC58" s="20" t="n">
        <x:f>IF(H58="CM-HCG",K58*'01 Controls'!$E$24,0)</x:f>
        <x:v>0</x:v>
      </x:c>
      <x:c r="AD58" s="20" t="n">
        <x:f>IF(H58="CM-HCG",K58*'01 Controls'!$E$25,0)</x:f>
        <x:v>0</x:v>
      </x:c>
      <x:c r="AE58" s="20" t="n">
        <x:f>IF(H58="CM-HCG",K58*'01 Controls'!$E$26,0)</x:f>
        <x:v>0</x:v>
      </x:c>
      <x:c r="AF58" s="20" t="n">
        <x:f>IF(H58="CM-HCG",K58*'01 Controls'!$E$27,0)</x:f>
        <x:v>0</x:v>
      </x:c>
    </x:row>
    <x:row r="59">
      <x:c r="C59" s="22" t="str">
        <x:v>C2-L-ROG</x:v>
      </x:c>
      <x:c r="D59" s="22" t="n">
        <x:v>54</x:v>
      </x:c>
      <x:c r="E59" s="22" t="str">
        <x:v>C2</x:v>
      </x:c>
      <x:c r="F59" s="22" t="str">
        <x:v>Gulf–Atlantic hurricane</x:v>
      </x:c>
      <x:c r="G59" s="22" t="n">
        <x:v>2</x:v>
      </x:c>
      <x:c r="H59" s="22" t="str">
        <x:v>L-ROG</x:v>
      </x:c>
      <x:c r="I59" s="22" t="str">
        <x:v>Land Engineering</x:v>
      </x:c>
      <x:c r="J59" s="22" t="str">
        <x:v>Access and route-opening group</x:v>
      </x:c>
      <x:c r="K59" s="23" t="n">
        <x:v>8</x:v>
      </x:c>
      <x:c r="L59" s="23" t="n">
        <x:v>350</x:v>
      </x:c>
      <x:c r="M59" s="23" t="n">
        <x:v>0</x:v>
      </x:c>
      <x:c r="N59" s="20" t="n">
        <x:f>K59*L59</x:f>
        <x:v>2800</x:v>
      </x:c>
      <x:c r="O59" s="19" t="n">
        <x:v>9000</x:v>
      </x:c>
      <x:c r="P59" s="17" t="n">
        <x:v>0.45</x:v>
      </x:c>
      <x:c r="Q59" s="20" t="n">
        <x:f>K59*O59*P59</x:f>
        <x:v>32400</x:v>
      </x:c>
      <x:c r="R59" s="20" t="n">
        <x:f>Q59*(1-'01 Controls'!$E$6)</x:f>
        <x:v>24300</x:v>
      </x:c>
      <x:c r="S59" s="19" t="n">
        <x:v>90</x:v>
      </x:c>
      <x:c r="T59" s="20" t="n">
        <x:f>K59*S59</x:f>
        <x:v>720</x:v>
      </x:c>
      <x:c r="U59" s="18" t="n">
        <x:f>'01 Controls'!E33</x:f>
        <x:v>0.05</x:v>
      </x:c>
      <x:c r="V59" s="20" t="n">
        <x:f>R59*U59</x:f>
        <x:v>1215</x:v>
      </x:c>
      <x:c r="W59" s="18" t="n">
        <x:f>'01 Controls'!F33</x:f>
        <x:v>0.2</x:v>
      </x:c>
      <x:c r="X59" s="20" t="n">
        <x:f>R59*W59</x:f>
        <x:v>4860</x:v>
      </x:c>
      <x:c r="Y59" s="18" t="n">
        <x:f>'01 Controls'!G33</x:f>
        <x:v>0.6</x:v>
      </x:c>
      <x:c r="Z59" s="20" t="n">
        <x:f>R59*Y59</x:f>
        <x:v>14580</x:v>
      </x:c>
      <x:c r="AA59" s="18" t="n">
        <x:f>'01 Controls'!H33</x:f>
        <x:v>0.15</x:v>
      </x:c>
      <x:c r="AB59" s="20" t="n">
        <x:f>R59*AA59</x:f>
        <x:v>3645</x:v>
      </x:c>
      <x:c r="AC59" s="20" t="n">
        <x:f>IF(H59="CM-HCG",K59*'01 Controls'!$E$24,0)</x:f>
        <x:v>0</x:v>
      </x:c>
      <x:c r="AD59" s="20" t="n">
        <x:f>IF(H59="CM-HCG",K59*'01 Controls'!$E$25,0)</x:f>
        <x:v>0</x:v>
      </x:c>
      <x:c r="AE59" s="20" t="n">
        <x:f>IF(H59="CM-HCG",K59*'01 Controls'!$E$26,0)</x:f>
        <x:v>0</x:v>
      </x:c>
      <x:c r="AF59" s="20" t="n">
        <x:f>IF(H59="CM-HCG",K59*'01 Controls'!$E$27,0)</x:f>
        <x:v>0</x:v>
      </x:c>
    </x:row>
    <x:row r="60">
      <x:c r="C60" s="22" t="str">
        <x:v>C2-L-HCG</x:v>
      </x:c>
      <x:c r="D60" s="22" t="n">
        <x:v>55</x:v>
      </x:c>
      <x:c r="E60" s="22" t="str">
        <x:v>C2</x:v>
      </x:c>
      <x:c r="F60" s="22" t="str">
        <x:v>Gulf–Atlantic hurricane</x:v>
      </x:c>
      <x:c r="G60" s="22" t="n">
        <x:v>2</x:v>
      </x:c>
      <x:c r="H60" s="22" t="str">
        <x:v>L-HCG</x:v>
      </x:c>
      <x:c r="I60" s="22" t="str">
        <x:v>Land Engineering</x:v>
      </x:c>
      <x:c r="J60" s="22" t="str">
        <x:v>Flood and hydraulic-control group</x:v>
      </x:c>
      <x:c r="K60" s="23" t="n">
        <x:v>10</x:v>
      </x:c>
      <x:c r="L60" s="23" t="n">
        <x:v>500</x:v>
      </x:c>
      <x:c r="M60" s="23" t="n">
        <x:v>0</x:v>
      </x:c>
      <x:c r="N60" s="20" t="n">
        <x:f>K60*L60</x:f>
        <x:v>5000</x:v>
      </x:c>
      <x:c r="O60" s="19" t="n">
        <x:v>9000</x:v>
      </x:c>
      <x:c r="P60" s="17" t="n">
        <x:v>0.45</x:v>
      </x:c>
      <x:c r="Q60" s="20" t="n">
        <x:f>K60*O60*P60</x:f>
        <x:v>40500</x:v>
      </x:c>
      <x:c r="R60" s="20" t="n">
        <x:f>Q60*(1-'01 Controls'!$E$6)</x:f>
        <x:v>30375</x:v>
      </x:c>
      <x:c r="S60" s="19" t="n">
        <x:v>90</x:v>
      </x:c>
      <x:c r="T60" s="20" t="n">
        <x:f>K60*S60</x:f>
        <x:v>900</x:v>
      </x:c>
      <x:c r="U60" s="18" t="n">
        <x:f>'01 Controls'!E33</x:f>
        <x:v>0.05</x:v>
      </x:c>
      <x:c r="V60" s="20" t="n">
        <x:f>R60*U60</x:f>
        <x:v>1518.75</x:v>
      </x:c>
      <x:c r="W60" s="18" t="n">
        <x:f>'01 Controls'!F33</x:f>
        <x:v>0.2</x:v>
      </x:c>
      <x:c r="X60" s="20" t="n">
        <x:f>R60*W60</x:f>
        <x:v>6075</x:v>
      </x:c>
      <x:c r="Y60" s="18" t="n">
        <x:f>'01 Controls'!G33</x:f>
        <x:v>0.6</x:v>
      </x:c>
      <x:c r="Z60" s="20" t="n">
        <x:f>R60*Y60</x:f>
        <x:v>18225</x:v>
      </x:c>
      <x:c r="AA60" s="18" t="n">
        <x:f>'01 Controls'!H33</x:f>
        <x:v>0.15</x:v>
      </x:c>
      <x:c r="AB60" s="20" t="n">
        <x:f>R60*AA60</x:f>
        <x:v>4556.25</x:v>
      </x:c>
      <x:c r="AC60" s="20" t="n">
        <x:f>IF(H60="CM-HCG",K60*'01 Controls'!$E$24,0)</x:f>
        <x:v>0</x:v>
      </x:c>
      <x:c r="AD60" s="20" t="n">
        <x:f>IF(H60="CM-HCG",K60*'01 Controls'!$E$25,0)</x:f>
        <x:v>0</x:v>
      </x:c>
      <x:c r="AE60" s="20" t="n">
        <x:f>IF(H60="CM-HCG",K60*'01 Controls'!$E$26,0)</x:f>
        <x:v>0</x:v>
      </x:c>
      <x:c r="AF60" s="20" t="n">
        <x:f>IF(H60="CM-HCG",K60*'01 Controls'!$E$27,0)</x:f>
        <x:v>0</x:v>
      </x:c>
    </x:row>
    <x:row r="61">
      <x:c r="C61" s="22" t="str">
        <x:v>C2-L-DMG</x:v>
      </x:c>
      <x:c r="D61" s="22" t="n">
        <x:v>56</x:v>
      </x:c>
      <x:c r="E61" s="22" t="str">
        <x:v>C2</x:v>
      </x:c>
      <x:c r="F61" s="22" t="str">
        <x:v>Gulf–Atlantic hurricane</x:v>
      </x:c>
      <x:c r="G61" s="22" t="n">
        <x:v>2</x:v>
      </x:c>
      <x:c r="H61" s="22" t="str">
        <x:v>L-DMG</x:v>
      </x:c>
      <x:c r="I61" s="22" t="str">
        <x:v>Land Engineering</x:v>
      </x:c>
      <x:c r="J61" s="22" t="str">
        <x:v>Debris and materials group</x:v>
      </x:c>
      <x:c r="K61" s="23" t="n">
        <x:v>8</x:v>
      </x:c>
      <x:c r="L61" s="23" t="n">
        <x:v>400</x:v>
      </x:c>
      <x:c r="M61" s="23" t="n">
        <x:v>0</x:v>
      </x:c>
      <x:c r="N61" s="20" t="n">
        <x:f>K61*L61</x:f>
        <x:v>3200</x:v>
      </x:c>
      <x:c r="O61" s="19" t="n">
        <x:v>9000</x:v>
      </x:c>
      <x:c r="P61" s="17" t="n">
        <x:v>0.45</x:v>
      </x:c>
      <x:c r="Q61" s="20" t="n">
        <x:f>K61*O61*P61</x:f>
        <x:v>32400</x:v>
      </x:c>
      <x:c r="R61" s="20" t="n">
        <x:f>Q61*(1-'01 Controls'!$E$6)</x:f>
        <x:v>24300</x:v>
      </x:c>
      <x:c r="S61" s="19" t="n">
        <x:v>90</x:v>
      </x:c>
      <x:c r="T61" s="20" t="n">
        <x:f>K61*S61</x:f>
        <x:v>720</x:v>
      </x:c>
      <x:c r="U61" s="18" t="n">
        <x:f>'01 Controls'!E33</x:f>
        <x:v>0.05</x:v>
      </x:c>
      <x:c r="V61" s="20" t="n">
        <x:f>R61*U61</x:f>
        <x:v>1215</x:v>
      </x:c>
      <x:c r="W61" s="18" t="n">
        <x:f>'01 Controls'!F33</x:f>
        <x:v>0.2</x:v>
      </x:c>
      <x:c r="X61" s="20" t="n">
        <x:f>R61*W61</x:f>
        <x:v>4860</x:v>
      </x:c>
      <x:c r="Y61" s="18" t="n">
        <x:f>'01 Controls'!G33</x:f>
        <x:v>0.6</x:v>
      </x:c>
      <x:c r="Z61" s="20" t="n">
        <x:f>R61*Y61</x:f>
        <x:v>14580</x:v>
      </x:c>
      <x:c r="AA61" s="18" t="n">
        <x:f>'01 Controls'!H33</x:f>
        <x:v>0.15</x:v>
      </x:c>
      <x:c r="AB61" s="20" t="n">
        <x:f>R61*AA61</x:f>
        <x:v>3645</x:v>
      </x:c>
      <x:c r="AC61" s="20" t="n">
        <x:f>IF(H61="CM-HCG",K61*'01 Controls'!$E$24,0)</x:f>
        <x:v>0</x:v>
      </x:c>
      <x:c r="AD61" s="20" t="n">
        <x:f>IF(H61="CM-HCG",K61*'01 Controls'!$E$25,0)</x:f>
        <x:v>0</x:v>
      </x:c>
      <x:c r="AE61" s="20" t="n">
        <x:f>IF(H61="CM-HCG",K61*'01 Controls'!$E$26,0)</x:f>
        <x:v>0</x:v>
      </x:c>
      <x:c r="AF61" s="20" t="n">
        <x:f>IF(H61="CM-HCG",K61*'01 Controls'!$E$27,0)</x:f>
        <x:v>0</x:v>
      </x:c>
    </x:row>
    <x:row r="62">
      <x:c r="C62" s="22" t="str">
        <x:v>C2-L-TWG</x:v>
      </x:c>
      <x:c r="D62" s="22" t="n">
        <x:v>57</x:v>
      </x:c>
      <x:c r="E62" s="22" t="str">
        <x:v>C2</x:v>
      </x:c>
      <x:c r="F62" s="22" t="str">
        <x:v>Gulf–Atlantic hurricane</x:v>
      </x:c>
      <x:c r="G62" s="22" t="n">
        <x:v>2</x:v>
      </x:c>
      <x:c r="H62" s="22" t="str">
        <x:v>L-TWG</x:v>
      </x:c>
      <x:c r="I62" s="22" t="str">
        <x:v>Land Engineering</x:v>
      </x:c>
      <x:c r="J62" s="22" t="str">
        <x:v>Temporary works and crossing group</x:v>
      </x:c>
      <x:c r="K62" s="23" t="n">
        <x:v>6</x:v>
      </x:c>
      <x:c r="L62" s="23" t="n">
        <x:v>350</x:v>
      </x:c>
      <x:c r="M62" s="23" t="n">
        <x:v>0</x:v>
      </x:c>
      <x:c r="N62" s="20" t="n">
        <x:f>K62*L62</x:f>
        <x:v>2100</x:v>
      </x:c>
      <x:c r="O62" s="19" t="n">
        <x:v>9000</x:v>
      </x:c>
      <x:c r="P62" s="17" t="n">
        <x:v>0.45</x:v>
      </x:c>
      <x:c r="Q62" s="20" t="n">
        <x:f>K62*O62*P62</x:f>
        <x:v>24300</x:v>
      </x:c>
      <x:c r="R62" s="20" t="n">
        <x:f>Q62*(1-'01 Controls'!$E$6)</x:f>
        <x:v>18225</x:v>
      </x:c>
      <x:c r="S62" s="19" t="n">
        <x:v>90</x:v>
      </x:c>
      <x:c r="T62" s="20" t="n">
        <x:f>K62*S62</x:f>
        <x:v>540</x:v>
      </x:c>
      <x:c r="U62" s="18" t="n">
        <x:f>'01 Controls'!E33</x:f>
        <x:v>0.05</x:v>
      </x:c>
      <x:c r="V62" s="20" t="n">
        <x:f>R62*U62</x:f>
        <x:v>911.25</x:v>
      </x:c>
      <x:c r="W62" s="18" t="n">
        <x:f>'01 Controls'!F33</x:f>
        <x:v>0.2</x:v>
      </x:c>
      <x:c r="X62" s="20" t="n">
        <x:f>R62*W62</x:f>
        <x:v>3645</x:v>
      </x:c>
      <x:c r="Y62" s="18" t="n">
        <x:f>'01 Controls'!G33</x:f>
        <x:v>0.6</x:v>
      </x:c>
      <x:c r="Z62" s="20" t="n">
        <x:f>R62*Y62</x:f>
        <x:v>10935</x:v>
      </x:c>
      <x:c r="AA62" s="18" t="n">
        <x:f>'01 Controls'!H33</x:f>
        <x:v>0.15</x:v>
      </x:c>
      <x:c r="AB62" s="20" t="n">
        <x:f>R62*AA62</x:f>
        <x:v>2733.75</x:v>
      </x:c>
      <x:c r="AC62" s="20" t="n">
        <x:f>IF(H62="CM-HCG",K62*'01 Controls'!$E$24,0)</x:f>
        <x:v>0</x:v>
      </x:c>
      <x:c r="AD62" s="20" t="n">
        <x:f>IF(H62="CM-HCG",K62*'01 Controls'!$E$25,0)</x:f>
        <x:v>0</x:v>
      </x:c>
      <x:c r="AE62" s="20" t="n">
        <x:f>IF(H62="CM-HCG",K62*'01 Controls'!$E$26,0)</x:f>
        <x:v>0</x:v>
      </x:c>
      <x:c r="AF62" s="20" t="n">
        <x:f>IF(H62="CM-HCG",K62*'01 Controls'!$E$27,0)</x:f>
        <x:v>0</x:v>
      </x:c>
    </x:row>
    <x:row r="63">
      <x:c r="C63" s="22" t="str">
        <x:v>C2-L-GFG</x:v>
      </x:c>
      <x:c r="D63" s="22" t="n">
        <x:v>58</x:v>
      </x:c>
      <x:c r="E63" s="22" t="str">
        <x:v>C2</x:v>
      </x:c>
      <x:c r="F63" s="22" t="str">
        <x:v>Gulf–Atlantic hurricane</x:v>
      </x:c>
      <x:c r="G63" s="22" t="n">
        <x:v>2</x:v>
      </x:c>
      <x:c r="H63" s="22" t="str">
        <x:v>L-GFG</x:v>
      </x:c>
      <x:c r="I63" s="22" t="str">
        <x:v>Land Engineering</x:v>
      </x:c>
      <x:c r="J63" s="22" t="str">
        <x:v>Ground fire and landscape group</x:v>
      </x:c>
      <x:c r="K63" s="23" t="n">
        <x:v>3</x:v>
      </x:c>
      <x:c r="L63" s="23" t="n">
        <x:v>450</x:v>
      </x:c>
      <x:c r="M63" s="23" t="n">
        <x:v>0</x:v>
      </x:c>
      <x:c r="N63" s="20" t="n">
        <x:f>K63*L63</x:f>
        <x:v>1350</x:v>
      </x:c>
      <x:c r="O63" s="19" t="n">
        <x:v>9000</x:v>
      </x:c>
      <x:c r="P63" s="17" t="n">
        <x:v>0.45</x:v>
      </x:c>
      <x:c r="Q63" s="20" t="n">
        <x:f>K63*O63*P63</x:f>
        <x:v>12150</x:v>
      </x:c>
      <x:c r="R63" s="20" t="n">
        <x:f>Q63*(1-'01 Controls'!$E$6)</x:f>
        <x:v>9112.5</x:v>
      </x:c>
      <x:c r="S63" s="19" t="n">
        <x:v>90</x:v>
      </x:c>
      <x:c r="T63" s="20" t="n">
        <x:f>K63*S63</x:f>
        <x:v>270</x:v>
      </x:c>
      <x:c r="U63" s="18" t="n">
        <x:f>'01 Controls'!E33</x:f>
        <x:v>0.05</x:v>
      </x:c>
      <x:c r="V63" s="20" t="n">
        <x:f>R63*U63</x:f>
        <x:v>455.625</x:v>
      </x:c>
      <x:c r="W63" s="18" t="n">
        <x:f>'01 Controls'!F33</x:f>
        <x:v>0.2</x:v>
      </x:c>
      <x:c r="X63" s="20" t="n">
        <x:f>R63*W63</x:f>
        <x:v>1822.5</x:v>
      </x:c>
      <x:c r="Y63" s="18" t="n">
        <x:f>'01 Controls'!G33</x:f>
        <x:v>0.6</x:v>
      </x:c>
      <x:c r="Z63" s="20" t="n">
        <x:f>R63*Y63</x:f>
        <x:v>5467.5</x:v>
      </x:c>
      <x:c r="AA63" s="18" t="n">
        <x:f>'01 Controls'!H33</x:f>
        <x:v>0.15</x:v>
      </x:c>
      <x:c r="AB63" s="20" t="n">
        <x:f>R63*AA63</x:f>
        <x:v>1366.875</x:v>
      </x:c>
      <x:c r="AC63" s="20" t="n">
        <x:f>IF(H63="CM-HCG",K63*'01 Controls'!$E$24,0)</x:f>
        <x:v>0</x:v>
      </x:c>
      <x:c r="AD63" s="20" t="n">
        <x:f>IF(H63="CM-HCG",K63*'01 Controls'!$E$25,0)</x:f>
        <x:v>0</x:v>
      </x:c>
      <x:c r="AE63" s="20" t="n">
        <x:f>IF(H63="CM-HCG",K63*'01 Controls'!$E$26,0)</x:f>
        <x:v>0</x:v>
      </x:c>
      <x:c r="AF63" s="20" t="n">
        <x:f>IF(H63="CM-HCG",K63*'01 Controls'!$E$27,0)</x:f>
        <x:v>0</x:v>
      </x:c>
    </x:row>
    <x:row r="64">
      <x:c r="C64" s="22" t="str">
        <x:v>C2-A-SMW</x:v>
      </x:c>
      <x:c r="D64" s="22" t="n">
        <x:v>59</x:v>
      </x:c>
      <x:c r="E64" s="22" t="str">
        <x:v>C2</x:v>
      </x:c>
      <x:c r="F64" s="22" t="str">
        <x:v>Gulf–Atlantic hurricane</x:v>
      </x:c>
      <x:c r="G64" s="22" t="n">
        <x:v>2</x:v>
      </x:c>
      <x:c r="H64" s="22" t="str">
        <x:v>A-SMW</x:v>
      </x:c>
      <x:c r="I64" s="22" t="str">
        <x:v>Air Response</x:v>
      </x:c>
      <x:c r="J64" s="22" t="str">
        <x:v>Strategic mobility wing</x:v>
      </x:c>
      <x:c r="K64" s="23" t="n">
        <x:v>3</x:v>
      </x:c>
      <x:c r="L64" s="23" t="n">
        <x:v>900</x:v>
      </x:c>
      <x:c r="M64" s="23" t="n">
        <x:v>0</x:v>
      </x:c>
      <x:c r="N64" s="20" t="n">
        <x:f>K64*L64</x:f>
        <x:v>2700</x:v>
      </x:c>
      <x:c r="O64" s="19" t="n">
        <x:v>5000</x:v>
      </x:c>
      <x:c r="P64" s="17" t="n">
        <x:v>0.75</x:v>
      </x:c>
      <x:c r="Q64" s="20" t="n">
        <x:f>K64*O64*P64</x:f>
        <x:v>11250</x:v>
      </x:c>
      <x:c r="R64" s="20" t="n">
        <x:f>Q64*(1-'01 Controls'!$E$6)</x:f>
        <x:v>8437.5</x:v>
      </x:c>
      <x:c r="S64" s="19" t="n">
        <x:v>100</x:v>
      </x:c>
      <x:c r="T64" s="20" t="n">
        <x:f>K64*S64</x:f>
        <x:v>300</x:v>
      </x:c>
      <x:c r="U64" s="18" t="n">
        <x:f>'01 Controls'!E33</x:f>
        <x:v>0.05</x:v>
      </x:c>
      <x:c r="V64" s="20" t="n">
        <x:f>R64*U64</x:f>
        <x:v>421.875</x:v>
      </x:c>
      <x:c r="W64" s="18" t="n">
        <x:f>'01 Controls'!F33</x:f>
        <x:v>0.2</x:v>
      </x:c>
      <x:c r="X64" s="20" t="n">
        <x:f>R64*W64</x:f>
        <x:v>1687.5</x:v>
      </x:c>
      <x:c r="Y64" s="18" t="n">
        <x:f>'01 Controls'!G33</x:f>
        <x:v>0.6</x:v>
      </x:c>
      <x:c r="Z64" s="20" t="n">
        <x:f>R64*Y64</x:f>
        <x:v>5062.5</x:v>
      </x:c>
      <x:c r="AA64" s="18" t="n">
        <x:f>'01 Controls'!H33</x:f>
        <x:v>0.15</x:v>
      </x:c>
      <x:c r="AB64" s="20" t="n">
        <x:f>R64*AA64</x:f>
        <x:v>1265.625</x:v>
      </x:c>
      <x:c r="AC64" s="20" t="n">
        <x:f>IF(H64="CM-HCG",K64*'01 Controls'!$E$24,0)</x:f>
        <x:v>0</x:v>
      </x:c>
      <x:c r="AD64" s="20" t="n">
        <x:f>IF(H64="CM-HCG",K64*'01 Controls'!$E$25,0)</x:f>
        <x:v>0</x:v>
      </x:c>
      <x:c r="AE64" s="20" t="n">
        <x:f>IF(H64="CM-HCG",K64*'01 Controls'!$E$26,0)</x:f>
        <x:v>0</x:v>
      </x:c>
      <x:c r="AF64" s="20" t="n">
        <x:f>IF(H64="CM-HCG",K64*'01 Controls'!$E$27,0)</x:f>
        <x:v>0</x:v>
      </x:c>
    </x:row>
    <x:row r="65">
      <x:c r="C65" s="22" t="str">
        <x:v>C2-A-AAG</x:v>
      </x:c>
      <x:c r="D65" s="22" t="n">
        <x:v>60</x:v>
      </x:c>
      <x:c r="E65" s="22" t="str">
        <x:v>C2</x:v>
      </x:c>
      <x:c r="F65" s="22" t="str">
        <x:v>Gulf–Atlantic hurricane</x:v>
      </x:c>
      <x:c r="G65" s="22" t="n">
        <x:v>2</x:v>
      </x:c>
      <x:c r="H65" s="22" t="str">
        <x:v>A-AAG</x:v>
      </x:c>
      <x:c r="I65" s="22" t="str">
        <x:v>Air Response</x:v>
      </x:c>
      <x:c r="J65" s="22" t="str">
        <x:v>Austere air-access group</x:v>
      </x:c>
      <x:c r="K65" s="23" t="n">
        <x:v>4</x:v>
      </x:c>
      <x:c r="L65" s="23" t="n">
        <x:v>350</x:v>
      </x:c>
      <x:c r="M65" s="23" t="n">
        <x:v>0</x:v>
      </x:c>
      <x:c r="N65" s="20" t="n">
        <x:f>K65*L65</x:f>
        <x:v>1400</x:v>
      </x:c>
      <x:c r="O65" s="19" t="n">
        <x:v>5000</x:v>
      </x:c>
      <x:c r="P65" s="17" t="n">
        <x:v>0.75</x:v>
      </x:c>
      <x:c r="Q65" s="20" t="n">
        <x:f>K65*O65*P65</x:f>
        <x:v>15000</x:v>
      </x:c>
      <x:c r="R65" s="20" t="n">
        <x:f>Q65*(1-'01 Controls'!$E$6)</x:f>
        <x:v>11250</x:v>
      </x:c>
      <x:c r="S65" s="19" t="n">
        <x:v>100</x:v>
      </x:c>
      <x:c r="T65" s="20" t="n">
        <x:f>K65*S65</x:f>
        <x:v>400</x:v>
      </x:c>
      <x:c r="U65" s="18" t="n">
        <x:f>'01 Controls'!E33</x:f>
        <x:v>0.05</x:v>
      </x:c>
      <x:c r="V65" s="20" t="n">
        <x:f>R65*U65</x:f>
        <x:v>562.5</x:v>
      </x:c>
      <x:c r="W65" s="18" t="n">
        <x:f>'01 Controls'!F33</x:f>
        <x:v>0.2</x:v>
      </x:c>
      <x:c r="X65" s="20" t="n">
        <x:f>R65*W65</x:f>
        <x:v>2250</x:v>
      </x:c>
      <x:c r="Y65" s="18" t="n">
        <x:f>'01 Controls'!G33</x:f>
        <x:v>0.6</x:v>
      </x:c>
      <x:c r="Z65" s="20" t="n">
        <x:f>R65*Y65</x:f>
        <x:v>6750</x:v>
      </x:c>
      <x:c r="AA65" s="18" t="n">
        <x:f>'01 Controls'!H33</x:f>
        <x:v>0.15</x:v>
      </x:c>
      <x:c r="AB65" s="20" t="n">
        <x:f>R65*AA65</x:f>
        <x:v>1687.5</x:v>
      </x:c>
      <x:c r="AC65" s="20" t="n">
        <x:f>IF(H65="CM-HCG",K65*'01 Controls'!$E$24,0)</x:f>
        <x:v>0</x:v>
      </x:c>
      <x:c r="AD65" s="20" t="n">
        <x:f>IF(H65="CM-HCG",K65*'01 Controls'!$E$25,0)</x:f>
        <x:v>0</x:v>
      </x:c>
      <x:c r="AE65" s="20" t="n">
        <x:f>IF(H65="CM-HCG",K65*'01 Controls'!$E$26,0)</x:f>
        <x:v>0</x:v>
      </x:c>
      <x:c r="AF65" s="20" t="n">
        <x:f>IF(H65="CM-HCG",K65*'01 Controls'!$E$27,0)</x:f>
        <x:v>0</x:v>
      </x:c>
    </x:row>
    <x:row r="66">
      <x:c r="C66" s="22" t="str">
        <x:v>C2-A-AHW</x:v>
      </x:c>
      <x:c r="D66" s="22" t="n">
        <x:v>61</x:v>
      </x:c>
      <x:c r="E66" s="22" t="str">
        <x:v>C2</x:v>
      </x:c>
      <x:c r="F66" s="22" t="str">
        <x:v>Gulf–Atlantic hurricane</x:v>
      </x:c>
      <x:c r="G66" s="22" t="n">
        <x:v>2</x:v>
      </x:c>
      <x:c r="H66" s="22" t="str">
        <x:v>A-AHW</x:v>
      </x:c>
      <x:c r="I66" s="22" t="str">
        <x:v>Air Response</x:v>
      </x:c>
      <x:c r="J66" s="22" t="str">
        <x:v>Aerial hazard-control wing</x:v>
      </x:c>
      <x:c r="K66" s="23" t="n">
        <x:v>2</x:v>
      </x:c>
      <x:c r="L66" s="23" t="n">
        <x:v>600</x:v>
      </x:c>
      <x:c r="M66" s="23" t="n">
        <x:v>0</x:v>
      </x:c>
      <x:c r="N66" s="20" t="n">
        <x:f>K66*L66</x:f>
        <x:v>1200</x:v>
      </x:c>
      <x:c r="O66" s="19" t="n">
        <x:v>5000</x:v>
      </x:c>
      <x:c r="P66" s="17" t="n">
        <x:v>0.75</x:v>
      </x:c>
      <x:c r="Q66" s="20" t="n">
        <x:f>K66*O66*P66</x:f>
        <x:v>7500</x:v>
      </x:c>
      <x:c r="R66" s="20" t="n">
        <x:f>Q66*(1-'01 Controls'!$E$6)</x:f>
        <x:v>5625</x:v>
      </x:c>
      <x:c r="S66" s="19" t="n">
        <x:v>100</x:v>
      </x:c>
      <x:c r="T66" s="20" t="n">
        <x:f>K66*S66</x:f>
        <x:v>200</x:v>
      </x:c>
      <x:c r="U66" s="18" t="n">
        <x:f>'01 Controls'!E33</x:f>
        <x:v>0.05</x:v>
      </x:c>
      <x:c r="V66" s="20" t="n">
        <x:f>R66*U66</x:f>
        <x:v>281.25</x:v>
      </x:c>
      <x:c r="W66" s="18" t="n">
        <x:f>'01 Controls'!F33</x:f>
        <x:v>0.2</x:v>
      </x:c>
      <x:c r="X66" s="20" t="n">
        <x:f>R66*W66</x:f>
        <x:v>1125</x:v>
      </x:c>
      <x:c r="Y66" s="18" t="n">
        <x:f>'01 Controls'!G33</x:f>
        <x:v>0.6</x:v>
      </x:c>
      <x:c r="Z66" s="20" t="n">
        <x:f>R66*Y66</x:f>
        <x:v>3375</x:v>
      </x:c>
      <x:c r="AA66" s="18" t="n">
        <x:f>'01 Controls'!H33</x:f>
        <x:v>0.15</x:v>
      </x:c>
      <x:c r="AB66" s="20" t="n">
        <x:f>R66*AA66</x:f>
        <x:v>843.75</x:v>
      </x:c>
      <x:c r="AC66" s="20" t="n">
        <x:f>IF(H66="CM-HCG",K66*'01 Controls'!$E$24,0)</x:f>
        <x:v>0</x:v>
      </x:c>
      <x:c r="AD66" s="20" t="n">
        <x:f>IF(H66="CM-HCG",K66*'01 Controls'!$E$25,0)</x:f>
        <x:v>0</x:v>
      </x:c>
      <x:c r="AE66" s="20" t="n">
        <x:f>IF(H66="CM-HCG",K66*'01 Controls'!$E$26,0)</x:f>
        <x:v>0</x:v>
      </x:c>
      <x:c r="AF66" s="20" t="n">
        <x:f>IF(H66="CM-HCG",K66*'01 Controls'!$E$27,0)</x:f>
        <x:v>0</x:v>
      </x:c>
    </x:row>
    <x:row r="67">
      <x:c r="C67" s="22" t="str">
        <x:v>C2-A-TDG</x:v>
      </x:c>
      <x:c r="D67" s="22" t="n">
        <x:v>62</x:v>
      </x:c>
      <x:c r="E67" s="22" t="str">
        <x:v>C2</x:v>
      </x:c>
      <x:c r="F67" s="22" t="str">
        <x:v>Gulf–Atlantic hurricane</x:v>
      </x:c>
      <x:c r="G67" s="22" t="n">
        <x:v>2</x:v>
      </x:c>
      <x:c r="H67" s="22" t="str">
        <x:v>A-TDG</x:v>
      </x:c>
      <x:c r="I67" s="22" t="str">
        <x:v>Air Response</x:v>
      </x:c>
      <x:c r="J67" s="22" t="str">
        <x:v>Tactical distribution group</x:v>
      </x:c>
      <x:c r="K67" s="23" t="n">
        <x:v>6</x:v>
      </x:c>
      <x:c r="L67" s="23" t="n">
        <x:v>450</x:v>
      </x:c>
      <x:c r="M67" s="23" t="n">
        <x:v>0</x:v>
      </x:c>
      <x:c r="N67" s="20" t="n">
        <x:f>K67*L67</x:f>
        <x:v>2700</x:v>
      </x:c>
      <x:c r="O67" s="19" t="n">
        <x:v>5000</x:v>
      </x:c>
      <x:c r="P67" s="17" t="n">
        <x:v>0.75</x:v>
      </x:c>
      <x:c r="Q67" s="20" t="n">
        <x:f>K67*O67*P67</x:f>
        <x:v>22500</x:v>
      </x:c>
      <x:c r="R67" s="20" t="n">
        <x:f>Q67*(1-'01 Controls'!$E$6)</x:f>
        <x:v>16875</x:v>
      </x:c>
      <x:c r="S67" s="19" t="n">
        <x:v>100</x:v>
      </x:c>
      <x:c r="T67" s="20" t="n">
        <x:f>K67*S67</x:f>
        <x:v>600</x:v>
      </x:c>
      <x:c r="U67" s="18" t="n">
        <x:f>'01 Controls'!E33</x:f>
        <x:v>0.05</x:v>
      </x:c>
      <x:c r="V67" s="20" t="n">
        <x:f>R67*U67</x:f>
        <x:v>843.75</x:v>
      </x:c>
      <x:c r="W67" s="18" t="n">
        <x:f>'01 Controls'!F33</x:f>
        <x:v>0.2</x:v>
      </x:c>
      <x:c r="X67" s="20" t="n">
        <x:f>R67*W67</x:f>
        <x:v>3375</x:v>
      </x:c>
      <x:c r="Y67" s="18" t="n">
        <x:f>'01 Controls'!G33</x:f>
        <x:v>0.6</x:v>
      </x:c>
      <x:c r="Z67" s="20" t="n">
        <x:f>R67*Y67</x:f>
        <x:v>10125</x:v>
      </x:c>
      <x:c r="AA67" s="18" t="n">
        <x:f>'01 Controls'!H33</x:f>
        <x:v>0.15</x:v>
      </x:c>
      <x:c r="AB67" s="20" t="n">
        <x:f>R67*AA67</x:f>
        <x:v>2531.25</x:v>
      </x:c>
      <x:c r="AC67" s="20" t="n">
        <x:f>IF(H67="CM-HCG",K67*'01 Controls'!$E$24,0)</x:f>
        <x:v>0</x:v>
      </x:c>
      <x:c r="AD67" s="20" t="n">
        <x:f>IF(H67="CM-HCG",K67*'01 Controls'!$E$25,0)</x:f>
        <x:v>0</x:v>
      </x:c>
      <x:c r="AE67" s="20" t="n">
        <x:f>IF(H67="CM-HCG",K67*'01 Controls'!$E$26,0)</x:f>
        <x:v>0</x:v>
      </x:c>
      <x:c r="AF67" s="20" t="n">
        <x:f>IF(H67="CM-HCG",K67*'01 Controls'!$E$27,0)</x:f>
        <x:v>0</x:v>
      </x:c>
    </x:row>
    <x:row r="68">
      <x:c r="C68" s="22" t="str">
        <x:v>C2-A-SRG</x:v>
      </x:c>
      <x:c r="D68" s="22" t="n">
        <x:v>63</x:v>
      </x:c>
      <x:c r="E68" s="22" t="str">
        <x:v>C2</x:v>
      </x:c>
      <x:c r="F68" s="22" t="str">
        <x:v>Gulf–Atlantic hurricane</x:v>
      </x:c>
      <x:c r="G68" s="22" t="n">
        <x:v>2</x:v>
      </x:c>
      <x:c r="H68" s="22" t="str">
        <x:v>A-SRG</x:v>
      </x:c>
      <x:c r="I68" s="22" t="str">
        <x:v>Air Response</x:v>
      </x:c>
      <x:c r="J68" s="22" t="str">
        <x:v>Air sensing and relay group</x:v>
      </x:c>
      <x:c r="K68" s="23" t="n">
        <x:v>4</x:v>
      </x:c>
      <x:c r="L68" s="23" t="n">
        <x:v>180</x:v>
      </x:c>
      <x:c r="M68" s="23" t="n">
        <x:v>0</x:v>
      </x:c>
      <x:c r="N68" s="20" t="n">
        <x:f>K68*L68</x:f>
        <x:v>720</x:v>
      </x:c>
      <x:c r="O68" s="19" t="n">
        <x:v>5000</x:v>
      </x:c>
      <x:c r="P68" s="17" t="n">
        <x:v>0.75</x:v>
      </x:c>
      <x:c r="Q68" s="20" t="n">
        <x:f>K68*O68*P68</x:f>
        <x:v>15000</x:v>
      </x:c>
      <x:c r="R68" s="20" t="n">
        <x:f>Q68*(1-'01 Controls'!$E$6)</x:f>
        <x:v>11250</x:v>
      </x:c>
      <x:c r="S68" s="19" t="n">
        <x:v>100</x:v>
      </x:c>
      <x:c r="T68" s="20" t="n">
        <x:f>K68*S68</x:f>
        <x:v>400</x:v>
      </x:c>
      <x:c r="U68" s="18" t="n">
        <x:f>'01 Controls'!E33</x:f>
        <x:v>0.05</x:v>
      </x:c>
      <x:c r="V68" s="20" t="n">
        <x:f>R68*U68</x:f>
        <x:v>562.5</x:v>
      </x:c>
      <x:c r="W68" s="18" t="n">
        <x:f>'01 Controls'!F33</x:f>
        <x:v>0.2</x:v>
      </x:c>
      <x:c r="X68" s="20" t="n">
        <x:f>R68*W68</x:f>
        <x:v>2250</x:v>
      </x:c>
      <x:c r="Y68" s="18" t="n">
        <x:f>'01 Controls'!G33</x:f>
        <x:v>0.6</x:v>
      </x:c>
      <x:c r="Z68" s="20" t="n">
        <x:f>R68*Y68</x:f>
        <x:v>6750</x:v>
      </x:c>
      <x:c r="AA68" s="18" t="n">
        <x:f>'01 Controls'!H33</x:f>
        <x:v>0.15</x:v>
      </x:c>
      <x:c r="AB68" s="20" t="n">
        <x:f>R68*AA68</x:f>
        <x:v>1687.5</x:v>
      </x:c>
      <x:c r="AC68" s="20" t="n">
        <x:f>IF(H68="CM-HCG",K68*'01 Controls'!$E$24,0)</x:f>
        <x:v>0</x:v>
      </x:c>
      <x:c r="AD68" s="20" t="n">
        <x:f>IF(H68="CM-HCG",K68*'01 Controls'!$E$25,0)</x:f>
        <x:v>0</x:v>
      </x:c>
      <x:c r="AE68" s="20" t="n">
        <x:f>IF(H68="CM-HCG",K68*'01 Controls'!$E$26,0)</x:f>
        <x:v>0</x:v>
      </x:c>
      <x:c r="AF68" s="20" t="n">
        <x:f>IF(H68="CM-HCG",K68*'01 Controls'!$E$27,0)</x:f>
        <x:v>0</x:v>
      </x:c>
    </x:row>
    <x:row r="69">
      <x:c r="C69" s="22" t="str">
        <x:v>C2-A-AMG</x:v>
      </x:c>
      <x:c r="D69" s="22" t="n">
        <x:v>64</x:v>
      </x:c>
      <x:c r="E69" s="22" t="str">
        <x:v>C2</x:v>
      </x:c>
      <x:c r="F69" s="22" t="str">
        <x:v>Gulf–Atlantic hurricane</x:v>
      </x:c>
      <x:c r="G69" s="22" t="n">
        <x:v>2</x:v>
      </x:c>
      <x:c r="H69" s="22" t="str">
        <x:v>A-AMG</x:v>
      </x:c>
      <x:c r="I69" s="22" t="str">
        <x:v>Air Response</x:v>
      </x:c>
      <x:c r="J69" s="22" t="str">
        <x:v>Aeromedical movement group</x:v>
      </x:c>
      <x:c r="K69" s="23" t="n">
        <x:v>3</x:v>
      </x:c>
      <x:c r="L69" s="23" t="n">
        <x:v>300</x:v>
      </x:c>
      <x:c r="M69" s="23" t="n">
        <x:v>0</x:v>
      </x:c>
      <x:c r="N69" s="20" t="n">
        <x:f>K69*L69</x:f>
        <x:v>900</x:v>
      </x:c>
      <x:c r="O69" s="19" t="n">
        <x:v>5000</x:v>
      </x:c>
      <x:c r="P69" s="17" t="n">
        <x:v>0.75</x:v>
      </x:c>
      <x:c r="Q69" s="20" t="n">
        <x:f>K69*O69*P69</x:f>
        <x:v>11250</x:v>
      </x:c>
      <x:c r="R69" s="20" t="n">
        <x:f>Q69*(1-'01 Controls'!$E$6)</x:f>
        <x:v>8437.5</x:v>
      </x:c>
      <x:c r="S69" s="19" t="n">
        <x:v>100</x:v>
      </x:c>
      <x:c r="T69" s="20" t="n">
        <x:f>K69*S69</x:f>
        <x:v>300</x:v>
      </x:c>
      <x:c r="U69" s="18" t="n">
        <x:f>'01 Controls'!E33</x:f>
        <x:v>0.05</x:v>
      </x:c>
      <x:c r="V69" s="20" t="n">
        <x:f>R69*U69</x:f>
        <x:v>421.875</x:v>
      </x:c>
      <x:c r="W69" s="18" t="n">
        <x:f>'01 Controls'!F33</x:f>
        <x:v>0.2</x:v>
      </x:c>
      <x:c r="X69" s="20" t="n">
        <x:f>R69*W69</x:f>
        <x:v>1687.5</x:v>
      </x:c>
      <x:c r="Y69" s="18" t="n">
        <x:f>'01 Controls'!G33</x:f>
        <x:v>0.6</x:v>
      </x:c>
      <x:c r="Z69" s="20" t="n">
        <x:f>R69*Y69</x:f>
        <x:v>5062.5</x:v>
      </x:c>
      <x:c r="AA69" s="18" t="n">
        <x:f>'01 Controls'!H33</x:f>
        <x:v>0.15</x:v>
      </x:c>
      <x:c r="AB69" s="20" t="n">
        <x:f>R69*AA69</x:f>
        <x:v>1265.625</x:v>
      </x:c>
      <x:c r="AC69" s="20" t="n">
        <x:f>IF(H69="CM-HCG",K69*'01 Controls'!$E$24,0)</x:f>
        <x:v>0</x:v>
      </x:c>
      <x:c r="AD69" s="20" t="n">
        <x:f>IF(H69="CM-HCG",K69*'01 Controls'!$E$25,0)</x:f>
        <x:v>0</x:v>
      </x:c>
      <x:c r="AE69" s="20" t="n">
        <x:f>IF(H69="CM-HCG",K69*'01 Controls'!$E$26,0)</x:f>
        <x:v>0</x:v>
      </x:c>
      <x:c r="AF69" s="20" t="n">
        <x:f>IF(H69="CM-HCG",K69*'01 Controls'!$E$27,0)</x:f>
        <x:v>0</x:v>
      </x:c>
    </x:row>
    <x:row r="70">
      <x:c r="C70" s="22" t="str">
        <x:v>C2-M-POG</x:v>
      </x:c>
      <x:c r="D70" s="22" t="n">
        <x:v>65</x:v>
      </x:c>
      <x:c r="E70" s="22" t="str">
        <x:v>C2</x:v>
      </x:c>
      <x:c r="F70" s="22" t="str">
        <x:v>Gulf–Atlantic hurricane</x:v>
      </x:c>
      <x:c r="G70" s="22" t="n">
        <x:v>2</x:v>
      </x:c>
      <x:c r="H70" s="22" t="str">
        <x:v>M-POG</x:v>
      </x:c>
      <x:c r="I70" s="22" t="str">
        <x:v>Maritime Response</x:v>
      </x:c>
      <x:c r="J70" s="22" t="str">
        <x:v>Port-opening group</x:v>
      </x:c>
      <x:c r="K70" s="23" t="n">
        <x:v>5</x:v>
      </x:c>
      <x:c r="L70" s="23" t="n">
        <x:v>450</x:v>
      </x:c>
      <x:c r="M70" s="23" t="n">
        <x:v>0</x:v>
      </x:c>
      <x:c r="N70" s="20" t="n">
        <x:f>K70*L70</x:f>
        <x:v>2250</x:v>
      </x:c>
      <x:c r="O70" s="19" t="n">
        <x:v>8000</x:v>
      </x:c>
      <x:c r="P70" s="17" t="n">
        <x:v>0.35</x:v>
      </x:c>
      <x:c r="Q70" s="20" t="n">
        <x:f>K70*O70*P70</x:f>
        <x:v>14000</x:v>
      </x:c>
      <x:c r="R70" s="20" t="n">
        <x:f>Q70*(1-'01 Controls'!$E$6)</x:f>
        <x:v>10500</x:v>
      </x:c>
      <x:c r="S70" s="19" t="n">
        <x:v>120</x:v>
      </x:c>
      <x:c r="T70" s="20" t="n">
        <x:f>K70*S70</x:f>
        <x:v>600</x:v>
      </x:c>
      <x:c r="U70" s="18" t="n">
        <x:f>'01 Controls'!E33</x:f>
        <x:v>0.05</x:v>
      </x:c>
      <x:c r="V70" s="20" t="n">
        <x:f>R70*U70</x:f>
        <x:v>525</x:v>
      </x:c>
      <x:c r="W70" s="18" t="n">
        <x:f>'01 Controls'!F33</x:f>
        <x:v>0.2</x:v>
      </x:c>
      <x:c r="X70" s="20" t="n">
        <x:f>R70*W70</x:f>
        <x:v>2100</x:v>
      </x:c>
      <x:c r="Y70" s="18" t="n">
        <x:f>'01 Controls'!G33</x:f>
        <x:v>0.6</x:v>
      </x:c>
      <x:c r="Z70" s="20" t="n">
        <x:f>R70*Y70</x:f>
        <x:v>6300</x:v>
      </x:c>
      <x:c r="AA70" s="18" t="n">
        <x:f>'01 Controls'!H33</x:f>
        <x:v>0.15</x:v>
      </x:c>
      <x:c r="AB70" s="20" t="n">
        <x:f>R70*AA70</x:f>
        <x:v>1575</x:v>
      </x:c>
      <x:c r="AC70" s="20" t="n">
        <x:f>IF(H70="CM-HCG",K70*'01 Controls'!$E$24,0)</x:f>
        <x:v>0</x:v>
      </x:c>
      <x:c r="AD70" s="20" t="n">
        <x:f>IF(H70="CM-HCG",K70*'01 Controls'!$E$25,0)</x:f>
        <x:v>0</x:v>
      </x:c>
      <x:c r="AE70" s="20" t="n">
        <x:f>IF(H70="CM-HCG",K70*'01 Controls'!$E$26,0)</x:f>
        <x:v>0</x:v>
      </x:c>
      <x:c r="AF70" s="20" t="n">
        <x:f>IF(H70="CM-HCG",K70*'01 Controls'!$E$27,0)</x:f>
        <x:v>0</x:v>
      </x:c>
    </x:row>
    <x:row r="71">
      <x:c r="C71" s="22" t="str">
        <x:v>C2-M-LAG</x:v>
      </x:c>
      <x:c r="D71" s="22" t="n">
        <x:v>66</x:v>
      </x:c>
      <x:c r="E71" s="22" t="str">
        <x:v>C2</x:v>
      </x:c>
      <x:c r="F71" s="22" t="str">
        <x:v>Gulf–Atlantic hurricane</x:v>
      </x:c>
      <x:c r="G71" s="22" t="n">
        <x:v>2</x:v>
      </x:c>
      <x:c r="H71" s="22" t="str">
        <x:v>M-LAG</x:v>
      </x:c>
      <x:c r="I71" s="22" t="str">
        <x:v>Maritime Response</x:v>
      </x:c>
      <x:c r="J71" s="22" t="str">
        <x:v>Littoral-access group</x:v>
      </x:c>
      <x:c r="K71" s="23" t="n">
        <x:v>6</x:v>
      </x:c>
      <x:c r="L71" s="23" t="n">
        <x:v>350</x:v>
      </x:c>
      <x:c r="M71" s="23" t="n">
        <x:v>0</x:v>
      </x:c>
      <x:c r="N71" s="20" t="n">
        <x:f>K71*L71</x:f>
        <x:v>2100</x:v>
      </x:c>
      <x:c r="O71" s="19" t="n">
        <x:v>8000</x:v>
      </x:c>
      <x:c r="P71" s="17" t="n">
        <x:v>0.35</x:v>
      </x:c>
      <x:c r="Q71" s="20" t="n">
        <x:f>K71*O71*P71</x:f>
        <x:v>16800</x:v>
      </x:c>
      <x:c r="R71" s="20" t="n">
        <x:f>Q71*(1-'01 Controls'!$E$6)</x:f>
        <x:v>12600</x:v>
      </x:c>
      <x:c r="S71" s="19" t="n">
        <x:v>120</x:v>
      </x:c>
      <x:c r="T71" s="20" t="n">
        <x:f>K71*S71</x:f>
        <x:v>720</x:v>
      </x:c>
      <x:c r="U71" s="18" t="n">
        <x:f>'01 Controls'!E33</x:f>
        <x:v>0.05</x:v>
      </x:c>
      <x:c r="V71" s="20" t="n">
        <x:f>R71*U71</x:f>
        <x:v>630</x:v>
      </x:c>
      <x:c r="W71" s="18" t="n">
        <x:f>'01 Controls'!F33</x:f>
        <x:v>0.2</x:v>
      </x:c>
      <x:c r="X71" s="20" t="n">
        <x:f>R71*W71</x:f>
        <x:v>2520</x:v>
      </x:c>
      <x:c r="Y71" s="18" t="n">
        <x:f>'01 Controls'!G33</x:f>
        <x:v>0.6</x:v>
      </x:c>
      <x:c r="Z71" s="20" t="n">
        <x:f>R71*Y71</x:f>
        <x:v>7560</x:v>
      </x:c>
      <x:c r="AA71" s="18" t="n">
        <x:f>'01 Controls'!H33</x:f>
        <x:v>0.15</x:v>
      </x:c>
      <x:c r="AB71" s="20" t="n">
        <x:f>R71*AA71</x:f>
        <x:v>1890</x:v>
      </x:c>
      <x:c r="AC71" s="20" t="n">
        <x:f>IF(H71="CM-HCG",K71*'01 Controls'!$E$24,0)</x:f>
        <x:v>0</x:v>
      </x:c>
      <x:c r="AD71" s="20" t="n">
        <x:f>IF(H71="CM-HCG",K71*'01 Controls'!$E$25,0)</x:f>
        <x:v>0</x:v>
      </x:c>
      <x:c r="AE71" s="20" t="n">
        <x:f>IF(H71="CM-HCG",K71*'01 Controls'!$E$26,0)</x:f>
        <x:v>0</x:v>
      </x:c>
      <x:c r="AF71" s="20" t="n">
        <x:f>IF(H71="CM-HCG",K71*'01 Controls'!$E$27,0)</x:f>
        <x:v>0</x:v>
      </x:c>
    </x:row>
    <x:row r="72">
      <x:c r="C72" s="22" t="str">
        <x:v>C2-M-IWG</x:v>
      </x:c>
      <x:c r="D72" s="22" t="n">
        <x:v>67</x:v>
      </x:c>
      <x:c r="E72" s="22" t="str">
        <x:v>C2</x:v>
      </x:c>
      <x:c r="F72" s="22" t="str">
        <x:v>Gulf–Atlantic hurricane</x:v>
      </x:c>
      <x:c r="G72" s="22" t="n">
        <x:v>2</x:v>
      </x:c>
      <x:c r="H72" s="22" t="str">
        <x:v>M-IWG</x:v>
      </x:c>
      <x:c r="I72" s="22" t="str">
        <x:v>Maritime Response</x:v>
      </x:c>
      <x:c r="J72" s="22" t="str">
        <x:v>Inland-waterway group</x:v>
      </x:c>
      <x:c r="K72" s="23" t="n">
        <x:v>3</x:v>
      </x:c>
      <x:c r="L72" s="23" t="n">
        <x:v>250</x:v>
      </x:c>
      <x:c r="M72" s="23" t="n">
        <x:v>0</x:v>
      </x:c>
      <x:c r="N72" s="20" t="n">
        <x:f>K72*L72</x:f>
        <x:v>750</x:v>
      </x:c>
      <x:c r="O72" s="19" t="n">
        <x:v>8000</x:v>
      </x:c>
      <x:c r="P72" s="17" t="n">
        <x:v>0.35</x:v>
      </x:c>
      <x:c r="Q72" s="20" t="n">
        <x:f>K72*O72*P72</x:f>
        <x:v>8400</x:v>
      </x:c>
      <x:c r="R72" s="20" t="n">
        <x:f>Q72*(1-'01 Controls'!$E$6)</x:f>
        <x:v>6300</x:v>
      </x:c>
      <x:c r="S72" s="19" t="n">
        <x:v>120</x:v>
      </x:c>
      <x:c r="T72" s="20" t="n">
        <x:f>K72*S72</x:f>
        <x:v>360</x:v>
      </x:c>
      <x:c r="U72" s="18" t="n">
        <x:f>'01 Controls'!E33</x:f>
        <x:v>0.05</x:v>
      </x:c>
      <x:c r="V72" s="20" t="n">
        <x:f>R72*U72</x:f>
        <x:v>315</x:v>
      </x:c>
      <x:c r="W72" s="18" t="n">
        <x:f>'01 Controls'!F33</x:f>
        <x:v>0.2</x:v>
      </x:c>
      <x:c r="X72" s="20" t="n">
        <x:f>R72*W72</x:f>
        <x:v>1260</x:v>
      </x:c>
      <x:c r="Y72" s="18" t="n">
        <x:f>'01 Controls'!G33</x:f>
        <x:v>0.6</x:v>
      </x:c>
      <x:c r="Z72" s="20" t="n">
        <x:f>R72*Y72</x:f>
        <x:v>3780</x:v>
      </x:c>
      <x:c r="AA72" s="18" t="n">
        <x:f>'01 Controls'!H33</x:f>
        <x:v>0.15</x:v>
      </x:c>
      <x:c r="AB72" s="20" t="n">
        <x:f>R72*AA72</x:f>
        <x:v>945</x:v>
      </x:c>
      <x:c r="AC72" s="20" t="n">
        <x:f>IF(H72="CM-HCG",K72*'01 Controls'!$E$24,0)</x:f>
        <x:v>0</x:v>
      </x:c>
      <x:c r="AD72" s="20" t="n">
        <x:f>IF(H72="CM-HCG",K72*'01 Controls'!$E$25,0)</x:f>
        <x:v>0</x:v>
      </x:c>
      <x:c r="AE72" s="20" t="n">
        <x:f>IF(H72="CM-HCG",K72*'01 Controls'!$E$26,0)</x:f>
        <x:v>0</x:v>
      </x:c>
      <x:c r="AF72" s="20" t="n">
        <x:f>IF(H72="CM-HCG",K72*'01 Controls'!$E$27,0)</x:f>
        <x:v>0</x:v>
      </x:c>
    </x:row>
    <x:row r="73">
      <x:c r="C73" s="22" t="str">
        <x:v>C2-M-OSG</x:v>
      </x:c>
      <x:c r="D73" s="22" t="n">
        <x:v>68</x:v>
      </x:c>
      <x:c r="E73" s="22" t="str">
        <x:v>C2</x:v>
      </x:c>
      <x:c r="F73" s="22" t="str">
        <x:v>Gulf–Atlantic hurricane</x:v>
      </x:c>
      <x:c r="G73" s="22" t="n">
        <x:v>2</x:v>
      </x:c>
      <x:c r="H73" s="22" t="str">
        <x:v>M-OSG</x:v>
      </x:c>
      <x:c r="I73" s="22" t="str">
        <x:v>Maritime Response</x:v>
      </x:c>
      <x:c r="J73" s="22" t="str">
        <x:v>Offshore-support group</x:v>
      </x:c>
      <x:c r="K73" s="23" t="n">
        <x:v>3</x:v>
      </x:c>
      <x:c r="L73" s="23" t="n">
        <x:v>700</x:v>
      </x:c>
      <x:c r="M73" s="23" t="n">
        <x:v>0</x:v>
      </x:c>
      <x:c r="N73" s="20" t="n">
        <x:f>K73*L73</x:f>
        <x:v>2100</x:v>
      </x:c>
      <x:c r="O73" s="19" t="n">
        <x:v>8000</x:v>
      </x:c>
      <x:c r="P73" s="17" t="n">
        <x:v>0.35</x:v>
      </x:c>
      <x:c r="Q73" s="20" t="n">
        <x:f>K73*O73*P73</x:f>
        <x:v>8400</x:v>
      </x:c>
      <x:c r="R73" s="20" t="n">
        <x:f>Q73*(1-'01 Controls'!$E$6)</x:f>
        <x:v>6300</x:v>
      </x:c>
      <x:c r="S73" s="19" t="n">
        <x:v>120</x:v>
      </x:c>
      <x:c r="T73" s="20" t="n">
        <x:f>K73*S73</x:f>
        <x:v>360</x:v>
      </x:c>
      <x:c r="U73" s="18" t="n">
        <x:f>'01 Controls'!E33</x:f>
        <x:v>0.05</x:v>
      </x:c>
      <x:c r="V73" s="20" t="n">
        <x:f>R73*U73</x:f>
        <x:v>315</x:v>
      </x:c>
      <x:c r="W73" s="18" t="n">
        <x:f>'01 Controls'!F33</x:f>
        <x:v>0.2</x:v>
      </x:c>
      <x:c r="X73" s="20" t="n">
        <x:f>R73*W73</x:f>
        <x:v>1260</x:v>
      </x:c>
      <x:c r="Y73" s="18" t="n">
        <x:f>'01 Controls'!G33</x:f>
        <x:v>0.6</x:v>
      </x:c>
      <x:c r="Z73" s="20" t="n">
        <x:f>R73*Y73</x:f>
        <x:v>3780</x:v>
      </x:c>
      <x:c r="AA73" s="18" t="n">
        <x:f>'01 Controls'!H33</x:f>
        <x:v>0.15</x:v>
      </x:c>
      <x:c r="AB73" s="20" t="n">
        <x:f>R73*AA73</x:f>
        <x:v>945</x:v>
      </x:c>
      <x:c r="AC73" s="20" t="n">
        <x:f>IF(H73="CM-HCG",K73*'01 Controls'!$E$24,0)</x:f>
        <x:v>0</x:v>
      </x:c>
      <x:c r="AD73" s="20" t="n">
        <x:f>IF(H73="CM-HCG",K73*'01 Controls'!$E$25,0)</x:f>
        <x:v>0</x:v>
      </x:c>
      <x:c r="AE73" s="20" t="n">
        <x:f>IF(H73="CM-HCG",K73*'01 Controls'!$E$26,0)</x:f>
        <x:v>0</x:v>
      </x:c>
      <x:c r="AF73" s="20" t="n">
        <x:f>IF(H73="CM-HCG",K73*'01 Controls'!$E$27,0)</x:f>
        <x:v>0</x:v>
      </x:c>
    </x:row>
    <x:row r="74">
      <x:c r="C74" s="22" t="str">
        <x:v>C2-M-SSG</x:v>
      </x:c>
      <x:c r="D74" s="22" t="n">
        <x:v>69</x:v>
      </x:c>
      <x:c r="E74" s="22" t="str">
        <x:v>C2</x:v>
      </x:c>
      <x:c r="F74" s="22" t="str">
        <x:v>Gulf–Atlantic hurricane</x:v>
      </x:c>
      <x:c r="G74" s="22" t="n">
        <x:v>2</x:v>
      </x:c>
      <x:c r="H74" s="22" t="str">
        <x:v>M-SSG</x:v>
      </x:c>
      <x:c r="I74" s="22" t="str">
        <x:v>Maritime Response</x:v>
      </x:c>
      <x:c r="J74" s="22" t="str">
        <x:v>Ocean sustainment group</x:v>
      </x:c>
      <x:c r="K74" s="23" t="n">
        <x:v>4</x:v>
      </x:c>
      <x:c r="L74" s="23" t="n">
        <x:v>650</x:v>
      </x:c>
      <x:c r="M74" s="23" t="n">
        <x:v>0</x:v>
      </x:c>
      <x:c r="N74" s="20" t="n">
        <x:f>K74*L74</x:f>
        <x:v>2600</x:v>
      </x:c>
      <x:c r="O74" s="19" t="n">
        <x:v>8000</x:v>
      </x:c>
      <x:c r="P74" s="17" t="n">
        <x:v>0.35</x:v>
      </x:c>
      <x:c r="Q74" s="20" t="n">
        <x:f>K74*O74*P74</x:f>
        <x:v>11200</x:v>
      </x:c>
      <x:c r="R74" s="20" t="n">
        <x:f>Q74*(1-'01 Controls'!$E$6)</x:f>
        <x:v>8400</x:v>
      </x:c>
      <x:c r="S74" s="19" t="n">
        <x:v>120</x:v>
      </x:c>
      <x:c r="T74" s="20" t="n">
        <x:f>K74*S74</x:f>
        <x:v>480</x:v>
      </x:c>
      <x:c r="U74" s="18" t="n">
        <x:f>'01 Controls'!E33</x:f>
        <x:v>0.05</x:v>
      </x:c>
      <x:c r="V74" s="20" t="n">
        <x:f>R74*U74</x:f>
        <x:v>420</x:v>
      </x:c>
      <x:c r="W74" s="18" t="n">
        <x:f>'01 Controls'!F33</x:f>
        <x:v>0.2</x:v>
      </x:c>
      <x:c r="X74" s="20" t="n">
        <x:f>R74*W74</x:f>
        <x:v>1680</x:v>
      </x:c>
      <x:c r="Y74" s="18" t="n">
        <x:f>'01 Controls'!G33</x:f>
        <x:v>0.6</x:v>
      </x:c>
      <x:c r="Z74" s="20" t="n">
        <x:f>R74*Y74</x:f>
        <x:v>5040</x:v>
      </x:c>
      <x:c r="AA74" s="18" t="n">
        <x:f>'01 Controls'!H33</x:f>
        <x:v>0.15</x:v>
      </x:c>
      <x:c r="AB74" s="20" t="n">
        <x:f>R74*AA74</x:f>
        <x:v>1260</x:v>
      </x:c>
      <x:c r="AC74" s="20" t="n">
        <x:f>IF(H74="CM-HCG",K74*'01 Controls'!$E$24,0)</x:f>
        <x:v>0</x:v>
      </x:c>
      <x:c r="AD74" s="20" t="n">
        <x:f>IF(H74="CM-HCG",K74*'01 Controls'!$E$25,0)</x:f>
        <x:v>0</x:v>
      </x:c>
      <x:c r="AE74" s="20" t="n">
        <x:f>IF(H74="CM-HCG",K74*'01 Controls'!$E$26,0)</x:f>
        <x:v>0</x:v>
      </x:c>
      <x:c r="AF74" s="20" t="n">
        <x:f>IF(H74="CM-HCG",K74*'01 Controls'!$E$27,0)</x:f>
        <x:v>0</x:v>
      </x:c>
    </x:row>
    <x:row r="75">
      <x:c r="C75" s="22" t="str">
        <x:v>C2-I-CUG</x:v>
      </x:c>
      <x:c r="D75" s="22" t="n">
        <x:v>70</x:v>
      </x:c>
      <x:c r="E75" s="22" t="str">
        <x:v>C2</x:v>
      </x:c>
      <x:c r="F75" s="22" t="str">
        <x:v>Gulf–Atlantic hurricane</x:v>
      </x:c>
      <x:c r="G75" s="22" t="n">
        <x:v>2</x:v>
      </x:c>
      <x:c r="H75" s="22" t="str">
        <x:v>I-CUG</x:v>
      </x:c>
      <x:c r="I75" s="22" t="str">
        <x:v>Infrastructure Restoration</x:v>
      </x:c>
      <x:c r="J75" s="22" t="str">
        <x:v>Communications utility group</x:v>
      </x:c>
      <x:c r="K75" s="23" t="n">
        <x:v>6</x:v>
      </x:c>
      <x:c r="L75" s="23" t="n">
        <x:v>250</x:v>
      </x:c>
      <x:c r="M75" s="23" t="n">
        <x:v>0</x:v>
      </x:c>
      <x:c r="N75" s="20" t="n">
        <x:f>K75*L75</x:f>
        <x:v>1500</x:v>
      </x:c>
      <x:c r="O75" s="19" t="n">
        <x:v>12000</x:v>
      </x:c>
      <x:c r="P75" s="17" t="n">
        <x:v>0.4</x:v>
      </x:c>
      <x:c r="Q75" s="20" t="n">
        <x:f>K75*O75*P75</x:f>
        <x:v>28800</x:v>
      </x:c>
      <x:c r="R75" s="20" t="n">
        <x:f>Q75*(1-'01 Controls'!$E$6)</x:f>
        <x:v>21600</x:v>
      </x:c>
      <x:c r="S75" s="19" t="n">
        <x:v>110</x:v>
      </x:c>
      <x:c r="T75" s="20" t="n">
        <x:f>K75*S75</x:f>
        <x:v>660</x:v>
      </x:c>
      <x:c r="U75" s="18" t="n">
        <x:f>'01 Controls'!E33</x:f>
        <x:v>0.05</x:v>
      </x:c>
      <x:c r="V75" s="20" t="n">
        <x:f>R75*U75</x:f>
        <x:v>1080</x:v>
      </x:c>
      <x:c r="W75" s="18" t="n">
        <x:f>'01 Controls'!F33</x:f>
        <x:v>0.2</x:v>
      </x:c>
      <x:c r="X75" s="20" t="n">
        <x:f>R75*W75</x:f>
        <x:v>4320</x:v>
      </x:c>
      <x:c r="Y75" s="18" t="n">
        <x:f>'01 Controls'!G33</x:f>
        <x:v>0.6</x:v>
      </x:c>
      <x:c r="Z75" s="20" t="n">
        <x:f>R75*Y75</x:f>
        <x:v>12960</x:v>
      </x:c>
      <x:c r="AA75" s="18" t="n">
        <x:f>'01 Controls'!H33</x:f>
        <x:v>0.15</x:v>
      </x:c>
      <x:c r="AB75" s="20" t="n">
        <x:f>R75*AA75</x:f>
        <x:v>3240</x:v>
      </x:c>
      <x:c r="AC75" s="20" t="n">
        <x:f>IF(H75="CM-HCG",K75*'01 Controls'!$E$24,0)</x:f>
        <x:v>0</x:v>
      </x:c>
      <x:c r="AD75" s="20" t="n">
        <x:f>IF(H75="CM-HCG",K75*'01 Controls'!$E$25,0)</x:f>
        <x:v>0</x:v>
      </x:c>
      <x:c r="AE75" s="20" t="n">
        <x:f>IF(H75="CM-HCG",K75*'01 Controls'!$E$26,0)</x:f>
        <x:v>0</x:v>
      </x:c>
      <x:c r="AF75" s="20" t="n">
        <x:f>IF(H75="CM-HCG",K75*'01 Controls'!$E$27,0)</x:f>
        <x:v>0</x:v>
      </x:c>
    </x:row>
    <x:row r="76">
      <x:c r="C76" s="22" t="str">
        <x:v>C2-I-TSG</x:v>
      </x:c>
      <x:c r="D76" s="22" t="n">
        <x:v>71</x:v>
      </x:c>
      <x:c r="E76" s="22" t="str">
        <x:v>C2</x:v>
      </x:c>
      <x:c r="F76" s="22" t="str">
        <x:v>Gulf–Atlantic hurricane</x:v>
      </x:c>
      <x:c r="G76" s="22" t="n">
        <x:v>2</x:v>
      </x:c>
      <x:c r="H76" s="22" t="str">
        <x:v>I-TSG</x:v>
      </x:c>
      <x:c r="I76" s="22" t="str">
        <x:v>Infrastructure Restoration</x:v>
      </x:c>
      <x:c r="J76" s="22" t="str">
        <x:v>Thermal safety group</x:v>
      </x:c>
      <x:c r="K76" s="23" t="n">
        <x:v>6</x:v>
      </x:c>
      <x:c r="L76" s="23" t="n">
        <x:v>250</x:v>
      </x:c>
      <x:c r="M76" s="23" t="n">
        <x:v>0</x:v>
      </x:c>
      <x:c r="N76" s="20" t="n">
        <x:f>K76*L76</x:f>
        <x:v>1500</x:v>
      </x:c>
      <x:c r="O76" s="19" t="n">
        <x:v>12000</x:v>
      </x:c>
      <x:c r="P76" s="17" t="n">
        <x:v>0.4</x:v>
      </x:c>
      <x:c r="Q76" s="20" t="n">
        <x:f>K76*O76*P76</x:f>
        <x:v>28800</x:v>
      </x:c>
      <x:c r="R76" s="20" t="n">
        <x:f>Q76*(1-'01 Controls'!$E$6)</x:f>
        <x:v>21600</x:v>
      </x:c>
      <x:c r="S76" s="19" t="n">
        <x:v>110</x:v>
      </x:c>
      <x:c r="T76" s="20" t="n">
        <x:f>K76*S76</x:f>
        <x:v>660</x:v>
      </x:c>
      <x:c r="U76" s="18" t="n">
        <x:f>'01 Controls'!E33</x:f>
        <x:v>0.05</x:v>
      </x:c>
      <x:c r="V76" s="20" t="n">
        <x:f>R76*U76</x:f>
        <x:v>1080</x:v>
      </x:c>
      <x:c r="W76" s="18" t="n">
        <x:f>'01 Controls'!F33</x:f>
        <x:v>0.2</x:v>
      </x:c>
      <x:c r="X76" s="20" t="n">
        <x:f>R76*W76</x:f>
        <x:v>4320</x:v>
      </x:c>
      <x:c r="Y76" s="18" t="n">
        <x:f>'01 Controls'!G33</x:f>
        <x:v>0.6</x:v>
      </x:c>
      <x:c r="Z76" s="20" t="n">
        <x:f>R76*Y76</x:f>
        <x:v>12960</x:v>
      </x:c>
      <x:c r="AA76" s="18" t="n">
        <x:f>'01 Controls'!H33</x:f>
        <x:v>0.15</x:v>
      </x:c>
      <x:c r="AB76" s="20" t="n">
        <x:f>R76*AA76</x:f>
        <x:v>3240</x:v>
      </x:c>
      <x:c r="AC76" s="20" t="n">
        <x:f>IF(H76="CM-HCG",K76*'01 Controls'!$E$24,0)</x:f>
        <x:v>0</x:v>
      </x:c>
      <x:c r="AD76" s="20" t="n">
        <x:f>IF(H76="CM-HCG",K76*'01 Controls'!$E$25,0)</x:f>
        <x:v>0</x:v>
      </x:c>
      <x:c r="AE76" s="20" t="n">
        <x:f>IF(H76="CM-HCG",K76*'01 Controls'!$E$26,0)</x:f>
        <x:v>0</x:v>
      </x:c>
      <x:c r="AF76" s="20" t="n">
        <x:f>IF(H76="CM-HCG",K76*'01 Controls'!$E$27,0)</x:f>
        <x:v>0</x:v>
      </x:c>
    </x:row>
    <x:row r="77">
      <x:c r="C77" s="22" t="str">
        <x:v>C2-I-URG</x:v>
      </x:c>
      <x:c r="D77" s="22" t="n">
        <x:v>72</x:v>
      </x:c>
      <x:c r="E77" s="22" t="str">
        <x:v>C2</x:v>
      </x:c>
      <x:c r="F77" s="22" t="str">
        <x:v>Gulf–Atlantic hurricane</x:v>
      </x:c>
      <x:c r="G77" s="22" t="n">
        <x:v>2</x:v>
      </x:c>
      <x:c r="H77" s="22" t="str">
        <x:v>I-URG</x:v>
      </x:c>
      <x:c r="I77" s="22" t="str">
        <x:v>Infrastructure Restoration</x:v>
      </x:c>
      <x:c r="J77" s="22" t="str">
        <x:v>Utility reconstruction group</x:v>
      </x:c>
      <x:c r="K77" s="23" t="n">
        <x:v>8</x:v>
      </x:c>
      <x:c r="L77" s="23" t="n">
        <x:v>450</x:v>
      </x:c>
      <x:c r="M77" s="23" t="n">
        <x:v>0</x:v>
      </x:c>
      <x:c r="N77" s="20" t="n">
        <x:f>K77*L77</x:f>
        <x:v>3600</x:v>
      </x:c>
      <x:c r="O77" s="19" t="n">
        <x:v>12000</x:v>
      </x:c>
      <x:c r="P77" s="17" t="n">
        <x:v>0.4</x:v>
      </x:c>
      <x:c r="Q77" s="20" t="n">
        <x:f>K77*O77*P77</x:f>
        <x:v>38400</x:v>
      </x:c>
      <x:c r="R77" s="20" t="n">
        <x:f>Q77*(1-'01 Controls'!$E$6)</x:f>
        <x:v>28800</x:v>
      </x:c>
      <x:c r="S77" s="19" t="n">
        <x:v>110</x:v>
      </x:c>
      <x:c r="T77" s="20" t="n">
        <x:f>K77*S77</x:f>
        <x:v>880</x:v>
      </x:c>
      <x:c r="U77" s="18" t="n">
        <x:f>'01 Controls'!E33</x:f>
        <x:v>0.05</x:v>
      </x:c>
      <x:c r="V77" s="20" t="n">
        <x:f>R77*U77</x:f>
        <x:v>1440</x:v>
      </x:c>
      <x:c r="W77" s="18" t="n">
        <x:f>'01 Controls'!F33</x:f>
        <x:v>0.2</x:v>
      </x:c>
      <x:c r="X77" s="20" t="n">
        <x:f>R77*W77</x:f>
        <x:v>5760</x:v>
      </x:c>
      <x:c r="Y77" s="18" t="n">
        <x:f>'01 Controls'!G33</x:f>
        <x:v>0.6</x:v>
      </x:c>
      <x:c r="Z77" s="20" t="n">
        <x:f>R77*Y77</x:f>
        <x:v>17280</x:v>
      </x:c>
      <x:c r="AA77" s="18" t="n">
        <x:f>'01 Controls'!H33</x:f>
        <x:v>0.15</x:v>
      </x:c>
      <x:c r="AB77" s="20" t="n">
        <x:f>R77*AA77</x:f>
        <x:v>4320</x:v>
      </x:c>
      <x:c r="AC77" s="20" t="n">
        <x:f>IF(H77="CM-HCG",K77*'01 Controls'!$E$24,0)</x:f>
        <x:v>0</x:v>
      </x:c>
      <x:c r="AD77" s="20" t="n">
        <x:f>IF(H77="CM-HCG",K77*'01 Controls'!$E$25,0)</x:f>
        <x:v>0</x:v>
      </x:c>
      <x:c r="AE77" s="20" t="n">
        <x:f>IF(H77="CM-HCG",K77*'01 Controls'!$E$26,0)</x:f>
        <x:v>0</x:v>
      </x:c>
      <x:c r="AF77" s="20" t="n">
        <x:f>IF(H77="CM-HCG",K77*'01 Controls'!$E$27,0)</x:f>
        <x:v>0</x:v>
      </x:c>
    </x:row>
    <x:row r="78">
      <x:c r="C78" s="22" t="str">
        <x:v>C2-H-CHC</x:v>
      </x:c>
      <x:c r="D78" s="22" t="n">
        <x:v>73</x:v>
      </x:c>
      <x:c r="E78" s="22" t="str">
        <x:v>C2</x:v>
      </x:c>
      <x:c r="F78" s="22" t="str">
        <x:v>Gulf–Atlantic hurricane</x:v>
      </x:c>
      <x:c r="G78" s="22" t="n">
        <x:v>2</x:v>
      </x:c>
      <x:c r="H78" s="22" t="str">
        <x:v>H-CHC</x:v>
      </x:c>
      <x:c r="I78" s="22" t="str">
        <x:v>Health Protection</x:v>
      </x:c>
      <x:c r="J78" s="22" t="str">
        <x:v>Community health continuity group</x:v>
      </x:c>
      <x:c r="K78" s="23" t="n">
        <x:v>8</x:v>
      </x:c>
      <x:c r="L78" s="23" t="n">
        <x:v>500</x:v>
      </x:c>
      <x:c r="M78" s="23" t="n">
        <x:v>0</x:v>
      </x:c>
      <x:c r="N78" s="20" t="n">
        <x:f>K78*L78</x:f>
        <x:v>4000</x:v>
      </x:c>
      <x:c r="O78" s="19" t="n">
        <x:v>5000</x:v>
      </x:c>
      <x:c r="P78" s="17" t="n">
        <x:v>0.7</x:v>
      </x:c>
      <x:c r="Q78" s="20" t="n">
        <x:f>K78*O78*P78</x:f>
        <x:v>28000</x:v>
      </x:c>
      <x:c r="R78" s="20" t="n">
        <x:f>Q78*(1-'01 Controls'!$E$6)</x:f>
        <x:v>21000</x:v>
      </x:c>
      <x:c r="S78" s="19" t="n">
        <x:v>55</x:v>
      </x:c>
      <x:c r="T78" s="20" t="n">
        <x:f>K78*S78</x:f>
        <x:v>440</x:v>
      </x:c>
      <x:c r="U78" s="18" t="n">
        <x:f>'01 Controls'!E33</x:f>
        <x:v>0.05</x:v>
      </x:c>
      <x:c r="V78" s="20" t="n">
        <x:f>R78*U78</x:f>
        <x:v>1050</x:v>
      </x:c>
      <x:c r="W78" s="18" t="n">
        <x:f>'01 Controls'!F33</x:f>
        <x:v>0.2</x:v>
      </x:c>
      <x:c r="X78" s="20" t="n">
        <x:f>R78*W78</x:f>
        <x:v>4200</x:v>
      </x:c>
      <x:c r="Y78" s="18" t="n">
        <x:f>'01 Controls'!G33</x:f>
        <x:v>0.6</x:v>
      </x:c>
      <x:c r="Z78" s="20" t="n">
        <x:f>R78*Y78</x:f>
        <x:v>12600</x:v>
      </x:c>
      <x:c r="AA78" s="18" t="n">
        <x:f>'01 Controls'!H33</x:f>
        <x:v>0.15</x:v>
      </x:c>
      <x:c r="AB78" s="20" t="n">
        <x:f>R78*AA78</x:f>
        <x:v>3150</x:v>
      </x:c>
      <x:c r="AC78" s="20" t="n">
        <x:f>IF(H78="CM-HCG",K78*'01 Controls'!$E$24,0)</x:f>
        <x:v>0</x:v>
      </x:c>
      <x:c r="AD78" s="20" t="n">
        <x:f>IF(H78="CM-HCG",K78*'01 Controls'!$E$25,0)</x:f>
        <x:v>0</x:v>
      </x:c>
      <x:c r="AE78" s="20" t="n">
        <x:f>IF(H78="CM-HCG",K78*'01 Controls'!$E$26,0)</x:f>
        <x:v>0</x:v>
      </x:c>
      <x:c r="AF78" s="20" t="n">
        <x:f>IF(H78="CM-HCG",K78*'01 Controls'!$E$27,0)</x:f>
        <x:v>0</x:v>
      </x:c>
    </x:row>
    <x:row r="79">
      <x:c r="C79" s="22" t="str">
        <x:v>C2-H-MAC</x:v>
      </x:c>
      <x:c r="D79" s="22" t="n">
        <x:v>74</x:v>
      </x:c>
      <x:c r="E79" s="22" t="str">
        <x:v>C2</x:v>
      </x:c>
      <x:c r="F79" s="22" t="str">
        <x:v>Gulf–Atlantic hurricane</x:v>
      </x:c>
      <x:c r="G79" s="22" t="n">
        <x:v>2</x:v>
      </x:c>
      <x:c r="H79" s="22" t="str">
        <x:v>H-MAC</x:v>
      </x:c>
      <x:c r="I79" s="22" t="str">
        <x:v>Health Protection</x:v>
      </x:c>
      <x:c r="J79" s="22" t="str">
        <x:v>Mobile acute-care group</x:v>
      </x:c>
      <x:c r="K79" s="23" t="n">
        <x:v>5</x:v>
      </x:c>
      <x:c r="L79" s="23" t="n">
        <x:v>600</x:v>
      </x:c>
      <x:c r="M79" s="23" t="n">
        <x:v>0</x:v>
      </x:c>
      <x:c r="N79" s="20" t="n">
        <x:f>K79*L79</x:f>
        <x:v>3000</x:v>
      </x:c>
      <x:c r="O79" s="19" t="n">
        <x:v>5000</x:v>
      </x:c>
      <x:c r="P79" s="17" t="n">
        <x:v>0.7</x:v>
      </x:c>
      <x:c r="Q79" s="20" t="n">
        <x:f>K79*O79*P79</x:f>
        <x:v>17500</x:v>
      </x:c>
      <x:c r="R79" s="20" t="n">
        <x:f>Q79*(1-'01 Controls'!$E$6)</x:f>
        <x:v>13125</x:v>
      </x:c>
      <x:c r="S79" s="19" t="n">
        <x:v>55</x:v>
      </x:c>
      <x:c r="T79" s="20" t="n">
        <x:f>K79*S79</x:f>
        <x:v>275</x:v>
      </x:c>
      <x:c r="U79" s="18" t="n">
        <x:f>'01 Controls'!E33</x:f>
        <x:v>0.05</x:v>
      </x:c>
      <x:c r="V79" s="20" t="n">
        <x:f>R79*U79</x:f>
        <x:v>656.25</x:v>
      </x:c>
      <x:c r="W79" s="18" t="n">
        <x:f>'01 Controls'!F33</x:f>
        <x:v>0.2</x:v>
      </x:c>
      <x:c r="X79" s="20" t="n">
        <x:f>R79*W79</x:f>
        <x:v>2625</x:v>
      </x:c>
      <x:c r="Y79" s="18" t="n">
        <x:f>'01 Controls'!G33</x:f>
        <x:v>0.6</x:v>
      </x:c>
      <x:c r="Z79" s="20" t="n">
        <x:f>R79*Y79</x:f>
        <x:v>7875</x:v>
      </x:c>
      <x:c r="AA79" s="18" t="n">
        <x:f>'01 Controls'!H33</x:f>
        <x:v>0.15</x:v>
      </x:c>
      <x:c r="AB79" s="20" t="n">
        <x:f>R79*AA79</x:f>
        <x:v>1968.75</x:v>
      </x:c>
      <x:c r="AC79" s="20" t="n">
        <x:f>IF(H79="CM-HCG",K79*'01 Controls'!$E$24,0)</x:f>
        <x:v>0</x:v>
      </x:c>
      <x:c r="AD79" s="20" t="n">
        <x:f>IF(H79="CM-HCG",K79*'01 Controls'!$E$25,0)</x:f>
        <x:v>0</x:v>
      </x:c>
      <x:c r="AE79" s="20" t="n">
        <x:f>IF(H79="CM-HCG",K79*'01 Controls'!$E$26,0)</x:f>
        <x:v>0</x:v>
      </x:c>
      <x:c r="AF79" s="20" t="n">
        <x:f>IF(H79="CM-HCG",K79*'01 Controls'!$E$27,0)</x:f>
        <x:v>0</x:v>
      </x:c>
    </x:row>
    <x:row r="80">
      <x:c r="C80" s="22" t="str">
        <x:v>C2-H-PHC</x:v>
      </x:c>
      <x:c r="D80" s="22" t="n">
        <x:v>75</x:v>
      </x:c>
      <x:c r="E80" s="22" t="str">
        <x:v>C2</x:v>
      </x:c>
      <x:c r="F80" s="22" t="str">
        <x:v>Gulf–Atlantic hurricane</x:v>
      </x:c>
      <x:c r="G80" s="22" t="n">
        <x:v>2</x:v>
      </x:c>
      <x:c r="H80" s="22" t="str">
        <x:v>H-PHC</x:v>
      </x:c>
      <x:c r="I80" s="22" t="str">
        <x:v>Health Protection</x:v>
      </x:c>
      <x:c r="J80" s="22" t="str">
        <x:v>Public-health control group</x:v>
      </x:c>
      <x:c r="K80" s="23" t="n">
        <x:v>4</x:v>
      </x:c>
      <x:c r="L80" s="23" t="n">
        <x:v>250</x:v>
      </x:c>
      <x:c r="M80" s="23" t="n">
        <x:v>0</x:v>
      </x:c>
      <x:c r="N80" s="20" t="n">
        <x:f>K80*L80</x:f>
        <x:v>1000</x:v>
      </x:c>
      <x:c r="O80" s="19" t="n">
        <x:v>5000</x:v>
      </x:c>
      <x:c r="P80" s="17" t="n">
        <x:v>0.7</x:v>
      </x:c>
      <x:c r="Q80" s="20" t="n">
        <x:f>K80*O80*P80</x:f>
        <x:v>14000</x:v>
      </x:c>
      <x:c r="R80" s="20" t="n">
        <x:f>Q80*(1-'01 Controls'!$E$6)</x:f>
        <x:v>10500</x:v>
      </x:c>
      <x:c r="S80" s="19" t="n">
        <x:v>55</x:v>
      </x:c>
      <x:c r="T80" s="20" t="n">
        <x:f>K80*S80</x:f>
        <x:v>220</x:v>
      </x:c>
      <x:c r="U80" s="18" t="n">
        <x:f>'01 Controls'!E33</x:f>
        <x:v>0.05</x:v>
      </x:c>
      <x:c r="V80" s="20" t="n">
        <x:f>R80*U80</x:f>
        <x:v>525</x:v>
      </x:c>
      <x:c r="W80" s="18" t="n">
        <x:f>'01 Controls'!F33</x:f>
        <x:v>0.2</x:v>
      </x:c>
      <x:c r="X80" s="20" t="n">
        <x:f>R80*W80</x:f>
        <x:v>2100</x:v>
      </x:c>
      <x:c r="Y80" s="18" t="n">
        <x:f>'01 Controls'!G33</x:f>
        <x:v>0.6</x:v>
      </x:c>
      <x:c r="Z80" s="20" t="n">
        <x:f>R80*Y80</x:f>
        <x:v>6300</x:v>
      </x:c>
      <x:c r="AA80" s="18" t="n">
        <x:f>'01 Controls'!H33</x:f>
        <x:v>0.15</x:v>
      </x:c>
      <x:c r="AB80" s="20" t="n">
        <x:f>R80*AA80</x:f>
        <x:v>1575</x:v>
      </x:c>
      <x:c r="AC80" s="20" t="n">
        <x:f>IF(H80="CM-HCG",K80*'01 Controls'!$E$24,0)</x:f>
        <x:v>0</x:v>
      </x:c>
      <x:c r="AD80" s="20" t="n">
        <x:f>IF(H80="CM-HCG",K80*'01 Controls'!$E$25,0)</x:f>
        <x:v>0</x:v>
      </x:c>
      <x:c r="AE80" s="20" t="n">
        <x:f>IF(H80="CM-HCG",K80*'01 Controls'!$E$26,0)</x:f>
        <x:v>0</x:v>
      </x:c>
      <x:c r="AF80" s="20" t="n">
        <x:f>IF(H80="CM-HCG",K80*'01 Controls'!$E$27,0)</x:f>
        <x:v>0</x:v>
      </x:c>
    </x:row>
    <x:row r="81">
      <x:c r="C81" s="22" t="str">
        <x:v>C2-H-HWR</x:v>
      </x:c>
      <x:c r="D81" s="22" t="n">
        <x:v>76</x:v>
      </x:c>
      <x:c r="E81" s="22" t="str">
        <x:v>C2</x:v>
      </x:c>
      <x:c r="F81" s="22" t="str">
        <x:v>Gulf–Atlantic hurricane</x:v>
      </x:c>
      <x:c r="G81" s="22" t="n">
        <x:v>2</x:v>
      </x:c>
      <x:c r="H81" s="22" t="str">
        <x:v>H-HWR</x:v>
      </x:c>
      <x:c r="I81" s="22" t="str">
        <x:v>Health Protection</x:v>
      </x:c>
      <x:c r="J81" s="22" t="str">
        <x:v>Health workforce replacement group</x:v>
      </x:c>
      <x:c r="K81" s="23" t="n">
        <x:v>8</x:v>
      </x:c>
      <x:c r="L81" s="23" t="n">
        <x:v>550</x:v>
      </x:c>
      <x:c r="M81" s="23" t="n">
        <x:v>0</x:v>
      </x:c>
      <x:c r="N81" s="20" t="n">
        <x:f>K81*L81</x:f>
        <x:v>4400</x:v>
      </x:c>
      <x:c r="O81" s="19" t="n">
        <x:v>5000</x:v>
      </x:c>
      <x:c r="P81" s="17" t="n">
        <x:v>0.7</x:v>
      </x:c>
      <x:c r="Q81" s="20" t="n">
        <x:f>K81*O81*P81</x:f>
        <x:v>28000</x:v>
      </x:c>
      <x:c r="R81" s="20" t="n">
        <x:f>Q81*(1-'01 Controls'!$E$6)</x:f>
        <x:v>21000</x:v>
      </x:c>
      <x:c r="S81" s="19" t="n">
        <x:v>55</x:v>
      </x:c>
      <x:c r="T81" s="20" t="n">
        <x:f>K81*S81</x:f>
        <x:v>440</x:v>
      </x:c>
      <x:c r="U81" s="18" t="n">
        <x:f>'01 Controls'!E33</x:f>
        <x:v>0.05</x:v>
      </x:c>
      <x:c r="V81" s="20" t="n">
        <x:f>R81*U81</x:f>
        <x:v>1050</x:v>
      </x:c>
      <x:c r="W81" s="18" t="n">
        <x:f>'01 Controls'!F33</x:f>
        <x:v>0.2</x:v>
      </x:c>
      <x:c r="X81" s="20" t="n">
        <x:f>R81*W81</x:f>
        <x:v>4200</x:v>
      </x:c>
      <x:c r="Y81" s="18" t="n">
        <x:f>'01 Controls'!G33</x:f>
        <x:v>0.6</x:v>
      </x:c>
      <x:c r="Z81" s="20" t="n">
        <x:f>R81*Y81</x:f>
        <x:v>12600</x:v>
      </x:c>
      <x:c r="AA81" s="18" t="n">
        <x:f>'01 Controls'!H33</x:f>
        <x:v>0.15</x:v>
      </x:c>
      <x:c r="AB81" s="20" t="n">
        <x:f>R81*AA81</x:f>
        <x:v>3150</x:v>
      </x:c>
      <x:c r="AC81" s="20" t="n">
        <x:f>IF(H81="CM-HCG",K81*'01 Controls'!$E$24,0)</x:f>
        <x:v>0</x:v>
      </x:c>
      <x:c r="AD81" s="20" t="n">
        <x:f>IF(H81="CM-HCG",K81*'01 Controls'!$E$25,0)</x:f>
        <x:v>0</x:v>
      </x:c>
      <x:c r="AE81" s="20" t="n">
        <x:f>IF(H81="CM-HCG",K81*'01 Controls'!$E$26,0)</x:f>
        <x:v>0</x:v>
      </x:c>
      <x:c r="AF81" s="20" t="n">
        <x:f>IF(H81="CM-HCG",K81*'01 Controls'!$E$27,0)</x:f>
        <x:v>0</x:v>
      </x:c>
    </x:row>
    <x:row r="82">
      <x:c r="C82" s="22" t="str">
        <x:v>C2-C-PSG</x:v>
      </x:c>
      <x:c r="D82" s="22" t="n">
        <x:v>77</x:v>
      </x:c>
      <x:c r="E82" s="22" t="str">
        <x:v>C2</x:v>
      </x:c>
      <x:c r="F82" s="22" t="str">
        <x:v>Gulf–Atlantic hurricane</x:v>
      </x:c>
      <x:c r="G82" s="22" t="n">
        <x:v>2</x:v>
      </x:c>
      <x:c r="H82" s="22" t="str">
        <x:v>C-PSG</x:v>
      </x:c>
      <x:c r="I82" s="22" t="str">
        <x:v>Community Stabilization</x:v>
      </x:c>
      <x:c r="J82" s="22" t="str">
        <x:v>Population support group</x:v>
      </x:c>
      <x:c r="K82" s="23" t="n">
        <x:v>14</x:v>
      </x:c>
      <x:c r="L82" s="23" t="n">
        <x:v>450</x:v>
      </x:c>
      <x:c r="M82" s="23" t="n">
        <x:v>0</x:v>
      </x:c>
      <x:c r="N82" s="20" t="n">
        <x:f>K82*L82</x:f>
        <x:v>6300</x:v>
      </x:c>
      <x:c r="O82" s="19" t="n">
        <x:v>4500</x:v>
      </x:c>
      <x:c r="P82" s="17" t="n">
        <x:v>0.65</x:v>
      </x:c>
      <x:c r="Q82" s="20" t="n">
        <x:f>K82*O82*P82</x:f>
        <x:v>40950</x:v>
      </x:c>
      <x:c r="R82" s="20" t="n">
        <x:f>Q82*(1-'01 Controls'!$E$6)</x:f>
        <x:v>30712.5</x:v>
      </x:c>
      <x:c r="S82" s="19" t="n">
        <x:v>75</x:v>
      </x:c>
      <x:c r="T82" s="20" t="n">
        <x:f>K82*S82</x:f>
        <x:v>1050</x:v>
      </x:c>
      <x:c r="U82" s="18" t="n">
        <x:f>'01 Controls'!E33</x:f>
        <x:v>0.05</x:v>
      </x:c>
      <x:c r="V82" s="20" t="n">
        <x:f>R82*U82</x:f>
        <x:v>1535.625</x:v>
      </x:c>
      <x:c r="W82" s="18" t="n">
        <x:f>'01 Controls'!F33</x:f>
        <x:v>0.2</x:v>
      </x:c>
      <x:c r="X82" s="20" t="n">
        <x:f>R82*W82</x:f>
        <x:v>6142.5</x:v>
      </x:c>
      <x:c r="Y82" s="18" t="n">
        <x:f>'01 Controls'!G33</x:f>
        <x:v>0.6</x:v>
      </x:c>
      <x:c r="Z82" s="20" t="n">
        <x:f>R82*Y82</x:f>
        <x:v>18427.5</x:v>
      </x:c>
      <x:c r="AA82" s="18" t="n">
        <x:f>'01 Controls'!H33</x:f>
        <x:v>0.15</x:v>
      </x:c>
      <x:c r="AB82" s="20" t="n">
        <x:f>R82*AA82</x:f>
        <x:v>4606.875</x:v>
      </x:c>
      <x:c r="AC82" s="20" t="n">
        <x:f>IF(H82="CM-HCG",K82*'01 Controls'!$E$24,0)</x:f>
        <x:v>0</x:v>
      </x:c>
      <x:c r="AD82" s="20" t="n">
        <x:f>IF(H82="CM-HCG",K82*'01 Controls'!$E$25,0)</x:f>
        <x:v>0</x:v>
      </x:c>
      <x:c r="AE82" s="20" t="n">
        <x:f>IF(H82="CM-HCG",K82*'01 Controls'!$E$26,0)</x:f>
        <x:v>0</x:v>
      </x:c>
      <x:c r="AF82" s="20" t="n">
        <x:f>IF(H82="CM-HCG",K82*'01 Controls'!$E$27,0)</x:f>
        <x:v>0</x:v>
      </x:c>
    </x:row>
    <x:row r="83">
      <x:c r="C83" s="22" t="str">
        <x:v>C2-C-EGG</x:v>
      </x:c>
      <x:c r="D83" s="22" t="n">
        <x:v>78</x:v>
      </x:c>
      <x:c r="E83" s="22" t="str">
        <x:v>C2</x:v>
      </x:c>
      <x:c r="F83" s="22" t="str">
        <x:v>Gulf–Atlantic hurricane</x:v>
      </x:c>
      <x:c r="G83" s="22" t="n">
        <x:v>2</x:v>
      </x:c>
      <x:c r="H83" s="22" t="str">
        <x:v>C-EGG</x:v>
      </x:c>
      <x:c r="I83" s="22" t="str">
        <x:v>Community Stabilization</x:v>
      </x:c>
      <x:c r="J83" s="22" t="str">
        <x:v>Essential-goods group</x:v>
      </x:c>
      <x:c r="K83" s="23" t="n">
        <x:v>14</x:v>
      </x:c>
      <x:c r="L83" s="23" t="n">
        <x:v>350</x:v>
      </x:c>
      <x:c r="M83" s="23" t="n">
        <x:v>0</x:v>
      </x:c>
      <x:c r="N83" s="20" t="n">
        <x:f>K83*L83</x:f>
        <x:v>4900</x:v>
      </x:c>
      <x:c r="O83" s="19" t="n">
        <x:v>4500</x:v>
      </x:c>
      <x:c r="P83" s="17" t="n">
        <x:v>0.65</x:v>
      </x:c>
      <x:c r="Q83" s="20" t="n">
        <x:f>K83*O83*P83</x:f>
        <x:v>40950</x:v>
      </x:c>
      <x:c r="R83" s="20" t="n">
        <x:f>Q83*(1-'01 Controls'!$E$6)</x:f>
        <x:v>30712.5</x:v>
      </x:c>
      <x:c r="S83" s="19" t="n">
        <x:v>75</x:v>
      </x:c>
      <x:c r="T83" s="20" t="n">
        <x:f>K83*S83</x:f>
        <x:v>1050</x:v>
      </x:c>
      <x:c r="U83" s="18" t="n">
        <x:f>'01 Controls'!E33</x:f>
        <x:v>0.05</x:v>
      </x:c>
      <x:c r="V83" s="20" t="n">
        <x:f>R83*U83</x:f>
        <x:v>1535.625</x:v>
      </x:c>
      <x:c r="W83" s="18" t="n">
        <x:f>'01 Controls'!F33</x:f>
        <x:v>0.2</x:v>
      </x:c>
      <x:c r="X83" s="20" t="n">
        <x:f>R83*W83</x:f>
        <x:v>6142.5</x:v>
      </x:c>
      <x:c r="Y83" s="18" t="n">
        <x:f>'01 Controls'!G33</x:f>
        <x:v>0.6</x:v>
      </x:c>
      <x:c r="Z83" s="20" t="n">
        <x:f>R83*Y83</x:f>
        <x:v>18427.5</x:v>
      </x:c>
      <x:c r="AA83" s="18" t="n">
        <x:f>'01 Controls'!H33</x:f>
        <x:v>0.15</x:v>
      </x:c>
      <x:c r="AB83" s="20" t="n">
        <x:f>R83*AA83</x:f>
        <x:v>4606.875</x:v>
      </x:c>
      <x:c r="AC83" s="20" t="n">
        <x:f>IF(H83="CM-HCG",K83*'01 Controls'!$E$24,0)</x:f>
        <x:v>0</x:v>
      </x:c>
      <x:c r="AD83" s="20" t="n">
        <x:f>IF(H83="CM-HCG",K83*'01 Controls'!$E$25,0)</x:f>
        <x:v>0</x:v>
      </x:c>
      <x:c r="AE83" s="20" t="n">
        <x:f>IF(H83="CM-HCG",K83*'01 Controls'!$E$26,0)</x:f>
        <x:v>0</x:v>
      </x:c>
      <x:c r="AF83" s="20" t="n">
        <x:f>IF(H83="CM-HCG",K83*'01 Controls'!$E$27,0)</x:f>
        <x:v>0</x:v>
      </x:c>
    </x:row>
    <x:row r="84">
      <x:c r="C84" s="22" t="str">
        <x:v>C2-C-CAG</x:v>
      </x:c>
      <x:c r="D84" s="22" t="n">
        <x:v>79</x:v>
      </x:c>
      <x:c r="E84" s="22" t="str">
        <x:v>C2</x:v>
      </x:c>
      <x:c r="F84" s="22" t="str">
        <x:v>Gulf–Atlantic hurricane</x:v>
      </x:c>
      <x:c r="G84" s="22" t="n">
        <x:v>2</x:v>
      </x:c>
      <x:c r="H84" s="22" t="str">
        <x:v>C-CAG</x:v>
      </x:c>
      <x:c r="I84" s="22" t="str">
        <x:v>Community Stabilization</x:v>
      </x:c>
      <x:c r="J84" s="22" t="str">
        <x:v>Civil access group</x:v>
      </x:c>
      <x:c r="K84" s="23" t="n">
        <x:v>10</x:v>
      </x:c>
      <x:c r="L84" s="23" t="n">
        <x:v>180</x:v>
      </x:c>
      <x:c r="M84" s="23" t="n">
        <x:v>0</x:v>
      </x:c>
      <x:c r="N84" s="20" t="n">
        <x:f>K84*L84</x:f>
        <x:v>1800</x:v>
      </x:c>
      <x:c r="O84" s="19" t="n">
        <x:v>4500</x:v>
      </x:c>
      <x:c r="P84" s="17" t="n">
        <x:v>0.65</x:v>
      </x:c>
      <x:c r="Q84" s="20" t="n">
        <x:f>K84*O84*P84</x:f>
        <x:v>29250</x:v>
      </x:c>
      <x:c r="R84" s="20" t="n">
        <x:f>Q84*(1-'01 Controls'!$E$6)</x:f>
        <x:v>21937.5</x:v>
      </x:c>
      <x:c r="S84" s="19" t="n">
        <x:v>75</x:v>
      </x:c>
      <x:c r="T84" s="20" t="n">
        <x:f>K84*S84</x:f>
        <x:v>750</x:v>
      </x:c>
      <x:c r="U84" s="18" t="n">
        <x:f>'01 Controls'!E33</x:f>
        <x:v>0.05</x:v>
      </x:c>
      <x:c r="V84" s="20" t="n">
        <x:f>R84*U84</x:f>
        <x:v>1096.875</x:v>
      </x:c>
      <x:c r="W84" s="18" t="n">
        <x:f>'01 Controls'!F33</x:f>
        <x:v>0.2</x:v>
      </x:c>
      <x:c r="X84" s="20" t="n">
        <x:f>R84*W84</x:f>
        <x:v>4387.5</x:v>
      </x:c>
      <x:c r="Y84" s="18" t="n">
        <x:f>'01 Controls'!G33</x:f>
        <x:v>0.6</x:v>
      </x:c>
      <x:c r="Z84" s="20" t="n">
        <x:f>R84*Y84</x:f>
        <x:v>13162.5</x:v>
      </x:c>
      <x:c r="AA84" s="18" t="n">
        <x:f>'01 Controls'!H33</x:f>
        <x:v>0.15</x:v>
      </x:c>
      <x:c r="AB84" s="20" t="n">
        <x:f>R84*AA84</x:f>
        <x:v>3290.625</x:v>
      </x:c>
      <x:c r="AC84" s="20" t="n">
        <x:f>IF(H84="CM-HCG",K84*'01 Controls'!$E$24,0)</x:f>
        <x:v>0</x:v>
      </x:c>
      <x:c r="AD84" s="20" t="n">
        <x:f>IF(H84="CM-HCG",K84*'01 Controls'!$E$25,0)</x:f>
        <x:v>0</x:v>
      </x:c>
      <x:c r="AE84" s="20" t="n">
        <x:f>IF(H84="CM-HCG",K84*'01 Controls'!$E$26,0)</x:f>
        <x:v>0</x:v>
      </x:c>
      <x:c r="AF84" s="20" t="n">
        <x:f>IF(H84="CM-HCG",K84*'01 Controls'!$E$27,0)</x:f>
        <x:v>0</x:v>
      </x:c>
    </x:row>
    <x:row r="85">
      <x:c r="C85" s="22" t="str">
        <x:v>C2-C-DTG</x:v>
      </x:c>
      <x:c r="D85" s="22" t="n">
        <x:v>80</x:v>
      </x:c>
      <x:c r="E85" s="22" t="str">
        <x:v>C2</x:v>
      </x:c>
      <x:c r="F85" s="22" t="str">
        <x:v>Gulf–Atlantic hurricane</x:v>
      </x:c>
      <x:c r="G85" s="22" t="n">
        <x:v>2</x:v>
      </x:c>
      <x:c r="H85" s="22" t="str">
        <x:v>C-DTG</x:v>
      </x:c>
      <x:c r="I85" s="22" t="str">
        <x:v>Community Stabilization</x:v>
      </x:c>
      <x:c r="J85" s="22" t="str">
        <x:v>Displacement transition group</x:v>
      </x:c>
      <x:c r="K85" s="23" t="n">
        <x:v>10</x:v>
      </x:c>
      <x:c r="L85" s="23" t="n">
        <x:v>300</x:v>
      </x:c>
      <x:c r="M85" s="23" t="n">
        <x:v>0</x:v>
      </x:c>
      <x:c r="N85" s="20" t="n">
        <x:f>K85*L85</x:f>
        <x:v>3000</x:v>
      </x:c>
      <x:c r="O85" s="19" t="n">
        <x:v>4500</x:v>
      </x:c>
      <x:c r="P85" s="17" t="n">
        <x:v>0.65</x:v>
      </x:c>
      <x:c r="Q85" s="20" t="n">
        <x:f>K85*O85*P85</x:f>
        <x:v>29250</x:v>
      </x:c>
      <x:c r="R85" s="20" t="n">
        <x:f>Q85*(1-'01 Controls'!$E$6)</x:f>
        <x:v>21937.5</x:v>
      </x:c>
      <x:c r="S85" s="19" t="n">
        <x:v>75</x:v>
      </x:c>
      <x:c r="T85" s="20" t="n">
        <x:f>K85*S85</x:f>
        <x:v>750</x:v>
      </x:c>
      <x:c r="U85" s="18" t="n">
        <x:f>'01 Controls'!E33</x:f>
        <x:v>0.05</x:v>
      </x:c>
      <x:c r="V85" s="20" t="n">
        <x:f>R85*U85</x:f>
        <x:v>1096.875</x:v>
      </x:c>
      <x:c r="W85" s="18" t="n">
        <x:f>'01 Controls'!F33</x:f>
        <x:v>0.2</x:v>
      </x:c>
      <x:c r="X85" s="20" t="n">
        <x:f>R85*W85</x:f>
        <x:v>4387.5</x:v>
      </x:c>
      <x:c r="Y85" s="18" t="n">
        <x:f>'01 Controls'!G33</x:f>
        <x:v>0.6</x:v>
      </x:c>
      <x:c r="Z85" s="20" t="n">
        <x:f>R85*Y85</x:f>
        <x:v>13162.5</x:v>
      </x:c>
      <x:c r="AA85" s="18" t="n">
        <x:f>'01 Controls'!H33</x:f>
        <x:v>0.15</x:v>
      </x:c>
      <x:c r="AB85" s="20" t="n">
        <x:f>R85*AA85</x:f>
        <x:v>3290.625</x:v>
      </x:c>
      <x:c r="AC85" s="20" t="n">
        <x:f>IF(H85="CM-HCG",K85*'01 Controls'!$E$24,0)</x:f>
        <x:v>0</x:v>
      </x:c>
      <x:c r="AD85" s="20" t="n">
        <x:f>IF(H85="CM-HCG",K85*'01 Controls'!$E$25,0)</x:f>
        <x:v>0</x:v>
      </x:c>
      <x:c r="AE85" s="20" t="n">
        <x:f>IF(H85="CM-HCG",K85*'01 Controls'!$E$26,0)</x:f>
        <x:v>0</x:v>
      </x:c>
      <x:c r="AF85" s="20" t="n">
        <x:f>IF(H85="CM-HCG",K85*'01 Controls'!$E$27,0)</x:f>
        <x:v>0</x:v>
      </x:c>
    </x:row>
    <x:row r="86">
      <x:c r="C86" s="22" t="str">
        <x:v>C2-C-CIG</x:v>
      </x:c>
      <x:c r="D86" s="22" t="n">
        <x:v>81</x:v>
      </x:c>
      <x:c r="E86" s="22" t="str">
        <x:v>C2</x:v>
      </x:c>
      <x:c r="F86" s="22" t="str">
        <x:v>Gulf–Atlantic hurricane</x:v>
      </x:c>
      <x:c r="G86" s="22" t="n">
        <x:v>2</x:v>
      </x:c>
      <x:c r="H86" s="22" t="str">
        <x:v>C-CIG</x:v>
      </x:c>
      <x:c r="I86" s="22" t="str">
        <x:v>Community Stabilization</x:v>
      </x:c>
      <x:c r="J86" s="22" t="str">
        <x:v>Community institutions group</x:v>
      </x:c>
      <x:c r="K86" s="23" t="n">
        <x:v>8</x:v>
      </x:c>
      <x:c r="L86" s="23" t="n">
        <x:v>250</x:v>
      </x:c>
      <x:c r="M86" s="23" t="n">
        <x:v>0</x:v>
      </x:c>
      <x:c r="N86" s="20" t="n">
        <x:f>K86*L86</x:f>
        <x:v>2000</x:v>
      </x:c>
      <x:c r="O86" s="19" t="n">
        <x:v>4500</x:v>
      </x:c>
      <x:c r="P86" s="17" t="n">
        <x:v>0.65</x:v>
      </x:c>
      <x:c r="Q86" s="20" t="n">
        <x:f>K86*O86*P86</x:f>
        <x:v>23400</x:v>
      </x:c>
      <x:c r="R86" s="20" t="n">
        <x:f>Q86*(1-'01 Controls'!$E$6)</x:f>
        <x:v>17550</x:v>
      </x:c>
      <x:c r="S86" s="19" t="n">
        <x:v>75</x:v>
      </x:c>
      <x:c r="T86" s="20" t="n">
        <x:f>K86*S86</x:f>
        <x:v>600</x:v>
      </x:c>
      <x:c r="U86" s="18" t="n">
        <x:f>'01 Controls'!E33</x:f>
        <x:v>0.05</x:v>
      </x:c>
      <x:c r="V86" s="20" t="n">
        <x:f>R86*U86</x:f>
        <x:v>877.5</x:v>
      </x:c>
      <x:c r="W86" s="18" t="n">
        <x:f>'01 Controls'!F33</x:f>
        <x:v>0.2</x:v>
      </x:c>
      <x:c r="X86" s="20" t="n">
        <x:f>R86*W86</x:f>
        <x:v>3510</x:v>
      </x:c>
      <x:c r="Y86" s="18" t="n">
        <x:f>'01 Controls'!G33</x:f>
        <x:v>0.6</x:v>
      </x:c>
      <x:c r="Z86" s="20" t="n">
        <x:f>R86*Y86</x:f>
        <x:v>10530</x:v>
      </x:c>
      <x:c r="AA86" s="18" t="n">
        <x:f>'01 Controls'!H33</x:f>
        <x:v>0.15</x:v>
      </x:c>
      <x:c r="AB86" s="20" t="n">
        <x:f>R86*AA86</x:f>
        <x:v>2632.5</x:v>
      </x:c>
      <x:c r="AC86" s="20" t="n">
        <x:f>IF(H86="CM-HCG",K86*'01 Controls'!$E$24,0)</x:f>
        <x:v>0</x:v>
      </x:c>
      <x:c r="AD86" s="20" t="n">
        <x:f>IF(H86="CM-HCG",K86*'01 Controls'!$E$25,0)</x:f>
        <x:v>0</x:v>
      </x:c>
      <x:c r="AE86" s="20" t="n">
        <x:f>IF(H86="CM-HCG",K86*'01 Controls'!$E$26,0)</x:f>
        <x:v>0</x:v>
      </x:c>
      <x:c r="AF86" s="20" t="n">
        <x:f>IF(H86="CM-HCG",K86*'01 Controls'!$E$27,0)</x:f>
        <x:v>0</x:v>
      </x:c>
    </x:row>
    <x:row r="87">
      <x:c r="C87" s="22" t="str">
        <x:v>C2-J-RIG</x:v>
      </x:c>
      <x:c r="D87" s="22" t="n">
        <x:v>82</x:v>
      </x:c>
      <x:c r="E87" s="22" t="str">
        <x:v>C2</x:v>
      </x:c>
      <x:c r="F87" s="22" t="str">
        <x:v>Gulf–Atlantic hurricane</x:v>
      </x:c>
      <x:c r="G87" s="22" t="n">
        <x:v>2</x:v>
      </x:c>
      <x:c r="H87" s="22" t="str">
        <x:v>J-RIG</x:v>
      </x:c>
      <x:c r="I87" s="22" t="str">
        <x:v>Joint</x:v>
      </x:c>
      <x:c r="J87" s="22" t="str">
        <x:v>Resilience information group</x:v>
      </x:c>
      <x:c r="K87" s="23" t="n">
        <x:v>6</x:v>
      </x:c>
      <x:c r="L87" s="23" t="n">
        <x:v>420</x:v>
      </x:c>
      <x:c r="M87" s="23" t="n">
        <x:v>60</x:v>
      </x:c>
      <x:c r="N87" s="20" t="n">
        <x:f>K87*L87</x:f>
        <x:v>2520</x:v>
      </x:c>
      <x:c r="O87" s="19" t="n">
        <x:v>2800</x:v>
      </x:c>
      <x:c r="P87" s="17" t="n">
        <x:v>0.65</x:v>
      </x:c>
      <x:c r="Q87" s="20" t="n">
        <x:f>K87*O87*P87</x:f>
        <x:v>10920</x:v>
      </x:c>
      <x:c r="R87" s="20" t="n">
        <x:f>Q87*(1-'01 Controls'!$E$6)</x:f>
        <x:v>8190</x:v>
      </x:c>
      <x:c r="S87" s="19" t="n">
        <x:v>35</x:v>
      </x:c>
      <x:c r="T87" s="20" t="n">
        <x:f>K87*S87</x:f>
        <x:v>210</x:v>
      </x:c>
      <x:c r="U87" s="18" t="n">
        <x:f>'01 Controls'!E33</x:f>
        <x:v>0.05</x:v>
      </x:c>
      <x:c r="V87" s="20" t="n">
        <x:f>R87*U87</x:f>
        <x:v>409.5</x:v>
      </x:c>
      <x:c r="W87" s="18" t="n">
        <x:f>'01 Controls'!F33</x:f>
        <x:v>0.2</x:v>
      </x:c>
      <x:c r="X87" s="20" t="n">
        <x:f>R87*W87</x:f>
        <x:v>1638</x:v>
      </x:c>
      <x:c r="Y87" s="18" t="n">
        <x:f>'01 Controls'!G33</x:f>
        <x:v>0.6</x:v>
      </x:c>
      <x:c r="Z87" s="20" t="n">
        <x:f>R87*Y87</x:f>
        <x:v>4914</x:v>
      </x:c>
      <x:c r="AA87" s="18" t="n">
        <x:f>'01 Controls'!H33</x:f>
        <x:v>0.15</x:v>
      </x:c>
      <x:c r="AB87" s="20" t="n">
        <x:f>R87*AA87</x:f>
        <x:v>1228.5</x:v>
      </x:c>
      <x:c r="AC87" s="20" t="n">
        <x:f>IF(H87="CM-HCG",K87*'01 Controls'!$E$24,0)</x:f>
        <x:v>0</x:v>
      </x:c>
      <x:c r="AD87" s="20" t="n">
        <x:f>IF(H87="CM-HCG",K87*'01 Controls'!$E$25,0)</x:f>
        <x:v>0</x:v>
      </x:c>
      <x:c r="AE87" s="20" t="n">
        <x:f>IF(H87="CM-HCG",K87*'01 Controls'!$E$26,0)</x:f>
        <x:v>0</x:v>
      </x:c>
      <x:c r="AF87" s="20" t="n">
        <x:f>IF(H87="CM-HCG",K87*'01 Controls'!$E$27,0)</x:f>
        <x:v>0</x:v>
      </x:c>
    </x:row>
    <x:row r="88">
      <x:c r="C88" s="22" t="str">
        <x:v>C2-M-MPG</x:v>
      </x:c>
      <x:c r="D88" s="22" t="n">
        <x:v>83</x:v>
      </x:c>
      <x:c r="E88" s="22" t="str">
        <x:v>C2</x:v>
      </x:c>
      <x:c r="F88" s="22" t="str">
        <x:v>Gulf–Atlantic hurricane</x:v>
      </x:c>
      <x:c r="G88" s="22" t="n">
        <x:v>2</x:v>
      </x:c>
      <x:c r="H88" s="22" t="str">
        <x:v>M-MPG</x:v>
      </x:c>
      <x:c r="I88" s="22" t="str">
        <x:v>Maritime Response</x:v>
      </x:c>
      <x:c r="J88" s="22" t="str">
        <x:v>Maritime production group</x:v>
      </x:c>
      <x:c r="K88" s="23" t="n">
        <x:v>4</x:v>
      </x:c>
      <x:c r="L88" s="23" t="n">
        <x:v>1100</x:v>
      </x:c>
      <x:c r="M88" s="23" t="n">
        <x:v>200</x:v>
      </x:c>
      <x:c r="N88" s="20" t="n">
        <x:f>K88*L88</x:f>
        <x:v>4400</x:v>
      </x:c>
      <x:c r="O88" s="19" t="n">
        <x:v>28000</x:v>
      </x:c>
      <x:c r="P88" s="17" t="n">
        <x:v>0.35</x:v>
      </x:c>
      <x:c r="Q88" s="20" t="n">
        <x:f>K88*O88*P88</x:f>
        <x:v>39200</x:v>
      </x:c>
      <x:c r="R88" s="20" t="n">
        <x:f>Q88*(1-'01 Controls'!$E$6)</x:f>
        <x:v>29400</x:v>
      </x:c>
      <x:c r="S88" s="19" t="n">
        <x:v>50</x:v>
      </x:c>
      <x:c r="T88" s="20" t="n">
        <x:f>K88*S88</x:f>
        <x:v>200</x:v>
      </x:c>
      <x:c r="U88" s="18" t="n">
        <x:f>'01 Controls'!E33</x:f>
        <x:v>0.05</x:v>
      </x:c>
      <x:c r="V88" s="20" t="n">
        <x:f>R88*U88</x:f>
        <x:v>1470</x:v>
      </x:c>
      <x:c r="W88" s="18" t="n">
        <x:f>'01 Controls'!F33</x:f>
        <x:v>0.2</x:v>
      </x:c>
      <x:c r="X88" s="20" t="n">
        <x:f>R88*W88</x:f>
        <x:v>5880</x:v>
      </x:c>
      <x:c r="Y88" s="18" t="n">
        <x:f>'01 Controls'!G33</x:f>
        <x:v>0.6</x:v>
      </x:c>
      <x:c r="Z88" s="20" t="n">
        <x:f>R88*Y88</x:f>
        <x:v>17640</x:v>
      </x:c>
      <x:c r="AA88" s="18" t="n">
        <x:f>'01 Controls'!H33</x:f>
        <x:v>0.15</x:v>
      </x:c>
      <x:c r="AB88" s="20" t="n">
        <x:f>R88*AA88</x:f>
        <x:v>4410</x:v>
      </x:c>
      <x:c r="AC88" s="20" t="n">
        <x:f>IF(H88="CM-HCG",K88*'01 Controls'!$E$24,0)</x:f>
        <x:v>0</x:v>
      </x:c>
      <x:c r="AD88" s="20" t="n">
        <x:f>IF(H88="CM-HCG",K88*'01 Controls'!$E$25,0)</x:f>
        <x:v>0</x:v>
      </x:c>
      <x:c r="AE88" s="20" t="n">
        <x:f>IF(H88="CM-HCG",K88*'01 Controls'!$E$26,0)</x:f>
        <x:v>0</x:v>
      </x:c>
      <x:c r="AF88" s="20" t="n">
        <x:f>IF(H88="CM-HCG",K88*'01 Controls'!$E$27,0)</x:f>
        <x:v>0</x:v>
      </x:c>
    </x:row>
    <x:row r="89">
      <x:c r="C89" s="22" t="str">
        <x:v>C2-I-WRG</x:v>
      </x:c>
      <x:c r="D89" s="22" t="n">
        <x:v>84</x:v>
      </x:c>
      <x:c r="E89" s="22" t="str">
        <x:v>C2</x:v>
      </x:c>
      <x:c r="F89" s="22" t="str">
        <x:v>Gulf–Atlantic hurricane</x:v>
      </x:c>
      <x:c r="G89" s="22" t="n">
        <x:v>2</x:v>
      </x:c>
      <x:c r="H89" s="22" t="str">
        <x:v>I-WRG</x:v>
      </x:c>
      <x:c r="I89" s="22" t="str">
        <x:v>Infrastructure Restoration</x:v>
      </x:c>
      <x:c r="J89" s="22" t="str">
        <x:v>Water restoration group</x:v>
      </x:c>
      <x:c r="K89" s="23" t="n">
        <x:v>6</x:v>
      </x:c>
      <x:c r="L89" s="23" t="n">
        <x:v>2720</x:v>
      </x:c>
      <x:c r="M89" s="23" t="n">
        <x:v>600</x:v>
      </x:c>
      <x:c r="N89" s="20" t="n">
        <x:f>K89*L89</x:f>
        <x:v>16320</x:v>
      </x:c>
      <x:c r="O89" s="19" t="n">
        <x:v>23516</x:v>
      </x:c>
      <x:c r="P89" s="17" t="n">
        <x:v>0.4</x:v>
      </x:c>
      <x:c r="Q89" s="20" t="n">
        <x:f>K89*O89*P89</x:f>
        <x:v>56438.4</x:v>
      </x:c>
      <x:c r="R89" s="20" t="n">
        <x:f>Q89*(1-'01 Controls'!$E$6)</x:f>
        <x:v>42328.8</x:v>
      </x:c>
      <x:c r="S89" s="19" t="n">
        <x:v>65</x:v>
      </x:c>
      <x:c r="T89" s="20" t="n">
        <x:f>K89*S89</x:f>
        <x:v>390</x:v>
      </x:c>
      <x:c r="U89" s="18" t="n">
        <x:f>'01 Controls'!E33</x:f>
        <x:v>0.05</x:v>
      </x:c>
      <x:c r="V89" s="20" t="n">
        <x:f>R89*U89</x:f>
        <x:v>2116.44</x:v>
      </x:c>
      <x:c r="W89" s="18" t="n">
        <x:f>'01 Controls'!F33</x:f>
        <x:v>0.2</x:v>
      </x:c>
      <x:c r="X89" s="20" t="n">
        <x:f>R89*W89</x:f>
        <x:v>8465.76</x:v>
      </x:c>
      <x:c r="Y89" s="18" t="n">
        <x:f>'01 Controls'!G33</x:f>
        <x:v>0.6</x:v>
      </x:c>
      <x:c r="Z89" s="20" t="n">
        <x:f>R89*Y89</x:f>
        <x:v>25397.280000000002</x:v>
      </x:c>
      <x:c r="AA89" s="18" t="n">
        <x:f>'01 Controls'!H33</x:f>
        <x:v>0.15</x:v>
      </x:c>
      <x:c r="AB89" s="20" t="n">
        <x:f>R89*AA89</x:f>
        <x:v>6349.320000000001</x:v>
      </x:c>
      <x:c r="AC89" s="20" t="n">
        <x:f>IF(H89="CM-HCG",K89*'01 Controls'!$E$24,0)</x:f>
        <x:v>0</x:v>
      </x:c>
      <x:c r="AD89" s="20" t="n">
        <x:f>IF(H89="CM-HCG",K89*'01 Controls'!$E$25,0)</x:f>
        <x:v>0</x:v>
      </x:c>
      <x:c r="AE89" s="20" t="n">
        <x:f>IF(H89="CM-HCG",K89*'01 Controls'!$E$26,0)</x:f>
        <x:v>0</x:v>
      </x:c>
      <x:c r="AF89" s="20" t="n">
        <x:f>IF(H89="CM-HCG",K89*'01 Controls'!$E$27,0)</x:f>
        <x:v>0</x:v>
      </x:c>
    </x:row>
    <x:row r="90">
      <x:c r="C90" s="22" t="str">
        <x:v>C2-I-PRG</x:v>
      </x:c>
      <x:c r="D90" s="22" t="n">
        <x:v>85</x:v>
      </x:c>
      <x:c r="E90" s="22" t="str">
        <x:v>C2</x:v>
      </x:c>
      <x:c r="F90" s="22" t="str">
        <x:v>Gulf–Atlantic hurricane</x:v>
      </x:c>
      <x:c r="G90" s="22" t="n">
        <x:v>2</x:v>
      </x:c>
      <x:c r="H90" s="22" t="str">
        <x:v>I-PRG</x:v>
      </x:c>
      <x:c r="I90" s="22" t="str">
        <x:v>Infrastructure Restoration</x:v>
      </x:c>
      <x:c r="J90" s="22" t="str">
        <x:v>Power restoration group</x:v>
      </x:c>
      <x:c r="K90" s="23" t="n">
        <x:v>6</x:v>
      </x:c>
      <x:c r="L90" s="23" t="n">
        <x:v>2796</x:v>
      </x:c>
      <x:c r="M90" s="23" t="n">
        <x:v>596</x:v>
      </x:c>
      <x:c r="N90" s="20" t="n">
        <x:f>K90*L90</x:f>
        <x:v>16776</x:v>
      </x:c>
      <x:c r="O90" s="19" t="n">
        <x:v>18332</x:v>
      </x:c>
      <x:c r="P90" s="17" t="n">
        <x:v>0.4</x:v>
      </x:c>
      <x:c r="Q90" s="20" t="n">
        <x:f>K90*O90*P90</x:f>
        <x:v>43996.8</x:v>
      </x:c>
      <x:c r="R90" s="20" t="n">
        <x:f>Q90*(1-'01 Controls'!$E$6)</x:f>
        <x:v>32997.600000000006</x:v>
      </x:c>
      <x:c r="S90" s="19" t="n">
        <x:v>80</x:v>
      </x:c>
      <x:c r="T90" s="20" t="n">
        <x:f>K90*S90</x:f>
        <x:v>480</x:v>
      </x:c>
      <x:c r="U90" s="18" t="n">
        <x:f>'01 Controls'!E33</x:f>
        <x:v>0.05</x:v>
      </x:c>
      <x:c r="V90" s="20" t="n">
        <x:f>R90*U90</x:f>
        <x:v>1649.8800000000003</x:v>
      </x:c>
      <x:c r="W90" s="18" t="n">
        <x:f>'01 Controls'!F33</x:f>
        <x:v>0.2</x:v>
      </x:c>
      <x:c r="X90" s="20" t="n">
        <x:f>R90*W90</x:f>
        <x:v>6599.520000000001</x:v>
      </x:c>
      <x:c r="Y90" s="18" t="n">
        <x:f>'01 Controls'!G33</x:f>
        <x:v>0.6</x:v>
      </x:c>
      <x:c r="Z90" s="20" t="n">
        <x:f>R90*Y90</x:f>
        <x:v>19798.56</x:v>
      </x:c>
      <x:c r="AA90" s="18" t="n">
        <x:f>'01 Controls'!H33</x:f>
        <x:v>0.15</x:v>
      </x:c>
      <x:c r="AB90" s="20" t="n">
        <x:f>R90*AA90</x:f>
        <x:v>4949.64</x:v>
      </x:c>
      <x:c r="AC90" s="20" t="n">
        <x:f>IF(H90="CM-HCG",K90*'01 Controls'!$E$24,0)</x:f>
        <x:v>0</x:v>
      </x:c>
      <x:c r="AD90" s="20" t="n">
        <x:f>IF(H90="CM-HCG",K90*'01 Controls'!$E$25,0)</x:f>
        <x:v>0</x:v>
      </x:c>
      <x:c r="AE90" s="20" t="n">
        <x:f>IF(H90="CM-HCG",K90*'01 Controls'!$E$26,0)</x:f>
        <x:v>0</x:v>
      </x:c>
      <x:c r="AF90" s="20" t="n">
        <x:f>IF(H90="CM-HCG",K90*'01 Controls'!$E$27,0)</x:f>
        <x:v>0</x:v>
      </x:c>
    </x:row>
    <x:row r="91">
      <x:c r="C91" s="22" t="str">
        <x:v>C2-I-GBG</x:v>
      </x:c>
      <x:c r="D91" s="22" t="n">
        <x:v>86</x:v>
      </x:c>
      <x:c r="E91" s="22" t="str">
        <x:v>C2</x:v>
      </x:c>
      <x:c r="F91" s="22" t="str">
        <x:v>Gulf–Atlantic hurricane</x:v>
      </x:c>
      <x:c r="G91" s="22" t="n">
        <x:v>2</x:v>
      </x:c>
      <x:c r="H91" s="22" t="str">
        <x:v>I-GBG</x:v>
      </x:c>
      <x:c r="I91" s="22" t="str">
        <x:v>Infrastructure Restoration</x:v>
      </x:c>
      <x:c r="J91" s="22" t="str">
        <x:v>Grid bridge group</x:v>
      </x:c>
      <x:c r="K91" s="23" t="n">
        <x:v>5</x:v>
      </x:c>
      <x:c r="L91" s="23" t="n">
        <x:v>1800</x:v>
      </x:c>
      <x:c r="M91" s="23" t="n">
        <x:v>400</x:v>
      </x:c>
      <x:c r="N91" s="20" t="n">
        <x:f>K91*L91</x:f>
        <x:v>9000</x:v>
      </x:c>
      <x:c r="O91" s="19" t="n">
        <x:v>15000</x:v>
      </x:c>
      <x:c r="P91" s="17" t="n">
        <x:v>0.4</x:v>
      </x:c>
      <x:c r="Q91" s="20" t="n">
        <x:f>K91*O91*P91</x:f>
        <x:v>30000</x:v>
      </x:c>
      <x:c r="R91" s="20" t="n">
        <x:f>Q91*(1-'01 Controls'!$E$6)</x:f>
        <x:v>22500</x:v>
      </x:c>
      <x:c r="S91" s="19" t="n">
        <x:v>55</x:v>
      </x:c>
      <x:c r="T91" s="20" t="n">
        <x:f>K91*S91</x:f>
        <x:v>275</x:v>
      </x:c>
      <x:c r="U91" s="18" t="n">
        <x:f>'01 Controls'!E33</x:f>
        <x:v>0.05</x:v>
      </x:c>
      <x:c r="V91" s="20" t="n">
        <x:f>R91*U91</x:f>
        <x:v>1125</x:v>
      </x:c>
      <x:c r="W91" s="18" t="n">
        <x:f>'01 Controls'!F33</x:f>
        <x:v>0.2</x:v>
      </x:c>
      <x:c r="X91" s="20" t="n">
        <x:f>R91*W91</x:f>
        <x:v>4500</x:v>
      </x:c>
      <x:c r="Y91" s="18" t="n">
        <x:f>'01 Controls'!G33</x:f>
        <x:v>0.6</x:v>
      </x:c>
      <x:c r="Z91" s="20" t="n">
        <x:f>R91*Y91</x:f>
        <x:v>13500</x:v>
      </x:c>
      <x:c r="AA91" s="18" t="n">
        <x:f>'01 Controls'!H33</x:f>
        <x:v>0.15</x:v>
      </x:c>
      <x:c r="AB91" s="20" t="n">
        <x:f>R91*AA91</x:f>
        <x:v>3375</x:v>
      </x:c>
      <x:c r="AC91" s="20" t="n">
        <x:f>IF(H91="CM-HCG",K91*'01 Controls'!$E$24,0)</x:f>
        <x:v>0</x:v>
      </x:c>
      <x:c r="AD91" s="20" t="n">
        <x:f>IF(H91="CM-HCG",K91*'01 Controls'!$E$25,0)</x:f>
        <x:v>0</x:v>
      </x:c>
      <x:c r="AE91" s="20" t="n">
        <x:f>IF(H91="CM-HCG",K91*'01 Controls'!$E$26,0)</x:f>
        <x:v>0</x:v>
      </x:c>
      <x:c r="AF91" s="20" t="n">
        <x:f>IF(H91="CM-HCG",K91*'01 Controls'!$E$27,0)</x:f>
        <x:v>0</x:v>
      </x:c>
    </x:row>
    <x:row r="92">
      <x:c r="C92" s="22" t="str">
        <x:v>C2-H-THC</x:v>
      </x:c>
      <x:c r="D92" s="22" t="n">
        <x:v>87</x:v>
      </x:c>
      <x:c r="E92" s="22" t="str">
        <x:v>C2</x:v>
      </x:c>
      <x:c r="F92" s="22" t="str">
        <x:v>Gulf–Atlantic hurricane</x:v>
      </x:c>
      <x:c r="G92" s="22" t="n">
        <x:v>2</x:v>
      </x:c>
      <x:c r="H92" s="22" t="str">
        <x:v>H-THC</x:v>
      </x:c>
      <x:c r="I92" s="22" t="str">
        <x:v>Health Protection</x:v>
      </x:c>
      <x:c r="J92" s="22" t="str">
        <x:v>Theater hospital command</x:v>
      </x:c>
      <x:c r="K92" s="23" t="n">
        <x:v>3</x:v>
      </x:c>
      <x:c r="L92" s="23" t="n">
        <x:v>900</x:v>
      </x:c>
      <x:c r="M92" s="23" t="n">
        <x:v>0</x:v>
      </x:c>
      <x:c r="N92" s="20" t="n">
        <x:f>K92*L92</x:f>
        <x:v>2700</x:v>
      </x:c>
      <x:c r="O92" s="19" t="n">
        <x:v>3500</x:v>
      </x:c>
      <x:c r="P92" s="17" t="n">
        <x:v>0.7</x:v>
      </x:c>
      <x:c r="Q92" s="20" t="n">
        <x:f>K92*O92*P92</x:f>
        <x:v>7349.999999999999</x:v>
      </x:c>
      <x:c r="R92" s="20" t="n">
        <x:f>Q92*(1-'01 Controls'!$E$6)</x:f>
        <x:v>5512.499999999999</x:v>
      </x:c>
      <x:c r="S92" s="19" t="n">
        <x:v>30</x:v>
      </x:c>
      <x:c r="T92" s="20" t="n">
        <x:f>K92*S92</x:f>
        <x:v>90</x:v>
      </x:c>
      <x:c r="U92" s="18" t="n">
        <x:f>'01 Controls'!E33</x:f>
        <x:v>0.05</x:v>
      </x:c>
      <x:c r="V92" s="20" t="n">
        <x:f>R92*U92</x:f>
        <x:v>275.62499999999994</x:v>
      </x:c>
      <x:c r="W92" s="18" t="n">
        <x:f>'01 Controls'!F33</x:f>
        <x:v>0.2</x:v>
      </x:c>
      <x:c r="X92" s="20" t="n">
        <x:f>R92*W92</x:f>
        <x:v>1102.4999999999998</x:v>
      </x:c>
      <x:c r="Y92" s="18" t="n">
        <x:f>'01 Controls'!G33</x:f>
        <x:v>0.6</x:v>
      </x:c>
      <x:c r="Z92" s="20" t="n">
        <x:f>R92*Y92</x:f>
        <x:v>3307.4999999999995</x:v>
      </x:c>
      <x:c r="AA92" s="18" t="n">
        <x:f>'01 Controls'!H33</x:f>
        <x:v>0.15</x:v>
      </x:c>
      <x:c r="AB92" s="20" t="n">
        <x:f>R92*AA92</x:f>
        <x:v>826.8749999999999</x:v>
      </x:c>
      <x:c r="AC92" s="20" t="n">
        <x:f>IF(H92="CM-HCG",K92*'01 Controls'!$E$24,0)</x:f>
        <x:v>0</x:v>
      </x:c>
      <x:c r="AD92" s="20" t="n">
        <x:f>IF(H92="CM-HCG",K92*'01 Controls'!$E$25,0)</x:f>
        <x:v>0</x:v>
      </x:c>
      <x:c r="AE92" s="20" t="n">
        <x:f>IF(H92="CM-HCG",K92*'01 Controls'!$E$26,0)</x:f>
        <x:v>0</x:v>
      </x:c>
      <x:c r="AF92" s="20" t="n">
        <x:f>IF(H92="CM-HCG",K92*'01 Controls'!$E$27,0)</x:f>
        <x:v>0</x:v>
      </x:c>
    </x:row>
    <x:row r="93">
      <x:c r="C93" s="22" t="str">
        <x:v>C2-H-PMG</x:v>
      </x:c>
      <x:c r="D93" s="22" t="n">
        <x:v>88</x:v>
      </x:c>
      <x:c r="E93" s="22" t="str">
        <x:v>C2</x:v>
      </x:c>
      <x:c r="F93" s="22" t="str">
        <x:v>Gulf–Atlantic hurricane</x:v>
      </x:c>
      <x:c r="G93" s="22" t="n">
        <x:v>2</x:v>
      </x:c>
      <x:c r="H93" s="22" t="str">
        <x:v>H-PMG</x:v>
      </x:c>
      <x:c r="I93" s="22" t="str">
        <x:v>Health Protection</x:v>
      </x:c>
      <x:c r="J93" s="22" t="str">
        <x:v>Patient movement group</x:v>
      </x:c>
      <x:c r="K93" s="23" t="n">
        <x:v>5</x:v>
      </x:c>
      <x:c r="L93" s="23" t="n">
        <x:v>650</x:v>
      </x:c>
      <x:c r="M93" s="23" t="n">
        <x:v>200</x:v>
      </x:c>
      <x:c r="N93" s="20" t="n">
        <x:f>K93*L93</x:f>
        <x:v>3250</x:v>
      </x:c>
      <x:c r="O93" s="19" t="n">
        <x:v>5500</x:v>
      </x:c>
      <x:c r="P93" s="17" t="n">
        <x:v>0.7</x:v>
      </x:c>
      <x:c r="Q93" s="20" t="n">
        <x:f>K93*O93*P93</x:f>
        <x:v>19250</x:v>
      </x:c>
      <x:c r="R93" s="20" t="n">
        <x:f>Q93*(1-'01 Controls'!$E$6)</x:f>
        <x:v>14437.5</x:v>
      </x:c>
      <x:c r="S93" s="19" t="n">
        <x:v>40</x:v>
      </x:c>
      <x:c r="T93" s="20" t="n">
        <x:f>K93*S93</x:f>
        <x:v>200</x:v>
      </x:c>
      <x:c r="U93" s="18" t="n">
        <x:f>'01 Controls'!E33</x:f>
        <x:v>0.05</x:v>
      </x:c>
      <x:c r="V93" s="20" t="n">
        <x:f>R93*U93</x:f>
        <x:v>721.875</x:v>
      </x:c>
      <x:c r="W93" s="18" t="n">
        <x:f>'01 Controls'!F33</x:f>
        <x:v>0.2</x:v>
      </x:c>
      <x:c r="X93" s="20" t="n">
        <x:f>R93*W93</x:f>
        <x:v>2887.5</x:v>
      </x:c>
      <x:c r="Y93" s="18" t="n">
        <x:f>'01 Controls'!G33</x:f>
        <x:v>0.6</x:v>
      </x:c>
      <x:c r="Z93" s="20" t="n">
        <x:f>R93*Y93</x:f>
        <x:v>8662.5</x:v>
      </x:c>
      <x:c r="AA93" s="18" t="n">
        <x:f>'01 Controls'!H33</x:f>
        <x:v>0.15</x:v>
      </x:c>
      <x:c r="AB93" s="20" t="n">
        <x:f>R93*AA93</x:f>
        <x:v>2165.625</x:v>
      </x:c>
      <x:c r="AC93" s="20" t="n">
        <x:f>IF(H93="CM-HCG",K93*'01 Controls'!$E$24,0)</x:f>
        <x:v>0</x:v>
      </x:c>
      <x:c r="AD93" s="20" t="n">
        <x:f>IF(H93="CM-HCG",K93*'01 Controls'!$E$25,0)</x:f>
        <x:v>0</x:v>
      </x:c>
      <x:c r="AE93" s="20" t="n">
        <x:f>IF(H93="CM-HCG",K93*'01 Controls'!$E$26,0)</x:f>
        <x:v>0</x:v>
      </x:c>
      <x:c r="AF93" s="20" t="n">
        <x:f>IF(H93="CM-HCG",K93*'01 Controls'!$E$27,0)</x:f>
        <x:v>0</x:v>
      </x:c>
    </x:row>
    <x:row r="94">
      <x:c r="C94" s="22" t="str">
        <x:v>C2-C-ERG</x:v>
      </x:c>
      <x:c r="D94" s="22" t="n">
        <x:v>89</x:v>
      </x:c>
      <x:c r="E94" s="22" t="str">
        <x:v>C2</x:v>
      </x:c>
      <x:c r="F94" s="22" t="str">
        <x:v>Gulf–Atlantic hurricane</x:v>
      </x:c>
      <x:c r="G94" s="22" t="n">
        <x:v>2</x:v>
      </x:c>
      <x:c r="H94" s="22" t="str">
        <x:v>C-ERG</x:v>
      </x:c>
      <x:c r="I94" s="22" t="str">
        <x:v>Community Stabilization</x:v>
      </x:c>
      <x:c r="J94" s="22" t="str">
        <x:v>Economic restart group</x:v>
      </x:c>
      <x:c r="K94" s="23" t="n">
        <x:v>6</x:v>
      </x:c>
      <x:c r="L94" s="23" t="n">
        <x:v>350</x:v>
      </x:c>
      <x:c r="M94" s="23" t="n">
        <x:v>0</x:v>
      </x:c>
      <x:c r="N94" s="20" t="n">
        <x:f>K94*L94</x:f>
        <x:v>2100</x:v>
      </x:c>
      <x:c r="O94" s="19" t="n">
        <x:v>2500</x:v>
      </x:c>
      <x:c r="P94" s="17" t="n">
        <x:v>0.65</x:v>
      </x:c>
      <x:c r="Q94" s="20" t="n">
        <x:f>K94*O94*P94</x:f>
        <x:v>9750</x:v>
      </x:c>
      <x:c r="R94" s="20" t="n">
        <x:f>Q94*(1-'01 Controls'!$E$6)</x:f>
        <x:v>7312.5</x:v>
      </x:c>
      <x:c r="S94" s="19" t="n">
        <x:v>30</x:v>
      </x:c>
      <x:c r="T94" s="20" t="n">
        <x:f>K94*S94</x:f>
        <x:v>180</x:v>
      </x:c>
      <x:c r="U94" s="18" t="n">
        <x:f>'01 Controls'!E33</x:f>
        <x:v>0.05</x:v>
      </x:c>
      <x:c r="V94" s="20" t="n">
        <x:f>R94*U94</x:f>
        <x:v>365.625</x:v>
      </x:c>
      <x:c r="W94" s="18" t="n">
        <x:f>'01 Controls'!F33</x:f>
        <x:v>0.2</x:v>
      </x:c>
      <x:c r="X94" s="20" t="n">
        <x:f>R94*W94</x:f>
        <x:v>1462.5</x:v>
      </x:c>
      <x:c r="Y94" s="18" t="n">
        <x:f>'01 Controls'!G33</x:f>
        <x:v>0.6</x:v>
      </x:c>
      <x:c r="Z94" s="20" t="n">
        <x:f>R94*Y94</x:f>
        <x:v>4387.5</x:v>
      </x:c>
      <x:c r="AA94" s="18" t="n">
        <x:f>'01 Controls'!H33</x:f>
        <x:v>0.15</x:v>
      </x:c>
      <x:c r="AB94" s="20" t="n">
        <x:f>R94*AA94</x:f>
        <x:v>1096.875</x:v>
      </x:c>
      <x:c r="AC94" s="20" t="n">
        <x:f>IF(H94="CM-HCG",K94*'01 Controls'!$E$24,0)</x:f>
        <x:v>0</x:v>
      </x:c>
      <x:c r="AD94" s="20" t="n">
        <x:f>IF(H94="CM-HCG",K94*'01 Controls'!$E$25,0)</x:f>
        <x:v>0</x:v>
      </x:c>
      <x:c r="AE94" s="20" t="n">
        <x:f>IF(H94="CM-HCG",K94*'01 Controls'!$E$26,0)</x:f>
        <x:v>0</x:v>
      </x:c>
      <x:c r="AF94" s="20" t="n">
        <x:f>IF(H94="CM-HCG",K94*'01 Controls'!$E$27,0)</x:f>
        <x:v>0</x:v>
      </x:c>
    </x:row>
    <x:row r="95">
      <x:c r="C95" s="22" t="str">
        <x:v>C2-CM-HCG</x:v>
      </x:c>
      <x:c r="D95" s="22" t="n">
        <x:v>90</x:v>
      </x:c>
      <x:c r="E95" s="22" t="str">
        <x:v>C2</x:v>
      </x:c>
      <x:c r="F95" s="22" t="str">
        <x:v>Gulf–Atlantic hurricane</x:v>
      </x:c>
      <x:c r="G95" s="22" t="n">
        <x:v>2</x:v>
      </x:c>
      <x:c r="H95" s="22" t="str">
        <x:v>CM-HCG</x:v>
      </x:c>
      <x:c r="I95" s="22" t="str">
        <x:v>Civil Mobility and Continuity</x:v>
      </x:c>
      <x:c r="J95" s="22" t="str">
        <x:v>Household collection group</x:v>
      </x:c>
      <x:c r="K95" s="23" t="n">
        <x:v>8</x:v>
      </x:c>
      <x:c r="L95" s="23" t="n">
        <x:v>7587</x:v>
      </x:c>
      <x:c r="M95" s="23" t="n">
        <x:v>2000</x:v>
      </x:c>
      <x:c r="N95" s="20" t="n">
        <x:f>K95*L95</x:f>
        <x:v>60696</x:v>
      </x:c>
      <x:c r="O95" s="19" t="n">
        <x:v>6388</x:v>
      </x:c>
      <x:c r="P95" s="17" t="n">
        <x:v>0.7</x:v>
      </x:c>
      <x:c r="Q95" s="20" t="n">
        <x:f>K95*O95*P95</x:f>
        <x:v>35772.799999999996</x:v>
      </x:c>
      <x:c r="R95" s="20" t="n">
        <x:f>Q95*(1-'01 Controls'!$E$6)</x:f>
        <x:v>26829.6</x:v>
      </x:c>
      <x:c r="S95" s="19" t="n">
        <x:v>45</x:v>
      </x:c>
      <x:c r="T95" s="20" t="n">
        <x:f>K95*S95</x:f>
        <x:v>360</x:v>
      </x:c>
      <x:c r="U95" s="18" t="n">
        <x:f>'01 Controls'!E33</x:f>
        <x:v>0.05</x:v>
      </x:c>
      <x:c r="V95" s="20" t="n">
        <x:f>R95*U95</x:f>
        <x:v>1341.48</x:v>
      </x:c>
      <x:c r="W95" s="18" t="n">
        <x:f>'01 Controls'!F33</x:f>
        <x:v>0.2</x:v>
      </x:c>
      <x:c r="X95" s="20" t="n">
        <x:f>R95*W95</x:f>
        <x:v>5365.92</x:v>
      </x:c>
      <x:c r="Y95" s="18" t="n">
        <x:f>'01 Controls'!G33</x:f>
        <x:v>0.6</x:v>
      </x:c>
      <x:c r="Z95" s="20" t="n">
        <x:f>R95*Y95</x:f>
        <x:v>16097.759999999998</x:v>
      </x:c>
      <x:c r="AA95" s="18" t="n">
        <x:f>'01 Controls'!H33</x:f>
        <x:v>0.15</x:v>
      </x:c>
      <x:c r="AB95" s="20" t="n">
        <x:f>R95*AA95</x:f>
        <x:v>4024.4399999999996</x:v>
      </x:c>
      <x:c r="AC95" s="20" t="n">
        <x:f>IF(H95="CM-HCG",K95*'01 Controls'!$E$24,0)</x:f>
        <x:v>272</x:v>
      </x:c>
      <x:c r="AD95" s="20" t="n">
        <x:f>IF(H95="CM-HCG",K95*'01 Controls'!$E$25,0)</x:f>
        <x:v>56</x:v>
      </x:c>
      <x:c r="AE95" s="20" t="n">
        <x:f>IF(H95="CM-HCG",K95*'01 Controls'!$E$26,0)</x:f>
        <x:v>80</x:v>
      </x:c>
      <x:c r="AF95" s="20" t="n">
        <x:f>IF(H95="CM-HCG",K95*'01 Controls'!$E$27,0)</x:f>
        <x:v>72</x:v>
      </x:c>
    </x:row>
    <x:row r="96">
      <x:c r="C96" s="22" t="str">
        <x:v>C2-CM-CTN</x:v>
      </x:c>
      <x:c r="D96" s="22" t="n">
        <x:v>91</x:v>
      </x:c>
      <x:c r="E96" s="22" t="str">
        <x:v>C2</x:v>
      </x:c>
      <x:c r="F96" s="22" t="str">
        <x:v>Gulf–Atlantic hurricane</x:v>
      </x:c>
      <x:c r="G96" s="22" t="n">
        <x:v>2</x:v>
      </x:c>
      <x:c r="H96" s="22" t="str">
        <x:v>CM-CTN</x:v>
      </x:c>
      <x:c r="I96" s="22" t="str">
        <x:v>Civil Mobility and Continuity</x:v>
      </x:c>
      <x:c r="J96" s="22" t="str">
        <x:v>Continuity transfer-node group</x:v>
      </x:c>
      <x:c r="K96" s="23" t="n">
        <x:v>6</x:v>
      </x:c>
      <x:c r="L96" s="23" t="n">
        <x:v>2289</x:v>
      </x:c>
      <x:c r="M96" s="23" t="n">
        <x:v>489</x:v>
      </x:c>
      <x:c r="N96" s="20" t="n">
        <x:f>K96*L96</x:f>
        <x:v>13734</x:v>
      </x:c>
      <x:c r="O96" s="19" t="n">
        <x:v>4513</x:v>
      </x:c>
      <x:c r="P96" s="17" t="n">
        <x:v>0.7</x:v>
      </x:c>
      <x:c r="Q96" s="20" t="n">
        <x:f>K96*O96*P96</x:f>
        <x:v>18954.6</x:v>
      </x:c>
      <x:c r="R96" s="20" t="n">
        <x:f>Q96*(1-'01 Controls'!$E$6)</x:f>
        <x:v>14215.949999999999</x:v>
      </x:c>
      <x:c r="S96" s="19" t="n">
        <x:v>35</x:v>
      </x:c>
      <x:c r="T96" s="20" t="n">
        <x:f>K96*S96</x:f>
        <x:v>210</x:v>
      </x:c>
      <x:c r="U96" s="18" t="n">
        <x:f>'01 Controls'!E33</x:f>
        <x:v>0.05</x:v>
      </x:c>
      <x:c r="V96" s="20" t="n">
        <x:f>R96*U96</x:f>
        <x:v>710.7975</x:v>
      </x:c>
      <x:c r="W96" s="18" t="n">
        <x:f>'01 Controls'!F33</x:f>
        <x:v>0.2</x:v>
      </x:c>
      <x:c r="X96" s="20" t="n">
        <x:f>R96*W96</x:f>
        <x:v>2843.19</x:v>
      </x:c>
      <x:c r="Y96" s="18" t="n">
        <x:f>'01 Controls'!G33</x:f>
        <x:v>0.6</x:v>
      </x:c>
      <x:c r="Z96" s="20" t="n">
        <x:f>R96*Y96</x:f>
        <x:v>8529.57</x:v>
      </x:c>
      <x:c r="AA96" s="18" t="n">
        <x:f>'01 Controls'!H33</x:f>
        <x:v>0.15</x:v>
      </x:c>
      <x:c r="AB96" s="20" t="n">
        <x:f>R96*AA96</x:f>
        <x:v>2132.3925</x:v>
      </x:c>
      <x:c r="AC96" s="20" t="n">
        <x:f>IF(H96="CM-HCG",K96*'01 Controls'!$E$24,0)</x:f>
        <x:v>0</x:v>
      </x:c>
      <x:c r="AD96" s="20" t="n">
        <x:f>IF(H96="CM-HCG",K96*'01 Controls'!$E$25,0)</x:f>
        <x:v>0</x:v>
      </x:c>
      <x:c r="AE96" s="20" t="n">
        <x:f>IF(H96="CM-HCG",K96*'01 Controls'!$E$26,0)</x:f>
        <x:v>0</x:v>
      </x:c>
      <x:c r="AF96" s="20" t="n">
        <x:f>IF(H96="CM-HCG",K96*'01 Controls'!$E$27,0)</x:f>
        <x:v>0</x:v>
      </x:c>
    </x:row>
    <x:row r="97">
      <x:c r="C97" s="22" t="str">
        <x:v>C2-CM-RMG</x:v>
      </x:c>
      <x:c r="D97" s="22" t="n">
        <x:v>92</x:v>
      </x:c>
      <x:c r="E97" s="22" t="str">
        <x:v>C2</x:v>
      </x:c>
      <x:c r="F97" s="22" t="str">
        <x:v>Gulf–Atlantic hurricane</x:v>
      </x:c>
      <x:c r="G97" s="22" t="n">
        <x:v>2</x:v>
      </x:c>
      <x:c r="H97" s="22" t="str">
        <x:v>CM-RMG</x:v>
      </x:c>
      <x:c r="I97" s="22" t="str">
        <x:v>Civil Mobility and Continuity</x:v>
      </x:c>
      <x:c r="J97" s="22" t="str">
        <x:v>Civil road-mobility group</x:v>
      </x:c>
      <x:c r="K97" s="23" t="n">
        <x:v>10</x:v>
      </x:c>
      <x:c r="L97" s="23" t="n">
        <x:v>900</x:v>
      </x:c>
      <x:c r="M97" s="23" t="n">
        <x:v>250</x:v>
      </x:c>
      <x:c r="N97" s="20" t="n">
        <x:f>K97*L97</x:f>
        <x:v>9000</x:v>
      </x:c>
      <x:c r="O97" s="19" t="n">
        <x:v>5000</x:v>
      </x:c>
      <x:c r="P97" s="17" t="n">
        <x:v>0.7</x:v>
      </x:c>
      <x:c r="Q97" s="20" t="n">
        <x:f>K97*O97*P97</x:f>
        <x:v>35000</x:v>
      </x:c>
      <x:c r="R97" s="20" t="n">
        <x:f>Q97*(1-'01 Controls'!$E$6)</x:f>
        <x:v>26250</x:v>
      </x:c>
      <x:c r="S97" s="19" t="n">
        <x:v>45</x:v>
      </x:c>
      <x:c r="T97" s="20" t="n">
        <x:f>K97*S97</x:f>
        <x:v>450</x:v>
      </x:c>
      <x:c r="U97" s="18" t="n">
        <x:f>'01 Controls'!E33</x:f>
        <x:v>0.05</x:v>
      </x:c>
      <x:c r="V97" s="20" t="n">
        <x:f>R97*U97</x:f>
        <x:v>1312.5</x:v>
      </x:c>
      <x:c r="W97" s="18" t="n">
        <x:f>'01 Controls'!F33</x:f>
        <x:v>0.2</x:v>
      </x:c>
      <x:c r="X97" s="20" t="n">
        <x:f>R97*W97</x:f>
        <x:v>5250</x:v>
      </x:c>
      <x:c r="Y97" s="18" t="n">
        <x:f>'01 Controls'!G33</x:f>
        <x:v>0.6</x:v>
      </x:c>
      <x:c r="Z97" s="20" t="n">
        <x:f>R97*Y97</x:f>
        <x:v>15750</x:v>
      </x:c>
      <x:c r="AA97" s="18" t="n">
        <x:f>'01 Controls'!H33</x:f>
        <x:v>0.15</x:v>
      </x:c>
      <x:c r="AB97" s="20" t="n">
        <x:f>R97*AA97</x:f>
        <x:v>3937.5</x:v>
      </x:c>
      <x:c r="AC97" s="20" t="n">
        <x:f>IF(H97="CM-HCG",K97*'01 Controls'!$E$24,0)</x:f>
        <x:v>0</x:v>
      </x:c>
      <x:c r="AD97" s="20" t="n">
        <x:f>IF(H97="CM-HCG",K97*'01 Controls'!$E$25,0)</x:f>
        <x:v>0</x:v>
      </x:c>
      <x:c r="AE97" s="20" t="n">
        <x:f>IF(H97="CM-HCG",K97*'01 Controls'!$E$26,0)</x:f>
        <x:v>0</x:v>
      </x:c>
      <x:c r="AF97" s="20" t="n">
        <x:f>IF(H97="CM-HCG",K97*'01 Controls'!$E$27,0)</x:f>
        <x:v>0</x:v>
      </x:c>
    </x:row>
    <x:row r="98">
      <x:c r="C98" s="22" t="str">
        <x:v>C2-CM-RLG</x:v>
      </x:c>
      <x:c r="D98" s="22" t="n">
        <x:v>93</x:v>
      </x:c>
      <x:c r="E98" s="22" t="str">
        <x:v>C2</x:v>
      </x:c>
      <x:c r="F98" s="22" t="str">
        <x:v>Gulf–Atlantic hurricane</x:v>
      </x:c>
      <x:c r="G98" s="22" t="n">
        <x:v>2</x:v>
      </x:c>
      <x:c r="H98" s="22" t="str">
        <x:v>CM-RLG</x:v>
      </x:c>
      <x:c r="I98" s="22" t="str">
        <x:v>Civil Mobility and Continuity</x:v>
      </x:c>
      <x:c r="J98" s="22" t="str">
        <x:v>Civil rail-mobility group</x:v>
      </x:c>
      <x:c r="K98" s="23" t="n">
        <x:v>4</x:v>
      </x:c>
      <x:c r="L98" s="23" t="n">
        <x:v>500</x:v>
      </x:c>
      <x:c r="M98" s="23" t="n">
        <x:v>100</x:v>
      </x:c>
      <x:c r="N98" s="20" t="n">
        <x:f>K98*L98</x:f>
        <x:v>2000</x:v>
      </x:c>
      <x:c r="O98" s="19" t="n">
        <x:v>8000</x:v>
      </x:c>
      <x:c r="P98" s="17" t="n">
        <x:v>0.6</x:v>
      </x:c>
      <x:c r="Q98" s="20" t="n">
        <x:f>K98*O98*P98</x:f>
        <x:v>19200</x:v>
      </x:c>
      <x:c r="R98" s="20" t="n">
        <x:f>Q98*(1-'01 Controls'!$E$6)</x:f>
        <x:v>14400</x:v>
      </x:c>
      <x:c r="S98" s="19" t="n">
        <x:v>40</x:v>
      </x:c>
      <x:c r="T98" s="20" t="n">
        <x:f>K98*S98</x:f>
        <x:v>160</x:v>
      </x:c>
      <x:c r="U98" s="18" t="n">
        <x:f>'01 Controls'!E33</x:f>
        <x:v>0.05</x:v>
      </x:c>
      <x:c r="V98" s="20" t="n">
        <x:f>R98*U98</x:f>
        <x:v>720</x:v>
      </x:c>
      <x:c r="W98" s="18" t="n">
        <x:f>'01 Controls'!F33</x:f>
        <x:v>0.2</x:v>
      </x:c>
      <x:c r="X98" s="20" t="n">
        <x:f>R98*W98</x:f>
        <x:v>2880</x:v>
      </x:c>
      <x:c r="Y98" s="18" t="n">
        <x:f>'01 Controls'!G33</x:f>
        <x:v>0.6</x:v>
      </x:c>
      <x:c r="Z98" s="20" t="n">
        <x:f>R98*Y98</x:f>
        <x:v>8640</x:v>
      </x:c>
      <x:c r="AA98" s="18" t="n">
        <x:f>'01 Controls'!H33</x:f>
        <x:v>0.15</x:v>
      </x:c>
      <x:c r="AB98" s="20" t="n">
        <x:f>R98*AA98</x:f>
        <x:v>2160</x:v>
      </x:c>
      <x:c r="AC98" s="20" t="n">
        <x:f>IF(H98="CM-HCG",K98*'01 Controls'!$E$24,0)</x:f>
        <x:v>0</x:v>
      </x:c>
      <x:c r="AD98" s="20" t="n">
        <x:f>IF(H98="CM-HCG",K98*'01 Controls'!$E$25,0)</x:f>
        <x:v>0</x:v>
      </x:c>
      <x:c r="AE98" s="20" t="n">
        <x:f>IF(H98="CM-HCG",K98*'01 Controls'!$E$26,0)</x:f>
        <x:v>0</x:v>
      </x:c>
      <x:c r="AF98" s="20" t="n">
        <x:f>IF(H98="CM-HCG",K98*'01 Controls'!$E$27,0)</x:f>
        <x:v>0</x:v>
      </x:c>
    </x:row>
    <x:row r="99">
      <x:c r="C99" s="22" t="str">
        <x:v>C2-CM-AMG</x:v>
      </x:c>
      <x:c r="D99" s="22" t="n">
        <x:v>94</x:v>
      </x:c>
      <x:c r="E99" s="22" t="str">
        <x:v>C2</x:v>
      </x:c>
      <x:c r="F99" s="22" t="str">
        <x:v>Gulf–Atlantic hurricane</x:v>
      </x:c>
      <x:c r="G99" s="22" t="n">
        <x:v>2</x:v>
      </x:c>
      <x:c r="H99" s="22" t="str">
        <x:v>CM-AMG</x:v>
      </x:c>
      <x:c r="I99" s="22" t="str">
        <x:v>Civil Mobility and Continuity</x:v>
      </x:c>
      <x:c r="J99" s="22" t="str">
        <x:v>Civil air-mobility group</x:v>
      </x:c>
      <x:c r="K99" s="23" t="n">
        <x:v>3</x:v>
      </x:c>
      <x:c r="L99" s="23" t="n">
        <x:v>600</x:v>
      </x:c>
      <x:c r="M99" s="23" t="n">
        <x:v>200</x:v>
      </x:c>
      <x:c r="N99" s="20" t="n">
        <x:f>K99*L99</x:f>
        <x:v>1800</x:v>
      </x:c>
      <x:c r="O99" s="19" t="n">
        <x:v>6000</x:v>
      </x:c>
      <x:c r="P99" s="17" t="n">
        <x:v>0.75</x:v>
      </x:c>
      <x:c r="Q99" s="20" t="n">
        <x:f>K99*O99*P99</x:f>
        <x:v>13500</x:v>
      </x:c>
      <x:c r="R99" s="20" t="n">
        <x:f>Q99*(1-'01 Controls'!$E$6)</x:f>
        <x:v>10125</x:v>
      </x:c>
      <x:c r="S99" s="19" t="n">
        <x:v>55</x:v>
      </x:c>
      <x:c r="T99" s="20" t="n">
        <x:f>K99*S99</x:f>
        <x:v>165</x:v>
      </x:c>
      <x:c r="U99" s="18" t="n">
        <x:f>'01 Controls'!E33</x:f>
        <x:v>0.05</x:v>
      </x:c>
      <x:c r="V99" s="20" t="n">
        <x:f>R99*U99</x:f>
        <x:v>506.25</x:v>
      </x:c>
      <x:c r="W99" s="18" t="n">
        <x:f>'01 Controls'!F33</x:f>
        <x:v>0.2</x:v>
      </x:c>
      <x:c r="X99" s="20" t="n">
        <x:f>R99*W99</x:f>
        <x:v>2025</x:v>
      </x:c>
      <x:c r="Y99" s="18" t="n">
        <x:f>'01 Controls'!G33</x:f>
        <x:v>0.6</x:v>
      </x:c>
      <x:c r="Z99" s="20" t="n">
        <x:f>R99*Y99</x:f>
        <x:v>6075</x:v>
      </x:c>
      <x:c r="AA99" s="18" t="n">
        <x:f>'01 Controls'!H33</x:f>
        <x:v>0.15</x:v>
      </x:c>
      <x:c r="AB99" s="20" t="n">
        <x:f>R99*AA99</x:f>
        <x:v>1518.75</x:v>
      </x:c>
      <x:c r="AC99" s="20" t="n">
        <x:f>IF(H99="CM-HCG",K99*'01 Controls'!$E$24,0)</x:f>
        <x:v>0</x:v>
      </x:c>
      <x:c r="AD99" s="20" t="n">
        <x:f>IF(H99="CM-HCG",K99*'01 Controls'!$E$25,0)</x:f>
        <x:v>0</x:v>
      </x:c>
      <x:c r="AE99" s="20" t="n">
        <x:f>IF(H99="CM-HCG",K99*'01 Controls'!$E$26,0)</x:f>
        <x:v>0</x:v>
      </x:c>
      <x:c r="AF99" s="20" t="n">
        <x:f>IF(H99="CM-HCG",K99*'01 Controls'!$E$27,0)</x:f>
        <x:v>0</x:v>
      </x:c>
    </x:row>
    <x:row r="100">
      <x:c r="C100" s="22" t="str">
        <x:v>C2-CM-WMG</x:v>
      </x:c>
      <x:c r="D100" s="22" t="n">
        <x:v>95</x:v>
      </x:c>
      <x:c r="E100" s="22" t="str">
        <x:v>C2</x:v>
      </x:c>
      <x:c r="F100" s="22" t="str">
        <x:v>Gulf–Atlantic hurricane</x:v>
      </x:c>
      <x:c r="G100" s="22" t="n">
        <x:v>2</x:v>
      </x:c>
      <x:c r="H100" s="22" t="str">
        <x:v>CM-WMG</x:v>
      </x:c>
      <x:c r="I100" s="22" t="str">
        <x:v>Civil Mobility and Continuity</x:v>
      </x:c>
      <x:c r="J100" s="22" t="str">
        <x:v>Civil water-mobility group</x:v>
      </x:c>
      <x:c r="K100" s="23" t="n">
        <x:v>4</x:v>
      </x:c>
      <x:c r="L100" s="23" t="n">
        <x:v>500</x:v>
      </x:c>
      <x:c r="M100" s="23" t="n">
        <x:v>100</x:v>
      </x:c>
      <x:c r="N100" s="20" t="n">
        <x:f>K100*L100</x:f>
        <x:v>2000</x:v>
      </x:c>
      <x:c r="O100" s="19" t="n">
        <x:v>9000</x:v>
      </x:c>
      <x:c r="P100" s="17" t="n">
        <x:v>0.5</x:v>
      </x:c>
      <x:c r="Q100" s="20" t="n">
        <x:f>K100*O100*P100</x:f>
        <x:v>18000</x:v>
      </x:c>
      <x:c r="R100" s="20" t="n">
        <x:f>Q100*(1-'01 Controls'!$E$6)</x:f>
        <x:v>13500</x:v>
      </x:c>
      <x:c r="S100" s="19" t="n">
        <x:v>50</x:v>
      </x:c>
      <x:c r="T100" s="20" t="n">
        <x:f>K100*S100</x:f>
        <x:v>200</x:v>
      </x:c>
      <x:c r="U100" s="18" t="n">
        <x:f>'01 Controls'!E33</x:f>
        <x:v>0.05</x:v>
      </x:c>
      <x:c r="V100" s="20" t="n">
        <x:f>R100*U100</x:f>
        <x:v>675</x:v>
      </x:c>
      <x:c r="W100" s="18" t="n">
        <x:f>'01 Controls'!F33</x:f>
        <x:v>0.2</x:v>
      </x:c>
      <x:c r="X100" s="20" t="n">
        <x:f>R100*W100</x:f>
        <x:v>2700</x:v>
      </x:c>
      <x:c r="Y100" s="18" t="n">
        <x:f>'01 Controls'!G33</x:f>
        <x:v>0.6</x:v>
      </x:c>
      <x:c r="Z100" s="20" t="n">
        <x:f>R100*Y100</x:f>
        <x:v>8100</x:v>
      </x:c>
      <x:c r="AA100" s="18" t="n">
        <x:f>'01 Controls'!H33</x:f>
        <x:v>0.15</x:v>
      </x:c>
      <x:c r="AB100" s="20" t="n">
        <x:f>R100*AA100</x:f>
        <x:v>2025</x:v>
      </x:c>
      <x:c r="AC100" s="20" t="n">
        <x:f>IF(H100="CM-HCG",K100*'01 Controls'!$E$24,0)</x:f>
        <x:v>0</x:v>
      </x:c>
      <x:c r="AD100" s="20" t="n">
        <x:f>IF(H100="CM-HCG",K100*'01 Controls'!$E$25,0)</x:f>
        <x:v>0</x:v>
      </x:c>
      <x:c r="AE100" s="20" t="n">
        <x:f>IF(H100="CM-HCG",K100*'01 Controls'!$E$26,0)</x:f>
        <x:v>0</x:v>
      </x:c>
      <x:c r="AF100" s="20" t="n">
        <x:f>IF(H100="CM-HCG",K100*'01 Controls'!$E$27,0)</x:f>
        <x:v>0</x:v>
      </x:c>
    </x:row>
    <x:row r="101">
      <x:c r="C101" s="22" t="str">
        <x:v>C2-CM-RDC</x:v>
      </x:c>
      <x:c r="D101" s="22" t="n">
        <x:v>96</x:v>
      </x:c>
      <x:c r="E101" s="22" t="str">
        <x:v>C2</x:v>
      </x:c>
      <x:c r="F101" s="22" t="str">
        <x:v>Gulf–Atlantic hurricane</x:v>
      </x:c>
      <x:c r="G101" s="22" t="n">
        <x:v>2</x:v>
      </x:c>
      <x:c r="H101" s="22" t="str">
        <x:v>CM-RDC</x:v>
      </x:c>
      <x:c r="I101" s="22" t="str">
        <x:v>Civil Mobility and Continuity</x:v>
      </x:c>
      <x:c r="J101" s="22" t="str">
        <x:v>Return and durable-continuity group</x:v>
      </x:c>
      <x:c r="K101" s="23" t="n">
        <x:v>6</x:v>
      </x:c>
      <x:c r="L101" s="23" t="n">
        <x:v>450</x:v>
      </x:c>
      <x:c r="M101" s="23" t="n">
        <x:v>50</x:v>
      </x:c>
      <x:c r="N101" s="20" t="n">
        <x:f>K101*L101</x:f>
        <x:v>2700</x:v>
      </x:c>
      <x:c r="O101" s="19" t="n">
        <x:v>1800</x:v>
      </x:c>
      <x:c r="P101" s="17" t="n">
        <x:v>0.5</x:v>
      </x:c>
      <x:c r="Q101" s="20" t="n">
        <x:f>K101*O101*P101</x:f>
        <x:v>5400</x:v>
      </x:c>
      <x:c r="R101" s="20" t="n">
        <x:f>Q101*(1-'01 Controls'!$E$6)</x:f>
        <x:v>4050</x:v>
      </x:c>
      <x:c r="S101" s="19" t="n">
        <x:v>25</x:v>
      </x:c>
      <x:c r="T101" s="20" t="n">
        <x:f>K101*S101</x:f>
        <x:v>150</x:v>
      </x:c>
      <x:c r="U101" s="18" t="n">
        <x:f>'01 Controls'!E33</x:f>
        <x:v>0.05</x:v>
      </x:c>
      <x:c r="V101" s="20" t="n">
        <x:f>R101*U101</x:f>
        <x:v>202.5</x:v>
      </x:c>
      <x:c r="W101" s="18" t="n">
        <x:f>'01 Controls'!F33</x:f>
        <x:v>0.2</x:v>
      </x:c>
      <x:c r="X101" s="20" t="n">
        <x:f>R101*W101</x:f>
        <x:v>810</x:v>
      </x:c>
      <x:c r="Y101" s="18" t="n">
        <x:f>'01 Controls'!G33</x:f>
        <x:v>0.6</x:v>
      </x:c>
      <x:c r="Z101" s="20" t="n">
        <x:f>R101*Y101</x:f>
        <x:v>2430</x:v>
      </x:c>
      <x:c r="AA101" s="18" t="n">
        <x:f>'01 Controls'!H33</x:f>
        <x:v>0.15</x:v>
      </x:c>
      <x:c r="AB101" s="20" t="n">
        <x:f>R101*AA101</x:f>
        <x:v>607.5</x:v>
      </x:c>
      <x:c r="AC101" s="20" t="n">
        <x:f>IF(H101="CM-HCG",K101*'01 Controls'!$E$24,0)</x:f>
        <x:v>0</x:v>
      </x:c>
      <x:c r="AD101" s="20" t="n">
        <x:f>IF(H101="CM-HCG",K101*'01 Controls'!$E$25,0)</x:f>
        <x:v>0</x:v>
      </x:c>
      <x:c r="AE101" s="20" t="n">
        <x:f>IF(H101="CM-HCG",K101*'01 Controls'!$E$26,0)</x:f>
        <x:v>0</x:v>
      </x:c>
      <x:c r="AF101" s="20" t="n">
        <x:f>IF(H101="CM-HCG",K101*'01 Controls'!$E$27,0)</x:f>
        <x:v>0</x:v>
      </x:c>
    </x:row>
    <x:row r="102">
      <x:c r="C102" s="22" t="str">
        <x:v>C3-J-CIE</x:v>
      </x:c>
      <x:c r="D102" s="22" t="n">
        <x:v>97</x:v>
      </x:c>
      <x:c r="E102" s="22" t="str">
        <x:v>C3</x:v>
      </x:c>
      <x:c r="F102" s="22" t="str">
        <x:v>Cascadia earthquake</x:v>
      </x:c>
      <x:c r="G102" s="22" t="n">
        <x:v>3</x:v>
      </x:c>
      <x:c r="H102" s="22" t="str">
        <x:v>J-CIE</x:v>
      </x:c>
      <x:c r="I102" s="22" t="str">
        <x:v>Joint</x:v>
      </x:c>
      <x:c r="J102" s="22" t="str">
        <x:v>Civil integration and effects group</x:v>
      </x:c>
      <x:c r="K102" s="23" t="n">
        <x:v>5</x:v>
      </x:c>
      <x:c r="L102" s="23" t="n">
        <x:v>120</x:v>
      </x:c>
      <x:c r="M102" s="23" t="n">
        <x:v>0</x:v>
      </x:c>
      <x:c r="N102" s="20" t="n">
        <x:f>K102*L102</x:f>
        <x:v>600</x:v>
      </x:c>
      <x:c r="O102" s="19" t="n">
        <x:v>2200</x:v>
      </x:c>
      <x:c r="P102" s="17" t="n">
        <x:v>0.65</x:v>
      </x:c>
      <x:c r="Q102" s="20" t="n">
        <x:f>K102*O102*P102</x:f>
        <x:v>7150</x:v>
      </x:c>
      <x:c r="R102" s="20" t="n">
        <x:f>Q102*(1-'01 Controls'!$E$6)</x:f>
        <x:v>5362.5</x:v>
      </x:c>
      <x:c r="S102" s="19" t="n">
        <x:v>45</x:v>
      </x:c>
      <x:c r="T102" s="20" t="n">
        <x:f>K102*S102</x:f>
        <x:v>225</x:v>
      </x:c>
      <x:c r="U102" s="18" t="n">
        <x:f>'01 Controls'!E34</x:f>
        <x:v>0.1</x:v>
      </x:c>
      <x:c r="V102" s="20" t="n">
        <x:f>R102*U102</x:f>
        <x:v>536.25</x:v>
      </x:c>
      <x:c r="W102" s="18" t="n">
        <x:f>'01 Controls'!F34</x:f>
        <x:v>0.35</x:v>
      </x:c>
      <x:c r="X102" s="20" t="n">
        <x:f>R102*W102</x:f>
        <x:v>1876.8749999999998</x:v>
      </x:c>
      <x:c r="Y102" s="18" t="n">
        <x:f>'01 Controls'!G34</x:f>
        <x:v>0.5</x:v>
      </x:c>
      <x:c r="Z102" s="20" t="n">
        <x:f>R102*Y102</x:f>
        <x:v>2681.25</x:v>
      </x:c>
      <x:c r="AA102" s="18" t="n">
        <x:f>'01 Controls'!H34</x:f>
        <x:v>0.05</x:v>
      </x:c>
      <x:c r="AB102" s="20" t="n">
        <x:f>R102*AA102</x:f>
        <x:v>268.125</x:v>
      </x:c>
      <x:c r="AC102" s="20" t="n">
        <x:f>IF(H102="CM-HCG",K102*'01 Controls'!$E$24,0)</x:f>
        <x:v>0</x:v>
      </x:c>
      <x:c r="AD102" s="20" t="n">
        <x:f>IF(H102="CM-HCG",K102*'01 Controls'!$E$25,0)</x:f>
        <x:v>0</x:v>
      </x:c>
      <x:c r="AE102" s="20" t="n">
        <x:f>IF(H102="CM-HCG",K102*'01 Controls'!$E$26,0)</x:f>
        <x:v>0</x:v>
      </x:c>
      <x:c r="AF102" s="20" t="n">
        <x:f>IF(H102="CM-HCG",K102*'01 Controls'!$E$27,0)</x:f>
        <x:v>0</x:v>
      </x:c>
    </x:row>
    <x:row r="103">
      <x:c r="C103" s="22" t="str">
        <x:v>C3-J-TOC</x:v>
      </x:c>
      <x:c r="D103" s="22" t="n">
        <x:v>98</x:v>
      </x:c>
      <x:c r="E103" s="22" t="str">
        <x:v>C3</x:v>
      </x:c>
      <x:c r="F103" s="22" t="str">
        <x:v>Cascadia earthquake</x:v>
      </x:c>
      <x:c r="G103" s="22" t="n">
        <x:v>3</x:v>
      </x:c>
      <x:c r="H103" s="22" t="str">
        <x:v>J-TOC</x:v>
      </x:c>
      <x:c r="I103" s="22" t="str">
        <x:v>Joint</x:v>
      </x:c>
      <x:c r="J103" s="22" t="str">
        <x:v>Theater-opening command</x:v>
      </x:c>
      <x:c r="K103" s="23" t="n">
        <x:v>4</x:v>
      </x:c>
      <x:c r="L103" s="23" t="n">
        <x:v>600</x:v>
      </x:c>
      <x:c r="M103" s="23" t="n">
        <x:v>0</x:v>
      </x:c>
      <x:c r="N103" s="20" t="n">
        <x:f>K103*L103</x:f>
        <x:v>2400</x:v>
      </x:c>
      <x:c r="O103" s="19" t="n">
        <x:v>2200</x:v>
      </x:c>
      <x:c r="P103" s="17" t="n">
        <x:v>0.65</x:v>
      </x:c>
      <x:c r="Q103" s="20" t="n">
        <x:f>K103*O103*P103</x:f>
        <x:v>5720</x:v>
      </x:c>
      <x:c r="R103" s="20" t="n">
        <x:f>Q103*(1-'01 Controls'!$E$6)</x:f>
        <x:v>4290</x:v>
      </x:c>
      <x:c r="S103" s="19" t="n">
        <x:v>45</x:v>
      </x:c>
      <x:c r="T103" s="20" t="n">
        <x:f>K103*S103</x:f>
        <x:v>180</x:v>
      </x:c>
      <x:c r="U103" s="18" t="n">
        <x:f>'01 Controls'!E34</x:f>
        <x:v>0.1</x:v>
      </x:c>
      <x:c r="V103" s="20" t="n">
        <x:f>R103*U103</x:f>
        <x:v>429</x:v>
      </x:c>
      <x:c r="W103" s="18" t="n">
        <x:f>'01 Controls'!F34</x:f>
        <x:v>0.35</x:v>
      </x:c>
      <x:c r="X103" s="20" t="n">
        <x:f>R103*W103</x:f>
        <x:v>1501.5</x:v>
      </x:c>
      <x:c r="Y103" s="18" t="n">
        <x:f>'01 Controls'!G34</x:f>
        <x:v>0.5</x:v>
      </x:c>
      <x:c r="Z103" s="20" t="n">
        <x:f>R103*Y103</x:f>
        <x:v>2145</x:v>
      </x:c>
      <x:c r="AA103" s="18" t="n">
        <x:f>'01 Controls'!H34</x:f>
        <x:v>0.05</x:v>
      </x:c>
      <x:c r="AB103" s="20" t="n">
        <x:f>R103*AA103</x:f>
        <x:v>214.5</x:v>
      </x:c>
      <x:c r="AC103" s="20" t="n">
        <x:f>IF(H103="CM-HCG",K103*'01 Controls'!$E$24,0)</x:f>
        <x:v>0</x:v>
      </x:c>
      <x:c r="AD103" s="20" t="n">
        <x:f>IF(H103="CM-HCG",K103*'01 Controls'!$E$25,0)</x:f>
        <x:v>0</x:v>
      </x:c>
      <x:c r="AE103" s="20" t="n">
        <x:f>IF(H103="CM-HCG",K103*'01 Controls'!$E$26,0)</x:f>
        <x:v>0</x:v>
      </x:c>
      <x:c r="AF103" s="20" t="n">
        <x:f>IF(H103="CM-HCG",K103*'01 Controls'!$E$27,0)</x:f>
        <x:v>0</x:v>
      </x:c>
    </x:row>
    <x:row r="104">
      <x:c r="C104" s="22" t="str">
        <x:v>C3-J-TSC</x:v>
      </x:c>
      <x:c r="D104" s="22" t="n">
        <x:v>99</x:v>
      </x:c>
      <x:c r="E104" s="22" t="str">
        <x:v>C3</x:v>
      </x:c>
      <x:c r="F104" s="22" t="str">
        <x:v>Cascadia earthquake</x:v>
      </x:c>
      <x:c r="G104" s="22" t="n">
        <x:v>3</x:v>
      </x:c>
      <x:c r="H104" s="22" t="str">
        <x:v>J-TSC</x:v>
      </x:c>
      <x:c r="I104" s="22" t="str">
        <x:v>Joint</x:v>
      </x:c>
      <x:c r="J104" s="22" t="str">
        <x:v>Theater sustainment command</x:v>
      </x:c>
      <x:c r="K104" s="23" t="n">
        <x:v>5</x:v>
      </x:c>
      <x:c r="L104" s="23" t="n">
        <x:v>900</x:v>
      </x:c>
      <x:c r="M104" s="23" t="n">
        <x:v>0</x:v>
      </x:c>
      <x:c r="N104" s="20" t="n">
        <x:f>K104*L104</x:f>
        <x:v>4500</x:v>
      </x:c>
      <x:c r="O104" s="19" t="n">
        <x:v>2200</x:v>
      </x:c>
      <x:c r="P104" s="17" t="n">
        <x:v>0.65</x:v>
      </x:c>
      <x:c r="Q104" s="20" t="n">
        <x:f>K104*O104*P104</x:f>
        <x:v>7150</x:v>
      </x:c>
      <x:c r="R104" s="20" t="n">
        <x:f>Q104*(1-'01 Controls'!$E$6)</x:f>
        <x:v>5362.5</x:v>
      </x:c>
      <x:c r="S104" s="19" t="n">
        <x:v>45</x:v>
      </x:c>
      <x:c r="T104" s="20" t="n">
        <x:f>K104*S104</x:f>
        <x:v>225</x:v>
      </x:c>
      <x:c r="U104" s="18" t="n">
        <x:f>'01 Controls'!E34</x:f>
        <x:v>0.1</x:v>
      </x:c>
      <x:c r="V104" s="20" t="n">
        <x:f>R104*U104</x:f>
        <x:v>536.25</x:v>
      </x:c>
      <x:c r="W104" s="18" t="n">
        <x:f>'01 Controls'!F34</x:f>
        <x:v>0.35</x:v>
      </x:c>
      <x:c r="X104" s="20" t="n">
        <x:f>R104*W104</x:f>
        <x:v>1876.8749999999998</x:v>
      </x:c>
      <x:c r="Y104" s="18" t="n">
        <x:f>'01 Controls'!G34</x:f>
        <x:v>0.5</x:v>
      </x:c>
      <x:c r="Z104" s="20" t="n">
        <x:f>R104*Y104</x:f>
        <x:v>2681.25</x:v>
      </x:c>
      <x:c r="AA104" s="18" t="n">
        <x:f>'01 Controls'!H34</x:f>
        <x:v>0.05</x:v>
      </x:c>
      <x:c r="AB104" s="20" t="n">
        <x:f>R104*AA104</x:f>
        <x:v>268.125</x:v>
      </x:c>
      <x:c r="AC104" s="20" t="n">
        <x:f>IF(H104="CM-HCG",K104*'01 Controls'!$E$24,0)</x:f>
        <x:v>0</x:v>
      </x:c>
      <x:c r="AD104" s="20" t="n">
        <x:f>IF(H104="CM-HCG",K104*'01 Controls'!$E$25,0)</x:f>
        <x:v>0</x:v>
      </x:c>
      <x:c r="AE104" s="20" t="n">
        <x:f>IF(H104="CM-HCG",K104*'01 Controls'!$E$26,0)</x:f>
        <x:v>0</x:v>
      </x:c>
      <x:c r="AF104" s="20" t="n">
        <x:f>IF(H104="CM-HCG",K104*'01 Controls'!$E$27,0)</x:f>
        <x:v>0</x:v>
      </x:c>
    </x:row>
    <x:row r="105">
      <x:c r="C105" s="22" t="str">
        <x:v>C3-J-RRG</x:v>
      </x:c>
      <x:c r="D105" s="22" t="n">
        <x:v>100</x:v>
      </x:c>
      <x:c r="E105" s="22" t="str">
        <x:v>C3</x:v>
      </x:c>
      <x:c r="F105" s="22" t="str">
        <x:v>Cascadia earthquake</x:v>
      </x:c>
      <x:c r="G105" s="22" t="n">
        <x:v>3</x:v>
      </x:c>
      <x:c r="H105" s="22" t="str">
        <x:v>J-RRG</x:v>
      </x:c>
      <x:c r="I105" s="22" t="str">
        <x:v>Joint</x:v>
      </x:c>
      <x:c r="J105" s="22" t="str">
        <x:v>Replacement and reconstitution group</x:v>
      </x:c>
      <x:c r="K105" s="23" t="n">
        <x:v>5</x:v>
      </x:c>
      <x:c r="L105" s="23" t="n">
        <x:v>400</x:v>
      </x:c>
      <x:c r="M105" s="23" t="n">
        <x:v>0</x:v>
      </x:c>
      <x:c r="N105" s="20" t="n">
        <x:f>K105*L105</x:f>
        <x:v>2000</x:v>
      </x:c>
      <x:c r="O105" s="19" t="n">
        <x:v>2200</x:v>
      </x:c>
      <x:c r="P105" s="17" t="n">
        <x:v>0.65</x:v>
      </x:c>
      <x:c r="Q105" s="20" t="n">
        <x:f>K105*O105*P105</x:f>
        <x:v>7150</x:v>
      </x:c>
      <x:c r="R105" s="20" t="n">
        <x:f>Q105*(1-'01 Controls'!$E$6)</x:f>
        <x:v>5362.5</x:v>
      </x:c>
      <x:c r="S105" s="19" t="n">
        <x:v>45</x:v>
      </x:c>
      <x:c r="T105" s="20" t="n">
        <x:f>K105*S105</x:f>
        <x:v>225</x:v>
      </x:c>
      <x:c r="U105" s="18" t="n">
        <x:f>'01 Controls'!E34</x:f>
        <x:v>0.1</x:v>
      </x:c>
      <x:c r="V105" s="20" t="n">
        <x:f>R105*U105</x:f>
        <x:v>536.25</x:v>
      </x:c>
      <x:c r="W105" s="18" t="n">
        <x:f>'01 Controls'!F34</x:f>
        <x:v>0.35</x:v>
      </x:c>
      <x:c r="X105" s="20" t="n">
        <x:f>R105*W105</x:f>
        <x:v>1876.8749999999998</x:v>
      </x:c>
      <x:c r="Y105" s="18" t="n">
        <x:f>'01 Controls'!G34</x:f>
        <x:v>0.5</x:v>
      </x:c>
      <x:c r="Z105" s="20" t="n">
        <x:f>R105*Y105</x:f>
        <x:v>2681.25</x:v>
      </x:c>
      <x:c r="AA105" s="18" t="n">
        <x:f>'01 Controls'!H34</x:f>
        <x:v>0.05</x:v>
      </x:c>
      <x:c r="AB105" s="20" t="n">
        <x:f>R105*AA105</x:f>
        <x:v>268.125</x:v>
      </x:c>
      <x:c r="AC105" s="20" t="n">
        <x:f>IF(H105="CM-HCG",K105*'01 Controls'!$E$24,0)</x:f>
        <x:v>0</x:v>
      </x:c>
      <x:c r="AD105" s="20" t="n">
        <x:f>IF(H105="CM-HCG",K105*'01 Controls'!$E$25,0)</x:f>
        <x:v>0</x:v>
      </x:c>
      <x:c r="AE105" s="20" t="n">
        <x:f>IF(H105="CM-HCG",K105*'01 Controls'!$E$26,0)</x:f>
        <x:v>0</x:v>
      </x:c>
      <x:c r="AF105" s="20" t="n">
        <x:f>IF(H105="CM-HCG",K105*'01 Controls'!$E$27,0)</x:f>
        <x:v>0</x:v>
      </x:c>
    </x:row>
    <x:row r="106">
      <x:c r="C106" s="22" t="str">
        <x:v>C3-J-TDG</x:v>
      </x:c>
      <x:c r="D106" s="22" t="n">
        <x:v>101</x:v>
      </x:c>
      <x:c r="E106" s="22" t="str">
        <x:v>C3</x:v>
      </x:c>
      <x:c r="F106" s="22" t="str">
        <x:v>Cascadia earthquake</x:v>
      </x:c>
      <x:c r="G106" s="22" t="n">
        <x:v>3</x:v>
      </x:c>
      <x:c r="H106" s="22" t="str">
        <x:v>J-TDG</x:v>
      </x:c>
      <x:c r="I106" s="22" t="str">
        <x:v>Joint</x:v>
      </x:c>
      <x:c r="J106" s="22" t="str">
        <x:v>Transfer and demobilization group</x:v>
      </x:c>
      <x:c r="K106" s="23" t="n">
        <x:v>4</x:v>
      </x:c>
      <x:c r="L106" s="23" t="n">
        <x:v>150</x:v>
      </x:c>
      <x:c r="M106" s="23" t="n">
        <x:v>0</x:v>
      </x:c>
      <x:c r="N106" s="20" t="n">
        <x:f>K106*L106</x:f>
        <x:v>600</x:v>
      </x:c>
      <x:c r="O106" s="19" t="n">
        <x:v>2200</x:v>
      </x:c>
      <x:c r="P106" s="17" t="n">
        <x:v>0.65</x:v>
      </x:c>
      <x:c r="Q106" s="20" t="n">
        <x:f>K106*O106*P106</x:f>
        <x:v>5720</x:v>
      </x:c>
      <x:c r="R106" s="20" t="n">
        <x:f>Q106*(1-'01 Controls'!$E$6)</x:f>
        <x:v>4290</x:v>
      </x:c>
      <x:c r="S106" s="19" t="n">
        <x:v>45</x:v>
      </x:c>
      <x:c r="T106" s="20" t="n">
        <x:f>K106*S106</x:f>
        <x:v>180</x:v>
      </x:c>
      <x:c r="U106" s="18" t="n">
        <x:f>'01 Controls'!E34</x:f>
        <x:v>0.1</x:v>
      </x:c>
      <x:c r="V106" s="20" t="n">
        <x:f>R106*U106</x:f>
        <x:v>429</x:v>
      </x:c>
      <x:c r="W106" s="18" t="n">
        <x:f>'01 Controls'!F34</x:f>
        <x:v>0.35</x:v>
      </x:c>
      <x:c r="X106" s="20" t="n">
        <x:f>R106*W106</x:f>
        <x:v>1501.5</x:v>
      </x:c>
      <x:c r="Y106" s="18" t="n">
        <x:f>'01 Controls'!G34</x:f>
        <x:v>0.5</x:v>
      </x:c>
      <x:c r="Z106" s="20" t="n">
        <x:f>R106*Y106</x:f>
        <x:v>2145</x:v>
      </x:c>
      <x:c r="AA106" s="18" t="n">
        <x:f>'01 Controls'!H34</x:f>
        <x:v>0.05</x:v>
      </x:c>
      <x:c r="AB106" s="20" t="n">
        <x:f>R106*AA106</x:f>
        <x:v>214.5</x:v>
      </x:c>
      <x:c r="AC106" s="20" t="n">
        <x:f>IF(H106="CM-HCG",K106*'01 Controls'!$E$24,0)</x:f>
        <x:v>0</x:v>
      </x:c>
      <x:c r="AD106" s="20" t="n">
        <x:f>IF(H106="CM-HCG",K106*'01 Controls'!$E$25,0)</x:f>
        <x:v>0</x:v>
      </x:c>
      <x:c r="AE106" s="20" t="n">
        <x:f>IF(H106="CM-HCG",K106*'01 Controls'!$E$26,0)</x:f>
        <x:v>0</x:v>
      </x:c>
      <x:c r="AF106" s="20" t="n">
        <x:f>IF(H106="CM-HCG",K106*'01 Controls'!$E$27,0)</x:f>
        <x:v>0</x:v>
      </x:c>
    </x:row>
    <x:row r="107">
      <x:c r="C107" s="22" t="str">
        <x:v>C3-L-ROG</x:v>
      </x:c>
      <x:c r="D107" s="22" t="n">
        <x:v>102</x:v>
      </x:c>
      <x:c r="E107" s="22" t="str">
        <x:v>C3</x:v>
      </x:c>
      <x:c r="F107" s="22" t="str">
        <x:v>Cascadia earthquake</x:v>
      </x:c>
      <x:c r="G107" s="22" t="n">
        <x:v>3</x:v>
      </x:c>
      <x:c r="H107" s="22" t="str">
        <x:v>L-ROG</x:v>
      </x:c>
      <x:c r="I107" s="22" t="str">
        <x:v>Land Engineering</x:v>
      </x:c>
      <x:c r="J107" s="22" t="str">
        <x:v>Access and route-opening group</x:v>
      </x:c>
      <x:c r="K107" s="23" t="n">
        <x:v>12</x:v>
      </x:c>
      <x:c r="L107" s="23" t="n">
        <x:v>350</x:v>
      </x:c>
      <x:c r="M107" s="23" t="n">
        <x:v>0</x:v>
      </x:c>
      <x:c r="N107" s="20" t="n">
        <x:f>K107*L107</x:f>
        <x:v>4200</x:v>
      </x:c>
      <x:c r="O107" s="19" t="n">
        <x:v>9000</x:v>
      </x:c>
      <x:c r="P107" s="17" t="n">
        <x:v>0.45</x:v>
      </x:c>
      <x:c r="Q107" s="20" t="n">
        <x:f>K107*O107*P107</x:f>
        <x:v>48600</x:v>
      </x:c>
      <x:c r="R107" s="20" t="n">
        <x:f>Q107*(1-'01 Controls'!$E$6)</x:f>
        <x:v>36450</x:v>
      </x:c>
      <x:c r="S107" s="19" t="n">
        <x:v>90</x:v>
      </x:c>
      <x:c r="T107" s="20" t="n">
        <x:f>K107*S107</x:f>
        <x:v>1080</x:v>
      </x:c>
      <x:c r="U107" s="18" t="n">
        <x:f>'01 Controls'!E34</x:f>
        <x:v>0.1</x:v>
      </x:c>
      <x:c r="V107" s="20" t="n">
        <x:f>R107*U107</x:f>
        <x:v>3645</x:v>
      </x:c>
      <x:c r="W107" s="18" t="n">
        <x:f>'01 Controls'!F34</x:f>
        <x:v>0.35</x:v>
      </x:c>
      <x:c r="X107" s="20" t="n">
        <x:f>R107*W107</x:f>
        <x:v>12757.5</x:v>
      </x:c>
      <x:c r="Y107" s="18" t="n">
        <x:f>'01 Controls'!G34</x:f>
        <x:v>0.5</x:v>
      </x:c>
      <x:c r="Z107" s="20" t="n">
        <x:f>R107*Y107</x:f>
        <x:v>18225</x:v>
      </x:c>
      <x:c r="AA107" s="18" t="n">
        <x:f>'01 Controls'!H34</x:f>
        <x:v>0.05</x:v>
      </x:c>
      <x:c r="AB107" s="20" t="n">
        <x:f>R107*AA107</x:f>
        <x:v>1822.5</x:v>
      </x:c>
      <x:c r="AC107" s="20" t="n">
        <x:f>IF(H107="CM-HCG",K107*'01 Controls'!$E$24,0)</x:f>
        <x:v>0</x:v>
      </x:c>
      <x:c r="AD107" s="20" t="n">
        <x:f>IF(H107="CM-HCG",K107*'01 Controls'!$E$25,0)</x:f>
        <x:v>0</x:v>
      </x:c>
      <x:c r="AE107" s="20" t="n">
        <x:f>IF(H107="CM-HCG",K107*'01 Controls'!$E$26,0)</x:f>
        <x:v>0</x:v>
      </x:c>
      <x:c r="AF107" s="20" t="n">
        <x:f>IF(H107="CM-HCG",K107*'01 Controls'!$E$27,0)</x:f>
        <x:v>0</x:v>
      </x:c>
    </x:row>
    <x:row r="108">
      <x:c r="C108" s="22" t="str">
        <x:v>C3-L-HCG</x:v>
      </x:c>
      <x:c r="D108" s="22" t="n">
        <x:v>103</x:v>
      </x:c>
      <x:c r="E108" s="22" t="str">
        <x:v>C3</x:v>
      </x:c>
      <x:c r="F108" s="22" t="str">
        <x:v>Cascadia earthquake</x:v>
      </x:c>
      <x:c r="G108" s="22" t="n">
        <x:v>3</x:v>
      </x:c>
      <x:c r="H108" s="22" t="str">
        <x:v>L-HCG</x:v>
      </x:c>
      <x:c r="I108" s="22" t="str">
        <x:v>Land Engineering</x:v>
      </x:c>
      <x:c r="J108" s="22" t="str">
        <x:v>Flood and hydraulic-control group</x:v>
      </x:c>
      <x:c r="K108" s="23" t="n">
        <x:v>6</x:v>
      </x:c>
      <x:c r="L108" s="23" t="n">
        <x:v>500</x:v>
      </x:c>
      <x:c r="M108" s="23" t="n">
        <x:v>0</x:v>
      </x:c>
      <x:c r="N108" s="20" t="n">
        <x:f>K108*L108</x:f>
        <x:v>3000</x:v>
      </x:c>
      <x:c r="O108" s="19" t="n">
        <x:v>9000</x:v>
      </x:c>
      <x:c r="P108" s="17" t="n">
        <x:v>0.45</x:v>
      </x:c>
      <x:c r="Q108" s="20" t="n">
        <x:f>K108*O108*P108</x:f>
        <x:v>24300</x:v>
      </x:c>
      <x:c r="R108" s="20" t="n">
        <x:f>Q108*(1-'01 Controls'!$E$6)</x:f>
        <x:v>18225</x:v>
      </x:c>
      <x:c r="S108" s="19" t="n">
        <x:v>90</x:v>
      </x:c>
      <x:c r="T108" s="20" t="n">
        <x:f>K108*S108</x:f>
        <x:v>540</x:v>
      </x:c>
      <x:c r="U108" s="18" t="n">
        <x:f>'01 Controls'!E34</x:f>
        <x:v>0.1</x:v>
      </x:c>
      <x:c r="V108" s="20" t="n">
        <x:f>R108*U108</x:f>
        <x:v>1822.5</x:v>
      </x:c>
      <x:c r="W108" s="18" t="n">
        <x:f>'01 Controls'!F34</x:f>
        <x:v>0.35</x:v>
      </x:c>
      <x:c r="X108" s="20" t="n">
        <x:f>R108*W108</x:f>
        <x:v>6378.75</x:v>
      </x:c>
      <x:c r="Y108" s="18" t="n">
        <x:f>'01 Controls'!G34</x:f>
        <x:v>0.5</x:v>
      </x:c>
      <x:c r="Z108" s="20" t="n">
        <x:f>R108*Y108</x:f>
        <x:v>9112.5</x:v>
      </x:c>
      <x:c r="AA108" s="18" t="n">
        <x:f>'01 Controls'!H34</x:f>
        <x:v>0.05</x:v>
      </x:c>
      <x:c r="AB108" s="20" t="n">
        <x:f>R108*AA108</x:f>
        <x:v>911.25</x:v>
      </x:c>
      <x:c r="AC108" s="20" t="n">
        <x:f>IF(H108="CM-HCG",K108*'01 Controls'!$E$24,0)</x:f>
        <x:v>0</x:v>
      </x:c>
      <x:c r="AD108" s="20" t="n">
        <x:f>IF(H108="CM-HCG",K108*'01 Controls'!$E$25,0)</x:f>
        <x:v>0</x:v>
      </x:c>
      <x:c r="AE108" s="20" t="n">
        <x:f>IF(H108="CM-HCG",K108*'01 Controls'!$E$26,0)</x:f>
        <x:v>0</x:v>
      </x:c>
      <x:c r="AF108" s="20" t="n">
        <x:f>IF(H108="CM-HCG",K108*'01 Controls'!$E$27,0)</x:f>
        <x:v>0</x:v>
      </x:c>
    </x:row>
    <x:row r="109">
      <x:c r="C109" s="22" t="str">
        <x:v>C3-L-DMG</x:v>
      </x:c>
      <x:c r="D109" s="22" t="n">
        <x:v>104</x:v>
      </x:c>
      <x:c r="E109" s="22" t="str">
        <x:v>C3</x:v>
      </x:c>
      <x:c r="F109" s="22" t="str">
        <x:v>Cascadia earthquake</x:v>
      </x:c>
      <x:c r="G109" s="22" t="n">
        <x:v>3</x:v>
      </x:c>
      <x:c r="H109" s="22" t="str">
        <x:v>L-DMG</x:v>
      </x:c>
      <x:c r="I109" s="22" t="str">
        <x:v>Land Engineering</x:v>
      </x:c>
      <x:c r="J109" s="22" t="str">
        <x:v>Debris and materials group</x:v>
      </x:c>
      <x:c r="K109" s="23" t="n">
        <x:v>12</x:v>
      </x:c>
      <x:c r="L109" s="23" t="n">
        <x:v>400</x:v>
      </x:c>
      <x:c r="M109" s="23" t="n">
        <x:v>0</x:v>
      </x:c>
      <x:c r="N109" s="20" t="n">
        <x:f>K109*L109</x:f>
        <x:v>4800</x:v>
      </x:c>
      <x:c r="O109" s="19" t="n">
        <x:v>9000</x:v>
      </x:c>
      <x:c r="P109" s="17" t="n">
        <x:v>0.45</x:v>
      </x:c>
      <x:c r="Q109" s="20" t="n">
        <x:f>K109*O109*P109</x:f>
        <x:v>48600</x:v>
      </x:c>
      <x:c r="R109" s="20" t="n">
        <x:f>Q109*(1-'01 Controls'!$E$6)</x:f>
        <x:v>36450</x:v>
      </x:c>
      <x:c r="S109" s="19" t="n">
        <x:v>90</x:v>
      </x:c>
      <x:c r="T109" s="20" t="n">
        <x:f>K109*S109</x:f>
        <x:v>1080</x:v>
      </x:c>
      <x:c r="U109" s="18" t="n">
        <x:f>'01 Controls'!E34</x:f>
        <x:v>0.1</x:v>
      </x:c>
      <x:c r="V109" s="20" t="n">
        <x:f>R109*U109</x:f>
        <x:v>3645</x:v>
      </x:c>
      <x:c r="W109" s="18" t="n">
        <x:f>'01 Controls'!F34</x:f>
        <x:v>0.35</x:v>
      </x:c>
      <x:c r="X109" s="20" t="n">
        <x:f>R109*W109</x:f>
        <x:v>12757.5</x:v>
      </x:c>
      <x:c r="Y109" s="18" t="n">
        <x:f>'01 Controls'!G34</x:f>
        <x:v>0.5</x:v>
      </x:c>
      <x:c r="Z109" s="20" t="n">
        <x:f>R109*Y109</x:f>
        <x:v>18225</x:v>
      </x:c>
      <x:c r="AA109" s="18" t="n">
        <x:f>'01 Controls'!H34</x:f>
        <x:v>0.05</x:v>
      </x:c>
      <x:c r="AB109" s="20" t="n">
        <x:f>R109*AA109</x:f>
        <x:v>1822.5</x:v>
      </x:c>
      <x:c r="AC109" s="20" t="n">
        <x:f>IF(H109="CM-HCG",K109*'01 Controls'!$E$24,0)</x:f>
        <x:v>0</x:v>
      </x:c>
      <x:c r="AD109" s="20" t="n">
        <x:f>IF(H109="CM-HCG",K109*'01 Controls'!$E$25,0)</x:f>
        <x:v>0</x:v>
      </x:c>
      <x:c r="AE109" s="20" t="n">
        <x:f>IF(H109="CM-HCG",K109*'01 Controls'!$E$26,0)</x:f>
        <x:v>0</x:v>
      </x:c>
      <x:c r="AF109" s="20" t="n">
        <x:f>IF(H109="CM-HCG",K109*'01 Controls'!$E$27,0)</x:f>
        <x:v>0</x:v>
      </x:c>
    </x:row>
    <x:row r="110">
      <x:c r="C110" s="22" t="str">
        <x:v>C3-L-TWG</x:v>
      </x:c>
      <x:c r="D110" s="22" t="n">
        <x:v>105</x:v>
      </x:c>
      <x:c r="E110" s="22" t="str">
        <x:v>C3</x:v>
      </x:c>
      <x:c r="F110" s="22" t="str">
        <x:v>Cascadia earthquake</x:v>
      </x:c>
      <x:c r="G110" s="22" t="n">
        <x:v>3</x:v>
      </x:c>
      <x:c r="H110" s="22" t="str">
        <x:v>L-TWG</x:v>
      </x:c>
      <x:c r="I110" s="22" t="str">
        <x:v>Land Engineering</x:v>
      </x:c>
      <x:c r="J110" s="22" t="str">
        <x:v>Temporary works and crossing group</x:v>
      </x:c>
      <x:c r="K110" s="23" t="n">
        <x:v>10</x:v>
      </x:c>
      <x:c r="L110" s="23" t="n">
        <x:v>350</x:v>
      </x:c>
      <x:c r="M110" s="23" t="n">
        <x:v>0</x:v>
      </x:c>
      <x:c r="N110" s="20" t="n">
        <x:f>K110*L110</x:f>
        <x:v>3500</x:v>
      </x:c>
      <x:c r="O110" s="19" t="n">
        <x:v>9000</x:v>
      </x:c>
      <x:c r="P110" s="17" t="n">
        <x:v>0.45</x:v>
      </x:c>
      <x:c r="Q110" s="20" t="n">
        <x:f>K110*O110*P110</x:f>
        <x:v>40500</x:v>
      </x:c>
      <x:c r="R110" s="20" t="n">
        <x:f>Q110*(1-'01 Controls'!$E$6)</x:f>
        <x:v>30375</x:v>
      </x:c>
      <x:c r="S110" s="19" t="n">
        <x:v>90</x:v>
      </x:c>
      <x:c r="T110" s="20" t="n">
        <x:f>K110*S110</x:f>
        <x:v>900</x:v>
      </x:c>
      <x:c r="U110" s="18" t="n">
        <x:f>'01 Controls'!E34</x:f>
        <x:v>0.1</x:v>
      </x:c>
      <x:c r="V110" s="20" t="n">
        <x:f>R110*U110</x:f>
        <x:v>3037.5</x:v>
      </x:c>
      <x:c r="W110" s="18" t="n">
        <x:f>'01 Controls'!F34</x:f>
        <x:v>0.35</x:v>
      </x:c>
      <x:c r="X110" s="20" t="n">
        <x:f>R110*W110</x:f>
        <x:v>10631.25</x:v>
      </x:c>
      <x:c r="Y110" s="18" t="n">
        <x:f>'01 Controls'!G34</x:f>
        <x:v>0.5</x:v>
      </x:c>
      <x:c r="Z110" s="20" t="n">
        <x:f>R110*Y110</x:f>
        <x:v>15187.5</x:v>
      </x:c>
      <x:c r="AA110" s="18" t="n">
        <x:f>'01 Controls'!H34</x:f>
        <x:v>0.05</x:v>
      </x:c>
      <x:c r="AB110" s="20" t="n">
        <x:f>R110*AA110</x:f>
        <x:v>1518.75</x:v>
      </x:c>
      <x:c r="AC110" s="20" t="n">
        <x:f>IF(H110="CM-HCG",K110*'01 Controls'!$E$24,0)</x:f>
        <x:v>0</x:v>
      </x:c>
      <x:c r="AD110" s="20" t="n">
        <x:f>IF(H110="CM-HCG",K110*'01 Controls'!$E$25,0)</x:f>
        <x:v>0</x:v>
      </x:c>
      <x:c r="AE110" s="20" t="n">
        <x:f>IF(H110="CM-HCG",K110*'01 Controls'!$E$26,0)</x:f>
        <x:v>0</x:v>
      </x:c>
      <x:c r="AF110" s="20" t="n">
        <x:f>IF(H110="CM-HCG",K110*'01 Controls'!$E$27,0)</x:f>
        <x:v>0</x:v>
      </x:c>
    </x:row>
    <x:row r="111">
      <x:c r="C111" s="22" t="str">
        <x:v>C3-L-GFG</x:v>
      </x:c>
      <x:c r="D111" s="22" t="n">
        <x:v>106</x:v>
      </x:c>
      <x:c r="E111" s="22" t="str">
        <x:v>C3</x:v>
      </x:c>
      <x:c r="F111" s="22" t="str">
        <x:v>Cascadia earthquake</x:v>
      </x:c>
      <x:c r="G111" s="22" t="n">
        <x:v>3</x:v>
      </x:c>
      <x:c r="H111" s="22" t="str">
        <x:v>L-GFG</x:v>
      </x:c>
      <x:c r="I111" s="22" t="str">
        <x:v>Land Engineering</x:v>
      </x:c>
      <x:c r="J111" s="22" t="str">
        <x:v>Ground fire and landscape group</x:v>
      </x:c>
      <x:c r="K111" s="23" t="n">
        <x:v>4</x:v>
      </x:c>
      <x:c r="L111" s="23" t="n">
        <x:v>450</x:v>
      </x:c>
      <x:c r="M111" s="23" t="n">
        <x:v>0</x:v>
      </x:c>
      <x:c r="N111" s="20" t="n">
        <x:f>K111*L111</x:f>
        <x:v>1800</x:v>
      </x:c>
      <x:c r="O111" s="19" t="n">
        <x:v>9000</x:v>
      </x:c>
      <x:c r="P111" s="17" t="n">
        <x:v>0.45</x:v>
      </x:c>
      <x:c r="Q111" s="20" t="n">
        <x:f>K111*O111*P111</x:f>
        <x:v>16200</x:v>
      </x:c>
      <x:c r="R111" s="20" t="n">
        <x:f>Q111*(1-'01 Controls'!$E$6)</x:f>
        <x:v>12150</x:v>
      </x:c>
      <x:c r="S111" s="19" t="n">
        <x:v>90</x:v>
      </x:c>
      <x:c r="T111" s="20" t="n">
        <x:f>K111*S111</x:f>
        <x:v>360</x:v>
      </x:c>
      <x:c r="U111" s="18" t="n">
        <x:f>'01 Controls'!E34</x:f>
        <x:v>0.1</x:v>
      </x:c>
      <x:c r="V111" s="20" t="n">
        <x:f>R111*U111</x:f>
        <x:v>1215</x:v>
      </x:c>
      <x:c r="W111" s="18" t="n">
        <x:f>'01 Controls'!F34</x:f>
        <x:v>0.35</x:v>
      </x:c>
      <x:c r="X111" s="20" t="n">
        <x:f>R111*W111</x:f>
        <x:v>4252.5</x:v>
      </x:c>
      <x:c r="Y111" s="18" t="n">
        <x:f>'01 Controls'!G34</x:f>
        <x:v>0.5</x:v>
      </x:c>
      <x:c r="Z111" s="20" t="n">
        <x:f>R111*Y111</x:f>
        <x:v>6075</x:v>
      </x:c>
      <x:c r="AA111" s="18" t="n">
        <x:f>'01 Controls'!H34</x:f>
        <x:v>0.05</x:v>
      </x:c>
      <x:c r="AB111" s="20" t="n">
        <x:f>R111*AA111</x:f>
        <x:v>607.5</x:v>
      </x:c>
      <x:c r="AC111" s="20" t="n">
        <x:f>IF(H111="CM-HCG",K111*'01 Controls'!$E$24,0)</x:f>
        <x:v>0</x:v>
      </x:c>
      <x:c r="AD111" s="20" t="n">
        <x:f>IF(H111="CM-HCG",K111*'01 Controls'!$E$25,0)</x:f>
        <x:v>0</x:v>
      </x:c>
      <x:c r="AE111" s="20" t="n">
        <x:f>IF(H111="CM-HCG",K111*'01 Controls'!$E$26,0)</x:f>
        <x:v>0</x:v>
      </x:c>
      <x:c r="AF111" s="20" t="n">
        <x:f>IF(H111="CM-HCG",K111*'01 Controls'!$E$27,0)</x:f>
        <x:v>0</x:v>
      </x:c>
    </x:row>
    <x:row r="112">
      <x:c r="C112" s="22" t="str">
        <x:v>C3-A-SMW</x:v>
      </x:c>
      <x:c r="D112" s="22" t="n">
        <x:v>107</x:v>
      </x:c>
      <x:c r="E112" s="22" t="str">
        <x:v>C3</x:v>
      </x:c>
      <x:c r="F112" s="22" t="str">
        <x:v>Cascadia earthquake</x:v>
      </x:c>
      <x:c r="G112" s="22" t="n">
        <x:v>3</x:v>
      </x:c>
      <x:c r="H112" s="22" t="str">
        <x:v>A-SMW</x:v>
      </x:c>
      <x:c r="I112" s="22" t="str">
        <x:v>Air Response</x:v>
      </x:c>
      <x:c r="J112" s="22" t="str">
        <x:v>Strategic mobility wing</x:v>
      </x:c>
      <x:c r="K112" s="23" t="n">
        <x:v>4</x:v>
      </x:c>
      <x:c r="L112" s="23" t="n">
        <x:v>900</x:v>
      </x:c>
      <x:c r="M112" s="23" t="n">
        <x:v>0</x:v>
      </x:c>
      <x:c r="N112" s="20" t="n">
        <x:f>K112*L112</x:f>
        <x:v>3600</x:v>
      </x:c>
      <x:c r="O112" s="19" t="n">
        <x:v>5000</x:v>
      </x:c>
      <x:c r="P112" s="17" t="n">
        <x:v>0.75</x:v>
      </x:c>
      <x:c r="Q112" s="20" t="n">
        <x:f>K112*O112*P112</x:f>
        <x:v>15000</x:v>
      </x:c>
      <x:c r="R112" s="20" t="n">
        <x:f>Q112*(1-'01 Controls'!$E$6)</x:f>
        <x:v>11250</x:v>
      </x:c>
      <x:c r="S112" s="19" t="n">
        <x:v>100</x:v>
      </x:c>
      <x:c r="T112" s="20" t="n">
        <x:f>K112*S112</x:f>
        <x:v>400</x:v>
      </x:c>
      <x:c r="U112" s="18" t="n">
        <x:f>'01 Controls'!E34</x:f>
        <x:v>0.1</x:v>
      </x:c>
      <x:c r="V112" s="20" t="n">
        <x:f>R112*U112</x:f>
        <x:v>1125</x:v>
      </x:c>
      <x:c r="W112" s="18" t="n">
        <x:f>'01 Controls'!F34</x:f>
        <x:v>0.35</x:v>
      </x:c>
      <x:c r="X112" s="20" t="n">
        <x:f>R112*W112</x:f>
        <x:v>3937.4999999999995</x:v>
      </x:c>
      <x:c r="Y112" s="18" t="n">
        <x:f>'01 Controls'!G34</x:f>
        <x:v>0.5</x:v>
      </x:c>
      <x:c r="Z112" s="20" t="n">
        <x:f>R112*Y112</x:f>
        <x:v>5625</x:v>
      </x:c>
      <x:c r="AA112" s="18" t="n">
        <x:f>'01 Controls'!H34</x:f>
        <x:v>0.05</x:v>
      </x:c>
      <x:c r="AB112" s="20" t="n">
        <x:f>R112*AA112</x:f>
        <x:v>562.5</x:v>
      </x:c>
      <x:c r="AC112" s="20" t="n">
        <x:f>IF(H112="CM-HCG",K112*'01 Controls'!$E$24,0)</x:f>
        <x:v>0</x:v>
      </x:c>
      <x:c r="AD112" s="20" t="n">
        <x:f>IF(H112="CM-HCG",K112*'01 Controls'!$E$25,0)</x:f>
        <x:v>0</x:v>
      </x:c>
      <x:c r="AE112" s="20" t="n">
        <x:f>IF(H112="CM-HCG",K112*'01 Controls'!$E$26,0)</x:f>
        <x:v>0</x:v>
      </x:c>
      <x:c r="AF112" s="20" t="n">
        <x:f>IF(H112="CM-HCG",K112*'01 Controls'!$E$27,0)</x:f>
        <x:v>0</x:v>
      </x:c>
    </x:row>
    <x:row r="113">
      <x:c r="C113" s="22" t="str">
        <x:v>C3-A-AAG</x:v>
      </x:c>
      <x:c r="D113" s="22" t="n">
        <x:v>108</x:v>
      </x:c>
      <x:c r="E113" s="22" t="str">
        <x:v>C3</x:v>
      </x:c>
      <x:c r="F113" s="22" t="str">
        <x:v>Cascadia earthquake</x:v>
      </x:c>
      <x:c r="G113" s="22" t="n">
        <x:v>3</x:v>
      </x:c>
      <x:c r="H113" s="22" t="str">
        <x:v>A-AAG</x:v>
      </x:c>
      <x:c r="I113" s="22" t="str">
        <x:v>Air Response</x:v>
      </x:c>
      <x:c r="J113" s="22" t="str">
        <x:v>Austere air-access group</x:v>
      </x:c>
      <x:c r="K113" s="23" t="n">
        <x:v>6</x:v>
      </x:c>
      <x:c r="L113" s="23" t="n">
        <x:v>350</x:v>
      </x:c>
      <x:c r="M113" s="23" t="n">
        <x:v>0</x:v>
      </x:c>
      <x:c r="N113" s="20" t="n">
        <x:f>K113*L113</x:f>
        <x:v>2100</x:v>
      </x:c>
      <x:c r="O113" s="19" t="n">
        <x:v>5000</x:v>
      </x:c>
      <x:c r="P113" s="17" t="n">
        <x:v>0.75</x:v>
      </x:c>
      <x:c r="Q113" s="20" t="n">
        <x:f>K113*O113*P113</x:f>
        <x:v>22500</x:v>
      </x:c>
      <x:c r="R113" s="20" t="n">
        <x:f>Q113*(1-'01 Controls'!$E$6)</x:f>
        <x:v>16875</x:v>
      </x:c>
      <x:c r="S113" s="19" t="n">
        <x:v>100</x:v>
      </x:c>
      <x:c r="T113" s="20" t="n">
        <x:f>K113*S113</x:f>
        <x:v>600</x:v>
      </x:c>
      <x:c r="U113" s="18" t="n">
        <x:f>'01 Controls'!E34</x:f>
        <x:v>0.1</x:v>
      </x:c>
      <x:c r="V113" s="20" t="n">
        <x:f>R113*U113</x:f>
        <x:v>1687.5</x:v>
      </x:c>
      <x:c r="W113" s="18" t="n">
        <x:f>'01 Controls'!F34</x:f>
        <x:v>0.35</x:v>
      </x:c>
      <x:c r="X113" s="20" t="n">
        <x:f>R113*W113</x:f>
        <x:v>5906.25</x:v>
      </x:c>
      <x:c r="Y113" s="18" t="n">
        <x:f>'01 Controls'!G34</x:f>
        <x:v>0.5</x:v>
      </x:c>
      <x:c r="Z113" s="20" t="n">
        <x:f>R113*Y113</x:f>
        <x:v>8437.5</x:v>
      </x:c>
      <x:c r="AA113" s="18" t="n">
        <x:f>'01 Controls'!H34</x:f>
        <x:v>0.05</x:v>
      </x:c>
      <x:c r="AB113" s="20" t="n">
        <x:f>R113*AA113</x:f>
        <x:v>843.75</x:v>
      </x:c>
      <x:c r="AC113" s="20" t="n">
        <x:f>IF(H113="CM-HCG",K113*'01 Controls'!$E$24,0)</x:f>
        <x:v>0</x:v>
      </x:c>
      <x:c r="AD113" s="20" t="n">
        <x:f>IF(H113="CM-HCG",K113*'01 Controls'!$E$25,0)</x:f>
        <x:v>0</x:v>
      </x:c>
      <x:c r="AE113" s="20" t="n">
        <x:f>IF(H113="CM-HCG",K113*'01 Controls'!$E$26,0)</x:f>
        <x:v>0</x:v>
      </x:c>
      <x:c r="AF113" s="20" t="n">
        <x:f>IF(H113="CM-HCG",K113*'01 Controls'!$E$27,0)</x:f>
        <x:v>0</x:v>
      </x:c>
    </x:row>
    <x:row r="114">
      <x:c r="C114" s="22" t="str">
        <x:v>C3-A-AHW</x:v>
      </x:c>
      <x:c r="D114" s="22" t="n">
        <x:v>109</x:v>
      </x:c>
      <x:c r="E114" s="22" t="str">
        <x:v>C3</x:v>
      </x:c>
      <x:c r="F114" s="22" t="str">
        <x:v>Cascadia earthquake</x:v>
      </x:c>
      <x:c r="G114" s="22" t="n">
        <x:v>3</x:v>
      </x:c>
      <x:c r="H114" s="22" t="str">
        <x:v>A-AHW</x:v>
      </x:c>
      <x:c r="I114" s="22" t="str">
        <x:v>Air Response</x:v>
      </x:c>
      <x:c r="J114" s="22" t="str">
        <x:v>Aerial hazard-control wing</x:v>
      </x:c>
      <x:c r="K114" s="23" t="n">
        <x:v>2</x:v>
      </x:c>
      <x:c r="L114" s="23" t="n">
        <x:v>600</x:v>
      </x:c>
      <x:c r="M114" s="23" t="n">
        <x:v>0</x:v>
      </x:c>
      <x:c r="N114" s="20" t="n">
        <x:f>K114*L114</x:f>
        <x:v>1200</x:v>
      </x:c>
      <x:c r="O114" s="19" t="n">
        <x:v>5000</x:v>
      </x:c>
      <x:c r="P114" s="17" t="n">
        <x:v>0.75</x:v>
      </x:c>
      <x:c r="Q114" s="20" t="n">
        <x:f>K114*O114*P114</x:f>
        <x:v>7500</x:v>
      </x:c>
      <x:c r="R114" s="20" t="n">
        <x:f>Q114*(1-'01 Controls'!$E$6)</x:f>
        <x:v>5625</x:v>
      </x:c>
      <x:c r="S114" s="19" t="n">
        <x:v>100</x:v>
      </x:c>
      <x:c r="T114" s="20" t="n">
        <x:f>K114*S114</x:f>
        <x:v>200</x:v>
      </x:c>
      <x:c r="U114" s="18" t="n">
        <x:f>'01 Controls'!E34</x:f>
        <x:v>0.1</x:v>
      </x:c>
      <x:c r="V114" s="20" t="n">
        <x:f>R114*U114</x:f>
        <x:v>562.5</x:v>
      </x:c>
      <x:c r="W114" s="18" t="n">
        <x:f>'01 Controls'!F34</x:f>
        <x:v>0.35</x:v>
      </x:c>
      <x:c r="X114" s="20" t="n">
        <x:f>R114*W114</x:f>
        <x:v>1968.7499999999998</x:v>
      </x:c>
      <x:c r="Y114" s="18" t="n">
        <x:f>'01 Controls'!G34</x:f>
        <x:v>0.5</x:v>
      </x:c>
      <x:c r="Z114" s="20" t="n">
        <x:f>R114*Y114</x:f>
        <x:v>2812.5</x:v>
      </x:c>
      <x:c r="AA114" s="18" t="n">
        <x:f>'01 Controls'!H34</x:f>
        <x:v>0.05</x:v>
      </x:c>
      <x:c r="AB114" s="20" t="n">
        <x:f>R114*AA114</x:f>
        <x:v>281.25</x:v>
      </x:c>
      <x:c r="AC114" s="20" t="n">
        <x:f>IF(H114="CM-HCG",K114*'01 Controls'!$E$24,0)</x:f>
        <x:v>0</x:v>
      </x:c>
      <x:c r="AD114" s="20" t="n">
        <x:f>IF(H114="CM-HCG",K114*'01 Controls'!$E$25,0)</x:f>
        <x:v>0</x:v>
      </x:c>
      <x:c r="AE114" s="20" t="n">
        <x:f>IF(H114="CM-HCG",K114*'01 Controls'!$E$26,0)</x:f>
        <x:v>0</x:v>
      </x:c>
      <x:c r="AF114" s="20" t="n">
        <x:f>IF(H114="CM-HCG",K114*'01 Controls'!$E$27,0)</x:f>
        <x:v>0</x:v>
      </x:c>
    </x:row>
    <x:row r="115">
      <x:c r="C115" s="22" t="str">
        <x:v>C3-A-TDG</x:v>
      </x:c>
      <x:c r="D115" s="22" t="n">
        <x:v>110</x:v>
      </x:c>
      <x:c r="E115" s="22" t="str">
        <x:v>C3</x:v>
      </x:c>
      <x:c r="F115" s="22" t="str">
        <x:v>Cascadia earthquake</x:v>
      </x:c>
      <x:c r="G115" s="22" t="n">
        <x:v>3</x:v>
      </x:c>
      <x:c r="H115" s="22" t="str">
        <x:v>A-TDG</x:v>
      </x:c>
      <x:c r="I115" s="22" t="str">
        <x:v>Air Response</x:v>
      </x:c>
      <x:c r="J115" s="22" t="str">
        <x:v>Tactical distribution group</x:v>
      </x:c>
      <x:c r="K115" s="23" t="n">
        <x:v>8</x:v>
      </x:c>
      <x:c r="L115" s="23" t="n">
        <x:v>450</x:v>
      </x:c>
      <x:c r="M115" s="23" t="n">
        <x:v>0</x:v>
      </x:c>
      <x:c r="N115" s="20" t="n">
        <x:f>K115*L115</x:f>
        <x:v>3600</x:v>
      </x:c>
      <x:c r="O115" s="19" t="n">
        <x:v>5000</x:v>
      </x:c>
      <x:c r="P115" s="17" t="n">
        <x:v>0.75</x:v>
      </x:c>
      <x:c r="Q115" s="20" t="n">
        <x:f>K115*O115*P115</x:f>
        <x:v>30000</x:v>
      </x:c>
      <x:c r="R115" s="20" t="n">
        <x:f>Q115*(1-'01 Controls'!$E$6)</x:f>
        <x:v>22500</x:v>
      </x:c>
      <x:c r="S115" s="19" t="n">
        <x:v>100</x:v>
      </x:c>
      <x:c r="T115" s="20" t="n">
        <x:f>K115*S115</x:f>
        <x:v>800</x:v>
      </x:c>
      <x:c r="U115" s="18" t="n">
        <x:f>'01 Controls'!E34</x:f>
        <x:v>0.1</x:v>
      </x:c>
      <x:c r="V115" s="20" t="n">
        <x:f>R115*U115</x:f>
        <x:v>2250</x:v>
      </x:c>
      <x:c r="W115" s="18" t="n">
        <x:f>'01 Controls'!F34</x:f>
        <x:v>0.35</x:v>
      </x:c>
      <x:c r="X115" s="20" t="n">
        <x:f>R115*W115</x:f>
        <x:v>7874.999999999999</x:v>
      </x:c>
      <x:c r="Y115" s="18" t="n">
        <x:f>'01 Controls'!G34</x:f>
        <x:v>0.5</x:v>
      </x:c>
      <x:c r="Z115" s="20" t="n">
        <x:f>R115*Y115</x:f>
        <x:v>11250</x:v>
      </x:c>
      <x:c r="AA115" s="18" t="n">
        <x:f>'01 Controls'!H34</x:f>
        <x:v>0.05</x:v>
      </x:c>
      <x:c r="AB115" s="20" t="n">
        <x:f>R115*AA115</x:f>
        <x:v>1125</x:v>
      </x:c>
      <x:c r="AC115" s="20" t="n">
        <x:f>IF(H115="CM-HCG",K115*'01 Controls'!$E$24,0)</x:f>
        <x:v>0</x:v>
      </x:c>
      <x:c r="AD115" s="20" t="n">
        <x:f>IF(H115="CM-HCG",K115*'01 Controls'!$E$25,0)</x:f>
        <x:v>0</x:v>
      </x:c>
      <x:c r="AE115" s="20" t="n">
        <x:f>IF(H115="CM-HCG",K115*'01 Controls'!$E$26,0)</x:f>
        <x:v>0</x:v>
      </x:c>
      <x:c r="AF115" s="20" t="n">
        <x:f>IF(H115="CM-HCG",K115*'01 Controls'!$E$27,0)</x:f>
        <x:v>0</x:v>
      </x:c>
    </x:row>
    <x:row r="116">
      <x:c r="C116" s="22" t="str">
        <x:v>C3-A-SRG</x:v>
      </x:c>
      <x:c r="D116" s="22" t="n">
        <x:v>111</x:v>
      </x:c>
      <x:c r="E116" s="22" t="str">
        <x:v>C3</x:v>
      </x:c>
      <x:c r="F116" s="22" t="str">
        <x:v>Cascadia earthquake</x:v>
      </x:c>
      <x:c r="G116" s="22" t="n">
        <x:v>3</x:v>
      </x:c>
      <x:c r="H116" s="22" t="str">
        <x:v>A-SRG</x:v>
      </x:c>
      <x:c r="I116" s="22" t="str">
        <x:v>Air Response</x:v>
      </x:c>
      <x:c r="J116" s="22" t="str">
        <x:v>Air sensing and relay group</x:v>
      </x:c>
      <x:c r="K116" s="23" t="n">
        <x:v>5</x:v>
      </x:c>
      <x:c r="L116" s="23" t="n">
        <x:v>180</x:v>
      </x:c>
      <x:c r="M116" s="23" t="n">
        <x:v>0</x:v>
      </x:c>
      <x:c r="N116" s="20" t="n">
        <x:f>K116*L116</x:f>
        <x:v>900</x:v>
      </x:c>
      <x:c r="O116" s="19" t="n">
        <x:v>5000</x:v>
      </x:c>
      <x:c r="P116" s="17" t="n">
        <x:v>0.75</x:v>
      </x:c>
      <x:c r="Q116" s="20" t="n">
        <x:f>K116*O116*P116</x:f>
        <x:v>18750</x:v>
      </x:c>
      <x:c r="R116" s="20" t="n">
        <x:f>Q116*(1-'01 Controls'!$E$6)</x:f>
        <x:v>14062.5</x:v>
      </x:c>
      <x:c r="S116" s="19" t="n">
        <x:v>100</x:v>
      </x:c>
      <x:c r="T116" s="20" t="n">
        <x:f>K116*S116</x:f>
        <x:v>500</x:v>
      </x:c>
      <x:c r="U116" s="18" t="n">
        <x:f>'01 Controls'!E34</x:f>
        <x:v>0.1</x:v>
      </x:c>
      <x:c r="V116" s="20" t="n">
        <x:f>R116*U116</x:f>
        <x:v>1406.25</x:v>
      </x:c>
      <x:c r="W116" s="18" t="n">
        <x:f>'01 Controls'!F34</x:f>
        <x:v>0.35</x:v>
      </x:c>
      <x:c r="X116" s="20" t="n">
        <x:f>R116*W116</x:f>
        <x:v>4921.875</x:v>
      </x:c>
      <x:c r="Y116" s="18" t="n">
        <x:f>'01 Controls'!G34</x:f>
        <x:v>0.5</x:v>
      </x:c>
      <x:c r="Z116" s="20" t="n">
        <x:f>R116*Y116</x:f>
        <x:v>7031.25</x:v>
      </x:c>
      <x:c r="AA116" s="18" t="n">
        <x:f>'01 Controls'!H34</x:f>
        <x:v>0.05</x:v>
      </x:c>
      <x:c r="AB116" s="20" t="n">
        <x:f>R116*AA116</x:f>
        <x:v>703.125</x:v>
      </x:c>
      <x:c r="AC116" s="20" t="n">
        <x:f>IF(H116="CM-HCG",K116*'01 Controls'!$E$24,0)</x:f>
        <x:v>0</x:v>
      </x:c>
      <x:c r="AD116" s="20" t="n">
        <x:f>IF(H116="CM-HCG",K116*'01 Controls'!$E$25,0)</x:f>
        <x:v>0</x:v>
      </x:c>
      <x:c r="AE116" s="20" t="n">
        <x:f>IF(H116="CM-HCG",K116*'01 Controls'!$E$26,0)</x:f>
        <x:v>0</x:v>
      </x:c>
      <x:c r="AF116" s="20" t="n">
        <x:f>IF(H116="CM-HCG",K116*'01 Controls'!$E$27,0)</x:f>
        <x:v>0</x:v>
      </x:c>
    </x:row>
    <x:row r="117">
      <x:c r="C117" s="22" t="str">
        <x:v>C3-A-AMG</x:v>
      </x:c>
      <x:c r="D117" s="22" t="n">
        <x:v>112</x:v>
      </x:c>
      <x:c r="E117" s="22" t="str">
        <x:v>C3</x:v>
      </x:c>
      <x:c r="F117" s="22" t="str">
        <x:v>Cascadia earthquake</x:v>
      </x:c>
      <x:c r="G117" s="22" t="n">
        <x:v>3</x:v>
      </x:c>
      <x:c r="H117" s="22" t="str">
        <x:v>A-AMG</x:v>
      </x:c>
      <x:c r="I117" s="22" t="str">
        <x:v>Air Response</x:v>
      </x:c>
      <x:c r="J117" s="22" t="str">
        <x:v>Aeromedical movement group</x:v>
      </x:c>
      <x:c r="K117" s="23" t="n">
        <x:v>5</x:v>
      </x:c>
      <x:c r="L117" s="23" t="n">
        <x:v>300</x:v>
      </x:c>
      <x:c r="M117" s="23" t="n">
        <x:v>0</x:v>
      </x:c>
      <x:c r="N117" s="20" t="n">
        <x:f>K117*L117</x:f>
        <x:v>1500</x:v>
      </x:c>
      <x:c r="O117" s="19" t="n">
        <x:v>5000</x:v>
      </x:c>
      <x:c r="P117" s="17" t="n">
        <x:v>0.75</x:v>
      </x:c>
      <x:c r="Q117" s="20" t="n">
        <x:f>K117*O117*P117</x:f>
        <x:v>18750</x:v>
      </x:c>
      <x:c r="R117" s="20" t="n">
        <x:f>Q117*(1-'01 Controls'!$E$6)</x:f>
        <x:v>14062.5</x:v>
      </x:c>
      <x:c r="S117" s="19" t="n">
        <x:v>100</x:v>
      </x:c>
      <x:c r="T117" s="20" t="n">
        <x:f>K117*S117</x:f>
        <x:v>500</x:v>
      </x:c>
      <x:c r="U117" s="18" t="n">
        <x:f>'01 Controls'!E34</x:f>
        <x:v>0.1</x:v>
      </x:c>
      <x:c r="V117" s="20" t="n">
        <x:f>R117*U117</x:f>
        <x:v>1406.25</x:v>
      </x:c>
      <x:c r="W117" s="18" t="n">
        <x:f>'01 Controls'!F34</x:f>
        <x:v>0.35</x:v>
      </x:c>
      <x:c r="X117" s="20" t="n">
        <x:f>R117*W117</x:f>
        <x:v>4921.875</x:v>
      </x:c>
      <x:c r="Y117" s="18" t="n">
        <x:f>'01 Controls'!G34</x:f>
        <x:v>0.5</x:v>
      </x:c>
      <x:c r="Z117" s="20" t="n">
        <x:f>R117*Y117</x:f>
        <x:v>7031.25</x:v>
      </x:c>
      <x:c r="AA117" s="18" t="n">
        <x:f>'01 Controls'!H34</x:f>
        <x:v>0.05</x:v>
      </x:c>
      <x:c r="AB117" s="20" t="n">
        <x:f>R117*AA117</x:f>
        <x:v>703.125</x:v>
      </x:c>
      <x:c r="AC117" s="20" t="n">
        <x:f>IF(H117="CM-HCG",K117*'01 Controls'!$E$24,0)</x:f>
        <x:v>0</x:v>
      </x:c>
      <x:c r="AD117" s="20" t="n">
        <x:f>IF(H117="CM-HCG",K117*'01 Controls'!$E$25,0)</x:f>
        <x:v>0</x:v>
      </x:c>
      <x:c r="AE117" s="20" t="n">
        <x:f>IF(H117="CM-HCG",K117*'01 Controls'!$E$26,0)</x:f>
        <x:v>0</x:v>
      </x:c>
      <x:c r="AF117" s="20" t="n">
        <x:f>IF(H117="CM-HCG",K117*'01 Controls'!$E$27,0)</x:f>
        <x:v>0</x:v>
      </x:c>
    </x:row>
    <x:row r="118">
      <x:c r="C118" s="22" t="str">
        <x:v>C3-M-POG</x:v>
      </x:c>
      <x:c r="D118" s="22" t="n">
        <x:v>113</x:v>
      </x:c>
      <x:c r="E118" s="22" t="str">
        <x:v>C3</x:v>
      </x:c>
      <x:c r="F118" s="22" t="str">
        <x:v>Cascadia earthquake</x:v>
      </x:c>
      <x:c r="G118" s="22" t="n">
        <x:v>3</x:v>
      </x:c>
      <x:c r="H118" s="22" t="str">
        <x:v>M-POG</x:v>
      </x:c>
      <x:c r="I118" s="22" t="str">
        <x:v>Maritime Response</x:v>
      </x:c>
      <x:c r="J118" s="22" t="str">
        <x:v>Port-opening group</x:v>
      </x:c>
      <x:c r="K118" s="23" t="n">
        <x:v>8</x:v>
      </x:c>
      <x:c r="L118" s="23" t="n">
        <x:v>450</x:v>
      </x:c>
      <x:c r="M118" s="23" t="n">
        <x:v>0</x:v>
      </x:c>
      <x:c r="N118" s="20" t="n">
        <x:f>K118*L118</x:f>
        <x:v>3600</x:v>
      </x:c>
      <x:c r="O118" s="19" t="n">
        <x:v>8000</x:v>
      </x:c>
      <x:c r="P118" s="17" t="n">
        <x:v>0.35</x:v>
      </x:c>
      <x:c r="Q118" s="20" t="n">
        <x:f>K118*O118*P118</x:f>
        <x:v>22400</x:v>
      </x:c>
      <x:c r="R118" s="20" t="n">
        <x:f>Q118*(1-'01 Controls'!$E$6)</x:f>
        <x:v>16800</x:v>
      </x:c>
      <x:c r="S118" s="19" t="n">
        <x:v>120</x:v>
      </x:c>
      <x:c r="T118" s="20" t="n">
        <x:f>K118*S118</x:f>
        <x:v>960</x:v>
      </x:c>
      <x:c r="U118" s="18" t="n">
        <x:f>'01 Controls'!E34</x:f>
        <x:v>0.1</x:v>
      </x:c>
      <x:c r="V118" s="20" t="n">
        <x:f>R118*U118</x:f>
        <x:v>1680</x:v>
      </x:c>
      <x:c r="W118" s="18" t="n">
        <x:f>'01 Controls'!F34</x:f>
        <x:v>0.35</x:v>
      </x:c>
      <x:c r="X118" s="20" t="n">
        <x:f>R118*W118</x:f>
        <x:v>5880</x:v>
      </x:c>
      <x:c r="Y118" s="18" t="n">
        <x:f>'01 Controls'!G34</x:f>
        <x:v>0.5</x:v>
      </x:c>
      <x:c r="Z118" s="20" t="n">
        <x:f>R118*Y118</x:f>
        <x:v>8400</x:v>
      </x:c>
      <x:c r="AA118" s="18" t="n">
        <x:f>'01 Controls'!H34</x:f>
        <x:v>0.05</x:v>
      </x:c>
      <x:c r="AB118" s="20" t="n">
        <x:f>R118*AA118</x:f>
        <x:v>840</x:v>
      </x:c>
      <x:c r="AC118" s="20" t="n">
        <x:f>IF(H118="CM-HCG",K118*'01 Controls'!$E$24,0)</x:f>
        <x:v>0</x:v>
      </x:c>
      <x:c r="AD118" s="20" t="n">
        <x:f>IF(H118="CM-HCG",K118*'01 Controls'!$E$25,0)</x:f>
        <x:v>0</x:v>
      </x:c>
      <x:c r="AE118" s="20" t="n">
        <x:f>IF(H118="CM-HCG",K118*'01 Controls'!$E$26,0)</x:f>
        <x:v>0</x:v>
      </x:c>
      <x:c r="AF118" s="20" t="n">
        <x:f>IF(H118="CM-HCG",K118*'01 Controls'!$E$27,0)</x:f>
        <x:v>0</x:v>
      </x:c>
    </x:row>
    <x:row r="119">
      <x:c r="C119" s="22" t="str">
        <x:v>C3-M-LAG</x:v>
      </x:c>
      <x:c r="D119" s="22" t="n">
        <x:v>114</x:v>
      </x:c>
      <x:c r="E119" s="22" t="str">
        <x:v>C3</x:v>
      </x:c>
      <x:c r="F119" s="22" t="str">
        <x:v>Cascadia earthquake</x:v>
      </x:c>
      <x:c r="G119" s="22" t="n">
        <x:v>3</x:v>
      </x:c>
      <x:c r="H119" s="22" t="str">
        <x:v>M-LAG</x:v>
      </x:c>
      <x:c r="I119" s="22" t="str">
        <x:v>Maritime Response</x:v>
      </x:c>
      <x:c r="J119" s="22" t="str">
        <x:v>Littoral-access group</x:v>
      </x:c>
      <x:c r="K119" s="23" t="n">
        <x:v>8</x:v>
      </x:c>
      <x:c r="L119" s="23" t="n">
        <x:v>350</x:v>
      </x:c>
      <x:c r="M119" s="23" t="n">
        <x:v>0</x:v>
      </x:c>
      <x:c r="N119" s="20" t="n">
        <x:f>K119*L119</x:f>
        <x:v>2800</x:v>
      </x:c>
      <x:c r="O119" s="19" t="n">
        <x:v>8000</x:v>
      </x:c>
      <x:c r="P119" s="17" t="n">
        <x:v>0.35</x:v>
      </x:c>
      <x:c r="Q119" s="20" t="n">
        <x:f>K119*O119*P119</x:f>
        <x:v>22400</x:v>
      </x:c>
      <x:c r="R119" s="20" t="n">
        <x:f>Q119*(1-'01 Controls'!$E$6)</x:f>
        <x:v>16800</x:v>
      </x:c>
      <x:c r="S119" s="19" t="n">
        <x:v>120</x:v>
      </x:c>
      <x:c r="T119" s="20" t="n">
        <x:f>K119*S119</x:f>
        <x:v>960</x:v>
      </x:c>
      <x:c r="U119" s="18" t="n">
        <x:f>'01 Controls'!E34</x:f>
        <x:v>0.1</x:v>
      </x:c>
      <x:c r="V119" s="20" t="n">
        <x:f>R119*U119</x:f>
        <x:v>1680</x:v>
      </x:c>
      <x:c r="W119" s="18" t="n">
        <x:f>'01 Controls'!F34</x:f>
        <x:v>0.35</x:v>
      </x:c>
      <x:c r="X119" s="20" t="n">
        <x:f>R119*W119</x:f>
        <x:v>5880</x:v>
      </x:c>
      <x:c r="Y119" s="18" t="n">
        <x:f>'01 Controls'!G34</x:f>
        <x:v>0.5</x:v>
      </x:c>
      <x:c r="Z119" s="20" t="n">
        <x:f>R119*Y119</x:f>
        <x:v>8400</x:v>
      </x:c>
      <x:c r="AA119" s="18" t="n">
        <x:f>'01 Controls'!H34</x:f>
        <x:v>0.05</x:v>
      </x:c>
      <x:c r="AB119" s="20" t="n">
        <x:f>R119*AA119</x:f>
        <x:v>840</x:v>
      </x:c>
      <x:c r="AC119" s="20" t="n">
        <x:f>IF(H119="CM-HCG",K119*'01 Controls'!$E$24,0)</x:f>
        <x:v>0</x:v>
      </x:c>
      <x:c r="AD119" s="20" t="n">
        <x:f>IF(H119="CM-HCG",K119*'01 Controls'!$E$25,0)</x:f>
        <x:v>0</x:v>
      </x:c>
      <x:c r="AE119" s="20" t="n">
        <x:f>IF(H119="CM-HCG",K119*'01 Controls'!$E$26,0)</x:f>
        <x:v>0</x:v>
      </x:c>
      <x:c r="AF119" s="20" t="n">
        <x:f>IF(H119="CM-HCG",K119*'01 Controls'!$E$27,0)</x:f>
        <x:v>0</x:v>
      </x:c>
    </x:row>
    <x:row r="120">
      <x:c r="C120" s="22" t="str">
        <x:v>C3-M-IWG</x:v>
      </x:c>
      <x:c r="D120" s="22" t="n">
        <x:v>115</x:v>
      </x:c>
      <x:c r="E120" s="22" t="str">
        <x:v>C3</x:v>
      </x:c>
      <x:c r="F120" s="22" t="str">
        <x:v>Cascadia earthquake</x:v>
      </x:c>
      <x:c r="G120" s="22" t="n">
        <x:v>3</x:v>
      </x:c>
      <x:c r="H120" s="22" t="str">
        <x:v>M-IWG</x:v>
      </x:c>
      <x:c r="I120" s="22" t="str">
        <x:v>Maritime Response</x:v>
      </x:c>
      <x:c r="J120" s="22" t="str">
        <x:v>Inland-waterway group</x:v>
      </x:c>
      <x:c r="K120" s="23" t="n">
        <x:v>2</x:v>
      </x:c>
      <x:c r="L120" s="23" t="n">
        <x:v>250</x:v>
      </x:c>
      <x:c r="M120" s="23" t="n">
        <x:v>0</x:v>
      </x:c>
      <x:c r="N120" s="20" t="n">
        <x:f>K120*L120</x:f>
        <x:v>500</x:v>
      </x:c>
      <x:c r="O120" s="19" t="n">
        <x:v>8000</x:v>
      </x:c>
      <x:c r="P120" s="17" t="n">
        <x:v>0.35</x:v>
      </x:c>
      <x:c r="Q120" s="20" t="n">
        <x:f>K120*O120*P120</x:f>
        <x:v>5600</x:v>
      </x:c>
      <x:c r="R120" s="20" t="n">
        <x:f>Q120*(1-'01 Controls'!$E$6)</x:f>
        <x:v>4200</x:v>
      </x:c>
      <x:c r="S120" s="19" t="n">
        <x:v>120</x:v>
      </x:c>
      <x:c r="T120" s="20" t="n">
        <x:f>K120*S120</x:f>
        <x:v>240</x:v>
      </x:c>
      <x:c r="U120" s="18" t="n">
        <x:f>'01 Controls'!E34</x:f>
        <x:v>0.1</x:v>
      </x:c>
      <x:c r="V120" s="20" t="n">
        <x:f>R120*U120</x:f>
        <x:v>420</x:v>
      </x:c>
      <x:c r="W120" s="18" t="n">
        <x:f>'01 Controls'!F34</x:f>
        <x:v>0.35</x:v>
      </x:c>
      <x:c r="X120" s="20" t="n">
        <x:f>R120*W120</x:f>
        <x:v>1470</x:v>
      </x:c>
      <x:c r="Y120" s="18" t="n">
        <x:f>'01 Controls'!G34</x:f>
        <x:v>0.5</x:v>
      </x:c>
      <x:c r="Z120" s="20" t="n">
        <x:f>R120*Y120</x:f>
        <x:v>2100</x:v>
      </x:c>
      <x:c r="AA120" s="18" t="n">
        <x:f>'01 Controls'!H34</x:f>
        <x:v>0.05</x:v>
      </x:c>
      <x:c r="AB120" s="20" t="n">
        <x:f>R120*AA120</x:f>
        <x:v>210</x:v>
      </x:c>
      <x:c r="AC120" s="20" t="n">
        <x:f>IF(H120="CM-HCG",K120*'01 Controls'!$E$24,0)</x:f>
        <x:v>0</x:v>
      </x:c>
      <x:c r="AD120" s="20" t="n">
        <x:f>IF(H120="CM-HCG",K120*'01 Controls'!$E$25,0)</x:f>
        <x:v>0</x:v>
      </x:c>
      <x:c r="AE120" s="20" t="n">
        <x:f>IF(H120="CM-HCG",K120*'01 Controls'!$E$26,0)</x:f>
        <x:v>0</x:v>
      </x:c>
      <x:c r="AF120" s="20" t="n">
        <x:f>IF(H120="CM-HCG",K120*'01 Controls'!$E$27,0)</x:f>
        <x:v>0</x:v>
      </x:c>
    </x:row>
    <x:row r="121">
      <x:c r="C121" s="22" t="str">
        <x:v>C3-M-OSG</x:v>
      </x:c>
      <x:c r="D121" s="22" t="n">
        <x:v>116</x:v>
      </x:c>
      <x:c r="E121" s="22" t="str">
        <x:v>C3</x:v>
      </x:c>
      <x:c r="F121" s="22" t="str">
        <x:v>Cascadia earthquake</x:v>
      </x:c>
      <x:c r="G121" s="22" t="n">
        <x:v>3</x:v>
      </x:c>
      <x:c r="H121" s="22" t="str">
        <x:v>M-OSG</x:v>
      </x:c>
      <x:c r="I121" s="22" t="str">
        <x:v>Maritime Response</x:v>
      </x:c>
      <x:c r="J121" s="22" t="str">
        <x:v>Offshore-support group</x:v>
      </x:c>
      <x:c r="K121" s="23" t="n">
        <x:v>4</x:v>
      </x:c>
      <x:c r="L121" s="23" t="n">
        <x:v>700</x:v>
      </x:c>
      <x:c r="M121" s="23" t="n">
        <x:v>0</x:v>
      </x:c>
      <x:c r="N121" s="20" t="n">
        <x:f>K121*L121</x:f>
        <x:v>2800</x:v>
      </x:c>
      <x:c r="O121" s="19" t="n">
        <x:v>8000</x:v>
      </x:c>
      <x:c r="P121" s="17" t="n">
        <x:v>0.35</x:v>
      </x:c>
      <x:c r="Q121" s="20" t="n">
        <x:f>K121*O121*P121</x:f>
        <x:v>11200</x:v>
      </x:c>
      <x:c r="R121" s="20" t="n">
        <x:f>Q121*(1-'01 Controls'!$E$6)</x:f>
        <x:v>8400</x:v>
      </x:c>
      <x:c r="S121" s="19" t="n">
        <x:v>120</x:v>
      </x:c>
      <x:c r="T121" s="20" t="n">
        <x:f>K121*S121</x:f>
        <x:v>480</x:v>
      </x:c>
      <x:c r="U121" s="18" t="n">
        <x:f>'01 Controls'!E34</x:f>
        <x:v>0.1</x:v>
      </x:c>
      <x:c r="V121" s="20" t="n">
        <x:f>R121*U121</x:f>
        <x:v>840</x:v>
      </x:c>
      <x:c r="W121" s="18" t="n">
        <x:f>'01 Controls'!F34</x:f>
        <x:v>0.35</x:v>
      </x:c>
      <x:c r="X121" s="20" t="n">
        <x:f>R121*W121</x:f>
        <x:v>2940</x:v>
      </x:c>
      <x:c r="Y121" s="18" t="n">
        <x:f>'01 Controls'!G34</x:f>
        <x:v>0.5</x:v>
      </x:c>
      <x:c r="Z121" s="20" t="n">
        <x:f>R121*Y121</x:f>
        <x:v>4200</x:v>
      </x:c>
      <x:c r="AA121" s="18" t="n">
        <x:f>'01 Controls'!H34</x:f>
        <x:v>0.05</x:v>
      </x:c>
      <x:c r="AB121" s="20" t="n">
        <x:f>R121*AA121</x:f>
        <x:v>420</x:v>
      </x:c>
      <x:c r="AC121" s="20" t="n">
        <x:f>IF(H121="CM-HCG",K121*'01 Controls'!$E$24,0)</x:f>
        <x:v>0</x:v>
      </x:c>
      <x:c r="AD121" s="20" t="n">
        <x:f>IF(H121="CM-HCG",K121*'01 Controls'!$E$25,0)</x:f>
        <x:v>0</x:v>
      </x:c>
      <x:c r="AE121" s="20" t="n">
        <x:f>IF(H121="CM-HCG",K121*'01 Controls'!$E$26,0)</x:f>
        <x:v>0</x:v>
      </x:c>
      <x:c r="AF121" s="20" t="n">
        <x:f>IF(H121="CM-HCG",K121*'01 Controls'!$E$27,0)</x:f>
        <x:v>0</x:v>
      </x:c>
    </x:row>
    <x:row r="122">
      <x:c r="C122" s="22" t="str">
        <x:v>C3-M-SSG</x:v>
      </x:c>
      <x:c r="D122" s="22" t="n">
        <x:v>117</x:v>
      </x:c>
      <x:c r="E122" s="22" t="str">
        <x:v>C3</x:v>
      </x:c>
      <x:c r="F122" s="22" t="str">
        <x:v>Cascadia earthquake</x:v>
      </x:c>
      <x:c r="G122" s="22" t="n">
        <x:v>3</x:v>
      </x:c>
      <x:c r="H122" s="22" t="str">
        <x:v>M-SSG</x:v>
      </x:c>
      <x:c r="I122" s="22" t="str">
        <x:v>Maritime Response</x:v>
      </x:c>
      <x:c r="J122" s="22" t="str">
        <x:v>Ocean sustainment group</x:v>
      </x:c>
      <x:c r="K122" s="23" t="n">
        <x:v>6</x:v>
      </x:c>
      <x:c r="L122" s="23" t="n">
        <x:v>650</x:v>
      </x:c>
      <x:c r="M122" s="23" t="n">
        <x:v>0</x:v>
      </x:c>
      <x:c r="N122" s="20" t="n">
        <x:f>K122*L122</x:f>
        <x:v>3900</x:v>
      </x:c>
      <x:c r="O122" s="19" t="n">
        <x:v>8000</x:v>
      </x:c>
      <x:c r="P122" s="17" t="n">
        <x:v>0.35</x:v>
      </x:c>
      <x:c r="Q122" s="20" t="n">
        <x:f>K122*O122*P122</x:f>
        <x:v>16800</x:v>
      </x:c>
      <x:c r="R122" s="20" t="n">
        <x:f>Q122*(1-'01 Controls'!$E$6)</x:f>
        <x:v>12600</x:v>
      </x:c>
      <x:c r="S122" s="19" t="n">
        <x:v>120</x:v>
      </x:c>
      <x:c r="T122" s="20" t="n">
        <x:f>K122*S122</x:f>
        <x:v>720</x:v>
      </x:c>
      <x:c r="U122" s="18" t="n">
        <x:f>'01 Controls'!E34</x:f>
        <x:v>0.1</x:v>
      </x:c>
      <x:c r="V122" s="20" t="n">
        <x:f>R122*U122</x:f>
        <x:v>1260</x:v>
      </x:c>
      <x:c r="W122" s="18" t="n">
        <x:f>'01 Controls'!F34</x:f>
        <x:v>0.35</x:v>
      </x:c>
      <x:c r="X122" s="20" t="n">
        <x:f>R122*W122</x:f>
        <x:v>4410</x:v>
      </x:c>
      <x:c r="Y122" s="18" t="n">
        <x:f>'01 Controls'!G34</x:f>
        <x:v>0.5</x:v>
      </x:c>
      <x:c r="Z122" s="20" t="n">
        <x:f>R122*Y122</x:f>
        <x:v>6300</x:v>
      </x:c>
      <x:c r="AA122" s="18" t="n">
        <x:f>'01 Controls'!H34</x:f>
        <x:v>0.05</x:v>
      </x:c>
      <x:c r="AB122" s="20" t="n">
        <x:f>R122*AA122</x:f>
        <x:v>630</x:v>
      </x:c>
      <x:c r="AC122" s="20" t="n">
        <x:f>IF(H122="CM-HCG",K122*'01 Controls'!$E$24,0)</x:f>
        <x:v>0</x:v>
      </x:c>
      <x:c r="AD122" s="20" t="n">
        <x:f>IF(H122="CM-HCG",K122*'01 Controls'!$E$25,0)</x:f>
        <x:v>0</x:v>
      </x:c>
      <x:c r="AE122" s="20" t="n">
        <x:f>IF(H122="CM-HCG",K122*'01 Controls'!$E$26,0)</x:f>
        <x:v>0</x:v>
      </x:c>
      <x:c r="AF122" s="20" t="n">
        <x:f>IF(H122="CM-HCG",K122*'01 Controls'!$E$27,0)</x:f>
        <x:v>0</x:v>
      </x:c>
    </x:row>
    <x:row r="123">
      <x:c r="C123" s="22" t="str">
        <x:v>C3-I-CUG</x:v>
      </x:c>
      <x:c r="D123" s="22" t="n">
        <x:v>118</x:v>
      </x:c>
      <x:c r="E123" s="22" t="str">
        <x:v>C3</x:v>
      </x:c>
      <x:c r="F123" s="22" t="str">
        <x:v>Cascadia earthquake</x:v>
      </x:c>
      <x:c r="G123" s="22" t="n">
        <x:v>3</x:v>
      </x:c>
      <x:c r="H123" s="22" t="str">
        <x:v>I-CUG</x:v>
      </x:c>
      <x:c r="I123" s="22" t="str">
        <x:v>Infrastructure Restoration</x:v>
      </x:c>
      <x:c r="J123" s="22" t="str">
        <x:v>Communications utility group</x:v>
      </x:c>
      <x:c r="K123" s="23" t="n">
        <x:v>8</x:v>
      </x:c>
      <x:c r="L123" s="23" t="n">
        <x:v>250</x:v>
      </x:c>
      <x:c r="M123" s="23" t="n">
        <x:v>0</x:v>
      </x:c>
      <x:c r="N123" s="20" t="n">
        <x:f>K123*L123</x:f>
        <x:v>2000</x:v>
      </x:c>
      <x:c r="O123" s="19" t="n">
        <x:v>12000</x:v>
      </x:c>
      <x:c r="P123" s="17" t="n">
        <x:v>0.4</x:v>
      </x:c>
      <x:c r="Q123" s="20" t="n">
        <x:f>K123*O123*P123</x:f>
        <x:v>38400</x:v>
      </x:c>
      <x:c r="R123" s="20" t="n">
        <x:f>Q123*(1-'01 Controls'!$E$6)</x:f>
        <x:v>28800</x:v>
      </x:c>
      <x:c r="S123" s="19" t="n">
        <x:v>110</x:v>
      </x:c>
      <x:c r="T123" s="20" t="n">
        <x:f>K123*S123</x:f>
        <x:v>880</x:v>
      </x:c>
      <x:c r="U123" s="18" t="n">
        <x:f>'01 Controls'!E34</x:f>
        <x:v>0.1</x:v>
      </x:c>
      <x:c r="V123" s="20" t="n">
        <x:f>R123*U123</x:f>
        <x:v>2880</x:v>
      </x:c>
      <x:c r="W123" s="18" t="n">
        <x:f>'01 Controls'!F34</x:f>
        <x:v>0.35</x:v>
      </x:c>
      <x:c r="X123" s="20" t="n">
        <x:f>R123*W123</x:f>
        <x:v>10080</x:v>
      </x:c>
      <x:c r="Y123" s="18" t="n">
        <x:f>'01 Controls'!G34</x:f>
        <x:v>0.5</x:v>
      </x:c>
      <x:c r="Z123" s="20" t="n">
        <x:f>R123*Y123</x:f>
        <x:v>14400</x:v>
      </x:c>
      <x:c r="AA123" s="18" t="n">
        <x:f>'01 Controls'!H34</x:f>
        <x:v>0.05</x:v>
      </x:c>
      <x:c r="AB123" s="20" t="n">
        <x:f>R123*AA123</x:f>
        <x:v>1440</x:v>
      </x:c>
      <x:c r="AC123" s="20" t="n">
        <x:f>IF(H123="CM-HCG",K123*'01 Controls'!$E$24,0)</x:f>
        <x:v>0</x:v>
      </x:c>
      <x:c r="AD123" s="20" t="n">
        <x:f>IF(H123="CM-HCG",K123*'01 Controls'!$E$25,0)</x:f>
        <x:v>0</x:v>
      </x:c>
      <x:c r="AE123" s="20" t="n">
        <x:f>IF(H123="CM-HCG",K123*'01 Controls'!$E$26,0)</x:f>
        <x:v>0</x:v>
      </x:c>
      <x:c r="AF123" s="20" t="n">
        <x:f>IF(H123="CM-HCG",K123*'01 Controls'!$E$27,0)</x:f>
        <x:v>0</x:v>
      </x:c>
    </x:row>
    <x:row r="124">
      <x:c r="C124" s="22" t="str">
        <x:v>C3-I-TSG</x:v>
      </x:c>
      <x:c r="D124" s="22" t="n">
        <x:v>119</x:v>
      </x:c>
      <x:c r="E124" s="22" t="str">
        <x:v>C3</x:v>
      </x:c>
      <x:c r="F124" s="22" t="str">
        <x:v>Cascadia earthquake</x:v>
      </x:c>
      <x:c r="G124" s="22" t="n">
        <x:v>3</x:v>
      </x:c>
      <x:c r="H124" s="22" t="str">
        <x:v>I-TSG</x:v>
      </x:c>
      <x:c r="I124" s="22" t="str">
        <x:v>Infrastructure Restoration</x:v>
      </x:c>
      <x:c r="J124" s="22" t="str">
        <x:v>Thermal safety group</x:v>
      </x:c>
      <x:c r="K124" s="23" t="n">
        <x:v>8</x:v>
      </x:c>
      <x:c r="L124" s="23" t="n">
        <x:v>250</x:v>
      </x:c>
      <x:c r="M124" s="23" t="n">
        <x:v>0</x:v>
      </x:c>
      <x:c r="N124" s="20" t="n">
        <x:f>K124*L124</x:f>
        <x:v>2000</x:v>
      </x:c>
      <x:c r="O124" s="19" t="n">
        <x:v>12000</x:v>
      </x:c>
      <x:c r="P124" s="17" t="n">
        <x:v>0.4</x:v>
      </x:c>
      <x:c r="Q124" s="20" t="n">
        <x:f>K124*O124*P124</x:f>
        <x:v>38400</x:v>
      </x:c>
      <x:c r="R124" s="20" t="n">
        <x:f>Q124*(1-'01 Controls'!$E$6)</x:f>
        <x:v>28800</x:v>
      </x:c>
      <x:c r="S124" s="19" t="n">
        <x:v>110</x:v>
      </x:c>
      <x:c r="T124" s="20" t="n">
        <x:f>K124*S124</x:f>
        <x:v>880</x:v>
      </x:c>
      <x:c r="U124" s="18" t="n">
        <x:f>'01 Controls'!E34</x:f>
        <x:v>0.1</x:v>
      </x:c>
      <x:c r="V124" s="20" t="n">
        <x:f>R124*U124</x:f>
        <x:v>2880</x:v>
      </x:c>
      <x:c r="W124" s="18" t="n">
        <x:f>'01 Controls'!F34</x:f>
        <x:v>0.35</x:v>
      </x:c>
      <x:c r="X124" s="20" t="n">
        <x:f>R124*W124</x:f>
        <x:v>10080</x:v>
      </x:c>
      <x:c r="Y124" s="18" t="n">
        <x:f>'01 Controls'!G34</x:f>
        <x:v>0.5</x:v>
      </x:c>
      <x:c r="Z124" s="20" t="n">
        <x:f>R124*Y124</x:f>
        <x:v>14400</x:v>
      </x:c>
      <x:c r="AA124" s="18" t="n">
        <x:f>'01 Controls'!H34</x:f>
        <x:v>0.05</x:v>
      </x:c>
      <x:c r="AB124" s="20" t="n">
        <x:f>R124*AA124</x:f>
        <x:v>1440</x:v>
      </x:c>
      <x:c r="AC124" s="20" t="n">
        <x:f>IF(H124="CM-HCG",K124*'01 Controls'!$E$24,0)</x:f>
        <x:v>0</x:v>
      </x:c>
      <x:c r="AD124" s="20" t="n">
        <x:f>IF(H124="CM-HCG",K124*'01 Controls'!$E$25,0)</x:f>
        <x:v>0</x:v>
      </x:c>
      <x:c r="AE124" s="20" t="n">
        <x:f>IF(H124="CM-HCG",K124*'01 Controls'!$E$26,0)</x:f>
        <x:v>0</x:v>
      </x:c>
      <x:c r="AF124" s="20" t="n">
        <x:f>IF(H124="CM-HCG",K124*'01 Controls'!$E$27,0)</x:f>
        <x:v>0</x:v>
      </x:c>
    </x:row>
    <x:row r="125">
      <x:c r="C125" s="22" t="str">
        <x:v>C3-I-URG</x:v>
      </x:c>
      <x:c r="D125" s="22" t="n">
        <x:v>120</x:v>
      </x:c>
      <x:c r="E125" s="22" t="str">
        <x:v>C3</x:v>
      </x:c>
      <x:c r="F125" s="22" t="str">
        <x:v>Cascadia earthquake</x:v>
      </x:c>
      <x:c r="G125" s="22" t="n">
        <x:v>3</x:v>
      </x:c>
      <x:c r="H125" s="22" t="str">
        <x:v>I-URG</x:v>
      </x:c>
      <x:c r="I125" s="22" t="str">
        <x:v>Infrastructure Restoration</x:v>
      </x:c>
      <x:c r="J125" s="22" t="str">
        <x:v>Utility reconstruction group</x:v>
      </x:c>
      <x:c r="K125" s="23" t="n">
        <x:v>12</x:v>
      </x:c>
      <x:c r="L125" s="23" t="n">
        <x:v>450</x:v>
      </x:c>
      <x:c r="M125" s="23" t="n">
        <x:v>0</x:v>
      </x:c>
      <x:c r="N125" s="20" t="n">
        <x:f>K125*L125</x:f>
        <x:v>5400</x:v>
      </x:c>
      <x:c r="O125" s="19" t="n">
        <x:v>12000</x:v>
      </x:c>
      <x:c r="P125" s="17" t="n">
        <x:v>0.4</x:v>
      </x:c>
      <x:c r="Q125" s="20" t="n">
        <x:f>K125*O125*P125</x:f>
        <x:v>57600</x:v>
      </x:c>
      <x:c r="R125" s="20" t="n">
        <x:f>Q125*(1-'01 Controls'!$E$6)</x:f>
        <x:v>43200</x:v>
      </x:c>
      <x:c r="S125" s="19" t="n">
        <x:v>110</x:v>
      </x:c>
      <x:c r="T125" s="20" t="n">
        <x:f>K125*S125</x:f>
        <x:v>1320</x:v>
      </x:c>
      <x:c r="U125" s="18" t="n">
        <x:f>'01 Controls'!E34</x:f>
        <x:v>0.1</x:v>
      </x:c>
      <x:c r="V125" s="20" t="n">
        <x:f>R125*U125</x:f>
        <x:v>4320</x:v>
      </x:c>
      <x:c r="W125" s="18" t="n">
        <x:f>'01 Controls'!F34</x:f>
        <x:v>0.35</x:v>
      </x:c>
      <x:c r="X125" s="20" t="n">
        <x:f>R125*W125</x:f>
        <x:v>15119.999999999998</x:v>
      </x:c>
      <x:c r="Y125" s="18" t="n">
        <x:f>'01 Controls'!G34</x:f>
        <x:v>0.5</x:v>
      </x:c>
      <x:c r="Z125" s="20" t="n">
        <x:f>R125*Y125</x:f>
        <x:v>21600</x:v>
      </x:c>
      <x:c r="AA125" s="18" t="n">
        <x:f>'01 Controls'!H34</x:f>
        <x:v>0.05</x:v>
      </x:c>
      <x:c r="AB125" s="20" t="n">
        <x:f>R125*AA125</x:f>
        <x:v>2160</x:v>
      </x:c>
      <x:c r="AC125" s="20" t="n">
        <x:f>IF(H125="CM-HCG",K125*'01 Controls'!$E$24,0)</x:f>
        <x:v>0</x:v>
      </x:c>
      <x:c r="AD125" s="20" t="n">
        <x:f>IF(H125="CM-HCG",K125*'01 Controls'!$E$25,0)</x:f>
        <x:v>0</x:v>
      </x:c>
      <x:c r="AE125" s="20" t="n">
        <x:f>IF(H125="CM-HCG",K125*'01 Controls'!$E$26,0)</x:f>
        <x:v>0</x:v>
      </x:c>
      <x:c r="AF125" s="20" t="n">
        <x:f>IF(H125="CM-HCG",K125*'01 Controls'!$E$27,0)</x:f>
        <x:v>0</x:v>
      </x:c>
    </x:row>
    <x:row r="126">
      <x:c r="C126" s="22" t="str">
        <x:v>C3-H-CHC</x:v>
      </x:c>
      <x:c r="D126" s="22" t="n">
        <x:v>121</x:v>
      </x:c>
      <x:c r="E126" s="22" t="str">
        <x:v>C3</x:v>
      </x:c>
      <x:c r="F126" s="22" t="str">
        <x:v>Cascadia earthquake</x:v>
      </x:c>
      <x:c r="G126" s="22" t="n">
        <x:v>3</x:v>
      </x:c>
      <x:c r="H126" s="22" t="str">
        <x:v>H-CHC</x:v>
      </x:c>
      <x:c r="I126" s="22" t="str">
        <x:v>Health Protection</x:v>
      </x:c>
      <x:c r="J126" s="22" t="str">
        <x:v>Community health continuity group</x:v>
      </x:c>
      <x:c r="K126" s="23" t="n">
        <x:v>10</x:v>
      </x:c>
      <x:c r="L126" s="23" t="n">
        <x:v>500</x:v>
      </x:c>
      <x:c r="M126" s="23" t="n">
        <x:v>0</x:v>
      </x:c>
      <x:c r="N126" s="20" t="n">
        <x:f>K126*L126</x:f>
        <x:v>5000</x:v>
      </x:c>
      <x:c r="O126" s="19" t="n">
        <x:v>5000</x:v>
      </x:c>
      <x:c r="P126" s="17" t="n">
        <x:v>0.7</x:v>
      </x:c>
      <x:c r="Q126" s="20" t="n">
        <x:f>K126*O126*P126</x:f>
        <x:v>35000</x:v>
      </x:c>
      <x:c r="R126" s="20" t="n">
        <x:f>Q126*(1-'01 Controls'!$E$6)</x:f>
        <x:v>26250</x:v>
      </x:c>
      <x:c r="S126" s="19" t="n">
        <x:v>55</x:v>
      </x:c>
      <x:c r="T126" s="20" t="n">
        <x:f>K126*S126</x:f>
        <x:v>550</x:v>
      </x:c>
      <x:c r="U126" s="18" t="n">
        <x:f>'01 Controls'!E34</x:f>
        <x:v>0.1</x:v>
      </x:c>
      <x:c r="V126" s="20" t="n">
        <x:f>R126*U126</x:f>
        <x:v>2625</x:v>
      </x:c>
      <x:c r="W126" s="18" t="n">
        <x:f>'01 Controls'!F34</x:f>
        <x:v>0.35</x:v>
      </x:c>
      <x:c r="X126" s="20" t="n">
        <x:f>R126*W126</x:f>
        <x:v>9187.5</x:v>
      </x:c>
      <x:c r="Y126" s="18" t="n">
        <x:f>'01 Controls'!G34</x:f>
        <x:v>0.5</x:v>
      </x:c>
      <x:c r="Z126" s="20" t="n">
        <x:f>R126*Y126</x:f>
        <x:v>13125</x:v>
      </x:c>
      <x:c r="AA126" s="18" t="n">
        <x:f>'01 Controls'!H34</x:f>
        <x:v>0.05</x:v>
      </x:c>
      <x:c r="AB126" s="20" t="n">
        <x:f>R126*AA126</x:f>
        <x:v>1312.5</x:v>
      </x:c>
      <x:c r="AC126" s="20" t="n">
        <x:f>IF(H126="CM-HCG",K126*'01 Controls'!$E$24,0)</x:f>
        <x:v>0</x:v>
      </x:c>
      <x:c r="AD126" s="20" t="n">
        <x:f>IF(H126="CM-HCG",K126*'01 Controls'!$E$25,0)</x:f>
        <x:v>0</x:v>
      </x:c>
      <x:c r="AE126" s="20" t="n">
        <x:f>IF(H126="CM-HCG",K126*'01 Controls'!$E$26,0)</x:f>
        <x:v>0</x:v>
      </x:c>
      <x:c r="AF126" s="20" t="n">
        <x:f>IF(H126="CM-HCG",K126*'01 Controls'!$E$27,0)</x:f>
        <x:v>0</x:v>
      </x:c>
    </x:row>
    <x:row r="127">
      <x:c r="C127" s="22" t="str">
        <x:v>C3-H-MAC</x:v>
      </x:c>
      <x:c r="D127" s="22" t="n">
        <x:v>122</x:v>
      </x:c>
      <x:c r="E127" s="22" t="str">
        <x:v>C3</x:v>
      </x:c>
      <x:c r="F127" s="22" t="str">
        <x:v>Cascadia earthquake</x:v>
      </x:c>
      <x:c r="G127" s="22" t="n">
        <x:v>3</x:v>
      </x:c>
      <x:c r="H127" s="22" t="str">
        <x:v>H-MAC</x:v>
      </x:c>
      <x:c r="I127" s="22" t="str">
        <x:v>Health Protection</x:v>
      </x:c>
      <x:c r="J127" s="22" t="str">
        <x:v>Mobile acute-care group</x:v>
      </x:c>
      <x:c r="K127" s="23" t="n">
        <x:v>8</x:v>
      </x:c>
      <x:c r="L127" s="23" t="n">
        <x:v>600</x:v>
      </x:c>
      <x:c r="M127" s="23" t="n">
        <x:v>0</x:v>
      </x:c>
      <x:c r="N127" s="20" t="n">
        <x:f>K127*L127</x:f>
        <x:v>4800</x:v>
      </x:c>
      <x:c r="O127" s="19" t="n">
        <x:v>5000</x:v>
      </x:c>
      <x:c r="P127" s="17" t="n">
        <x:v>0.7</x:v>
      </x:c>
      <x:c r="Q127" s="20" t="n">
        <x:f>K127*O127*P127</x:f>
        <x:v>28000</x:v>
      </x:c>
      <x:c r="R127" s="20" t="n">
        <x:f>Q127*(1-'01 Controls'!$E$6)</x:f>
        <x:v>21000</x:v>
      </x:c>
      <x:c r="S127" s="19" t="n">
        <x:v>55</x:v>
      </x:c>
      <x:c r="T127" s="20" t="n">
        <x:f>K127*S127</x:f>
        <x:v>440</x:v>
      </x:c>
      <x:c r="U127" s="18" t="n">
        <x:f>'01 Controls'!E34</x:f>
        <x:v>0.1</x:v>
      </x:c>
      <x:c r="V127" s="20" t="n">
        <x:f>R127*U127</x:f>
        <x:v>2100</x:v>
      </x:c>
      <x:c r="W127" s="18" t="n">
        <x:f>'01 Controls'!F34</x:f>
        <x:v>0.35</x:v>
      </x:c>
      <x:c r="X127" s="20" t="n">
        <x:f>R127*W127</x:f>
        <x:v>7349.999999999999</x:v>
      </x:c>
      <x:c r="Y127" s="18" t="n">
        <x:f>'01 Controls'!G34</x:f>
        <x:v>0.5</x:v>
      </x:c>
      <x:c r="Z127" s="20" t="n">
        <x:f>R127*Y127</x:f>
        <x:v>10500</x:v>
      </x:c>
      <x:c r="AA127" s="18" t="n">
        <x:f>'01 Controls'!H34</x:f>
        <x:v>0.05</x:v>
      </x:c>
      <x:c r="AB127" s="20" t="n">
        <x:f>R127*AA127</x:f>
        <x:v>1050</x:v>
      </x:c>
      <x:c r="AC127" s="20" t="n">
        <x:f>IF(H127="CM-HCG",K127*'01 Controls'!$E$24,0)</x:f>
        <x:v>0</x:v>
      </x:c>
      <x:c r="AD127" s="20" t="n">
        <x:f>IF(H127="CM-HCG",K127*'01 Controls'!$E$25,0)</x:f>
        <x:v>0</x:v>
      </x:c>
      <x:c r="AE127" s="20" t="n">
        <x:f>IF(H127="CM-HCG",K127*'01 Controls'!$E$26,0)</x:f>
        <x:v>0</x:v>
      </x:c>
      <x:c r="AF127" s="20" t="n">
        <x:f>IF(H127="CM-HCG",K127*'01 Controls'!$E$27,0)</x:f>
        <x:v>0</x:v>
      </x:c>
    </x:row>
    <x:row r="128">
      <x:c r="C128" s="22" t="str">
        <x:v>C3-H-PHC</x:v>
      </x:c>
      <x:c r="D128" s="22" t="n">
        <x:v>123</x:v>
      </x:c>
      <x:c r="E128" s="22" t="str">
        <x:v>C3</x:v>
      </x:c>
      <x:c r="F128" s="22" t="str">
        <x:v>Cascadia earthquake</x:v>
      </x:c>
      <x:c r="G128" s="22" t="n">
        <x:v>3</x:v>
      </x:c>
      <x:c r="H128" s="22" t="str">
        <x:v>H-PHC</x:v>
      </x:c>
      <x:c r="I128" s="22" t="str">
        <x:v>Health Protection</x:v>
      </x:c>
      <x:c r="J128" s="22" t="str">
        <x:v>Public-health control group</x:v>
      </x:c>
      <x:c r="K128" s="23" t="n">
        <x:v>5</x:v>
      </x:c>
      <x:c r="L128" s="23" t="n">
        <x:v>250</x:v>
      </x:c>
      <x:c r="M128" s="23" t="n">
        <x:v>0</x:v>
      </x:c>
      <x:c r="N128" s="20" t="n">
        <x:f>K128*L128</x:f>
        <x:v>1250</x:v>
      </x:c>
      <x:c r="O128" s="19" t="n">
        <x:v>5000</x:v>
      </x:c>
      <x:c r="P128" s="17" t="n">
        <x:v>0.7</x:v>
      </x:c>
      <x:c r="Q128" s="20" t="n">
        <x:f>K128*O128*P128</x:f>
        <x:v>17500</x:v>
      </x:c>
      <x:c r="R128" s="20" t="n">
        <x:f>Q128*(1-'01 Controls'!$E$6)</x:f>
        <x:v>13125</x:v>
      </x:c>
      <x:c r="S128" s="19" t="n">
        <x:v>55</x:v>
      </x:c>
      <x:c r="T128" s="20" t="n">
        <x:f>K128*S128</x:f>
        <x:v>275</x:v>
      </x:c>
      <x:c r="U128" s="18" t="n">
        <x:f>'01 Controls'!E34</x:f>
        <x:v>0.1</x:v>
      </x:c>
      <x:c r="V128" s="20" t="n">
        <x:f>R128*U128</x:f>
        <x:v>1312.5</x:v>
      </x:c>
      <x:c r="W128" s="18" t="n">
        <x:f>'01 Controls'!F34</x:f>
        <x:v>0.35</x:v>
      </x:c>
      <x:c r="X128" s="20" t="n">
        <x:f>R128*W128</x:f>
        <x:v>4593.75</x:v>
      </x:c>
      <x:c r="Y128" s="18" t="n">
        <x:f>'01 Controls'!G34</x:f>
        <x:v>0.5</x:v>
      </x:c>
      <x:c r="Z128" s="20" t="n">
        <x:f>R128*Y128</x:f>
        <x:v>6562.5</x:v>
      </x:c>
      <x:c r="AA128" s="18" t="n">
        <x:f>'01 Controls'!H34</x:f>
        <x:v>0.05</x:v>
      </x:c>
      <x:c r="AB128" s="20" t="n">
        <x:f>R128*AA128</x:f>
        <x:v>656.25</x:v>
      </x:c>
      <x:c r="AC128" s="20" t="n">
        <x:f>IF(H128="CM-HCG",K128*'01 Controls'!$E$24,0)</x:f>
        <x:v>0</x:v>
      </x:c>
      <x:c r="AD128" s="20" t="n">
        <x:f>IF(H128="CM-HCG",K128*'01 Controls'!$E$25,0)</x:f>
        <x:v>0</x:v>
      </x:c>
      <x:c r="AE128" s="20" t="n">
        <x:f>IF(H128="CM-HCG",K128*'01 Controls'!$E$26,0)</x:f>
        <x:v>0</x:v>
      </x:c>
      <x:c r="AF128" s="20" t="n">
        <x:f>IF(H128="CM-HCG",K128*'01 Controls'!$E$27,0)</x:f>
        <x:v>0</x:v>
      </x:c>
    </x:row>
    <x:row r="129">
      <x:c r="C129" s="22" t="str">
        <x:v>C3-H-HWR</x:v>
      </x:c>
      <x:c r="D129" s="22" t="n">
        <x:v>124</x:v>
      </x:c>
      <x:c r="E129" s="22" t="str">
        <x:v>C3</x:v>
      </x:c>
      <x:c r="F129" s="22" t="str">
        <x:v>Cascadia earthquake</x:v>
      </x:c>
      <x:c r="G129" s="22" t="n">
        <x:v>3</x:v>
      </x:c>
      <x:c r="H129" s="22" t="str">
        <x:v>H-HWR</x:v>
      </x:c>
      <x:c r="I129" s="22" t="str">
        <x:v>Health Protection</x:v>
      </x:c>
      <x:c r="J129" s="22" t="str">
        <x:v>Health workforce replacement group</x:v>
      </x:c>
      <x:c r="K129" s="23" t="n">
        <x:v>10</x:v>
      </x:c>
      <x:c r="L129" s="23" t="n">
        <x:v>550</x:v>
      </x:c>
      <x:c r="M129" s="23" t="n">
        <x:v>0</x:v>
      </x:c>
      <x:c r="N129" s="20" t="n">
        <x:f>K129*L129</x:f>
        <x:v>5500</x:v>
      </x:c>
      <x:c r="O129" s="19" t="n">
        <x:v>5000</x:v>
      </x:c>
      <x:c r="P129" s="17" t="n">
        <x:v>0.7</x:v>
      </x:c>
      <x:c r="Q129" s="20" t="n">
        <x:f>K129*O129*P129</x:f>
        <x:v>35000</x:v>
      </x:c>
      <x:c r="R129" s="20" t="n">
        <x:f>Q129*(1-'01 Controls'!$E$6)</x:f>
        <x:v>26250</x:v>
      </x:c>
      <x:c r="S129" s="19" t="n">
        <x:v>55</x:v>
      </x:c>
      <x:c r="T129" s="20" t="n">
        <x:f>K129*S129</x:f>
        <x:v>550</x:v>
      </x:c>
      <x:c r="U129" s="18" t="n">
        <x:f>'01 Controls'!E34</x:f>
        <x:v>0.1</x:v>
      </x:c>
      <x:c r="V129" s="20" t="n">
        <x:f>R129*U129</x:f>
        <x:v>2625</x:v>
      </x:c>
      <x:c r="W129" s="18" t="n">
        <x:f>'01 Controls'!F34</x:f>
        <x:v>0.35</x:v>
      </x:c>
      <x:c r="X129" s="20" t="n">
        <x:f>R129*W129</x:f>
        <x:v>9187.5</x:v>
      </x:c>
      <x:c r="Y129" s="18" t="n">
        <x:f>'01 Controls'!G34</x:f>
        <x:v>0.5</x:v>
      </x:c>
      <x:c r="Z129" s="20" t="n">
        <x:f>R129*Y129</x:f>
        <x:v>13125</x:v>
      </x:c>
      <x:c r="AA129" s="18" t="n">
        <x:f>'01 Controls'!H34</x:f>
        <x:v>0.05</x:v>
      </x:c>
      <x:c r="AB129" s="20" t="n">
        <x:f>R129*AA129</x:f>
        <x:v>1312.5</x:v>
      </x:c>
      <x:c r="AC129" s="20" t="n">
        <x:f>IF(H129="CM-HCG",K129*'01 Controls'!$E$24,0)</x:f>
        <x:v>0</x:v>
      </x:c>
      <x:c r="AD129" s="20" t="n">
        <x:f>IF(H129="CM-HCG",K129*'01 Controls'!$E$25,0)</x:f>
        <x:v>0</x:v>
      </x:c>
      <x:c r="AE129" s="20" t="n">
        <x:f>IF(H129="CM-HCG",K129*'01 Controls'!$E$26,0)</x:f>
        <x:v>0</x:v>
      </x:c>
      <x:c r="AF129" s="20" t="n">
        <x:f>IF(H129="CM-HCG",K129*'01 Controls'!$E$27,0)</x:f>
        <x:v>0</x:v>
      </x:c>
    </x:row>
    <x:row r="130">
      <x:c r="C130" s="22" t="str">
        <x:v>C3-C-PSG</x:v>
      </x:c>
      <x:c r="D130" s="22" t="n">
        <x:v>125</x:v>
      </x:c>
      <x:c r="E130" s="22" t="str">
        <x:v>C3</x:v>
      </x:c>
      <x:c r="F130" s="22" t="str">
        <x:v>Cascadia earthquake</x:v>
      </x:c>
      <x:c r="G130" s="22" t="n">
        <x:v>3</x:v>
      </x:c>
      <x:c r="H130" s="22" t="str">
        <x:v>C-PSG</x:v>
      </x:c>
      <x:c r="I130" s="22" t="str">
        <x:v>Community Stabilization</x:v>
      </x:c>
      <x:c r="J130" s="22" t="str">
        <x:v>Population support group</x:v>
      </x:c>
      <x:c r="K130" s="23" t="n">
        <x:v>16</x:v>
      </x:c>
      <x:c r="L130" s="23" t="n">
        <x:v>450</x:v>
      </x:c>
      <x:c r="M130" s="23" t="n">
        <x:v>0</x:v>
      </x:c>
      <x:c r="N130" s="20" t="n">
        <x:f>K130*L130</x:f>
        <x:v>7200</x:v>
      </x:c>
      <x:c r="O130" s="19" t="n">
        <x:v>4500</x:v>
      </x:c>
      <x:c r="P130" s="17" t="n">
        <x:v>0.65</x:v>
      </x:c>
      <x:c r="Q130" s="20" t="n">
        <x:f>K130*O130*P130</x:f>
        <x:v>46800</x:v>
      </x:c>
      <x:c r="R130" s="20" t="n">
        <x:f>Q130*(1-'01 Controls'!$E$6)</x:f>
        <x:v>35100</x:v>
      </x:c>
      <x:c r="S130" s="19" t="n">
        <x:v>75</x:v>
      </x:c>
      <x:c r="T130" s="20" t="n">
        <x:f>K130*S130</x:f>
        <x:v>1200</x:v>
      </x:c>
      <x:c r="U130" s="18" t="n">
        <x:f>'01 Controls'!E34</x:f>
        <x:v>0.1</x:v>
      </x:c>
      <x:c r="V130" s="20" t="n">
        <x:f>R130*U130</x:f>
        <x:v>3510</x:v>
      </x:c>
      <x:c r="W130" s="18" t="n">
        <x:f>'01 Controls'!F34</x:f>
        <x:v>0.35</x:v>
      </x:c>
      <x:c r="X130" s="20" t="n">
        <x:f>R130*W130</x:f>
        <x:v>12285</x:v>
      </x:c>
      <x:c r="Y130" s="18" t="n">
        <x:f>'01 Controls'!G34</x:f>
        <x:v>0.5</x:v>
      </x:c>
      <x:c r="Z130" s="20" t="n">
        <x:f>R130*Y130</x:f>
        <x:v>17550</x:v>
      </x:c>
      <x:c r="AA130" s="18" t="n">
        <x:f>'01 Controls'!H34</x:f>
        <x:v>0.05</x:v>
      </x:c>
      <x:c r="AB130" s="20" t="n">
        <x:f>R130*AA130</x:f>
        <x:v>1755</x:v>
      </x:c>
      <x:c r="AC130" s="20" t="n">
        <x:f>IF(H130="CM-HCG",K130*'01 Controls'!$E$24,0)</x:f>
        <x:v>0</x:v>
      </x:c>
      <x:c r="AD130" s="20" t="n">
        <x:f>IF(H130="CM-HCG",K130*'01 Controls'!$E$25,0)</x:f>
        <x:v>0</x:v>
      </x:c>
      <x:c r="AE130" s="20" t="n">
        <x:f>IF(H130="CM-HCG",K130*'01 Controls'!$E$26,0)</x:f>
        <x:v>0</x:v>
      </x:c>
      <x:c r="AF130" s="20" t="n">
        <x:f>IF(H130="CM-HCG",K130*'01 Controls'!$E$27,0)</x:f>
        <x:v>0</x:v>
      </x:c>
    </x:row>
    <x:row r="131">
      <x:c r="C131" s="22" t="str">
        <x:v>C3-C-EGG</x:v>
      </x:c>
      <x:c r="D131" s="22" t="n">
        <x:v>126</x:v>
      </x:c>
      <x:c r="E131" s="22" t="str">
        <x:v>C3</x:v>
      </x:c>
      <x:c r="F131" s="22" t="str">
        <x:v>Cascadia earthquake</x:v>
      </x:c>
      <x:c r="G131" s="22" t="n">
        <x:v>3</x:v>
      </x:c>
      <x:c r="H131" s="22" t="str">
        <x:v>C-EGG</x:v>
      </x:c>
      <x:c r="I131" s="22" t="str">
        <x:v>Community Stabilization</x:v>
      </x:c>
      <x:c r="J131" s="22" t="str">
        <x:v>Essential-goods group</x:v>
      </x:c>
      <x:c r="K131" s="23" t="n">
        <x:v>16</x:v>
      </x:c>
      <x:c r="L131" s="23" t="n">
        <x:v>350</x:v>
      </x:c>
      <x:c r="M131" s="23" t="n">
        <x:v>0</x:v>
      </x:c>
      <x:c r="N131" s="20" t="n">
        <x:f>K131*L131</x:f>
        <x:v>5600</x:v>
      </x:c>
      <x:c r="O131" s="19" t="n">
        <x:v>4500</x:v>
      </x:c>
      <x:c r="P131" s="17" t="n">
        <x:v>0.65</x:v>
      </x:c>
      <x:c r="Q131" s="20" t="n">
        <x:f>K131*O131*P131</x:f>
        <x:v>46800</x:v>
      </x:c>
      <x:c r="R131" s="20" t="n">
        <x:f>Q131*(1-'01 Controls'!$E$6)</x:f>
        <x:v>35100</x:v>
      </x:c>
      <x:c r="S131" s="19" t="n">
        <x:v>75</x:v>
      </x:c>
      <x:c r="T131" s="20" t="n">
        <x:f>K131*S131</x:f>
        <x:v>1200</x:v>
      </x:c>
      <x:c r="U131" s="18" t="n">
        <x:f>'01 Controls'!E34</x:f>
        <x:v>0.1</x:v>
      </x:c>
      <x:c r="V131" s="20" t="n">
        <x:f>R131*U131</x:f>
        <x:v>3510</x:v>
      </x:c>
      <x:c r="W131" s="18" t="n">
        <x:f>'01 Controls'!F34</x:f>
        <x:v>0.35</x:v>
      </x:c>
      <x:c r="X131" s="20" t="n">
        <x:f>R131*W131</x:f>
        <x:v>12285</x:v>
      </x:c>
      <x:c r="Y131" s="18" t="n">
        <x:f>'01 Controls'!G34</x:f>
        <x:v>0.5</x:v>
      </x:c>
      <x:c r="Z131" s="20" t="n">
        <x:f>R131*Y131</x:f>
        <x:v>17550</x:v>
      </x:c>
      <x:c r="AA131" s="18" t="n">
        <x:f>'01 Controls'!H34</x:f>
        <x:v>0.05</x:v>
      </x:c>
      <x:c r="AB131" s="20" t="n">
        <x:f>R131*AA131</x:f>
        <x:v>1755</x:v>
      </x:c>
      <x:c r="AC131" s="20" t="n">
        <x:f>IF(H131="CM-HCG",K131*'01 Controls'!$E$24,0)</x:f>
        <x:v>0</x:v>
      </x:c>
      <x:c r="AD131" s="20" t="n">
        <x:f>IF(H131="CM-HCG",K131*'01 Controls'!$E$25,0)</x:f>
        <x:v>0</x:v>
      </x:c>
      <x:c r="AE131" s="20" t="n">
        <x:f>IF(H131="CM-HCG",K131*'01 Controls'!$E$26,0)</x:f>
        <x:v>0</x:v>
      </x:c>
      <x:c r="AF131" s="20" t="n">
        <x:f>IF(H131="CM-HCG",K131*'01 Controls'!$E$27,0)</x:f>
        <x:v>0</x:v>
      </x:c>
    </x:row>
    <x:row r="132">
      <x:c r="C132" s="22" t="str">
        <x:v>C3-C-CAG</x:v>
      </x:c>
      <x:c r="D132" s="22" t="n">
        <x:v>127</x:v>
      </x:c>
      <x:c r="E132" s="22" t="str">
        <x:v>C3</x:v>
      </x:c>
      <x:c r="F132" s="22" t="str">
        <x:v>Cascadia earthquake</x:v>
      </x:c>
      <x:c r="G132" s="22" t="n">
        <x:v>3</x:v>
      </x:c>
      <x:c r="H132" s="22" t="str">
        <x:v>C-CAG</x:v>
      </x:c>
      <x:c r="I132" s="22" t="str">
        <x:v>Community Stabilization</x:v>
      </x:c>
      <x:c r="J132" s="22" t="str">
        <x:v>Civil access group</x:v>
      </x:c>
      <x:c r="K132" s="23" t="n">
        <x:v>12</x:v>
      </x:c>
      <x:c r="L132" s="23" t="n">
        <x:v>180</x:v>
      </x:c>
      <x:c r="M132" s="23" t="n">
        <x:v>0</x:v>
      </x:c>
      <x:c r="N132" s="20" t="n">
        <x:f>K132*L132</x:f>
        <x:v>2160</x:v>
      </x:c>
      <x:c r="O132" s="19" t="n">
        <x:v>4500</x:v>
      </x:c>
      <x:c r="P132" s="17" t="n">
        <x:v>0.65</x:v>
      </x:c>
      <x:c r="Q132" s="20" t="n">
        <x:f>K132*O132*P132</x:f>
        <x:v>35100</x:v>
      </x:c>
      <x:c r="R132" s="20" t="n">
        <x:f>Q132*(1-'01 Controls'!$E$6)</x:f>
        <x:v>26325</x:v>
      </x:c>
      <x:c r="S132" s="19" t="n">
        <x:v>75</x:v>
      </x:c>
      <x:c r="T132" s="20" t="n">
        <x:f>K132*S132</x:f>
        <x:v>900</x:v>
      </x:c>
      <x:c r="U132" s="18" t="n">
        <x:f>'01 Controls'!E34</x:f>
        <x:v>0.1</x:v>
      </x:c>
      <x:c r="V132" s="20" t="n">
        <x:f>R132*U132</x:f>
        <x:v>2632.5</x:v>
      </x:c>
      <x:c r="W132" s="18" t="n">
        <x:f>'01 Controls'!F34</x:f>
        <x:v>0.35</x:v>
      </x:c>
      <x:c r="X132" s="20" t="n">
        <x:f>R132*W132</x:f>
        <x:v>9213.75</x:v>
      </x:c>
      <x:c r="Y132" s="18" t="n">
        <x:f>'01 Controls'!G34</x:f>
        <x:v>0.5</x:v>
      </x:c>
      <x:c r="Z132" s="20" t="n">
        <x:f>R132*Y132</x:f>
        <x:v>13162.5</x:v>
      </x:c>
      <x:c r="AA132" s="18" t="n">
        <x:f>'01 Controls'!H34</x:f>
        <x:v>0.05</x:v>
      </x:c>
      <x:c r="AB132" s="20" t="n">
        <x:f>R132*AA132</x:f>
        <x:v>1316.25</x:v>
      </x:c>
      <x:c r="AC132" s="20" t="n">
        <x:f>IF(H132="CM-HCG",K132*'01 Controls'!$E$24,0)</x:f>
        <x:v>0</x:v>
      </x:c>
      <x:c r="AD132" s="20" t="n">
        <x:f>IF(H132="CM-HCG",K132*'01 Controls'!$E$25,0)</x:f>
        <x:v>0</x:v>
      </x:c>
      <x:c r="AE132" s="20" t="n">
        <x:f>IF(H132="CM-HCG",K132*'01 Controls'!$E$26,0)</x:f>
        <x:v>0</x:v>
      </x:c>
      <x:c r="AF132" s="20" t="n">
        <x:f>IF(H132="CM-HCG",K132*'01 Controls'!$E$27,0)</x:f>
        <x:v>0</x:v>
      </x:c>
    </x:row>
    <x:row r="133">
      <x:c r="C133" s="22" t="str">
        <x:v>C3-C-DTG</x:v>
      </x:c>
      <x:c r="D133" s="22" t="n">
        <x:v>128</x:v>
      </x:c>
      <x:c r="E133" s="22" t="str">
        <x:v>C3</x:v>
      </x:c>
      <x:c r="F133" s="22" t="str">
        <x:v>Cascadia earthquake</x:v>
      </x:c>
      <x:c r="G133" s="22" t="n">
        <x:v>3</x:v>
      </x:c>
      <x:c r="H133" s="22" t="str">
        <x:v>C-DTG</x:v>
      </x:c>
      <x:c r="I133" s="22" t="str">
        <x:v>Community Stabilization</x:v>
      </x:c>
      <x:c r="J133" s="22" t="str">
        <x:v>Displacement transition group</x:v>
      </x:c>
      <x:c r="K133" s="23" t="n">
        <x:v>12</x:v>
      </x:c>
      <x:c r="L133" s="23" t="n">
        <x:v>300</x:v>
      </x:c>
      <x:c r="M133" s="23" t="n">
        <x:v>0</x:v>
      </x:c>
      <x:c r="N133" s="20" t="n">
        <x:f>K133*L133</x:f>
        <x:v>3600</x:v>
      </x:c>
      <x:c r="O133" s="19" t="n">
        <x:v>4500</x:v>
      </x:c>
      <x:c r="P133" s="17" t="n">
        <x:v>0.65</x:v>
      </x:c>
      <x:c r="Q133" s="20" t="n">
        <x:f>K133*O133*P133</x:f>
        <x:v>35100</x:v>
      </x:c>
      <x:c r="R133" s="20" t="n">
        <x:f>Q133*(1-'01 Controls'!$E$6)</x:f>
        <x:v>26325</x:v>
      </x:c>
      <x:c r="S133" s="19" t="n">
        <x:v>75</x:v>
      </x:c>
      <x:c r="T133" s="20" t="n">
        <x:f>K133*S133</x:f>
        <x:v>900</x:v>
      </x:c>
      <x:c r="U133" s="18" t="n">
        <x:f>'01 Controls'!E34</x:f>
        <x:v>0.1</x:v>
      </x:c>
      <x:c r="V133" s="20" t="n">
        <x:f>R133*U133</x:f>
        <x:v>2632.5</x:v>
      </x:c>
      <x:c r="W133" s="18" t="n">
        <x:f>'01 Controls'!F34</x:f>
        <x:v>0.35</x:v>
      </x:c>
      <x:c r="X133" s="20" t="n">
        <x:f>R133*W133</x:f>
        <x:v>9213.75</x:v>
      </x:c>
      <x:c r="Y133" s="18" t="n">
        <x:f>'01 Controls'!G34</x:f>
        <x:v>0.5</x:v>
      </x:c>
      <x:c r="Z133" s="20" t="n">
        <x:f>R133*Y133</x:f>
        <x:v>13162.5</x:v>
      </x:c>
      <x:c r="AA133" s="18" t="n">
        <x:f>'01 Controls'!H34</x:f>
        <x:v>0.05</x:v>
      </x:c>
      <x:c r="AB133" s="20" t="n">
        <x:f>R133*AA133</x:f>
        <x:v>1316.25</x:v>
      </x:c>
      <x:c r="AC133" s="20" t="n">
        <x:f>IF(H133="CM-HCG",K133*'01 Controls'!$E$24,0)</x:f>
        <x:v>0</x:v>
      </x:c>
      <x:c r="AD133" s="20" t="n">
        <x:f>IF(H133="CM-HCG",K133*'01 Controls'!$E$25,0)</x:f>
        <x:v>0</x:v>
      </x:c>
      <x:c r="AE133" s="20" t="n">
        <x:f>IF(H133="CM-HCG",K133*'01 Controls'!$E$26,0)</x:f>
        <x:v>0</x:v>
      </x:c>
      <x:c r="AF133" s="20" t="n">
        <x:f>IF(H133="CM-HCG",K133*'01 Controls'!$E$27,0)</x:f>
        <x:v>0</x:v>
      </x:c>
    </x:row>
    <x:row r="134">
      <x:c r="C134" s="22" t="str">
        <x:v>C3-C-CIG</x:v>
      </x:c>
      <x:c r="D134" s="22" t="n">
        <x:v>129</x:v>
      </x:c>
      <x:c r="E134" s="22" t="str">
        <x:v>C3</x:v>
      </x:c>
      <x:c r="F134" s="22" t="str">
        <x:v>Cascadia earthquake</x:v>
      </x:c>
      <x:c r="G134" s="22" t="n">
        <x:v>3</x:v>
      </x:c>
      <x:c r="H134" s="22" t="str">
        <x:v>C-CIG</x:v>
      </x:c>
      <x:c r="I134" s="22" t="str">
        <x:v>Community Stabilization</x:v>
      </x:c>
      <x:c r="J134" s="22" t="str">
        <x:v>Community institutions group</x:v>
      </x:c>
      <x:c r="K134" s="23" t="n">
        <x:v>10</x:v>
      </x:c>
      <x:c r="L134" s="23" t="n">
        <x:v>250</x:v>
      </x:c>
      <x:c r="M134" s="23" t="n">
        <x:v>0</x:v>
      </x:c>
      <x:c r="N134" s="20" t="n">
        <x:f>K134*L134</x:f>
        <x:v>2500</x:v>
      </x:c>
      <x:c r="O134" s="19" t="n">
        <x:v>4500</x:v>
      </x:c>
      <x:c r="P134" s="17" t="n">
        <x:v>0.65</x:v>
      </x:c>
      <x:c r="Q134" s="20" t="n">
        <x:f>K134*O134*P134</x:f>
        <x:v>29250</x:v>
      </x:c>
      <x:c r="R134" s="20" t="n">
        <x:f>Q134*(1-'01 Controls'!$E$6)</x:f>
        <x:v>21937.5</x:v>
      </x:c>
      <x:c r="S134" s="19" t="n">
        <x:v>75</x:v>
      </x:c>
      <x:c r="T134" s="20" t="n">
        <x:f>K134*S134</x:f>
        <x:v>750</x:v>
      </x:c>
      <x:c r="U134" s="18" t="n">
        <x:f>'01 Controls'!E34</x:f>
        <x:v>0.1</x:v>
      </x:c>
      <x:c r="V134" s="20" t="n">
        <x:f>R134*U134</x:f>
        <x:v>2193.75</x:v>
      </x:c>
      <x:c r="W134" s="18" t="n">
        <x:f>'01 Controls'!F34</x:f>
        <x:v>0.35</x:v>
      </x:c>
      <x:c r="X134" s="20" t="n">
        <x:f>R134*W134</x:f>
        <x:v>7678.124999999999</x:v>
      </x:c>
      <x:c r="Y134" s="18" t="n">
        <x:f>'01 Controls'!G34</x:f>
        <x:v>0.5</x:v>
      </x:c>
      <x:c r="Z134" s="20" t="n">
        <x:f>R134*Y134</x:f>
        <x:v>10968.75</x:v>
      </x:c>
      <x:c r="AA134" s="18" t="n">
        <x:f>'01 Controls'!H34</x:f>
        <x:v>0.05</x:v>
      </x:c>
      <x:c r="AB134" s="20" t="n">
        <x:f>R134*AA134</x:f>
        <x:v>1096.875</x:v>
      </x:c>
      <x:c r="AC134" s="20" t="n">
        <x:f>IF(H134="CM-HCG",K134*'01 Controls'!$E$24,0)</x:f>
        <x:v>0</x:v>
      </x:c>
      <x:c r="AD134" s="20" t="n">
        <x:f>IF(H134="CM-HCG",K134*'01 Controls'!$E$25,0)</x:f>
        <x:v>0</x:v>
      </x:c>
      <x:c r="AE134" s="20" t="n">
        <x:f>IF(H134="CM-HCG",K134*'01 Controls'!$E$26,0)</x:f>
        <x:v>0</x:v>
      </x:c>
      <x:c r="AF134" s="20" t="n">
        <x:f>IF(H134="CM-HCG",K134*'01 Controls'!$E$27,0)</x:f>
        <x:v>0</x:v>
      </x:c>
    </x:row>
    <x:row r="135">
      <x:c r="C135" s="22" t="str">
        <x:v>C3-J-RIG</x:v>
      </x:c>
      <x:c r="D135" s="22" t="n">
        <x:v>130</x:v>
      </x:c>
      <x:c r="E135" s="22" t="str">
        <x:v>C3</x:v>
      </x:c>
      <x:c r="F135" s="22" t="str">
        <x:v>Cascadia earthquake</x:v>
      </x:c>
      <x:c r="G135" s="22" t="n">
        <x:v>3</x:v>
      </x:c>
      <x:c r="H135" s="22" t="str">
        <x:v>J-RIG</x:v>
      </x:c>
      <x:c r="I135" s="22" t="str">
        <x:v>Joint</x:v>
      </x:c>
      <x:c r="J135" s="22" t="str">
        <x:v>Resilience information group</x:v>
      </x:c>
      <x:c r="K135" s="23" t="n">
        <x:v>8</x:v>
      </x:c>
      <x:c r="L135" s="23" t="n">
        <x:v>420</x:v>
      </x:c>
      <x:c r="M135" s="23" t="n">
        <x:v>60</x:v>
      </x:c>
      <x:c r="N135" s="20" t="n">
        <x:f>K135*L135</x:f>
        <x:v>3360</x:v>
      </x:c>
      <x:c r="O135" s="19" t="n">
        <x:v>2800</x:v>
      </x:c>
      <x:c r="P135" s="17" t="n">
        <x:v>0.65</x:v>
      </x:c>
      <x:c r="Q135" s="20" t="n">
        <x:f>K135*O135*P135</x:f>
        <x:v>14560</x:v>
      </x:c>
      <x:c r="R135" s="20" t="n">
        <x:f>Q135*(1-'01 Controls'!$E$6)</x:f>
        <x:v>10920</x:v>
      </x:c>
      <x:c r="S135" s="19" t="n">
        <x:v>35</x:v>
      </x:c>
      <x:c r="T135" s="20" t="n">
        <x:f>K135*S135</x:f>
        <x:v>280</x:v>
      </x:c>
      <x:c r="U135" s="18" t="n">
        <x:f>'01 Controls'!E34</x:f>
        <x:v>0.1</x:v>
      </x:c>
      <x:c r="V135" s="20" t="n">
        <x:f>R135*U135</x:f>
        <x:v>1092</x:v>
      </x:c>
      <x:c r="W135" s="18" t="n">
        <x:f>'01 Controls'!F34</x:f>
        <x:v>0.35</x:v>
      </x:c>
      <x:c r="X135" s="20" t="n">
        <x:f>R135*W135</x:f>
        <x:v>3821.9999999999995</x:v>
      </x:c>
      <x:c r="Y135" s="18" t="n">
        <x:f>'01 Controls'!G34</x:f>
        <x:v>0.5</x:v>
      </x:c>
      <x:c r="Z135" s="20" t="n">
        <x:f>R135*Y135</x:f>
        <x:v>5460</x:v>
      </x:c>
      <x:c r="AA135" s="18" t="n">
        <x:f>'01 Controls'!H34</x:f>
        <x:v>0.05</x:v>
      </x:c>
      <x:c r="AB135" s="20" t="n">
        <x:f>R135*AA135</x:f>
        <x:v>546</x:v>
      </x:c>
      <x:c r="AC135" s="20" t="n">
        <x:f>IF(H135="CM-HCG",K135*'01 Controls'!$E$24,0)</x:f>
        <x:v>0</x:v>
      </x:c>
      <x:c r="AD135" s="20" t="n">
        <x:f>IF(H135="CM-HCG",K135*'01 Controls'!$E$25,0)</x:f>
        <x:v>0</x:v>
      </x:c>
      <x:c r="AE135" s="20" t="n">
        <x:f>IF(H135="CM-HCG",K135*'01 Controls'!$E$26,0)</x:f>
        <x:v>0</x:v>
      </x:c>
      <x:c r="AF135" s="20" t="n">
        <x:f>IF(H135="CM-HCG",K135*'01 Controls'!$E$27,0)</x:f>
        <x:v>0</x:v>
      </x:c>
    </x:row>
    <x:row r="136">
      <x:c r="C136" s="22" t="str">
        <x:v>C3-M-MPG</x:v>
      </x:c>
      <x:c r="D136" s="22" t="n">
        <x:v>131</x:v>
      </x:c>
      <x:c r="E136" s="22" t="str">
        <x:v>C3</x:v>
      </x:c>
      <x:c r="F136" s="22" t="str">
        <x:v>Cascadia earthquake</x:v>
      </x:c>
      <x:c r="G136" s="22" t="n">
        <x:v>3</x:v>
      </x:c>
      <x:c r="H136" s="22" t="str">
        <x:v>M-MPG</x:v>
      </x:c>
      <x:c r="I136" s="22" t="str">
        <x:v>Maritime Response</x:v>
      </x:c>
      <x:c r="J136" s="22" t="str">
        <x:v>Maritime production group</x:v>
      </x:c>
      <x:c r="K136" s="23" t="n">
        <x:v>4</x:v>
      </x:c>
      <x:c r="L136" s="23" t="n">
        <x:v>1100</x:v>
      </x:c>
      <x:c r="M136" s="23" t="n">
        <x:v>200</x:v>
      </x:c>
      <x:c r="N136" s="20" t="n">
        <x:f>K136*L136</x:f>
        <x:v>4400</x:v>
      </x:c>
      <x:c r="O136" s="19" t="n">
        <x:v>28000</x:v>
      </x:c>
      <x:c r="P136" s="17" t="n">
        <x:v>0.35</x:v>
      </x:c>
      <x:c r="Q136" s="20" t="n">
        <x:f>K136*O136*P136</x:f>
        <x:v>39200</x:v>
      </x:c>
      <x:c r="R136" s="20" t="n">
        <x:f>Q136*(1-'01 Controls'!$E$6)</x:f>
        <x:v>29400</x:v>
      </x:c>
      <x:c r="S136" s="19" t="n">
        <x:v>50</x:v>
      </x:c>
      <x:c r="T136" s="20" t="n">
        <x:f>K136*S136</x:f>
        <x:v>200</x:v>
      </x:c>
      <x:c r="U136" s="18" t="n">
        <x:f>'01 Controls'!E34</x:f>
        <x:v>0.1</x:v>
      </x:c>
      <x:c r="V136" s="20" t="n">
        <x:f>R136*U136</x:f>
        <x:v>2940</x:v>
      </x:c>
      <x:c r="W136" s="18" t="n">
        <x:f>'01 Controls'!F34</x:f>
        <x:v>0.35</x:v>
      </x:c>
      <x:c r="X136" s="20" t="n">
        <x:f>R136*W136</x:f>
        <x:v>10290</x:v>
      </x:c>
      <x:c r="Y136" s="18" t="n">
        <x:f>'01 Controls'!G34</x:f>
        <x:v>0.5</x:v>
      </x:c>
      <x:c r="Z136" s="20" t="n">
        <x:f>R136*Y136</x:f>
        <x:v>14700</x:v>
      </x:c>
      <x:c r="AA136" s="18" t="n">
        <x:f>'01 Controls'!H34</x:f>
        <x:v>0.05</x:v>
      </x:c>
      <x:c r="AB136" s="20" t="n">
        <x:f>R136*AA136</x:f>
        <x:v>1470</x:v>
      </x:c>
      <x:c r="AC136" s="20" t="n">
        <x:f>IF(H136="CM-HCG",K136*'01 Controls'!$E$24,0)</x:f>
        <x:v>0</x:v>
      </x:c>
      <x:c r="AD136" s="20" t="n">
        <x:f>IF(H136="CM-HCG",K136*'01 Controls'!$E$25,0)</x:f>
        <x:v>0</x:v>
      </x:c>
      <x:c r="AE136" s="20" t="n">
        <x:f>IF(H136="CM-HCG",K136*'01 Controls'!$E$26,0)</x:f>
        <x:v>0</x:v>
      </x:c>
      <x:c r="AF136" s="20" t="n">
        <x:f>IF(H136="CM-HCG",K136*'01 Controls'!$E$27,0)</x:f>
        <x:v>0</x:v>
      </x:c>
    </x:row>
    <x:row r="137">
      <x:c r="C137" s="22" t="str">
        <x:v>C3-I-WRG</x:v>
      </x:c>
      <x:c r="D137" s="22" t="n">
        <x:v>132</x:v>
      </x:c>
      <x:c r="E137" s="22" t="str">
        <x:v>C3</x:v>
      </x:c>
      <x:c r="F137" s="22" t="str">
        <x:v>Cascadia earthquake</x:v>
      </x:c>
      <x:c r="G137" s="22" t="n">
        <x:v>3</x:v>
      </x:c>
      <x:c r="H137" s="22" t="str">
        <x:v>I-WRG</x:v>
      </x:c>
      <x:c r="I137" s="22" t="str">
        <x:v>Infrastructure Restoration</x:v>
      </x:c>
      <x:c r="J137" s="22" t="str">
        <x:v>Water restoration group</x:v>
      </x:c>
      <x:c r="K137" s="23" t="n">
        <x:v>8</x:v>
      </x:c>
      <x:c r="L137" s="23" t="n">
        <x:v>2720</x:v>
      </x:c>
      <x:c r="M137" s="23" t="n">
        <x:v>600</x:v>
      </x:c>
      <x:c r="N137" s="20" t="n">
        <x:f>K137*L137</x:f>
        <x:v>21760</x:v>
      </x:c>
      <x:c r="O137" s="19" t="n">
        <x:v>23516</x:v>
      </x:c>
      <x:c r="P137" s="17" t="n">
        <x:v>0.4</x:v>
      </x:c>
      <x:c r="Q137" s="20" t="n">
        <x:f>K137*O137*P137</x:f>
        <x:v>75251.2</x:v>
      </x:c>
      <x:c r="R137" s="20" t="n">
        <x:f>Q137*(1-'01 Controls'!$E$6)</x:f>
        <x:v>56438.399999999994</x:v>
      </x:c>
      <x:c r="S137" s="19" t="n">
        <x:v>65</x:v>
      </x:c>
      <x:c r="T137" s="20" t="n">
        <x:f>K137*S137</x:f>
        <x:v>520</x:v>
      </x:c>
      <x:c r="U137" s="18" t="n">
        <x:f>'01 Controls'!E34</x:f>
        <x:v>0.1</x:v>
      </x:c>
      <x:c r="V137" s="20" t="n">
        <x:f>R137*U137</x:f>
        <x:v>5643.84</x:v>
      </x:c>
      <x:c r="W137" s="18" t="n">
        <x:f>'01 Controls'!F34</x:f>
        <x:v>0.35</x:v>
      </x:c>
      <x:c r="X137" s="20" t="n">
        <x:f>R137*W137</x:f>
        <x:v>19753.439999999995</x:v>
      </x:c>
      <x:c r="Y137" s="18" t="n">
        <x:f>'01 Controls'!G34</x:f>
        <x:v>0.5</x:v>
      </x:c>
      <x:c r="Z137" s="20" t="n">
        <x:f>R137*Y137</x:f>
        <x:v>28219.199999999997</x:v>
      </x:c>
      <x:c r="AA137" s="18" t="n">
        <x:f>'01 Controls'!H34</x:f>
        <x:v>0.05</x:v>
      </x:c>
      <x:c r="AB137" s="20" t="n">
        <x:f>R137*AA137</x:f>
        <x:v>2821.92</x:v>
      </x:c>
      <x:c r="AC137" s="20" t="n">
        <x:f>IF(H137="CM-HCG",K137*'01 Controls'!$E$24,0)</x:f>
        <x:v>0</x:v>
      </x:c>
      <x:c r="AD137" s="20" t="n">
        <x:f>IF(H137="CM-HCG",K137*'01 Controls'!$E$25,0)</x:f>
        <x:v>0</x:v>
      </x:c>
      <x:c r="AE137" s="20" t="n">
        <x:f>IF(H137="CM-HCG",K137*'01 Controls'!$E$26,0)</x:f>
        <x:v>0</x:v>
      </x:c>
      <x:c r="AF137" s="20" t="n">
        <x:f>IF(H137="CM-HCG",K137*'01 Controls'!$E$27,0)</x:f>
        <x:v>0</x:v>
      </x:c>
    </x:row>
    <x:row r="138">
      <x:c r="C138" s="22" t="str">
        <x:v>C3-I-PRG</x:v>
      </x:c>
      <x:c r="D138" s="22" t="n">
        <x:v>133</x:v>
      </x:c>
      <x:c r="E138" s="22" t="str">
        <x:v>C3</x:v>
      </x:c>
      <x:c r="F138" s="22" t="str">
        <x:v>Cascadia earthquake</x:v>
      </x:c>
      <x:c r="G138" s="22" t="n">
        <x:v>3</x:v>
      </x:c>
      <x:c r="H138" s="22" t="str">
        <x:v>I-PRG</x:v>
      </x:c>
      <x:c r="I138" s="22" t="str">
        <x:v>Infrastructure Restoration</x:v>
      </x:c>
      <x:c r="J138" s="22" t="str">
        <x:v>Power restoration group</x:v>
      </x:c>
      <x:c r="K138" s="23" t="n">
        <x:v>10</x:v>
      </x:c>
      <x:c r="L138" s="23" t="n">
        <x:v>2796</x:v>
      </x:c>
      <x:c r="M138" s="23" t="n">
        <x:v>596</x:v>
      </x:c>
      <x:c r="N138" s="20" t="n">
        <x:f>K138*L138</x:f>
        <x:v>27960</x:v>
      </x:c>
      <x:c r="O138" s="19" t="n">
        <x:v>18332</x:v>
      </x:c>
      <x:c r="P138" s="17" t="n">
        <x:v>0.4</x:v>
      </x:c>
      <x:c r="Q138" s="20" t="n">
        <x:f>K138*O138*P138</x:f>
        <x:v>73328</x:v>
      </x:c>
      <x:c r="R138" s="20" t="n">
        <x:f>Q138*(1-'01 Controls'!$E$6)</x:f>
        <x:v>54996</x:v>
      </x:c>
      <x:c r="S138" s="19" t="n">
        <x:v>80</x:v>
      </x:c>
      <x:c r="T138" s="20" t="n">
        <x:f>K138*S138</x:f>
        <x:v>800</x:v>
      </x:c>
      <x:c r="U138" s="18" t="n">
        <x:f>'01 Controls'!E34</x:f>
        <x:v>0.1</x:v>
      </x:c>
      <x:c r="V138" s="20" t="n">
        <x:f>R138*U138</x:f>
        <x:v>5499.6</x:v>
      </x:c>
      <x:c r="W138" s="18" t="n">
        <x:f>'01 Controls'!F34</x:f>
        <x:v>0.35</x:v>
      </x:c>
      <x:c r="X138" s="20" t="n">
        <x:f>R138*W138</x:f>
        <x:v>19248.6</x:v>
      </x:c>
      <x:c r="Y138" s="18" t="n">
        <x:f>'01 Controls'!G34</x:f>
        <x:v>0.5</x:v>
      </x:c>
      <x:c r="Z138" s="20" t="n">
        <x:f>R138*Y138</x:f>
        <x:v>27498</x:v>
      </x:c>
      <x:c r="AA138" s="18" t="n">
        <x:f>'01 Controls'!H34</x:f>
        <x:v>0.05</x:v>
      </x:c>
      <x:c r="AB138" s="20" t="n">
        <x:f>R138*AA138</x:f>
        <x:v>2749.8</x:v>
      </x:c>
      <x:c r="AC138" s="20" t="n">
        <x:f>IF(H138="CM-HCG",K138*'01 Controls'!$E$24,0)</x:f>
        <x:v>0</x:v>
      </x:c>
      <x:c r="AD138" s="20" t="n">
        <x:f>IF(H138="CM-HCG",K138*'01 Controls'!$E$25,0)</x:f>
        <x:v>0</x:v>
      </x:c>
      <x:c r="AE138" s="20" t="n">
        <x:f>IF(H138="CM-HCG",K138*'01 Controls'!$E$26,0)</x:f>
        <x:v>0</x:v>
      </x:c>
      <x:c r="AF138" s="20" t="n">
        <x:f>IF(H138="CM-HCG",K138*'01 Controls'!$E$27,0)</x:f>
        <x:v>0</x:v>
      </x:c>
    </x:row>
    <x:row r="139">
      <x:c r="C139" s="22" t="str">
        <x:v>C3-I-GBG</x:v>
      </x:c>
      <x:c r="D139" s="22" t="n">
        <x:v>134</x:v>
      </x:c>
      <x:c r="E139" s="22" t="str">
        <x:v>C3</x:v>
      </x:c>
      <x:c r="F139" s="22" t="str">
        <x:v>Cascadia earthquake</x:v>
      </x:c>
      <x:c r="G139" s="22" t="n">
        <x:v>3</x:v>
      </x:c>
      <x:c r="H139" s="22" t="str">
        <x:v>I-GBG</x:v>
      </x:c>
      <x:c r="I139" s="22" t="str">
        <x:v>Infrastructure Restoration</x:v>
      </x:c>
      <x:c r="J139" s="22" t="str">
        <x:v>Grid bridge group</x:v>
      </x:c>
      <x:c r="K139" s="23" t="n">
        <x:v>8</x:v>
      </x:c>
      <x:c r="L139" s="23" t="n">
        <x:v>1800</x:v>
      </x:c>
      <x:c r="M139" s="23" t="n">
        <x:v>400</x:v>
      </x:c>
      <x:c r="N139" s="20" t="n">
        <x:f>K139*L139</x:f>
        <x:v>14400</x:v>
      </x:c>
      <x:c r="O139" s="19" t="n">
        <x:v>15000</x:v>
      </x:c>
      <x:c r="P139" s="17" t="n">
        <x:v>0.4</x:v>
      </x:c>
      <x:c r="Q139" s="20" t="n">
        <x:f>K139*O139*P139</x:f>
        <x:v>48000</x:v>
      </x:c>
      <x:c r="R139" s="20" t="n">
        <x:f>Q139*(1-'01 Controls'!$E$6)</x:f>
        <x:v>36000</x:v>
      </x:c>
      <x:c r="S139" s="19" t="n">
        <x:v>55</x:v>
      </x:c>
      <x:c r="T139" s="20" t="n">
        <x:f>K139*S139</x:f>
        <x:v>440</x:v>
      </x:c>
      <x:c r="U139" s="18" t="n">
        <x:f>'01 Controls'!E34</x:f>
        <x:v>0.1</x:v>
      </x:c>
      <x:c r="V139" s="20" t="n">
        <x:f>R139*U139</x:f>
        <x:v>3600</x:v>
      </x:c>
      <x:c r="W139" s="18" t="n">
        <x:f>'01 Controls'!F34</x:f>
        <x:v>0.35</x:v>
      </x:c>
      <x:c r="X139" s="20" t="n">
        <x:f>R139*W139</x:f>
        <x:v>12600</x:v>
      </x:c>
      <x:c r="Y139" s="18" t="n">
        <x:f>'01 Controls'!G34</x:f>
        <x:v>0.5</x:v>
      </x:c>
      <x:c r="Z139" s="20" t="n">
        <x:f>R139*Y139</x:f>
        <x:v>18000</x:v>
      </x:c>
      <x:c r="AA139" s="18" t="n">
        <x:f>'01 Controls'!H34</x:f>
        <x:v>0.05</x:v>
      </x:c>
      <x:c r="AB139" s="20" t="n">
        <x:f>R139*AA139</x:f>
        <x:v>1800</x:v>
      </x:c>
      <x:c r="AC139" s="20" t="n">
        <x:f>IF(H139="CM-HCG",K139*'01 Controls'!$E$24,0)</x:f>
        <x:v>0</x:v>
      </x:c>
      <x:c r="AD139" s="20" t="n">
        <x:f>IF(H139="CM-HCG",K139*'01 Controls'!$E$25,0)</x:f>
        <x:v>0</x:v>
      </x:c>
      <x:c r="AE139" s="20" t="n">
        <x:f>IF(H139="CM-HCG",K139*'01 Controls'!$E$26,0)</x:f>
        <x:v>0</x:v>
      </x:c>
      <x:c r="AF139" s="20" t="n">
        <x:f>IF(H139="CM-HCG",K139*'01 Controls'!$E$27,0)</x:f>
        <x:v>0</x:v>
      </x:c>
    </x:row>
    <x:row r="140">
      <x:c r="C140" s="22" t="str">
        <x:v>C3-H-THC</x:v>
      </x:c>
      <x:c r="D140" s="22" t="n">
        <x:v>135</x:v>
      </x:c>
      <x:c r="E140" s="22" t="str">
        <x:v>C3</x:v>
      </x:c>
      <x:c r="F140" s="22" t="str">
        <x:v>Cascadia earthquake</x:v>
      </x:c>
      <x:c r="G140" s="22" t="n">
        <x:v>3</x:v>
      </x:c>
      <x:c r="H140" s="22" t="str">
        <x:v>H-THC</x:v>
      </x:c>
      <x:c r="I140" s="22" t="str">
        <x:v>Health Protection</x:v>
      </x:c>
      <x:c r="J140" s="22" t="str">
        <x:v>Theater hospital command</x:v>
      </x:c>
      <x:c r="K140" s="23" t="n">
        <x:v>4</x:v>
      </x:c>
      <x:c r="L140" s="23" t="n">
        <x:v>900</x:v>
      </x:c>
      <x:c r="M140" s="23" t="n">
        <x:v>0</x:v>
      </x:c>
      <x:c r="N140" s="20" t="n">
        <x:f>K140*L140</x:f>
        <x:v>3600</x:v>
      </x:c>
      <x:c r="O140" s="19" t="n">
        <x:v>3500</x:v>
      </x:c>
      <x:c r="P140" s="17" t="n">
        <x:v>0.7</x:v>
      </x:c>
      <x:c r="Q140" s="20" t="n">
        <x:f>K140*O140*P140</x:f>
        <x:v>9800</x:v>
      </x:c>
      <x:c r="R140" s="20" t="n">
        <x:f>Q140*(1-'01 Controls'!$E$6)</x:f>
        <x:v>7350</x:v>
      </x:c>
      <x:c r="S140" s="19" t="n">
        <x:v>30</x:v>
      </x:c>
      <x:c r="T140" s="20" t="n">
        <x:f>K140*S140</x:f>
        <x:v>120</x:v>
      </x:c>
      <x:c r="U140" s="18" t="n">
        <x:f>'01 Controls'!E34</x:f>
        <x:v>0.1</x:v>
      </x:c>
      <x:c r="V140" s="20" t="n">
        <x:f>R140*U140</x:f>
        <x:v>735</x:v>
      </x:c>
      <x:c r="W140" s="18" t="n">
        <x:f>'01 Controls'!F34</x:f>
        <x:v>0.35</x:v>
      </x:c>
      <x:c r="X140" s="20" t="n">
        <x:f>R140*W140</x:f>
        <x:v>2572.5</x:v>
      </x:c>
      <x:c r="Y140" s="18" t="n">
        <x:f>'01 Controls'!G34</x:f>
        <x:v>0.5</x:v>
      </x:c>
      <x:c r="Z140" s="20" t="n">
        <x:f>R140*Y140</x:f>
        <x:v>3675</x:v>
      </x:c>
      <x:c r="AA140" s="18" t="n">
        <x:f>'01 Controls'!H34</x:f>
        <x:v>0.05</x:v>
      </x:c>
      <x:c r="AB140" s="20" t="n">
        <x:f>R140*AA140</x:f>
        <x:v>367.5</x:v>
      </x:c>
      <x:c r="AC140" s="20" t="n">
        <x:f>IF(H140="CM-HCG",K140*'01 Controls'!$E$24,0)</x:f>
        <x:v>0</x:v>
      </x:c>
      <x:c r="AD140" s="20" t="n">
        <x:f>IF(H140="CM-HCG",K140*'01 Controls'!$E$25,0)</x:f>
        <x:v>0</x:v>
      </x:c>
      <x:c r="AE140" s="20" t="n">
        <x:f>IF(H140="CM-HCG",K140*'01 Controls'!$E$26,0)</x:f>
        <x:v>0</x:v>
      </x:c>
      <x:c r="AF140" s="20" t="n">
        <x:f>IF(H140="CM-HCG",K140*'01 Controls'!$E$27,0)</x:f>
        <x:v>0</x:v>
      </x:c>
    </x:row>
    <x:row r="141">
      <x:c r="C141" s="22" t="str">
        <x:v>C3-H-PMG</x:v>
      </x:c>
      <x:c r="D141" s="22" t="n">
        <x:v>136</x:v>
      </x:c>
      <x:c r="E141" s="22" t="str">
        <x:v>C3</x:v>
      </x:c>
      <x:c r="F141" s="22" t="str">
        <x:v>Cascadia earthquake</x:v>
      </x:c>
      <x:c r="G141" s="22" t="n">
        <x:v>3</x:v>
      </x:c>
      <x:c r="H141" s="22" t="str">
        <x:v>H-PMG</x:v>
      </x:c>
      <x:c r="I141" s="22" t="str">
        <x:v>Health Protection</x:v>
      </x:c>
      <x:c r="J141" s="22" t="str">
        <x:v>Patient movement group</x:v>
      </x:c>
      <x:c r="K141" s="23" t="n">
        <x:v>8</x:v>
      </x:c>
      <x:c r="L141" s="23" t="n">
        <x:v>650</x:v>
      </x:c>
      <x:c r="M141" s="23" t="n">
        <x:v>200</x:v>
      </x:c>
      <x:c r="N141" s="20" t="n">
        <x:f>K141*L141</x:f>
        <x:v>5200</x:v>
      </x:c>
      <x:c r="O141" s="19" t="n">
        <x:v>5500</x:v>
      </x:c>
      <x:c r="P141" s="17" t="n">
        <x:v>0.7</x:v>
      </x:c>
      <x:c r="Q141" s="20" t="n">
        <x:f>K141*O141*P141</x:f>
        <x:v>30799.999999999996</x:v>
      </x:c>
      <x:c r="R141" s="20" t="n">
        <x:f>Q141*(1-'01 Controls'!$E$6)</x:f>
        <x:v>23099.999999999996</x:v>
      </x:c>
      <x:c r="S141" s="19" t="n">
        <x:v>40</x:v>
      </x:c>
      <x:c r="T141" s="20" t="n">
        <x:f>K141*S141</x:f>
        <x:v>320</x:v>
      </x:c>
      <x:c r="U141" s="18" t="n">
        <x:f>'01 Controls'!E34</x:f>
        <x:v>0.1</x:v>
      </x:c>
      <x:c r="V141" s="20" t="n">
        <x:f>R141*U141</x:f>
        <x:v>2309.9999999999995</x:v>
      </x:c>
      <x:c r="W141" s="18" t="n">
        <x:f>'01 Controls'!F34</x:f>
        <x:v>0.35</x:v>
      </x:c>
      <x:c r="X141" s="20" t="n">
        <x:f>R141*W141</x:f>
        <x:v>8084.999999999998</x:v>
      </x:c>
      <x:c r="Y141" s="18" t="n">
        <x:f>'01 Controls'!G34</x:f>
        <x:v>0.5</x:v>
      </x:c>
      <x:c r="Z141" s="20" t="n">
        <x:f>R141*Y141</x:f>
        <x:v>11549.999999999998</x:v>
      </x:c>
      <x:c r="AA141" s="18" t="n">
        <x:f>'01 Controls'!H34</x:f>
        <x:v>0.05</x:v>
      </x:c>
      <x:c r="AB141" s="20" t="n">
        <x:f>R141*AA141</x:f>
        <x:v>1154.9999999999998</x:v>
      </x:c>
      <x:c r="AC141" s="20" t="n">
        <x:f>IF(H141="CM-HCG",K141*'01 Controls'!$E$24,0)</x:f>
        <x:v>0</x:v>
      </x:c>
      <x:c r="AD141" s="20" t="n">
        <x:f>IF(H141="CM-HCG",K141*'01 Controls'!$E$25,0)</x:f>
        <x:v>0</x:v>
      </x:c>
      <x:c r="AE141" s="20" t="n">
        <x:f>IF(H141="CM-HCG",K141*'01 Controls'!$E$26,0)</x:f>
        <x:v>0</x:v>
      </x:c>
      <x:c r="AF141" s="20" t="n">
        <x:f>IF(H141="CM-HCG",K141*'01 Controls'!$E$27,0)</x:f>
        <x:v>0</x:v>
      </x:c>
    </x:row>
    <x:row r="142">
      <x:c r="C142" s="22" t="str">
        <x:v>C3-C-ERG</x:v>
      </x:c>
      <x:c r="D142" s="22" t="n">
        <x:v>137</x:v>
      </x:c>
      <x:c r="E142" s="22" t="str">
        <x:v>C3</x:v>
      </x:c>
      <x:c r="F142" s="22" t="str">
        <x:v>Cascadia earthquake</x:v>
      </x:c>
      <x:c r="G142" s="22" t="n">
        <x:v>3</x:v>
      </x:c>
      <x:c r="H142" s="22" t="str">
        <x:v>C-ERG</x:v>
      </x:c>
      <x:c r="I142" s="22" t="str">
        <x:v>Community Stabilization</x:v>
      </x:c>
      <x:c r="J142" s="22" t="str">
        <x:v>Economic restart group</x:v>
      </x:c>
      <x:c r="K142" s="23" t="n">
        <x:v>8</x:v>
      </x:c>
      <x:c r="L142" s="23" t="n">
        <x:v>350</x:v>
      </x:c>
      <x:c r="M142" s="23" t="n">
        <x:v>0</x:v>
      </x:c>
      <x:c r="N142" s="20" t="n">
        <x:f>K142*L142</x:f>
        <x:v>2800</x:v>
      </x:c>
      <x:c r="O142" s="19" t="n">
        <x:v>2500</x:v>
      </x:c>
      <x:c r="P142" s="17" t="n">
        <x:v>0.65</x:v>
      </x:c>
      <x:c r="Q142" s="20" t="n">
        <x:f>K142*O142*P142</x:f>
        <x:v>13000</x:v>
      </x:c>
      <x:c r="R142" s="20" t="n">
        <x:f>Q142*(1-'01 Controls'!$E$6)</x:f>
        <x:v>9750</x:v>
      </x:c>
      <x:c r="S142" s="19" t="n">
        <x:v>30</x:v>
      </x:c>
      <x:c r="T142" s="20" t="n">
        <x:f>K142*S142</x:f>
        <x:v>240</x:v>
      </x:c>
      <x:c r="U142" s="18" t="n">
        <x:f>'01 Controls'!E34</x:f>
        <x:v>0.1</x:v>
      </x:c>
      <x:c r="V142" s="20" t="n">
        <x:f>R142*U142</x:f>
        <x:v>975</x:v>
      </x:c>
      <x:c r="W142" s="18" t="n">
        <x:f>'01 Controls'!F34</x:f>
        <x:v>0.35</x:v>
      </x:c>
      <x:c r="X142" s="20" t="n">
        <x:f>R142*W142</x:f>
        <x:v>3412.5</x:v>
      </x:c>
      <x:c r="Y142" s="18" t="n">
        <x:f>'01 Controls'!G34</x:f>
        <x:v>0.5</x:v>
      </x:c>
      <x:c r="Z142" s="20" t="n">
        <x:f>R142*Y142</x:f>
        <x:v>4875</x:v>
      </x:c>
      <x:c r="AA142" s="18" t="n">
        <x:f>'01 Controls'!H34</x:f>
        <x:v>0.05</x:v>
      </x:c>
      <x:c r="AB142" s="20" t="n">
        <x:f>R142*AA142</x:f>
        <x:v>487.5</x:v>
      </x:c>
      <x:c r="AC142" s="20" t="n">
        <x:f>IF(H142="CM-HCG",K142*'01 Controls'!$E$24,0)</x:f>
        <x:v>0</x:v>
      </x:c>
      <x:c r="AD142" s="20" t="n">
        <x:f>IF(H142="CM-HCG",K142*'01 Controls'!$E$25,0)</x:f>
        <x:v>0</x:v>
      </x:c>
      <x:c r="AE142" s="20" t="n">
        <x:f>IF(H142="CM-HCG",K142*'01 Controls'!$E$26,0)</x:f>
        <x:v>0</x:v>
      </x:c>
      <x:c r="AF142" s="20" t="n">
        <x:f>IF(H142="CM-HCG",K142*'01 Controls'!$E$27,0)</x:f>
        <x:v>0</x:v>
      </x:c>
    </x:row>
    <x:row r="143">
      <x:c r="C143" s="22" t="str">
        <x:v>C3-CM-HCG</x:v>
      </x:c>
      <x:c r="D143" s="22" t="n">
        <x:v>138</x:v>
      </x:c>
      <x:c r="E143" s="22" t="str">
        <x:v>C3</x:v>
      </x:c>
      <x:c r="F143" s="22" t="str">
        <x:v>Cascadia earthquake</x:v>
      </x:c>
      <x:c r="G143" s="22" t="n">
        <x:v>3</x:v>
      </x:c>
      <x:c r="H143" s="22" t="str">
        <x:v>CM-HCG</x:v>
      </x:c>
      <x:c r="I143" s="22" t="str">
        <x:v>Civil Mobility and Continuity</x:v>
      </x:c>
      <x:c r="J143" s="22" t="str">
        <x:v>Household collection group</x:v>
      </x:c>
      <x:c r="K143" s="23" t="n">
        <x:v>10</x:v>
      </x:c>
      <x:c r="L143" s="23" t="n">
        <x:v>7587</x:v>
      </x:c>
      <x:c r="M143" s="23" t="n">
        <x:v>2000</x:v>
      </x:c>
      <x:c r="N143" s="20" t="n">
        <x:f>K143*L143</x:f>
        <x:v>75870</x:v>
      </x:c>
      <x:c r="O143" s="19" t="n">
        <x:v>6388</x:v>
      </x:c>
      <x:c r="P143" s="17" t="n">
        <x:v>0.7</x:v>
      </x:c>
      <x:c r="Q143" s="20" t="n">
        <x:f>K143*O143*P143</x:f>
        <x:v>44716</x:v>
      </x:c>
      <x:c r="R143" s="20" t="n">
        <x:f>Q143*(1-'01 Controls'!$E$6)</x:f>
        <x:v>33537</x:v>
      </x:c>
      <x:c r="S143" s="19" t="n">
        <x:v>45</x:v>
      </x:c>
      <x:c r="T143" s="20" t="n">
        <x:f>K143*S143</x:f>
        <x:v>450</x:v>
      </x:c>
      <x:c r="U143" s="18" t="n">
        <x:f>'01 Controls'!E34</x:f>
        <x:v>0.1</x:v>
      </x:c>
      <x:c r="V143" s="20" t="n">
        <x:f>R143*U143</x:f>
        <x:v>3353.7000000000003</x:v>
      </x:c>
      <x:c r="W143" s="18" t="n">
        <x:f>'01 Controls'!F34</x:f>
        <x:v>0.35</x:v>
      </x:c>
      <x:c r="X143" s="20" t="n">
        <x:f>R143*W143</x:f>
        <x:v>11737.949999999999</x:v>
      </x:c>
      <x:c r="Y143" s="18" t="n">
        <x:f>'01 Controls'!G34</x:f>
        <x:v>0.5</x:v>
      </x:c>
      <x:c r="Z143" s="20" t="n">
        <x:f>R143*Y143</x:f>
        <x:v>16768.5</x:v>
      </x:c>
      <x:c r="AA143" s="18" t="n">
        <x:f>'01 Controls'!H34</x:f>
        <x:v>0.05</x:v>
      </x:c>
      <x:c r="AB143" s="20" t="n">
        <x:f>R143*AA143</x:f>
        <x:v>1676.8500000000001</x:v>
      </x:c>
      <x:c r="AC143" s="20" t="n">
        <x:f>IF(H143="CM-HCG",K143*'01 Controls'!$E$24,0)</x:f>
        <x:v>340</x:v>
      </x:c>
      <x:c r="AD143" s="20" t="n">
        <x:f>IF(H143="CM-HCG",K143*'01 Controls'!$E$25,0)</x:f>
        <x:v>70</x:v>
      </x:c>
      <x:c r="AE143" s="20" t="n">
        <x:f>IF(H143="CM-HCG",K143*'01 Controls'!$E$26,0)</x:f>
        <x:v>100</x:v>
      </x:c>
      <x:c r="AF143" s="20" t="n">
        <x:f>IF(H143="CM-HCG",K143*'01 Controls'!$E$27,0)</x:f>
        <x:v>90</x:v>
      </x:c>
    </x:row>
    <x:row r="144">
      <x:c r="C144" s="22" t="str">
        <x:v>C3-CM-CTN</x:v>
      </x:c>
      <x:c r="D144" s="22" t="n">
        <x:v>139</x:v>
      </x:c>
      <x:c r="E144" s="22" t="str">
        <x:v>C3</x:v>
      </x:c>
      <x:c r="F144" s="22" t="str">
        <x:v>Cascadia earthquake</x:v>
      </x:c>
      <x:c r="G144" s="22" t="n">
        <x:v>3</x:v>
      </x:c>
      <x:c r="H144" s="22" t="str">
        <x:v>CM-CTN</x:v>
      </x:c>
      <x:c r="I144" s="22" t="str">
        <x:v>Civil Mobility and Continuity</x:v>
      </x:c>
      <x:c r="J144" s="22" t="str">
        <x:v>Continuity transfer-node group</x:v>
      </x:c>
      <x:c r="K144" s="23" t="n">
        <x:v>8</x:v>
      </x:c>
      <x:c r="L144" s="23" t="n">
        <x:v>2289</x:v>
      </x:c>
      <x:c r="M144" s="23" t="n">
        <x:v>489</x:v>
      </x:c>
      <x:c r="N144" s="20" t="n">
        <x:f>K144*L144</x:f>
        <x:v>18312</x:v>
      </x:c>
      <x:c r="O144" s="19" t="n">
        <x:v>4513</x:v>
      </x:c>
      <x:c r="P144" s="17" t="n">
        <x:v>0.7</x:v>
      </x:c>
      <x:c r="Q144" s="20" t="n">
        <x:f>K144*O144*P144</x:f>
        <x:v>25272.8</x:v>
      </x:c>
      <x:c r="R144" s="20" t="n">
        <x:f>Q144*(1-'01 Controls'!$E$6)</x:f>
        <x:v>18954.6</x:v>
      </x:c>
      <x:c r="S144" s="19" t="n">
        <x:v>35</x:v>
      </x:c>
      <x:c r="T144" s="20" t="n">
        <x:f>K144*S144</x:f>
        <x:v>280</x:v>
      </x:c>
      <x:c r="U144" s="18" t="n">
        <x:f>'01 Controls'!E34</x:f>
        <x:v>0.1</x:v>
      </x:c>
      <x:c r="V144" s="20" t="n">
        <x:f>R144*U144</x:f>
        <x:v>1895.46</x:v>
      </x:c>
      <x:c r="W144" s="18" t="n">
        <x:f>'01 Controls'!F34</x:f>
        <x:v>0.35</x:v>
      </x:c>
      <x:c r="X144" s="20" t="n">
        <x:f>R144*W144</x:f>
        <x:v>6634.109999999999</x:v>
      </x:c>
      <x:c r="Y144" s="18" t="n">
        <x:f>'01 Controls'!G34</x:f>
        <x:v>0.5</x:v>
      </x:c>
      <x:c r="Z144" s="20" t="n">
        <x:f>R144*Y144</x:f>
        <x:v>9477.3</x:v>
      </x:c>
      <x:c r="AA144" s="18" t="n">
        <x:f>'01 Controls'!H34</x:f>
        <x:v>0.05</x:v>
      </x:c>
      <x:c r="AB144" s="20" t="n">
        <x:f>R144*AA144</x:f>
        <x:v>947.73</x:v>
      </x:c>
      <x:c r="AC144" s="20" t="n">
        <x:f>IF(H144="CM-HCG",K144*'01 Controls'!$E$24,0)</x:f>
        <x:v>0</x:v>
      </x:c>
      <x:c r="AD144" s="20" t="n">
        <x:f>IF(H144="CM-HCG",K144*'01 Controls'!$E$25,0)</x:f>
        <x:v>0</x:v>
      </x:c>
      <x:c r="AE144" s="20" t="n">
        <x:f>IF(H144="CM-HCG",K144*'01 Controls'!$E$26,0)</x:f>
        <x:v>0</x:v>
      </x:c>
      <x:c r="AF144" s="20" t="n">
        <x:f>IF(H144="CM-HCG",K144*'01 Controls'!$E$27,0)</x:f>
        <x:v>0</x:v>
      </x:c>
    </x:row>
    <x:row r="145">
      <x:c r="C145" s="22" t="str">
        <x:v>C3-CM-RMG</x:v>
      </x:c>
      <x:c r="D145" s="22" t="n">
        <x:v>140</x:v>
      </x:c>
      <x:c r="E145" s="22" t="str">
        <x:v>C3</x:v>
      </x:c>
      <x:c r="F145" s="22" t="str">
        <x:v>Cascadia earthquake</x:v>
      </x:c>
      <x:c r="G145" s="22" t="n">
        <x:v>3</x:v>
      </x:c>
      <x:c r="H145" s="22" t="str">
        <x:v>CM-RMG</x:v>
      </x:c>
      <x:c r="I145" s="22" t="str">
        <x:v>Civil Mobility and Continuity</x:v>
      </x:c>
      <x:c r="J145" s="22" t="str">
        <x:v>Civil road-mobility group</x:v>
      </x:c>
      <x:c r="K145" s="23" t="n">
        <x:v>12</x:v>
      </x:c>
      <x:c r="L145" s="23" t="n">
        <x:v>900</x:v>
      </x:c>
      <x:c r="M145" s="23" t="n">
        <x:v>250</x:v>
      </x:c>
      <x:c r="N145" s="20" t="n">
        <x:f>K145*L145</x:f>
        <x:v>10800</x:v>
      </x:c>
      <x:c r="O145" s="19" t="n">
        <x:v>5000</x:v>
      </x:c>
      <x:c r="P145" s="17" t="n">
        <x:v>0.7</x:v>
      </x:c>
      <x:c r="Q145" s="20" t="n">
        <x:f>K145*O145*P145</x:f>
        <x:v>42000</x:v>
      </x:c>
      <x:c r="R145" s="20" t="n">
        <x:f>Q145*(1-'01 Controls'!$E$6)</x:f>
        <x:v>31500</x:v>
      </x:c>
      <x:c r="S145" s="19" t="n">
        <x:v>45</x:v>
      </x:c>
      <x:c r="T145" s="20" t="n">
        <x:f>K145*S145</x:f>
        <x:v>540</x:v>
      </x:c>
      <x:c r="U145" s="18" t="n">
        <x:f>'01 Controls'!E34</x:f>
        <x:v>0.1</x:v>
      </x:c>
      <x:c r="V145" s="20" t="n">
        <x:f>R145*U145</x:f>
        <x:v>3150</x:v>
      </x:c>
      <x:c r="W145" s="18" t="n">
        <x:f>'01 Controls'!F34</x:f>
        <x:v>0.35</x:v>
      </x:c>
      <x:c r="X145" s="20" t="n">
        <x:f>R145*W145</x:f>
        <x:v>11025</x:v>
      </x:c>
      <x:c r="Y145" s="18" t="n">
        <x:f>'01 Controls'!G34</x:f>
        <x:v>0.5</x:v>
      </x:c>
      <x:c r="Z145" s="20" t="n">
        <x:f>R145*Y145</x:f>
        <x:v>15750</x:v>
      </x:c>
      <x:c r="AA145" s="18" t="n">
        <x:f>'01 Controls'!H34</x:f>
        <x:v>0.05</x:v>
      </x:c>
      <x:c r="AB145" s="20" t="n">
        <x:f>R145*AA145</x:f>
        <x:v>1575</x:v>
      </x:c>
      <x:c r="AC145" s="20" t="n">
        <x:f>IF(H145="CM-HCG",K145*'01 Controls'!$E$24,0)</x:f>
        <x:v>0</x:v>
      </x:c>
      <x:c r="AD145" s="20" t="n">
        <x:f>IF(H145="CM-HCG",K145*'01 Controls'!$E$25,0)</x:f>
        <x:v>0</x:v>
      </x:c>
      <x:c r="AE145" s="20" t="n">
        <x:f>IF(H145="CM-HCG",K145*'01 Controls'!$E$26,0)</x:f>
        <x:v>0</x:v>
      </x:c>
      <x:c r="AF145" s="20" t="n">
        <x:f>IF(H145="CM-HCG",K145*'01 Controls'!$E$27,0)</x:f>
        <x:v>0</x:v>
      </x:c>
    </x:row>
    <x:row r="146">
      <x:c r="C146" s="22" t="str">
        <x:v>C3-CM-RLG</x:v>
      </x:c>
      <x:c r="D146" s="22" t="n">
        <x:v>141</x:v>
      </x:c>
      <x:c r="E146" s="22" t="str">
        <x:v>C3</x:v>
      </x:c>
      <x:c r="F146" s="22" t="str">
        <x:v>Cascadia earthquake</x:v>
      </x:c>
      <x:c r="G146" s="22" t="n">
        <x:v>3</x:v>
      </x:c>
      <x:c r="H146" s="22" t="str">
        <x:v>CM-RLG</x:v>
      </x:c>
      <x:c r="I146" s="22" t="str">
        <x:v>Civil Mobility and Continuity</x:v>
      </x:c>
      <x:c r="J146" s="22" t="str">
        <x:v>Civil rail-mobility group</x:v>
      </x:c>
      <x:c r="K146" s="23" t="n">
        <x:v>5</x:v>
      </x:c>
      <x:c r="L146" s="23" t="n">
        <x:v>500</x:v>
      </x:c>
      <x:c r="M146" s="23" t="n">
        <x:v>100</x:v>
      </x:c>
      <x:c r="N146" s="20" t="n">
        <x:f>K146*L146</x:f>
        <x:v>2500</x:v>
      </x:c>
      <x:c r="O146" s="19" t="n">
        <x:v>8000</x:v>
      </x:c>
      <x:c r="P146" s="17" t="n">
        <x:v>0.6</x:v>
      </x:c>
      <x:c r="Q146" s="20" t="n">
        <x:f>K146*O146*P146</x:f>
        <x:v>24000</x:v>
      </x:c>
      <x:c r="R146" s="20" t="n">
        <x:f>Q146*(1-'01 Controls'!$E$6)</x:f>
        <x:v>18000</x:v>
      </x:c>
      <x:c r="S146" s="19" t="n">
        <x:v>40</x:v>
      </x:c>
      <x:c r="T146" s="20" t="n">
        <x:f>K146*S146</x:f>
        <x:v>200</x:v>
      </x:c>
      <x:c r="U146" s="18" t="n">
        <x:f>'01 Controls'!E34</x:f>
        <x:v>0.1</x:v>
      </x:c>
      <x:c r="V146" s="20" t="n">
        <x:f>R146*U146</x:f>
        <x:v>1800</x:v>
      </x:c>
      <x:c r="W146" s="18" t="n">
        <x:f>'01 Controls'!F34</x:f>
        <x:v>0.35</x:v>
      </x:c>
      <x:c r="X146" s="20" t="n">
        <x:f>R146*W146</x:f>
        <x:v>6300</x:v>
      </x:c>
      <x:c r="Y146" s="18" t="n">
        <x:f>'01 Controls'!G34</x:f>
        <x:v>0.5</x:v>
      </x:c>
      <x:c r="Z146" s="20" t="n">
        <x:f>R146*Y146</x:f>
        <x:v>9000</x:v>
      </x:c>
      <x:c r="AA146" s="18" t="n">
        <x:f>'01 Controls'!H34</x:f>
        <x:v>0.05</x:v>
      </x:c>
      <x:c r="AB146" s="20" t="n">
        <x:f>R146*AA146</x:f>
        <x:v>900</x:v>
      </x:c>
      <x:c r="AC146" s="20" t="n">
        <x:f>IF(H146="CM-HCG",K146*'01 Controls'!$E$24,0)</x:f>
        <x:v>0</x:v>
      </x:c>
      <x:c r="AD146" s="20" t="n">
        <x:f>IF(H146="CM-HCG",K146*'01 Controls'!$E$25,0)</x:f>
        <x:v>0</x:v>
      </x:c>
      <x:c r="AE146" s="20" t="n">
        <x:f>IF(H146="CM-HCG",K146*'01 Controls'!$E$26,0)</x:f>
        <x:v>0</x:v>
      </x:c>
      <x:c r="AF146" s="20" t="n">
        <x:f>IF(H146="CM-HCG",K146*'01 Controls'!$E$27,0)</x:f>
        <x:v>0</x:v>
      </x:c>
    </x:row>
    <x:row r="147">
      <x:c r="C147" s="22" t="str">
        <x:v>C3-CM-AMG</x:v>
      </x:c>
      <x:c r="D147" s="22" t="n">
        <x:v>142</x:v>
      </x:c>
      <x:c r="E147" s="22" t="str">
        <x:v>C3</x:v>
      </x:c>
      <x:c r="F147" s="22" t="str">
        <x:v>Cascadia earthquake</x:v>
      </x:c>
      <x:c r="G147" s="22" t="n">
        <x:v>3</x:v>
      </x:c>
      <x:c r="H147" s="22" t="str">
        <x:v>CM-AMG</x:v>
      </x:c>
      <x:c r="I147" s="22" t="str">
        <x:v>Civil Mobility and Continuity</x:v>
      </x:c>
      <x:c r="J147" s="22" t="str">
        <x:v>Civil air-mobility group</x:v>
      </x:c>
      <x:c r="K147" s="23" t="n">
        <x:v>4</x:v>
      </x:c>
      <x:c r="L147" s="23" t="n">
        <x:v>600</x:v>
      </x:c>
      <x:c r="M147" s="23" t="n">
        <x:v>200</x:v>
      </x:c>
      <x:c r="N147" s="20" t="n">
        <x:f>K147*L147</x:f>
        <x:v>2400</x:v>
      </x:c>
      <x:c r="O147" s="19" t="n">
        <x:v>6000</x:v>
      </x:c>
      <x:c r="P147" s="17" t="n">
        <x:v>0.75</x:v>
      </x:c>
      <x:c r="Q147" s="20" t="n">
        <x:f>K147*O147*P147</x:f>
        <x:v>18000</x:v>
      </x:c>
      <x:c r="R147" s="20" t="n">
        <x:f>Q147*(1-'01 Controls'!$E$6)</x:f>
        <x:v>13500</x:v>
      </x:c>
      <x:c r="S147" s="19" t="n">
        <x:v>55</x:v>
      </x:c>
      <x:c r="T147" s="20" t="n">
        <x:f>K147*S147</x:f>
        <x:v>220</x:v>
      </x:c>
      <x:c r="U147" s="18" t="n">
        <x:f>'01 Controls'!E34</x:f>
        <x:v>0.1</x:v>
      </x:c>
      <x:c r="V147" s="20" t="n">
        <x:f>R147*U147</x:f>
        <x:v>1350</x:v>
      </x:c>
      <x:c r="W147" s="18" t="n">
        <x:f>'01 Controls'!F34</x:f>
        <x:v>0.35</x:v>
      </x:c>
      <x:c r="X147" s="20" t="n">
        <x:f>R147*W147</x:f>
        <x:v>4725</x:v>
      </x:c>
      <x:c r="Y147" s="18" t="n">
        <x:f>'01 Controls'!G34</x:f>
        <x:v>0.5</x:v>
      </x:c>
      <x:c r="Z147" s="20" t="n">
        <x:f>R147*Y147</x:f>
        <x:v>6750</x:v>
      </x:c>
      <x:c r="AA147" s="18" t="n">
        <x:f>'01 Controls'!H34</x:f>
        <x:v>0.05</x:v>
      </x:c>
      <x:c r="AB147" s="20" t="n">
        <x:f>R147*AA147</x:f>
        <x:v>675</x:v>
      </x:c>
      <x:c r="AC147" s="20" t="n">
        <x:f>IF(H147="CM-HCG",K147*'01 Controls'!$E$24,0)</x:f>
        <x:v>0</x:v>
      </x:c>
      <x:c r="AD147" s="20" t="n">
        <x:f>IF(H147="CM-HCG",K147*'01 Controls'!$E$25,0)</x:f>
        <x:v>0</x:v>
      </x:c>
      <x:c r="AE147" s="20" t="n">
        <x:f>IF(H147="CM-HCG",K147*'01 Controls'!$E$26,0)</x:f>
        <x:v>0</x:v>
      </x:c>
      <x:c r="AF147" s="20" t="n">
        <x:f>IF(H147="CM-HCG",K147*'01 Controls'!$E$27,0)</x:f>
        <x:v>0</x:v>
      </x:c>
    </x:row>
    <x:row r="148">
      <x:c r="C148" s="22" t="str">
        <x:v>C3-CM-WMG</x:v>
      </x:c>
      <x:c r="D148" s="22" t="n">
        <x:v>143</x:v>
      </x:c>
      <x:c r="E148" s="22" t="str">
        <x:v>C3</x:v>
      </x:c>
      <x:c r="F148" s="22" t="str">
        <x:v>Cascadia earthquake</x:v>
      </x:c>
      <x:c r="G148" s="22" t="n">
        <x:v>3</x:v>
      </x:c>
      <x:c r="H148" s="22" t="str">
        <x:v>CM-WMG</x:v>
      </x:c>
      <x:c r="I148" s="22" t="str">
        <x:v>Civil Mobility and Continuity</x:v>
      </x:c>
      <x:c r="J148" s="22" t="str">
        <x:v>Civil water-mobility group</x:v>
      </x:c>
      <x:c r="K148" s="23" t="n">
        <x:v>5</x:v>
      </x:c>
      <x:c r="L148" s="23" t="n">
        <x:v>500</x:v>
      </x:c>
      <x:c r="M148" s="23" t="n">
        <x:v>100</x:v>
      </x:c>
      <x:c r="N148" s="20" t="n">
        <x:f>K148*L148</x:f>
        <x:v>2500</x:v>
      </x:c>
      <x:c r="O148" s="19" t="n">
        <x:v>9000</x:v>
      </x:c>
      <x:c r="P148" s="17" t="n">
        <x:v>0.5</x:v>
      </x:c>
      <x:c r="Q148" s="20" t="n">
        <x:f>K148*O148*P148</x:f>
        <x:v>22500</x:v>
      </x:c>
      <x:c r="R148" s="20" t="n">
        <x:f>Q148*(1-'01 Controls'!$E$6)</x:f>
        <x:v>16875</x:v>
      </x:c>
      <x:c r="S148" s="19" t="n">
        <x:v>50</x:v>
      </x:c>
      <x:c r="T148" s="20" t="n">
        <x:f>K148*S148</x:f>
        <x:v>250</x:v>
      </x:c>
      <x:c r="U148" s="18" t="n">
        <x:f>'01 Controls'!E34</x:f>
        <x:v>0.1</x:v>
      </x:c>
      <x:c r="V148" s="20" t="n">
        <x:f>R148*U148</x:f>
        <x:v>1687.5</x:v>
      </x:c>
      <x:c r="W148" s="18" t="n">
        <x:f>'01 Controls'!F34</x:f>
        <x:v>0.35</x:v>
      </x:c>
      <x:c r="X148" s="20" t="n">
        <x:f>R148*W148</x:f>
        <x:v>5906.25</x:v>
      </x:c>
      <x:c r="Y148" s="18" t="n">
        <x:f>'01 Controls'!G34</x:f>
        <x:v>0.5</x:v>
      </x:c>
      <x:c r="Z148" s="20" t="n">
        <x:f>R148*Y148</x:f>
        <x:v>8437.5</x:v>
      </x:c>
      <x:c r="AA148" s="18" t="n">
        <x:f>'01 Controls'!H34</x:f>
        <x:v>0.05</x:v>
      </x:c>
      <x:c r="AB148" s="20" t="n">
        <x:f>R148*AA148</x:f>
        <x:v>843.75</x:v>
      </x:c>
      <x:c r="AC148" s="20" t="n">
        <x:f>IF(H148="CM-HCG",K148*'01 Controls'!$E$24,0)</x:f>
        <x:v>0</x:v>
      </x:c>
      <x:c r="AD148" s="20" t="n">
        <x:f>IF(H148="CM-HCG",K148*'01 Controls'!$E$25,0)</x:f>
        <x:v>0</x:v>
      </x:c>
      <x:c r="AE148" s="20" t="n">
        <x:f>IF(H148="CM-HCG",K148*'01 Controls'!$E$26,0)</x:f>
        <x:v>0</x:v>
      </x:c>
      <x:c r="AF148" s="20" t="n">
        <x:f>IF(H148="CM-HCG",K148*'01 Controls'!$E$27,0)</x:f>
        <x:v>0</x:v>
      </x:c>
    </x:row>
    <x:row r="149">
      <x:c r="C149" s="22" t="str">
        <x:v>C3-CM-RDC</x:v>
      </x:c>
      <x:c r="D149" s="22" t="n">
        <x:v>144</x:v>
      </x:c>
      <x:c r="E149" s="22" t="str">
        <x:v>C3</x:v>
      </x:c>
      <x:c r="F149" s="22" t="str">
        <x:v>Cascadia earthquake</x:v>
      </x:c>
      <x:c r="G149" s="22" t="n">
        <x:v>3</x:v>
      </x:c>
      <x:c r="H149" s="22" t="str">
        <x:v>CM-RDC</x:v>
      </x:c>
      <x:c r="I149" s="22" t="str">
        <x:v>Civil Mobility and Continuity</x:v>
      </x:c>
      <x:c r="J149" s="22" t="str">
        <x:v>Return and durable-continuity group</x:v>
      </x:c>
      <x:c r="K149" s="23" t="n">
        <x:v>8</x:v>
      </x:c>
      <x:c r="L149" s="23" t="n">
        <x:v>450</x:v>
      </x:c>
      <x:c r="M149" s="23" t="n">
        <x:v>50</x:v>
      </x:c>
      <x:c r="N149" s="20" t="n">
        <x:f>K149*L149</x:f>
        <x:v>3600</x:v>
      </x:c>
      <x:c r="O149" s="19" t="n">
        <x:v>1800</x:v>
      </x:c>
      <x:c r="P149" s="17" t="n">
        <x:v>0.5</x:v>
      </x:c>
      <x:c r="Q149" s="20" t="n">
        <x:f>K149*O149*P149</x:f>
        <x:v>7200</x:v>
      </x:c>
      <x:c r="R149" s="20" t="n">
        <x:f>Q149*(1-'01 Controls'!$E$6)</x:f>
        <x:v>5400</x:v>
      </x:c>
      <x:c r="S149" s="19" t="n">
        <x:v>25</x:v>
      </x:c>
      <x:c r="T149" s="20" t="n">
        <x:f>K149*S149</x:f>
        <x:v>200</x:v>
      </x:c>
      <x:c r="U149" s="18" t="n">
        <x:f>'01 Controls'!E34</x:f>
        <x:v>0.1</x:v>
      </x:c>
      <x:c r="V149" s="20" t="n">
        <x:f>R149*U149</x:f>
        <x:v>540</x:v>
      </x:c>
      <x:c r="W149" s="18" t="n">
        <x:f>'01 Controls'!F34</x:f>
        <x:v>0.35</x:v>
      </x:c>
      <x:c r="X149" s="20" t="n">
        <x:f>R149*W149</x:f>
        <x:v>1889.9999999999998</x:v>
      </x:c>
      <x:c r="Y149" s="18" t="n">
        <x:f>'01 Controls'!G34</x:f>
        <x:v>0.5</x:v>
      </x:c>
      <x:c r="Z149" s="20" t="n">
        <x:f>R149*Y149</x:f>
        <x:v>2700</x:v>
      </x:c>
      <x:c r="AA149" s="18" t="n">
        <x:f>'01 Controls'!H34</x:f>
        <x:v>0.05</x:v>
      </x:c>
      <x:c r="AB149" s="20" t="n">
        <x:f>R149*AA149</x:f>
        <x:v>270</x:v>
      </x:c>
      <x:c r="AC149" s="20" t="n">
        <x:f>IF(H149="CM-HCG",K149*'01 Controls'!$E$24,0)</x:f>
        <x:v>0</x:v>
      </x:c>
      <x:c r="AD149" s="20" t="n">
        <x:f>IF(H149="CM-HCG",K149*'01 Controls'!$E$25,0)</x:f>
        <x:v>0</x:v>
      </x:c>
      <x:c r="AE149" s="20" t="n">
        <x:f>IF(H149="CM-HCG",K149*'01 Controls'!$E$26,0)</x:f>
        <x:v>0</x:v>
      </x:c>
      <x:c r="AF149" s="20" t="n">
        <x:f>IF(H149="CM-HCG",K149*'01 Controls'!$E$27,0)</x:f>
        <x:v>0</x:v>
      </x:c>
    </x:row>
    <x:row r="150">
      <x:c r="C150" s="22" t="str">
        <x:v>M1-J-CIE</x:v>
      </x:c>
      <x:c r="D150" s="22" t="n">
        <x:v>145</x:v>
      </x:c>
      <x:c r="E150" s="22" t="str">
        <x:v>M1</x:v>
      </x:c>
      <x:c r="F150" s="22" t="str">
        <x:v>Western fire and heat</x:v>
      </x:c>
      <x:c r="G150" s="22" t="n">
        <x:v>4</x:v>
      </x:c>
      <x:c r="H150" s="22" t="str">
        <x:v>J-CIE</x:v>
      </x:c>
      <x:c r="I150" s="22" t="str">
        <x:v>Joint</x:v>
      </x:c>
      <x:c r="J150" s="22" t="str">
        <x:v>Civil integration and effects group</x:v>
      </x:c>
      <x:c r="K150" s="23" t="n">
        <x:v>2</x:v>
      </x:c>
      <x:c r="L150" s="23" t="n">
        <x:v>120</x:v>
      </x:c>
      <x:c r="M150" s="23" t="n">
        <x:v>0</x:v>
      </x:c>
      <x:c r="N150" s="20" t="n">
        <x:f>K150*L150</x:f>
        <x:v>240</x:v>
      </x:c>
      <x:c r="O150" s="19" t="n">
        <x:v>2200</x:v>
      </x:c>
      <x:c r="P150" s="17" t="n">
        <x:v>0.65</x:v>
      </x:c>
      <x:c r="Q150" s="20" t="n">
        <x:f>K150*O150*P150</x:f>
        <x:v>2860</x:v>
      </x:c>
      <x:c r="R150" s="20" t="n">
        <x:f>Q150*(1-'01 Controls'!$E$6)</x:f>
        <x:v>2145</x:v>
      </x:c>
      <x:c r="S150" s="19" t="n">
        <x:v>45</x:v>
      </x:c>
      <x:c r="T150" s="20" t="n">
        <x:f>K150*S150</x:f>
        <x:v>90</x:v>
      </x:c>
      <x:c r="U150" s="18" t="n">
        <x:f>'01 Controls'!E35</x:f>
        <x:v>0.1</x:v>
      </x:c>
      <x:c r="V150" s="20" t="n">
        <x:f>R150*U150</x:f>
        <x:v>214.5</x:v>
      </x:c>
      <x:c r="W150" s="18" t="n">
        <x:f>'01 Controls'!F35</x:f>
        <x:v>0</x:v>
      </x:c>
      <x:c r="X150" s="20" t="n">
        <x:f>R150*W150</x:f>
        <x:v>0</x:v>
      </x:c>
      <x:c r="Y150" s="18" t="n">
        <x:f>'01 Controls'!G35</x:f>
        <x:v>0.9</x:v>
      </x:c>
      <x:c r="Z150" s="20" t="n">
        <x:f>R150*Y150</x:f>
        <x:v>1930.5</x:v>
      </x:c>
      <x:c r="AA150" s="18" t="n">
        <x:f>'01 Controls'!H35</x:f>
        <x:v>0</x:v>
      </x:c>
      <x:c r="AB150" s="20" t="n">
        <x:f>R150*AA150</x:f>
        <x:v>0</x:v>
      </x:c>
      <x:c r="AC150" s="20" t="n">
        <x:f>IF(H150="CM-HCG",K150*'01 Controls'!$E$24,0)</x:f>
        <x:v>0</x:v>
      </x:c>
      <x:c r="AD150" s="20" t="n">
        <x:f>IF(H150="CM-HCG",K150*'01 Controls'!$E$25,0)</x:f>
        <x:v>0</x:v>
      </x:c>
      <x:c r="AE150" s="20" t="n">
        <x:f>IF(H150="CM-HCG",K150*'01 Controls'!$E$26,0)</x:f>
        <x:v>0</x:v>
      </x:c>
      <x:c r="AF150" s="20" t="n">
        <x:f>IF(H150="CM-HCG",K150*'01 Controls'!$E$27,0)</x:f>
        <x:v>0</x:v>
      </x:c>
    </x:row>
    <x:row r="151">
      <x:c r="C151" s="22" t="str">
        <x:v>M1-J-TOC</x:v>
      </x:c>
      <x:c r="D151" s="22" t="n">
        <x:v>146</x:v>
      </x:c>
      <x:c r="E151" s="22" t="str">
        <x:v>M1</x:v>
      </x:c>
      <x:c r="F151" s="22" t="str">
        <x:v>Western fire and heat</x:v>
      </x:c>
      <x:c r="G151" s="22" t="n">
        <x:v>4</x:v>
      </x:c>
      <x:c r="H151" s="22" t="str">
        <x:v>J-TOC</x:v>
      </x:c>
      <x:c r="I151" s="22" t="str">
        <x:v>Joint</x:v>
      </x:c>
      <x:c r="J151" s="22" t="str">
        <x:v>Theater-opening command</x:v>
      </x:c>
      <x:c r="K151" s="23" t="n">
        <x:v>1</x:v>
      </x:c>
      <x:c r="L151" s="23" t="n">
        <x:v>600</x:v>
      </x:c>
      <x:c r="M151" s="23" t="n">
        <x:v>0</x:v>
      </x:c>
      <x:c r="N151" s="20" t="n">
        <x:f>K151*L151</x:f>
        <x:v>600</x:v>
      </x:c>
      <x:c r="O151" s="19" t="n">
        <x:v>2200</x:v>
      </x:c>
      <x:c r="P151" s="17" t="n">
        <x:v>0.65</x:v>
      </x:c>
      <x:c r="Q151" s="20" t="n">
        <x:f>K151*O151*P151</x:f>
        <x:v>1430</x:v>
      </x:c>
      <x:c r="R151" s="20" t="n">
        <x:f>Q151*(1-'01 Controls'!$E$6)</x:f>
        <x:v>1072.5</x:v>
      </x:c>
      <x:c r="S151" s="19" t="n">
        <x:v>45</x:v>
      </x:c>
      <x:c r="T151" s="20" t="n">
        <x:f>K151*S151</x:f>
        <x:v>45</x:v>
      </x:c>
      <x:c r="U151" s="18" t="n">
        <x:f>'01 Controls'!E35</x:f>
        <x:v>0.1</x:v>
      </x:c>
      <x:c r="V151" s="20" t="n">
        <x:f>R151*U151</x:f>
        <x:v>107.25</x:v>
      </x:c>
      <x:c r="W151" s="18" t="n">
        <x:f>'01 Controls'!F35</x:f>
        <x:v>0</x:v>
      </x:c>
      <x:c r="X151" s="20" t="n">
        <x:f>R151*W151</x:f>
        <x:v>0</x:v>
      </x:c>
      <x:c r="Y151" s="18" t="n">
        <x:f>'01 Controls'!G35</x:f>
        <x:v>0.9</x:v>
      </x:c>
      <x:c r="Z151" s="20" t="n">
        <x:f>R151*Y151</x:f>
        <x:v>965.25</x:v>
      </x:c>
      <x:c r="AA151" s="18" t="n">
        <x:f>'01 Controls'!H35</x:f>
        <x:v>0</x:v>
      </x:c>
      <x:c r="AB151" s="20" t="n">
        <x:f>R151*AA151</x:f>
        <x:v>0</x:v>
      </x:c>
      <x:c r="AC151" s="20" t="n">
        <x:f>IF(H151="CM-HCG",K151*'01 Controls'!$E$24,0)</x:f>
        <x:v>0</x:v>
      </x:c>
      <x:c r="AD151" s="20" t="n">
        <x:f>IF(H151="CM-HCG",K151*'01 Controls'!$E$25,0)</x:f>
        <x:v>0</x:v>
      </x:c>
      <x:c r="AE151" s="20" t="n">
        <x:f>IF(H151="CM-HCG",K151*'01 Controls'!$E$26,0)</x:f>
        <x:v>0</x:v>
      </x:c>
      <x:c r="AF151" s="20" t="n">
        <x:f>IF(H151="CM-HCG",K151*'01 Controls'!$E$27,0)</x:f>
        <x:v>0</x:v>
      </x:c>
    </x:row>
    <x:row r="152">
      <x:c r="C152" s="22" t="str">
        <x:v>M1-J-TSC</x:v>
      </x:c>
      <x:c r="D152" s="22" t="n">
        <x:v>147</x:v>
      </x:c>
      <x:c r="E152" s="22" t="str">
        <x:v>M1</x:v>
      </x:c>
      <x:c r="F152" s="22" t="str">
        <x:v>Western fire and heat</x:v>
      </x:c>
      <x:c r="G152" s="22" t="n">
        <x:v>4</x:v>
      </x:c>
      <x:c r="H152" s="22" t="str">
        <x:v>J-TSC</x:v>
      </x:c>
      <x:c r="I152" s="22" t="str">
        <x:v>Joint</x:v>
      </x:c>
      <x:c r="J152" s="22" t="str">
        <x:v>Theater sustainment command</x:v>
      </x:c>
      <x:c r="K152" s="23" t="n">
        <x:v>2</x:v>
      </x:c>
      <x:c r="L152" s="23" t="n">
        <x:v>900</x:v>
      </x:c>
      <x:c r="M152" s="23" t="n">
        <x:v>0</x:v>
      </x:c>
      <x:c r="N152" s="20" t="n">
        <x:f>K152*L152</x:f>
        <x:v>1800</x:v>
      </x:c>
      <x:c r="O152" s="19" t="n">
        <x:v>2200</x:v>
      </x:c>
      <x:c r="P152" s="17" t="n">
        <x:v>0.65</x:v>
      </x:c>
      <x:c r="Q152" s="20" t="n">
        <x:f>K152*O152*P152</x:f>
        <x:v>2860</x:v>
      </x:c>
      <x:c r="R152" s="20" t="n">
        <x:f>Q152*(1-'01 Controls'!$E$6)</x:f>
        <x:v>2145</x:v>
      </x:c>
      <x:c r="S152" s="19" t="n">
        <x:v>45</x:v>
      </x:c>
      <x:c r="T152" s="20" t="n">
        <x:f>K152*S152</x:f>
        <x:v>90</x:v>
      </x:c>
      <x:c r="U152" s="18" t="n">
        <x:f>'01 Controls'!E35</x:f>
        <x:v>0.1</x:v>
      </x:c>
      <x:c r="V152" s="20" t="n">
        <x:f>R152*U152</x:f>
        <x:v>214.5</x:v>
      </x:c>
      <x:c r="W152" s="18" t="n">
        <x:f>'01 Controls'!F35</x:f>
        <x:v>0</x:v>
      </x:c>
      <x:c r="X152" s="20" t="n">
        <x:f>R152*W152</x:f>
        <x:v>0</x:v>
      </x:c>
      <x:c r="Y152" s="18" t="n">
        <x:f>'01 Controls'!G35</x:f>
        <x:v>0.9</x:v>
      </x:c>
      <x:c r="Z152" s="20" t="n">
        <x:f>R152*Y152</x:f>
        <x:v>1930.5</x:v>
      </x:c>
      <x:c r="AA152" s="18" t="n">
        <x:f>'01 Controls'!H35</x:f>
        <x:v>0</x:v>
      </x:c>
      <x:c r="AB152" s="20" t="n">
        <x:f>R152*AA152</x:f>
        <x:v>0</x:v>
      </x:c>
      <x:c r="AC152" s="20" t="n">
        <x:f>IF(H152="CM-HCG",K152*'01 Controls'!$E$24,0)</x:f>
        <x:v>0</x:v>
      </x:c>
      <x:c r="AD152" s="20" t="n">
        <x:f>IF(H152="CM-HCG",K152*'01 Controls'!$E$25,0)</x:f>
        <x:v>0</x:v>
      </x:c>
      <x:c r="AE152" s="20" t="n">
        <x:f>IF(H152="CM-HCG",K152*'01 Controls'!$E$26,0)</x:f>
        <x:v>0</x:v>
      </x:c>
      <x:c r="AF152" s="20" t="n">
        <x:f>IF(H152="CM-HCG",K152*'01 Controls'!$E$27,0)</x:f>
        <x:v>0</x:v>
      </x:c>
    </x:row>
    <x:row r="153">
      <x:c r="C153" s="22" t="str">
        <x:v>M1-J-RRG</x:v>
      </x:c>
      <x:c r="D153" s="22" t="n">
        <x:v>148</x:v>
      </x:c>
      <x:c r="E153" s="22" t="str">
        <x:v>M1</x:v>
      </x:c>
      <x:c r="F153" s="22" t="str">
        <x:v>Western fire and heat</x:v>
      </x:c>
      <x:c r="G153" s="22" t="n">
        <x:v>4</x:v>
      </x:c>
      <x:c r="H153" s="22" t="str">
        <x:v>J-RRG</x:v>
      </x:c>
      <x:c r="I153" s="22" t="str">
        <x:v>Joint</x:v>
      </x:c>
      <x:c r="J153" s="22" t="str">
        <x:v>Replacement and reconstitution group</x:v>
      </x:c>
      <x:c r="K153" s="23" t="n">
        <x:v>2</x:v>
      </x:c>
      <x:c r="L153" s="23" t="n">
        <x:v>400</x:v>
      </x:c>
      <x:c r="M153" s="23" t="n">
        <x:v>0</x:v>
      </x:c>
      <x:c r="N153" s="20" t="n">
        <x:f>K153*L153</x:f>
        <x:v>800</x:v>
      </x:c>
      <x:c r="O153" s="19" t="n">
        <x:v>2200</x:v>
      </x:c>
      <x:c r="P153" s="17" t="n">
        <x:v>0.65</x:v>
      </x:c>
      <x:c r="Q153" s="20" t="n">
        <x:f>K153*O153*P153</x:f>
        <x:v>2860</x:v>
      </x:c>
      <x:c r="R153" s="20" t="n">
        <x:f>Q153*(1-'01 Controls'!$E$6)</x:f>
        <x:v>2145</x:v>
      </x:c>
      <x:c r="S153" s="19" t="n">
        <x:v>45</x:v>
      </x:c>
      <x:c r="T153" s="20" t="n">
        <x:f>K153*S153</x:f>
        <x:v>90</x:v>
      </x:c>
      <x:c r="U153" s="18" t="n">
        <x:f>'01 Controls'!E35</x:f>
        <x:v>0.1</x:v>
      </x:c>
      <x:c r="V153" s="20" t="n">
        <x:f>R153*U153</x:f>
        <x:v>214.5</x:v>
      </x:c>
      <x:c r="W153" s="18" t="n">
        <x:f>'01 Controls'!F35</x:f>
        <x:v>0</x:v>
      </x:c>
      <x:c r="X153" s="20" t="n">
        <x:f>R153*W153</x:f>
        <x:v>0</x:v>
      </x:c>
      <x:c r="Y153" s="18" t="n">
        <x:f>'01 Controls'!G35</x:f>
        <x:v>0.9</x:v>
      </x:c>
      <x:c r="Z153" s="20" t="n">
        <x:f>R153*Y153</x:f>
        <x:v>1930.5</x:v>
      </x:c>
      <x:c r="AA153" s="18" t="n">
        <x:f>'01 Controls'!H35</x:f>
        <x:v>0</x:v>
      </x:c>
      <x:c r="AB153" s="20" t="n">
        <x:f>R153*AA153</x:f>
        <x:v>0</x:v>
      </x:c>
      <x:c r="AC153" s="20" t="n">
        <x:f>IF(H153="CM-HCG",K153*'01 Controls'!$E$24,0)</x:f>
        <x:v>0</x:v>
      </x:c>
      <x:c r="AD153" s="20" t="n">
        <x:f>IF(H153="CM-HCG",K153*'01 Controls'!$E$25,0)</x:f>
        <x:v>0</x:v>
      </x:c>
      <x:c r="AE153" s="20" t="n">
        <x:f>IF(H153="CM-HCG",K153*'01 Controls'!$E$26,0)</x:f>
        <x:v>0</x:v>
      </x:c>
      <x:c r="AF153" s="20" t="n">
        <x:f>IF(H153="CM-HCG",K153*'01 Controls'!$E$27,0)</x:f>
        <x:v>0</x:v>
      </x:c>
    </x:row>
    <x:row r="154">
      <x:c r="C154" s="22" t="str">
        <x:v>M1-J-TDG</x:v>
      </x:c>
      <x:c r="D154" s="22" t="n">
        <x:v>149</x:v>
      </x:c>
      <x:c r="E154" s="22" t="str">
        <x:v>M1</x:v>
      </x:c>
      <x:c r="F154" s="22" t="str">
        <x:v>Western fire and heat</x:v>
      </x:c>
      <x:c r="G154" s="22" t="n">
        <x:v>4</x:v>
      </x:c>
      <x:c r="H154" s="22" t="str">
        <x:v>J-TDG</x:v>
      </x:c>
      <x:c r="I154" s="22" t="str">
        <x:v>Joint</x:v>
      </x:c>
      <x:c r="J154" s="22" t="str">
        <x:v>Transfer and demobilization group</x:v>
      </x:c>
      <x:c r="K154" s="23" t="n">
        <x:v>1</x:v>
      </x:c>
      <x:c r="L154" s="23" t="n">
        <x:v>150</x:v>
      </x:c>
      <x:c r="M154" s="23" t="n">
        <x:v>0</x:v>
      </x:c>
      <x:c r="N154" s="20" t="n">
        <x:f>K154*L154</x:f>
        <x:v>150</x:v>
      </x:c>
      <x:c r="O154" s="19" t="n">
        <x:v>2200</x:v>
      </x:c>
      <x:c r="P154" s="17" t="n">
        <x:v>0.65</x:v>
      </x:c>
      <x:c r="Q154" s="20" t="n">
        <x:f>K154*O154*P154</x:f>
        <x:v>1430</x:v>
      </x:c>
      <x:c r="R154" s="20" t="n">
        <x:f>Q154*(1-'01 Controls'!$E$6)</x:f>
        <x:v>1072.5</x:v>
      </x:c>
      <x:c r="S154" s="19" t="n">
        <x:v>45</x:v>
      </x:c>
      <x:c r="T154" s="20" t="n">
        <x:f>K154*S154</x:f>
        <x:v>45</x:v>
      </x:c>
      <x:c r="U154" s="18" t="n">
        <x:f>'01 Controls'!E35</x:f>
        <x:v>0.1</x:v>
      </x:c>
      <x:c r="V154" s="20" t="n">
        <x:f>R154*U154</x:f>
        <x:v>107.25</x:v>
      </x:c>
      <x:c r="W154" s="18" t="n">
        <x:f>'01 Controls'!F35</x:f>
        <x:v>0</x:v>
      </x:c>
      <x:c r="X154" s="20" t="n">
        <x:f>R154*W154</x:f>
        <x:v>0</x:v>
      </x:c>
      <x:c r="Y154" s="18" t="n">
        <x:f>'01 Controls'!G35</x:f>
        <x:v>0.9</x:v>
      </x:c>
      <x:c r="Z154" s="20" t="n">
        <x:f>R154*Y154</x:f>
        <x:v>965.25</x:v>
      </x:c>
      <x:c r="AA154" s="18" t="n">
        <x:f>'01 Controls'!H35</x:f>
        <x:v>0</x:v>
      </x:c>
      <x:c r="AB154" s="20" t="n">
        <x:f>R154*AA154</x:f>
        <x:v>0</x:v>
      </x:c>
      <x:c r="AC154" s="20" t="n">
        <x:f>IF(H154="CM-HCG",K154*'01 Controls'!$E$24,0)</x:f>
        <x:v>0</x:v>
      </x:c>
      <x:c r="AD154" s="20" t="n">
        <x:f>IF(H154="CM-HCG",K154*'01 Controls'!$E$25,0)</x:f>
        <x:v>0</x:v>
      </x:c>
      <x:c r="AE154" s="20" t="n">
        <x:f>IF(H154="CM-HCG",K154*'01 Controls'!$E$26,0)</x:f>
        <x:v>0</x:v>
      </x:c>
      <x:c r="AF154" s="20" t="n">
        <x:f>IF(H154="CM-HCG",K154*'01 Controls'!$E$27,0)</x:f>
        <x:v>0</x:v>
      </x:c>
    </x:row>
    <x:row r="155">
      <x:c r="C155" s="22" t="str">
        <x:v>M1-L-ROG</x:v>
      </x:c>
      <x:c r="D155" s="22" t="n">
        <x:v>150</x:v>
      </x:c>
      <x:c r="E155" s="22" t="str">
        <x:v>M1</x:v>
      </x:c>
      <x:c r="F155" s="22" t="str">
        <x:v>Western fire and heat</x:v>
      </x:c>
      <x:c r="G155" s="22" t="n">
        <x:v>4</x:v>
      </x:c>
      <x:c r="H155" s="22" t="str">
        <x:v>L-ROG</x:v>
      </x:c>
      <x:c r="I155" s="22" t="str">
        <x:v>Land Engineering</x:v>
      </x:c>
      <x:c r="J155" s="22" t="str">
        <x:v>Access and route-opening group</x:v>
      </x:c>
      <x:c r="K155" s="23" t="n">
        <x:v>4</x:v>
      </x:c>
      <x:c r="L155" s="23" t="n">
        <x:v>350</x:v>
      </x:c>
      <x:c r="M155" s="23" t="n">
        <x:v>0</x:v>
      </x:c>
      <x:c r="N155" s="20" t="n">
        <x:f>K155*L155</x:f>
        <x:v>1400</x:v>
      </x:c>
      <x:c r="O155" s="19" t="n">
        <x:v>9000</x:v>
      </x:c>
      <x:c r="P155" s="17" t="n">
        <x:v>0.45</x:v>
      </x:c>
      <x:c r="Q155" s="20" t="n">
        <x:f>K155*O155*P155</x:f>
        <x:v>16200</x:v>
      </x:c>
      <x:c r="R155" s="20" t="n">
        <x:f>Q155*(1-'01 Controls'!$E$6)</x:f>
        <x:v>12150</x:v>
      </x:c>
      <x:c r="S155" s="19" t="n">
        <x:v>90</x:v>
      </x:c>
      <x:c r="T155" s="20" t="n">
        <x:f>K155*S155</x:f>
        <x:v>360</x:v>
      </x:c>
      <x:c r="U155" s="18" t="n">
        <x:f>'01 Controls'!E35</x:f>
        <x:v>0.1</x:v>
      </x:c>
      <x:c r="V155" s="20" t="n">
        <x:f>R155*U155</x:f>
        <x:v>1215</x:v>
      </x:c>
      <x:c r="W155" s="18" t="n">
        <x:f>'01 Controls'!F35</x:f>
        <x:v>0</x:v>
      </x:c>
      <x:c r="X155" s="20" t="n">
        <x:f>R155*W155</x:f>
        <x:v>0</x:v>
      </x:c>
      <x:c r="Y155" s="18" t="n">
        <x:f>'01 Controls'!G35</x:f>
        <x:v>0.9</x:v>
      </x:c>
      <x:c r="Z155" s="20" t="n">
        <x:f>R155*Y155</x:f>
        <x:v>10935</x:v>
      </x:c>
      <x:c r="AA155" s="18" t="n">
        <x:f>'01 Controls'!H35</x:f>
        <x:v>0</x:v>
      </x:c>
      <x:c r="AB155" s="20" t="n">
        <x:f>R155*AA155</x:f>
        <x:v>0</x:v>
      </x:c>
      <x:c r="AC155" s="20" t="n">
        <x:f>IF(H155="CM-HCG",K155*'01 Controls'!$E$24,0)</x:f>
        <x:v>0</x:v>
      </x:c>
      <x:c r="AD155" s="20" t="n">
        <x:f>IF(H155="CM-HCG",K155*'01 Controls'!$E$25,0)</x:f>
        <x:v>0</x:v>
      </x:c>
      <x:c r="AE155" s="20" t="n">
        <x:f>IF(H155="CM-HCG",K155*'01 Controls'!$E$26,0)</x:f>
        <x:v>0</x:v>
      </x:c>
      <x:c r="AF155" s="20" t="n">
        <x:f>IF(H155="CM-HCG",K155*'01 Controls'!$E$27,0)</x:f>
        <x:v>0</x:v>
      </x:c>
    </x:row>
    <x:row r="156">
      <x:c r="C156" s="22" t="str">
        <x:v>M1-L-HCG</x:v>
      </x:c>
      <x:c r="D156" s="22" t="n">
        <x:v>151</x:v>
      </x:c>
      <x:c r="E156" s="22" t="str">
        <x:v>M1</x:v>
      </x:c>
      <x:c r="F156" s="22" t="str">
        <x:v>Western fire and heat</x:v>
      </x:c>
      <x:c r="G156" s="22" t="n">
        <x:v>4</x:v>
      </x:c>
      <x:c r="H156" s="22" t="str">
        <x:v>L-HCG</x:v>
      </x:c>
      <x:c r="I156" s="22" t="str">
        <x:v>Land Engineering</x:v>
      </x:c>
      <x:c r="J156" s="22" t="str">
        <x:v>Flood and hydraulic-control group</x:v>
      </x:c>
      <x:c r="K156" s="23" t="n">
        <x:v>0</x:v>
      </x:c>
      <x:c r="L156" s="23" t="n">
        <x:v>500</x:v>
      </x:c>
      <x:c r="M156" s="23" t="n">
        <x:v>0</x:v>
      </x:c>
      <x:c r="N156" s="20" t="n">
        <x:f>K156*L156</x:f>
        <x:v>0</x:v>
      </x:c>
      <x:c r="O156" s="19" t="n">
        <x:v>9000</x:v>
      </x:c>
      <x:c r="P156" s="17" t="n">
        <x:v>0.45</x:v>
      </x:c>
      <x:c r="Q156" s="20" t="n">
        <x:f>K156*O156*P156</x:f>
        <x:v>0</x:v>
      </x:c>
      <x:c r="R156" s="20" t="n">
        <x:f>Q156*(1-'01 Controls'!$E$6)</x:f>
        <x:v>0</x:v>
      </x:c>
      <x:c r="S156" s="19" t="n">
        <x:v>90</x:v>
      </x:c>
      <x:c r="T156" s="20" t="n">
        <x:f>K156*S156</x:f>
        <x:v>0</x:v>
      </x:c>
      <x:c r="U156" s="18" t="n">
        <x:f>'01 Controls'!E35</x:f>
        <x:v>0.1</x:v>
      </x:c>
      <x:c r="V156" s="20" t="n">
        <x:f>R156*U156</x:f>
        <x:v>0</x:v>
      </x:c>
      <x:c r="W156" s="18" t="n">
        <x:f>'01 Controls'!F35</x:f>
        <x:v>0</x:v>
      </x:c>
      <x:c r="X156" s="20" t="n">
        <x:f>R156*W156</x:f>
        <x:v>0</x:v>
      </x:c>
      <x:c r="Y156" s="18" t="n">
        <x:f>'01 Controls'!G35</x:f>
        <x:v>0.9</x:v>
      </x:c>
      <x:c r="Z156" s="20" t="n">
        <x:f>R156*Y156</x:f>
        <x:v>0</x:v>
      </x:c>
      <x:c r="AA156" s="18" t="n">
        <x:f>'01 Controls'!H35</x:f>
        <x:v>0</x:v>
      </x:c>
      <x:c r="AB156" s="20" t="n">
        <x:f>R156*AA156</x:f>
        <x:v>0</x:v>
      </x:c>
      <x:c r="AC156" s="20" t="n">
        <x:f>IF(H156="CM-HCG",K156*'01 Controls'!$E$24,0)</x:f>
        <x:v>0</x:v>
      </x:c>
      <x:c r="AD156" s="20" t="n">
        <x:f>IF(H156="CM-HCG",K156*'01 Controls'!$E$25,0)</x:f>
        <x:v>0</x:v>
      </x:c>
      <x:c r="AE156" s="20" t="n">
        <x:f>IF(H156="CM-HCG",K156*'01 Controls'!$E$26,0)</x:f>
        <x:v>0</x:v>
      </x:c>
      <x:c r="AF156" s="20" t="n">
        <x:f>IF(H156="CM-HCG",K156*'01 Controls'!$E$27,0)</x:f>
        <x:v>0</x:v>
      </x:c>
    </x:row>
    <x:row r="157">
      <x:c r="C157" s="22" t="str">
        <x:v>M1-L-DMG</x:v>
      </x:c>
      <x:c r="D157" s="22" t="n">
        <x:v>152</x:v>
      </x:c>
      <x:c r="E157" s="22" t="str">
        <x:v>M1</x:v>
      </x:c>
      <x:c r="F157" s="22" t="str">
        <x:v>Western fire and heat</x:v>
      </x:c>
      <x:c r="G157" s="22" t="n">
        <x:v>4</x:v>
      </x:c>
      <x:c r="H157" s="22" t="str">
        <x:v>L-DMG</x:v>
      </x:c>
      <x:c r="I157" s="22" t="str">
        <x:v>Land Engineering</x:v>
      </x:c>
      <x:c r="J157" s="22" t="str">
        <x:v>Debris and materials group</x:v>
      </x:c>
      <x:c r="K157" s="23" t="n">
        <x:v>2</x:v>
      </x:c>
      <x:c r="L157" s="23" t="n">
        <x:v>400</x:v>
      </x:c>
      <x:c r="M157" s="23" t="n">
        <x:v>0</x:v>
      </x:c>
      <x:c r="N157" s="20" t="n">
        <x:f>K157*L157</x:f>
        <x:v>800</x:v>
      </x:c>
      <x:c r="O157" s="19" t="n">
        <x:v>9000</x:v>
      </x:c>
      <x:c r="P157" s="17" t="n">
        <x:v>0.45</x:v>
      </x:c>
      <x:c r="Q157" s="20" t="n">
        <x:f>K157*O157*P157</x:f>
        <x:v>8100</x:v>
      </x:c>
      <x:c r="R157" s="20" t="n">
        <x:f>Q157*(1-'01 Controls'!$E$6)</x:f>
        <x:v>6075</x:v>
      </x:c>
      <x:c r="S157" s="19" t="n">
        <x:v>90</x:v>
      </x:c>
      <x:c r="T157" s="20" t="n">
        <x:f>K157*S157</x:f>
        <x:v>180</x:v>
      </x:c>
      <x:c r="U157" s="18" t="n">
        <x:f>'01 Controls'!E35</x:f>
        <x:v>0.1</x:v>
      </x:c>
      <x:c r="V157" s="20" t="n">
        <x:f>R157*U157</x:f>
        <x:v>607.5</x:v>
      </x:c>
      <x:c r="W157" s="18" t="n">
        <x:f>'01 Controls'!F35</x:f>
        <x:v>0</x:v>
      </x:c>
      <x:c r="X157" s="20" t="n">
        <x:f>R157*W157</x:f>
        <x:v>0</x:v>
      </x:c>
      <x:c r="Y157" s="18" t="n">
        <x:f>'01 Controls'!G35</x:f>
        <x:v>0.9</x:v>
      </x:c>
      <x:c r="Z157" s="20" t="n">
        <x:f>R157*Y157</x:f>
        <x:v>5467.5</x:v>
      </x:c>
      <x:c r="AA157" s="18" t="n">
        <x:f>'01 Controls'!H35</x:f>
        <x:v>0</x:v>
      </x:c>
      <x:c r="AB157" s="20" t="n">
        <x:f>R157*AA157</x:f>
        <x:v>0</x:v>
      </x:c>
      <x:c r="AC157" s="20" t="n">
        <x:f>IF(H157="CM-HCG",K157*'01 Controls'!$E$24,0)</x:f>
        <x:v>0</x:v>
      </x:c>
      <x:c r="AD157" s="20" t="n">
        <x:f>IF(H157="CM-HCG",K157*'01 Controls'!$E$25,0)</x:f>
        <x:v>0</x:v>
      </x:c>
      <x:c r="AE157" s="20" t="n">
        <x:f>IF(H157="CM-HCG",K157*'01 Controls'!$E$26,0)</x:f>
        <x:v>0</x:v>
      </x:c>
      <x:c r="AF157" s="20" t="n">
        <x:f>IF(H157="CM-HCG",K157*'01 Controls'!$E$27,0)</x:f>
        <x:v>0</x:v>
      </x:c>
    </x:row>
    <x:row r="158">
      <x:c r="C158" s="22" t="str">
        <x:v>M1-L-TWG</x:v>
      </x:c>
      <x:c r="D158" s="22" t="n">
        <x:v>153</x:v>
      </x:c>
      <x:c r="E158" s="22" t="str">
        <x:v>M1</x:v>
      </x:c>
      <x:c r="F158" s="22" t="str">
        <x:v>Western fire and heat</x:v>
      </x:c>
      <x:c r="G158" s="22" t="n">
        <x:v>4</x:v>
      </x:c>
      <x:c r="H158" s="22" t="str">
        <x:v>L-TWG</x:v>
      </x:c>
      <x:c r="I158" s="22" t="str">
        <x:v>Land Engineering</x:v>
      </x:c>
      <x:c r="J158" s="22" t="str">
        <x:v>Temporary works and crossing group</x:v>
      </x:c>
      <x:c r="K158" s="23" t="n">
        <x:v>1</x:v>
      </x:c>
      <x:c r="L158" s="23" t="n">
        <x:v>350</x:v>
      </x:c>
      <x:c r="M158" s="23" t="n">
        <x:v>0</x:v>
      </x:c>
      <x:c r="N158" s="20" t="n">
        <x:f>K158*L158</x:f>
        <x:v>350</x:v>
      </x:c>
      <x:c r="O158" s="19" t="n">
        <x:v>9000</x:v>
      </x:c>
      <x:c r="P158" s="17" t="n">
        <x:v>0.45</x:v>
      </x:c>
      <x:c r="Q158" s="20" t="n">
        <x:f>K158*O158*P158</x:f>
        <x:v>4050</x:v>
      </x:c>
      <x:c r="R158" s="20" t="n">
        <x:f>Q158*(1-'01 Controls'!$E$6)</x:f>
        <x:v>3037.5</x:v>
      </x:c>
      <x:c r="S158" s="19" t="n">
        <x:v>90</x:v>
      </x:c>
      <x:c r="T158" s="20" t="n">
        <x:f>K158*S158</x:f>
        <x:v>90</x:v>
      </x:c>
      <x:c r="U158" s="18" t="n">
        <x:f>'01 Controls'!E35</x:f>
        <x:v>0.1</x:v>
      </x:c>
      <x:c r="V158" s="20" t="n">
        <x:f>R158*U158</x:f>
        <x:v>303.75</x:v>
      </x:c>
      <x:c r="W158" s="18" t="n">
        <x:f>'01 Controls'!F35</x:f>
        <x:v>0</x:v>
      </x:c>
      <x:c r="X158" s="20" t="n">
        <x:f>R158*W158</x:f>
        <x:v>0</x:v>
      </x:c>
      <x:c r="Y158" s="18" t="n">
        <x:f>'01 Controls'!G35</x:f>
        <x:v>0.9</x:v>
      </x:c>
      <x:c r="Z158" s="20" t="n">
        <x:f>R158*Y158</x:f>
        <x:v>2733.75</x:v>
      </x:c>
      <x:c r="AA158" s="18" t="n">
        <x:f>'01 Controls'!H35</x:f>
        <x:v>0</x:v>
      </x:c>
      <x:c r="AB158" s="20" t="n">
        <x:f>R158*AA158</x:f>
        <x:v>0</x:v>
      </x:c>
      <x:c r="AC158" s="20" t="n">
        <x:f>IF(H158="CM-HCG",K158*'01 Controls'!$E$24,0)</x:f>
        <x:v>0</x:v>
      </x:c>
      <x:c r="AD158" s="20" t="n">
        <x:f>IF(H158="CM-HCG",K158*'01 Controls'!$E$25,0)</x:f>
        <x:v>0</x:v>
      </x:c>
      <x:c r="AE158" s="20" t="n">
        <x:f>IF(H158="CM-HCG",K158*'01 Controls'!$E$26,0)</x:f>
        <x:v>0</x:v>
      </x:c>
      <x:c r="AF158" s="20" t="n">
        <x:f>IF(H158="CM-HCG",K158*'01 Controls'!$E$27,0)</x:f>
        <x:v>0</x:v>
      </x:c>
    </x:row>
    <x:row r="159">
      <x:c r="C159" s="22" t="str">
        <x:v>M1-L-GFG</x:v>
      </x:c>
      <x:c r="D159" s="22" t="n">
        <x:v>154</x:v>
      </x:c>
      <x:c r="E159" s="22" t="str">
        <x:v>M1</x:v>
      </x:c>
      <x:c r="F159" s="22" t="str">
        <x:v>Western fire and heat</x:v>
      </x:c>
      <x:c r="G159" s="22" t="n">
        <x:v>4</x:v>
      </x:c>
      <x:c r="H159" s="22" t="str">
        <x:v>L-GFG</x:v>
      </x:c>
      <x:c r="I159" s="22" t="str">
        <x:v>Land Engineering</x:v>
      </x:c>
      <x:c r="J159" s="22" t="str">
        <x:v>Ground fire and landscape group</x:v>
      </x:c>
      <x:c r="K159" s="23" t="n">
        <x:v>12</x:v>
      </x:c>
      <x:c r="L159" s="23" t="n">
        <x:v>450</x:v>
      </x:c>
      <x:c r="M159" s="23" t="n">
        <x:v>0</x:v>
      </x:c>
      <x:c r="N159" s="20" t="n">
        <x:f>K159*L159</x:f>
        <x:v>5400</x:v>
      </x:c>
      <x:c r="O159" s="19" t="n">
        <x:v>9000</x:v>
      </x:c>
      <x:c r="P159" s="17" t="n">
        <x:v>0.45</x:v>
      </x:c>
      <x:c r="Q159" s="20" t="n">
        <x:f>K159*O159*P159</x:f>
        <x:v>48600</x:v>
      </x:c>
      <x:c r="R159" s="20" t="n">
        <x:f>Q159*(1-'01 Controls'!$E$6)</x:f>
        <x:v>36450</x:v>
      </x:c>
      <x:c r="S159" s="19" t="n">
        <x:v>90</x:v>
      </x:c>
      <x:c r="T159" s="20" t="n">
        <x:f>K159*S159</x:f>
        <x:v>1080</x:v>
      </x:c>
      <x:c r="U159" s="18" t="n">
        <x:f>'01 Controls'!E35</x:f>
        <x:v>0.1</x:v>
      </x:c>
      <x:c r="V159" s="20" t="n">
        <x:f>R159*U159</x:f>
        <x:v>3645</x:v>
      </x:c>
      <x:c r="W159" s="18" t="n">
        <x:f>'01 Controls'!F35</x:f>
        <x:v>0</x:v>
      </x:c>
      <x:c r="X159" s="20" t="n">
        <x:f>R159*W159</x:f>
        <x:v>0</x:v>
      </x:c>
      <x:c r="Y159" s="18" t="n">
        <x:f>'01 Controls'!G35</x:f>
        <x:v>0.9</x:v>
      </x:c>
      <x:c r="Z159" s="20" t="n">
        <x:f>R159*Y159</x:f>
        <x:v>32805</x:v>
      </x:c>
      <x:c r="AA159" s="18" t="n">
        <x:f>'01 Controls'!H35</x:f>
        <x:v>0</x:v>
      </x:c>
      <x:c r="AB159" s="20" t="n">
        <x:f>R159*AA159</x:f>
        <x:v>0</x:v>
      </x:c>
      <x:c r="AC159" s="20" t="n">
        <x:f>IF(H159="CM-HCG",K159*'01 Controls'!$E$24,0)</x:f>
        <x:v>0</x:v>
      </x:c>
      <x:c r="AD159" s="20" t="n">
        <x:f>IF(H159="CM-HCG",K159*'01 Controls'!$E$25,0)</x:f>
        <x:v>0</x:v>
      </x:c>
      <x:c r="AE159" s="20" t="n">
        <x:f>IF(H159="CM-HCG",K159*'01 Controls'!$E$26,0)</x:f>
        <x:v>0</x:v>
      </x:c>
      <x:c r="AF159" s="20" t="n">
        <x:f>IF(H159="CM-HCG",K159*'01 Controls'!$E$27,0)</x:f>
        <x:v>0</x:v>
      </x:c>
    </x:row>
    <x:row r="160">
      <x:c r="C160" s="22" t="str">
        <x:v>M1-A-SMW</x:v>
      </x:c>
      <x:c r="D160" s="22" t="n">
        <x:v>155</x:v>
      </x:c>
      <x:c r="E160" s="22" t="str">
        <x:v>M1</x:v>
      </x:c>
      <x:c r="F160" s="22" t="str">
        <x:v>Western fire and heat</x:v>
      </x:c>
      <x:c r="G160" s="22" t="n">
        <x:v>4</x:v>
      </x:c>
      <x:c r="H160" s="22" t="str">
        <x:v>A-SMW</x:v>
      </x:c>
      <x:c r="I160" s="22" t="str">
        <x:v>Air Response</x:v>
      </x:c>
      <x:c r="J160" s="22" t="str">
        <x:v>Strategic mobility wing</x:v>
      </x:c>
      <x:c r="K160" s="23" t="n">
        <x:v>2</x:v>
      </x:c>
      <x:c r="L160" s="23" t="n">
        <x:v>900</x:v>
      </x:c>
      <x:c r="M160" s="23" t="n">
        <x:v>0</x:v>
      </x:c>
      <x:c r="N160" s="20" t="n">
        <x:f>K160*L160</x:f>
        <x:v>1800</x:v>
      </x:c>
      <x:c r="O160" s="19" t="n">
        <x:v>5000</x:v>
      </x:c>
      <x:c r="P160" s="17" t="n">
        <x:v>0.75</x:v>
      </x:c>
      <x:c r="Q160" s="20" t="n">
        <x:f>K160*O160*P160</x:f>
        <x:v>7500</x:v>
      </x:c>
      <x:c r="R160" s="20" t="n">
        <x:f>Q160*(1-'01 Controls'!$E$6)</x:f>
        <x:v>5625</x:v>
      </x:c>
      <x:c r="S160" s="19" t="n">
        <x:v>100</x:v>
      </x:c>
      <x:c r="T160" s="20" t="n">
        <x:f>K160*S160</x:f>
        <x:v>200</x:v>
      </x:c>
      <x:c r="U160" s="18" t="n">
        <x:f>'01 Controls'!E35</x:f>
        <x:v>0.1</x:v>
      </x:c>
      <x:c r="V160" s="20" t="n">
        <x:f>R160*U160</x:f>
        <x:v>562.5</x:v>
      </x:c>
      <x:c r="W160" s="18" t="n">
        <x:f>'01 Controls'!F35</x:f>
        <x:v>0</x:v>
      </x:c>
      <x:c r="X160" s="20" t="n">
        <x:f>R160*W160</x:f>
        <x:v>0</x:v>
      </x:c>
      <x:c r="Y160" s="18" t="n">
        <x:f>'01 Controls'!G35</x:f>
        <x:v>0.9</x:v>
      </x:c>
      <x:c r="Z160" s="20" t="n">
        <x:f>R160*Y160</x:f>
        <x:v>5062.5</x:v>
      </x:c>
      <x:c r="AA160" s="18" t="n">
        <x:f>'01 Controls'!H35</x:f>
        <x:v>0</x:v>
      </x:c>
      <x:c r="AB160" s="20" t="n">
        <x:f>R160*AA160</x:f>
        <x:v>0</x:v>
      </x:c>
      <x:c r="AC160" s="20" t="n">
        <x:f>IF(H160="CM-HCG",K160*'01 Controls'!$E$24,0)</x:f>
        <x:v>0</x:v>
      </x:c>
      <x:c r="AD160" s="20" t="n">
        <x:f>IF(H160="CM-HCG",K160*'01 Controls'!$E$25,0)</x:f>
        <x:v>0</x:v>
      </x:c>
      <x:c r="AE160" s="20" t="n">
        <x:f>IF(H160="CM-HCG",K160*'01 Controls'!$E$26,0)</x:f>
        <x:v>0</x:v>
      </x:c>
      <x:c r="AF160" s="20" t="n">
        <x:f>IF(H160="CM-HCG",K160*'01 Controls'!$E$27,0)</x:f>
        <x:v>0</x:v>
      </x:c>
    </x:row>
    <x:row r="161">
      <x:c r="C161" s="22" t="str">
        <x:v>M1-A-AAG</x:v>
      </x:c>
      <x:c r="D161" s="22" t="n">
        <x:v>156</x:v>
      </x:c>
      <x:c r="E161" s="22" t="str">
        <x:v>M1</x:v>
      </x:c>
      <x:c r="F161" s="22" t="str">
        <x:v>Western fire and heat</x:v>
      </x:c>
      <x:c r="G161" s="22" t="n">
        <x:v>4</x:v>
      </x:c>
      <x:c r="H161" s="22" t="str">
        <x:v>A-AAG</x:v>
      </x:c>
      <x:c r="I161" s="22" t="str">
        <x:v>Air Response</x:v>
      </x:c>
      <x:c r="J161" s="22" t="str">
        <x:v>Austere air-access group</x:v>
      </x:c>
      <x:c r="K161" s="23" t="n">
        <x:v>3</x:v>
      </x:c>
      <x:c r="L161" s="23" t="n">
        <x:v>350</x:v>
      </x:c>
      <x:c r="M161" s="23" t="n">
        <x:v>0</x:v>
      </x:c>
      <x:c r="N161" s="20" t="n">
        <x:f>K161*L161</x:f>
        <x:v>1050</x:v>
      </x:c>
      <x:c r="O161" s="19" t="n">
        <x:v>5000</x:v>
      </x:c>
      <x:c r="P161" s="17" t="n">
        <x:v>0.75</x:v>
      </x:c>
      <x:c r="Q161" s="20" t="n">
        <x:f>K161*O161*P161</x:f>
        <x:v>11250</x:v>
      </x:c>
      <x:c r="R161" s="20" t="n">
        <x:f>Q161*(1-'01 Controls'!$E$6)</x:f>
        <x:v>8437.5</x:v>
      </x:c>
      <x:c r="S161" s="19" t="n">
        <x:v>100</x:v>
      </x:c>
      <x:c r="T161" s="20" t="n">
        <x:f>K161*S161</x:f>
        <x:v>300</x:v>
      </x:c>
      <x:c r="U161" s="18" t="n">
        <x:f>'01 Controls'!E35</x:f>
        <x:v>0.1</x:v>
      </x:c>
      <x:c r="V161" s="20" t="n">
        <x:f>R161*U161</x:f>
        <x:v>843.75</x:v>
      </x:c>
      <x:c r="W161" s="18" t="n">
        <x:f>'01 Controls'!F35</x:f>
        <x:v>0</x:v>
      </x:c>
      <x:c r="X161" s="20" t="n">
        <x:f>R161*W161</x:f>
        <x:v>0</x:v>
      </x:c>
      <x:c r="Y161" s="18" t="n">
        <x:f>'01 Controls'!G35</x:f>
        <x:v>0.9</x:v>
      </x:c>
      <x:c r="Z161" s="20" t="n">
        <x:f>R161*Y161</x:f>
        <x:v>7593.75</x:v>
      </x:c>
      <x:c r="AA161" s="18" t="n">
        <x:f>'01 Controls'!H35</x:f>
        <x:v>0</x:v>
      </x:c>
      <x:c r="AB161" s="20" t="n">
        <x:f>R161*AA161</x:f>
        <x:v>0</x:v>
      </x:c>
      <x:c r="AC161" s="20" t="n">
        <x:f>IF(H161="CM-HCG",K161*'01 Controls'!$E$24,0)</x:f>
        <x:v>0</x:v>
      </x:c>
      <x:c r="AD161" s="20" t="n">
        <x:f>IF(H161="CM-HCG",K161*'01 Controls'!$E$25,0)</x:f>
        <x:v>0</x:v>
      </x:c>
      <x:c r="AE161" s="20" t="n">
        <x:f>IF(H161="CM-HCG",K161*'01 Controls'!$E$26,0)</x:f>
        <x:v>0</x:v>
      </x:c>
      <x:c r="AF161" s="20" t="n">
        <x:f>IF(H161="CM-HCG",K161*'01 Controls'!$E$27,0)</x:f>
        <x:v>0</x:v>
      </x:c>
    </x:row>
    <x:row r="162">
      <x:c r="C162" s="22" t="str">
        <x:v>M1-A-AHW</x:v>
      </x:c>
      <x:c r="D162" s="22" t="n">
        <x:v>157</x:v>
      </x:c>
      <x:c r="E162" s="22" t="str">
        <x:v>M1</x:v>
      </x:c>
      <x:c r="F162" s="22" t="str">
        <x:v>Western fire and heat</x:v>
      </x:c>
      <x:c r="G162" s="22" t="n">
        <x:v>4</x:v>
      </x:c>
      <x:c r="H162" s="22" t="str">
        <x:v>A-AHW</x:v>
      </x:c>
      <x:c r="I162" s="22" t="str">
        <x:v>Air Response</x:v>
      </x:c>
      <x:c r="J162" s="22" t="str">
        <x:v>Aerial hazard-control wing</x:v>
      </x:c>
      <x:c r="K162" s="23" t="n">
        <x:v>10</x:v>
      </x:c>
      <x:c r="L162" s="23" t="n">
        <x:v>600</x:v>
      </x:c>
      <x:c r="M162" s="23" t="n">
        <x:v>0</x:v>
      </x:c>
      <x:c r="N162" s="20" t="n">
        <x:f>K162*L162</x:f>
        <x:v>6000</x:v>
      </x:c>
      <x:c r="O162" s="19" t="n">
        <x:v>5000</x:v>
      </x:c>
      <x:c r="P162" s="17" t="n">
        <x:v>0.75</x:v>
      </x:c>
      <x:c r="Q162" s="20" t="n">
        <x:f>K162*O162*P162</x:f>
        <x:v>37500</x:v>
      </x:c>
      <x:c r="R162" s="20" t="n">
        <x:f>Q162*(1-'01 Controls'!$E$6)</x:f>
        <x:v>28125</x:v>
      </x:c>
      <x:c r="S162" s="19" t="n">
        <x:v>100</x:v>
      </x:c>
      <x:c r="T162" s="20" t="n">
        <x:f>K162*S162</x:f>
        <x:v>1000</x:v>
      </x:c>
      <x:c r="U162" s="18" t="n">
        <x:f>'01 Controls'!E35</x:f>
        <x:v>0.1</x:v>
      </x:c>
      <x:c r="V162" s="20" t="n">
        <x:f>R162*U162</x:f>
        <x:v>2812.5</x:v>
      </x:c>
      <x:c r="W162" s="18" t="n">
        <x:f>'01 Controls'!F35</x:f>
        <x:v>0</x:v>
      </x:c>
      <x:c r="X162" s="20" t="n">
        <x:f>R162*W162</x:f>
        <x:v>0</x:v>
      </x:c>
      <x:c r="Y162" s="18" t="n">
        <x:f>'01 Controls'!G35</x:f>
        <x:v>0.9</x:v>
      </x:c>
      <x:c r="Z162" s="20" t="n">
        <x:f>R162*Y162</x:f>
        <x:v>25312.5</x:v>
      </x:c>
      <x:c r="AA162" s="18" t="n">
        <x:f>'01 Controls'!H35</x:f>
        <x:v>0</x:v>
      </x:c>
      <x:c r="AB162" s="20" t="n">
        <x:f>R162*AA162</x:f>
        <x:v>0</x:v>
      </x:c>
      <x:c r="AC162" s="20" t="n">
        <x:f>IF(H162="CM-HCG",K162*'01 Controls'!$E$24,0)</x:f>
        <x:v>0</x:v>
      </x:c>
      <x:c r="AD162" s="20" t="n">
        <x:f>IF(H162="CM-HCG",K162*'01 Controls'!$E$25,0)</x:f>
        <x:v>0</x:v>
      </x:c>
      <x:c r="AE162" s="20" t="n">
        <x:f>IF(H162="CM-HCG",K162*'01 Controls'!$E$26,0)</x:f>
        <x:v>0</x:v>
      </x:c>
      <x:c r="AF162" s="20" t="n">
        <x:f>IF(H162="CM-HCG",K162*'01 Controls'!$E$27,0)</x:f>
        <x:v>0</x:v>
      </x:c>
    </x:row>
    <x:row r="163">
      <x:c r="C163" s="22" t="str">
        <x:v>M1-A-TDG</x:v>
      </x:c>
      <x:c r="D163" s="22" t="n">
        <x:v>158</x:v>
      </x:c>
      <x:c r="E163" s="22" t="str">
        <x:v>M1</x:v>
      </x:c>
      <x:c r="F163" s="22" t="str">
        <x:v>Western fire and heat</x:v>
      </x:c>
      <x:c r="G163" s="22" t="n">
        <x:v>4</x:v>
      </x:c>
      <x:c r="H163" s="22" t="str">
        <x:v>A-TDG</x:v>
      </x:c>
      <x:c r="I163" s="22" t="str">
        <x:v>Air Response</x:v>
      </x:c>
      <x:c r="J163" s="22" t="str">
        <x:v>Tactical distribution group</x:v>
      </x:c>
      <x:c r="K163" s="23" t="n">
        <x:v>5</x:v>
      </x:c>
      <x:c r="L163" s="23" t="n">
        <x:v>450</x:v>
      </x:c>
      <x:c r="M163" s="23" t="n">
        <x:v>0</x:v>
      </x:c>
      <x:c r="N163" s="20" t="n">
        <x:f>K163*L163</x:f>
        <x:v>2250</x:v>
      </x:c>
      <x:c r="O163" s="19" t="n">
        <x:v>5000</x:v>
      </x:c>
      <x:c r="P163" s="17" t="n">
        <x:v>0.75</x:v>
      </x:c>
      <x:c r="Q163" s="20" t="n">
        <x:f>K163*O163*P163</x:f>
        <x:v>18750</x:v>
      </x:c>
      <x:c r="R163" s="20" t="n">
        <x:f>Q163*(1-'01 Controls'!$E$6)</x:f>
        <x:v>14062.5</x:v>
      </x:c>
      <x:c r="S163" s="19" t="n">
        <x:v>100</x:v>
      </x:c>
      <x:c r="T163" s="20" t="n">
        <x:f>K163*S163</x:f>
        <x:v>500</x:v>
      </x:c>
      <x:c r="U163" s="18" t="n">
        <x:f>'01 Controls'!E35</x:f>
        <x:v>0.1</x:v>
      </x:c>
      <x:c r="V163" s="20" t="n">
        <x:f>R163*U163</x:f>
        <x:v>1406.25</x:v>
      </x:c>
      <x:c r="W163" s="18" t="n">
        <x:f>'01 Controls'!F35</x:f>
        <x:v>0</x:v>
      </x:c>
      <x:c r="X163" s="20" t="n">
        <x:f>R163*W163</x:f>
        <x:v>0</x:v>
      </x:c>
      <x:c r="Y163" s="18" t="n">
        <x:f>'01 Controls'!G35</x:f>
        <x:v>0.9</x:v>
      </x:c>
      <x:c r="Z163" s="20" t="n">
        <x:f>R163*Y163</x:f>
        <x:v>12656.25</x:v>
      </x:c>
      <x:c r="AA163" s="18" t="n">
        <x:f>'01 Controls'!H35</x:f>
        <x:v>0</x:v>
      </x:c>
      <x:c r="AB163" s="20" t="n">
        <x:f>R163*AA163</x:f>
        <x:v>0</x:v>
      </x:c>
      <x:c r="AC163" s="20" t="n">
        <x:f>IF(H163="CM-HCG",K163*'01 Controls'!$E$24,0)</x:f>
        <x:v>0</x:v>
      </x:c>
      <x:c r="AD163" s="20" t="n">
        <x:f>IF(H163="CM-HCG",K163*'01 Controls'!$E$25,0)</x:f>
        <x:v>0</x:v>
      </x:c>
      <x:c r="AE163" s="20" t="n">
        <x:f>IF(H163="CM-HCG",K163*'01 Controls'!$E$26,0)</x:f>
        <x:v>0</x:v>
      </x:c>
      <x:c r="AF163" s="20" t="n">
        <x:f>IF(H163="CM-HCG",K163*'01 Controls'!$E$27,0)</x:f>
        <x:v>0</x:v>
      </x:c>
    </x:row>
    <x:row r="164">
      <x:c r="C164" s="22" t="str">
        <x:v>M1-A-SRG</x:v>
      </x:c>
      <x:c r="D164" s="22" t="n">
        <x:v>159</x:v>
      </x:c>
      <x:c r="E164" s="22" t="str">
        <x:v>M1</x:v>
      </x:c>
      <x:c r="F164" s="22" t="str">
        <x:v>Western fire and heat</x:v>
      </x:c>
      <x:c r="G164" s="22" t="n">
        <x:v>4</x:v>
      </x:c>
      <x:c r="H164" s="22" t="str">
        <x:v>A-SRG</x:v>
      </x:c>
      <x:c r="I164" s="22" t="str">
        <x:v>Air Response</x:v>
      </x:c>
      <x:c r="J164" s="22" t="str">
        <x:v>Air sensing and relay group</x:v>
      </x:c>
      <x:c r="K164" s="23" t="n">
        <x:v>5</x:v>
      </x:c>
      <x:c r="L164" s="23" t="n">
        <x:v>180</x:v>
      </x:c>
      <x:c r="M164" s="23" t="n">
        <x:v>0</x:v>
      </x:c>
      <x:c r="N164" s="20" t="n">
        <x:f>K164*L164</x:f>
        <x:v>900</x:v>
      </x:c>
      <x:c r="O164" s="19" t="n">
        <x:v>5000</x:v>
      </x:c>
      <x:c r="P164" s="17" t="n">
        <x:v>0.75</x:v>
      </x:c>
      <x:c r="Q164" s="20" t="n">
        <x:f>K164*O164*P164</x:f>
        <x:v>18750</x:v>
      </x:c>
      <x:c r="R164" s="20" t="n">
        <x:f>Q164*(1-'01 Controls'!$E$6)</x:f>
        <x:v>14062.5</x:v>
      </x:c>
      <x:c r="S164" s="19" t="n">
        <x:v>100</x:v>
      </x:c>
      <x:c r="T164" s="20" t="n">
        <x:f>K164*S164</x:f>
        <x:v>500</x:v>
      </x:c>
      <x:c r="U164" s="18" t="n">
        <x:f>'01 Controls'!E35</x:f>
        <x:v>0.1</x:v>
      </x:c>
      <x:c r="V164" s="20" t="n">
        <x:f>R164*U164</x:f>
        <x:v>1406.25</x:v>
      </x:c>
      <x:c r="W164" s="18" t="n">
        <x:f>'01 Controls'!F35</x:f>
        <x:v>0</x:v>
      </x:c>
      <x:c r="X164" s="20" t="n">
        <x:f>R164*W164</x:f>
        <x:v>0</x:v>
      </x:c>
      <x:c r="Y164" s="18" t="n">
        <x:f>'01 Controls'!G35</x:f>
        <x:v>0.9</x:v>
      </x:c>
      <x:c r="Z164" s="20" t="n">
        <x:f>R164*Y164</x:f>
        <x:v>12656.25</x:v>
      </x:c>
      <x:c r="AA164" s="18" t="n">
        <x:f>'01 Controls'!H35</x:f>
        <x:v>0</x:v>
      </x:c>
      <x:c r="AB164" s="20" t="n">
        <x:f>R164*AA164</x:f>
        <x:v>0</x:v>
      </x:c>
      <x:c r="AC164" s="20" t="n">
        <x:f>IF(H164="CM-HCG",K164*'01 Controls'!$E$24,0)</x:f>
        <x:v>0</x:v>
      </x:c>
      <x:c r="AD164" s="20" t="n">
        <x:f>IF(H164="CM-HCG",K164*'01 Controls'!$E$25,0)</x:f>
        <x:v>0</x:v>
      </x:c>
      <x:c r="AE164" s="20" t="n">
        <x:f>IF(H164="CM-HCG",K164*'01 Controls'!$E$26,0)</x:f>
        <x:v>0</x:v>
      </x:c>
      <x:c r="AF164" s="20" t="n">
        <x:f>IF(H164="CM-HCG",K164*'01 Controls'!$E$27,0)</x:f>
        <x:v>0</x:v>
      </x:c>
    </x:row>
    <x:row r="165">
      <x:c r="C165" s="22" t="str">
        <x:v>M1-A-AMG</x:v>
      </x:c>
      <x:c r="D165" s="22" t="n">
        <x:v>160</x:v>
      </x:c>
      <x:c r="E165" s="22" t="str">
        <x:v>M1</x:v>
      </x:c>
      <x:c r="F165" s="22" t="str">
        <x:v>Western fire and heat</x:v>
      </x:c>
      <x:c r="G165" s="22" t="n">
        <x:v>4</x:v>
      </x:c>
      <x:c r="H165" s="22" t="str">
        <x:v>A-AMG</x:v>
      </x:c>
      <x:c r="I165" s="22" t="str">
        <x:v>Air Response</x:v>
      </x:c>
      <x:c r="J165" s="22" t="str">
        <x:v>Aeromedical movement group</x:v>
      </x:c>
      <x:c r="K165" s="23" t="n">
        <x:v>2</x:v>
      </x:c>
      <x:c r="L165" s="23" t="n">
        <x:v>300</x:v>
      </x:c>
      <x:c r="M165" s="23" t="n">
        <x:v>0</x:v>
      </x:c>
      <x:c r="N165" s="20" t="n">
        <x:f>K165*L165</x:f>
        <x:v>600</x:v>
      </x:c>
      <x:c r="O165" s="19" t="n">
        <x:v>5000</x:v>
      </x:c>
      <x:c r="P165" s="17" t="n">
        <x:v>0.75</x:v>
      </x:c>
      <x:c r="Q165" s="20" t="n">
        <x:f>K165*O165*P165</x:f>
        <x:v>7500</x:v>
      </x:c>
      <x:c r="R165" s="20" t="n">
        <x:f>Q165*(1-'01 Controls'!$E$6)</x:f>
        <x:v>5625</x:v>
      </x:c>
      <x:c r="S165" s="19" t="n">
        <x:v>100</x:v>
      </x:c>
      <x:c r="T165" s="20" t="n">
        <x:f>K165*S165</x:f>
        <x:v>200</x:v>
      </x:c>
      <x:c r="U165" s="18" t="n">
        <x:f>'01 Controls'!E35</x:f>
        <x:v>0.1</x:v>
      </x:c>
      <x:c r="V165" s="20" t="n">
        <x:f>R165*U165</x:f>
        <x:v>562.5</x:v>
      </x:c>
      <x:c r="W165" s="18" t="n">
        <x:f>'01 Controls'!F35</x:f>
        <x:v>0</x:v>
      </x:c>
      <x:c r="X165" s="20" t="n">
        <x:f>R165*W165</x:f>
        <x:v>0</x:v>
      </x:c>
      <x:c r="Y165" s="18" t="n">
        <x:f>'01 Controls'!G35</x:f>
        <x:v>0.9</x:v>
      </x:c>
      <x:c r="Z165" s="20" t="n">
        <x:f>R165*Y165</x:f>
        <x:v>5062.5</x:v>
      </x:c>
      <x:c r="AA165" s="18" t="n">
        <x:f>'01 Controls'!H35</x:f>
        <x:v>0</x:v>
      </x:c>
      <x:c r="AB165" s="20" t="n">
        <x:f>R165*AA165</x:f>
        <x:v>0</x:v>
      </x:c>
      <x:c r="AC165" s="20" t="n">
        <x:f>IF(H165="CM-HCG",K165*'01 Controls'!$E$24,0)</x:f>
        <x:v>0</x:v>
      </x:c>
      <x:c r="AD165" s="20" t="n">
        <x:f>IF(H165="CM-HCG",K165*'01 Controls'!$E$25,0)</x:f>
        <x:v>0</x:v>
      </x:c>
      <x:c r="AE165" s="20" t="n">
        <x:f>IF(H165="CM-HCG",K165*'01 Controls'!$E$26,0)</x:f>
        <x:v>0</x:v>
      </x:c>
      <x:c r="AF165" s="20" t="n">
        <x:f>IF(H165="CM-HCG",K165*'01 Controls'!$E$27,0)</x:f>
        <x:v>0</x:v>
      </x:c>
    </x:row>
    <x:row r="166">
      <x:c r="C166" s="22" t="str">
        <x:v>M1-M-POG</x:v>
      </x:c>
      <x:c r="D166" s="22" t="n">
        <x:v>161</x:v>
      </x:c>
      <x:c r="E166" s="22" t="str">
        <x:v>M1</x:v>
      </x:c>
      <x:c r="F166" s="22" t="str">
        <x:v>Western fire and heat</x:v>
      </x:c>
      <x:c r="G166" s="22" t="n">
        <x:v>4</x:v>
      </x:c>
      <x:c r="H166" s="22" t="str">
        <x:v>M-POG</x:v>
      </x:c>
      <x:c r="I166" s="22" t="str">
        <x:v>Maritime Response</x:v>
      </x:c>
      <x:c r="J166" s="22" t="str">
        <x:v>Port-opening group</x:v>
      </x:c>
      <x:c r="K166" s="23" t="n">
        <x:v>0</x:v>
      </x:c>
      <x:c r="L166" s="23" t="n">
        <x:v>450</x:v>
      </x:c>
      <x:c r="M166" s="23" t="n">
        <x:v>0</x:v>
      </x:c>
      <x:c r="N166" s="20" t="n">
        <x:f>K166*L166</x:f>
        <x:v>0</x:v>
      </x:c>
      <x:c r="O166" s="19" t="n">
        <x:v>8000</x:v>
      </x:c>
      <x:c r="P166" s="17" t="n">
        <x:v>0.35</x:v>
      </x:c>
      <x:c r="Q166" s="20" t="n">
        <x:f>K166*O166*P166</x:f>
        <x:v>0</x:v>
      </x:c>
      <x:c r="R166" s="20" t="n">
        <x:f>Q166*(1-'01 Controls'!$E$6)</x:f>
        <x:v>0</x:v>
      </x:c>
      <x:c r="S166" s="19" t="n">
        <x:v>120</x:v>
      </x:c>
      <x:c r="T166" s="20" t="n">
        <x:f>K166*S166</x:f>
        <x:v>0</x:v>
      </x:c>
      <x:c r="U166" s="18" t="n">
        <x:f>'01 Controls'!E35</x:f>
        <x:v>0.1</x:v>
      </x:c>
      <x:c r="V166" s="20" t="n">
        <x:f>R166*U166</x:f>
        <x:v>0</x:v>
      </x:c>
      <x:c r="W166" s="18" t="n">
        <x:f>'01 Controls'!F35</x:f>
        <x:v>0</x:v>
      </x:c>
      <x:c r="X166" s="20" t="n">
        <x:f>R166*W166</x:f>
        <x:v>0</x:v>
      </x:c>
      <x:c r="Y166" s="18" t="n">
        <x:f>'01 Controls'!G35</x:f>
        <x:v>0.9</x:v>
      </x:c>
      <x:c r="Z166" s="20" t="n">
        <x:f>R166*Y166</x:f>
        <x:v>0</x:v>
      </x:c>
      <x:c r="AA166" s="18" t="n">
        <x:f>'01 Controls'!H35</x:f>
        <x:v>0</x:v>
      </x:c>
      <x:c r="AB166" s="20" t="n">
        <x:f>R166*AA166</x:f>
        <x:v>0</x:v>
      </x:c>
      <x:c r="AC166" s="20" t="n">
        <x:f>IF(H166="CM-HCG",K166*'01 Controls'!$E$24,0)</x:f>
        <x:v>0</x:v>
      </x:c>
      <x:c r="AD166" s="20" t="n">
        <x:f>IF(H166="CM-HCG",K166*'01 Controls'!$E$25,0)</x:f>
        <x:v>0</x:v>
      </x:c>
      <x:c r="AE166" s="20" t="n">
        <x:f>IF(H166="CM-HCG",K166*'01 Controls'!$E$26,0)</x:f>
        <x:v>0</x:v>
      </x:c>
      <x:c r="AF166" s="20" t="n">
        <x:f>IF(H166="CM-HCG",K166*'01 Controls'!$E$27,0)</x:f>
        <x:v>0</x:v>
      </x:c>
    </x:row>
    <x:row r="167">
      <x:c r="C167" s="22" t="str">
        <x:v>M1-M-LAG</x:v>
      </x:c>
      <x:c r="D167" s="22" t="n">
        <x:v>162</x:v>
      </x:c>
      <x:c r="E167" s="22" t="str">
        <x:v>M1</x:v>
      </x:c>
      <x:c r="F167" s="22" t="str">
        <x:v>Western fire and heat</x:v>
      </x:c>
      <x:c r="G167" s="22" t="n">
        <x:v>4</x:v>
      </x:c>
      <x:c r="H167" s="22" t="str">
        <x:v>M-LAG</x:v>
      </x:c>
      <x:c r="I167" s="22" t="str">
        <x:v>Maritime Response</x:v>
      </x:c>
      <x:c r="J167" s="22" t="str">
        <x:v>Littoral-access group</x:v>
      </x:c>
      <x:c r="K167" s="23" t="n">
        <x:v>0</x:v>
      </x:c>
      <x:c r="L167" s="23" t="n">
        <x:v>350</x:v>
      </x:c>
      <x:c r="M167" s="23" t="n">
        <x:v>0</x:v>
      </x:c>
      <x:c r="N167" s="20" t="n">
        <x:f>K167*L167</x:f>
        <x:v>0</x:v>
      </x:c>
      <x:c r="O167" s="19" t="n">
        <x:v>8000</x:v>
      </x:c>
      <x:c r="P167" s="17" t="n">
        <x:v>0.35</x:v>
      </x:c>
      <x:c r="Q167" s="20" t="n">
        <x:f>K167*O167*P167</x:f>
        <x:v>0</x:v>
      </x:c>
      <x:c r="R167" s="20" t="n">
        <x:f>Q167*(1-'01 Controls'!$E$6)</x:f>
        <x:v>0</x:v>
      </x:c>
      <x:c r="S167" s="19" t="n">
        <x:v>120</x:v>
      </x:c>
      <x:c r="T167" s="20" t="n">
        <x:f>K167*S167</x:f>
        <x:v>0</x:v>
      </x:c>
      <x:c r="U167" s="18" t="n">
        <x:f>'01 Controls'!E35</x:f>
        <x:v>0.1</x:v>
      </x:c>
      <x:c r="V167" s="20" t="n">
        <x:f>R167*U167</x:f>
        <x:v>0</x:v>
      </x:c>
      <x:c r="W167" s="18" t="n">
        <x:f>'01 Controls'!F35</x:f>
        <x:v>0</x:v>
      </x:c>
      <x:c r="X167" s="20" t="n">
        <x:f>R167*W167</x:f>
        <x:v>0</x:v>
      </x:c>
      <x:c r="Y167" s="18" t="n">
        <x:f>'01 Controls'!G35</x:f>
        <x:v>0.9</x:v>
      </x:c>
      <x:c r="Z167" s="20" t="n">
        <x:f>R167*Y167</x:f>
        <x:v>0</x:v>
      </x:c>
      <x:c r="AA167" s="18" t="n">
        <x:f>'01 Controls'!H35</x:f>
        <x:v>0</x:v>
      </x:c>
      <x:c r="AB167" s="20" t="n">
        <x:f>R167*AA167</x:f>
        <x:v>0</x:v>
      </x:c>
      <x:c r="AC167" s="20" t="n">
        <x:f>IF(H167="CM-HCG",K167*'01 Controls'!$E$24,0)</x:f>
        <x:v>0</x:v>
      </x:c>
      <x:c r="AD167" s="20" t="n">
        <x:f>IF(H167="CM-HCG",K167*'01 Controls'!$E$25,0)</x:f>
        <x:v>0</x:v>
      </x:c>
      <x:c r="AE167" s="20" t="n">
        <x:f>IF(H167="CM-HCG",K167*'01 Controls'!$E$26,0)</x:f>
        <x:v>0</x:v>
      </x:c>
      <x:c r="AF167" s="20" t="n">
        <x:f>IF(H167="CM-HCG",K167*'01 Controls'!$E$27,0)</x:f>
        <x:v>0</x:v>
      </x:c>
    </x:row>
    <x:row r="168">
      <x:c r="C168" s="22" t="str">
        <x:v>M1-M-IWG</x:v>
      </x:c>
      <x:c r="D168" s="22" t="n">
        <x:v>163</x:v>
      </x:c>
      <x:c r="E168" s="22" t="str">
        <x:v>M1</x:v>
      </x:c>
      <x:c r="F168" s="22" t="str">
        <x:v>Western fire and heat</x:v>
      </x:c>
      <x:c r="G168" s="22" t="n">
        <x:v>4</x:v>
      </x:c>
      <x:c r="H168" s="22" t="str">
        <x:v>M-IWG</x:v>
      </x:c>
      <x:c r="I168" s="22" t="str">
        <x:v>Maritime Response</x:v>
      </x:c>
      <x:c r="J168" s="22" t="str">
        <x:v>Inland-waterway group</x:v>
      </x:c>
      <x:c r="K168" s="23" t="n">
        <x:v>0</x:v>
      </x:c>
      <x:c r="L168" s="23" t="n">
        <x:v>250</x:v>
      </x:c>
      <x:c r="M168" s="23" t="n">
        <x:v>0</x:v>
      </x:c>
      <x:c r="N168" s="20" t="n">
        <x:f>K168*L168</x:f>
        <x:v>0</x:v>
      </x:c>
      <x:c r="O168" s="19" t="n">
        <x:v>8000</x:v>
      </x:c>
      <x:c r="P168" s="17" t="n">
        <x:v>0.35</x:v>
      </x:c>
      <x:c r="Q168" s="20" t="n">
        <x:f>K168*O168*P168</x:f>
        <x:v>0</x:v>
      </x:c>
      <x:c r="R168" s="20" t="n">
        <x:f>Q168*(1-'01 Controls'!$E$6)</x:f>
        <x:v>0</x:v>
      </x:c>
      <x:c r="S168" s="19" t="n">
        <x:v>120</x:v>
      </x:c>
      <x:c r="T168" s="20" t="n">
        <x:f>K168*S168</x:f>
        <x:v>0</x:v>
      </x:c>
      <x:c r="U168" s="18" t="n">
        <x:f>'01 Controls'!E35</x:f>
        <x:v>0.1</x:v>
      </x:c>
      <x:c r="V168" s="20" t="n">
        <x:f>R168*U168</x:f>
        <x:v>0</x:v>
      </x:c>
      <x:c r="W168" s="18" t="n">
        <x:f>'01 Controls'!F35</x:f>
        <x:v>0</x:v>
      </x:c>
      <x:c r="X168" s="20" t="n">
        <x:f>R168*W168</x:f>
        <x:v>0</x:v>
      </x:c>
      <x:c r="Y168" s="18" t="n">
        <x:f>'01 Controls'!G35</x:f>
        <x:v>0.9</x:v>
      </x:c>
      <x:c r="Z168" s="20" t="n">
        <x:f>R168*Y168</x:f>
        <x:v>0</x:v>
      </x:c>
      <x:c r="AA168" s="18" t="n">
        <x:f>'01 Controls'!H35</x:f>
        <x:v>0</x:v>
      </x:c>
      <x:c r="AB168" s="20" t="n">
        <x:f>R168*AA168</x:f>
        <x:v>0</x:v>
      </x:c>
      <x:c r="AC168" s="20" t="n">
        <x:f>IF(H168="CM-HCG",K168*'01 Controls'!$E$24,0)</x:f>
        <x:v>0</x:v>
      </x:c>
      <x:c r="AD168" s="20" t="n">
        <x:f>IF(H168="CM-HCG",K168*'01 Controls'!$E$25,0)</x:f>
        <x:v>0</x:v>
      </x:c>
      <x:c r="AE168" s="20" t="n">
        <x:f>IF(H168="CM-HCG",K168*'01 Controls'!$E$26,0)</x:f>
        <x:v>0</x:v>
      </x:c>
      <x:c r="AF168" s="20" t="n">
        <x:f>IF(H168="CM-HCG",K168*'01 Controls'!$E$27,0)</x:f>
        <x:v>0</x:v>
      </x:c>
    </x:row>
    <x:row r="169">
      <x:c r="C169" s="22" t="str">
        <x:v>M1-M-OSG</x:v>
      </x:c>
      <x:c r="D169" s="22" t="n">
        <x:v>164</x:v>
      </x:c>
      <x:c r="E169" s="22" t="str">
        <x:v>M1</x:v>
      </x:c>
      <x:c r="F169" s="22" t="str">
        <x:v>Western fire and heat</x:v>
      </x:c>
      <x:c r="G169" s="22" t="n">
        <x:v>4</x:v>
      </x:c>
      <x:c r="H169" s="22" t="str">
        <x:v>M-OSG</x:v>
      </x:c>
      <x:c r="I169" s="22" t="str">
        <x:v>Maritime Response</x:v>
      </x:c>
      <x:c r="J169" s="22" t="str">
        <x:v>Offshore-support group</x:v>
      </x:c>
      <x:c r="K169" s="23" t="n">
        <x:v>0</x:v>
      </x:c>
      <x:c r="L169" s="23" t="n">
        <x:v>700</x:v>
      </x:c>
      <x:c r="M169" s="23" t="n">
        <x:v>0</x:v>
      </x:c>
      <x:c r="N169" s="20" t="n">
        <x:f>K169*L169</x:f>
        <x:v>0</x:v>
      </x:c>
      <x:c r="O169" s="19" t="n">
        <x:v>8000</x:v>
      </x:c>
      <x:c r="P169" s="17" t="n">
        <x:v>0.35</x:v>
      </x:c>
      <x:c r="Q169" s="20" t="n">
        <x:f>K169*O169*P169</x:f>
        <x:v>0</x:v>
      </x:c>
      <x:c r="R169" s="20" t="n">
        <x:f>Q169*(1-'01 Controls'!$E$6)</x:f>
        <x:v>0</x:v>
      </x:c>
      <x:c r="S169" s="19" t="n">
        <x:v>120</x:v>
      </x:c>
      <x:c r="T169" s="20" t="n">
        <x:f>K169*S169</x:f>
        <x:v>0</x:v>
      </x:c>
      <x:c r="U169" s="18" t="n">
        <x:f>'01 Controls'!E35</x:f>
        <x:v>0.1</x:v>
      </x:c>
      <x:c r="V169" s="20" t="n">
        <x:f>R169*U169</x:f>
        <x:v>0</x:v>
      </x:c>
      <x:c r="W169" s="18" t="n">
        <x:f>'01 Controls'!F35</x:f>
        <x:v>0</x:v>
      </x:c>
      <x:c r="X169" s="20" t="n">
        <x:f>R169*W169</x:f>
        <x:v>0</x:v>
      </x:c>
      <x:c r="Y169" s="18" t="n">
        <x:f>'01 Controls'!G35</x:f>
        <x:v>0.9</x:v>
      </x:c>
      <x:c r="Z169" s="20" t="n">
        <x:f>R169*Y169</x:f>
        <x:v>0</x:v>
      </x:c>
      <x:c r="AA169" s="18" t="n">
        <x:f>'01 Controls'!H35</x:f>
        <x:v>0</x:v>
      </x:c>
      <x:c r="AB169" s="20" t="n">
        <x:f>R169*AA169</x:f>
        <x:v>0</x:v>
      </x:c>
      <x:c r="AC169" s="20" t="n">
        <x:f>IF(H169="CM-HCG",K169*'01 Controls'!$E$24,0)</x:f>
        <x:v>0</x:v>
      </x:c>
      <x:c r="AD169" s="20" t="n">
        <x:f>IF(H169="CM-HCG",K169*'01 Controls'!$E$25,0)</x:f>
        <x:v>0</x:v>
      </x:c>
      <x:c r="AE169" s="20" t="n">
        <x:f>IF(H169="CM-HCG",K169*'01 Controls'!$E$26,0)</x:f>
        <x:v>0</x:v>
      </x:c>
      <x:c r="AF169" s="20" t="n">
        <x:f>IF(H169="CM-HCG",K169*'01 Controls'!$E$27,0)</x:f>
        <x:v>0</x:v>
      </x:c>
    </x:row>
    <x:row r="170">
      <x:c r="C170" s="22" t="str">
        <x:v>M1-M-SSG</x:v>
      </x:c>
      <x:c r="D170" s="22" t="n">
        <x:v>165</x:v>
      </x:c>
      <x:c r="E170" s="22" t="str">
        <x:v>M1</x:v>
      </x:c>
      <x:c r="F170" s="22" t="str">
        <x:v>Western fire and heat</x:v>
      </x:c>
      <x:c r="G170" s="22" t="n">
        <x:v>4</x:v>
      </x:c>
      <x:c r="H170" s="22" t="str">
        <x:v>M-SSG</x:v>
      </x:c>
      <x:c r="I170" s="22" t="str">
        <x:v>Maritime Response</x:v>
      </x:c>
      <x:c r="J170" s="22" t="str">
        <x:v>Ocean sustainment group</x:v>
      </x:c>
      <x:c r="K170" s="23" t="n">
        <x:v>1</x:v>
      </x:c>
      <x:c r="L170" s="23" t="n">
        <x:v>650</x:v>
      </x:c>
      <x:c r="M170" s="23" t="n">
        <x:v>0</x:v>
      </x:c>
      <x:c r="N170" s="20" t="n">
        <x:f>K170*L170</x:f>
        <x:v>650</x:v>
      </x:c>
      <x:c r="O170" s="19" t="n">
        <x:v>8000</x:v>
      </x:c>
      <x:c r="P170" s="17" t="n">
        <x:v>0.35</x:v>
      </x:c>
      <x:c r="Q170" s="20" t="n">
        <x:f>K170*O170*P170</x:f>
        <x:v>2800</x:v>
      </x:c>
      <x:c r="R170" s="20" t="n">
        <x:f>Q170*(1-'01 Controls'!$E$6)</x:f>
        <x:v>2100</x:v>
      </x:c>
      <x:c r="S170" s="19" t="n">
        <x:v>120</x:v>
      </x:c>
      <x:c r="T170" s="20" t="n">
        <x:f>K170*S170</x:f>
        <x:v>120</x:v>
      </x:c>
      <x:c r="U170" s="18" t="n">
        <x:f>'01 Controls'!E35</x:f>
        <x:v>0.1</x:v>
      </x:c>
      <x:c r="V170" s="20" t="n">
        <x:f>R170*U170</x:f>
        <x:v>210</x:v>
      </x:c>
      <x:c r="W170" s="18" t="n">
        <x:f>'01 Controls'!F35</x:f>
        <x:v>0</x:v>
      </x:c>
      <x:c r="X170" s="20" t="n">
        <x:f>R170*W170</x:f>
        <x:v>0</x:v>
      </x:c>
      <x:c r="Y170" s="18" t="n">
        <x:f>'01 Controls'!G35</x:f>
        <x:v>0.9</x:v>
      </x:c>
      <x:c r="Z170" s="20" t="n">
        <x:f>R170*Y170</x:f>
        <x:v>1890</x:v>
      </x:c>
      <x:c r="AA170" s="18" t="n">
        <x:f>'01 Controls'!H35</x:f>
        <x:v>0</x:v>
      </x:c>
      <x:c r="AB170" s="20" t="n">
        <x:f>R170*AA170</x:f>
        <x:v>0</x:v>
      </x:c>
      <x:c r="AC170" s="20" t="n">
        <x:f>IF(H170="CM-HCG",K170*'01 Controls'!$E$24,0)</x:f>
        <x:v>0</x:v>
      </x:c>
      <x:c r="AD170" s="20" t="n">
        <x:f>IF(H170="CM-HCG",K170*'01 Controls'!$E$25,0)</x:f>
        <x:v>0</x:v>
      </x:c>
      <x:c r="AE170" s="20" t="n">
        <x:f>IF(H170="CM-HCG",K170*'01 Controls'!$E$26,0)</x:f>
        <x:v>0</x:v>
      </x:c>
      <x:c r="AF170" s="20" t="n">
        <x:f>IF(H170="CM-HCG",K170*'01 Controls'!$E$27,0)</x:f>
        <x:v>0</x:v>
      </x:c>
    </x:row>
    <x:row r="171">
      <x:c r="C171" s="22" t="str">
        <x:v>M1-I-CUG</x:v>
      </x:c>
      <x:c r="D171" s="22" t="n">
        <x:v>166</x:v>
      </x:c>
      <x:c r="E171" s="22" t="str">
        <x:v>M1</x:v>
      </x:c>
      <x:c r="F171" s="22" t="str">
        <x:v>Western fire and heat</x:v>
      </x:c>
      <x:c r="G171" s="22" t="n">
        <x:v>4</x:v>
      </x:c>
      <x:c r="H171" s="22" t="str">
        <x:v>I-CUG</x:v>
      </x:c>
      <x:c r="I171" s="22" t="str">
        <x:v>Infrastructure Restoration</x:v>
      </x:c>
      <x:c r="J171" s="22" t="str">
        <x:v>Communications utility group</x:v>
      </x:c>
      <x:c r="K171" s="23" t="n">
        <x:v>4</x:v>
      </x:c>
      <x:c r="L171" s="23" t="n">
        <x:v>250</x:v>
      </x:c>
      <x:c r="M171" s="23" t="n">
        <x:v>0</x:v>
      </x:c>
      <x:c r="N171" s="20" t="n">
        <x:f>K171*L171</x:f>
        <x:v>1000</x:v>
      </x:c>
      <x:c r="O171" s="19" t="n">
        <x:v>12000</x:v>
      </x:c>
      <x:c r="P171" s="17" t="n">
        <x:v>0.4</x:v>
      </x:c>
      <x:c r="Q171" s="20" t="n">
        <x:f>K171*O171*P171</x:f>
        <x:v>19200</x:v>
      </x:c>
      <x:c r="R171" s="20" t="n">
        <x:f>Q171*(1-'01 Controls'!$E$6)</x:f>
        <x:v>14400</x:v>
      </x:c>
      <x:c r="S171" s="19" t="n">
        <x:v>110</x:v>
      </x:c>
      <x:c r="T171" s="20" t="n">
        <x:f>K171*S171</x:f>
        <x:v>440</x:v>
      </x:c>
      <x:c r="U171" s="18" t="n">
        <x:f>'01 Controls'!E35</x:f>
        <x:v>0.1</x:v>
      </x:c>
      <x:c r="V171" s="20" t="n">
        <x:f>R171*U171</x:f>
        <x:v>1440</x:v>
      </x:c>
      <x:c r="W171" s="18" t="n">
        <x:f>'01 Controls'!F35</x:f>
        <x:v>0</x:v>
      </x:c>
      <x:c r="X171" s="20" t="n">
        <x:f>R171*W171</x:f>
        <x:v>0</x:v>
      </x:c>
      <x:c r="Y171" s="18" t="n">
        <x:f>'01 Controls'!G35</x:f>
        <x:v>0.9</x:v>
      </x:c>
      <x:c r="Z171" s="20" t="n">
        <x:f>R171*Y171</x:f>
        <x:v>12960</x:v>
      </x:c>
      <x:c r="AA171" s="18" t="n">
        <x:f>'01 Controls'!H35</x:f>
        <x:v>0</x:v>
      </x:c>
      <x:c r="AB171" s="20" t="n">
        <x:f>R171*AA171</x:f>
        <x:v>0</x:v>
      </x:c>
      <x:c r="AC171" s="20" t="n">
        <x:f>IF(H171="CM-HCG",K171*'01 Controls'!$E$24,0)</x:f>
        <x:v>0</x:v>
      </x:c>
      <x:c r="AD171" s="20" t="n">
        <x:f>IF(H171="CM-HCG",K171*'01 Controls'!$E$25,0)</x:f>
        <x:v>0</x:v>
      </x:c>
      <x:c r="AE171" s="20" t="n">
        <x:f>IF(H171="CM-HCG",K171*'01 Controls'!$E$26,0)</x:f>
        <x:v>0</x:v>
      </x:c>
      <x:c r="AF171" s="20" t="n">
        <x:f>IF(H171="CM-HCG",K171*'01 Controls'!$E$27,0)</x:f>
        <x:v>0</x:v>
      </x:c>
    </x:row>
    <x:row r="172">
      <x:c r="C172" s="22" t="str">
        <x:v>M1-I-TSG</x:v>
      </x:c>
      <x:c r="D172" s="22" t="n">
        <x:v>167</x:v>
      </x:c>
      <x:c r="E172" s="22" t="str">
        <x:v>M1</x:v>
      </x:c>
      <x:c r="F172" s="22" t="str">
        <x:v>Western fire and heat</x:v>
      </x:c>
      <x:c r="G172" s="22" t="n">
        <x:v>4</x:v>
      </x:c>
      <x:c r="H172" s="22" t="str">
        <x:v>I-TSG</x:v>
      </x:c>
      <x:c r="I172" s="22" t="str">
        <x:v>Infrastructure Restoration</x:v>
      </x:c>
      <x:c r="J172" s="22" t="str">
        <x:v>Thermal safety group</x:v>
      </x:c>
      <x:c r="K172" s="23" t="n">
        <x:v>4</x:v>
      </x:c>
      <x:c r="L172" s="23" t="n">
        <x:v>250</x:v>
      </x:c>
      <x:c r="M172" s="23" t="n">
        <x:v>0</x:v>
      </x:c>
      <x:c r="N172" s="20" t="n">
        <x:f>K172*L172</x:f>
        <x:v>1000</x:v>
      </x:c>
      <x:c r="O172" s="19" t="n">
        <x:v>12000</x:v>
      </x:c>
      <x:c r="P172" s="17" t="n">
        <x:v>0.4</x:v>
      </x:c>
      <x:c r="Q172" s="20" t="n">
        <x:f>K172*O172*P172</x:f>
        <x:v>19200</x:v>
      </x:c>
      <x:c r="R172" s="20" t="n">
        <x:f>Q172*(1-'01 Controls'!$E$6)</x:f>
        <x:v>14400</x:v>
      </x:c>
      <x:c r="S172" s="19" t="n">
        <x:v>110</x:v>
      </x:c>
      <x:c r="T172" s="20" t="n">
        <x:f>K172*S172</x:f>
        <x:v>440</x:v>
      </x:c>
      <x:c r="U172" s="18" t="n">
        <x:f>'01 Controls'!E35</x:f>
        <x:v>0.1</x:v>
      </x:c>
      <x:c r="V172" s="20" t="n">
        <x:f>R172*U172</x:f>
        <x:v>1440</x:v>
      </x:c>
      <x:c r="W172" s="18" t="n">
        <x:f>'01 Controls'!F35</x:f>
        <x:v>0</x:v>
      </x:c>
      <x:c r="X172" s="20" t="n">
        <x:f>R172*W172</x:f>
        <x:v>0</x:v>
      </x:c>
      <x:c r="Y172" s="18" t="n">
        <x:f>'01 Controls'!G35</x:f>
        <x:v>0.9</x:v>
      </x:c>
      <x:c r="Z172" s="20" t="n">
        <x:f>R172*Y172</x:f>
        <x:v>12960</x:v>
      </x:c>
      <x:c r="AA172" s="18" t="n">
        <x:f>'01 Controls'!H35</x:f>
        <x:v>0</x:v>
      </x:c>
      <x:c r="AB172" s="20" t="n">
        <x:f>R172*AA172</x:f>
        <x:v>0</x:v>
      </x:c>
      <x:c r="AC172" s="20" t="n">
        <x:f>IF(H172="CM-HCG",K172*'01 Controls'!$E$24,0)</x:f>
        <x:v>0</x:v>
      </x:c>
      <x:c r="AD172" s="20" t="n">
        <x:f>IF(H172="CM-HCG",K172*'01 Controls'!$E$25,0)</x:f>
        <x:v>0</x:v>
      </x:c>
      <x:c r="AE172" s="20" t="n">
        <x:f>IF(H172="CM-HCG",K172*'01 Controls'!$E$26,0)</x:f>
        <x:v>0</x:v>
      </x:c>
      <x:c r="AF172" s="20" t="n">
        <x:f>IF(H172="CM-HCG",K172*'01 Controls'!$E$27,0)</x:f>
        <x:v>0</x:v>
      </x:c>
    </x:row>
    <x:row r="173">
      <x:c r="C173" s="22" t="str">
        <x:v>M1-I-URG</x:v>
      </x:c>
      <x:c r="D173" s="22" t="n">
        <x:v>168</x:v>
      </x:c>
      <x:c r="E173" s="22" t="str">
        <x:v>M1</x:v>
      </x:c>
      <x:c r="F173" s="22" t="str">
        <x:v>Western fire and heat</x:v>
      </x:c>
      <x:c r="G173" s="22" t="n">
        <x:v>4</x:v>
      </x:c>
      <x:c r="H173" s="22" t="str">
        <x:v>I-URG</x:v>
      </x:c>
      <x:c r="I173" s="22" t="str">
        <x:v>Infrastructure Restoration</x:v>
      </x:c>
      <x:c r="J173" s="22" t="str">
        <x:v>Utility reconstruction group</x:v>
      </x:c>
      <x:c r="K173" s="23" t="n">
        <x:v>3</x:v>
      </x:c>
      <x:c r="L173" s="23" t="n">
        <x:v>450</x:v>
      </x:c>
      <x:c r="M173" s="23" t="n">
        <x:v>0</x:v>
      </x:c>
      <x:c r="N173" s="20" t="n">
        <x:f>K173*L173</x:f>
        <x:v>1350</x:v>
      </x:c>
      <x:c r="O173" s="19" t="n">
        <x:v>12000</x:v>
      </x:c>
      <x:c r="P173" s="17" t="n">
        <x:v>0.4</x:v>
      </x:c>
      <x:c r="Q173" s="20" t="n">
        <x:f>K173*O173*P173</x:f>
        <x:v>14400</x:v>
      </x:c>
      <x:c r="R173" s="20" t="n">
        <x:f>Q173*(1-'01 Controls'!$E$6)</x:f>
        <x:v>10800</x:v>
      </x:c>
      <x:c r="S173" s="19" t="n">
        <x:v>110</x:v>
      </x:c>
      <x:c r="T173" s="20" t="n">
        <x:f>K173*S173</x:f>
        <x:v>330</x:v>
      </x:c>
      <x:c r="U173" s="18" t="n">
        <x:f>'01 Controls'!E35</x:f>
        <x:v>0.1</x:v>
      </x:c>
      <x:c r="V173" s="20" t="n">
        <x:f>R173*U173</x:f>
        <x:v>1080</x:v>
      </x:c>
      <x:c r="W173" s="18" t="n">
        <x:f>'01 Controls'!F35</x:f>
        <x:v>0</x:v>
      </x:c>
      <x:c r="X173" s="20" t="n">
        <x:f>R173*W173</x:f>
        <x:v>0</x:v>
      </x:c>
      <x:c r="Y173" s="18" t="n">
        <x:f>'01 Controls'!G35</x:f>
        <x:v>0.9</x:v>
      </x:c>
      <x:c r="Z173" s="20" t="n">
        <x:f>R173*Y173</x:f>
        <x:v>9720</x:v>
      </x:c>
      <x:c r="AA173" s="18" t="n">
        <x:f>'01 Controls'!H35</x:f>
        <x:v>0</x:v>
      </x:c>
      <x:c r="AB173" s="20" t="n">
        <x:f>R173*AA173</x:f>
        <x:v>0</x:v>
      </x:c>
      <x:c r="AC173" s="20" t="n">
        <x:f>IF(H173="CM-HCG",K173*'01 Controls'!$E$24,0)</x:f>
        <x:v>0</x:v>
      </x:c>
      <x:c r="AD173" s="20" t="n">
        <x:f>IF(H173="CM-HCG",K173*'01 Controls'!$E$25,0)</x:f>
        <x:v>0</x:v>
      </x:c>
      <x:c r="AE173" s="20" t="n">
        <x:f>IF(H173="CM-HCG",K173*'01 Controls'!$E$26,0)</x:f>
        <x:v>0</x:v>
      </x:c>
      <x:c r="AF173" s="20" t="n">
        <x:f>IF(H173="CM-HCG",K173*'01 Controls'!$E$27,0)</x:f>
        <x:v>0</x:v>
      </x:c>
    </x:row>
    <x:row r="174">
      <x:c r="C174" s="22" t="str">
        <x:v>M1-H-CHC</x:v>
      </x:c>
      <x:c r="D174" s="22" t="n">
        <x:v>169</x:v>
      </x:c>
      <x:c r="E174" s="22" t="str">
        <x:v>M1</x:v>
      </x:c>
      <x:c r="F174" s="22" t="str">
        <x:v>Western fire and heat</x:v>
      </x:c>
      <x:c r="G174" s="22" t="n">
        <x:v>4</x:v>
      </x:c>
      <x:c r="H174" s="22" t="str">
        <x:v>H-CHC</x:v>
      </x:c>
      <x:c r="I174" s="22" t="str">
        <x:v>Health Protection</x:v>
      </x:c>
      <x:c r="J174" s="22" t="str">
        <x:v>Community health continuity group</x:v>
      </x:c>
      <x:c r="K174" s="23" t="n">
        <x:v>4</x:v>
      </x:c>
      <x:c r="L174" s="23" t="n">
        <x:v>500</x:v>
      </x:c>
      <x:c r="M174" s="23" t="n">
        <x:v>0</x:v>
      </x:c>
      <x:c r="N174" s="20" t="n">
        <x:f>K174*L174</x:f>
        <x:v>2000</x:v>
      </x:c>
      <x:c r="O174" s="19" t="n">
        <x:v>5000</x:v>
      </x:c>
      <x:c r="P174" s="17" t="n">
        <x:v>0.7</x:v>
      </x:c>
      <x:c r="Q174" s="20" t="n">
        <x:f>K174*O174*P174</x:f>
        <x:v>14000</x:v>
      </x:c>
      <x:c r="R174" s="20" t="n">
        <x:f>Q174*(1-'01 Controls'!$E$6)</x:f>
        <x:v>10500</x:v>
      </x:c>
      <x:c r="S174" s="19" t="n">
        <x:v>55</x:v>
      </x:c>
      <x:c r="T174" s="20" t="n">
        <x:f>K174*S174</x:f>
        <x:v>220</x:v>
      </x:c>
      <x:c r="U174" s="18" t="n">
        <x:f>'01 Controls'!E35</x:f>
        <x:v>0.1</x:v>
      </x:c>
      <x:c r="V174" s="20" t="n">
        <x:f>R174*U174</x:f>
        <x:v>1050</x:v>
      </x:c>
      <x:c r="W174" s="18" t="n">
        <x:f>'01 Controls'!F35</x:f>
        <x:v>0</x:v>
      </x:c>
      <x:c r="X174" s="20" t="n">
        <x:f>R174*W174</x:f>
        <x:v>0</x:v>
      </x:c>
      <x:c r="Y174" s="18" t="n">
        <x:f>'01 Controls'!G35</x:f>
        <x:v>0.9</x:v>
      </x:c>
      <x:c r="Z174" s="20" t="n">
        <x:f>R174*Y174</x:f>
        <x:v>9450</x:v>
      </x:c>
      <x:c r="AA174" s="18" t="n">
        <x:f>'01 Controls'!H35</x:f>
        <x:v>0</x:v>
      </x:c>
      <x:c r="AB174" s="20" t="n">
        <x:f>R174*AA174</x:f>
        <x:v>0</x:v>
      </x:c>
      <x:c r="AC174" s="20" t="n">
        <x:f>IF(H174="CM-HCG",K174*'01 Controls'!$E$24,0)</x:f>
        <x:v>0</x:v>
      </x:c>
      <x:c r="AD174" s="20" t="n">
        <x:f>IF(H174="CM-HCG",K174*'01 Controls'!$E$25,0)</x:f>
        <x:v>0</x:v>
      </x:c>
      <x:c r="AE174" s="20" t="n">
        <x:f>IF(H174="CM-HCG",K174*'01 Controls'!$E$26,0)</x:f>
        <x:v>0</x:v>
      </x:c>
      <x:c r="AF174" s="20" t="n">
        <x:f>IF(H174="CM-HCG",K174*'01 Controls'!$E$27,0)</x:f>
        <x:v>0</x:v>
      </x:c>
    </x:row>
    <x:row r="175">
      <x:c r="C175" s="22" t="str">
        <x:v>M1-H-MAC</x:v>
      </x:c>
      <x:c r="D175" s="22" t="n">
        <x:v>170</x:v>
      </x:c>
      <x:c r="E175" s="22" t="str">
        <x:v>M1</x:v>
      </x:c>
      <x:c r="F175" s="22" t="str">
        <x:v>Western fire and heat</x:v>
      </x:c>
      <x:c r="G175" s="22" t="n">
        <x:v>4</x:v>
      </x:c>
      <x:c r="H175" s="22" t="str">
        <x:v>H-MAC</x:v>
      </x:c>
      <x:c r="I175" s="22" t="str">
        <x:v>Health Protection</x:v>
      </x:c>
      <x:c r="J175" s="22" t="str">
        <x:v>Mobile acute-care group</x:v>
      </x:c>
      <x:c r="K175" s="23" t="n">
        <x:v>3</x:v>
      </x:c>
      <x:c r="L175" s="23" t="n">
        <x:v>600</x:v>
      </x:c>
      <x:c r="M175" s="23" t="n">
        <x:v>0</x:v>
      </x:c>
      <x:c r="N175" s="20" t="n">
        <x:f>K175*L175</x:f>
        <x:v>1800</x:v>
      </x:c>
      <x:c r="O175" s="19" t="n">
        <x:v>5000</x:v>
      </x:c>
      <x:c r="P175" s="17" t="n">
        <x:v>0.7</x:v>
      </x:c>
      <x:c r="Q175" s="20" t="n">
        <x:f>K175*O175*P175</x:f>
        <x:v>10500</x:v>
      </x:c>
      <x:c r="R175" s="20" t="n">
        <x:f>Q175*(1-'01 Controls'!$E$6)</x:f>
        <x:v>7875</x:v>
      </x:c>
      <x:c r="S175" s="19" t="n">
        <x:v>55</x:v>
      </x:c>
      <x:c r="T175" s="20" t="n">
        <x:f>K175*S175</x:f>
        <x:v>165</x:v>
      </x:c>
      <x:c r="U175" s="18" t="n">
        <x:f>'01 Controls'!E35</x:f>
        <x:v>0.1</x:v>
      </x:c>
      <x:c r="V175" s="20" t="n">
        <x:f>R175*U175</x:f>
        <x:v>787.5</x:v>
      </x:c>
      <x:c r="W175" s="18" t="n">
        <x:f>'01 Controls'!F35</x:f>
        <x:v>0</x:v>
      </x:c>
      <x:c r="X175" s="20" t="n">
        <x:f>R175*W175</x:f>
        <x:v>0</x:v>
      </x:c>
      <x:c r="Y175" s="18" t="n">
        <x:f>'01 Controls'!G35</x:f>
        <x:v>0.9</x:v>
      </x:c>
      <x:c r="Z175" s="20" t="n">
        <x:f>R175*Y175</x:f>
        <x:v>7087.5</x:v>
      </x:c>
      <x:c r="AA175" s="18" t="n">
        <x:f>'01 Controls'!H35</x:f>
        <x:v>0</x:v>
      </x:c>
      <x:c r="AB175" s="20" t="n">
        <x:f>R175*AA175</x:f>
        <x:v>0</x:v>
      </x:c>
      <x:c r="AC175" s="20" t="n">
        <x:f>IF(H175="CM-HCG",K175*'01 Controls'!$E$24,0)</x:f>
        <x:v>0</x:v>
      </x:c>
      <x:c r="AD175" s="20" t="n">
        <x:f>IF(H175="CM-HCG",K175*'01 Controls'!$E$25,0)</x:f>
        <x:v>0</x:v>
      </x:c>
      <x:c r="AE175" s="20" t="n">
        <x:f>IF(H175="CM-HCG",K175*'01 Controls'!$E$26,0)</x:f>
        <x:v>0</x:v>
      </x:c>
      <x:c r="AF175" s="20" t="n">
        <x:f>IF(H175="CM-HCG",K175*'01 Controls'!$E$27,0)</x:f>
        <x:v>0</x:v>
      </x:c>
    </x:row>
    <x:row r="176">
      <x:c r="C176" s="22" t="str">
        <x:v>M1-H-PHC</x:v>
      </x:c>
      <x:c r="D176" s="22" t="n">
        <x:v>171</x:v>
      </x:c>
      <x:c r="E176" s="22" t="str">
        <x:v>M1</x:v>
      </x:c>
      <x:c r="F176" s="22" t="str">
        <x:v>Western fire and heat</x:v>
      </x:c>
      <x:c r="G176" s="22" t="n">
        <x:v>4</x:v>
      </x:c>
      <x:c r="H176" s="22" t="str">
        <x:v>H-PHC</x:v>
      </x:c>
      <x:c r="I176" s="22" t="str">
        <x:v>Health Protection</x:v>
      </x:c>
      <x:c r="J176" s="22" t="str">
        <x:v>Public-health control group</x:v>
      </x:c>
      <x:c r="K176" s="23" t="n">
        <x:v>3</x:v>
      </x:c>
      <x:c r="L176" s="23" t="n">
        <x:v>250</x:v>
      </x:c>
      <x:c r="M176" s="23" t="n">
        <x:v>0</x:v>
      </x:c>
      <x:c r="N176" s="20" t="n">
        <x:f>K176*L176</x:f>
        <x:v>750</x:v>
      </x:c>
      <x:c r="O176" s="19" t="n">
        <x:v>5000</x:v>
      </x:c>
      <x:c r="P176" s="17" t="n">
        <x:v>0.7</x:v>
      </x:c>
      <x:c r="Q176" s="20" t="n">
        <x:f>K176*O176*P176</x:f>
        <x:v>10500</x:v>
      </x:c>
      <x:c r="R176" s="20" t="n">
        <x:f>Q176*(1-'01 Controls'!$E$6)</x:f>
        <x:v>7875</x:v>
      </x:c>
      <x:c r="S176" s="19" t="n">
        <x:v>55</x:v>
      </x:c>
      <x:c r="T176" s="20" t="n">
        <x:f>K176*S176</x:f>
        <x:v>165</x:v>
      </x:c>
      <x:c r="U176" s="18" t="n">
        <x:f>'01 Controls'!E35</x:f>
        <x:v>0.1</x:v>
      </x:c>
      <x:c r="V176" s="20" t="n">
        <x:f>R176*U176</x:f>
        <x:v>787.5</x:v>
      </x:c>
      <x:c r="W176" s="18" t="n">
        <x:f>'01 Controls'!F35</x:f>
        <x:v>0</x:v>
      </x:c>
      <x:c r="X176" s="20" t="n">
        <x:f>R176*W176</x:f>
        <x:v>0</x:v>
      </x:c>
      <x:c r="Y176" s="18" t="n">
        <x:f>'01 Controls'!G35</x:f>
        <x:v>0.9</x:v>
      </x:c>
      <x:c r="Z176" s="20" t="n">
        <x:f>R176*Y176</x:f>
        <x:v>7087.5</x:v>
      </x:c>
      <x:c r="AA176" s="18" t="n">
        <x:f>'01 Controls'!H35</x:f>
        <x:v>0</x:v>
      </x:c>
      <x:c r="AB176" s="20" t="n">
        <x:f>R176*AA176</x:f>
        <x:v>0</x:v>
      </x:c>
      <x:c r="AC176" s="20" t="n">
        <x:f>IF(H176="CM-HCG",K176*'01 Controls'!$E$24,0)</x:f>
        <x:v>0</x:v>
      </x:c>
      <x:c r="AD176" s="20" t="n">
        <x:f>IF(H176="CM-HCG",K176*'01 Controls'!$E$25,0)</x:f>
        <x:v>0</x:v>
      </x:c>
      <x:c r="AE176" s="20" t="n">
        <x:f>IF(H176="CM-HCG",K176*'01 Controls'!$E$26,0)</x:f>
        <x:v>0</x:v>
      </x:c>
      <x:c r="AF176" s="20" t="n">
        <x:f>IF(H176="CM-HCG",K176*'01 Controls'!$E$27,0)</x:f>
        <x:v>0</x:v>
      </x:c>
    </x:row>
    <x:row r="177">
      <x:c r="C177" s="22" t="str">
        <x:v>M1-H-HWR</x:v>
      </x:c>
      <x:c r="D177" s="22" t="n">
        <x:v>172</x:v>
      </x:c>
      <x:c r="E177" s="22" t="str">
        <x:v>M1</x:v>
      </x:c>
      <x:c r="F177" s="22" t="str">
        <x:v>Western fire and heat</x:v>
      </x:c>
      <x:c r="G177" s="22" t="n">
        <x:v>4</x:v>
      </x:c>
      <x:c r="H177" s="22" t="str">
        <x:v>H-HWR</x:v>
      </x:c>
      <x:c r="I177" s="22" t="str">
        <x:v>Health Protection</x:v>
      </x:c>
      <x:c r="J177" s="22" t="str">
        <x:v>Health workforce replacement group</x:v>
      </x:c>
      <x:c r="K177" s="23" t="n">
        <x:v>4</x:v>
      </x:c>
      <x:c r="L177" s="23" t="n">
        <x:v>550</x:v>
      </x:c>
      <x:c r="M177" s="23" t="n">
        <x:v>0</x:v>
      </x:c>
      <x:c r="N177" s="20" t="n">
        <x:f>K177*L177</x:f>
        <x:v>2200</x:v>
      </x:c>
      <x:c r="O177" s="19" t="n">
        <x:v>5000</x:v>
      </x:c>
      <x:c r="P177" s="17" t="n">
        <x:v>0.7</x:v>
      </x:c>
      <x:c r="Q177" s="20" t="n">
        <x:f>K177*O177*P177</x:f>
        <x:v>14000</x:v>
      </x:c>
      <x:c r="R177" s="20" t="n">
        <x:f>Q177*(1-'01 Controls'!$E$6)</x:f>
        <x:v>10500</x:v>
      </x:c>
      <x:c r="S177" s="19" t="n">
        <x:v>55</x:v>
      </x:c>
      <x:c r="T177" s="20" t="n">
        <x:f>K177*S177</x:f>
        <x:v>220</x:v>
      </x:c>
      <x:c r="U177" s="18" t="n">
        <x:f>'01 Controls'!E35</x:f>
        <x:v>0.1</x:v>
      </x:c>
      <x:c r="V177" s="20" t="n">
        <x:f>R177*U177</x:f>
        <x:v>1050</x:v>
      </x:c>
      <x:c r="W177" s="18" t="n">
        <x:f>'01 Controls'!F35</x:f>
        <x:v>0</x:v>
      </x:c>
      <x:c r="X177" s="20" t="n">
        <x:f>R177*W177</x:f>
        <x:v>0</x:v>
      </x:c>
      <x:c r="Y177" s="18" t="n">
        <x:f>'01 Controls'!G35</x:f>
        <x:v>0.9</x:v>
      </x:c>
      <x:c r="Z177" s="20" t="n">
        <x:f>R177*Y177</x:f>
        <x:v>9450</x:v>
      </x:c>
      <x:c r="AA177" s="18" t="n">
        <x:f>'01 Controls'!H35</x:f>
        <x:v>0</x:v>
      </x:c>
      <x:c r="AB177" s="20" t="n">
        <x:f>R177*AA177</x:f>
        <x:v>0</x:v>
      </x:c>
      <x:c r="AC177" s="20" t="n">
        <x:f>IF(H177="CM-HCG",K177*'01 Controls'!$E$24,0)</x:f>
        <x:v>0</x:v>
      </x:c>
      <x:c r="AD177" s="20" t="n">
        <x:f>IF(H177="CM-HCG",K177*'01 Controls'!$E$25,0)</x:f>
        <x:v>0</x:v>
      </x:c>
      <x:c r="AE177" s="20" t="n">
        <x:f>IF(H177="CM-HCG",K177*'01 Controls'!$E$26,0)</x:f>
        <x:v>0</x:v>
      </x:c>
      <x:c r="AF177" s="20" t="n">
        <x:f>IF(H177="CM-HCG",K177*'01 Controls'!$E$27,0)</x:f>
        <x:v>0</x:v>
      </x:c>
    </x:row>
    <x:row r="178">
      <x:c r="C178" s="22" t="str">
        <x:v>M1-C-PSG</x:v>
      </x:c>
      <x:c r="D178" s="22" t="n">
        <x:v>173</x:v>
      </x:c>
      <x:c r="E178" s="22" t="str">
        <x:v>M1</x:v>
      </x:c>
      <x:c r="F178" s="22" t="str">
        <x:v>Western fire and heat</x:v>
      </x:c>
      <x:c r="G178" s="22" t="n">
        <x:v>4</x:v>
      </x:c>
      <x:c r="H178" s="22" t="str">
        <x:v>C-PSG</x:v>
      </x:c>
      <x:c r="I178" s="22" t="str">
        <x:v>Community Stabilization</x:v>
      </x:c>
      <x:c r="J178" s="22" t="str">
        <x:v>Population support group</x:v>
      </x:c>
      <x:c r="K178" s="23" t="n">
        <x:v>4</x:v>
      </x:c>
      <x:c r="L178" s="23" t="n">
        <x:v>450</x:v>
      </x:c>
      <x:c r="M178" s="23" t="n">
        <x:v>0</x:v>
      </x:c>
      <x:c r="N178" s="20" t="n">
        <x:f>K178*L178</x:f>
        <x:v>1800</x:v>
      </x:c>
      <x:c r="O178" s="19" t="n">
        <x:v>4500</x:v>
      </x:c>
      <x:c r="P178" s="17" t="n">
        <x:v>0.65</x:v>
      </x:c>
      <x:c r="Q178" s="20" t="n">
        <x:f>K178*O178*P178</x:f>
        <x:v>11700</x:v>
      </x:c>
      <x:c r="R178" s="20" t="n">
        <x:f>Q178*(1-'01 Controls'!$E$6)</x:f>
        <x:v>8775</x:v>
      </x:c>
      <x:c r="S178" s="19" t="n">
        <x:v>75</x:v>
      </x:c>
      <x:c r="T178" s="20" t="n">
        <x:f>K178*S178</x:f>
        <x:v>300</x:v>
      </x:c>
      <x:c r="U178" s="18" t="n">
        <x:f>'01 Controls'!E35</x:f>
        <x:v>0.1</x:v>
      </x:c>
      <x:c r="V178" s="20" t="n">
        <x:f>R178*U178</x:f>
        <x:v>877.5</x:v>
      </x:c>
      <x:c r="W178" s="18" t="n">
        <x:f>'01 Controls'!F35</x:f>
        <x:v>0</x:v>
      </x:c>
      <x:c r="X178" s="20" t="n">
        <x:f>R178*W178</x:f>
        <x:v>0</x:v>
      </x:c>
      <x:c r="Y178" s="18" t="n">
        <x:f>'01 Controls'!G35</x:f>
        <x:v>0.9</x:v>
      </x:c>
      <x:c r="Z178" s="20" t="n">
        <x:f>R178*Y178</x:f>
        <x:v>7897.5</x:v>
      </x:c>
      <x:c r="AA178" s="18" t="n">
        <x:f>'01 Controls'!H35</x:f>
        <x:v>0</x:v>
      </x:c>
      <x:c r="AB178" s="20" t="n">
        <x:f>R178*AA178</x:f>
        <x:v>0</x:v>
      </x:c>
      <x:c r="AC178" s="20" t="n">
        <x:f>IF(H178="CM-HCG",K178*'01 Controls'!$E$24,0)</x:f>
        <x:v>0</x:v>
      </x:c>
      <x:c r="AD178" s="20" t="n">
        <x:f>IF(H178="CM-HCG",K178*'01 Controls'!$E$25,0)</x:f>
        <x:v>0</x:v>
      </x:c>
      <x:c r="AE178" s="20" t="n">
        <x:f>IF(H178="CM-HCG",K178*'01 Controls'!$E$26,0)</x:f>
        <x:v>0</x:v>
      </x:c>
      <x:c r="AF178" s="20" t="n">
        <x:f>IF(H178="CM-HCG",K178*'01 Controls'!$E$27,0)</x:f>
        <x:v>0</x:v>
      </x:c>
    </x:row>
    <x:row r="179">
      <x:c r="C179" s="22" t="str">
        <x:v>M1-C-EGG</x:v>
      </x:c>
      <x:c r="D179" s="22" t="n">
        <x:v>174</x:v>
      </x:c>
      <x:c r="E179" s="22" t="str">
        <x:v>M1</x:v>
      </x:c>
      <x:c r="F179" s="22" t="str">
        <x:v>Western fire and heat</x:v>
      </x:c>
      <x:c r="G179" s="22" t="n">
        <x:v>4</x:v>
      </x:c>
      <x:c r="H179" s="22" t="str">
        <x:v>C-EGG</x:v>
      </x:c>
      <x:c r="I179" s="22" t="str">
        <x:v>Community Stabilization</x:v>
      </x:c>
      <x:c r="J179" s="22" t="str">
        <x:v>Essential-goods group</x:v>
      </x:c>
      <x:c r="K179" s="23" t="n">
        <x:v>4</x:v>
      </x:c>
      <x:c r="L179" s="23" t="n">
        <x:v>350</x:v>
      </x:c>
      <x:c r="M179" s="23" t="n">
        <x:v>0</x:v>
      </x:c>
      <x:c r="N179" s="20" t="n">
        <x:f>K179*L179</x:f>
        <x:v>1400</x:v>
      </x:c>
      <x:c r="O179" s="19" t="n">
        <x:v>4500</x:v>
      </x:c>
      <x:c r="P179" s="17" t="n">
        <x:v>0.65</x:v>
      </x:c>
      <x:c r="Q179" s="20" t="n">
        <x:f>K179*O179*P179</x:f>
        <x:v>11700</x:v>
      </x:c>
      <x:c r="R179" s="20" t="n">
        <x:f>Q179*(1-'01 Controls'!$E$6)</x:f>
        <x:v>8775</x:v>
      </x:c>
      <x:c r="S179" s="19" t="n">
        <x:v>75</x:v>
      </x:c>
      <x:c r="T179" s="20" t="n">
        <x:f>K179*S179</x:f>
        <x:v>300</x:v>
      </x:c>
      <x:c r="U179" s="18" t="n">
        <x:f>'01 Controls'!E35</x:f>
        <x:v>0.1</x:v>
      </x:c>
      <x:c r="V179" s="20" t="n">
        <x:f>R179*U179</x:f>
        <x:v>877.5</x:v>
      </x:c>
      <x:c r="W179" s="18" t="n">
        <x:f>'01 Controls'!F35</x:f>
        <x:v>0</x:v>
      </x:c>
      <x:c r="X179" s="20" t="n">
        <x:f>R179*W179</x:f>
        <x:v>0</x:v>
      </x:c>
      <x:c r="Y179" s="18" t="n">
        <x:f>'01 Controls'!G35</x:f>
        <x:v>0.9</x:v>
      </x:c>
      <x:c r="Z179" s="20" t="n">
        <x:f>R179*Y179</x:f>
        <x:v>7897.5</x:v>
      </x:c>
      <x:c r="AA179" s="18" t="n">
        <x:f>'01 Controls'!H35</x:f>
        <x:v>0</x:v>
      </x:c>
      <x:c r="AB179" s="20" t="n">
        <x:f>R179*AA179</x:f>
        <x:v>0</x:v>
      </x:c>
      <x:c r="AC179" s="20" t="n">
        <x:f>IF(H179="CM-HCG",K179*'01 Controls'!$E$24,0)</x:f>
        <x:v>0</x:v>
      </x:c>
      <x:c r="AD179" s="20" t="n">
        <x:f>IF(H179="CM-HCG",K179*'01 Controls'!$E$25,0)</x:f>
        <x:v>0</x:v>
      </x:c>
      <x:c r="AE179" s="20" t="n">
        <x:f>IF(H179="CM-HCG",K179*'01 Controls'!$E$26,0)</x:f>
        <x:v>0</x:v>
      </x:c>
      <x:c r="AF179" s="20" t="n">
        <x:f>IF(H179="CM-HCG",K179*'01 Controls'!$E$27,0)</x:f>
        <x:v>0</x:v>
      </x:c>
    </x:row>
    <x:row r="180">
      <x:c r="C180" s="22" t="str">
        <x:v>M1-C-CAG</x:v>
      </x:c>
      <x:c r="D180" s="22" t="n">
        <x:v>175</x:v>
      </x:c>
      <x:c r="E180" s="22" t="str">
        <x:v>M1</x:v>
      </x:c>
      <x:c r="F180" s="22" t="str">
        <x:v>Western fire and heat</x:v>
      </x:c>
      <x:c r="G180" s="22" t="n">
        <x:v>4</x:v>
      </x:c>
      <x:c r="H180" s="22" t="str">
        <x:v>C-CAG</x:v>
      </x:c>
      <x:c r="I180" s="22" t="str">
        <x:v>Community Stabilization</x:v>
      </x:c>
      <x:c r="J180" s="22" t="str">
        <x:v>Civil access group</x:v>
      </x:c>
      <x:c r="K180" s="23" t="n">
        <x:v>4</x:v>
      </x:c>
      <x:c r="L180" s="23" t="n">
        <x:v>180</x:v>
      </x:c>
      <x:c r="M180" s="23" t="n">
        <x:v>0</x:v>
      </x:c>
      <x:c r="N180" s="20" t="n">
        <x:f>K180*L180</x:f>
        <x:v>720</x:v>
      </x:c>
      <x:c r="O180" s="19" t="n">
        <x:v>4500</x:v>
      </x:c>
      <x:c r="P180" s="17" t="n">
        <x:v>0.65</x:v>
      </x:c>
      <x:c r="Q180" s="20" t="n">
        <x:f>K180*O180*P180</x:f>
        <x:v>11700</x:v>
      </x:c>
      <x:c r="R180" s="20" t="n">
        <x:f>Q180*(1-'01 Controls'!$E$6)</x:f>
        <x:v>8775</x:v>
      </x:c>
      <x:c r="S180" s="19" t="n">
        <x:v>75</x:v>
      </x:c>
      <x:c r="T180" s="20" t="n">
        <x:f>K180*S180</x:f>
        <x:v>300</x:v>
      </x:c>
      <x:c r="U180" s="18" t="n">
        <x:f>'01 Controls'!E35</x:f>
        <x:v>0.1</x:v>
      </x:c>
      <x:c r="V180" s="20" t="n">
        <x:f>R180*U180</x:f>
        <x:v>877.5</x:v>
      </x:c>
      <x:c r="W180" s="18" t="n">
        <x:f>'01 Controls'!F35</x:f>
        <x:v>0</x:v>
      </x:c>
      <x:c r="X180" s="20" t="n">
        <x:f>R180*W180</x:f>
        <x:v>0</x:v>
      </x:c>
      <x:c r="Y180" s="18" t="n">
        <x:f>'01 Controls'!G35</x:f>
        <x:v>0.9</x:v>
      </x:c>
      <x:c r="Z180" s="20" t="n">
        <x:f>R180*Y180</x:f>
        <x:v>7897.5</x:v>
      </x:c>
      <x:c r="AA180" s="18" t="n">
        <x:f>'01 Controls'!H35</x:f>
        <x:v>0</x:v>
      </x:c>
      <x:c r="AB180" s="20" t="n">
        <x:f>R180*AA180</x:f>
        <x:v>0</x:v>
      </x:c>
      <x:c r="AC180" s="20" t="n">
        <x:f>IF(H180="CM-HCG",K180*'01 Controls'!$E$24,0)</x:f>
        <x:v>0</x:v>
      </x:c>
      <x:c r="AD180" s="20" t="n">
        <x:f>IF(H180="CM-HCG",K180*'01 Controls'!$E$25,0)</x:f>
        <x:v>0</x:v>
      </x:c>
      <x:c r="AE180" s="20" t="n">
        <x:f>IF(H180="CM-HCG",K180*'01 Controls'!$E$26,0)</x:f>
        <x:v>0</x:v>
      </x:c>
      <x:c r="AF180" s="20" t="n">
        <x:f>IF(H180="CM-HCG",K180*'01 Controls'!$E$27,0)</x:f>
        <x:v>0</x:v>
      </x:c>
    </x:row>
    <x:row r="181">
      <x:c r="C181" s="22" t="str">
        <x:v>M1-C-DTG</x:v>
      </x:c>
      <x:c r="D181" s="22" t="n">
        <x:v>176</x:v>
      </x:c>
      <x:c r="E181" s="22" t="str">
        <x:v>M1</x:v>
      </x:c>
      <x:c r="F181" s="22" t="str">
        <x:v>Western fire and heat</x:v>
      </x:c>
      <x:c r="G181" s="22" t="n">
        <x:v>4</x:v>
      </x:c>
      <x:c r="H181" s="22" t="str">
        <x:v>C-DTG</x:v>
      </x:c>
      <x:c r="I181" s="22" t="str">
        <x:v>Community Stabilization</x:v>
      </x:c>
      <x:c r="J181" s="22" t="str">
        <x:v>Displacement transition group</x:v>
      </x:c>
      <x:c r="K181" s="23" t="n">
        <x:v>2</x:v>
      </x:c>
      <x:c r="L181" s="23" t="n">
        <x:v>300</x:v>
      </x:c>
      <x:c r="M181" s="23" t="n">
        <x:v>0</x:v>
      </x:c>
      <x:c r="N181" s="20" t="n">
        <x:f>K181*L181</x:f>
        <x:v>600</x:v>
      </x:c>
      <x:c r="O181" s="19" t="n">
        <x:v>4500</x:v>
      </x:c>
      <x:c r="P181" s="17" t="n">
        <x:v>0.65</x:v>
      </x:c>
      <x:c r="Q181" s="20" t="n">
        <x:f>K181*O181*P181</x:f>
        <x:v>5850</x:v>
      </x:c>
      <x:c r="R181" s="20" t="n">
        <x:f>Q181*(1-'01 Controls'!$E$6)</x:f>
        <x:v>4387.5</x:v>
      </x:c>
      <x:c r="S181" s="19" t="n">
        <x:v>75</x:v>
      </x:c>
      <x:c r="T181" s="20" t="n">
        <x:f>K181*S181</x:f>
        <x:v>150</x:v>
      </x:c>
      <x:c r="U181" s="18" t="n">
        <x:f>'01 Controls'!E35</x:f>
        <x:v>0.1</x:v>
      </x:c>
      <x:c r="V181" s="20" t="n">
        <x:f>R181*U181</x:f>
        <x:v>438.75</x:v>
      </x:c>
      <x:c r="W181" s="18" t="n">
        <x:f>'01 Controls'!F35</x:f>
        <x:v>0</x:v>
      </x:c>
      <x:c r="X181" s="20" t="n">
        <x:f>R181*W181</x:f>
        <x:v>0</x:v>
      </x:c>
      <x:c r="Y181" s="18" t="n">
        <x:f>'01 Controls'!G35</x:f>
        <x:v>0.9</x:v>
      </x:c>
      <x:c r="Z181" s="20" t="n">
        <x:f>R181*Y181</x:f>
        <x:v>3948.75</x:v>
      </x:c>
      <x:c r="AA181" s="18" t="n">
        <x:f>'01 Controls'!H35</x:f>
        <x:v>0</x:v>
      </x:c>
      <x:c r="AB181" s="20" t="n">
        <x:f>R181*AA181</x:f>
        <x:v>0</x:v>
      </x:c>
      <x:c r="AC181" s="20" t="n">
        <x:f>IF(H181="CM-HCG",K181*'01 Controls'!$E$24,0)</x:f>
        <x:v>0</x:v>
      </x:c>
      <x:c r="AD181" s="20" t="n">
        <x:f>IF(H181="CM-HCG",K181*'01 Controls'!$E$25,0)</x:f>
        <x:v>0</x:v>
      </x:c>
      <x:c r="AE181" s="20" t="n">
        <x:f>IF(H181="CM-HCG",K181*'01 Controls'!$E$26,0)</x:f>
        <x:v>0</x:v>
      </x:c>
      <x:c r="AF181" s="20" t="n">
        <x:f>IF(H181="CM-HCG",K181*'01 Controls'!$E$27,0)</x:f>
        <x:v>0</x:v>
      </x:c>
    </x:row>
    <x:row r="182">
      <x:c r="C182" s="22" t="str">
        <x:v>M1-C-CIG</x:v>
      </x:c>
      <x:c r="D182" s="22" t="n">
        <x:v>177</x:v>
      </x:c>
      <x:c r="E182" s="22" t="str">
        <x:v>M1</x:v>
      </x:c>
      <x:c r="F182" s="22" t="str">
        <x:v>Western fire and heat</x:v>
      </x:c>
      <x:c r="G182" s="22" t="n">
        <x:v>4</x:v>
      </x:c>
      <x:c r="H182" s="22" t="str">
        <x:v>C-CIG</x:v>
      </x:c>
      <x:c r="I182" s="22" t="str">
        <x:v>Community Stabilization</x:v>
      </x:c>
      <x:c r="J182" s="22" t="str">
        <x:v>Community institutions group</x:v>
      </x:c>
      <x:c r="K182" s="23" t="n">
        <x:v>3</x:v>
      </x:c>
      <x:c r="L182" s="23" t="n">
        <x:v>250</x:v>
      </x:c>
      <x:c r="M182" s="23" t="n">
        <x:v>0</x:v>
      </x:c>
      <x:c r="N182" s="20" t="n">
        <x:f>K182*L182</x:f>
        <x:v>750</x:v>
      </x:c>
      <x:c r="O182" s="19" t="n">
        <x:v>4500</x:v>
      </x:c>
      <x:c r="P182" s="17" t="n">
        <x:v>0.65</x:v>
      </x:c>
      <x:c r="Q182" s="20" t="n">
        <x:f>K182*O182*P182</x:f>
        <x:v>8775</x:v>
      </x:c>
      <x:c r="R182" s="20" t="n">
        <x:f>Q182*(1-'01 Controls'!$E$6)</x:f>
        <x:v>6581.25</x:v>
      </x:c>
      <x:c r="S182" s="19" t="n">
        <x:v>75</x:v>
      </x:c>
      <x:c r="T182" s="20" t="n">
        <x:f>K182*S182</x:f>
        <x:v>225</x:v>
      </x:c>
      <x:c r="U182" s="18" t="n">
        <x:f>'01 Controls'!E35</x:f>
        <x:v>0.1</x:v>
      </x:c>
      <x:c r="V182" s="20" t="n">
        <x:f>R182*U182</x:f>
        <x:v>658.125</x:v>
      </x:c>
      <x:c r="W182" s="18" t="n">
        <x:f>'01 Controls'!F35</x:f>
        <x:v>0</x:v>
      </x:c>
      <x:c r="X182" s="20" t="n">
        <x:f>R182*W182</x:f>
        <x:v>0</x:v>
      </x:c>
      <x:c r="Y182" s="18" t="n">
        <x:f>'01 Controls'!G35</x:f>
        <x:v>0.9</x:v>
      </x:c>
      <x:c r="Z182" s="20" t="n">
        <x:f>R182*Y182</x:f>
        <x:v>5923.125</x:v>
      </x:c>
      <x:c r="AA182" s="18" t="n">
        <x:f>'01 Controls'!H35</x:f>
        <x:v>0</x:v>
      </x:c>
      <x:c r="AB182" s="20" t="n">
        <x:f>R182*AA182</x:f>
        <x:v>0</x:v>
      </x:c>
      <x:c r="AC182" s="20" t="n">
        <x:f>IF(H182="CM-HCG",K182*'01 Controls'!$E$24,0)</x:f>
        <x:v>0</x:v>
      </x:c>
      <x:c r="AD182" s="20" t="n">
        <x:f>IF(H182="CM-HCG",K182*'01 Controls'!$E$25,0)</x:f>
        <x:v>0</x:v>
      </x:c>
      <x:c r="AE182" s="20" t="n">
        <x:f>IF(H182="CM-HCG",K182*'01 Controls'!$E$26,0)</x:f>
        <x:v>0</x:v>
      </x:c>
      <x:c r="AF182" s="20" t="n">
        <x:f>IF(H182="CM-HCG",K182*'01 Controls'!$E$27,0)</x:f>
        <x:v>0</x:v>
      </x:c>
    </x:row>
    <x:row r="183">
      <x:c r="C183" s="22" t="str">
        <x:v>M1-J-RIG</x:v>
      </x:c>
      <x:c r="D183" s="22" t="n">
        <x:v>178</x:v>
      </x:c>
      <x:c r="E183" s="22" t="str">
        <x:v>M1</x:v>
      </x:c>
      <x:c r="F183" s="22" t="str">
        <x:v>Western fire and heat</x:v>
      </x:c>
      <x:c r="G183" s="22" t="n">
        <x:v>4</x:v>
      </x:c>
      <x:c r="H183" s="22" t="str">
        <x:v>J-RIG</x:v>
      </x:c>
      <x:c r="I183" s="22" t="str">
        <x:v>Joint</x:v>
      </x:c>
      <x:c r="J183" s="22" t="str">
        <x:v>Resilience information group</x:v>
      </x:c>
      <x:c r="K183" s="23" t="n">
        <x:v>4</x:v>
      </x:c>
      <x:c r="L183" s="23" t="n">
        <x:v>420</x:v>
      </x:c>
      <x:c r="M183" s="23" t="n">
        <x:v>60</x:v>
      </x:c>
      <x:c r="N183" s="20" t="n">
        <x:f>K183*L183</x:f>
        <x:v>1680</x:v>
      </x:c>
      <x:c r="O183" s="19" t="n">
        <x:v>2800</x:v>
      </x:c>
      <x:c r="P183" s="17" t="n">
        <x:v>0.65</x:v>
      </x:c>
      <x:c r="Q183" s="20" t="n">
        <x:f>K183*O183*P183</x:f>
        <x:v>7280</x:v>
      </x:c>
      <x:c r="R183" s="20" t="n">
        <x:f>Q183*(1-'01 Controls'!$E$6)</x:f>
        <x:v>5460</x:v>
      </x:c>
      <x:c r="S183" s="19" t="n">
        <x:v>35</x:v>
      </x:c>
      <x:c r="T183" s="20" t="n">
        <x:f>K183*S183</x:f>
        <x:v>140</x:v>
      </x:c>
      <x:c r="U183" s="18" t="n">
        <x:f>'01 Controls'!E35</x:f>
        <x:v>0.1</x:v>
      </x:c>
      <x:c r="V183" s="20" t="n">
        <x:f>R183*U183</x:f>
        <x:v>546</x:v>
      </x:c>
      <x:c r="W183" s="18" t="n">
        <x:f>'01 Controls'!F35</x:f>
        <x:v>0</x:v>
      </x:c>
      <x:c r="X183" s="20" t="n">
        <x:f>R183*W183</x:f>
        <x:v>0</x:v>
      </x:c>
      <x:c r="Y183" s="18" t="n">
        <x:f>'01 Controls'!G35</x:f>
        <x:v>0.9</x:v>
      </x:c>
      <x:c r="Z183" s="20" t="n">
        <x:f>R183*Y183</x:f>
        <x:v>4914</x:v>
      </x:c>
      <x:c r="AA183" s="18" t="n">
        <x:f>'01 Controls'!H35</x:f>
        <x:v>0</x:v>
      </x:c>
      <x:c r="AB183" s="20" t="n">
        <x:f>R183*AA183</x:f>
        <x:v>0</x:v>
      </x:c>
      <x:c r="AC183" s="20" t="n">
        <x:f>IF(H183="CM-HCG",K183*'01 Controls'!$E$24,0)</x:f>
        <x:v>0</x:v>
      </x:c>
      <x:c r="AD183" s="20" t="n">
        <x:f>IF(H183="CM-HCG",K183*'01 Controls'!$E$25,0)</x:f>
        <x:v>0</x:v>
      </x:c>
      <x:c r="AE183" s="20" t="n">
        <x:f>IF(H183="CM-HCG",K183*'01 Controls'!$E$26,0)</x:f>
        <x:v>0</x:v>
      </x:c>
      <x:c r="AF183" s="20" t="n">
        <x:f>IF(H183="CM-HCG",K183*'01 Controls'!$E$27,0)</x:f>
        <x:v>0</x:v>
      </x:c>
    </x:row>
    <x:row r="184">
      <x:c r="C184" s="22" t="str">
        <x:v>M1-M-MPG</x:v>
      </x:c>
      <x:c r="D184" s="22" t="n">
        <x:v>179</x:v>
      </x:c>
      <x:c r="E184" s="22" t="str">
        <x:v>M1</x:v>
      </x:c>
      <x:c r="F184" s="22" t="str">
        <x:v>Western fire and heat</x:v>
      </x:c>
      <x:c r="G184" s="22" t="n">
        <x:v>4</x:v>
      </x:c>
      <x:c r="H184" s="22" t="str">
        <x:v>M-MPG</x:v>
      </x:c>
      <x:c r="I184" s="22" t="str">
        <x:v>Maritime Response</x:v>
      </x:c>
      <x:c r="J184" s="22" t="str">
        <x:v>Maritime production group</x:v>
      </x:c>
      <x:c r="K184" s="23" t="n">
        <x:v>1</x:v>
      </x:c>
      <x:c r="L184" s="23" t="n">
        <x:v>1100</x:v>
      </x:c>
      <x:c r="M184" s="23" t="n">
        <x:v>200</x:v>
      </x:c>
      <x:c r="N184" s="20" t="n">
        <x:f>K184*L184</x:f>
        <x:v>1100</x:v>
      </x:c>
      <x:c r="O184" s="19" t="n">
        <x:v>28000</x:v>
      </x:c>
      <x:c r="P184" s="17" t="n">
        <x:v>0.35</x:v>
      </x:c>
      <x:c r="Q184" s="20" t="n">
        <x:f>K184*O184*P184</x:f>
        <x:v>9800</x:v>
      </x:c>
      <x:c r="R184" s="20" t="n">
        <x:f>Q184*(1-'01 Controls'!$E$6)</x:f>
        <x:v>7350</x:v>
      </x:c>
      <x:c r="S184" s="19" t="n">
        <x:v>50</x:v>
      </x:c>
      <x:c r="T184" s="20" t="n">
        <x:f>K184*S184</x:f>
        <x:v>50</x:v>
      </x:c>
      <x:c r="U184" s="18" t="n">
        <x:f>'01 Controls'!E35</x:f>
        <x:v>0.1</x:v>
      </x:c>
      <x:c r="V184" s="20" t="n">
        <x:f>R184*U184</x:f>
        <x:v>735</x:v>
      </x:c>
      <x:c r="W184" s="18" t="n">
        <x:f>'01 Controls'!F35</x:f>
        <x:v>0</x:v>
      </x:c>
      <x:c r="X184" s="20" t="n">
        <x:f>R184*W184</x:f>
        <x:v>0</x:v>
      </x:c>
      <x:c r="Y184" s="18" t="n">
        <x:f>'01 Controls'!G35</x:f>
        <x:v>0.9</x:v>
      </x:c>
      <x:c r="Z184" s="20" t="n">
        <x:f>R184*Y184</x:f>
        <x:v>6615</x:v>
      </x:c>
      <x:c r="AA184" s="18" t="n">
        <x:f>'01 Controls'!H35</x:f>
        <x:v>0</x:v>
      </x:c>
      <x:c r="AB184" s="20" t="n">
        <x:f>R184*AA184</x:f>
        <x:v>0</x:v>
      </x:c>
      <x:c r="AC184" s="20" t="n">
        <x:f>IF(H184="CM-HCG",K184*'01 Controls'!$E$24,0)</x:f>
        <x:v>0</x:v>
      </x:c>
      <x:c r="AD184" s="20" t="n">
        <x:f>IF(H184="CM-HCG",K184*'01 Controls'!$E$25,0)</x:f>
        <x:v>0</x:v>
      </x:c>
      <x:c r="AE184" s="20" t="n">
        <x:f>IF(H184="CM-HCG",K184*'01 Controls'!$E$26,0)</x:f>
        <x:v>0</x:v>
      </x:c>
      <x:c r="AF184" s="20" t="n">
        <x:f>IF(H184="CM-HCG",K184*'01 Controls'!$E$27,0)</x:f>
        <x:v>0</x:v>
      </x:c>
    </x:row>
    <x:row r="185">
      <x:c r="C185" s="22" t="str">
        <x:v>M1-I-WRG</x:v>
      </x:c>
      <x:c r="D185" s="22" t="n">
        <x:v>180</x:v>
      </x:c>
      <x:c r="E185" s="22" t="str">
        <x:v>M1</x:v>
      </x:c>
      <x:c r="F185" s="22" t="str">
        <x:v>Western fire and heat</x:v>
      </x:c>
      <x:c r="G185" s="22" t="n">
        <x:v>4</x:v>
      </x:c>
      <x:c r="H185" s="22" t="str">
        <x:v>I-WRG</x:v>
      </x:c>
      <x:c r="I185" s="22" t="str">
        <x:v>Infrastructure Restoration</x:v>
      </x:c>
      <x:c r="J185" s="22" t="str">
        <x:v>Water restoration group</x:v>
      </x:c>
      <x:c r="K185" s="23" t="n">
        <x:v>2</x:v>
      </x:c>
      <x:c r="L185" s="23" t="n">
        <x:v>2720</x:v>
      </x:c>
      <x:c r="M185" s="23" t="n">
        <x:v>600</x:v>
      </x:c>
      <x:c r="N185" s="20" t="n">
        <x:f>K185*L185</x:f>
        <x:v>5440</x:v>
      </x:c>
      <x:c r="O185" s="19" t="n">
        <x:v>23516</x:v>
      </x:c>
      <x:c r="P185" s="17" t="n">
        <x:v>0.4</x:v>
      </x:c>
      <x:c r="Q185" s="20" t="n">
        <x:f>K185*O185*P185</x:f>
        <x:v>18812.8</x:v>
      </x:c>
      <x:c r="R185" s="20" t="n">
        <x:f>Q185*(1-'01 Controls'!$E$6)</x:f>
        <x:v>14109.599999999999</x:v>
      </x:c>
      <x:c r="S185" s="19" t="n">
        <x:v>65</x:v>
      </x:c>
      <x:c r="T185" s="20" t="n">
        <x:f>K185*S185</x:f>
        <x:v>130</x:v>
      </x:c>
      <x:c r="U185" s="18" t="n">
        <x:f>'01 Controls'!E35</x:f>
        <x:v>0.1</x:v>
      </x:c>
      <x:c r="V185" s="20" t="n">
        <x:f>R185*U185</x:f>
        <x:v>1410.96</x:v>
      </x:c>
      <x:c r="W185" s="18" t="n">
        <x:f>'01 Controls'!F35</x:f>
        <x:v>0</x:v>
      </x:c>
      <x:c r="X185" s="20" t="n">
        <x:f>R185*W185</x:f>
        <x:v>0</x:v>
      </x:c>
      <x:c r="Y185" s="18" t="n">
        <x:f>'01 Controls'!G35</x:f>
        <x:v>0.9</x:v>
      </x:c>
      <x:c r="Z185" s="20" t="n">
        <x:f>R185*Y185</x:f>
        <x:v>12698.64</x:v>
      </x:c>
      <x:c r="AA185" s="18" t="n">
        <x:f>'01 Controls'!H35</x:f>
        <x:v>0</x:v>
      </x:c>
      <x:c r="AB185" s="20" t="n">
        <x:f>R185*AA185</x:f>
        <x:v>0</x:v>
      </x:c>
      <x:c r="AC185" s="20" t="n">
        <x:f>IF(H185="CM-HCG",K185*'01 Controls'!$E$24,0)</x:f>
        <x:v>0</x:v>
      </x:c>
      <x:c r="AD185" s="20" t="n">
        <x:f>IF(H185="CM-HCG",K185*'01 Controls'!$E$25,0)</x:f>
        <x:v>0</x:v>
      </x:c>
      <x:c r="AE185" s="20" t="n">
        <x:f>IF(H185="CM-HCG",K185*'01 Controls'!$E$26,0)</x:f>
        <x:v>0</x:v>
      </x:c>
      <x:c r="AF185" s="20" t="n">
        <x:f>IF(H185="CM-HCG",K185*'01 Controls'!$E$27,0)</x:f>
        <x:v>0</x:v>
      </x:c>
    </x:row>
    <x:row r="186">
      <x:c r="C186" s="22" t="str">
        <x:v>M1-I-PRG</x:v>
      </x:c>
      <x:c r="D186" s="22" t="n">
        <x:v>181</x:v>
      </x:c>
      <x:c r="E186" s="22" t="str">
        <x:v>M1</x:v>
      </x:c>
      <x:c r="F186" s="22" t="str">
        <x:v>Western fire and heat</x:v>
      </x:c>
      <x:c r="G186" s="22" t="n">
        <x:v>4</x:v>
      </x:c>
      <x:c r="H186" s="22" t="str">
        <x:v>I-PRG</x:v>
      </x:c>
      <x:c r="I186" s="22" t="str">
        <x:v>Infrastructure Restoration</x:v>
      </x:c>
      <x:c r="J186" s="22" t="str">
        <x:v>Power restoration group</x:v>
      </x:c>
      <x:c r="K186" s="23" t="n">
        <x:v>3</x:v>
      </x:c>
      <x:c r="L186" s="23" t="n">
        <x:v>2796</x:v>
      </x:c>
      <x:c r="M186" s="23" t="n">
        <x:v>596</x:v>
      </x:c>
      <x:c r="N186" s="20" t="n">
        <x:f>K186*L186</x:f>
        <x:v>8388</x:v>
      </x:c>
      <x:c r="O186" s="19" t="n">
        <x:v>18332</x:v>
      </x:c>
      <x:c r="P186" s="17" t="n">
        <x:v>0.4</x:v>
      </x:c>
      <x:c r="Q186" s="20" t="n">
        <x:f>K186*O186*P186</x:f>
        <x:v>21998.4</x:v>
      </x:c>
      <x:c r="R186" s="20" t="n">
        <x:f>Q186*(1-'01 Controls'!$E$6)</x:f>
        <x:v>16498.800000000003</x:v>
      </x:c>
      <x:c r="S186" s="19" t="n">
        <x:v>80</x:v>
      </x:c>
      <x:c r="T186" s="20" t="n">
        <x:f>K186*S186</x:f>
        <x:v>240</x:v>
      </x:c>
      <x:c r="U186" s="18" t="n">
        <x:f>'01 Controls'!E35</x:f>
        <x:v>0.1</x:v>
      </x:c>
      <x:c r="V186" s="20" t="n">
        <x:f>R186*U186</x:f>
        <x:v>1649.8800000000003</x:v>
      </x:c>
      <x:c r="W186" s="18" t="n">
        <x:f>'01 Controls'!F35</x:f>
        <x:v>0</x:v>
      </x:c>
      <x:c r="X186" s="20" t="n">
        <x:f>R186*W186</x:f>
        <x:v>0</x:v>
      </x:c>
      <x:c r="Y186" s="18" t="n">
        <x:f>'01 Controls'!G35</x:f>
        <x:v>0.9</x:v>
      </x:c>
      <x:c r="Z186" s="20" t="n">
        <x:f>R186*Y186</x:f>
        <x:v>14848.920000000004</x:v>
      </x:c>
      <x:c r="AA186" s="18" t="n">
        <x:f>'01 Controls'!H35</x:f>
        <x:v>0</x:v>
      </x:c>
      <x:c r="AB186" s="20" t="n">
        <x:f>R186*AA186</x:f>
        <x:v>0</x:v>
      </x:c>
      <x:c r="AC186" s="20" t="n">
        <x:f>IF(H186="CM-HCG",K186*'01 Controls'!$E$24,0)</x:f>
        <x:v>0</x:v>
      </x:c>
      <x:c r="AD186" s="20" t="n">
        <x:f>IF(H186="CM-HCG",K186*'01 Controls'!$E$25,0)</x:f>
        <x:v>0</x:v>
      </x:c>
      <x:c r="AE186" s="20" t="n">
        <x:f>IF(H186="CM-HCG",K186*'01 Controls'!$E$26,0)</x:f>
        <x:v>0</x:v>
      </x:c>
      <x:c r="AF186" s="20" t="n">
        <x:f>IF(H186="CM-HCG",K186*'01 Controls'!$E$27,0)</x:f>
        <x:v>0</x:v>
      </x:c>
    </x:row>
    <x:row r="187">
      <x:c r="C187" s="22" t="str">
        <x:v>M1-I-GBG</x:v>
      </x:c>
      <x:c r="D187" s="22" t="n">
        <x:v>182</x:v>
      </x:c>
      <x:c r="E187" s="22" t="str">
        <x:v>M1</x:v>
      </x:c>
      <x:c r="F187" s="22" t="str">
        <x:v>Western fire and heat</x:v>
      </x:c>
      <x:c r="G187" s="22" t="n">
        <x:v>4</x:v>
      </x:c>
      <x:c r="H187" s="22" t="str">
        <x:v>I-GBG</x:v>
      </x:c>
      <x:c r="I187" s="22" t="str">
        <x:v>Infrastructure Restoration</x:v>
      </x:c>
      <x:c r="J187" s="22" t="str">
        <x:v>Grid bridge group</x:v>
      </x:c>
      <x:c r="K187" s="23" t="n">
        <x:v>2</x:v>
      </x:c>
      <x:c r="L187" s="23" t="n">
        <x:v>1800</x:v>
      </x:c>
      <x:c r="M187" s="23" t="n">
        <x:v>400</x:v>
      </x:c>
      <x:c r="N187" s="20" t="n">
        <x:f>K187*L187</x:f>
        <x:v>3600</x:v>
      </x:c>
      <x:c r="O187" s="19" t="n">
        <x:v>15000</x:v>
      </x:c>
      <x:c r="P187" s="17" t="n">
        <x:v>0.4</x:v>
      </x:c>
      <x:c r="Q187" s="20" t="n">
        <x:f>K187*O187*P187</x:f>
        <x:v>12000</x:v>
      </x:c>
      <x:c r="R187" s="20" t="n">
        <x:f>Q187*(1-'01 Controls'!$E$6)</x:f>
        <x:v>9000</x:v>
      </x:c>
      <x:c r="S187" s="19" t="n">
        <x:v>55</x:v>
      </x:c>
      <x:c r="T187" s="20" t="n">
        <x:f>K187*S187</x:f>
        <x:v>110</x:v>
      </x:c>
      <x:c r="U187" s="18" t="n">
        <x:f>'01 Controls'!E35</x:f>
        <x:v>0.1</x:v>
      </x:c>
      <x:c r="V187" s="20" t="n">
        <x:f>R187*U187</x:f>
        <x:v>900</x:v>
      </x:c>
      <x:c r="W187" s="18" t="n">
        <x:f>'01 Controls'!F35</x:f>
        <x:v>0</x:v>
      </x:c>
      <x:c r="X187" s="20" t="n">
        <x:f>R187*W187</x:f>
        <x:v>0</x:v>
      </x:c>
      <x:c r="Y187" s="18" t="n">
        <x:f>'01 Controls'!G35</x:f>
        <x:v>0.9</x:v>
      </x:c>
      <x:c r="Z187" s="20" t="n">
        <x:f>R187*Y187</x:f>
        <x:v>8100</x:v>
      </x:c>
      <x:c r="AA187" s="18" t="n">
        <x:f>'01 Controls'!H35</x:f>
        <x:v>0</x:v>
      </x:c>
      <x:c r="AB187" s="20" t="n">
        <x:f>R187*AA187</x:f>
        <x:v>0</x:v>
      </x:c>
      <x:c r="AC187" s="20" t="n">
        <x:f>IF(H187="CM-HCG",K187*'01 Controls'!$E$24,0)</x:f>
        <x:v>0</x:v>
      </x:c>
      <x:c r="AD187" s="20" t="n">
        <x:f>IF(H187="CM-HCG",K187*'01 Controls'!$E$25,0)</x:f>
        <x:v>0</x:v>
      </x:c>
      <x:c r="AE187" s="20" t="n">
        <x:f>IF(H187="CM-HCG",K187*'01 Controls'!$E$26,0)</x:f>
        <x:v>0</x:v>
      </x:c>
      <x:c r="AF187" s="20" t="n">
        <x:f>IF(H187="CM-HCG",K187*'01 Controls'!$E$27,0)</x:f>
        <x:v>0</x:v>
      </x:c>
    </x:row>
    <x:row r="188">
      <x:c r="C188" s="22" t="str">
        <x:v>M1-H-THC</x:v>
      </x:c>
      <x:c r="D188" s="22" t="n">
        <x:v>183</x:v>
      </x:c>
      <x:c r="E188" s="22" t="str">
        <x:v>M1</x:v>
      </x:c>
      <x:c r="F188" s="22" t="str">
        <x:v>Western fire and heat</x:v>
      </x:c>
      <x:c r="G188" s="22" t="n">
        <x:v>4</x:v>
      </x:c>
      <x:c r="H188" s="22" t="str">
        <x:v>H-THC</x:v>
      </x:c>
      <x:c r="I188" s="22" t="str">
        <x:v>Health Protection</x:v>
      </x:c>
      <x:c r="J188" s="22" t="str">
        <x:v>Theater hospital command</x:v>
      </x:c>
      <x:c r="K188" s="23" t="n">
        <x:v>2</x:v>
      </x:c>
      <x:c r="L188" s="23" t="n">
        <x:v>900</x:v>
      </x:c>
      <x:c r="M188" s="23" t="n">
        <x:v>0</x:v>
      </x:c>
      <x:c r="N188" s="20" t="n">
        <x:f>K188*L188</x:f>
        <x:v>1800</x:v>
      </x:c>
      <x:c r="O188" s="19" t="n">
        <x:v>3500</x:v>
      </x:c>
      <x:c r="P188" s="17" t="n">
        <x:v>0.7</x:v>
      </x:c>
      <x:c r="Q188" s="20" t="n">
        <x:f>K188*O188*P188</x:f>
        <x:v>4900</x:v>
      </x:c>
      <x:c r="R188" s="20" t="n">
        <x:f>Q188*(1-'01 Controls'!$E$6)</x:f>
        <x:v>3675</x:v>
      </x:c>
      <x:c r="S188" s="19" t="n">
        <x:v>30</x:v>
      </x:c>
      <x:c r="T188" s="20" t="n">
        <x:f>K188*S188</x:f>
        <x:v>60</x:v>
      </x:c>
      <x:c r="U188" s="18" t="n">
        <x:f>'01 Controls'!E35</x:f>
        <x:v>0.1</x:v>
      </x:c>
      <x:c r="V188" s="20" t="n">
        <x:f>R188*U188</x:f>
        <x:v>367.5</x:v>
      </x:c>
      <x:c r="W188" s="18" t="n">
        <x:f>'01 Controls'!F35</x:f>
        <x:v>0</x:v>
      </x:c>
      <x:c r="X188" s="20" t="n">
        <x:f>R188*W188</x:f>
        <x:v>0</x:v>
      </x:c>
      <x:c r="Y188" s="18" t="n">
        <x:f>'01 Controls'!G35</x:f>
        <x:v>0.9</x:v>
      </x:c>
      <x:c r="Z188" s="20" t="n">
        <x:f>R188*Y188</x:f>
        <x:v>3307.5</x:v>
      </x:c>
      <x:c r="AA188" s="18" t="n">
        <x:f>'01 Controls'!H35</x:f>
        <x:v>0</x:v>
      </x:c>
      <x:c r="AB188" s="20" t="n">
        <x:f>R188*AA188</x:f>
        <x:v>0</x:v>
      </x:c>
      <x:c r="AC188" s="20" t="n">
        <x:f>IF(H188="CM-HCG",K188*'01 Controls'!$E$24,0)</x:f>
        <x:v>0</x:v>
      </x:c>
      <x:c r="AD188" s="20" t="n">
        <x:f>IF(H188="CM-HCG",K188*'01 Controls'!$E$25,0)</x:f>
        <x:v>0</x:v>
      </x:c>
      <x:c r="AE188" s="20" t="n">
        <x:f>IF(H188="CM-HCG",K188*'01 Controls'!$E$26,0)</x:f>
        <x:v>0</x:v>
      </x:c>
      <x:c r="AF188" s="20" t="n">
        <x:f>IF(H188="CM-HCG",K188*'01 Controls'!$E$27,0)</x:f>
        <x:v>0</x:v>
      </x:c>
    </x:row>
    <x:row r="189">
      <x:c r="C189" s="22" t="str">
        <x:v>M1-H-PMG</x:v>
      </x:c>
      <x:c r="D189" s="22" t="n">
        <x:v>184</x:v>
      </x:c>
      <x:c r="E189" s="22" t="str">
        <x:v>M1</x:v>
      </x:c>
      <x:c r="F189" s="22" t="str">
        <x:v>Western fire and heat</x:v>
      </x:c>
      <x:c r="G189" s="22" t="n">
        <x:v>4</x:v>
      </x:c>
      <x:c r="H189" s="22" t="str">
        <x:v>H-PMG</x:v>
      </x:c>
      <x:c r="I189" s="22" t="str">
        <x:v>Health Protection</x:v>
      </x:c>
      <x:c r="J189" s="22" t="str">
        <x:v>Patient movement group</x:v>
      </x:c>
      <x:c r="K189" s="23" t="n">
        <x:v>3</x:v>
      </x:c>
      <x:c r="L189" s="23" t="n">
        <x:v>650</x:v>
      </x:c>
      <x:c r="M189" s="23" t="n">
        <x:v>200</x:v>
      </x:c>
      <x:c r="N189" s="20" t="n">
        <x:f>K189*L189</x:f>
        <x:v>1950</x:v>
      </x:c>
      <x:c r="O189" s="19" t="n">
        <x:v>5500</x:v>
      </x:c>
      <x:c r="P189" s="17" t="n">
        <x:v>0.7</x:v>
      </x:c>
      <x:c r="Q189" s="20" t="n">
        <x:f>K189*O189*P189</x:f>
        <x:v>11550</x:v>
      </x:c>
      <x:c r="R189" s="20" t="n">
        <x:f>Q189*(1-'01 Controls'!$E$6)</x:f>
        <x:v>8662.5</x:v>
      </x:c>
      <x:c r="S189" s="19" t="n">
        <x:v>40</x:v>
      </x:c>
      <x:c r="T189" s="20" t="n">
        <x:f>K189*S189</x:f>
        <x:v>120</x:v>
      </x:c>
      <x:c r="U189" s="18" t="n">
        <x:f>'01 Controls'!E35</x:f>
        <x:v>0.1</x:v>
      </x:c>
      <x:c r="V189" s="20" t="n">
        <x:f>R189*U189</x:f>
        <x:v>866.25</x:v>
      </x:c>
      <x:c r="W189" s="18" t="n">
        <x:f>'01 Controls'!F35</x:f>
        <x:v>0</x:v>
      </x:c>
      <x:c r="X189" s="20" t="n">
        <x:f>R189*W189</x:f>
        <x:v>0</x:v>
      </x:c>
      <x:c r="Y189" s="18" t="n">
        <x:f>'01 Controls'!G35</x:f>
        <x:v>0.9</x:v>
      </x:c>
      <x:c r="Z189" s="20" t="n">
        <x:f>R189*Y189</x:f>
        <x:v>7796.25</x:v>
      </x:c>
      <x:c r="AA189" s="18" t="n">
        <x:f>'01 Controls'!H35</x:f>
        <x:v>0</x:v>
      </x:c>
      <x:c r="AB189" s="20" t="n">
        <x:f>R189*AA189</x:f>
        <x:v>0</x:v>
      </x:c>
      <x:c r="AC189" s="20" t="n">
        <x:f>IF(H189="CM-HCG",K189*'01 Controls'!$E$24,0)</x:f>
        <x:v>0</x:v>
      </x:c>
      <x:c r="AD189" s="20" t="n">
        <x:f>IF(H189="CM-HCG",K189*'01 Controls'!$E$25,0)</x:f>
        <x:v>0</x:v>
      </x:c>
      <x:c r="AE189" s="20" t="n">
        <x:f>IF(H189="CM-HCG",K189*'01 Controls'!$E$26,0)</x:f>
        <x:v>0</x:v>
      </x:c>
      <x:c r="AF189" s="20" t="n">
        <x:f>IF(H189="CM-HCG",K189*'01 Controls'!$E$27,0)</x:f>
        <x:v>0</x:v>
      </x:c>
    </x:row>
    <x:row r="190">
      <x:c r="C190" s="22" t="str">
        <x:v>M1-C-ERG</x:v>
      </x:c>
      <x:c r="D190" s="22" t="n">
        <x:v>185</x:v>
      </x:c>
      <x:c r="E190" s="22" t="str">
        <x:v>M1</x:v>
      </x:c>
      <x:c r="F190" s="22" t="str">
        <x:v>Western fire and heat</x:v>
      </x:c>
      <x:c r="G190" s="22" t="n">
        <x:v>4</x:v>
      </x:c>
      <x:c r="H190" s="22" t="str">
        <x:v>C-ERG</x:v>
      </x:c>
      <x:c r="I190" s="22" t="str">
        <x:v>Community Stabilization</x:v>
      </x:c>
      <x:c r="J190" s="22" t="str">
        <x:v>Economic restart group</x:v>
      </x:c>
      <x:c r="K190" s="23" t="n">
        <x:v>3</x:v>
      </x:c>
      <x:c r="L190" s="23" t="n">
        <x:v>350</x:v>
      </x:c>
      <x:c r="M190" s="23" t="n">
        <x:v>0</x:v>
      </x:c>
      <x:c r="N190" s="20" t="n">
        <x:f>K190*L190</x:f>
        <x:v>1050</x:v>
      </x:c>
      <x:c r="O190" s="19" t="n">
        <x:v>2500</x:v>
      </x:c>
      <x:c r="P190" s="17" t="n">
        <x:v>0.65</x:v>
      </x:c>
      <x:c r="Q190" s="20" t="n">
        <x:f>K190*O190*P190</x:f>
        <x:v>4875</x:v>
      </x:c>
      <x:c r="R190" s="20" t="n">
        <x:f>Q190*(1-'01 Controls'!$E$6)</x:f>
        <x:v>3656.25</x:v>
      </x:c>
      <x:c r="S190" s="19" t="n">
        <x:v>30</x:v>
      </x:c>
      <x:c r="T190" s="20" t="n">
        <x:f>K190*S190</x:f>
        <x:v>90</x:v>
      </x:c>
      <x:c r="U190" s="18" t="n">
        <x:f>'01 Controls'!E35</x:f>
        <x:v>0.1</x:v>
      </x:c>
      <x:c r="V190" s="20" t="n">
        <x:f>R190*U190</x:f>
        <x:v>365.625</x:v>
      </x:c>
      <x:c r="W190" s="18" t="n">
        <x:f>'01 Controls'!F35</x:f>
        <x:v>0</x:v>
      </x:c>
      <x:c r="X190" s="20" t="n">
        <x:f>R190*W190</x:f>
        <x:v>0</x:v>
      </x:c>
      <x:c r="Y190" s="18" t="n">
        <x:f>'01 Controls'!G35</x:f>
        <x:v>0.9</x:v>
      </x:c>
      <x:c r="Z190" s="20" t="n">
        <x:f>R190*Y190</x:f>
        <x:v>3290.625</x:v>
      </x:c>
      <x:c r="AA190" s="18" t="n">
        <x:f>'01 Controls'!H35</x:f>
        <x:v>0</x:v>
      </x:c>
      <x:c r="AB190" s="20" t="n">
        <x:f>R190*AA190</x:f>
        <x:v>0</x:v>
      </x:c>
      <x:c r="AC190" s="20" t="n">
        <x:f>IF(H190="CM-HCG",K190*'01 Controls'!$E$24,0)</x:f>
        <x:v>0</x:v>
      </x:c>
      <x:c r="AD190" s="20" t="n">
        <x:f>IF(H190="CM-HCG",K190*'01 Controls'!$E$25,0)</x:f>
        <x:v>0</x:v>
      </x:c>
      <x:c r="AE190" s="20" t="n">
        <x:f>IF(H190="CM-HCG",K190*'01 Controls'!$E$26,0)</x:f>
        <x:v>0</x:v>
      </x:c>
      <x:c r="AF190" s="20" t="n">
        <x:f>IF(H190="CM-HCG",K190*'01 Controls'!$E$27,0)</x:f>
        <x:v>0</x:v>
      </x:c>
    </x:row>
    <x:row r="191">
      <x:c r="C191" s="22" t="str">
        <x:v>M1-CM-HCG</x:v>
      </x:c>
      <x:c r="D191" s="22" t="n">
        <x:v>186</x:v>
      </x:c>
      <x:c r="E191" s="22" t="str">
        <x:v>M1</x:v>
      </x:c>
      <x:c r="F191" s="22" t="str">
        <x:v>Western fire and heat</x:v>
      </x:c>
      <x:c r="G191" s="22" t="n">
        <x:v>4</x:v>
      </x:c>
      <x:c r="H191" s="22" t="str">
        <x:v>CM-HCG</x:v>
      </x:c>
      <x:c r="I191" s="22" t="str">
        <x:v>Civil Mobility and Continuity</x:v>
      </x:c>
      <x:c r="J191" s="22" t="str">
        <x:v>Household collection group</x:v>
      </x:c>
      <x:c r="K191" s="23" t="n">
        <x:v>3</x:v>
      </x:c>
      <x:c r="L191" s="23" t="n">
        <x:v>7587</x:v>
      </x:c>
      <x:c r="M191" s="23" t="n">
        <x:v>2000</x:v>
      </x:c>
      <x:c r="N191" s="20" t="n">
        <x:f>K191*L191</x:f>
        <x:v>22761</x:v>
      </x:c>
      <x:c r="O191" s="19" t="n">
        <x:v>6388</x:v>
      </x:c>
      <x:c r="P191" s="17" t="n">
        <x:v>0.7</x:v>
      </x:c>
      <x:c r="Q191" s="20" t="n">
        <x:f>K191*O191*P191</x:f>
        <x:v>13414.8</x:v>
      </x:c>
      <x:c r="R191" s="20" t="n">
        <x:f>Q191*(1-'01 Controls'!$E$6)</x:f>
        <x:v>10061.099999999999</x:v>
      </x:c>
      <x:c r="S191" s="19" t="n">
        <x:v>45</x:v>
      </x:c>
      <x:c r="T191" s="20" t="n">
        <x:f>K191*S191</x:f>
        <x:v>135</x:v>
      </x:c>
      <x:c r="U191" s="18" t="n">
        <x:f>'01 Controls'!E35</x:f>
        <x:v>0.1</x:v>
      </x:c>
      <x:c r="V191" s="20" t="n">
        <x:f>R191*U191</x:f>
        <x:v>1006.1099999999999</x:v>
      </x:c>
      <x:c r="W191" s="18" t="n">
        <x:f>'01 Controls'!F35</x:f>
        <x:v>0</x:v>
      </x:c>
      <x:c r="X191" s="20" t="n">
        <x:f>R191*W191</x:f>
        <x:v>0</x:v>
      </x:c>
      <x:c r="Y191" s="18" t="n">
        <x:f>'01 Controls'!G35</x:f>
        <x:v>0.9</x:v>
      </x:c>
      <x:c r="Z191" s="20" t="n">
        <x:f>R191*Y191</x:f>
        <x:v>9054.99</x:v>
      </x:c>
      <x:c r="AA191" s="18" t="n">
        <x:f>'01 Controls'!H35</x:f>
        <x:v>0</x:v>
      </x:c>
      <x:c r="AB191" s="20" t="n">
        <x:f>R191*AA191</x:f>
        <x:v>0</x:v>
      </x:c>
      <x:c r="AC191" s="20" t="n">
        <x:f>IF(H191="CM-HCG",K191*'01 Controls'!$E$24,0)</x:f>
        <x:v>102</x:v>
      </x:c>
      <x:c r="AD191" s="20" t="n">
        <x:f>IF(H191="CM-HCG",K191*'01 Controls'!$E$25,0)</x:f>
        <x:v>21</x:v>
      </x:c>
      <x:c r="AE191" s="20" t="n">
        <x:f>IF(H191="CM-HCG",K191*'01 Controls'!$E$26,0)</x:f>
        <x:v>30</x:v>
      </x:c>
      <x:c r="AF191" s="20" t="n">
        <x:f>IF(H191="CM-HCG",K191*'01 Controls'!$E$27,0)</x:f>
        <x:v>27</x:v>
      </x:c>
    </x:row>
    <x:row r="192">
      <x:c r="C192" s="22" t="str">
        <x:v>M1-CM-CTN</x:v>
      </x:c>
      <x:c r="D192" s="22" t="n">
        <x:v>187</x:v>
      </x:c>
      <x:c r="E192" s="22" t="str">
        <x:v>M1</x:v>
      </x:c>
      <x:c r="F192" s="22" t="str">
        <x:v>Western fire and heat</x:v>
      </x:c>
      <x:c r="G192" s="22" t="n">
        <x:v>4</x:v>
      </x:c>
      <x:c r="H192" s="22" t="str">
        <x:v>CM-CTN</x:v>
      </x:c>
      <x:c r="I192" s="22" t="str">
        <x:v>Civil Mobility and Continuity</x:v>
      </x:c>
      <x:c r="J192" s="22" t="str">
        <x:v>Continuity transfer-node group</x:v>
      </x:c>
      <x:c r="K192" s="23" t="n">
        <x:v>3</x:v>
      </x:c>
      <x:c r="L192" s="23" t="n">
        <x:v>2289</x:v>
      </x:c>
      <x:c r="M192" s="23" t="n">
        <x:v>489</x:v>
      </x:c>
      <x:c r="N192" s="20" t="n">
        <x:f>K192*L192</x:f>
        <x:v>6867</x:v>
      </x:c>
      <x:c r="O192" s="19" t="n">
        <x:v>4513</x:v>
      </x:c>
      <x:c r="P192" s="17" t="n">
        <x:v>0.7</x:v>
      </x:c>
      <x:c r="Q192" s="20" t="n">
        <x:f>K192*O192*P192</x:f>
        <x:v>9477.3</x:v>
      </x:c>
      <x:c r="R192" s="20" t="n">
        <x:f>Q192*(1-'01 Controls'!$E$6)</x:f>
        <x:v>7107.974999999999</x:v>
      </x:c>
      <x:c r="S192" s="19" t="n">
        <x:v>35</x:v>
      </x:c>
      <x:c r="T192" s="20" t="n">
        <x:f>K192*S192</x:f>
        <x:v>105</x:v>
      </x:c>
      <x:c r="U192" s="18" t="n">
        <x:f>'01 Controls'!E35</x:f>
        <x:v>0.1</x:v>
      </x:c>
      <x:c r="V192" s="20" t="n">
        <x:f>R192*U192</x:f>
        <x:v>710.7975</x:v>
      </x:c>
      <x:c r="W192" s="18" t="n">
        <x:f>'01 Controls'!F35</x:f>
        <x:v>0</x:v>
      </x:c>
      <x:c r="X192" s="20" t="n">
        <x:f>R192*W192</x:f>
        <x:v>0</x:v>
      </x:c>
      <x:c r="Y192" s="18" t="n">
        <x:f>'01 Controls'!G35</x:f>
        <x:v>0.9</x:v>
      </x:c>
      <x:c r="Z192" s="20" t="n">
        <x:f>R192*Y192</x:f>
        <x:v>6397.1775</x:v>
      </x:c>
      <x:c r="AA192" s="18" t="n">
        <x:f>'01 Controls'!H35</x:f>
        <x:v>0</x:v>
      </x:c>
      <x:c r="AB192" s="20" t="n">
        <x:f>R192*AA192</x:f>
        <x:v>0</x:v>
      </x:c>
      <x:c r="AC192" s="20" t="n">
        <x:f>IF(H192="CM-HCG",K192*'01 Controls'!$E$24,0)</x:f>
        <x:v>0</x:v>
      </x:c>
      <x:c r="AD192" s="20" t="n">
        <x:f>IF(H192="CM-HCG",K192*'01 Controls'!$E$25,0)</x:f>
        <x:v>0</x:v>
      </x:c>
      <x:c r="AE192" s="20" t="n">
        <x:f>IF(H192="CM-HCG",K192*'01 Controls'!$E$26,0)</x:f>
        <x:v>0</x:v>
      </x:c>
      <x:c r="AF192" s="20" t="n">
        <x:f>IF(H192="CM-HCG",K192*'01 Controls'!$E$27,0)</x:f>
        <x:v>0</x:v>
      </x:c>
    </x:row>
    <x:row r="193">
      <x:c r="C193" s="22" t="str">
        <x:v>M1-CM-RMG</x:v>
      </x:c>
      <x:c r="D193" s="22" t="n">
        <x:v>188</x:v>
      </x:c>
      <x:c r="E193" s="22" t="str">
        <x:v>M1</x:v>
      </x:c>
      <x:c r="F193" s="22" t="str">
        <x:v>Western fire and heat</x:v>
      </x:c>
      <x:c r="G193" s="22" t="n">
        <x:v>4</x:v>
      </x:c>
      <x:c r="H193" s="22" t="str">
        <x:v>CM-RMG</x:v>
      </x:c>
      <x:c r="I193" s="22" t="str">
        <x:v>Civil Mobility and Continuity</x:v>
      </x:c>
      <x:c r="J193" s="22" t="str">
        <x:v>Civil road-mobility group</x:v>
      </x:c>
      <x:c r="K193" s="23" t="n">
        <x:v>4</x:v>
      </x:c>
      <x:c r="L193" s="23" t="n">
        <x:v>900</x:v>
      </x:c>
      <x:c r="M193" s="23" t="n">
        <x:v>250</x:v>
      </x:c>
      <x:c r="N193" s="20" t="n">
        <x:f>K193*L193</x:f>
        <x:v>3600</x:v>
      </x:c>
      <x:c r="O193" s="19" t="n">
        <x:v>5000</x:v>
      </x:c>
      <x:c r="P193" s="17" t="n">
        <x:v>0.7</x:v>
      </x:c>
      <x:c r="Q193" s="20" t="n">
        <x:f>K193*O193*P193</x:f>
        <x:v>14000</x:v>
      </x:c>
      <x:c r="R193" s="20" t="n">
        <x:f>Q193*(1-'01 Controls'!$E$6)</x:f>
        <x:v>10500</x:v>
      </x:c>
      <x:c r="S193" s="19" t="n">
        <x:v>45</x:v>
      </x:c>
      <x:c r="T193" s="20" t="n">
        <x:f>K193*S193</x:f>
        <x:v>180</x:v>
      </x:c>
      <x:c r="U193" s="18" t="n">
        <x:f>'01 Controls'!E35</x:f>
        <x:v>0.1</x:v>
      </x:c>
      <x:c r="V193" s="20" t="n">
        <x:f>R193*U193</x:f>
        <x:v>1050</x:v>
      </x:c>
      <x:c r="W193" s="18" t="n">
        <x:f>'01 Controls'!F35</x:f>
        <x:v>0</x:v>
      </x:c>
      <x:c r="X193" s="20" t="n">
        <x:f>R193*W193</x:f>
        <x:v>0</x:v>
      </x:c>
      <x:c r="Y193" s="18" t="n">
        <x:f>'01 Controls'!G35</x:f>
        <x:v>0.9</x:v>
      </x:c>
      <x:c r="Z193" s="20" t="n">
        <x:f>R193*Y193</x:f>
        <x:v>9450</x:v>
      </x:c>
      <x:c r="AA193" s="18" t="n">
        <x:f>'01 Controls'!H35</x:f>
        <x:v>0</x:v>
      </x:c>
      <x:c r="AB193" s="20" t="n">
        <x:f>R193*AA193</x:f>
        <x:v>0</x:v>
      </x:c>
      <x:c r="AC193" s="20" t="n">
        <x:f>IF(H193="CM-HCG",K193*'01 Controls'!$E$24,0)</x:f>
        <x:v>0</x:v>
      </x:c>
      <x:c r="AD193" s="20" t="n">
        <x:f>IF(H193="CM-HCG",K193*'01 Controls'!$E$25,0)</x:f>
        <x:v>0</x:v>
      </x:c>
      <x:c r="AE193" s="20" t="n">
        <x:f>IF(H193="CM-HCG",K193*'01 Controls'!$E$26,0)</x:f>
        <x:v>0</x:v>
      </x:c>
      <x:c r="AF193" s="20" t="n">
        <x:f>IF(H193="CM-HCG",K193*'01 Controls'!$E$27,0)</x:f>
        <x:v>0</x:v>
      </x:c>
    </x:row>
    <x:row r="194">
      <x:c r="C194" s="22" t="str">
        <x:v>M1-CM-RLG</x:v>
      </x:c>
      <x:c r="D194" s="22" t="n">
        <x:v>189</x:v>
      </x:c>
      <x:c r="E194" s="22" t="str">
        <x:v>M1</x:v>
      </x:c>
      <x:c r="F194" s="22" t="str">
        <x:v>Western fire and heat</x:v>
      </x:c>
      <x:c r="G194" s="22" t="n">
        <x:v>4</x:v>
      </x:c>
      <x:c r="H194" s="22" t="str">
        <x:v>CM-RLG</x:v>
      </x:c>
      <x:c r="I194" s="22" t="str">
        <x:v>Civil Mobility and Continuity</x:v>
      </x:c>
      <x:c r="J194" s="22" t="str">
        <x:v>Civil rail-mobility group</x:v>
      </x:c>
      <x:c r="K194" s="23" t="n">
        <x:v>1</x:v>
      </x:c>
      <x:c r="L194" s="23" t="n">
        <x:v>500</x:v>
      </x:c>
      <x:c r="M194" s="23" t="n">
        <x:v>100</x:v>
      </x:c>
      <x:c r="N194" s="20" t="n">
        <x:f>K194*L194</x:f>
        <x:v>500</x:v>
      </x:c>
      <x:c r="O194" s="19" t="n">
        <x:v>8000</x:v>
      </x:c>
      <x:c r="P194" s="17" t="n">
        <x:v>0.6</x:v>
      </x:c>
      <x:c r="Q194" s="20" t="n">
        <x:f>K194*O194*P194</x:f>
        <x:v>4800</x:v>
      </x:c>
      <x:c r="R194" s="20" t="n">
        <x:f>Q194*(1-'01 Controls'!$E$6)</x:f>
        <x:v>3600</x:v>
      </x:c>
      <x:c r="S194" s="19" t="n">
        <x:v>40</x:v>
      </x:c>
      <x:c r="T194" s="20" t="n">
        <x:f>K194*S194</x:f>
        <x:v>40</x:v>
      </x:c>
      <x:c r="U194" s="18" t="n">
        <x:f>'01 Controls'!E35</x:f>
        <x:v>0.1</x:v>
      </x:c>
      <x:c r="V194" s="20" t="n">
        <x:f>R194*U194</x:f>
        <x:v>360</x:v>
      </x:c>
      <x:c r="W194" s="18" t="n">
        <x:f>'01 Controls'!F35</x:f>
        <x:v>0</x:v>
      </x:c>
      <x:c r="X194" s="20" t="n">
        <x:f>R194*W194</x:f>
        <x:v>0</x:v>
      </x:c>
      <x:c r="Y194" s="18" t="n">
        <x:f>'01 Controls'!G35</x:f>
        <x:v>0.9</x:v>
      </x:c>
      <x:c r="Z194" s="20" t="n">
        <x:f>R194*Y194</x:f>
        <x:v>3240</x:v>
      </x:c>
      <x:c r="AA194" s="18" t="n">
        <x:f>'01 Controls'!H35</x:f>
        <x:v>0</x:v>
      </x:c>
      <x:c r="AB194" s="20" t="n">
        <x:f>R194*AA194</x:f>
        <x:v>0</x:v>
      </x:c>
      <x:c r="AC194" s="20" t="n">
        <x:f>IF(H194="CM-HCG",K194*'01 Controls'!$E$24,0)</x:f>
        <x:v>0</x:v>
      </x:c>
      <x:c r="AD194" s="20" t="n">
        <x:f>IF(H194="CM-HCG",K194*'01 Controls'!$E$25,0)</x:f>
        <x:v>0</x:v>
      </x:c>
      <x:c r="AE194" s="20" t="n">
        <x:f>IF(H194="CM-HCG",K194*'01 Controls'!$E$26,0)</x:f>
        <x:v>0</x:v>
      </x:c>
      <x:c r="AF194" s="20" t="n">
        <x:f>IF(H194="CM-HCG",K194*'01 Controls'!$E$27,0)</x:f>
        <x:v>0</x:v>
      </x:c>
    </x:row>
    <x:row r="195">
      <x:c r="C195" s="22" t="str">
        <x:v>M1-CM-AMG</x:v>
      </x:c>
      <x:c r="D195" s="22" t="n">
        <x:v>190</x:v>
      </x:c>
      <x:c r="E195" s="22" t="str">
        <x:v>M1</x:v>
      </x:c>
      <x:c r="F195" s="22" t="str">
        <x:v>Western fire and heat</x:v>
      </x:c>
      <x:c r="G195" s="22" t="n">
        <x:v>4</x:v>
      </x:c>
      <x:c r="H195" s="22" t="str">
        <x:v>CM-AMG</x:v>
      </x:c>
      <x:c r="I195" s="22" t="str">
        <x:v>Civil Mobility and Continuity</x:v>
      </x:c>
      <x:c r="J195" s="22" t="str">
        <x:v>Civil air-mobility group</x:v>
      </x:c>
      <x:c r="K195" s="23" t="n">
        <x:v>2</x:v>
      </x:c>
      <x:c r="L195" s="23" t="n">
        <x:v>600</x:v>
      </x:c>
      <x:c r="M195" s="23" t="n">
        <x:v>200</x:v>
      </x:c>
      <x:c r="N195" s="20" t="n">
        <x:f>K195*L195</x:f>
        <x:v>1200</x:v>
      </x:c>
      <x:c r="O195" s="19" t="n">
        <x:v>6000</x:v>
      </x:c>
      <x:c r="P195" s="17" t="n">
        <x:v>0.75</x:v>
      </x:c>
      <x:c r="Q195" s="20" t="n">
        <x:f>K195*O195*P195</x:f>
        <x:v>9000</x:v>
      </x:c>
      <x:c r="R195" s="20" t="n">
        <x:f>Q195*(1-'01 Controls'!$E$6)</x:f>
        <x:v>6750</x:v>
      </x:c>
      <x:c r="S195" s="19" t="n">
        <x:v>55</x:v>
      </x:c>
      <x:c r="T195" s="20" t="n">
        <x:f>K195*S195</x:f>
        <x:v>110</x:v>
      </x:c>
      <x:c r="U195" s="18" t="n">
        <x:f>'01 Controls'!E35</x:f>
        <x:v>0.1</x:v>
      </x:c>
      <x:c r="V195" s="20" t="n">
        <x:f>R195*U195</x:f>
        <x:v>675</x:v>
      </x:c>
      <x:c r="W195" s="18" t="n">
        <x:f>'01 Controls'!F35</x:f>
        <x:v>0</x:v>
      </x:c>
      <x:c r="X195" s="20" t="n">
        <x:f>R195*W195</x:f>
        <x:v>0</x:v>
      </x:c>
      <x:c r="Y195" s="18" t="n">
        <x:f>'01 Controls'!G35</x:f>
        <x:v>0.9</x:v>
      </x:c>
      <x:c r="Z195" s="20" t="n">
        <x:f>R195*Y195</x:f>
        <x:v>6075</x:v>
      </x:c>
      <x:c r="AA195" s="18" t="n">
        <x:f>'01 Controls'!H35</x:f>
        <x:v>0</x:v>
      </x:c>
      <x:c r="AB195" s="20" t="n">
        <x:f>R195*AA195</x:f>
        <x:v>0</x:v>
      </x:c>
      <x:c r="AC195" s="20" t="n">
        <x:f>IF(H195="CM-HCG",K195*'01 Controls'!$E$24,0)</x:f>
        <x:v>0</x:v>
      </x:c>
      <x:c r="AD195" s="20" t="n">
        <x:f>IF(H195="CM-HCG",K195*'01 Controls'!$E$25,0)</x:f>
        <x:v>0</x:v>
      </x:c>
      <x:c r="AE195" s="20" t="n">
        <x:f>IF(H195="CM-HCG",K195*'01 Controls'!$E$26,0)</x:f>
        <x:v>0</x:v>
      </x:c>
      <x:c r="AF195" s="20" t="n">
        <x:f>IF(H195="CM-HCG",K195*'01 Controls'!$E$27,0)</x:f>
        <x:v>0</x:v>
      </x:c>
    </x:row>
    <x:row r="196">
      <x:c r="C196" s="22" t="str">
        <x:v>M1-CM-WMG</x:v>
      </x:c>
      <x:c r="D196" s="22" t="n">
        <x:v>191</x:v>
      </x:c>
      <x:c r="E196" s="22" t="str">
        <x:v>M1</x:v>
      </x:c>
      <x:c r="F196" s="22" t="str">
        <x:v>Western fire and heat</x:v>
      </x:c>
      <x:c r="G196" s="22" t="n">
        <x:v>4</x:v>
      </x:c>
      <x:c r="H196" s="22" t="str">
        <x:v>CM-WMG</x:v>
      </x:c>
      <x:c r="I196" s="22" t="str">
        <x:v>Civil Mobility and Continuity</x:v>
      </x:c>
      <x:c r="J196" s="22" t="str">
        <x:v>Civil water-mobility group</x:v>
      </x:c>
      <x:c r="K196" s="23" t="n">
        <x:v>1</x:v>
      </x:c>
      <x:c r="L196" s="23" t="n">
        <x:v>500</x:v>
      </x:c>
      <x:c r="M196" s="23" t="n">
        <x:v>100</x:v>
      </x:c>
      <x:c r="N196" s="20" t="n">
        <x:f>K196*L196</x:f>
        <x:v>500</x:v>
      </x:c>
      <x:c r="O196" s="19" t="n">
        <x:v>9000</x:v>
      </x:c>
      <x:c r="P196" s="17" t="n">
        <x:v>0.5</x:v>
      </x:c>
      <x:c r="Q196" s="20" t="n">
        <x:f>K196*O196*P196</x:f>
        <x:v>4500</x:v>
      </x:c>
      <x:c r="R196" s="20" t="n">
        <x:f>Q196*(1-'01 Controls'!$E$6)</x:f>
        <x:v>3375</x:v>
      </x:c>
      <x:c r="S196" s="19" t="n">
        <x:v>50</x:v>
      </x:c>
      <x:c r="T196" s="20" t="n">
        <x:f>K196*S196</x:f>
        <x:v>50</x:v>
      </x:c>
      <x:c r="U196" s="18" t="n">
        <x:f>'01 Controls'!E35</x:f>
        <x:v>0.1</x:v>
      </x:c>
      <x:c r="V196" s="20" t="n">
        <x:f>R196*U196</x:f>
        <x:v>337.5</x:v>
      </x:c>
      <x:c r="W196" s="18" t="n">
        <x:f>'01 Controls'!F35</x:f>
        <x:v>0</x:v>
      </x:c>
      <x:c r="X196" s="20" t="n">
        <x:f>R196*W196</x:f>
        <x:v>0</x:v>
      </x:c>
      <x:c r="Y196" s="18" t="n">
        <x:f>'01 Controls'!G35</x:f>
        <x:v>0.9</x:v>
      </x:c>
      <x:c r="Z196" s="20" t="n">
        <x:f>R196*Y196</x:f>
        <x:v>3037.5</x:v>
      </x:c>
      <x:c r="AA196" s="18" t="n">
        <x:f>'01 Controls'!H35</x:f>
        <x:v>0</x:v>
      </x:c>
      <x:c r="AB196" s="20" t="n">
        <x:f>R196*AA196</x:f>
        <x:v>0</x:v>
      </x:c>
      <x:c r="AC196" s="20" t="n">
        <x:f>IF(H196="CM-HCG",K196*'01 Controls'!$E$24,0)</x:f>
        <x:v>0</x:v>
      </x:c>
      <x:c r="AD196" s="20" t="n">
        <x:f>IF(H196="CM-HCG",K196*'01 Controls'!$E$25,0)</x:f>
        <x:v>0</x:v>
      </x:c>
      <x:c r="AE196" s="20" t="n">
        <x:f>IF(H196="CM-HCG",K196*'01 Controls'!$E$26,0)</x:f>
        <x:v>0</x:v>
      </x:c>
      <x:c r="AF196" s="20" t="n">
        <x:f>IF(H196="CM-HCG",K196*'01 Controls'!$E$27,0)</x:f>
        <x:v>0</x:v>
      </x:c>
    </x:row>
    <x:row r="197">
      <x:c r="C197" s="22" t="str">
        <x:v>M1-CM-RDC</x:v>
      </x:c>
      <x:c r="D197" s="22" t="n">
        <x:v>192</x:v>
      </x:c>
      <x:c r="E197" s="22" t="str">
        <x:v>M1</x:v>
      </x:c>
      <x:c r="F197" s="22" t="str">
        <x:v>Western fire and heat</x:v>
      </x:c>
      <x:c r="G197" s="22" t="n">
        <x:v>4</x:v>
      </x:c>
      <x:c r="H197" s="22" t="str">
        <x:v>CM-RDC</x:v>
      </x:c>
      <x:c r="I197" s="22" t="str">
        <x:v>Civil Mobility and Continuity</x:v>
      </x:c>
      <x:c r="J197" s="22" t="str">
        <x:v>Return and durable-continuity group</x:v>
      </x:c>
      <x:c r="K197" s="23" t="n">
        <x:v>3</x:v>
      </x:c>
      <x:c r="L197" s="23" t="n">
        <x:v>450</x:v>
      </x:c>
      <x:c r="M197" s="23" t="n">
        <x:v>50</x:v>
      </x:c>
      <x:c r="N197" s="20" t="n">
        <x:f>K197*L197</x:f>
        <x:v>1350</x:v>
      </x:c>
      <x:c r="O197" s="19" t="n">
        <x:v>1800</x:v>
      </x:c>
      <x:c r="P197" s="17" t="n">
        <x:v>0.5</x:v>
      </x:c>
      <x:c r="Q197" s="20" t="n">
        <x:f>K197*O197*P197</x:f>
        <x:v>2700</x:v>
      </x:c>
      <x:c r="R197" s="20" t="n">
        <x:f>Q197*(1-'01 Controls'!$E$6)</x:f>
        <x:v>2025</x:v>
      </x:c>
      <x:c r="S197" s="19" t="n">
        <x:v>25</x:v>
      </x:c>
      <x:c r="T197" s="20" t="n">
        <x:f>K197*S197</x:f>
        <x:v>75</x:v>
      </x:c>
      <x:c r="U197" s="18" t="n">
        <x:f>'01 Controls'!E35</x:f>
        <x:v>0.1</x:v>
      </x:c>
      <x:c r="V197" s="20" t="n">
        <x:f>R197*U197</x:f>
        <x:v>202.5</x:v>
      </x:c>
      <x:c r="W197" s="18" t="n">
        <x:f>'01 Controls'!F35</x:f>
        <x:v>0</x:v>
      </x:c>
      <x:c r="X197" s="20" t="n">
        <x:f>R197*W197</x:f>
        <x:v>0</x:v>
      </x:c>
      <x:c r="Y197" s="18" t="n">
        <x:f>'01 Controls'!G35</x:f>
        <x:v>0.9</x:v>
      </x:c>
      <x:c r="Z197" s="20" t="n">
        <x:f>R197*Y197</x:f>
        <x:v>1822.5</x:v>
      </x:c>
      <x:c r="AA197" s="18" t="n">
        <x:f>'01 Controls'!H35</x:f>
        <x:v>0</x:v>
      </x:c>
      <x:c r="AB197" s="20" t="n">
        <x:f>R197*AA197</x:f>
        <x:v>0</x:v>
      </x:c>
      <x:c r="AC197" s="20" t="n">
        <x:f>IF(H197="CM-HCG",K197*'01 Controls'!$E$24,0)</x:f>
        <x:v>0</x:v>
      </x:c>
      <x:c r="AD197" s="20" t="n">
        <x:f>IF(H197="CM-HCG",K197*'01 Controls'!$E$25,0)</x:f>
        <x:v>0</x:v>
      </x:c>
      <x:c r="AE197" s="20" t="n">
        <x:f>IF(H197="CM-HCG",K197*'01 Controls'!$E$26,0)</x:f>
        <x:v>0</x:v>
      </x:c>
      <x:c r="AF197" s="20" t="n">
        <x:f>IF(H197="CM-HCG",K197*'01 Controls'!$E$27,0)</x:f>
        <x:v>0</x:v>
      </x:c>
    </x:row>
    <x:row r="198">
      <x:c r="C198" s="22" t="str">
        <x:v>M2-J-CIE</x:v>
      </x:c>
      <x:c r="D198" s="22" t="n">
        <x:v>193</x:v>
      </x:c>
      <x:c r="E198" s="22" t="str">
        <x:v>M2</x:v>
      </x:c>
      <x:c r="F198" s="22" t="str">
        <x:v>Urban heat</x:v>
      </x:c>
      <x:c r="G198" s="22" t="n">
        <x:v>5</x:v>
      </x:c>
      <x:c r="H198" s="22" t="str">
        <x:v>J-CIE</x:v>
      </x:c>
      <x:c r="I198" s="22" t="str">
        <x:v>Joint</x:v>
      </x:c>
      <x:c r="J198" s="22" t="str">
        <x:v>Civil integration and effects group</x:v>
      </x:c>
      <x:c r="K198" s="23" t="n">
        <x:v>2</x:v>
      </x:c>
      <x:c r="L198" s="23" t="n">
        <x:v>120</x:v>
      </x:c>
      <x:c r="M198" s="23" t="n">
        <x:v>0</x:v>
      </x:c>
      <x:c r="N198" s="20" t="n">
        <x:f>K198*L198</x:f>
        <x:v>240</x:v>
      </x:c>
      <x:c r="O198" s="19" t="n">
        <x:v>2200</x:v>
      </x:c>
      <x:c r="P198" s="17" t="n">
        <x:v>0.65</x:v>
      </x:c>
      <x:c r="Q198" s="20" t="n">
        <x:f>K198*O198*P198</x:f>
        <x:v>2860</x:v>
      </x:c>
      <x:c r="R198" s="20" t="n">
        <x:f>Q198*(1-'01 Controls'!$E$6)</x:f>
        <x:v>2145</x:v>
      </x:c>
      <x:c r="S198" s="19" t="n">
        <x:v>45</x:v>
      </x:c>
      <x:c r="T198" s="20" t="n">
        <x:f>K198*S198</x:f>
        <x:v>90</x:v>
      </x:c>
      <x:c r="U198" s="18" t="n">
        <x:f>'01 Controls'!E36</x:f>
        <x:v>0.05</x:v>
      </x:c>
      <x:c r="V198" s="20" t="n">
        <x:f>R198*U198</x:f>
        <x:v>107.25</x:v>
      </x:c>
      <x:c r="W198" s="18" t="n">
        <x:f>'01 Controls'!F36</x:f>
        <x:v>0</x:v>
      </x:c>
      <x:c r="X198" s="20" t="n">
        <x:f>R198*W198</x:f>
        <x:v>0</x:v>
      </x:c>
      <x:c r="Y198" s="18" t="n">
        <x:f>'01 Controls'!G36</x:f>
        <x:v>0.95</x:v>
      </x:c>
      <x:c r="Z198" s="20" t="n">
        <x:f>R198*Y198</x:f>
        <x:v>2037.75</x:v>
      </x:c>
      <x:c r="AA198" s="18" t="n">
        <x:f>'01 Controls'!H36</x:f>
        <x:v>0</x:v>
      </x:c>
      <x:c r="AB198" s="20" t="n">
        <x:f>R198*AA198</x:f>
        <x:v>0</x:v>
      </x:c>
      <x:c r="AC198" s="20" t="n">
        <x:f>IF(H198="CM-HCG",K198*'01 Controls'!$E$24,0)</x:f>
        <x:v>0</x:v>
      </x:c>
      <x:c r="AD198" s="20" t="n">
        <x:f>IF(H198="CM-HCG",K198*'01 Controls'!$E$25,0)</x:f>
        <x:v>0</x:v>
      </x:c>
      <x:c r="AE198" s="20" t="n">
        <x:f>IF(H198="CM-HCG",K198*'01 Controls'!$E$26,0)</x:f>
        <x:v>0</x:v>
      </x:c>
      <x:c r="AF198" s="20" t="n">
        <x:f>IF(H198="CM-HCG",K198*'01 Controls'!$E$27,0)</x:f>
        <x:v>0</x:v>
      </x:c>
    </x:row>
    <x:row r="199">
      <x:c r="C199" s="22" t="str">
        <x:v>M2-J-TOC</x:v>
      </x:c>
      <x:c r="D199" s="22" t="n">
        <x:v>194</x:v>
      </x:c>
      <x:c r="E199" s="22" t="str">
        <x:v>M2</x:v>
      </x:c>
      <x:c r="F199" s="22" t="str">
        <x:v>Urban heat</x:v>
      </x:c>
      <x:c r="G199" s="22" t="n">
        <x:v>5</x:v>
      </x:c>
      <x:c r="H199" s="22" t="str">
        <x:v>J-TOC</x:v>
      </x:c>
      <x:c r="I199" s="22" t="str">
        <x:v>Joint</x:v>
      </x:c>
      <x:c r="J199" s="22" t="str">
        <x:v>Theater-opening command</x:v>
      </x:c>
      <x:c r="K199" s="23" t="n">
        <x:v>1</x:v>
      </x:c>
      <x:c r="L199" s="23" t="n">
        <x:v>600</x:v>
      </x:c>
      <x:c r="M199" s="23" t="n">
        <x:v>0</x:v>
      </x:c>
      <x:c r="N199" s="20" t="n">
        <x:f>K199*L199</x:f>
        <x:v>600</x:v>
      </x:c>
      <x:c r="O199" s="19" t="n">
        <x:v>2200</x:v>
      </x:c>
      <x:c r="P199" s="17" t="n">
        <x:v>0.65</x:v>
      </x:c>
      <x:c r="Q199" s="20" t="n">
        <x:f>K199*O199*P199</x:f>
        <x:v>1430</x:v>
      </x:c>
      <x:c r="R199" s="20" t="n">
        <x:f>Q199*(1-'01 Controls'!$E$6)</x:f>
        <x:v>1072.5</x:v>
      </x:c>
      <x:c r="S199" s="19" t="n">
        <x:v>45</x:v>
      </x:c>
      <x:c r="T199" s="20" t="n">
        <x:f>K199*S199</x:f>
        <x:v>45</x:v>
      </x:c>
      <x:c r="U199" s="18" t="n">
        <x:f>'01 Controls'!E36</x:f>
        <x:v>0.05</x:v>
      </x:c>
      <x:c r="V199" s="20" t="n">
        <x:f>R199*U199</x:f>
        <x:v>53.625</x:v>
      </x:c>
      <x:c r="W199" s="18" t="n">
        <x:f>'01 Controls'!F36</x:f>
        <x:v>0</x:v>
      </x:c>
      <x:c r="X199" s="20" t="n">
        <x:f>R199*W199</x:f>
        <x:v>0</x:v>
      </x:c>
      <x:c r="Y199" s="18" t="n">
        <x:f>'01 Controls'!G36</x:f>
        <x:v>0.95</x:v>
      </x:c>
      <x:c r="Z199" s="20" t="n">
        <x:f>R199*Y199</x:f>
        <x:v>1018.875</x:v>
      </x:c>
      <x:c r="AA199" s="18" t="n">
        <x:f>'01 Controls'!H36</x:f>
        <x:v>0</x:v>
      </x:c>
      <x:c r="AB199" s="20" t="n">
        <x:f>R199*AA199</x:f>
        <x:v>0</x:v>
      </x:c>
      <x:c r="AC199" s="20" t="n">
        <x:f>IF(H199="CM-HCG",K199*'01 Controls'!$E$24,0)</x:f>
        <x:v>0</x:v>
      </x:c>
      <x:c r="AD199" s="20" t="n">
        <x:f>IF(H199="CM-HCG",K199*'01 Controls'!$E$25,0)</x:f>
        <x:v>0</x:v>
      </x:c>
      <x:c r="AE199" s="20" t="n">
        <x:f>IF(H199="CM-HCG",K199*'01 Controls'!$E$26,0)</x:f>
        <x:v>0</x:v>
      </x:c>
      <x:c r="AF199" s="20" t="n">
        <x:f>IF(H199="CM-HCG",K199*'01 Controls'!$E$27,0)</x:f>
        <x:v>0</x:v>
      </x:c>
    </x:row>
    <x:row r="200">
      <x:c r="C200" s="22" t="str">
        <x:v>M2-J-TSC</x:v>
      </x:c>
      <x:c r="D200" s="22" t="n">
        <x:v>195</x:v>
      </x:c>
      <x:c r="E200" s="22" t="str">
        <x:v>M2</x:v>
      </x:c>
      <x:c r="F200" s="22" t="str">
        <x:v>Urban heat</x:v>
      </x:c>
      <x:c r="G200" s="22" t="n">
        <x:v>5</x:v>
      </x:c>
      <x:c r="H200" s="22" t="str">
        <x:v>J-TSC</x:v>
      </x:c>
      <x:c r="I200" s="22" t="str">
        <x:v>Joint</x:v>
      </x:c>
      <x:c r="J200" s="22" t="str">
        <x:v>Theater sustainment command</x:v>
      </x:c>
      <x:c r="K200" s="23" t="n">
        <x:v>2</x:v>
      </x:c>
      <x:c r="L200" s="23" t="n">
        <x:v>900</x:v>
      </x:c>
      <x:c r="M200" s="23" t="n">
        <x:v>0</x:v>
      </x:c>
      <x:c r="N200" s="20" t="n">
        <x:f>K200*L200</x:f>
        <x:v>1800</x:v>
      </x:c>
      <x:c r="O200" s="19" t="n">
        <x:v>2200</x:v>
      </x:c>
      <x:c r="P200" s="17" t="n">
        <x:v>0.65</x:v>
      </x:c>
      <x:c r="Q200" s="20" t="n">
        <x:f>K200*O200*P200</x:f>
        <x:v>2860</x:v>
      </x:c>
      <x:c r="R200" s="20" t="n">
        <x:f>Q200*(1-'01 Controls'!$E$6)</x:f>
        <x:v>2145</x:v>
      </x:c>
      <x:c r="S200" s="19" t="n">
        <x:v>45</x:v>
      </x:c>
      <x:c r="T200" s="20" t="n">
        <x:f>K200*S200</x:f>
        <x:v>90</x:v>
      </x:c>
      <x:c r="U200" s="18" t="n">
        <x:f>'01 Controls'!E36</x:f>
        <x:v>0.05</x:v>
      </x:c>
      <x:c r="V200" s="20" t="n">
        <x:f>R200*U200</x:f>
        <x:v>107.25</x:v>
      </x:c>
      <x:c r="W200" s="18" t="n">
        <x:f>'01 Controls'!F36</x:f>
        <x:v>0</x:v>
      </x:c>
      <x:c r="X200" s="20" t="n">
        <x:f>R200*W200</x:f>
        <x:v>0</x:v>
      </x:c>
      <x:c r="Y200" s="18" t="n">
        <x:f>'01 Controls'!G36</x:f>
        <x:v>0.95</x:v>
      </x:c>
      <x:c r="Z200" s="20" t="n">
        <x:f>R200*Y200</x:f>
        <x:v>2037.75</x:v>
      </x:c>
      <x:c r="AA200" s="18" t="n">
        <x:f>'01 Controls'!H36</x:f>
        <x:v>0</x:v>
      </x:c>
      <x:c r="AB200" s="20" t="n">
        <x:f>R200*AA200</x:f>
        <x:v>0</x:v>
      </x:c>
      <x:c r="AC200" s="20" t="n">
        <x:f>IF(H200="CM-HCG",K200*'01 Controls'!$E$24,0)</x:f>
        <x:v>0</x:v>
      </x:c>
      <x:c r="AD200" s="20" t="n">
        <x:f>IF(H200="CM-HCG",K200*'01 Controls'!$E$25,0)</x:f>
        <x:v>0</x:v>
      </x:c>
      <x:c r="AE200" s="20" t="n">
        <x:f>IF(H200="CM-HCG",K200*'01 Controls'!$E$26,0)</x:f>
        <x:v>0</x:v>
      </x:c>
      <x:c r="AF200" s="20" t="n">
        <x:f>IF(H200="CM-HCG",K200*'01 Controls'!$E$27,0)</x:f>
        <x:v>0</x:v>
      </x:c>
    </x:row>
    <x:row r="201">
      <x:c r="C201" s="22" t="str">
        <x:v>M2-J-RRG</x:v>
      </x:c>
      <x:c r="D201" s="22" t="n">
        <x:v>196</x:v>
      </x:c>
      <x:c r="E201" s="22" t="str">
        <x:v>M2</x:v>
      </x:c>
      <x:c r="F201" s="22" t="str">
        <x:v>Urban heat</x:v>
      </x:c>
      <x:c r="G201" s="22" t="n">
        <x:v>5</x:v>
      </x:c>
      <x:c r="H201" s="22" t="str">
        <x:v>J-RRG</x:v>
      </x:c>
      <x:c r="I201" s="22" t="str">
        <x:v>Joint</x:v>
      </x:c>
      <x:c r="J201" s="22" t="str">
        <x:v>Replacement and reconstitution group</x:v>
      </x:c>
      <x:c r="K201" s="23" t="n">
        <x:v>2</x:v>
      </x:c>
      <x:c r="L201" s="23" t="n">
        <x:v>400</x:v>
      </x:c>
      <x:c r="M201" s="23" t="n">
        <x:v>0</x:v>
      </x:c>
      <x:c r="N201" s="20" t="n">
        <x:f>K201*L201</x:f>
        <x:v>800</x:v>
      </x:c>
      <x:c r="O201" s="19" t="n">
        <x:v>2200</x:v>
      </x:c>
      <x:c r="P201" s="17" t="n">
        <x:v>0.65</x:v>
      </x:c>
      <x:c r="Q201" s="20" t="n">
        <x:f>K201*O201*P201</x:f>
        <x:v>2860</x:v>
      </x:c>
      <x:c r="R201" s="20" t="n">
        <x:f>Q201*(1-'01 Controls'!$E$6)</x:f>
        <x:v>2145</x:v>
      </x:c>
      <x:c r="S201" s="19" t="n">
        <x:v>45</x:v>
      </x:c>
      <x:c r="T201" s="20" t="n">
        <x:f>K201*S201</x:f>
        <x:v>90</x:v>
      </x:c>
      <x:c r="U201" s="18" t="n">
        <x:f>'01 Controls'!E36</x:f>
        <x:v>0.05</x:v>
      </x:c>
      <x:c r="V201" s="20" t="n">
        <x:f>R201*U201</x:f>
        <x:v>107.25</x:v>
      </x:c>
      <x:c r="W201" s="18" t="n">
        <x:f>'01 Controls'!F36</x:f>
        <x:v>0</x:v>
      </x:c>
      <x:c r="X201" s="20" t="n">
        <x:f>R201*W201</x:f>
        <x:v>0</x:v>
      </x:c>
      <x:c r="Y201" s="18" t="n">
        <x:f>'01 Controls'!G36</x:f>
        <x:v>0.95</x:v>
      </x:c>
      <x:c r="Z201" s="20" t="n">
        <x:f>R201*Y201</x:f>
        <x:v>2037.75</x:v>
      </x:c>
      <x:c r="AA201" s="18" t="n">
        <x:f>'01 Controls'!H36</x:f>
        <x:v>0</x:v>
      </x:c>
      <x:c r="AB201" s="20" t="n">
        <x:f>R201*AA201</x:f>
        <x:v>0</x:v>
      </x:c>
      <x:c r="AC201" s="20" t="n">
        <x:f>IF(H201="CM-HCG",K201*'01 Controls'!$E$24,0)</x:f>
        <x:v>0</x:v>
      </x:c>
      <x:c r="AD201" s="20" t="n">
        <x:f>IF(H201="CM-HCG",K201*'01 Controls'!$E$25,0)</x:f>
        <x:v>0</x:v>
      </x:c>
      <x:c r="AE201" s="20" t="n">
        <x:f>IF(H201="CM-HCG",K201*'01 Controls'!$E$26,0)</x:f>
        <x:v>0</x:v>
      </x:c>
      <x:c r="AF201" s="20" t="n">
        <x:f>IF(H201="CM-HCG",K201*'01 Controls'!$E$27,0)</x:f>
        <x:v>0</x:v>
      </x:c>
    </x:row>
    <x:row r="202">
      <x:c r="C202" s="22" t="str">
        <x:v>M2-J-TDG</x:v>
      </x:c>
      <x:c r="D202" s="22" t="n">
        <x:v>197</x:v>
      </x:c>
      <x:c r="E202" s="22" t="str">
        <x:v>M2</x:v>
      </x:c>
      <x:c r="F202" s="22" t="str">
        <x:v>Urban heat</x:v>
      </x:c>
      <x:c r="G202" s="22" t="n">
        <x:v>5</x:v>
      </x:c>
      <x:c r="H202" s="22" t="str">
        <x:v>J-TDG</x:v>
      </x:c>
      <x:c r="I202" s="22" t="str">
        <x:v>Joint</x:v>
      </x:c>
      <x:c r="J202" s="22" t="str">
        <x:v>Transfer and demobilization group</x:v>
      </x:c>
      <x:c r="K202" s="23" t="n">
        <x:v>1</x:v>
      </x:c>
      <x:c r="L202" s="23" t="n">
        <x:v>150</x:v>
      </x:c>
      <x:c r="M202" s="23" t="n">
        <x:v>0</x:v>
      </x:c>
      <x:c r="N202" s="20" t="n">
        <x:f>K202*L202</x:f>
        <x:v>150</x:v>
      </x:c>
      <x:c r="O202" s="19" t="n">
        <x:v>2200</x:v>
      </x:c>
      <x:c r="P202" s="17" t="n">
        <x:v>0.65</x:v>
      </x:c>
      <x:c r="Q202" s="20" t="n">
        <x:f>K202*O202*P202</x:f>
        <x:v>1430</x:v>
      </x:c>
      <x:c r="R202" s="20" t="n">
        <x:f>Q202*(1-'01 Controls'!$E$6)</x:f>
        <x:v>1072.5</x:v>
      </x:c>
      <x:c r="S202" s="19" t="n">
        <x:v>45</x:v>
      </x:c>
      <x:c r="T202" s="20" t="n">
        <x:f>K202*S202</x:f>
        <x:v>45</x:v>
      </x:c>
      <x:c r="U202" s="18" t="n">
        <x:f>'01 Controls'!E36</x:f>
        <x:v>0.05</x:v>
      </x:c>
      <x:c r="V202" s="20" t="n">
        <x:f>R202*U202</x:f>
        <x:v>53.625</x:v>
      </x:c>
      <x:c r="W202" s="18" t="n">
        <x:f>'01 Controls'!F36</x:f>
        <x:v>0</x:v>
      </x:c>
      <x:c r="X202" s="20" t="n">
        <x:f>R202*W202</x:f>
        <x:v>0</x:v>
      </x:c>
      <x:c r="Y202" s="18" t="n">
        <x:f>'01 Controls'!G36</x:f>
        <x:v>0.95</x:v>
      </x:c>
      <x:c r="Z202" s="20" t="n">
        <x:f>R202*Y202</x:f>
        <x:v>1018.875</x:v>
      </x:c>
      <x:c r="AA202" s="18" t="n">
        <x:f>'01 Controls'!H36</x:f>
        <x:v>0</x:v>
      </x:c>
      <x:c r="AB202" s="20" t="n">
        <x:f>R202*AA202</x:f>
        <x:v>0</x:v>
      </x:c>
      <x:c r="AC202" s="20" t="n">
        <x:f>IF(H202="CM-HCG",K202*'01 Controls'!$E$24,0)</x:f>
        <x:v>0</x:v>
      </x:c>
      <x:c r="AD202" s="20" t="n">
        <x:f>IF(H202="CM-HCG",K202*'01 Controls'!$E$25,0)</x:f>
        <x:v>0</x:v>
      </x:c>
      <x:c r="AE202" s="20" t="n">
        <x:f>IF(H202="CM-HCG",K202*'01 Controls'!$E$26,0)</x:f>
        <x:v>0</x:v>
      </x:c>
      <x:c r="AF202" s="20" t="n">
        <x:f>IF(H202="CM-HCG",K202*'01 Controls'!$E$27,0)</x:f>
        <x:v>0</x:v>
      </x:c>
    </x:row>
    <x:row r="203">
      <x:c r="C203" s="22" t="str">
        <x:v>M2-L-ROG</x:v>
      </x:c>
      <x:c r="D203" s="22" t="n">
        <x:v>198</x:v>
      </x:c>
      <x:c r="E203" s="22" t="str">
        <x:v>M2</x:v>
      </x:c>
      <x:c r="F203" s="22" t="str">
        <x:v>Urban heat</x:v>
      </x:c>
      <x:c r="G203" s="22" t="n">
        <x:v>5</x:v>
      </x:c>
      <x:c r="H203" s="22" t="str">
        <x:v>L-ROG</x:v>
      </x:c>
      <x:c r="I203" s="22" t="str">
        <x:v>Land Engineering</x:v>
      </x:c>
      <x:c r="J203" s="22" t="str">
        <x:v>Access and route-opening group</x:v>
      </x:c>
      <x:c r="K203" s="23" t="n">
        <x:v>2</x:v>
      </x:c>
      <x:c r="L203" s="23" t="n">
        <x:v>350</x:v>
      </x:c>
      <x:c r="M203" s="23" t="n">
        <x:v>0</x:v>
      </x:c>
      <x:c r="N203" s="20" t="n">
        <x:f>K203*L203</x:f>
        <x:v>700</x:v>
      </x:c>
      <x:c r="O203" s="19" t="n">
        <x:v>9000</x:v>
      </x:c>
      <x:c r="P203" s="17" t="n">
        <x:v>0.45</x:v>
      </x:c>
      <x:c r="Q203" s="20" t="n">
        <x:f>K203*O203*P203</x:f>
        <x:v>8100</x:v>
      </x:c>
      <x:c r="R203" s="20" t="n">
        <x:f>Q203*(1-'01 Controls'!$E$6)</x:f>
        <x:v>6075</x:v>
      </x:c>
      <x:c r="S203" s="19" t="n">
        <x:v>90</x:v>
      </x:c>
      <x:c r="T203" s="20" t="n">
        <x:f>K203*S203</x:f>
        <x:v>180</x:v>
      </x:c>
      <x:c r="U203" s="18" t="n">
        <x:f>'01 Controls'!E36</x:f>
        <x:v>0.05</x:v>
      </x:c>
      <x:c r="V203" s="20" t="n">
        <x:f>R203*U203</x:f>
        <x:v>303.75</x:v>
      </x:c>
      <x:c r="W203" s="18" t="n">
        <x:f>'01 Controls'!F36</x:f>
        <x:v>0</x:v>
      </x:c>
      <x:c r="X203" s="20" t="n">
        <x:f>R203*W203</x:f>
        <x:v>0</x:v>
      </x:c>
      <x:c r="Y203" s="18" t="n">
        <x:f>'01 Controls'!G36</x:f>
        <x:v>0.95</x:v>
      </x:c>
      <x:c r="Z203" s="20" t="n">
        <x:f>R203*Y203</x:f>
        <x:v>5771.25</x:v>
      </x:c>
      <x:c r="AA203" s="18" t="n">
        <x:f>'01 Controls'!H36</x:f>
        <x:v>0</x:v>
      </x:c>
      <x:c r="AB203" s="20" t="n">
        <x:f>R203*AA203</x:f>
        <x:v>0</x:v>
      </x:c>
      <x:c r="AC203" s="20" t="n">
        <x:f>IF(H203="CM-HCG",K203*'01 Controls'!$E$24,0)</x:f>
        <x:v>0</x:v>
      </x:c>
      <x:c r="AD203" s="20" t="n">
        <x:f>IF(H203="CM-HCG",K203*'01 Controls'!$E$25,0)</x:f>
        <x:v>0</x:v>
      </x:c>
      <x:c r="AE203" s="20" t="n">
        <x:f>IF(H203="CM-HCG",K203*'01 Controls'!$E$26,0)</x:f>
        <x:v>0</x:v>
      </x:c>
      <x:c r="AF203" s="20" t="n">
        <x:f>IF(H203="CM-HCG",K203*'01 Controls'!$E$27,0)</x:f>
        <x:v>0</x:v>
      </x:c>
    </x:row>
    <x:row r="204">
      <x:c r="C204" s="22" t="str">
        <x:v>M2-L-HCG</x:v>
      </x:c>
      <x:c r="D204" s="22" t="n">
        <x:v>199</x:v>
      </x:c>
      <x:c r="E204" s="22" t="str">
        <x:v>M2</x:v>
      </x:c>
      <x:c r="F204" s="22" t="str">
        <x:v>Urban heat</x:v>
      </x:c>
      <x:c r="G204" s="22" t="n">
        <x:v>5</x:v>
      </x:c>
      <x:c r="H204" s="22" t="str">
        <x:v>L-HCG</x:v>
      </x:c>
      <x:c r="I204" s="22" t="str">
        <x:v>Land Engineering</x:v>
      </x:c>
      <x:c r="J204" s="22" t="str">
        <x:v>Flood and hydraulic-control group</x:v>
      </x:c>
      <x:c r="K204" s="23" t="n">
        <x:v>0</x:v>
      </x:c>
      <x:c r="L204" s="23" t="n">
        <x:v>500</x:v>
      </x:c>
      <x:c r="M204" s="23" t="n">
        <x:v>0</x:v>
      </x:c>
      <x:c r="N204" s="20" t="n">
        <x:f>K204*L204</x:f>
        <x:v>0</x:v>
      </x:c>
      <x:c r="O204" s="19" t="n">
        <x:v>9000</x:v>
      </x:c>
      <x:c r="P204" s="17" t="n">
        <x:v>0.45</x:v>
      </x:c>
      <x:c r="Q204" s="20" t="n">
        <x:f>K204*O204*P204</x:f>
        <x:v>0</x:v>
      </x:c>
      <x:c r="R204" s="20" t="n">
        <x:f>Q204*(1-'01 Controls'!$E$6)</x:f>
        <x:v>0</x:v>
      </x:c>
      <x:c r="S204" s="19" t="n">
        <x:v>90</x:v>
      </x:c>
      <x:c r="T204" s="20" t="n">
        <x:f>K204*S204</x:f>
        <x:v>0</x:v>
      </x:c>
      <x:c r="U204" s="18" t="n">
        <x:f>'01 Controls'!E36</x:f>
        <x:v>0.05</x:v>
      </x:c>
      <x:c r="V204" s="20" t="n">
        <x:f>R204*U204</x:f>
        <x:v>0</x:v>
      </x:c>
      <x:c r="W204" s="18" t="n">
        <x:f>'01 Controls'!F36</x:f>
        <x:v>0</x:v>
      </x:c>
      <x:c r="X204" s="20" t="n">
        <x:f>R204*W204</x:f>
        <x:v>0</x:v>
      </x:c>
      <x:c r="Y204" s="18" t="n">
        <x:f>'01 Controls'!G36</x:f>
        <x:v>0.95</x:v>
      </x:c>
      <x:c r="Z204" s="20" t="n">
        <x:f>R204*Y204</x:f>
        <x:v>0</x:v>
      </x:c>
      <x:c r="AA204" s="18" t="n">
        <x:f>'01 Controls'!H36</x:f>
        <x:v>0</x:v>
      </x:c>
      <x:c r="AB204" s="20" t="n">
        <x:f>R204*AA204</x:f>
        <x:v>0</x:v>
      </x:c>
      <x:c r="AC204" s="20" t="n">
        <x:f>IF(H204="CM-HCG",K204*'01 Controls'!$E$24,0)</x:f>
        <x:v>0</x:v>
      </x:c>
      <x:c r="AD204" s="20" t="n">
        <x:f>IF(H204="CM-HCG",K204*'01 Controls'!$E$25,0)</x:f>
        <x:v>0</x:v>
      </x:c>
      <x:c r="AE204" s="20" t="n">
        <x:f>IF(H204="CM-HCG",K204*'01 Controls'!$E$26,0)</x:f>
        <x:v>0</x:v>
      </x:c>
      <x:c r="AF204" s="20" t="n">
        <x:f>IF(H204="CM-HCG",K204*'01 Controls'!$E$27,0)</x:f>
        <x:v>0</x:v>
      </x:c>
    </x:row>
    <x:row r="205">
      <x:c r="C205" s="22" t="str">
        <x:v>M2-L-DMG</x:v>
      </x:c>
      <x:c r="D205" s="22" t="n">
        <x:v>200</x:v>
      </x:c>
      <x:c r="E205" s="22" t="str">
        <x:v>M2</x:v>
      </x:c>
      <x:c r="F205" s="22" t="str">
        <x:v>Urban heat</x:v>
      </x:c>
      <x:c r="G205" s="22" t="n">
        <x:v>5</x:v>
      </x:c>
      <x:c r="H205" s="22" t="str">
        <x:v>L-DMG</x:v>
      </x:c>
      <x:c r="I205" s="22" t="str">
        <x:v>Land Engineering</x:v>
      </x:c>
      <x:c r="J205" s="22" t="str">
        <x:v>Debris and materials group</x:v>
      </x:c>
      <x:c r="K205" s="23" t="n">
        <x:v>1</x:v>
      </x:c>
      <x:c r="L205" s="23" t="n">
        <x:v>400</x:v>
      </x:c>
      <x:c r="M205" s="23" t="n">
        <x:v>0</x:v>
      </x:c>
      <x:c r="N205" s="20" t="n">
        <x:f>K205*L205</x:f>
        <x:v>400</x:v>
      </x:c>
      <x:c r="O205" s="19" t="n">
        <x:v>9000</x:v>
      </x:c>
      <x:c r="P205" s="17" t="n">
        <x:v>0.45</x:v>
      </x:c>
      <x:c r="Q205" s="20" t="n">
        <x:f>K205*O205*P205</x:f>
        <x:v>4050</x:v>
      </x:c>
      <x:c r="R205" s="20" t="n">
        <x:f>Q205*(1-'01 Controls'!$E$6)</x:f>
        <x:v>3037.5</x:v>
      </x:c>
      <x:c r="S205" s="19" t="n">
        <x:v>90</x:v>
      </x:c>
      <x:c r="T205" s="20" t="n">
        <x:f>K205*S205</x:f>
        <x:v>90</x:v>
      </x:c>
      <x:c r="U205" s="18" t="n">
        <x:f>'01 Controls'!E36</x:f>
        <x:v>0.05</x:v>
      </x:c>
      <x:c r="V205" s="20" t="n">
        <x:f>R205*U205</x:f>
        <x:v>151.875</x:v>
      </x:c>
      <x:c r="W205" s="18" t="n">
        <x:f>'01 Controls'!F36</x:f>
        <x:v>0</x:v>
      </x:c>
      <x:c r="X205" s="20" t="n">
        <x:f>R205*W205</x:f>
        <x:v>0</x:v>
      </x:c>
      <x:c r="Y205" s="18" t="n">
        <x:f>'01 Controls'!G36</x:f>
        <x:v>0.95</x:v>
      </x:c>
      <x:c r="Z205" s="20" t="n">
        <x:f>R205*Y205</x:f>
        <x:v>2885.625</x:v>
      </x:c>
      <x:c r="AA205" s="18" t="n">
        <x:f>'01 Controls'!H36</x:f>
        <x:v>0</x:v>
      </x:c>
      <x:c r="AB205" s="20" t="n">
        <x:f>R205*AA205</x:f>
        <x:v>0</x:v>
      </x:c>
      <x:c r="AC205" s="20" t="n">
        <x:f>IF(H205="CM-HCG",K205*'01 Controls'!$E$24,0)</x:f>
        <x:v>0</x:v>
      </x:c>
      <x:c r="AD205" s="20" t="n">
        <x:f>IF(H205="CM-HCG",K205*'01 Controls'!$E$25,0)</x:f>
        <x:v>0</x:v>
      </x:c>
      <x:c r="AE205" s="20" t="n">
        <x:f>IF(H205="CM-HCG",K205*'01 Controls'!$E$26,0)</x:f>
        <x:v>0</x:v>
      </x:c>
      <x:c r="AF205" s="20" t="n">
        <x:f>IF(H205="CM-HCG",K205*'01 Controls'!$E$27,0)</x:f>
        <x:v>0</x:v>
      </x:c>
    </x:row>
    <x:row r="206">
      <x:c r="C206" s="22" t="str">
        <x:v>M2-L-TWG</x:v>
      </x:c>
      <x:c r="D206" s="22" t="n">
        <x:v>201</x:v>
      </x:c>
      <x:c r="E206" s="22" t="str">
        <x:v>M2</x:v>
      </x:c>
      <x:c r="F206" s="22" t="str">
        <x:v>Urban heat</x:v>
      </x:c>
      <x:c r="G206" s="22" t="n">
        <x:v>5</x:v>
      </x:c>
      <x:c r="H206" s="22" t="str">
        <x:v>L-TWG</x:v>
      </x:c>
      <x:c r="I206" s="22" t="str">
        <x:v>Land Engineering</x:v>
      </x:c>
      <x:c r="J206" s="22" t="str">
        <x:v>Temporary works and crossing group</x:v>
      </x:c>
      <x:c r="K206" s="23" t="n">
        <x:v>1</x:v>
      </x:c>
      <x:c r="L206" s="23" t="n">
        <x:v>350</x:v>
      </x:c>
      <x:c r="M206" s="23" t="n">
        <x:v>0</x:v>
      </x:c>
      <x:c r="N206" s="20" t="n">
        <x:f>K206*L206</x:f>
        <x:v>350</x:v>
      </x:c>
      <x:c r="O206" s="19" t="n">
        <x:v>9000</x:v>
      </x:c>
      <x:c r="P206" s="17" t="n">
        <x:v>0.45</x:v>
      </x:c>
      <x:c r="Q206" s="20" t="n">
        <x:f>K206*O206*P206</x:f>
        <x:v>4050</x:v>
      </x:c>
      <x:c r="R206" s="20" t="n">
        <x:f>Q206*(1-'01 Controls'!$E$6)</x:f>
        <x:v>3037.5</x:v>
      </x:c>
      <x:c r="S206" s="19" t="n">
        <x:v>90</x:v>
      </x:c>
      <x:c r="T206" s="20" t="n">
        <x:f>K206*S206</x:f>
        <x:v>90</x:v>
      </x:c>
      <x:c r="U206" s="18" t="n">
        <x:f>'01 Controls'!E36</x:f>
        <x:v>0.05</x:v>
      </x:c>
      <x:c r="V206" s="20" t="n">
        <x:f>R206*U206</x:f>
        <x:v>151.875</x:v>
      </x:c>
      <x:c r="W206" s="18" t="n">
        <x:f>'01 Controls'!F36</x:f>
        <x:v>0</x:v>
      </x:c>
      <x:c r="X206" s="20" t="n">
        <x:f>R206*W206</x:f>
        <x:v>0</x:v>
      </x:c>
      <x:c r="Y206" s="18" t="n">
        <x:f>'01 Controls'!G36</x:f>
        <x:v>0.95</x:v>
      </x:c>
      <x:c r="Z206" s="20" t="n">
        <x:f>R206*Y206</x:f>
        <x:v>2885.625</x:v>
      </x:c>
      <x:c r="AA206" s="18" t="n">
        <x:f>'01 Controls'!H36</x:f>
        <x:v>0</x:v>
      </x:c>
      <x:c r="AB206" s="20" t="n">
        <x:f>R206*AA206</x:f>
        <x:v>0</x:v>
      </x:c>
      <x:c r="AC206" s="20" t="n">
        <x:f>IF(H206="CM-HCG",K206*'01 Controls'!$E$24,0)</x:f>
        <x:v>0</x:v>
      </x:c>
      <x:c r="AD206" s="20" t="n">
        <x:f>IF(H206="CM-HCG",K206*'01 Controls'!$E$25,0)</x:f>
        <x:v>0</x:v>
      </x:c>
      <x:c r="AE206" s="20" t="n">
        <x:f>IF(H206="CM-HCG",K206*'01 Controls'!$E$26,0)</x:f>
        <x:v>0</x:v>
      </x:c>
      <x:c r="AF206" s="20" t="n">
        <x:f>IF(H206="CM-HCG",K206*'01 Controls'!$E$27,0)</x:f>
        <x:v>0</x:v>
      </x:c>
    </x:row>
    <x:row r="207">
      <x:c r="C207" s="22" t="str">
        <x:v>M2-L-GFG</x:v>
      </x:c>
      <x:c r="D207" s="22" t="n">
        <x:v>202</x:v>
      </x:c>
      <x:c r="E207" s="22" t="str">
        <x:v>M2</x:v>
      </x:c>
      <x:c r="F207" s="22" t="str">
        <x:v>Urban heat</x:v>
      </x:c>
      <x:c r="G207" s="22" t="n">
        <x:v>5</x:v>
      </x:c>
      <x:c r="H207" s="22" t="str">
        <x:v>L-GFG</x:v>
      </x:c>
      <x:c r="I207" s="22" t="str">
        <x:v>Land Engineering</x:v>
      </x:c>
      <x:c r="J207" s="22" t="str">
        <x:v>Ground fire and landscape group</x:v>
      </x:c>
      <x:c r="K207" s="23" t="n">
        <x:v>3</x:v>
      </x:c>
      <x:c r="L207" s="23" t="n">
        <x:v>450</x:v>
      </x:c>
      <x:c r="M207" s="23" t="n">
        <x:v>0</x:v>
      </x:c>
      <x:c r="N207" s="20" t="n">
        <x:f>K207*L207</x:f>
        <x:v>1350</x:v>
      </x:c>
      <x:c r="O207" s="19" t="n">
        <x:v>9000</x:v>
      </x:c>
      <x:c r="P207" s="17" t="n">
        <x:v>0.45</x:v>
      </x:c>
      <x:c r="Q207" s="20" t="n">
        <x:f>K207*O207*P207</x:f>
        <x:v>12150</x:v>
      </x:c>
      <x:c r="R207" s="20" t="n">
        <x:f>Q207*(1-'01 Controls'!$E$6)</x:f>
        <x:v>9112.5</x:v>
      </x:c>
      <x:c r="S207" s="19" t="n">
        <x:v>90</x:v>
      </x:c>
      <x:c r="T207" s="20" t="n">
        <x:f>K207*S207</x:f>
        <x:v>270</x:v>
      </x:c>
      <x:c r="U207" s="18" t="n">
        <x:f>'01 Controls'!E36</x:f>
        <x:v>0.05</x:v>
      </x:c>
      <x:c r="V207" s="20" t="n">
        <x:f>R207*U207</x:f>
        <x:v>455.625</x:v>
      </x:c>
      <x:c r="W207" s="18" t="n">
        <x:f>'01 Controls'!F36</x:f>
        <x:v>0</x:v>
      </x:c>
      <x:c r="X207" s="20" t="n">
        <x:f>R207*W207</x:f>
        <x:v>0</x:v>
      </x:c>
      <x:c r="Y207" s="18" t="n">
        <x:f>'01 Controls'!G36</x:f>
        <x:v>0.95</x:v>
      </x:c>
      <x:c r="Z207" s="20" t="n">
        <x:f>R207*Y207</x:f>
        <x:v>8656.875</x:v>
      </x:c>
      <x:c r="AA207" s="18" t="n">
        <x:f>'01 Controls'!H36</x:f>
        <x:v>0</x:v>
      </x:c>
      <x:c r="AB207" s="20" t="n">
        <x:f>R207*AA207</x:f>
        <x:v>0</x:v>
      </x:c>
      <x:c r="AC207" s="20" t="n">
        <x:f>IF(H207="CM-HCG",K207*'01 Controls'!$E$24,0)</x:f>
        <x:v>0</x:v>
      </x:c>
      <x:c r="AD207" s="20" t="n">
        <x:f>IF(H207="CM-HCG",K207*'01 Controls'!$E$25,0)</x:f>
        <x:v>0</x:v>
      </x:c>
      <x:c r="AE207" s="20" t="n">
        <x:f>IF(H207="CM-HCG",K207*'01 Controls'!$E$26,0)</x:f>
        <x:v>0</x:v>
      </x:c>
      <x:c r="AF207" s="20" t="n">
        <x:f>IF(H207="CM-HCG",K207*'01 Controls'!$E$27,0)</x:f>
        <x:v>0</x:v>
      </x:c>
    </x:row>
    <x:row r="208">
      <x:c r="C208" s="22" t="str">
        <x:v>M2-A-SMW</x:v>
      </x:c>
      <x:c r="D208" s="22" t="n">
        <x:v>203</x:v>
      </x:c>
      <x:c r="E208" s="22" t="str">
        <x:v>M2</x:v>
      </x:c>
      <x:c r="F208" s="22" t="str">
        <x:v>Urban heat</x:v>
      </x:c>
      <x:c r="G208" s="22" t="n">
        <x:v>5</x:v>
      </x:c>
      <x:c r="H208" s="22" t="str">
        <x:v>A-SMW</x:v>
      </x:c>
      <x:c r="I208" s="22" t="str">
        <x:v>Air Response</x:v>
      </x:c>
      <x:c r="J208" s="22" t="str">
        <x:v>Strategic mobility wing</x:v>
      </x:c>
      <x:c r="K208" s="23" t="n">
        <x:v>2</x:v>
      </x:c>
      <x:c r="L208" s="23" t="n">
        <x:v>900</x:v>
      </x:c>
      <x:c r="M208" s="23" t="n">
        <x:v>0</x:v>
      </x:c>
      <x:c r="N208" s="20" t="n">
        <x:f>K208*L208</x:f>
        <x:v>1800</x:v>
      </x:c>
      <x:c r="O208" s="19" t="n">
        <x:v>5000</x:v>
      </x:c>
      <x:c r="P208" s="17" t="n">
        <x:v>0.75</x:v>
      </x:c>
      <x:c r="Q208" s="20" t="n">
        <x:f>K208*O208*P208</x:f>
        <x:v>7500</x:v>
      </x:c>
      <x:c r="R208" s="20" t="n">
        <x:f>Q208*(1-'01 Controls'!$E$6)</x:f>
        <x:v>5625</x:v>
      </x:c>
      <x:c r="S208" s="19" t="n">
        <x:v>100</x:v>
      </x:c>
      <x:c r="T208" s="20" t="n">
        <x:f>K208*S208</x:f>
        <x:v>200</x:v>
      </x:c>
      <x:c r="U208" s="18" t="n">
        <x:f>'01 Controls'!E36</x:f>
        <x:v>0.05</x:v>
      </x:c>
      <x:c r="V208" s="20" t="n">
        <x:f>R208*U208</x:f>
        <x:v>281.25</x:v>
      </x:c>
      <x:c r="W208" s="18" t="n">
        <x:f>'01 Controls'!F36</x:f>
        <x:v>0</x:v>
      </x:c>
      <x:c r="X208" s="20" t="n">
        <x:f>R208*W208</x:f>
        <x:v>0</x:v>
      </x:c>
      <x:c r="Y208" s="18" t="n">
        <x:f>'01 Controls'!G36</x:f>
        <x:v>0.95</x:v>
      </x:c>
      <x:c r="Z208" s="20" t="n">
        <x:f>R208*Y208</x:f>
        <x:v>5343.75</x:v>
      </x:c>
      <x:c r="AA208" s="18" t="n">
        <x:f>'01 Controls'!H36</x:f>
        <x:v>0</x:v>
      </x:c>
      <x:c r="AB208" s="20" t="n">
        <x:f>R208*AA208</x:f>
        <x:v>0</x:v>
      </x:c>
      <x:c r="AC208" s="20" t="n">
        <x:f>IF(H208="CM-HCG",K208*'01 Controls'!$E$24,0)</x:f>
        <x:v>0</x:v>
      </x:c>
      <x:c r="AD208" s="20" t="n">
        <x:f>IF(H208="CM-HCG",K208*'01 Controls'!$E$25,0)</x:f>
        <x:v>0</x:v>
      </x:c>
      <x:c r="AE208" s="20" t="n">
        <x:f>IF(H208="CM-HCG",K208*'01 Controls'!$E$26,0)</x:f>
        <x:v>0</x:v>
      </x:c>
      <x:c r="AF208" s="20" t="n">
        <x:f>IF(H208="CM-HCG",K208*'01 Controls'!$E$27,0)</x:f>
        <x:v>0</x:v>
      </x:c>
    </x:row>
    <x:row r="209">
      <x:c r="C209" s="22" t="str">
        <x:v>M2-A-AAG</x:v>
      </x:c>
      <x:c r="D209" s="22" t="n">
        <x:v>204</x:v>
      </x:c>
      <x:c r="E209" s="22" t="str">
        <x:v>M2</x:v>
      </x:c>
      <x:c r="F209" s="22" t="str">
        <x:v>Urban heat</x:v>
      </x:c>
      <x:c r="G209" s="22" t="n">
        <x:v>5</x:v>
      </x:c>
      <x:c r="H209" s="22" t="str">
        <x:v>A-AAG</x:v>
      </x:c>
      <x:c r="I209" s="22" t="str">
        <x:v>Air Response</x:v>
      </x:c>
      <x:c r="J209" s="22" t="str">
        <x:v>Austere air-access group</x:v>
      </x:c>
      <x:c r="K209" s="23" t="n">
        <x:v>2</x:v>
      </x:c>
      <x:c r="L209" s="23" t="n">
        <x:v>350</x:v>
      </x:c>
      <x:c r="M209" s="23" t="n">
        <x:v>0</x:v>
      </x:c>
      <x:c r="N209" s="20" t="n">
        <x:f>K209*L209</x:f>
        <x:v>700</x:v>
      </x:c>
      <x:c r="O209" s="19" t="n">
        <x:v>5000</x:v>
      </x:c>
      <x:c r="P209" s="17" t="n">
        <x:v>0.75</x:v>
      </x:c>
      <x:c r="Q209" s="20" t="n">
        <x:f>K209*O209*P209</x:f>
        <x:v>7500</x:v>
      </x:c>
      <x:c r="R209" s="20" t="n">
        <x:f>Q209*(1-'01 Controls'!$E$6)</x:f>
        <x:v>5625</x:v>
      </x:c>
      <x:c r="S209" s="19" t="n">
        <x:v>100</x:v>
      </x:c>
      <x:c r="T209" s="20" t="n">
        <x:f>K209*S209</x:f>
        <x:v>200</x:v>
      </x:c>
      <x:c r="U209" s="18" t="n">
        <x:f>'01 Controls'!E36</x:f>
        <x:v>0.05</x:v>
      </x:c>
      <x:c r="V209" s="20" t="n">
        <x:f>R209*U209</x:f>
        <x:v>281.25</x:v>
      </x:c>
      <x:c r="W209" s="18" t="n">
        <x:f>'01 Controls'!F36</x:f>
        <x:v>0</x:v>
      </x:c>
      <x:c r="X209" s="20" t="n">
        <x:f>R209*W209</x:f>
        <x:v>0</x:v>
      </x:c>
      <x:c r="Y209" s="18" t="n">
        <x:f>'01 Controls'!G36</x:f>
        <x:v>0.95</x:v>
      </x:c>
      <x:c r="Z209" s="20" t="n">
        <x:f>R209*Y209</x:f>
        <x:v>5343.75</x:v>
      </x:c>
      <x:c r="AA209" s="18" t="n">
        <x:f>'01 Controls'!H36</x:f>
        <x:v>0</x:v>
      </x:c>
      <x:c r="AB209" s="20" t="n">
        <x:f>R209*AA209</x:f>
        <x:v>0</x:v>
      </x:c>
      <x:c r="AC209" s="20" t="n">
        <x:f>IF(H209="CM-HCG",K209*'01 Controls'!$E$24,0)</x:f>
        <x:v>0</x:v>
      </x:c>
      <x:c r="AD209" s="20" t="n">
        <x:f>IF(H209="CM-HCG",K209*'01 Controls'!$E$25,0)</x:f>
        <x:v>0</x:v>
      </x:c>
      <x:c r="AE209" s="20" t="n">
        <x:f>IF(H209="CM-HCG",K209*'01 Controls'!$E$26,0)</x:f>
        <x:v>0</x:v>
      </x:c>
      <x:c r="AF209" s="20" t="n">
        <x:f>IF(H209="CM-HCG",K209*'01 Controls'!$E$27,0)</x:f>
        <x:v>0</x:v>
      </x:c>
    </x:row>
    <x:row r="210">
      <x:c r="C210" s="22" t="str">
        <x:v>M2-A-AHW</x:v>
      </x:c>
      <x:c r="D210" s="22" t="n">
        <x:v>205</x:v>
      </x:c>
      <x:c r="E210" s="22" t="str">
        <x:v>M2</x:v>
      </x:c>
      <x:c r="F210" s="22" t="str">
        <x:v>Urban heat</x:v>
      </x:c>
      <x:c r="G210" s="22" t="n">
        <x:v>5</x:v>
      </x:c>
      <x:c r="H210" s="22" t="str">
        <x:v>A-AHW</x:v>
      </x:c>
      <x:c r="I210" s="22" t="str">
        <x:v>Air Response</x:v>
      </x:c>
      <x:c r="J210" s="22" t="str">
        <x:v>Aerial hazard-control wing</x:v>
      </x:c>
      <x:c r="K210" s="23" t="n">
        <x:v>2</x:v>
      </x:c>
      <x:c r="L210" s="23" t="n">
        <x:v>600</x:v>
      </x:c>
      <x:c r="M210" s="23" t="n">
        <x:v>0</x:v>
      </x:c>
      <x:c r="N210" s="20" t="n">
        <x:f>K210*L210</x:f>
        <x:v>1200</x:v>
      </x:c>
      <x:c r="O210" s="19" t="n">
        <x:v>5000</x:v>
      </x:c>
      <x:c r="P210" s="17" t="n">
        <x:v>0.75</x:v>
      </x:c>
      <x:c r="Q210" s="20" t="n">
        <x:f>K210*O210*P210</x:f>
        <x:v>7500</x:v>
      </x:c>
      <x:c r="R210" s="20" t="n">
        <x:f>Q210*(1-'01 Controls'!$E$6)</x:f>
        <x:v>5625</x:v>
      </x:c>
      <x:c r="S210" s="19" t="n">
        <x:v>100</x:v>
      </x:c>
      <x:c r="T210" s="20" t="n">
        <x:f>K210*S210</x:f>
        <x:v>200</x:v>
      </x:c>
      <x:c r="U210" s="18" t="n">
        <x:f>'01 Controls'!E36</x:f>
        <x:v>0.05</x:v>
      </x:c>
      <x:c r="V210" s="20" t="n">
        <x:f>R210*U210</x:f>
        <x:v>281.25</x:v>
      </x:c>
      <x:c r="W210" s="18" t="n">
        <x:f>'01 Controls'!F36</x:f>
        <x:v>0</x:v>
      </x:c>
      <x:c r="X210" s="20" t="n">
        <x:f>R210*W210</x:f>
        <x:v>0</x:v>
      </x:c>
      <x:c r="Y210" s="18" t="n">
        <x:f>'01 Controls'!G36</x:f>
        <x:v>0.95</x:v>
      </x:c>
      <x:c r="Z210" s="20" t="n">
        <x:f>R210*Y210</x:f>
        <x:v>5343.75</x:v>
      </x:c>
      <x:c r="AA210" s="18" t="n">
        <x:f>'01 Controls'!H36</x:f>
        <x:v>0</x:v>
      </x:c>
      <x:c r="AB210" s="20" t="n">
        <x:f>R210*AA210</x:f>
        <x:v>0</x:v>
      </x:c>
      <x:c r="AC210" s="20" t="n">
        <x:f>IF(H210="CM-HCG",K210*'01 Controls'!$E$24,0)</x:f>
        <x:v>0</x:v>
      </x:c>
      <x:c r="AD210" s="20" t="n">
        <x:f>IF(H210="CM-HCG",K210*'01 Controls'!$E$25,0)</x:f>
        <x:v>0</x:v>
      </x:c>
      <x:c r="AE210" s="20" t="n">
        <x:f>IF(H210="CM-HCG",K210*'01 Controls'!$E$26,0)</x:f>
        <x:v>0</x:v>
      </x:c>
      <x:c r="AF210" s="20" t="n">
        <x:f>IF(H210="CM-HCG",K210*'01 Controls'!$E$27,0)</x:f>
        <x:v>0</x:v>
      </x:c>
    </x:row>
    <x:row r="211">
      <x:c r="C211" s="22" t="str">
        <x:v>M2-A-TDG</x:v>
      </x:c>
      <x:c r="D211" s="22" t="n">
        <x:v>206</x:v>
      </x:c>
      <x:c r="E211" s="22" t="str">
        <x:v>M2</x:v>
      </x:c>
      <x:c r="F211" s="22" t="str">
        <x:v>Urban heat</x:v>
      </x:c>
      <x:c r="G211" s="22" t="n">
        <x:v>5</x:v>
      </x:c>
      <x:c r="H211" s="22" t="str">
        <x:v>A-TDG</x:v>
      </x:c>
      <x:c r="I211" s="22" t="str">
        <x:v>Air Response</x:v>
      </x:c>
      <x:c r="J211" s="22" t="str">
        <x:v>Tactical distribution group</x:v>
      </x:c>
      <x:c r="K211" s="23" t="n">
        <x:v>4</x:v>
      </x:c>
      <x:c r="L211" s="23" t="n">
        <x:v>450</x:v>
      </x:c>
      <x:c r="M211" s="23" t="n">
        <x:v>0</x:v>
      </x:c>
      <x:c r="N211" s="20" t="n">
        <x:f>K211*L211</x:f>
        <x:v>1800</x:v>
      </x:c>
      <x:c r="O211" s="19" t="n">
        <x:v>5000</x:v>
      </x:c>
      <x:c r="P211" s="17" t="n">
        <x:v>0.75</x:v>
      </x:c>
      <x:c r="Q211" s="20" t="n">
        <x:f>K211*O211*P211</x:f>
        <x:v>15000</x:v>
      </x:c>
      <x:c r="R211" s="20" t="n">
        <x:f>Q211*(1-'01 Controls'!$E$6)</x:f>
        <x:v>11250</x:v>
      </x:c>
      <x:c r="S211" s="19" t="n">
        <x:v>100</x:v>
      </x:c>
      <x:c r="T211" s="20" t="n">
        <x:f>K211*S211</x:f>
        <x:v>400</x:v>
      </x:c>
      <x:c r="U211" s="18" t="n">
        <x:f>'01 Controls'!E36</x:f>
        <x:v>0.05</x:v>
      </x:c>
      <x:c r="V211" s="20" t="n">
        <x:f>R211*U211</x:f>
        <x:v>562.5</x:v>
      </x:c>
      <x:c r="W211" s="18" t="n">
        <x:f>'01 Controls'!F36</x:f>
        <x:v>0</x:v>
      </x:c>
      <x:c r="X211" s="20" t="n">
        <x:f>R211*W211</x:f>
        <x:v>0</x:v>
      </x:c>
      <x:c r="Y211" s="18" t="n">
        <x:f>'01 Controls'!G36</x:f>
        <x:v>0.95</x:v>
      </x:c>
      <x:c r="Z211" s="20" t="n">
        <x:f>R211*Y211</x:f>
        <x:v>10687.5</x:v>
      </x:c>
      <x:c r="AA211" s="18" t="n">
        <x:f>'01 Controls'!H36</x:f>
        <x:v>0</x:v>
      </x:c>
      <x:c r="AB211" s="20" t="n">
        <x:f>R211*AA211</x:f>
        <x:v>0</x:v>
      </x:c>
      <x:c r="AC211" s="20" t="n">
        <x:f>IF(H211="CM-HCG",K211*'01 Controls'!$E$24,0)</x:f>
        <x:v>0</x:v>
      </x:c>
      <x:c r="AD211" s="20" t="n">
        <x:f>IF(H211="CM-HCG",K211*'01 Controls'!$E$25,0)</x:f>
        <x:v>0</x:v>
      </x:c>
      <x:c r="AE211" s="20" t="n">
        <x:f>IF(H211="CM-HCG",K211*'01 Controls'!$E$26,0)</x:f>
        <x:v>0</x:v>
      </x:c>
      <x:c r="AF211" s="20" t="n">
        <x:f>IF(H211="CM-HCG",K211*'01 Controls'!$E$27,0)</x:f>
        <x:v>0</x:v>
      </x:c>
    </x:row>
    <x:row r="212">
      <x:c r="C212" s="22" t="str">
        <x:v>M2-A-SRG</x:v>
      </x:c>
      <x:c r="D212" s="22" t="n">
        <x:v>207</x:v>
      </x:c>
      <x:c r="E212" s="22" t="str">
        <x:v>M2</x:v>
      </x:c>
      <x:c r="F212" s="22" t="str">
        <x:v>Urban heat</x:v>
      </x:c>
      <x:c r="G212" s="22" t="n">
        <x:v>5</x:v>
      </x:c>
      <x:c r="H212" s="22" t="str">
        <x:v>A-SRG</x:v>
      </x:c>
      <x:c r="I212" s="22" t="str">
        <x:v>Air Response</x:v>
      </x:c>
      <x:c r="J212" s="22" t="str">
        <x:v>Air sensing and relay group</x:v>
      </x:c>
      <x:c r="K212" s="23" t="n">
        <x:v>3</x:v>
      </x:c>
      <x:c r="L212" s="23" t="n">
        <x:v>180</x:v>
      </x:c>
      <x:c r="M212" s="23" t="n">
        <x:v>0</x:v>
      </x:c>
      <x:c r="N212" s="20" t="n">
        <x:f>K212*L212</x:f>
        <x:v>540</x:v>
      </x:c>
      <x:c r="O212" s="19" t="n">
        <x:v>5000</x:v>
      </x:c>
      <x:c r="P212" s="17" t="n">
        <x:v>0.75</x:v>
      </x:c>
      <x:c r="Q212" s="20" t="n">
        <x:f>K212*O212*P212</x:f>
        <x:v>11250</x:v>
      </x:c>
      <x:c r="R212" s="20" t="n">
        <x:f>Q212*(1-'01 Controls'!$E$6)</x:f>
        <x:v>8437.5</x:v>
      </x:c>
      <x:c r="S212" s="19" t="n">
        <x:v>100</x:v>
      </x:c>
      <x:c r="T212" s="20" t="n">
        <x:f>K212*S212</x:f>
        <x:v>300</x:v>
      </x:c>
      <x:c r="U212" s="18" t="n">
        <x:f>'01 Controls'!E36</x:f>
        <x:v>0.05</x:v>
      </x:c>
      <x:c r="V212" s="20" t="n">
        <x:f>R212*U212</x:f>
        <x:v>421.875</x:v>
      </x:c>
      <x:c r="W212" s="18" t="n">
        <x:f>'01 Controls'!F36</x:f>
        <x:v>0</x:v>
      </x:c>
      <x:c r="X212" s="20" t="n">
        <x:f>R212*W212</x:f>
        <x:v>0</x:v>
      </x:c>
      <x:c r="Y212" s="18" t="n">
        <x:f>'01 Controls'!G36</x:f>
        <x:v>0.95</x:v>
      </x:c>
      <x:c r="Z212" s="20" t="n">
        <x:f>R212*Y212</x:f>
        <x:v>8015.625</x:v>
      </x:c>
      <x:c r="AA212" s="18" t="n">
        <x:f>'01 Controls'!H36</x:f>
        <x:v>0</x:v>
      </x:c>
      <x:c r="AB212" s="20" t="n">
        <x:f>R212*AA212</x:f>
        <x:v>0</x:v>
      </x:c>
      <x:c r="AC212" s="20" t="n">
        <x:f>IF(H212="CM-HCG",K212*'01 Controls'!$E$24,0)</x:f>
        <x:v>0</x:v>
      </x:c>
      <x:c r="AD212" s="20" t="n">
        <x:f>IF(H212="CM-HCG",K212*'01 Controls'!$E$25,0)</x:f>
        <x:v>0</x:v>
      </x:c>
      <x:c r="AE212" s="20" t="n">
        <x:f>IF(H212="CM-HCG",K212*'01 Controls'!$E$26,0)</x:f>
        <x:v>0</x:v>
      </x:c>
      <x:c r="AF212" s="20" t="n">
        <x:f>IF(H212="CM-HCG",K212*'01 Controls'!$E$27,0)</x:f>
        <x:v>0</x:v>
      </x:c>
    </x:row>
    <x:row r="213">
      <x:c r="C213" s="22" t="str">
        <x:v>M2-A-AMG</x:v>
      </x:c>
      <x:c r="D213" s="22" t="n">
        <x:v>208</x:v>
      </x:c>
      <x:c r="E213" s="22" t="str">
        <x:v>M2</x:v>
      </x:c>
      <x:c r="F213" s="22" t="str">
        <x:v>Urban heat</x:v>
      </x:c>
      <x:c r="G213" s="22" t="n">
        <x:v>5</x:v>
      </x:c>
      <x:c r="H213" s="22" t="str">
        <x:v>A-AMG</x:v>
      </x:c>
      <x:c r="I213" s="22" t="str">
        <x:v>Air Response</x:v>
      </x:c>
      <x:c r="J213" s="22" t="str">
        <x:v>Aeromedical movement group</x:v>
      </x:c>
      <x:c r="K213" s="23" t="n">
        <x:v>3</x:v>
      </x:c>
      <x:c r="L213" s="23" t="n">
        <x:v>300</x:v>
      </x:c>
      <x:c r="M213" s="23" t="n">
        <x:v>0</x:v>
      </x:c>
      <x:c r="N213" s="20" t="n">
        <x:f>K213*L213</x:f>
        <x:v>900</x:v>
      </x:c>
      <x:c r="O213" s="19" t="n">
        <x:v>5000</x:v>
      </x:c>
      <x:c r="P213" s="17" t="n">
        <x:v>0.75</x:v>
      </x:c>
      <x:c r="Q213" s="20" t="n">
        <x:f>K213*O213*P213</x:f>
        <x:v>11250</x:v>
      </x:c>
      <x:c r="R213" s="20" t="n">
        <x:f>Q213*(1-'01 Controls'!$E$6)</x:f>
        <x:v>8437.5</x:v>
      </x:c>
      <x:c r="S213" s="19" t="n">
        <x:v>100</x:v>
      </x:c>
      <x:c r="T213" s="20" t="n">
        <x:f>K213*S213</x:f>
        <x:v>300</x:v>
      </x:c>
      <x:c r="U213" s="18" t="n">
        <x:f>'01 Controls'!E36</x:f>
        <x:v>0.05</x:v>
      </x:c>
      <x:c r="V213" s="20" t="n">
        <x:f>R213*U213</x:f>
        <x:v>421.875</x:v>
      </x:c>
      <x:c r="W213" s="18" t="n">
        <x:f>'01 Controls'!F36</x:f>
        <x:v>0</x:v>
      </x:c>
      <x:c r="X213" s="20" t="n">
        <x:f>R213*W213</x:f>
        <x:v>0</x:v>
      </x:c>
      <x:c r="Y213" s="18" t="n">
        <x:f>'01 Controls'!G36</x:f>
        <x:v>0.95</x:v>
      </x:c>
      <x:c r="Z213" s="20" t="n">
        <x:f>R213*Y213</x:f>
        <x:v>8015.625</x:v>
      </x:c>
      <x:c r="AA213" s="18" t="n">
        <x:f>'01 Controls'!H36</x:f>
        <x:v>0</x:v>
      </x:c>
      <x:c r="AB213" s="20" t="n">
        <x:f>R213*AA213</x:f>
        <x:v>0</x:v>
      </x:c>
      <x:c r="AC213" s="20" t="n">
        <x:f>IF(H213="CM-HCG",K213*'01 Controls'!$E$24,0)</x:f>
        <x:v>0</x:v>
      </x:c>
      <x:c r="AD213" s="20" t="n">
        <x:f>IF(H213="CM-HCG",K213*'01 Controls'!$E$25,0)</x:f>
        <x:v>0</x:v>
      </x:c>
      <x:c r="AE213" s="20" t="n">
        <x:f>IF(H213="CM-HCG",K213*'01 Controls'!$E$26,0)</x:f>
        <x:v>0</x:v>
      </x:c>
      <x:c r="AF213" s="20" t="n">
        <x:f>IF(H213="CM-HCG",K213*'01 Controls'!$E$27,0)</x:f>
        <x:v>0</x:v>
      </x:c>
    </x:row>
    <x:row r="214">
      <x:c r="C214" s="22" t="str">
        <x:v>M2-M-POG</x:v>
      </x:c>
      <x:c r="D214" s="22" t="n">
        <x:v>209</x:v>
      </x:c>
      <x:c r="E214" s="22" t="str">
        <x:v>M2</x:v>
      </x:c>
      <x:c r="F214" s="22" t="str">
        <x:v>Urban heat</x:v>
      </x:c>
      <x:c r="G214" s="22" t="n">
        <x:v>5</x:v>
      </x:c>
      <x:c r="H214" s="22" t="str">
        <x:v>M-POG</x:v>
      </x:c>
      <x:c r="I214" s="22" t="str">
        <x:v>Maritime Response</x:v>
      </x:c>
      <x:c r="J214" s="22" t="str">
        <x:v>Port-opening group</x:v>
      </x:c>
      <x:c r="K214" s="23" t="n">
        <x:v>0</x:v>
      </x:c>
      <x:c r="L214" s="23" t="n">
        <x:v>450</x:v>
      </x:c>
      <x:c r="M214" s="23" t="n">
        <x:v>0</x:v>
      </x:c>
      <x:c r="N214" s="20" t="n">
        <x:f>K214*L214</x:f>
        <x:v>0</x:v>
      </x:c>
      <x:c r="O214" s="19" t="n">
        <x:v>8000</x:v>
      </x:c>
      <x:c r="P214" s="17" t="n">
        <x:v>0.35</x:v>
      </x:c>
      <x:c r="Q214" s="20" t="n">
        <x:f>K214*O214*P214</x:f>
        <x:v>0</x:v>
      </x:c>
      <x:c r="R214" s="20" t="n">
        <x:f>Q214*(1-'01 Controls'!$E$6)</x:f>
        <x:v>0</x:v>
      </x:c>
      <x:c r="S214" s="19" t="n">
        <x:v>120</x:v>
      </x:c>
      <x:c r="T214" s="20" t="n">
        <x:f>K214*S214</x:f>
        <x:v>0</x:v>
      </x:c>
      <x:c r="U214" s="18" t="n">
        <x:f>'01 Controls'!E36</x:f>
        <x:v>0.05</x:v>
      </x:c>
      <x:c r="V214" s="20" t="n">
        <x:f>R214*U214</x:f>
        <x:v>0</x:v>
      </x:c>
      <x:c r="W214" s="18" t="n">
        <x:f>'01 Controls'!F36</x:f>
        <x:v>0</x:v>
      </x:c>
      <x:c r="X214" s="20" t="n">
        <x:f>R214*W214</x:f>
        <x:v>0</x:v>
      </x:c>
      <x:c r="Y214" s="18" t="n">
        <x:f>'01 Controls'!G36</x:f>
        <x:v>0.95</x:v>
      </x:c>
      <x:c r="Z214" s="20" t="n">
        <x:f>R214*Y214</x:f>
        <x:v>0</x:v>
      </x:c>
      <x:c r="AA214" s="18" t="n">
        <x:f>'01 Controls'!H36</x:f>
        <x:v>0</x:v>
      </x:c>
      <x:c r="AB214" s="20" t="n">
        <x:f>R214*AA214</x:f>
        <x:v>0</x:v>
      </x:c>
      <x:c r="AC214" s="20" t="n">
        <x:f>IF(H214="CM-HCG",K214*'01 Controls'!$E$24,0)</x:f>
        <x:v>0</x:v>
      </x:c>
      <x:c r="AD214" s="20" t="n">
        <x:f>IF(H214="CM-HCG",K214*'01 Controls'!$E$25,0)</x:f>
        <x:v>0</x:v>
      </x:c>
      <x:c r="AE214" s="20" t="n">
        <x:f>IF(H214="CM-HCG",K214*'01 Controls'!$E$26,0)</x:f>
        <x:v>0</x:v>
      </x:c>
      <x:c r="AF214" s="20" t="n">
        <x:f>IF(H214="CM-HCG",K214*'01 Controls'!$E$27,0)</x:f>
        <x:v>0</x:v>
      </x:c>
    </x:row>
    <x:row r="215">
      <x:c r="C215" s="22" t="str">
        <x:v>M2-M-LAG</x:v>
      </x:c>
      <x:c r="D215" s="22" t="n">
        <x:v>210</x:v>
      </x:c>
      <x:c r="E215" s="22" t="str">
        <x:v>M2</x:v>
      </x:c>
      <x:c r="F215" s="22" t="str">
        <x:v>Urban heat</x:v>
      </x:c>
      <x:c r="G215" s="22" t="n">
        <x:v>5</x:v>
      </x:c>
      <x:c r="H215" s="22" t="str">
        <x:v>M-LAG</x:v>
      </x:c>
      <x:c r="I215" s="22" t="str">
        <x:v>Maritime Response</x:v>
      </x:c>
      <x:c r="J215" s="22" t="str">
        <x:v>Littoral-access group</x:v>
      </x:c>
      <x:c r="K215" s="23" t="n">
        <x:v>0</x:v>
      </x:c>
      <x:c r="L215" s="23" t="n">
        <x:v>350</x:v>
      </x:c>
      <x:c r="M215" s="23" t="n">
        <x:v>0</x:v>
      </x:c>
      <x:c r="N215" s="20" t="n">
        <x:f>K215*L215</x:f>
        <x:v>0</x:v>
      </x:c>
      <x:c r="O215" s="19" t="n">
        <x:v>8000</x:v>
      </x:c>
      <x:c r="P215" s="17" t="n">
        <x:v>0.35</x:v>
      </x:c>
      <x:c r="Q215" s="20" t="n">
        <x:f>K215*O215*P215</x:f>
        <x:v>0</x:v>
      </x:c>
      <x:c r="R215" s="20" t="n">
        <x:f>Q215*(1-'01 Controls'!$E$6)</x:f>
        <x:v>0</x:v>
      </x:c>
      <x:c r="S215" s="19" t="n">
        <x:v>120</x:v>
      </x:c>
      <x:c r="T215" s="20" t="n">
        <x:f>K215*S215</x:f>
        <x:v>0</x:v>
      </x:c>
      <x:c r="U215" s="18" t="n">
        <x:f>'01 Controls'!E36</x:f>
        <x:v>0.05</x:v>
      </x:c>
      <x:c r="V215" s="20" t="n">
        <x:f>R215*U215</x:f>
        <x:v>0</x:v>
      </x:c>
      <x:c r="W215" s="18" t="n">
        <x:f>'01 Controls'!F36</x:f>
        <x:v>0</x:v>
      </x:c>
      <x:c r="X215" s="20" t="n">
        <x:f>R215*W215</x:f>
        <x:v>0</x:v>
      </x:c>
      <x:c r="Y215" s="18" t="n">
        <x:f>'01 Controls'!G36</x:f>
        <x:v>0.95</x:v>
      </x:c>
      <x:c r="Z215" s="20" t="n">
        <x:f>R215*Y215</x:f>
        <x:v>0</x:v>
      </x:c>
      <x:c r="AA215" s="18" t="n">
        <x:f>'01 Controls'!H36</x:f>
        <x:v>0</x:v>
      </x:c>
      <x:c r="AB215" s="20" t="n">
        <x:f>R215*AA215</x:f>
        <x:v>0</x:v>
      </x:c>
      <x:c r="AC215" s="20" t="n">
        <x:f>IF(H215="CM-HCG",K215*'01 Controls'!$E$24,0)</x:f>
        <x:v>0</x:v>
      </x:c>
      <x:c r="AD215" s="20" t="n">
        <x:f>IF(H215="CM-HCG",K215*'01 Controls'!$E$25,0)</x:f>
        <x:v>0</x:v>
      </x:c>
      <x:c r="AE215" s="20" t="n">
        <x:f>IF(H215="CM-HCG",K215*'01 Controls'!$E$26,0)</x:f>
        <x:v>0</x:v>
      </x:c>
      <x:c r="AF215" s="20" t="n">
        <x:f>IF(H215="CM-HCG",K215*'01 Controls'!$E$27,0)</x:f>
        <x:v>0</x:v>
      </x:c>
    </x:row>
    <x:row r="216">
      <x:c r="C216" s="22" t="str">
        <x:v>M2-M-IWG</x:v>
      </x:c>
      <x:c r="D216" s="22" t="n">
        <x:v>211</x:v>
      </x:c>
      <x:c r="E216" s="22" t="str">
        <x:v>M2</x:v>
      </x:c>
      <x:c r="F216" s="22" t="str">
        <x:v>Urban heat</x:v>
      </x:c>
      <x:c r="G216" s="22" t="n">
        <x:v>5</x:v>
      </x:c>
      <x:c r="H216" s="22" t="str">
        <x:v>M-IWG</x:v>
      </x:c>
      <x:c r="I216" s="22" t="str">
        <x:v>Maritime Response</x:v>
      </x:c>
      <x:c r="J216" s="22" t="str">
        <x:v>Inland-waterway group</x:v>
      </x:c>
      <x:c r="K216" s="23" t="n">
        <x:v>0</x:v>
      </x:c>
      <x:c r="L216" s="23" t="n">
        <x:v>250</x:v>
      </x:c>
      <x:c r="M216" s="23" t="n">
        <x:v>0</x:v>
      </x:c>
      <x:c r="N216" s="20" t="n">
        <x:f>K216*L216</x:f>
        <x:v>0</x:v>
      </x:c>
      <x:c r="O216" s="19" t="n">
        <x:v>8000</x:v>
      </x:c>
      <x:c r="P216" s="17" t="n">
        <x:v>0.35</x:v>
      </x:c>
      <x:c r="Q216" s="20" t="n">
        <x:f>K216*O216*P216</x:f>
        <x:v>0</x:v>
      </x:c>
      <x:c r="R216" s="20" t="n">
        <x:f>Q216*(1-'01 Controls'!$E$6)</x:f>
        <x:v>0</x:v>
      </x:c>
      <x:c r="S216" s="19" t="n">
        <x:v>120</x:v>
      </x:c>
      <x:c r="T216" s="20" t="n">
        <x:f>K216*S216</x:f>
        <x:v>0</x:v>
      </x:c>
      <x:c r="U216" s="18" t="n">
        <x:f>'01 Controls'!E36</x:f>
        <x:v>0.05</x:v>
      </x:c>
      <x:c r="V216" s="20" t="n">
        <x:f>R216*U216</x:f>
        <x:v>0</x:v>
      </x:c>
      <x:c r="W216" s="18" t="n">
        <x:f>'01 Controls'!F36</x:f>
        <x:v>0</x:v>
      </x:c>
      <x:c r="X216" s="20" t="n">
        <x:f>R216*W216</x:f>
        <x:v>0</x:v>
      </x:c>
      <x:c r="Y216" s="18" t="n">
        <x:f>'01 Controls'!G36</x:f>
        <x:v>0.95</x:v>
      </x:c>
      <x:c r="Z216" s="20" t="n">
        <x:f>R216*Y216</x:f>
        <x:v>0</x:v>
      </x:c>
      <x:c r="AA216" s="18" t="n">
        <x:f>'01 Controls'!H36</x:f>
        <x:v>0</x:v>
      </x:c>
      <x:c r="AB216" s="20" t="n">
        <x:f>R216*AA216</x:f>
        <x:v>0</x:v>
      </x:c>
      <x:c r="AC216" s="20" t="n">
        <x:f>IF(H216="CM-HCG",K216*'01 Controls'!$E$24,0)</x:f>
        <x:v>0</x:v>
      </x:c>
      <x:c r="AD216" s="20" t="n">
        <x:f>IF(H216="CM-HCG",K216*'01 Controls'!$E$25,0)</x:f>
        <x:v>0</x:v>
      </x:c>
      <x:c r="AE216" s="20" t="n">
        <x:f>IF(H216="CM-HCG",K216*'01 Controls'!$E$26,0)</x:f>
        <x:v>0</x:v>
      </x:c>
      <x:c r="AF216" s="20" t="n">
        <x:f>IF(H216="CM-HCG",K216*'01 Controls'!$E$27,0)</x:f>
        <x:v>0</x:v>
      </x:c>
    </x:row>
    <x:row r="217">
      <x:c r="C217" s="22" t="str">
        <x:v>M2-M-OSG</x:v>
      </x:c>
      <x:c r="D217" s="22" t="n">
        <x:v>212</x:v>
      </x:c>
      <x:c r="E217" s="22" t="str">
        <x:v>M2</x:v>
      </x:c>
      <x:c r="F217" s="22" t="str">
        <x:v>Urban heat</x:v>
      </x:c>
      <x:c r="G217" s="22" t="n">
        <x:v>5</x:v>
      </x:c>
      <x:c r="H217" s="22" t="str">
        <x:v>M-OSG</x:v>
      </x:c>
      <x:c r="I217" s="22" t="str">
        <x:v>Maritime Response</x:v>
      </x:c>
      <x:c r="J217" s="22" t="str">
        <x:v>Offshore-support group</x:v>
      </x:c>
      <x:c r="K217" s="23" t="n">
        <x:v>0</x:v>
      </x:c>
      <x:c r="L217" s="23" t="n">
        <x:v>700</x:v>
      </x:c>
      <x:c r="M217" s="23" t="n">
        <x:v>0</x:v>
      </x:c>
      <x:c r="N217" s="20" t="n">
        <x:f>K217*L217</x:f>
        <x:v>0</x:v>
      </x:c>
      <x:c r="O217" s="19" t="n">
        <x:v>8000</x:v>
      </x:c>
      <x:c r="P217" s="17" t="n">
        <x:v>0.35</x:v>
      </x:c>
      <x:c r="Q217" s="20" t="n">
        <x:f>K217*O217*P217</x:f>
        <x:v>0</x:v>
      </x:c>
      <x:c r="R217" s="20" t="n">
        <x:f>Q217*(1-'01 Controls'!$E$6)</x:f>
        <x:v>0</x:v>
      </x:c>
      <x:c r="S217" s="19" t="n">
        <x:v>120</x:v>
      </x:c>
      <x:c r="T217" s="20" t="n">
        <x:f>K217*S217</x:f>
        <x:v>0</x:v>
      </x:c>
      <x:c r="U217" s="18" t="n">
        <x:f>'01 Controls'!E36</x:f>
        <x:v>0.05</x:v>
      </x:c>
      <x:c r="V217" s="20" t="n">
        <x:f>R217*U217</x:f>
        <x:v>0</x:v>
      </x:c>
      <x:c r="W217" s="18" t="n">
        <x:f>'01 Controls'!F36</x:f>
        <x:v>0</x:v>
      </x:c>
      <x:c r="X217" s="20" t="n">
        <x:f>R217*W217</x:f>
        <x:v>0</x:v>
      </x:c>
      <x:c r="Y217" s="18" t="n">
        <x:f>'01 Controls'!G36</x:f>
        <x:v>0.95</x:v>
      </x:c>
      <x:c r="Z217" s="20" t="n">
        <x:f>R217*Y217</x:f>
        <x:v>0</x:v>
      </x:c>
      <x:c r="AA217" s="18" t="n">
        <x:f>'01 Controls'!H36</x:f>
        <x:v>0</x:v>
      </x:c>
      <x:c r="AB217" s="20" t="n">
        <x:f>R217*AA217</x:f>
        <x:v>0</x:v>
      </x:c>
      <x:c r="AC217" s="20" t="n">
        <x:f>IF(H217="CM-HCG",K217*'01 Controls'!$E$24,0)</x:f>
        <x:v>0</x:v>
      </x:c>
      <x:c r="AD217" s="20" t="n">
        <x:f>IF(H217="CM-HCG",K217*'01 Controls'!$E$25,0)</x:f>
        <x:v>0</x:v>
      </x:c>
      <x:c r="AE217" s="20" t="n">
        <x:f>IF(H217="CM-HCG",K217*'01 Controls'!$E$26,0)</x:f>
        <x:v>0</x:v>
      </x:c>
      <x:c r="AF217" s="20" t="n">
        <x:f>IF(H217="CM-HCG",K217*'01 Controls'!$E$27,0)</x:f>
        <x:v>0</x:v>
      </x:c>
    </x:row>
    <x:row r="218">
      <x:c r="C218" s="22" t="str">
        <x:v>M2-M-SSG</x:v>
      </x:c>
      <x:c r="D218" s="22" t="n">
        <x:v>213</x:v>
      </x:c>
      <x:c r="E218" s="22" t="str">
        <x:v>M2</x:v>
      </x:c>
      <x:c r="F218" s="22" t="str">
        <x:v>Urban heat</x:v>
      </x:c>
      <x:c r="G218" s="22" t="n">
        <x:v>5</x:v>
      </x:c>
      <x:c r="H218" s="22" t="str">
        <x:v>M-SSG</x:v>
      </x:c>
      <x:c r="I218" s="22" t="str">
        <x:v>Maritime Response</x:v>
      </x:c>
      <x:c r="J218" s="22" t="str">
        <x:v>Ocean sustainment group</x:v>
      </x:c>
      <x:c r="K218" s="23" t="n">
        <x:v>1</x:v>
      </x:c>
      <x:c r="L218" s="23" t="n">
        <x:v>650</x:v>
      </x:c>
      <x:c r="M218" s="23" t="n">
        <x:v>0</x:v>
      </x:c>
      <x:c r="N218" s="20" t="n">
        <x:f>K218*L218</x:f>
        <x:v>650</x:v>
      </x:c>
      <x:c r="O218" s="19" t="n">
        <x:v>8000</x:v>
      </x:c>
      <x:c r="P218" s="17" t="n">
        <x:v>0.35</x:v>
      </x:c>
      <x:c r="Q218" s="20" t="n">
        <x:f>K218*O218*P218</x:f>
        <x:v>2800</x:v>
      </x:c>
      <x:c r="R218" s="20" t="n">
        <x:f>Q218*(1-'01 Controls'!$E$6)</x:f>
        <x:v>2100</x:v>
      </x:c>
      <x:c r="S218" s="19" t="n">
        <x:v>120</x:v>
      </x:c>
      <x:c r="T218" s="20" t="n">
        <x:f>K218*S218</x:f>
        <x:v>120</x:v>
      </x:c>
      <x:c r="U218" s="18" t="n">
        <x:f>'01 Controls'!E36</x:f>
        <x:v>0.05</x:v>
      </x:c>
      <x:c r="V218" s="20" t="n">
        <x:f>R218*U218</x:f>
        <x:v>105</x:v>
      </x:c>
      <x:c r="W218" s="18" t="n">
        <x:f>'01 Controls'!F36</x:f>
        <x:v>0</x:v>
      </x:c>
      <x:c r="X218" s="20" t="n">
        <x:f>R218*W218</x:f>
        <x:v>0</x:v>
      </x:c>
      <x:c r="Y218" s="18" t="n">
        <x:f>'01 Controls'!G36</x:f>
        <x:v>0.95</x:v>
      </x:c>
      <x:c r="Z218" s="20" t="n">
        <x:f>R218*Y218</x:f>
        <x:v>1995</x:v>
      </x:c>
      <x:c r="AA218" s="18" t="n">
        <x:f>'01 Controls'!H36</x:f>
        <x:v>0</x:v>
      </x:c>
      <x:c r="AB218" s="20" t="n">
        <x:f>R218*AA218</x:f>
        <x:v>0</x:v>
      </x:c>
      <x:c r="AC218" s="20" t="n">
        <x:f>IF(H218="CM-HCG",K218*'01 Controls'!$E$24,0)</x:f>
        <x:v>0</x:v>
      </x:c>
      <x:c r="AD218" s="20" t="n">
        <x:f>IF(H218="CM-HCG",K218*'01 Controls'!$E$25,0)</x:f>
        <x:v>0</x:v>
      </x:c>
      <x:c r="AE218" s="20" t="n">
        <x:f>IF(H218="CM-HCG",K218*'01 Controls'!$E$26,0)</x:f>
        <x:v>0</x:v>
      </x:c>
      <x:c r="AF218" s="20" t="n">
        <x:f>IF(H218="CM-HCG",K218*'01 Controls'!$E$27,0)</x:f>
        <x:v>0</x:v>
      </x:c>
    </x:row>
    <x:row r="219">
      <x:c r="C219" s="22" t="str">
        <x:v>M2-I-CUG</x:v>
      </x:c>
      <x:c r="D219" s="22" t="n">
        <x:v>214</x:v>
      </x:c>
      <x:c r="E219" s="22" t="str">
        <x:v>M2</x:v>
      </x:c>
      <x:c r="F219" s="22" t="str">
        <x:v>Urban heat</x:v>
      </x:c>
      <x:c r="G219" s="22" t="n">
        <x:v>5</x:v>
      </x:c>
      <x:c r="H219" s="22" t="str">
        <x:v>I-CUG</x:v>
      </x:c>
      <x:c r="I219" s="22" t="str">
        <x:v>Infrastructure Restoration</x:v>
      </x:c>
      <x:c r="J219" s="22" t="str">
        <x:v>Communications utility group</x:v>
      </x:c>
      <x:c r="K219" s="23" t="n">
        <x:v>4</x:v>
      </x:c>
      <x:c r="L219" s="23" t="n">
        <x:v>250</x:v>
      </x:c>
      <x:c r="M219" s="23" t="n">
        <x:v>0</x:v>
      </x:c>
      <x:c r="N219" s="20" t="n">
        <x:f>K219*L219</x:f>
        <x:v>1000</x:v>
      </x:c>
      <x:c r="O219" s="19" t="n">
        <x:v>12000</x:v>
      </x:c>
      <x:c r="P219" s="17" t="n">
        <x:v>0.4</x:v>
      </x:c>
      <x:c r="Q219" s="20" t="n">
        <x:f>K219*O219*P219</x:f>
        <x:v>19200</x:v>
      </x:c>
      <x:c r="R219" s="20" t="n">
        <x:f>Q219*(1-'01 Controls'!$E$6)</x:f>
        <x:v>14400</x:v>
      </x:c>
      <x:c r="S219" s="19" t="n">
        <x:v>110</x:v>
      </x:c>
      <x:c r="T219" s="20" t="n">
        <x:f>K219*S219</x:f>
        <x:v>440</x:v>
      </x:c>
      <x:c r="U219" s="18" t="n">
        <x:f>'01 Controls'!E36</x:f>
        <x:v>0.05</x:v>
      </x:c>
      <x:c r="V219" s="20" t="n">
        <x:f>R219*U219</x:f>
        <x:v>720</x:v>
      </x:c>
      <x:c r="W219" s="18" t="n">
        <x:f>'01 Controls'!F36</x:f>
        <x:v>0</x:v>
      </x:c>
      <x:c r="X219" s="20" t="n">
        <x:f>R219*W219</x:f>
        <x:v>0</x:v>
      </x:c>
      <x:c r="Y219" s="18" t="n">
        <x:f>'01 Controls'!G36</x:f>
        <x:v>0.95</x:v>
      </x:c>
      <x:c r="Z219" s="20" t="n">
        <x:f>R219*Y219</x:f>
        <x:v>13680</x:v>
      </x:c>
      <x:c r="AA219" s="18" t="n">
        <x:f>'01 Controls'!H36</x:f>
        <x:v>0</x:v>
      </x:c>
      <x:c r="AB219" s="20" t="n">
        <x:f>R219*AA219</x:f>
        <x:v>0</x:v>
      </x:c>
      <x:c r="AC219" s="20" t="n">
        <x:f>IF(H219="CM-HCG",K219*'01 Controls'!$E$24,0)</x:f>
        <x:v>0</x:v>
      </x:c>
      <x:c r="AD219" s="20" t="n">
        <x:f>IF(H219="CM-HCG",K219*'01 Controls'!$E$25,0)</x:f>
        <x:v>0</x:v>
      </x:c>
      <x:c r="AE219" s="20" t="n">
        <x:f>IF(H219="CM-HCG",K219*'01 Controls'!$E$26,0)</x:f>
        <x:v>0</x:v>
      </x:c>
      <x:c r="AF219" s="20" t="n">
        <x:f>IF(H219="CM-HCG",K219*'01 Controls'!$E$27,0)</x:f>
        <x:v>0</x:v>
      </x:c>
    </x:row>
    <x:row r="220">
      <x:c r="C220" s="22" t="str">
        <x:v>M2-I-TSG</x:v>
      </x:c>
      <x:c r="D220" s="22" t="n">
        <x:v>215</x:v>
      </x:c>
      <x:c r="E220" s="22" t="str">
        <x:v>M2</x:v>
      </x:c>
      <x:c r="F220" s="22" t="str">
        <x:v>Urban heat</x:v>
      </x:c>
      <x:c r="G220" s="22" t="n">
        <x:v>5</x:v>
      </x:c>
      <x:c r="H220" s="22" t="str">
        <x:v>I-TSG</x:v>
      </x:c>
      <x:c r="I220" s="22" t="str">
        <x:v>Infrastructure Restoration</x:v>
      </x:c>
      <x:c r="J220" s="22" t="str">
        <x:v>Thermal safety group</x:v>
      </x:c>
      <x:c r="K220" s="23" t="n">
        <x:v>10</x:v>
      </x:c>
      <x:c r="L220" s="23" t="n">
        <x:v>250</x:v>
      </x:c>
      <x:c r="M220" s="23" t="n">
        <x:v>0</x:v>
      </x:c>
      <x:c r="N220" s="20" t="n">
        <x:f>K220*L220</x:f>
        <x:v>2500</x:v>
      </x:c>
      <x:c r="O220" s="19" t="n">
        <x:v>12000</x:v>
      </x:c>
      <x:c r="P220" s="17" t="n">
        <x:v>0.4</x:v>
      </x:c>
      <x:c r="Q220" s="20" t="n">
        <x:f>K220*O220*P220</x:f>
        <x:v>48000</x:v>
      </x:c>
      <x:c r="R220" s="20" t="n">
        <x:f>Q220*(1-'01 Controls'!$E$6)</x:f>
        <x:v>36000</x:v>
      </x:c>
      <x:c r="S220" s="19" t="n">
        <x:v>110</x:v>
      </x:c>
      <x:c r="T220" s="20" t="n">
        <x:f>K220*S220</x:f>
        <x:v>1100</x:v>
      </x:c>
      <x:c r="U220" s="18" t="n">
        <x:f>'01 Controls'!E36</x:f>
        <x:v>0.05</x:v>
      </x:c>
      <x:c r="V220" s="20" t="n">
        <x:f>R220*U220</x:f>
        <x:v>1800</x:v>
      </x:c>
      <x:c r="W220" s="18" t="n">
        <x:f>'01 Controls'!F36</x:f>
        <x:v>0</x:v>
      </x:c>
      <x:c r="X220" s="20" t="n">
        <x:f>R220*W220</x:f>
        <x:v>0</x:v>
      </x:c>
      <x:c r="Y220" s="18" t="n">
        <x:f>'01 Controls'!G36</x:f>
        <x:v>0.95</x:v>
      </x:c>
      <x:c r="Z220" s="20" t="n">
        <x:f>R220*Y220</x:f>
        <x:v>34200</x:v>
      </x:c>
      <x:c r="AA220" s="18" t="n">
        <x:f>'01 Controls'!H36</x:f>
        <x:v>0</x:v>
      </x:c>
      <x:c r="AB220" s="20" t="n">
        <x:f>R220*AA220</x:f>
        <x:v>0</x:v>
      </x:c>
      <x:c r="AC220" s="20" t="n">
        <x:f>IF(H220="CM-HCG",K220*'01 Controls'!$E$24,0)</x:f>
        <x:v>0</x:v>
      </x:c>
      <x:c r="AD220" s="20" t="n">
        <x:f>IF(H220="CM-HCG",K220*'01 Controls'!$E$25,0)</x:f>
        <x:v>0</x:v>
      </x:c>
      <x:c r="AE220" s="20" t="n">
        <x:f>IF(H220="CM-HCG",K220*'01 Controls'!$E$26,0)</x:f>
        <x:v>0</x:v>
      </x:c>
      <x:c r="AF220" s="20" t="n">
        <x:f>IF(H220="CM-HCG",K220*'01 Controls'!$E$27,0)</x:f>
        <x:v>0</x:v>
      </x:c>
    </x:row>
    <x:row r="221">
      <x:c r="C221" s="22" t="str">
        <x:v>M2-I-URG</x:v>
      </x:c>
      <x:c r="D221" s="22" t="n">
        <x:v>216</x:v>
      </x:c>
      <x:c r="E221" s="22" t="str">
        <x:v>M2</x:v>
      </x:c>
      <x:c r="F221" s="22" t="str">
        <x:v>Urban heat</x:v>
      </x:c>
      <x:c r="G221" s="22" t="n">
        <x:v>5</x:v>
      </x:c>
      <x:c r="H221" s="22" t="str">
        <x:v>I-URG</x:v>
      </x:c>
      <x:c r="I221" s="22" t="str">
        <x:v>Infrastructure Restoration</x:v>
      </x:c>
      <x:c r="J221" s="22" t="str">
        <x:v>Utility reconstruction group</x:v>
      </x:c>
      <x:c r="K221" s="23" t="n">
        <x:v>4</x:v>
      </x:c>
      <x:c r="L221" s="23" t="n">
        <x:v>450</x:v>
      </x:c>
      <x:c r="M221" s="23" t="n">
        <x:v>0</x:v>
      </x:c>
      <x:c r="N221" s="20" t="n">
        <x:f>K221*L221</x:f>
        <x:v>1800</x:v>
      </x:c>
      <x:c r="O221" s="19" t="n">
        <x:v>12000</x:v>
      </x:c>
      <x:c r="P221" s="17" t="n">
        <x:v>0.4</x:v>
      </x:c>
      <x:c r="Q221" s="20" t="n">
        <x:f>K221*O221*P221</x:f>
        <x:v>19200</x:v>
      </x:c>
      <x:c r="R221" s="20" t="n">
        <x:f>Q221*(1-'01 Controls'!$E$6)</x:f>
        <x:v>14400</x:v>
      </x:c>
      <x:c r="S221" s="19" t="n">
        <x:v>110</x:v>
      </x:c>
      <x:c r="T221" s="20" t="n">
        <x:f>K221*S221</x:f>
        <x:v>440</x:v>
      </x:c>
      <x:c r="U221" s="18" t="n">
        <x:f>'01 Controls'!E36</x:f>
        <x:v>0.05</x:v>
      </x:c>
      <x:c r="V221" s="20" t="n">
        <x:f>R221*U221</x:f>
        <x:v>720</x:v>
      </x:c>
      <x:c r="W221" s="18" t="n">
        <x:f>'01 Controls'!F36</x:f>
        <x:v>0</x:v>
      </x:c>
      <x:c r="X221" s="20" t="n">
        <x:f>R221*W221</x:f>
        <x:v>0</x:v>
      </x:c>
      <x:c r="Y221" s="18" t="n">
        <x:f>'01 Controls'!G36</x:f>
        <x:v>0.95</x:v>
      </x:c>
      <x:c r="Z221" s="20" t="n">
        <x:f>R221*Y221</x:f>
        <x:v>13680</x:v>
      </x:c>
      <x:c r="AA221" s="18" t="n">
        <x:f>'01 Controls'!H36</x:f>
        <x:v>0</x:v>
      </x:c>
      <x:c r="AB221" s="20" t="n">
        <x:f>R221*AA221</x:f>
        <x:v>0</x:v>
      </x:c>
      <x:c r="AC221" s="20" t="n">
        <x:f>IF(H221="CM-HCG",K221*'01 Controls'!$E$24,0)</x:f>
        <x:v>0</x:v>
      </x:c>
      <x:c r="AD221" s="20" t="n">
        <x:f>IF(H221="CM-HCG",K221*'01 Controls'!$E$25,0)</x:f>
        <x:v>0</x:v>
      </x:c>
      <x:c r="AE221" s="20" t="n">
        <x:f>IF(H221="CM-HCG",K221*'01 Controls'!$E$26,0)</x:f>
        <x:v>0</x:v>
      </x:c>
      <x:c r="AF221" s="20" t="n">
        <x:f>IF(H221="CM-HCG",K221*'01 Controls'!$E$27,0)</x:f>
        <x:v>0</x:v>
      </x:c>
    </x:row>
    <x:row r="222">
      <x:c r="C222" s="22" t="str">
        <x:v>M2-H-CHC</x:v>
      </x:c>
      <x:c r="D222" s="22" t="n">
        <x:v>217</x:v>
      </x:c>
      <x:c r="E222" s="22" t="str">
        <x:v>M2</x:v>
      </x:c>
      <x:c r="F222" s="22" t="str">
        <x:v>Urban heat</x:v>
      </x:c>
      <x:c r="G222" s="22" t="n">
        <x:v>5</x:v>
      </x:c>
      <x:c r="H222" s="22" t="str">
        <x:v>H-CHC</x:v>
      </x:c>
      <x:c r="I222" s="22" t="str">
        <x:v>Health Protection</x:v>
      </x:c>
      <x:c r="J222" s="22" t="str">
        <x:v>Community health continuity group</x:v>
      </x:c>
      <x:c r="K222" s="23" t="n">
        <x:v>8</x:v>
      </x:c>
      <x:c r="L222" s="23" t="n">
        <x:v>500</x:v>
      </x:c>
      <x:c r="M222" s="23" t="n">
        <x:v>0</x:v>
      </x:c>
      <x:c r="N222" s="20" t="n">
        <x:f>K222*L222</x:f>
        <x:v>4000</x:v>
      </x:c>
      <x:c r="O222" s="19" t="n">
        <x:v>5000</x:v>
      </x:c>
      <x:c r="P222" s="17" t="n">
        <x:v>0.7</x:v>
      </x:c>
      <x:c r="Q222" s="20" t="n">
        <x:f>K222*O222*P222</x:f>
        <x:v>28000</x:v>
      </x:c>
      <x:c r="R222" s="20" t="n">
        <x:f>Q222*(1-'01 Controls'!$E$6)</x:f>
        <x:v>21000</x:v>
      </x:c>
      <x:c r="S222" s="19" t="n">
        <x:v>55</x:v>
      </x:c>
      <x:c r="T222" s="20" t="n">
        <x:f>K222*S222</x:f>
        <x:v>440</x:v>
      </x:c>
      <x:c r="U222" s="18" t="n">
        <x:f>'01 Controls'!E36</x:f>
        <x:v>0.05</x:v>
      </x:c>
      <x:c r="V222" s="20" t="n">
        <x:f>R222*U222</x:f>
        <x:v>1050</x:v>
      </x:c>
      <x:c r="W222" s="18" t="n">
        <x:f>'01 Controls'!F36</x:f>
        <x:v>0</x:v>
      </x:c>
      <x:c r="X222" s="20" t="n">
        <x:f>R222*W222</x:f>
        <x:v>0</x:v>
      </x:c>
      <x:c r="Y222" s="18" t="n">
        <x:f>'01 Controls'!G36</x:f>
        <x:v>0.95</x:v>
      </x:c>
      <x:c r="Z222" s="20" t="n">
        <x:f>R222*Y222</x:f>
        <x:v>19950</x:v>
      </x:c>
      <x:c r="AA222" s="18" t="n">
        <x:f>'01 Controls'!H36</x:f>
        <x:v>0</x:v>
      </x:c>
      <x:c r="AB222" s="20" t="n">
        <x:f>R222*AA222</x:f>
        <x:v>0</x:v>
      </x:c>
      <x:c r="AC222" s="20" t="n">
        <x:f>IF(H222="CM-HCG",K222*'01 Controls'!$E$24,0)</x:f>
        <x:v>0</x:v>
      </x:c>
      <x:c r="AD222" s="20" t="n">
        <x:f>IF(H222="CM-HCG",K222*'01 Controls'!$E$25,0)</x:f>
        <x:v>0</x:v>
      </x:c>
      <x:c r="AE222" s="20" t="n">
        <x:f>IF(H222="CM-HCG",K222*'01 Controls'!$E$26,0)</x:f>
        <x:v>0</x:v>
      </x:c>
      <x:c r="AF222" s="20" t="n">
        <x:f>IF(H222="CM-HCG",K222*'01 Controls'!$E$27,0)</x:f>
        <x:v>0</x:v>
      </x:c>
    </x:row>
    <x:row r="223">
      <x:c r="C223" s="22" t="str">
        <x:v>M2-H-MAC</x:v>
      </x:c>
      <x:c r="D223" s="22" t="n">
        <x:v>218</x:v>
      </x:c>
      <x:c r="E223" s="22" t="str">
        <x:v>M2</x:v>
      </x:c>
      <x:c r="F223" s="22" t="str">
        <x:v>Urban heat</x:v>
      </x:c>
      <x:c r="G223" s="22" t="n">
        <x:v>5</x:v>
      </x:c>
      <x:c r="H223" s="22" t="str">
        <x:v>H-MAC</x:v>
      </x:c>
      <x:c r="I223" s="22" t="str">
        <x:v>Health Protection</x:v>
      </x:c>
      <x:c r="J223" s="22" t="str">
        <x:v>Mobile acute-care group</x:v>
      </x:c>
      <x:c r="K223" s="23" t="n">
        <x:v>4</x:v>
      </x:c>
      <x:c r="L223" s="23" t="n">
        <x:v>600</x:v>
      </x:c>
      <x:c r="M223" s="23" t="n">
        <x:v>0</x:v>
      </x:c>
      <x:c r="N223" s="20" t="n">
        <x:f>K223*L223</x:f>
        <x:v>2400</x:v>
      </x:c>
      <x:c r="O223" s="19" t="n">
        <x:v>5000</x:v>
      </x:c>
      <x:c r="P223" s="17" t="n">
        <x:v>0.7</x:v>
      </x:c>
      <x:c r="Q223" s="20" t="n">
        <x:f>K223*O223*P223</x:f>
        <x:v>14000</x:v>
      </x:c>
      <x:c r="R223" s="20" t="n">
        <x:f>Q223*(1-'01 Controls'!$E$6)</x:f>
        <x:v>10500</x:v>
      </x:c>
      <x:c r="S223" s="19" t="n">
        <x:v>55</x:v>
      </x:c>
      <x:c r="T223" s="20" t="n">
        <x:f>K223*S223</x:f>
        <x:v>220</x:v>
      </x:c>
      <x:c r="U223" s="18" t="n">
        <x:f>'01 Controls'!E36</x:f>
        <x:v>0.05</x:v>
      </x:c>
      <x:c r="V223" s="20" t="n">
        <x:f>R223*U223</x:f>
        <x:v>525</x:v>
      </x:c>
      <x:c r="W223" s="18" t="n">
        <x:f>'01 Controls'!F36</x:f>
        <x:v>0</x:v>
      </x:c>
      <x:c r="X223" s="20" t="n">
        <x:f>R223*W223</x:f>
        <x:v>0</x:v>
      </x:c>
      <x:c r="Y223" s="18" t="n">
        <x:f>'01 Controls'!G36</x:f>
        <x:v>0.95</x:v>
      </x:c>
      <x:c r="Z223" s="20" t="n">
        <x:f>R223*Y223</x:f>
        <x:v>9975</x:v>
      </x:c>
      <x:c r="AA223" s="18" t="n">
        <x:f>'01 Controls'!H36</x:f>
        <x:v>0</x:v>
      </x:c>
      <x:c r="AB223" s="20" t="n">
        <x:f>R223*AA223</x:f>
        <x:v>0</x:v>
      </x:c>
      <x:c r="AC223" s="20" t="n">
        <x:f>IF(H223="CM-HCG",K223*'01 Controls'!$E$24,0)</x:f>
        <x:v>0</x:v>
      </x:c>
      <x:c r="AD223" s="20" t="n">
        <x:f>IF(H223="CM-HCG",K223*'01 Controls'!$E$25,0)</x:f>
        <x:v>0</x:v>
      </x:c>
      <x:c r="AE223" s="20" t="n">
        <x:f>IF(H223="CM-HCG",K223*'01 Controls'!$E$26,0)</x:f>
        <x:v>0</x:v>
      </x:c>
      <x:c r="AF223" s="20" t="n">
        <x:f>IF(H223="CM-HCG",K223*'01 Controls'!$E$27,0)</x:f>
        <x:v>0</x:v>
      </x:c>
    </x:row>
    <x:row r="224">
      <x:c r="C224" s="22" t="str">
        <x:v>M2-H-PHC</x:v>
      </x:c>
      <x:c r="D224" s="22" t="n">
        <x:v>219</x:v>
      </x:c>
      <x:c r="E224" s="22" t="str">
        <x:v>M2</x:v>
      </x:c>
      <x:c r="F224" s="22" t="str">
        <x:v>Urban heat</x:v>
      </x:c>
      <x:c r="G224" s="22" t="n">
        <x:v>5</x:v>
      </x:c>
      <x:c r="H224" s="22" t="str">
        <x:v>H-PHC</x:v>
      </x:c>
      <x:c r="I224" s="22" t="str">
        <x:v>Health Protection</x:v>
      </x:c>
      <x:c r="J224" s="22" t="str">
        <x:v>Public-health control group</x:v>
      </x:c>
      <x:c r="K224" s="23" t="n">
        <x:v>4</x:v>
      </x:c>
      <x:c r="L224" s="23" t="n">
        <x:v>250</x:v>
      </x:c>
      <x:c r="M224" s="23" t="n">
        <x:v>0</x:v>
      </x:c>
      <x:c r="N224" s="20" t="n">
        <x:f>K224*L224</x:f>
        <x:v>1000</x:v>
      </x:c>
      <x:c r="O224" s="19" t="n">
        <x:v>5000</x:v>
      </x:c>
      <x:c r="P224" s="17" t="n">
        <x:v>0.7</x:v>
      </x:c>
      <x:c r="Q224" s="20" t="n">
        <x:f>K224*O224*P224</x:f>
        <x:v>14000</x:v>
      </x:c>
      <x:c r="R224" s="20" t="n">
        <x:f>Q224*(1-'01 Controls'!$E$6)</x:f>
        <x:v>10500</x:v>
      </x:c>
      <x:c r="S224" s="19" t="n">
        <x:v>55</x:v>
      </x:c>
      <x:c r="T224" s="20" t="n">
        <x:f>K224*S224</x:f>
        <x:v>220</x:v>
      </x:c>
      <x:c r="U224" s="18" t="n">
        <x:f>'01 Controls'!E36</x:f>
        <x:v>0.05</x:v>
      </x:c>
      <x:c r="V224" s="20" t="n">
        <x:f>R224*U224</x:f>
        <x:v>525</x:v>
      </x:c>
      <x:c r="W224" s="18" t="n">
        <x:f>'01 Controls'!F36</x:f>
        <x:v>0</x:v>
      </x:c>
      <x:c r="X224" s="20" t="n">
        <x:f>R224*W224</x:f>
        <x:v>0</x:v>
      </x:c>
      <x:c r="Y224" s="18" t="n">
        <x:f>'01 Controls'!G36</x:f>
        <x:v>0.95</x:v>
      </x:c>
      <x:c r="Z224" s="20" t="n">
        <x:f>R224*Y224</x:f>
        <x:v>9975</x:v>
      </x:c>
      <x:c r="AA224" s="18" t="n">
        <x:f>'01 Controls'!H36</x:f>
        <x:v>0</x:v>
      </x:c>
      <x:c r="AB224" s="20" t="n">
        <x:f>R224*AA224</x:f>
        <x:v>0</x:v>
      </x:c>
      <x:c r="AC224" s="20" t="n">
        <x:f>IF(H224="CM-HCG",K224*'01 Controls'!$E$24,0)</x:f>
        <x:v>0</x:v>
      </x:c>
      <x:c r="AD224" s="20" t="n">
        <x:f>IF(H224="CM-HCG",K224*'01 Controls'!$E$25,0)</x:f>
        <x:v>0</x:v>
      </x:c>
      <x:c r="AE224" s="20" t="n">
        <x:f>IF(H224="CM-HCG",K224*'01 Controls'!$E$26,0)</x:f>
        <x:v>0</x:v>
      </x:c>
      <x:c r="AF224" s="20" t="n">
        <x:f>IF(H224="CM-HCG",K224*'01 Controls'!$E$27,0)</x:f>
        <x:v>0</x:v>
      </x:c>
    </x:row>
    <x:row r="225">
      <x:c r="C225" s="22" t="str">
        <x:v>M2-H-HWR</x:v>
      </x:c>
      <x:c r="D225" s="22" t="n">
        <x:v>220</x:v>
      </x:c>
      <x:c r="E225" s="22" t="str">
        <x:v>M2</x:v>
      </x:c>
      <x:c r="F225" s="22" t="str">
        <x:v>Urban heat</x:v>
      </x:c>
      <x:c r="G225" s="22" t="n">
        <x:v>5</x:v>
      </x:c>
      <x:c r="H225" s="22" t="str">
        <x:v>H-HWR</x:v>
      </x:c>
      <x:c r="I225" s="22" t="str">
        <x:v>Health Protection</x:v>
      </x:c>
      <x:c r="J225" s="22" t="str">
        <x:v>Health workforce replacement group</x:v>
      </x:c>
      <x:c r="K225" s="23" t="n">
        <x:v>8</x:v>
      </x:c>
      <x:c r="L225" s="23" t="n">
        <x:v>550</x:v>
      </x:c>
      <x:c r="M225" s="23" t="n">
        <x:v>0</x:v>
      </x:c>
      <x:c r="N225" s="20" t="n">
        <x:f>K225*L225</x:f>
        <x:v>4400</x:v>
      </x:c>
      <x:c r="O225" s="19" t="n">
        <x:v>5000</x:v>
      </x:c>
      <x:c r="P225" s="17" t="n">
        <x:v>0.7</x:v>
      </x:c>
      <x:c r="Q225" s="20" t="n">
        <x:f>K225*O225*P225</x:f>
        <x:v>28000</x:v>
      </x:c>
      <x:c r="R225" s="20" t="n">
        <x:f>Q225*(1-'01 Controls'!$E$6)</x:f>
        <x:v>21000</x:v>
      </x:c>
      <x:c r="S225" s="19" t="n">
        <x:v>55</x:v>
      </x:c>
      <x:c r="T225" s="20" t="n">
        <x:f>K225*S225</x:f>
        <x:v>440</x:v>
      </x:c>
      <x:c r="U225" s="18" t="n">
        <x:f>'01 Controls'!E36</x:f>
        <x:v>0.05</x:v>
      </x:c>
      <x:c r="V225" s="20" t="n">
        <x:f>R225*U225</x:f>
        <x:v>1050</x:v>
      </x:c>
      <x:c r="W225" s="18" t="n">
        <x:f>'01 Controls'!F36</x:f>
        <x:v>0</x:v>
      </x:c>
      <x:c r="X225" s="20" t="n">
        <x:f>R225*W225</x:f>
        <x:v>0</x:v>
      </x:c>
      <x:c r="Y225" s="18" t="n">
        <x:f>'01 Controls'!G36</x:f>
        <x:v>0.95</x:v>
      </x:c>
      <x:c r="Z225" s="20" t="n">
        <x:f>R225*Y225</x:f>
        <x:v>19950</x:v>
      </x:c>
      <x:c r="AA225" s="18" t="n">
        <x:f>'01 Controls'!H36</x:f>
        <x:v>0</x:v>
      </x:c>
      <x:c r="AB225" s="20" t="n">
        <x:f>R225*AA225</x:f>
        <x:v>0</x:v>
      </x:c>
      <x:c r="AC225" s="20" t="n">
        <x:f>IF(H225="CM-HCG",K225*'01 Controls'!$E$24,0)</x:f>
        <x:v>0</x:v>
      </x:c>
      <x:c r="AD225" s="20" t="n">
        <x:f>IF(H225="CM-HCG",K225*'01 Controls'!$E$25,0)</x:f>
        <x:v>0</x:v>
      </x:c>
      <x:c r="AE225" s="20" t="n">
        <x:f>IF(H225="CM-HCG",K225*'01 Controls'!$E$26,0)</x:f>
        <x:v>0</x:v>
      </x:c>
      <x:c r="AF225" s="20" t="n">
        <x:f>IF(H225="CM-HCG",K225*'01 Controls'!$E$27,0)</x:f>
        <x:v>0</x:v>
      </x:c>
    </x:row>
    <x:row r="226">
      <x:c r="C226" s="22" t="str">
        <x:v>M2-C-PSG</x:v>
      </x:c>
      <x:c r="D226" s="22" t="n">
        <x:v>221</x:v>
      </x:c>
      <x:c r="E226" s="22" t="str">
        <x:v>M2</x:v>
      </x:c>
      <x:c r="F226" s="22" t="str">
        <x:v>Urban heat</x:v>
      </x:c>
      <x:c r="G226" s="22" t="n">
        <x:v>5</x:v>
      </x:c>
      <x:c r="H226" s="22" t="str">
        <x:v>C-PSG</x:v>
      </x:c>
      <x:c r="I226" s="22" t="str">
        <x:v>Community Stabilization</x:v>
      </x:c>
      <x:c r="J226" s="22" t="str">
        <x:v>Population support group</x:v>
      </x:c>
      <x:c r="K226" s="23" t="n">
        <x:v>8</x:v>
      </x:c>
      <x:c r="L226" s="23" t="n">
        <x:v>450</x:v>
      </x:c>
      <x:c r="M226" s="23" t="n">
        <x:v>0</x:v>
      </x:c>
      <x:c r="N226" s="20" t="n">
        <x:f>K226*L226</x:f>
        <x:v>3600</x:v>
      </x:c>
      <x:c r="O226" s="19" t="n">
        <x:v>4500</x:v>
      </x:c>
      <x:c r="P226" s="17" t="n">
        <x:v>0.65</x:v>
      </x:c>
      <x:c r="Q226" s="20" t="n">
        <x:f>K226*O226*P226</x:f>
        <x:v>23400</x:v>
      </x:c>
      <x:c r="R226" s="20" t="n">
        <x:f>Q226*(1-'01 Controls'!$E$6)</x:f>
        <x:v>17550</x:v>
      </x:c>
      <x:c r="S226" s="19" t="n">
        <x:v>75</x:v>
      </x:c>
      <x:c r="T226" s="20" t="n">
        <x:f>K226*S226</x:f>
        <x:v>600</x:v>
      </x:c>
      <x:c r="U226" s="18" t="n">
        <x:f>'01 Controls'!E36</x:f>
        <x:v>0.05</x:v>
      </x:c>
      <x:c r="V226" s="20" t="n">
        <x:f>R226*U226</x:f>
        <x:v>877.5</x:v>
      </x:c>
      <x:c r="W226" s="18" t="n">
        <x:f>'01 Controls'!F36</x:f>
        <x:v>0</x:v>
      </x:c>
      <x:c r="X226" s="20" t="n">
        <x:f>R226*W226</x:f>
        <x:v>0</x:v>
      </x:c>
      <x:c r="Y226" s="18" t="n">
        <x:f>'01 Controls'!G36</x:f>
        <x:v>0.95</x:v>
      </x:c>
      <x:c r="Z226" s="20" t="n">
        <x:f>R226*Y226</x:f>
        <x:v>16672.5</x:v>
      </x:c>
      <x:c r="AA226" s="18" t="n">
        <x:f>'01 Controls'!H36</x:f>
        <x:v>0</x:v>
      </x:c>
      <x:c r="AB226" s="20" t="n">
        <x:f>R226*AA226</x:f>
        <x:v>0</x:v>
      </x:c>
      <x:c r="AC226" s="20" t="n">
        <x:f>IF(H226="CM-HCG",K226*'01 Controls'!$E$24,0)</x:f>
        <x:v>0</x:v>
      </x:c>
      <x:c r="AD226" s="20" t="n">
        <x:f>IF(H226="CM-HCG",K226*'01 Controls'!$E$25,0)</x:f>
        <x:v>0</x:v>
      </x:c>
      <x:c r="AE226" s="20" t="n">
        <x:f>IF(H226="CM-HCG",K226*'01 Controls'!$E$26,0)</x:f>
        <x:v>0</x:v>
      </x:c>
      <x:c r="AF226" s="20" t="n">
        <x:f>IF(H226="CM-HCG",K226*'01 Controls'!$E$27,0)</x:f>
        <x:v>0</x:v>
      </x:c>
    </x:row>
    <x:row r="227">
      <x:c r="C227" s="22" t="str">
        <x:v>M2-C-EGG</x:v>
      </x:c>
      <x:c r="D227" s="22" t="n">
        <x:v>222</x:v>
      </x:c>
      <x:c r="E227" s="22" t="str">
        <x:v>M2</x:v>
      </x:c>
      <x:c r="F227" s="22" t="str">
        <x:v>Urban heat</x:v>
      </x:c>
      <x:c r="G227" s="22" t="n">
        <x:v>5</x:v>
      </x:c>
      <x:c r="H227" s="22" t="str">
        <x:v>C-EGG</x:v>
      </x:c>
      <x:c r="I227" s="22" t="str">
        <x:v>Community Stabilization</x:v>
      </x:c>
      <x:c r="J227" s="22" t="str">
        <x:v>Essential-goods group</x:v>
      </x:c>
      <x:c r="K227" s="23" t="n">
        <x:v>8</x:v>
      </x:c>
      <x:c r="L227" s="23" t="n">
        <x:v>350</x:v>
      </x:c>
      <x:c r="M227" s="23" t="n">
        <x:v>0</x:v>
      </x:c>
      <x:c r="N227" s="20" t="n">
        <x:f>K227*L227</x:f>
        <x:v>2800</x:v>
      </x:c>
      <x:c r="O227" s="19" t="n">
        <x:v>4500</x:v>
      </x:c>
      <x:c r="P227" s="17" t="n">
        <x:v>0.65</x:v>
      </x:c>
      <x:c r="Q227" s="20" t="n">
        <x:f>K227*O227*P227</x:f>
        <x:v>23400</x:v>
      </x:c>
      <x:c r="R227" s="20" t="n">
        <x:f>Q227*(1-'01 Controls'!$E$6)</x:f>
        <x:v>17550</x:v>
      </x:c>
      <x:c r="S227" s="19" t="n">
        <x:v>75</x:v>
      </x:c>
      <x:c r="T227" s="20" t="n">
        <x:f>K227*S227</x:f>
        <x:v>600</x:v>
      </x:c>
      <x:c r="U227" s="18" t="n">
        <x:f>'01 Controls'!E36</x:f>
        <x:v>0.05</x:v>
      </x:c>
      <x:c r="V227" s="20" t="n">
        <x:f>R227*U227</x:f>
        <x:v>877.5</x:v>
      </x:c>
      <x:c r="W227" s="18" t="n">
        <x:f>'01 Controls'!F36</x:f>
        <x:v>0</x:v>
      </x:c>
      <x:c r="X227" s="20" t="n">
        <x:f>R227*W227</x:f>
        <x:v>0</x:v>
      </x:c>
      <x:c r="Y227" s="18" t="n">
        <x:f>'01 Controls'!G36</x:f>
        <x:v>0.95</x:v>
      </x:c>
      <x:c r="Z227" s="20" t="n">
        <x:f>R227*Y227</x:f>
        <x:v>16672.5</x:v>
      </x:c>
      <x:c r="AA227" s="18" t="n">
        <x:f>'01 Controls'!H36</x:f>
        <x:v>0</x:v>
      </x:c>
      <x:c r="AB227" s="20" t="n">
        <x:f>R227*AA227</x:f>
        <x:v>0</x:v>
      </x:c>
      <x:c r="AC227" s="20" t="n">
        <x:f>IF(H227="CM-HCG",K227*'01 Controls'!$E$24,0)</x:f>
        <x:v>0</x:v>
      </x:c>
      <x:c r="AD227" s="20" t="n">
        <x:f>IF(H227="CM-HCG",K227*'01 Controls'!$E$25,0)</x:f>
        <x:v>0</x:v>
      </x:c>
      <x:c r="AE227" s="20" t="n">
        <x:f>IF(H227="CM-HCG",K227*'01 Controls'!$E$26,0)</x:f>
        <x:v>0</x:v>
      </x:c>
      <x:c r="AF227" s="20" t="n">
        <x:f>IF(H227="CM-HCG",K227*'01 Controls'!$E$27,0)</x:f>
        <x:v>0</x:v>
      </x:c>
    </x:row>
    <x:row r="228">
      <x:c r="C228" s="22" t="str">
        <x:v>M2-C-CAG</x:v>
      </x:c>
      <x:c r="D228" s="22" t="n">
        <x:v>223</x:v>
      </x:c>
      <x:c r="E228" s="22" t="str">
        <x:v>M2</x:v>
      </x:c>
      <x:c r="F228" s="22" t="str">
        <x:v>Urban heat</x:v>
      </x:c>
      <x:c r="G228" s="22" t="n">
        <x:v>5</x:v>
      </x:c>
      <x:c r="H228" s="22" t="str">
        <x:v>C-CAG</x:v>
      </x:c>
      <x:c r="I228" s="22" t="str">
        <x:v>Community Stabilization</x:v>
      </x:c>
      <x:c r="J228" s="22" t="str">
        <x:v>Civil access group</x:v>
      </x:c>
      <x:c r="K228" s="23" t="n">
        <x:v>6</x:v>
      </x:c>
      <x:c r="L228" s="23" t="n">
        <x:v>180</x:v>
      </x:c>
      <x:c r="M228" s="23" t="n">
        <x:v>0</x:v>
      </x:c>
      <x:c r="N228" s="20" t="n">
        <x:f>K228*L228</x:f>
        <x:v>1080</x:v>
      </x:c>
      <x:c r="O228" s="19" t="n">
        <x:v>4500</x:v>
      </x:c>
      <x:c r="P228" s="17" t="n">
        <x:v>0.65</x:v>
      </x:c>
      <x:c r="Q228" s="20" t="n">
        <x:f>K228*O228*P228</x:f>
        <x:v>17550</x:v>
      </x:c>
      <x:c r="R228" s="20" t="n">
        <x:f>Q228*(1-'01 Controls'!$E$6)</x:f>
        <x:v>13162.5</x:v>
      </x:c>
      <x:c r="S228" s="19" t="n">
        <x:v>75</x:v>
      </x:c>
      <x:c r="T228" s="20" t="n">
        <x:f>K228*S228</x:f>
        <x:v>450</x:v>
      </x:c>
      <x:c r="U228" s="18" t="n">
        <x:f>'01 Controls'!E36</x:f>
        <x:v>0.05</x:v>
      </x:c>
      <x:c r="V228" s="20" t="n">
        <x:f>R228*U228</x:f>
        <x:v>658.125</x:v>
      </x:c>
      <x:c r="W228" s="18" t="n">
        <x:f>'01 Controls'!F36</x:f>
        <x:v>0</x:v>
      </x:c>
      <x:c r="X228" s="20" t="n">
        <x:f>R228*W228</x:f>
        <x:v>0</x:v>
      </x:c>
      <x:c r="Y228" s="18" t="n">
        <x:f>'01 Controls'!G36</x:f>
        <x:v>0.95</x:v>
      </x:c>
      <x:c r="Z228" s="20" t="n">
        <x:f>R228*Y228</x:f>
        <x:v>12504.375</x:v>
      </x:c>
      <x:c r="AA228" s="18" t="n">
        <x:f>'01 Controls'!H36</x:f>
        <x:v>0</x:v>
      </x:c>
      <x:c r="AB228" s="20" t="n">
        <x:f>R228*AA228</x:f>
        <x:v>0</x:v>
      </x:c>
      <x:c r="AC228" s="20" t="n">
        <x:f>IF(H228="CM-HCG",K228*'01 Controls'!$E$24,0)</x:f>
        <x:v>0</x:v>
      </x:c>
      <x:c r="AD228" s="20" t="n">
        <x:f>IF(H228="CM-HCG",K228*'01 Controls'!$E$25,0)</x:f>
        <x:v>0</x:v>
      </x:c>
      <x:c r="AE228" s="20" t="n">
        <x:f>IF(H228="CM-HCG",K228*'01 Controls'!$E$26,0)</x:f>
        <x:v>0</x:v>
      </x:c>
      <x:c r="AF228" s="20" t="n">
        <x:f>IF(H228="CM-HCG",K228*'01 Controls'!$E$27,0)</x:f>
        <x:v>0</x:v>
      </x:c>
    </x:row>
    <x:row r="229">
      <x:c r="C229" s="22" t="str">
        <x:v>M2-C-DTG</x:v>
      </x:c>
      <x:c r="D229" s="22" t="n">
        <x:v>224</x:v>
      </x:c>
      <x:c r="E229" s="22" t="str">
        <x:v>M2</x:v>
      </x:c>
      <x:c r="F229" s="22" t="str">
        <x:v>Urban heat</x:v>
      </x:c>
      <x:c r="G229" s="22" t="n">
        <x:v>5</x:v>
      </x:c>
      <x:c r="H229" s="22" t="str">
        <x:v>C-DTG</x:v>
      </x:c>
      <x:c r="I229" s="22" t="str">
        <x:v>Community Stabilization</x:v>
      </x:c>
      <x:c r="J229" s="22" t="str">
        <x:v>Displacement transition group</x:v>
      </x:c>
      <x:c r="K229" s="23" t="n">
        <x:v>6</x:v>
      </x:c>
      <x:c r="L229" s="23" t="n">
        <x:v>300</x:v>
      </x:c>
      <x:c r="M229" s="23" t="n">
        <x:v>0</x:v>
      </x:c>
      <x:c r="N229" s="20" t="n">
        <x:f>K229*L229</x:f>
        <x:v>1800</x:v>
      </x:c>
      <x:c r="O229" s="19" t="n">
        <x:v>4500</x:v>
      </x:c>
      <x:c r="P229" s="17" t="n">
        <x:v>0.65</x:v>
      </x:c>
      <x:c r="Q229" s="20" t="n">
        <x:f>K229*O229*P229</x:f>
        <x:v>17550</x:v>
      </x:c>
      <x:c r="R229" s="20" t="n">
        <x:f>Q229*(1-'01 Controls'!$E$6)</x:f>
        <x:v>13162.5</x:v>
      </x:c>
      <x:c r="S229" s="19" t="n">
        <x:v>75</x:v>
      </x:c>
      <x:c r="T229" s="20" t="n">
        <x:f>K229*S229</x:f>
        <x:v>450</x:v>
      </x:c>
      <x:c r="U229" s="18" t="n">
        <x:f>'01 Controls'!E36</x:f>
        <x:v>0.05</x:v>
      </x:c>
      <x:c r="V229" s="20" t="n">
        <x:f>R229*U229</x:f>
        <x:v>658.125</x:v>
      </x:c>
      <x:c r="W229" s="18" t="n">
        <x:f>'01 Controls'!F36</x:f>
        <x:v>0</x:v>
      </x:c>
      <x:c r="X229" s="20" t="n">
        <x:f>R229*W229</x:f>
        <x:v>0</x:v>
      </x:c>
      <x:c r="Y229" s="18" t="n">
        <x:f>'01 Controls'!G36</x:f>
        <x:v>0.95</x:v>
      </x:c>
      <x:c r="Z229" s="20" t="n">
        <x:f>R229*Y229</x:f>
        <x:v>12504.375</x:v>
      </x:c>
      <x:c r="AA229" s="18" t="n">
        <x:f>'01 Controls'!H36</x:f>
        <x:v>0</x:v>
      </x:c>
      <x:c r="AB229" s="20" t="n">
        <x:f>R229*AA229</x:f>
        <x:v>0</x:v>
      </x:c>
      <x:c r="AC229" s="20" t="n">
        <x:f>IF(H229="CM-HCG",K229*'01 Controls'!$E$24,0)</x:f>
        <x:v>0</x:v>
      </x:c>
      <x:c r="AD229" s="20" t="n">
        <x:f>IF(H229="CM-HCG",K229*'01 Controls'!$E$25,0)</x:f>
        <x:v>0</x:v>
      </x:c>
      <x:c r="AE229" s="20" t="n">
        <x:f>IF(H229="CM-HCG",K229*'01 Controls'!$E$26,0)</x:f>
        <x:v>0</x:v>
      </x:c>
      <x:c r="AF229" s="20" t="n">
        <x:f>IF(H229="CM-HCG",K229*'01 Controls'!$E$27,0)</x:f>
        <x:v>0</x:v>
      </x:c>
    </x:row>
    <x:row r="230">
      <x:c r="C230" s="22" t="str">
        <x:v>M2-C-CIG</x:v>
      </x:c>
      <x:c r="D230" s="22" t="n">
        <x:v>225</x:v>
      </x:c>
      <x:c r="E230" s="22" t="str">
        <x:v>M2</x:v>
      </x:c>
      <x:c r="F230" s="22" t="str">
        <x:v>Urban heat</x:v>
      </x:c>
      <x:c r="G230" s="22" t="n">
        <x:v>5</x:v>
      </x:c>
      <x:c r="H230" s="22" t="str">
        <x:v>C-CIG</x:v>
      </x:c>
      <x:c r="I230" s="22" t="str">
        <x:v>Community Stabilization</x:v>
      </x:c>
      <x:c r="J230" s="22" t="str">
        <x:v>Community institutions group</x:v>
      </x:c>
      <x:c r="K230" s="23" t="n">
        <x:v>5</x:v>
      </x:c>
      <x:c r="L230" s="23" t="n">
        <x:v>250</x:v>
      </x:c>
      <x:c r="M230" s="23" t="n">
        <x:v>0</x:v>
      </x:c>
      <x:c r="N230" s="20" t="n">
        <x:f>K230*L230</x:f>
        <x:v>1250</x:v>
      </x:c>
      <x:c r="O230" s="19" t="n">
        <x:v>4500</x:v>
      </x:c>
      <x:c r="P230" s="17" t="n">
        <x:v>0.65</x:v>
      </x:c>
      <x:c r="Q230" s="20" t="n">
        <x:f>K230*O230*P230</x:f>
        <x:v>14625</x:v>
      </x:c>
      <x:c r="R230" s="20" t="n">
        <x:f>Q230*(1-'01 Controls'!$E$6)</x:f>
        <x:v>10968.75</x:v>
      </x:c>
      <x:c r="S230" s="19" t="n">
        <x:v>75</x:v>
      </x:c>
      <x:c r="T230" s="20" t="n">
        <x:f>K230*S230</x:f>
        <x:v>375</x:v>
      </x:c>
      <x:c r="U230" s="18" t="n">
        <x:f>'01 Controls'!E36</x:f>
        <x:v>0.05</x:v>
      </x:c>
      <x:c r="V230" s="20" t="n">
        <x:f>R230*U230</x:f>
        <x:v>548.4375</x:v>
      </x:c>
      <x:c r="W230" s="18" t="n">
        <x:f>'01 Controls'!F36</x:f>
        <x:v>0</x:v>
      </x:c>
      <x:c r="X230" s="20" t="n">
        <x:f>R230*W230</x:f>
        <x:v>0</x:v>
      </x:c>
      <x:c r="Y230" s="18" t="n">
        <x:f>'01 Controls'!G36</x:f>
        <x:v>0.95</x:v>
      </x:c>
      <x:c r="Z230" s="20" t="n">
        <x:f>R230*Y230</x:f>
        <x:v>10420.3125</x:v>
      </x:c>
      <x:c r="AA230" s="18" t="n">
        <x:f>'01 Controls'!H36</x:f>
        <x:v>0</x:v>
      </x:c>
      <x:c r="AB230" s="20" t="n">
        <x:f>R230*AA230</x:f>
        <x:v>0</x:v>
      </x:c>
      <x:c r="AC230" s="20" t="n">
        <x:f>IF(H230="CM-HCG",K230*'01 Controls'!$E$24,0)</x:f>
        <x:v>0</x:v>
      </x:c>
      <x:c r="AD230" s="20" t="n">
        <x:f>IF(H230="CM-HCG",K230*'01 Controls'!$E$25,0)</x:f>
        <x:v>0</x:v>
      </x:c>
      <x:c r="AE230" s="20" t="n">
        <x:f>IF(H230="CM-HCG",K230*'01 Controls'!$E$26,0)</x:f>
        <x:v>0</x:v>
      </x:c>
      <x:c r="AF230" s="20" t="n">
        <x:f>IF(H230="CM-HCG",K230*'01 Controls'!$E$27,0)</x:f>
        <x:v>0</x:v>
      </x:c>
    </x:row>
    <x:row r="231">
      <x:c r="C231" s="22" t="str">
        <x:v>M2-J-RIG</x:v>
      </x:c>
      <x:c r="D231" s="22" t="n">
        <x:v>226</x:v>
      </x:c>
      <x:c r="E231" s="22" t="str">
        <x:v>M2</x:v>
      </x:c>
      <x:c r="F231" s="22" t="str">
        <x:v>Urban heat</x:v>
      </x:c>
      <x:c r="G231" s="22" t="n">
        <x:v>5</x:v>
      </x:c>
      <x:c r="H231" s="22" t="str">
        <x:v>J-RIG</x:v>
      </x:c>
      <x:c r="I231" s="22" t="str">
        <x:v>Joint</x:v>
      </x:c>
      <x:c r="J231" s="22" t="str">
        <x:v>Resilience information group</x:v>
      </x:c>
      <x:c r="K231" s="23" t="n">
        <x:v>4</x:v>
      </x:c>
      <x:c r="L231" s="23" t="n">
        <x:v>420</x:v>
      </x:c>
      <x:c r="M231" s="23" t="n">
        <x:v>60</x:v>
      </x:c>
      <x:c r="N231" s="20" t="n">
        <x:f>K231*L231</x:f>
        <x:v>1680</x:v>
      </x:c>
      <x:c r="O231" s="19" t="n">
        <x:v>2800</x:v>
      </x:c>
      <x:c r="P231" s="17" t="n">
        <x:v>0.65</x:v>
      </x:c>
      <x:c r="Q231" s="20" t="n">
        <x:f>K231*O231*P231</x:f>
        <x:v>7280</x:v>
      </x:c>
      <x:c r="R231" s="20" t="n">
        <x:f>Q231*(1-'01 Controls'!$E$6)</x:f>
        <x:v>5460</x:v>
      </x:c>
      <x:c r="S231" s="19" t="n">
        <x:v>35</x:v>
      </x:c>
      <x:c r="T231" s="20" t="n">
        <x:f>K231*S231</x:f>
        <x:v>140</x:v>
      </x:c>
      <x:c r="U231" s="18" t="n">
        <x:f>'01 Controls'!E36</x:f>
        <x:v>0.05</x:v>
      </x:c>
      <x:c r="V231" s="20" t="n">
        <x:f>R231*U231</x:f>
        <x:v>273</x:v>
      </x:c>
      <x:c r="W231" s="18" t="n">
        <x:f>'01 Controls'!F36</x:f>
        <x:v>0</x:v>
      </x:c>
      <x:c r="X231" s="20" t="n">
        <x:f>R231*W231</x:f>
        <x:v>0</x:v>
      </x:c>
      <x:c r="Y231" s="18" t="n">
        <x:f>'01 Controls'!G36</x:f>
        <x:v>0.95</x:v>
      </x:c>
      <x:c r="Z231" s="20" t="n">
        <x:f>R231*Y231</x:f>
        <x:v>5187</x:v>
      </x:c>
      <x:c r="AA231" s="18" t="n">
        <x:f>'01 Controls'!H36</x:f>
        <x:v>0</x:v>
      </x:c>
      <x:c r="AB231" s="20" t="n">
        <x:f>R231*AA231</x:f>
        <x:v>0</x:v>
      </x:c>
      <x:c r="AC231" s="20" t="n">
        <x:f>IF(H231="CM-HCG",K231*'01 Controls'!$E$24,0)</x:f>
        <x:v>0</x:v>
      </x:c>
      <x:c r="AD231" s="20" t="n">
        <x:f>IF(H231="CM-HCG",K231*'01 Controls'!$E$25,0)</x:f>
        <x:v>0</x:v>
      </x:c>
      <x:c r="AE231" s="20" t="n">
        <x:f>IF(H231="CM-HCG",K231*'01 Controls'!$E$26,0)</x:f>
        <x:v>0</x:v>
      </x:c>
      <x:c r="AF231" s="20" t="n">
        <x:f>IF(H231="CM-HCG",K231*'01 Controls'!$E$27,0)</x:f>
        <x:v>0</x:v>
      </x:c>
    </x:row>
    <x:row r="232">
      <x:c r="C232" s="22" t="str">
        <x:v>M2-M-MPG</x:v>
      </x:c>
      <x:c r="D232" s="22" t="n">
        <x:v>227</x:v>
      </x:c>
      <x:c r="E232" s="22" t="str">
        <x:v>M2</x:v>
      </x:c>
      <x:c r="F232" s="22" t="str">
        <x:v>Urban heat</x:v>
      </x:c>
      <x:c r="G232" s="22" t="n">
        <x:v>5</x:v>
      </x:c>
      <x:c r="H232" s="22" t="str">
        <x:v>M-MPG</x:v>
      </x:c>
      <x:c r="I232" s="22" t="str">
        <x:v>Maritime Response</x:v>
      </x:c>
      <x:c r="J232" s="22" t="str">
        <x:v>Maritime production group</x:v>
      </x:c>
      <x:c r="K232" s="23" t="n">
        <x:v>2</x:v>
      </x:c>
      <x:c r="L232" s="23" t="n">
        <x:v>1100</x:v>
      </x:c>
      <x:c r="M232" s="23" t="n">
        <x:v>200</x:v>
      </x:c>
      <x:c r="N232" s="20" t="n">
        <x:f>K232*L232</x:f>
        <x:v>2200</x:v>
      </x:c>
      <x:c r="O232" s="19" t="n">
        <x:v>28000</x:v>
      </x:c>
      <x:c r="P232" s="17" t="n">
        <x:v>0.35</x:v>
      </x:c>
      <x:c r="Q232" s="20" t="n">
        <x:f>K232*O232*P232</x:f>
        <x:v>19600</x:v>
      </x:c>
      <x:c r="R232" s="20" t="n">
        <x:f>Q232*(1-'01 Controls'!$E$6)</x:f>
        <x:v>14700</x:v>
      </x:c>
      <x:c r="S232" s="19" t="n">
        <x:v>50</x:v>
      </x:c>
      <x:c r="T232" s="20" t="n">
        <x:f>K232*S232</x:f>
        <x:v>100</x:v>
      </x:c>
      <x:c r="U232" s="18" t="n">
        <x:f>'01 Controls'!E36</x:f>
        <x:v>0.05</x:v>
      </x:c>
      <x:c r="V232" s="20" t="n">
        <x:f>R232*U232</x:f>
        <x:v>735</x:v>
      </x:c>
      <x:c r="W232" s="18" t="n">
        <x:f>'01 Controls'!F36</x:f>
        <x:v>0</x:v>
      </x:c>
      <x:c r="X232" s="20" t="n">
        <x:f>R232*W232</x:f>
        <x:v>0</x:v>
      </x:c>
      <x:c r="Y232" s="18" t="n">
        <x:f>'01 Controls'!G36</x:f>
        <x:v>0.95</x:v>
      </x:c>
      <x:c r="Z232" s="20" t="n">
        <x:f>R232*Y232</x:f>
        <x:v>13965</x:v>
      </x:c>
      <x:c r="AA232" s="18" t="n">
        <x:f>'01 Controls'!H36</x:f>
        <x:v>0</x:v>
      </x:c>
      <x:c r="AB232" s="20" t="n">
        <x:f>R232*AA232</x:f>
        <x:v>0</x:v>
      </x:c>
      <x:c r="AC232" s="20" t="n">
        <x:f>IF(H232="CM-HCG",K232*'01 Controls'!$E$24,0)</x:f>
        <x:v>0</x:v>
      </x:c>
      <x:c r="AD232" s="20" t="n">
        <x:f>IF(H232="CM-HCG",K232*'01 Controls'!$E$25,0)</x:f>
        <x:v>0</x:v>
      </x:c>
      <x:c r="AE232" s="20" t="n">
        <x:f>IF(H232="CM-HCG",K232*'01 Controls'!$E$26,0)</x:f>
        <x:v>0</x:v>
      </x:c>
      <x:c r="AF232" s="20" t="n">
        <x:f>IF(H232="CM-HCG",K232*'01 Controls'!$E$27,0)</x:f>
        <x:v>0</x:v>
      </x:c>
    </x:row>
    <x:row r="233">
      <x:c r="C233" s="22" t="str">
        <x:v>M2-I-WRG</x:v>
      </x:c>
      <x:c r="D233" s="22" t="n">
        <x:v>228</x:v>
      </x:c>
      <x:c r="E233" s="22" t="str">
        <x:v>M2</x:v>
      </x:c>
      <x:c r="F233" s="22" t="str">
        <x:v>Urban heat</x:v>
      </x:c>
      <x:c r="G233" s="22" t="n">
        <x:v>5</x:v>
      </x:c>
      <x:c r="H233" s="22" t="str">
        <x:v>I-WRG</x:v>
      </x:c>
      <x:c r="I233" s="22" t="str">
        <x:v>Infrastructure Restoration</x:v>
      </x:c>
      <x:c r="J233" s="22" t="str">
        <x:v>Water restoration group</x:v>
      </x:c>
      <x:c r="K233" s="23" t="n">
        <x:v>2</x:v>
      </x:c>
      <x:c r="L233" s="23" t="n">
        <x:v>2720</x:v>
      </x:c>
      <x:c r="M233" s="23" t="n">
        <x:v>600</x:v>
      </x:c>
      <x:c r="N233" s="20" t="n">
        <x:f>K233*L233</x:f>
        <x:v>5440</x:v>
      </x:c>
      <x:c r="O233" s="19" t="n">
        <x:v>23516</x:v>
      </x:c>
      <x:c r="P233" s="17" t="n">
        <x:v>0.4</x:v>
      </x:c>
      <x:c r="Q233" s="20" t="n">
        <x:f>K233*O233*P233</x:f>
        <x:v>18812.8</x:v>
      </x:c>
      <x:c r="R233" s="20" t="n">
        <x:f>Q233*(1-'01 Controls'!$E$6)</x:f>
        <x:v>14109.599999999999</x:v>
      </x:c>
      <x:c r="S233" s="19" t="n">
        <x:v>65</x:v>
      </x:c>
      <x:c r="T233" s="20" t="n">
        <x:f>K233*S233</x:f>
        <x:v>130</x:v>
      </x:c>
      <x:c r="U233" s="18" t="n">
        <x:f>'01 Controls'!E36</x:f>
        <x:v>0.05</x:v>
      </x:c>
      <x:c r="V233" s="20" t="n">
        <x:f>R233*U233</x:f>
        <x:v>705.48</x:v>
      </x:c>
      <x:c r="W233" s="18" t="n">
        <x:f>'01 Controls'!F36</x:f>
        <x:v>0</x:v>
      </x:c>
      <x:c r="X233" s="20" t="n">
        <x:f>R233*W233</x:f>
        <x:v>0</x:v>
      </x:c>
      <x:c r="Y233" s="18" t="n">
        <x:f>'01 Controls'!G36</x:f>
        <x:v>0.95</x:v>
      </x:c>
      <x:c r="Z233" s="20" t="n">
        <x:f>R233*Y233</x:f>
        <x:v>13404.119999999997</x:v>
      </x:c>
      <x:c r="AA233" s="18" t="n">
        <x:f>'01 Controls'!H36</x:f>
        <x:v>0</x:v>
      </x:c>
      <x:c r="AB233" s="20" t="n">
        <x:f>R233*AA233</x:f>
        <x:v>0</x:v>
      </x:c>
      <x:c r="AC233" s="20" t="n">
        <x:f>IF(H233="CM-HCG",K233*'01 Controls'!$E$24,0)</x:f>
        <x:v>0</x:v>
      </x:c>
      <x:c r="AD233" s="20" t="n">
        <x:f>IF(H233="CM-HCG",K233*'01 Controls'!$E$25,0)</x:f>
        <x:v>0</x:v>
      </x:c>
      <x:c r="AE233" s="20" t="n">
        <x:f>IF(H233="CM-HCG",K233*'01 Controls'!$E$26,0)</x:f>
        <x:v>0</x:v>
      </x:c>
      <x:c r="AF233" s="20" t="n">
        <x:f>IF(H233="CM-HCG",K233*'01 Controls'!$E$27,0)</x:f>
        <x:v>0</x:v>
      </x:c>
    </x:row>
    <x:row r="234">
      <x:c r="C234" s="22" t="str">
        <x:v>M2-I-PRG</x:v>
      </x:c>
      <x:c r="D234" s="22" t="n">
        <x:v>229</x:v>
      </x:c>
      <x:c r="E234" s="22" t="str">
        <x:v>M2</x:v>
      </x:c>
      <x:c r="F234" s="22" t="str">
        <x:v>Urban heat</x:v>
      </x:c>
      <x:c r="G234" s="22" t="n">
        <x:v>5</x:v>
      </x:c>
      <x:c r="H234" s="22" t="str">
        <x:v>I-PRG</x:v>
      </x:c>
      <x:c r="I234" s="22" t="str">
        <x:v>Infrastructure Restoration</x:v>
      </x:c>
      <x:c r="J234" s="22" t="str">
        <x:v>Power restoration group</x:v>
      </x:c>
      <x:c r="K234" s="23" t="n">
        <x:v>6</x:v>
      </x:c>
      <x:c r="L234" s="23" t="n">
        <x:v>2796</x:v>
      </x:c>
      <x:c r="M234" s="23" t="n">
        <x:v>596</x:v>
      </x:c>
      <x:c r="N234" s="20" t="n">
        <x:f>K234*L234</x:f>
        <x:v>16776</x:v>
      </x:c>
      <x:c r="O234" s="19" t="n">
        <x:v>18332</x:v>
      </x:c>
      <x:c r="P234" s="17" t="n">
        <x:v>0.4</x:v>
      </x:c>
      <x:c r="Q234" s="20" t="n">
        <x:f>K234*O234*P234</x:f>
        <x:v>43996.8</x:v>
      </x:c>
      <x:c r="R234" s="20" t="n">
        <x:f>Q234*(1-'01 Controls'!$E$6)</x:f>
        <x:v>32997.600000000006</x:v>
      </x:c>
      <x:c r="S234" s="19" t="n">
        <x:v>80</x:v>
      </x:c>
      <x:c r="T234" s="20" t="n">
        <x:f>K234*S234</x:f>
        <x:v>480</x:v>
      </x:c>
      <x:c r="U234" s="18" t="n">
        <x:f>'01 Controls'!E36</x:f>
        <x:v>0.05</x:v>
      </x:c>
      <x:c r="V234" s="20" t="n">
        <x:f>R234*U234</x:f>
        <x:v>1649.8800000000003</x:v>
      </x:c>
      <x:c r="W234" s="18" t="n">
        <x:f>'01 Controls'!F36</x:f>
        <x:v>0</x:v>
      </x:c>
      <x:c r="X234" s="20" t="n">
        <x:f>R234*W234</x:f>
        <x:v>0</x:v>
      </x:c>
      <x:c r="Y234" s="18" t="n">
        <x:f>'01 Controls'!G36</x:f>
        <x:v>0.95</x:v>
      </x:c>
      <x:c r="Z234" s="20" t="n">
        <x:f>R234*Y234</x:f>
        <x:v>31347.720000000005</x:v>
      </x:c>
      <x:c r="AA234" s="18" t="n">
        <x:f>'01 Controls'!H36</x:f>
        <x:v>0</x:v>
      </x:c>
      <x:c r="AB234" s="20" t="n">
        <x:f>R234*AA234</x:f>
        <x:v>0</x:v>
      </x:c>
      <x:c r="AC234" s="20" t="n">
        <x:f>IF(H234="CM-HCG",K234*'01 Controls'!$E$24,0)</x:f>
        <x:v>0</x:v>
      </x:c>
      <x:c r="AD234" s="20" t="n">
        <x:f>IF(H234="CM-HCG",K234*'01 Controls'!$E$25,0)</x:f>
        <x:v>0</x:v>
      </x:c>
      <x:c r="AE234" s="20" t="n">
        <x:f>IF(H234="CM-HCG",K234*'01 Controls'!$E$26,0)</x:f>
        <x:v>0</x:v>
      </x:c>
      <x:c r="AF234" s="20" t="n">
        <x:f>IF(H234="CM-HCG",K234*'01 Controls'!$E$27,0)</x:f>
        <x:v>0</x:v>
      </x:c>
    </x:row>
    <x:row r="235">
      <x:c r="C235" s="22" t="str">
        <x:v>M2-I-GBG</x:v>
      </x:c>
      <x:c r="D235" s="22" t="n">
        <x:v>230</x:v>
      </x:c>
      <x:c r="E235" s="22" t="str">
        <x:v>M2</x:v>
      </x:c>
      <x:c r="F235" s="22" t="str">
        <x:v>Urban heat</x:v>
      </x:c>
      <x:c r="G235" s="22" t="n">
        <x:v>5</x:v>
      </x:c>
      <x:c r="H235" s="22" t="str">
        <x:v>I-GBG</x:v>
      </x:c>
      <x:c r="I235" s="22" t="str">
        <x:v>Infrastructure Restoration</x:v>
      </x:c>
      <x:c r="J235" s="22" t="str">
        <x:v>Grid bridge group</x:v>
      </x:c>
      <x:c r="K235" s="23" t="n">
        <x:v>5</x:v>
      </x:c>
      <x:c r="L235" s="23" t="n">
        <x:v>1800</x:v>
      </x:c>
      <x:c r="M235" s="23" t="n">
        <x:v>400</x:v>
      </x:c>
      <x:c r="N235" s="20" t="n">
        <x:f>K235*L235</x:f>
        <x:v>9000</x:v>
      </x:c>
      <x:c r="O235" s="19" t="n">
        <x:v>15000</x:v>
      </x:c>
      <x:c r="P235" s="17" t="n">
        <x:v>0.4</x:v>
      </x:c>
      <x:c r="Q235" s="20" t="n">
        <x:f>K235*O235*P235</x:f>
        <x:v>30000</x:v>
      </x:c>
      <x:c r="R235" s="20" t="n">
        <x:f>Q235*(1-'01 Controls'!$E$6)</x:f>
        <x:v>22500</x:v>
      </x:c>
      <x:c r="S235" s="19" t="n">
        <x:v>55</x:v>
      </x:c>
      <x:c r="T235" s="20" t="n">
        <x:f>K235*S235</x:f>
        <x:v>275</x:v>
      </x:c>
      <x:c r="U235" s="18" t="n">
        <x:f>'01 Controls'!E36</x:f>
        <x:v>0.05</x:v>
      </x:c>
      <x:c r="V235" s="20" t="n">
        <x:f>R235*U235</x:f>
        <x:v>1125</x:v>
      </x:c>
      <x:c r="W235" s="18" t="n">
        <x:f>'01 Controls'!F36</x:f>
        <x:v>0</x:v>
      </x:c>
      <x:c r="X235" s="20" t="n">
        <x:f>R235*W235</x:f>
        <x:v>0</x:v>
      </x:c>
      <x:c r="Y235" s="18" t="n">
        <x:f>'01 Controls'!G36</x:f>
        <x:v>0.95</x:v>
      </x:c>
      <x:c r="Z235" s="20" t="n">
        <x:f>R235*Y235</x:f>
        <x:v>21375</x:v>
      </x:c>
      <x:c r="AA235" s="18" t="n">
        <x:f>'01 Controls'!H36</x:f>
        <x:v>0</x:v>
      </x:c>
      <x:c r="AB235" s="20" t="n">
        <x:f>R235*AA235</x:f>
        <x:v>0</x:v>
      </x:c>
      <x:c r="AC235" s="20" t="n">
        <x:f>IF(H235="CM-HCG",K235*'01 Controls'!$E$24,0)</x:f>
        <x:v>0</x:v>
      </x:c>
      <x:c r="AD235" s="20" t="n">
        <x:f>IF(H235="CM-HCG",K235*'01 Controls'!$E$25,0)</x:f>
        <x:v>0</x:v>
      </x:c>
      <x:c r="AE235" s="20" t="n">
        <x:f>IF(H235="CM-HCG",K235*'01 Controls'!$E$26,0)</x:f>
        <x:v>0</x:v>
      </x:c>
      <x:c r="AF235" s="20" t="n">
        <x:f>IF(H235="CM-HCG",K235*'01 Controls'!$E$27,0)</x:f>
        <x:v>0</x:v>
      </x:c>
    </x:row>
    <x:row r="236">
      <x:c r="C236" s="22" t="str">
        <x:v>M2-H-THC</x:v>
      </x:c>
      <x:c r="D236" s="22" t="n">
        <x:v>231</x:v>
      </x:c>
      <x:c r="E236" s="22" t="str">
        <x:v>M2</x:v>
      </x:c>
      <x:c r="F236" s="22" t="str">
        <x:v>Urban heat</x:v>
      </x:c>
      <x:c r="G236" s="22" t="n">
        <x:v>5</x:v>
      </x:c>
      <x:c r="H236" s="22" t="str">
        <x:v>H-THC</x:v>
      </x:c>
      <x:c r="I236" s="22" t="str">
        <x:v>Health Protection</x:v>
      </x:c>
      <x:c r="J236" s="22" t="str">
        <x:v>Theater hospital command</x:v>
      </x:c>
      <x:c r="K236" s="23" t="n">
        <x:v>2</x:v>
      </x:c>
      <x:c r="L236" s="23" t="n">
        <x:v>900</x:v>
      </x:c>
      <x:c r="M236" s="23" t="n">
        <x:v>0</x:v>
      </x:c>
      <x:c r="N236" s="20" t="n">
        <x:f>K236*L236</x:f>
        <x:v>1800</x:v>
      </x:c>
      <x:c r="O236" s="19" t="n">
        <x:v>3500</x:v>
      </x:c>
      <x:c r="P236" s="17" t="n">
        <x:v>0.7</x:v>
      </x:c>
      <x:c r="Q236" s="20" t="n">
        <x:f>K236*O236*P236</x:f>
        <x:v>4900</x:v>
      </x:c>
      <x:c r="R236" s="20" t="n">
        <x:f>Q236*(1-'01 Controls'!$E$6)</x:f>
        <x:v>3675</x:v>
      </x:c>
      <x:c r="S236" s="19" t="n">
        <x:v>30</x:v>
      </x:c>
      <x:c r="T236" s="20" t="n">
        <x:f>K236*S236</x:f>
        <x:v>60</x:v>
      </x:c>
      <x:c r="U236" s="18" t="n">
        <x:f>'01 Controls'!E36</x:f>
        <x:v>0.05</x:v>
      </x:c>
      <x:c r="V236" s="20" t="n">
        <x:f>R236*U236</x:f>
        <x:v>183.75</x:v>
      </x:c>
      <x:c r="W236" s="18" t="n">
        <x:f>'01 Controls'!F36</x:f>
        <x:v>0</x:v>
      </x:c>
      <x:c r="X236" s="20" t="n">
        <x:f>R236*W236</x:f>
        <x:v>0</x:v>
      </x:c>
      <x:c r="Y236" s="18" t="n">
        <x:f>'01 Controls'!G36</x:f>
        <x:v>0.95</x:v>
      </x:c>
      <x:c r="Z236" s="20" t="n">
        <x:f>R236*Y236</x:f>
        <x:v>3491.25</x:v>
      </x:c>
      <x:c r="AA236" s="18" t="n">
        <x:f>'01 Controls'!H36</x:f>
        <x:v>0</x:v>
      </x:c>
      <x:c r="AB236" s="20" t="n">
        <x:f>R236*AA236</x:f>
        <x:v>0</x:v>
      </x:c>
      <x:c r="AC236" s="20" t="n">
        <x:f>IF(H236="CM-HCG",K236*'01 Controls'!$E$24,0)</x:f>
        <x:v>0</x:v>
      </x:c>
      <x:c r="AD236" s="20" t="n">
        <x:f>IF(H236="CM-HCG",K236*'01 Controls'!$E$25,0)</x:f>
        <x:v>0</x:v>
      </x:c>
      <x:c r="AE236" s="20" t="n">
        <x:f>IF(H236="CM-HCG",K236*'01 Controls'!$E$26,0)</x:f>
        <x:v>0</x:v>
      </x:c>
      <x:c r="AF236" s="20" t="n">
        <x:f>IF(H236="CM-HCG",K236*'01 Controls'!$E$27,0)</x:f>
        <x:v>0</x:v>
      </x:c>
    </x:row>
    <x:row r="237">
      <x:c r="C237" s="22" t="str">
        <x:v>M2-H-PMG</x:v>
      </x:c>
      <x:c r="D237" s="22" t="n">
        <x:v>232</x:v>
      </x:c>
      <x:c r="E237" s="22" t="str">
        <x:v>M2</x:v>
      </x:c>
      <x:c r="F237" s="22" t="str">
        <x:v>Urban heat</x:v>
      </x:c>
      <x:c r="G237" s="22" t="n">
        <x:v>5</x:v>
      </x:c>
      <x:c r="H237" s="22" t="str">
        <x:v>H-PMG</x:v>
      </x:c>
      <x:c r="I237" s="22" t="str">
        <x:v>Health Protection</x:v>
      </x:c>
      <x:c r="J237" s="22" t="str">
        <x:v>Patient movement group</x:v>
      </x:c>
      <x:c r="K237" s="23" t="n">
        <x:v>4</x:v>
      </x:c>
      <x:c r="L237" s="23" t="n">
        <x:v>650</x:v>
      </x:c>
      <x:c r="M237" s="23" t="n">
        <x:v>200</x:v>
      </x:c>
      <x:c r="N237" s="20" t="n">
        <x:f>K237*L237</x:f>
        <x:v>2600</x:v>
      </x:c>
      <x:c r="O237" s="19" t="n">
        <x:v>5500</x:v>
      </x:c>
      <x:c r="P237" s="17" t="n">
        <x:v>0.7</x:v>
      </x:c>
      <x:c r="Q237" s="20" t="n">
        <x:f>K237*O237*P237</x:f>
        <x:v>15399.999999999998</x:v>
      </x:c>
      <x:c r="R237" s="20" t="n">
        <x:f>Q237*(1-'01 Controls'!$E$6)</x:f>
        <x:v>11549.999999999998</x:v>
      </x:c>
      <x:c r="S237" s="19" t="n">
        <x:v>40</x:v>
      </x:c>
      <x:c r="T237" s="20" t="n">
        <x:f>K237*S237</x:f>
        <x:v>160</x:v>
      </x:c>
      <x:c r="U237" s="18" t="n">
        <x:f>'01 Controls'!E36</x:f>
        <x:v>0.05</x:v>
      </x:c>
      <x:c r="V237" s="20" t="n">
        <x:f>R237*U237</x:f>
        <x:v>577.4999999999999</x:v>
      </x:c>
      <x:c r="W237" s="18" t="n">
        <x:f>'01 Controls'!F36</x:f>
        <x:v>0</x:v>
      </x:c>
      <x:c r="X237" s="20" t="n">
        <x:f>R237*W237</x:f>
        <x:v>0</x:v>
      </x:c>
      <x:c r="Y237" s="18" t="n">
        <x:f>'01 Controls'!G36</x:f>
        <x:v>0.95</x:v>
      </x:c>
      <x:c r="Z237" s="20" t="n">
        <x:f>R237*Y237</x:f>
        <x:v>10972.499999999998</x:v>
      </x:c>
      <x:c r="AA237" s="18" t="n">
        <x:f>'01 Controls'!H36</x:f>
        <x:v>0</x:v>
      </x:c>
      <x:c r="AB237" s="20" t="n">
        <x:f>R237*AA237</x:f>
        <x:v>0</x:v>
      </x:c>
      <x:c r="AC237" s="20" t="n">
        <x:f>IF(H237="CM-HCG",K237*'01 Controls'!$E$24,0)</x:f>
        <x:v>0</x:v>
      </x:c>
      <x:c r="AD237" s="20" t="n">
        <x:f>IF(H237="CM-HCG",K237*'01 Controls'!$E$25,0)</x:f>
        <x:v>0</x:v>
      </x:c>
      <x:c r="AE237" s="20" t="n">
        <x:f>IF(H237="CM-HCG",K237*'01 Controls'!$E$26,0)</x:f>
        <x:v>0</x:v>
      </x:c>
      <x:c r="AF237" s="20" t="n">
        <x:f>IF(H237="CM-HCG",K237*'01 Controls'!$E$27,0)</x:f>
        <x:v>0</x:v>
      </x:c>
    </x:row>
    <x:row r="238">
      <x:c r="C238" s="22" t="str">
        <x:v>M2-C-ERG</x:v>
      </x:c>
      <x:c r="D238" s="22" t="n">
        <x:v>233</x:v>
      </x:c>
      <x:c r="E238" s="22" t="str">
        <x:v>M2</x:v>
      </x:c>
      <x:c r="F238" s="22" t="str">
        <x:v>Urban heat</x:v>
      </x:c>
      <x:c r="G238" s="22" t="n">
        <x:v>5</x:v>
      </x:c>
      <x:c r="H238" s="22" t="str">
        <x:v>C-ERG</x:v>
      </x:c>
      <x:c r="I238" s="22" t="str">
        <x:v>Community Stabilization</x:v>
      </x:c>
      <x:c r="J238" s="22" t="str">
        <x:v>Economic restart group</x:v>
      </x:c>
      <x:c r="K238" s="23" t="n">
        <x:v>4</x:v>
      </x:c>
      <x:c r="L238" s="23" t="n">
        <x:v>350</x:v>
      </x:c>
      <x:c r="M238" s="23" t="n">
        <x:v>0</x:v>
      </x:c>
      <x:c r="N238" s="20" t="n">
        <x:f>K238*L238</x:f>
        <x:v>1400</x:v>
      </x:c>
      <x:c r="O238" s="19" t="n">
        <x:v>2500</x:v>
      </x:c>
      <x:c r="P238" s="17" t="n">
        <x:v>0.65</x:v>
      </x:c>
      <x:c r="Q238" s="20" t="n">
        <x:f>K238*O238*P238</x:f>
        <x:v>6500</x:v>
      </x:c>
      <x:c r="R238" s="20" t="n">
        <x:f>Q238*(1-'01 Controls'!$E$6)</x:f>
        <x:v>4875</x:v>
      </x:c>
      <x:c r="S238" s="19" t="n">
        <x:v>30</x:v>
      </x:c>
      <x:c r="T238" s="20" t="n">
        <x:f>K238*S238</x:f>
        <x:v>120</x:v>
      </x:c>
      <x:c r="U238" s="18" t="n">
        <x:f>'01 Controls'!E36</x:f>
        <x:v>0.05</x:v>
      </x:c>
      <x:c r="V238" s="20" t="n">
        <x:f>R238*U238</x:f>
        <x:v>243.75</x:v>
      </x:c>
      <x:c r="W238" s="18" t="n">
        <x:f>'01 Controls'!F36</x:f>
        <x:v>0</x:v>
      </x:c>
      <x:c r="X238" s="20" t="n">
        <x:f>R238*W238</x:f>
        <x:v>0</x:v>
      </x:c>
      <x:c r="Y238" s="18" t="n">
        <x:f>'01 Controls'!G36</x:f>
        <x:v>0.95</x:v>
      </x:c>
      <x:c r="Z238" s="20" t="n">
        <x:f>R238*Y238</x:f>
        <x:v>4631.25</x:v>
      </x:c>
      <x:c r="AA238" s="18" t="n">
        <x:f>'01 Controls'!H36</x:f>
        <x:v>0</x:v>
      </x:c>
      <x:c r="AB238" s="20" t="n">
        <x:f>R238*AA238</x:f>
        <x:v>0</x:v>
      </x:c>
      <x:c r="AC238" s="20" t="n">
        <x:f>IF(H238="CM-HCG",K238*'01 Controls'!$E$24,0)</x:f>
        <x:v>0</x:v>
      </x:c>
      <x:c r="AD238" s="20" t="n">
        <x:f>IF(H238="CM-HCG",K238*'01 Controls'!$E$25,0)</x:f>
        <x:v>0</x:v>
      </x:c>
      <x:c r="AE238" s="20" t="n">
        <x:f>IF(H238="CM-HCG",K238*'01 Controls'!$E$26,0)</x:f>
        <x:v>0</x:v>
      </x:c>
      <x:c r="AF238" s="20" t="n">
        <x:f>IF(H238="CM-HCG",K238*'01 Controls'!$E$27,0)</x:f>
        <x:v>0</x:v>
      </x:c>
    </x:row>
    <x:row r="239">
      <x:c r="C239" s="22" t="str">
        <x:v>M2-CM-HCG</x:v>
      </x:c>
      <x:c r="D239" s="22" t="n">
        <x:v>234</x:v>
      </x:c>
      <x:c r="E239" s="22" t="str">
        <x:v>M2</x:v>
      </x:c>
      <x:c r="F239" s="22" t="str">
        <x:v>Urban heat</x:v>
      </x:c>
      <x:c r="G239" s="22" t="n">
        <x:v>5</x:v>
      </x:c>
      <x:c r="H239" s="22" t="str">
        <x:v>CM-HCG</x:v>
      </x:c>
      <x:c r="I239" s="22" t="str">
        <x:v>Civil Mobility and Continuity</x:v>
      </x:c>
      <x:c r="J239" s="22" t="str">
        <x:v>Household collection group</x:v>
      </x:c>
      <x:c r="K239" s="23" t="n">
        <x:v>6</x:v>
      </x:c>
      <x:c r="L239" s="23" t="n">
        <x:v>7587</x:v>
      </x:c>
      <x:c r="M239" s="23" t="n">
        <x:v>2000</x:v>
      </x:c>
      <x:c r="N239" s="20" t="n">
        <x:f>K239*L239</x:f>
        <x:v>45522</x:v>
      </x:c>
      <x:c r="O239" s="19" t="n">
        <x:v>6388</x:v>
      </x:c>
      <x:c r="P239" s="17" t="n">
        <x:v>0.7</x:v>
      </x:c>
      <x:c r="Q239" s="20" t="n">
        <x:f>K239*O239*P239</x:f>
        <x:v>26829.6</x:v>
      </x:c>
      <x:c r="R239" s="20" t="n">
        <x:f>Q239*(1-'01 Controls'!$E$6)</x:f>
        <x:v>20122.199999999997</x:v>
      </x:c>
      <x:c r="S239" s="19" t="n">
        <x:v>45</x:v>
      </x:c>
      <x:c r="T239" s="20" t="n">
        <x:f>K239*S239</x:f>
        <x:v>270</x:v>
      </x:c>
      <x:c r="U239" s="18" t="n">
        <x:f>'01 Controls'!E36</x:f>
        <x:v>0.05</x:v>
      </x:c>
      <x:c r="V239" s="20" t="n">
        <x:f>R239*U239</x:f>
        <x:v>1006.1099999999999</x:v>
      </x:c>
      <x:c r="W239" s="18" t="n">
        <x:f>'01 Controls'!F36</x:f>
        <x:v>0</x:v>
      </x:c>
      <x:c r="X239" s="20" t="n">
        <x:f>R239*W239</x:f>
        <x:v>0</x:v>
      </x:c>
      <x:c r="Y239" s="18" t="n">
        <x:f>'01 Controls'!G36</x:f>
        <x:v>0.95</x:v>
      </x:c>
      <x:c r="Z239" s="20" t="n">
        <x:f>R239*Y239</x:f>
        <x:v>19116.089999999997</x:v>
      </x:c>
      <x:c r="AA239" s="18" t="n">
        <x:f>'01 Controls'!H36</x:f>
        <x:v>0</x:v>
      </x:c>
      <x:c r="AB239" s="20" t="n">
        <x:f>R239*AA239</x:f>
        <x:v>0</x:v>
      </x:c>
      <x:c r="AC239" s="20" t="n">
        <x:f>IF(H239="CM-HCG",K239*'01 Controls'!$E$24,0)</x:f>
        <x:v>204</x:v>
      </x:c>
      <x:c r="AD239" s="20" t="n">
        <x:f>IF(H239="CM-HCG",K239*'01 Controls'!$E$25,0)</x:f>
        <x:v>42</x:v>
      </x:c>
      <x:c r="AE239" s="20" t="n">
        <x:f>IF(H239="CM-HCG",K239*'01 Controls'!$E$26,0)</x:f>
        <x:v>60</x:v>
      </x:c>
      <x:c r="AF239" s="20" t="n">
        <x:f>IF(H239="CM-HCG",K239*'01 Controls'!$E$27,0)</x:f>
        <x:v>54</x:v>
      </x:c>
    </x:row>
    <x:row r="240">
      <x:c r="C240" s="22" t="str">
        <x:v>M2-CM-CTN</x:v>
      </x:c>
      <x:c r="D240" s="22" t="n">
        <x:v>235</x:v>
      </x:c>
      <x:c r="E240" s="22" t="str">
        <x:v>M2</x:v>
      </x:c>
      <x:c r="F240" s="22" t="str">
        <x:v>Urban heat</x:v>
      </x:c>
      <x:c r="G240" s="22" t="n">
        <x:v>5</x:v>
      </x:c>
      <x:c r="H240" s="22" t="str">
        <x:v>CM-CTN</x:v>
      </x:c>
      <x:c r="I240" s="22" t="str">
        <x:v>Civil Mobility and Continuity</x:v>
      </x:c>
      <x:c r="J240" s="22" t="str">
        <x:v>Continuity transfer-node group</x:v>
      </x:c>
      <x:c r="K240" s="23" t="n">
        <x:v>4</x:v>
      </x:c>
      <x:c r="L240" s="23" t="n">
        <x:v>2289</x:v>
      </x:c>
      <x:c r="M240" s="23" t="n">
        <x:v>489</x:v>
      </x:c>
      <x:c r="N240" s="20" t="n">
        <x:f>K240*L240</x:f>
        <x:v>9156</x:v>
      </x:c>
      <x:c r="O240" s="19" t="n">
        <x:v>4513</x:v>
      </x:c>
      <x:c r="P240" s="17" t="n">
        <x:v>0.7</x:v>
      </x:c>
      <x:c r="Q240" s="20" t="n">
        <x:f>K240*O240*P240</x:f>
        <x:v>12636.4</x:v>
      </x:c>
      <x:c r="R240" s="20" t="n">
        <x:f>Q240*(1-'01 Controls'!$E$6)</x:f>
        <x:v>9477.3</x:v>
      </x:c>
      <x:c r="S240" s="19" t="n">
        <x:v>35</x:v>
      </x:c>
      <x:c r="T240" s="20" t="n">
        <x:f>K240*S240</x:f>
        <x:v>140</x:v>
      </x:c>
      <x:c r="U240" s="18" t="n">
        <x:f>'01 Controls'!E36</x:f>
        <x:v>0.05</x:v>
      </x:c>
      <x:c r="V240" s="20" t="n">
        <x:f>R240*U240</x:f>
        <x:v>473.865</x:v>
      </x:c>
      <x:c r="W240" s="18" t="n">
        <x:f>'01 Controls'!F36</x:f>
        <x:v>0</x:v>
      </x:c>
      <x:c r="X240" s="20" t="n">
        <x:f>R240*W240</x:f>
        <x:v>0</x:v>
      </x:c>
      <x:c r="Y240" s="18" t="n">
        <x:f>'01 Controls'!G36</x:f>
        <x:v>0.95</x:v>
      </x:c>
      <x:c r="Z240" s="20" t="n">
        <x:f>R240*Y240</x:f>
        <x:v>9003.435</x:v>
      </x:c>
      <x:c r="AA240" s="18" t="n">
        <x:f>'01 Controls'!H36</x:f>
        <x:v>0</x:v>
      </x:c>
      <x:c r="AB240" s="20" t="n">
        <x:f>R240*AA240</x:f>
        <x:v>0</x:v>
      </x:c>
      <x:c r="AC240" s="20" t="n">
        <x:f>IF(H240="CM-HCG",K240*'01 Controls'!$E$24,0)</x:f>
        <x:v>0</x:v>
      </x:c>
      <x:c r="AD240" s="20" t="n">
        <x:f>IF(H240="CM-HCG",K240*'01 Controls'!$E$25,0)</x:f>
        <x:v>0</x:v>
      </x:c>
      <x:c r="AE240" s="20" t="n">
        <x:f>IF(H240="CM-HCG",K240*'01 Controls'!$E$26,0)</x:f>
        <x:v>0</x:v>
      </x:c>
      <x:c r="AF240" s="20" t="n">
        <x:f>IF(H240="CM-HCG",K240*'01 Controls'!$E$27,0)</x:f>
        <x:v>0</x:v>
      </x:c>
    </x:row>
    <x:row r="241">
      <x:c r="C241" s="22" t="str">
        <x:v>M2-CM-RMG</x:v>
      </x:c>
      <x:c r="D241" s="22" t="n">
        <x:v>236</x:v>
      </x:c>
      <x:c r="E241" s="22" t="str">
        <x:v>M2</x:v>
      </x:c>
      <x:c r="F241" s="22" t="str">
        <x:v>Urban heat</x:v>
      </x:c>
      <x:c r="G241" s="22" t="n">
        <x:v>5</x:v>
      </x:c>
      <x:c r="H241" s="22" t="str">
        <x:v>CM-RMG</x:v>
      </x:c>
      <x:c r="I241" s="22" t="str">
        <x:v>Civil Mobility and Continuity</x:v>
      </x:c>
      <x:c r="J241" s="22" t="str">
        <x:v>Civil road-mobility group</x:v>
      </x:c>
      <x:c r="K241" s="23" t="n">
        <x:v>8</x:v>
      </x:c>
      <x:c r="L241" s="23" t="n">
        <x:v>900</x:v>
      </x:c>
      <x:c r="M241" s="23" t="n">
        <x:v>250</x:v>
      </x:c>
      <x:c r="N241" s="20" t="n">
        <x:f>K241*L241</x:f>
        <x:v>7200</x:v>
      </x:c>
      <x:c r="O241" s="19" t="n">
        <x:v>5000</x:v>
      </x:c>
      <x:c r="P241" s="17" t="n">
        <x:v>0.7</x:v>
      </x:c>
      <x:c r="Q241" s="20" t="n">
        <x:f>K241*O241*P241</x:f>
        <x:v>28000</x:v>
      </x:c>
      <x:c r="R241" s="20" t="n">
        <x:f>Q241*(1-'01 Controls'!$E$6)</x:f>
        <x:v>21000</x:v>
      </x:c>
      <x:c r="S241" s="19" t="n">
        <x:v>45</x:v>
      </x:c>
      <x:c r="T241" s="20" t="n">
        <x:f>K241*S241</x:f>
        <x:v>360</x:v>
      </x:c>
      <x:c r="U241" s="18" t="n">
        <x:f>'01 Controls'!E36</x:f>
        <x:v>0.05</x:v>
      </x:c>
      <x:c r="V241" s="20" t="n">
        <x:f>R241*U241</x:f>
        <x:v>1050</x:v>
      </x:c>
      <x:c r="W241" s="18" t="n">
        <x:f>'01 Controls'!F36</x:f>
        <x:v>0</x:v>
      </x:c>
      <x:c r="X241" s="20" t="n">
        <x:f>R241*W241</x:f>
        <x:v>0</x:v>
      </x:c>
      <x:c r="Y241" s="18" t="n">
        <x:f>'01 Controls'!G36</x:f>
        <x:v>0.95</x:v>
      </x:c>
      <x:c r="Z241" s="20" t="n">
        <x:f>R241*Y241</x:f>
        <x:v>19950</x:v>
      </x:c>
      <x:c r="AA241" s="18" t="n">
        <x:f>'01 Controls'!H36</x:f>
        <x:v>0</x:v>
      </x:c>
      <x:c r="AB241" s="20" t="n">
        <x:f>R241*AA241</x:f>
        <x:v>0</x:v>
      </x:c>
      <x:c r="AC241" s="20" t="n">
        <x:f>IF(H241="CM-HCG",K241*'01 Controls'!$E$24,0)</x:f>
        <x:v>0</x:v>
      </x:c>
      <x:c r="AD241" s="20" t="n">
        <x:f>IF(H241="CM-HCG",K241*'01 Controls'!$E$25,0)</x:f>
        <x:v>0</x:v>
      </x:c>
      <x:c r="AE241" s="20" t="n">
        <x:f>IF(H241="CM-HCG",K241*'01 Controls'!$E$26,0)</x:f>
        <x:v>0</x:v>
      </x:c>
      <x:c r="AF241" s="20" t="n">
        <x:f>IF(H241="CM-HCG",K241*'01 Controls'!$E$27,0)</x:f>
        <x:v>0</x:v>
      </x:c>
    </x:row>
    <x:row r="242">
      <x:c r="C242" s="22" t="str">
        <x:v>M2-CM-RLG</x:v>
      </x:c>
      <x:c r="D242" s="22" t="n">
        <x:v>237</x:v>
      </x:c>
      <x:c r="E242" s="22" t="str">
        <x:v>M2</x:v>
      </x:c>
      <x:c r="F242" s="22" t="str">
        <x:v>Urban heat</x:v>
      </x:c>
      <x:c r="G242" s="22" t="n">
        <x:v>5</x:v>
      </x:c>
      <x:c r="H242" s="22" t="str">
        <x:v>CM-RLG</x:v>
      </x:c>
      <x:c r="I242" s="22" t="str">
        <x:v>Civil Mobility and Continuity</x:v>
      </x:c>
      <x:c r="J242" s="22" t="str">
        <x:v>Civil rail-mobility group</x:v>
      </x:c>
      <x:c r="K242" s="23" t="n">
        <x:v>2</x:v>
      </x:c>
      <x:c r="L242" s="23" t="n">
        <x:v>500</x:v>
      </x:c>
      <x:c r="M242" s="23" t="n">
        <x:v>100</x:v>
      </x:c>
      <x:c r="N242" s="20" t="n">
        <x:f>K242*L242</x:f>
        <x:v>1000</x:v>
      </x:c>
      <x:c r="O242" s="19" t="n">
        <x:v>8000</x:v>
      </x:c>
      <x:c r="P242" s="17" t="n">
        <x:v>0.6</x:v>
      </x:c>
      <x:c r="Q242" s="20" t="n">
        <x:f>K242*O242*P242</x:f>
        <x:v>9600</x:v>
      </x:c>
      <x:c r="R242" s="20" t="n">
        <x:f>Q242*(1-'01 Controls'!$E$6)</x:f>
        <x:v>7200</x:v>
      </x:c>
      <x:c r="S242" s="19" t="n">
        <x:v>40</x:v>
      </x:c>
      <x:c r="T242" s="20" t="n">
        <x:f>K242*S242</x:f>
        <x:v>80</x:v>
      </x:c>
      <x:c r="U242" s="18" t="n">
        <x:f>'01 Controls'!E36</x:f>
        <x:v>0.05</x:v>
      </x:c>
      <x:c r="V242" s="20" t="n">
        <x:f>R242*U242</x:f>
        <x:v>360</x:v>
      </x:c>
      <x:c r="W242" s="18" t="n">
        <x:f>'01 Controls'!F36</x:f>
        <x:v>0</x:v>
      </x:c>
      <x:c r="X242" s="20" t="n">
        <x:f>R242*W242</x:f>
        <x:v>0</x:v>
      </x:c>
      <x:c r="Y242" s="18" t="n">
        <x:f>'01 Controls'!G36</x:f>
        <x:v>0.95</x:v>
      </x:c>
      <x:c r="Z242" s="20" t="n">
        <x:f>R242*Y242</x:f>
        <x:v>6840</x:v>
      </x:c>
      <x:c r="AA242" s="18" t="n">
        <x:f>'01 Controls'!H36</x:f>
        <x:v>0</x:v>
      </x:c>
      <x:c r="AB242" s="20" t="n">
        <x:f>R242*AA242</x:f>
        <x:v>0</x:v>
      </x:c>
      <x:c r="AC242" s="20" t="n">
        <x:f>IF(H242="CM-HCG",K242*'01 Controls'!$E$24,0)</x:f>
        <x:v>0</x:v>
      </x:c>
      <x:c r="AD242" s="20" t="n">
        <x:f>IF(H242="CM-HCG",K242*'01 Controls'!$E$25,0)</x:f>
        <x:v>0</x:v>
      </x:c>
      <x:c r="AE242" s="20" t="n">
        <x:f>IF(H242="CM-HCG",K242*'01 Controls'!$E$26,0)</x:f>
        <x:v>0</x:v>
      </x:c>
      <x:c r="AF242" s="20" t="n">
        <x:f>IF(H242="CM-HCG",K242*'01 Controls'!$E$27,0)</x:f>
        <x:v>0</x:v>
      </x:c>
    </x:row>
    <x:row r="243">
      <x:c r="C243" s="22" t="str">
        <x:v>M2-CM-AMG</x:v>
      </x:c>
      <x:c r="D243" s="22" t="n">
        <x:v>238</x:v>
      </x:c>
      <x:c r="E243" s="22" t="str">
        <x:v>M2</x:v>
      </x:c>
      <x:c r="F243" s="22" t="str">
        <x:v>Urban heat</x:v>
      </x:c>
      <x:c r="G243" s="22" t="n">
        <x:v>5</x:v>
      </x:c>
      <x:c r="H243" s="22" t="str">
        <x:v>CM-AMG</x:v>
      </x:c>
      <x:c r="I243" s="22" t="str">
        <x:v>Civil Mobility and Continuity</x:v>
      </x:c>
      <x:c r="J243" s="22" t="str">
        <x:v>Civil air-mobility group</x:v>
      </x:c>
      <x:c r="K243" s="23" t="n">
        <x:v>2</x:v>
      </x:c>
      <x:c r="L243" s="23" t="n">
        <x:v>600</x:v>
      </x:c>
      <x:c r="M243" s="23" t="n">
        <x:v>200</x:v>
      </x:c>
      <x:c r="N243" s="20" t="n">
        <x:f>K243*L243</x:f>
        <x:v>1200</x:v>
      </x:c>
      <x:c r="O243" s="19" t="n">
        <x:v>6000</x:v>
      </x:c>
      <x:c r="P243" s="17" t="n">
        <x:v>0.75</x:v>
      </x:c>
      <x:c r="Q243" s="20" t="n">
        <x:f>K243*O243*P243</x:f>
        <x:v>9000</x:v>
      </x:c>
      <x:c r="R243" s="20" t="n">
        <x:f>Q243*(1-'01 Controls'!$E$6)</x:f>
        <x:v>6750</x:v>
      </x:c>
      <x:c r="S243" s="19" t="n">
        <x:v>55</x:v>
      </x:c>
      <x:c r="T243" s="20" t="n">
        <x:f>K243*S243</x:f>
        <x:v>110</x:v>
      </x:c>
      <x:c r="U243" s="18" t="n">
        <x:f>'01 Controls'!E36</x:f>
        <x:v>0.05</x:v>
      </x:c>
      <x:c r="V243" s="20" t="n">
        <x:f>R243*U243</x:f>
        <x:v>337.5</x:v>
      </x:c>
      <x:c r="W243" s="18" t="n">
        <x:f>'01 Controls'!F36</x:f>
        <x:v>0</x:v>
      </x:c>
      <x:c r="X243" s="20" t="n">
        <x:f>R243*W243</x:f>
        <x:v>0</x:v>
      </x:c>
      <x:c r="Y243" s="18" t="n">
        <x:f>'01 Controls'!G36</x:f>
        <x:v>0.95</x:v>
      </x:c>
      <x:c r="Z243" s="20" t="n">
        <x:f>R243*Y243</x:f>
        <x:v>6412.5</x:v>
      </x:c>
      <x:c r="AA243" s="18" t="n">
        <x:f>'01 Controls'!H36</x:f>
        <x:v>0</x:v>
      </x:c>
      <x:c r="AB243" s="20" t="n">
        <x:f>R243*AA243</x:f>
        <x:v>0</x:v>
      </x:c>
      <x:c r="AC243" s="20" t="n">
        <x:f>IF(H243="CM-HCG",K243*'01 Controls'!$E$24,0)</x:f>
        <x:v>0</x:v>
      </x:c>
      <x:c r="AD243" s="20" t="n">
        <x:f>IF(H243="CM-HCG",K243*'01 Controls'!$E$25,0)</x:f>
        <x:v>0</x:v>
      </x:c>
      <x:c r="AE243" s="20" t="n">
        <x:f>IF(H243="CM-HCG",K243*'01 Controls'!$E$26,0)</x:f>
        <x:v>0</x:v>
      </x:c>
      <x:c r="AF243" s="20" t="n">
        <x:f>IF(H243="CM-HCG",K243*'01 Controls'!$E$27,0)</x:f>
        <x:v>0</x:v>
      </x:c>
    </x:row>
    <x:row r="244">
      <x:c r="C244" s="22" t="str">
        <x:v>M2-CM-WMG</x:v>
      </x:c>
      <x:c r="D244" s="22" t="n">
        <x:v>239</x:v>
      </x:c>
      <x:c r="E244" s="22" t="str">
        <x:v>M2</x:v>
      </x:c>
      <x:c r="F244" s="22" t="str">
        <x:v>Urban heat</x:v>
      </x:c>
      <x:c r="G244" s="22" t="n">
        <x:v>5</x:v>
      </x:c>
      <x:c r="H244" s="22" t="str">
        <x:v>CM-WMG</x:v>
      </x:c>
      <x:c r="I244" s="22" t="str">
        <x:v>Civil Mobility and Continuity</x:v>
      </x:c>
      <x:c r="J244" s="22" t="str">
        <x:v>Civil water-mobility group</x:v>
      </x:c>
      <x:c r="K244" s="23" t="n">
        <x:v>1</x:v>
      </x:c>
      <x:c r="L244" s="23" t="n">
        <x:v>500</x:v>
      </x:c>
      <x:c r="M244" s="23" t="n">
        <x:v>100</x:v>
      </x:c>
      <x:c r="N244" s="20" t="n">
        <x:f>K244*L244</x:f>
        <x:v>500</x:v>
      </x:c>
      <x:c r="O244" s="19" t="n">
        <x:v>9000</x:v>
      </x:c>
      <x:c r="P244" s="17" t="n">
        <x:v>0.5</x:v>
      </x:c>
      <x:c r="Q244" s="20" t="n">
        <x:f>K244*O244*P244</x:f>
        <x:v>4500</x:v>
      </x:c>
      <x:c r="R244" s="20" t="n">
        <x:f>Q244*(1-'01 Controls'!$E$6)</x:f>
        <x:v>3375</x:v>
      </x:c>
      <x:c r="S244" s="19" t="n">
        <x:v>50</x:v>
      </x:c>
      <x:c r="T244" s="20" t="n">
        <x:f>K244*S244</x:f>
        <x:v>50</x:v>
      </x:c>
      <x:c r="U244" s="18" t="n">
        <x:f>'01 Controls'!E36</x:f>
        <x:v>0.05</x:v>
      </x:c>
      <x:c r="V244" s="20" t="n">
        <x:f>R244*U244</x:f>
        <x:v>168.75</x:v>
      </x:c>
      <x:c r="W244" s="18" t="n">
        <x:f>'01 Controls'!F36</x:f>
        <x:v>0</x:v>
      </x:c>
      <x:c r="X244" s="20" t="n">
        <x:f>R244*W244</x:f>
        <x:v>0</x:v>
      </x:c>
      <x:c r="Y244" s="18" t="n">
        <x:f>'01 Controls'!G36</x:f>
        <x:v>0.95</x:v>
      </x:c>
      <x:c r="Z244" s="20" t="n">
        <x:f>R244*Y244</x:f>
        <x:v>3206.25</x:v>
      </x:c>
      <x:c r="AA244" s="18" t="n">
        <x:f>'01 Controls'!H36</x:f>
        <x:v>0</x:v>
      </x:c>
      <x:c r="AB244" s="20" t="n">
        <x:f>R244*AA244</x:f>
        <x:v>0</x:v>
      </x:c>
      <x:c r="AC244" s="20" t="n">
        <x:f>IF(H244="CM-HCG",K244*'01 Controls'!$E$24,0)</x:f>
        <x:v>0</x:v>
      </x:c>
      <x:c r="AD244" s="20" t="n">
        <x:f>IF(H244="CM-HCG",K244*'01 Controls'!$E$25,0)</x:f>
        <x:v>0</x:v>
      </x:c>
      <x:c r="AE244" s="20" t="n">
        <x:f>IF(H244="CM-HCG",K244*'01 Controls'!$E$26,0)</x:f>
        <x:v>0</x:v>
      </x:c>
      <x:c r="AF244" s="20" t="n">
        <x:f>IF(H244="CM-HCG",K244*'01 Controls'!$E$27,0)</x:f>
        <x:v>0</x:v>
      </x:c>
    </x:row>
    <x:row r="245">
      <x:c r="C245" s="22" t="str">
        <x:v>M2-CM-RDC</x:v>
      </x:c>
      <x:c r="D245" s="22" t="n">
        <x:v>240</x:v>
      </x:c>
      <x:c r="E245" s="22" t="str">
        <x:v>M2</x:v>
      </x:c>
      <x:c r="F245" s="22" t="str">
        <x:v>Urban heat</x:v>
      </x:c>
      <x:c r="G245" s="22" t="n">
        <x:v>5</x:v>
      </x:c>
      <x:c r="H245" s="22" t="str">
        <x:v>CM-RDC</x:v>
      </x:c>
      <x:c r="I245" s="22" t="str">
        <x:v>Civil Mobility and Continuity</x:v>
      </x:c>
      <x:c r="J245" s="22" t="str">
        <x:v>Return and durable-continuity group</x:v>
      </x:c>
      <x:c r="K245" s="23" t="n">
        <x:v>5</x:v>
      </x:c>
      <x:c r="L245" s="23" t="n">
        <x:v>450</x:v>
      </x:c>
      <x:c r="M245" s="23" t="n">
        <x:v>50</x:v>
      </x:c>
      <x:c r="N245" s="20" t="n">
        <x:f>K245*L245</x:f>
        <x:v>2250</x:v>
      </x:c>
      <x:c r="O245" s="19" t="n">
        <x:v>1800</x:v>
      </x:c>
      <x:c r="P245" s="17" t="n">
        <x:v>0.5</x:v>
      </x:c>
      <x:c r="Q245" s="20" t="n">
        <x:f>K245*O245*P245</x:f>
        <x:v>4500</x:v>
      </x:c>
      <x:c r="R245" s="20" t="n">
        <x:f>Q245*(1-'01 Controls'!$E$6)</x:f>
        <x:v>3375</x:v>
      </x:c>
      <x:c r="S245" s="19" t="n">
        <x:v>25</x:v>
      </x:c>
      <x:c r="T245" s="20" t="n">
        <x:f>K245*S245</x:f>
        <x:v>125</x:v>
      </x:c>
      <x:c r="U245" s="18" t="n">
        <x:f>'01 Controls'!E36</x:f>
        <x:v>0.05</x:v>
      </x:c>
      <x:c r="V245" s="20" t="n">
        <x:f>R245*U245</x:f>
        <x:v>168.75</x:v>
      </x:c>
      <x:c r="W245" s="18" t="n">
        <x:f>'01 Controls'!F36</x:f>
        <x:v>0</x:v>
      </x:c>
      <x:c r="X245" s="20" t="n">
        <x:f>R245*W245</x:f>
        <x:v>0</x:v>
      </x:c>
      <x:c r="Y245" s="18" t="n">
        <x:f>'01 Controls'!G36</x:f>
        <x:v>0.95</x:v>
      </x:c>
      <x:c r="Z245" s="20" t="n">
        <x:f>R245*Y245</x:f>
        <x:v>3206.25</x:v>
      </x:c>
      <x:c r="AA245" s="18" t="n">
        <x:f>'01 Controls'!H36</x:f>
        <x:v>0</x:v>
      </x:c>
      <x:c r="AB245" s="20" t="n">
        <x:f>R245*AA245</x:f>
        <x:v>0</x:v>
      </x:c>
      <x:c r="AC245" s="20" t="n">
        <x:f>IF(H245="CM-HCG",K245*'01 Controls'!$E$24,0)</x:f>
        <x:v>0</x:v>
      </x:c>
      <x:c r="AD245" s="20" t="n">
        <x:f>IF(H245="CM-HCG",K245*'01 Controls'!$E$25,0)</x:f>
        <x:v>0</x:v>
      </x:c>
      <x:c r="AE245" s="20" t="n">
        <x:f>IF(H245="CM-HCG",K245*'01 Controls'!$E$26,0)</x:f>
        <x:v>0</x:v>
      </x:c>
      <x:c r="AF245" s="20" t="n">
        <x:f>IF(H245="CM-HCG",K245*'01 Controls'!$E$27,0)</x:f>
        <x:v>0</x:v>
      </x:c>
    </x:row>
    <x:row r="246">
      <x:c r="C246" s="22" t="str">
        <x:v>M3-J-CIE</x:v>
      </x:c>
      <x:c r="D246" s="22" t="n">
        <x:v>241</x:v>
      </x:c>
      <x:c r="E246" s="22" t="str">
        <x:v>M3</x:v>
      </x:c>
      <x:c r="F246" s="22" t="str">
        <x:v>Inland flood</x:v>
      </x:c>
      <x:c r="G246" s="22" t="n">
        <x:v>6</x:v>
      </x:c>
      <x:c r="H246" s="22" t="str">
        <x:v>J-CIE</x:v>
      </x:c>
      <x:c r="I246" s="22" t="str">
        <x:v>Joint</x:v>
      </x:c>
      <x:c r="J246" s="22" t="str">
        <x:v>Civil integration and effects group</x:v>
      </x:c>
      <x:c r="K246" s="23" t="n">
        <x:v>3</x:v>
      </x:c>
      <x:c r="L246" s="23" t="n">
        <x:v>120</x:v>
      </x:c>
      <x:c r="M246" s="23" t="n">
        <x:v>0</x:v>
      </x:c>
      <x:c r="N246" s="20" t="n">
        <x:f>K246*L246</x:f>
        <x:v>360</x:v>
      </x:c>
      <x:c r="O246" s="19" t="n">
        <x:v>2200</x:v>
      </x:c>
      <x:c r="P246" s="17" t="n">
        <x:v>0.65</x:v>
      </x:c>
      <x:c r="Q246" s="20" t="n">
        <x:f>K246*O246*P246</x:f>
        <x:v>4290</x:v>
      </x:c>
      <x:c r="R246" s="20" t="n">
        <x:f>Q246*(1-'01 Controls'!$E$6)</x:f>
        <x:v>3217.5</x:v>
      </x:c>
      <x:c r="S246" s="19" t="n">
        <x:v>45</x:v>
      </x:c>
      <x:c r="T246" s="20" t="n">
        <x:f>K246*S246</x:f>
        <x:v>135</x:v>
      </x:c>
      <x:c r="U246" s="18" t="n">
        <x:f>'01 Controls'!E37</x:f>
        <x:v>0.05</x:v>
      </x:c>
      <x:c r="V246" s="20" t="n">
        <x:f>R246*U246</x:f>
        <x:v>160.875</x:v>
      </x:c>
      <x:c r="W246" s="18" t="n">
        <x:f>'01 Controls'!F37</x:f>
        <x:v>0</x:v>
      </x:c>
      <x:c r="X246" s="20" t="n">
        <x:f>R246*W246</x:f>
        <x:v>0</x:v>
      </x:c>
      <x:c r="Y246" s="18" t="n">
        <x:f>'01 Controls'!G37</x:f>
        <x:v>0.7</x:v>
      </x:c>
      <x:c r="Z246" s="20" t="n">
        <x:f>R246*Y246</x:f>
        <x:v>2252.25</x:v>
      </x:c>
      <x:c r="AA246" s="18" t="n">
        <x:f>'01 Controls'!H37</x:f>
        <x:v>0.25</x:v>
      </x:c>
      <x:c r="AB246" s="20" t="n">
        <x:f>R246*AA246</x:f>
        <x:v>804.375</x:v>
      </x:c>
      <x:c r="AC246" s="20" t="n">
        <x:f>IF(H246="CM-HCG",K246*'01 Controls'!$E$24,0)</x:f>
        <x:v>0</x:v>
      </x:c>
      <x:c r="AD246" s="20" t="n">
        <x:f>IF(H246="CM-HCG",K246*'01 Controls'!$E$25,0)</x:f>
        <x:v>0</x:v>
      </x:c>
      <x:c r="AE246" s="20" t="n">
        <x:f>IF(H246="CM-HCG",K246*'01 Controls'!$E$26,0)</x:f>
        <x:v>0</x:v>
      </x:c>
      <x:c r="AF246" s="20" t="n">
        <x:f>IF(H246="CM-HCG",K246*'01 Controls'!$E$27,0)</x:f>
        <x:v>0</x:v>
      </x:c>
    </x:row>
    <x:row r="247">
      <x:c r="C247" s="22" t="str">
        <x:v>M3-J-TOC</x:v>
      </x:c>
      <x:c r="D247" s="22" t="n">
        <x:v>242</x:v>
      </x:c>
      <x:c r="E247" s="22" t="str">
        <x:v>M3</x:v>
      </x:c>
      <x:c r="F247" s="22" t="str">
        <x:v>Inland flood</x:v>
      </x:c>
      <x:c r="G247" s="22" t="n">
        <x:v>6</x:v>
      </x:c>
      <x:c r="H247" s="22" t="str">
        <x:v>J-TOC</x:v>
      </x:c>
      <x:c r="I247" s="22" t="str">
        <x:v>Joint</x:v>
      </x:c>
      <x:c r="J247" s="22" t="str">
        <x:v>Theater-opening command</x:v>
      </x:c>
      <x:c r="K247" s="23" t="n">
        <x:v>2</x:v>
      </x:c>
      <x:c r="L247" s="23" t="n">
        <x:v>600</x:v>
      </x:c>
      <x:c r="M247" s="23" t="n">
        <x:v>0</x:v>
      </x:c>
      <x:c r="N247" s="20" t="n">
        <x:f>K247*L247</x:f>
        <x:v>1200</x:v>
      </x:c>
      <x:c r="O247" s="19" t="n">
        <x:v>2200</x:v>
      </x:c>
      <x:c r="P247" s="17" t="n">
        <x:v>0.65</x:v>
      </x:c>
      <x:c r="Q247" s="20" t="n">
        <x:f>K247*O247*P247</x:f>
        <x:v>2860</x:v>
      </x:c>
      <x:c r="R247" s="20" t="n">
        <x:f>Q247*(1-'01 Controls'!$E$6)</x:f>
        <x:v>2145</x:v>
      </x:c>
      <x:c r="S247" s="19" t="n">
        <x:v>45</x:v>
      </x:c>
      <x:c r="T247" s="20" t="n">
        <x:f>K247*S247</x:f>
        <x:v>90</x:v>
      </x:c>
      <x:c r="U247" s="18" t="n">
        <x:f>'01 Controls'!E37</x:f>
        <x:v>0.05</x:v>
      </x:c>
      <x:c r="V247" s="20" t="n">
        <x:f>R247*U247</x:f>
        <x:v>107.25</x:v>
      </x:c>
      <x:c r="W247" s="18" t="n">
        <x:f>'01 Controls'!F37</x:f>
        <x:v>0</x:v>
      </x:c>
      <x:c r="X247" s="20" t="n">
        <x:f>R247*W247</x:f>
        <x:v>0</x:v>
      </x:c>
      <x:c r="Y247" s="18" t="n">
        <x:f>'01 Controls'!G37</x:f>
        <x:v>0.7</x:v>
      </x:c>
      <x:c r="Z247" s="20" t="n">
        <x:f>R247*Y247</x:f>
        <x:v>1501.5</x:v>
      </x:c>
      <x:c r="AA247" s="18" t="n">
        <x:f>'01 Controls'!H37</x:f>
        <x:v>0.25</x:v>
      </x:c>
      <x:c r="AB247" s="20" t="n">
        <x:f>R247*AA247</x:f>
        <x:v>536.25</x:v>
      </x:c>
      <x:c r="AC247" s="20" t="n">
        <x:f>IF(H247="CM-HCG",K247*'01 Controls'!$E$24,0)</x:f>
        <x:v>0</x:v>
      </x:c>
      <x:c r="AD247" s="20" t="n">
        <x:f>IF(H247="CM-HCG",K247*'01 Controls'!$E$25,0)</x:f>
        <x:v>0</x:v>
      </x:c>
      <x:c r="AE247" s="20" t="n">
        <x:f>IF(H247="CM-HCG",K247*'01 Controls'!$E$26,0)</x:f>
        <x:v>0</x:v>
      </x:c>
      <x:c r="AF247" s="20" t="n">
        <x:f>IF(H247="CM-HCG",K247*'01 Controls'!$E$27,0)</x:f>
        <x:v>0</x:v>
      </x:c>
    </x:row>
    <x:row r="248">
      <x:c r="C248" s="22" t="str">
        <x:v>M3-J-TSC</x:v>
      </x:c>
      <x:c r="D248" s="22" t="n">
        <x:v>243</x:v>
      </x:c>
      <x:c r="E248" s="22" t="str">
        <x:v>M3</x:v>
      </x:c>
      <x:c r="F248" s="22" t="str">
        <x:v>Inland flood</x:v>
      </x:c>
      <x:c r="G248" s="22" t="n">
        <x:v>6</x:v>
      </x:c>
      <x:c r="H248" s="22" t="str">
        <x:v>J-TSC</x:v>
      </x:c>
      <x:c r="I248" s="22" t="str">
        <x:v>Joint</x:v>
      </x:c>
      <x:c r="J248" s="22" t="str">
        <x:v>Theater sustainment command</x:v>
      </x:c>
      <x:c r="K248" s="23" t="n">
        <x:v>3</x:v>
      </x:c>
      <x:c r="L248" s="23" t="n">
        <x:v>900</x:v>
      </x:c>
      <x:c r="M248" s="23" t="n">
        <x:v>0</x:v>
      </x:c>
      <x:c r="N248" s="20" t="n">
        <x:f>K248*L248</x:f>
        <x:v>2700</x:v>
      </x:c>
      <x:c r="O248" s="19" t="n">
        <x:v>2200</x:v>
      </x:c>
      <x:c r="P248" s="17" t="n">
        <x:v>0.65</x:v>
      </x:c>
      <x:c r="Q248" s="20" t="n">
        <x:f>K248*O248*P248</x:f>
        <x:v>4290</x:v>
      </x:c>
      <x:c r="R248" s="20" t="n">
        <x:f>Q248*(1-'01 Controls'!$E$6)</x:f>
        <x:v>3217.5</x:v>
      </x:c>
      <x:c r="S248" s="19" t="n">
        <x:v>45</x:v>
      </x:c>
      <x:c r="T248" s="20" t="n">
        <x:f>K248*S248</x:f>
        <x:v>135</x:v>
      </x:c>
      <x:c r="U248" s="18" t="n">
        <x:f>'01 Controls'!E37</x:f>
        <x:v>0.05</x:v>
      </x:c>
      <x:c r="V248" s="20" t="n">
        <x:f>R248*U248</x:f>
        <x:v>160.875</x:v>
      </x:c>
      <x:c r="W248" s="18" t="n">
        <x:f>'01 Controls'!F37</x:f>
        <x:v>0</x:v>
      </x:c>
      <x:c r="X248" s="20" t="n">
        <x:f>R248*W248</x:f>
        <x:v>0</x:v>
      </x:c>
      <x:c r="Y248" s="18" t="n">
        <x:f>'01 Controls'!G37</x:f>
        <x:v>0.7</x:v>
      </x:c>
      <x:c r="Z248" s="20" t="n">
        <x:f>R248*Y248</x:f>
        <x:v>2252.25</x:v>
      </x:c>
      <x:c r="AA248" s="18" t="n">
        <x:f>'01 Controls'!H37</x:f>
        <x:v>0.25</x:v>
      </x:c>
      <x:c r="AB248" s="20" t="n">
        <x:f>R248*AA248</x:f>
        <x:v>804.375</x:v>
      </x:c>
      <x:c r="AC248" s="20" t="n">
        <x:f>IF(H248="CM-HCG",K248*'01 Controls'!$E$24,0)</x:f>
        <x:v>0</x:v>
      </x:c>
      <x:c r="AD248" s="20" t="n">
        <x:f>IF(H248="CM-HCG",K248*'01 Controls'!$E$25,0)</x:f>
        <x:v>0</x:v>
      </x:c>
      <x:c r="AE248" s="20" t="n">
        <x:f>IF(H248="CM-HCG",K248*'01 Controls'!$E$26,0)</x:f>
        <x:v>0</x:v>
      </x:c>
      <x:c r="AF248" s="20" t="n">
        <x:f>IF(H248="CM-HCG",K248*'01 Controls'!$E$27,0)</x:f>
        <x:v>0</x:v>
      </x:c>
    </x:row>
    <x:row r="249">
      <x:c r="C249" s="22" t="str">
        <x:v>M3-J-RRG</x:v>
      </x:c>
      <x:c r="D249" s="22" t="n">
        <x:v>244</x:v>
      </x:c>
      <x:c r="E249" s="22" t="str">
        <x:v>M3</x:v>
      </x:c>
      <x:c r="F249" s="22" t="str">
        <x:v>Inland flood</x:v>
      </x:c>
      <x:c r="G249" s="22" t="n">
        <x:v>6</x:v>
      </x:c>
      <x:c r="H249" s="22" t="str">
        <x:v>J-RRG</x:v>
      </x:c>
      <x:c r="I249" s="22" t="str">
        <x:v>Joint</x:v>
      </x:c>
      <x:c r="J249" s="22" t="str">
        <x:v>Replacement and reconstitution group</x:v>
      </x:c>
      <x:c r="K249" s="23" t="n">
        <x:v>3</x:v>
      </x:c>
      <x:c r="L249" s="23" t="n">
        <x:v>400</x:v>
      </x:c>
      <x:c r="M249" s="23" t="n">
        <x:v>0</x:v>
      </x:c>
      <x:c r="N249" s="20" t="n">
        <x:f>K249*L249</x:f>
        <x:v>1200</x:v>
      </x:c>
      <x:c r="O249" s="19" t="n">
        <x:v>2200</x:v>
      </x:c>
      <x:c r="P249" s="17" t="n">
        <x:v>0.65</x:v>
      </x:c>
      <x:c r="Q249" s="20" t="n">
        <x:f>K249*O249*P249</x:f>
        <x:v>4290</x:v>
      </x:c>
      <x:c r="R249" s="20" t="n">
        <x:f>Q249*(1-'01 Controls'!$E$6)</x:f>
        <x:v>3217.5</x:v>
      </x:c>
      <x:c r="S249" s="19" t="n">
        <x:v>45</x:v>
      </x:c>
      <x:c r="T249" s="20" t="n">
        <x:f>K249*S249</x:f>
        <x:v>135</x:v>
      </x:c>
      <x:c r="U249" s="18" t="n">
        <x:f>'01 Controls'!E37</x:f>
        <x:v>0.05</x:v>
      </x:c>
      <x:c r="V249" s="20" t="n">
        <x:f>R249*U249</x:f>
        <x:v>160.875</x:v>
      </x:c>
      <x:c r="W249" s="18" t="n">
        <x:f>'01 Controls'!F37</x:f>
        <x:v>0</x:v>
      </x:c>
      <x:c r="X249" s="20" t="n">
        <x:f>R249*W249</x:f>
        <x:v>0</x:v>
      </x:c>
      <x:c r="Y249" s="18" t="n">
        <x:f>'01 Controls'!G37</x:f>
        <x:v>0.7</x:v>
      </x:c>
      <x:c r="Z249" s="20" t="n">
        <x:f>R249*Y249</x:f>
        <x:v>2252.25</x:v>
      </x:c>
      <x:c r="AA249" s="18" t="n">
        <x:f>'01 Controls'!H37</x:f>
        <x:v>0.25</x:v>
      </x:c>
      <x:c r="AB249" s="20" t="n">
        <x:f>R249*AA249</x:f>
        <x:v>804.375</x:v>
      </x:c>
      <x:c r="AC249" s="20" t="n">
        <x:f>IF(H249="CM-HCG",K249*'01 Controls'!$E$24,0)</x:f>
        <x:v>0</x:v>
      </x:c>
      <x:c r="AD249" s="20" t="n">
        <x:f>IF(H249="CM-HCG",K249*'01 Controls'!$E$25,0)</x:f>
        <x:v>0</x:v>
      </x:c>
      <x:c r="AE249" s="20" t="n">
        <x:f>IF(H249="CM-HCG",K249*'01 Controls'!$E$26,0)</x:f>
        <x:v>0</x:v>
      </x:c>
      <x:c r="AF249" s="20" t="n">
        <x:f>IF(H249="CM-HCG",K249*'01 Controls'!$E$27,0)</x:f>
        <x:v>0</x:v>
      </x:c>
    </x:row>
    <x:row r="250">
      <x:c r="C250" s="22" t="str">
        <x:v>M3-J-TDG</x:v>
      </x:c>
      <x:c r="D250" s="22" t="n">
        <x:v>245</x:v>
      </x:c>
      <x:c r="E250" s="22" t="str">
        <x:v>M3</x:v>
      </x:c>
      <x:c r="F250" s="22" t="str">
        <x:v>Inland flood</x:v>
      </x:c>
      <x:c r="G250" s="22" t="n">
        <x:v>6</x:v>
      </x:c>
      <x:c r="H250" s="22" t="str">
        <x:v>J-TDG</x:v>
      </x:c>
      <x:c r="I250" s="22" t="str">
        <x:v>Joint</x:v>
      </x:c>
      <x:c r="J250" s="22" t="str">
        <x:v>Transfer and demobilization group</x:v>
      </x:c>
      <x:c r="K250" s="23" t="n">
        <x:v>2</x:v>
      </x:c>
      <x:c r="L250" s="23" t="n">
        <x:v>150</x:v>
      </x:c>
      <x:c r="M250" s="23" t="n">
        <x:v>0</x:v>
      </x:c>
      <x:c r="N250" s="20" t="n">
        <x:f>K250*L250</x:f>
        <x:v>300</x:v>
      </x:c>
      <x:c r="O250" s="19" t="n">
        <x:v>2200</x:v>
      </x:c>
      <x:c r="P250" s="17" t="n">
        <x:v>0.65</x:v>
      </x:c>
      <x:c r="Q250" s="20" t="n">
        <x:f>K250*O250*P250</x:f>
        <x:v>2860</x:v>
      </x:c>
      <x:c r="R250" s="20" t="n">
        <x:f>Q250*(1-'01 Controls'!$E$6)</x:f>
        <x:v>2145</x:v>
      </x:c>
      <x:c r="S250" s="19" t="n">
        <x:v>45</x:v>
      </x:c>
      <x:c r="T250" s="20" t="n">
        <x:f>K250*S250</x:f>
        <x:v>90</x:v>
      </x:c>
      <x:c r="U250" s="18" t="n">
        <x:f>'01 Controls'!E37</x:f>
        <x:v>0.05</x:v>
      </x:c>
      <x:c r="V250" s="20" t="n">
        <x:f>R250*U250</x:f>
        <x:v>107.25</x:v>
      </x:c>
      <x:c r="W250" s="18" t="n">
        <x:f>'01 Controls'!F37</x:f>
        <x:v>0</x:v>
      </x:c>
      <x:c r="X250" s="20" t="n">
        <x:f>R250*W250</x:f>
        <x:v>0</x:v>
      </x:c>
      <x:c r="Y250" s="18" t="n">
        <x:f>'01 Controls'!G37</x:f>
        <x:v>0.7</x:v>
      </x:c>
      <x:c r="Z250" s="20" t="n">
        <x:f>R250*Y250</x:f>
        <x:v>1501.5</x:v>
      </x:c>
      <x:c r="AA250" s="18" t="n">
        <x:f>'01 Controls'!H37</x:f>
        <x:v>0.25</x:v>
      </x:c>
      <x:c r="AB250" s="20" t="n">
        <x:f>R250*AA250</x:f>
        <x:v>536.25</x:v>
      </x:c>
      <x:c r="AC250" s="20" t="n">
        <x:f>IF(H250="CM-HCG",K250*'01 Controls'!$E$24,0)</x:f>
        <x:v>0</x:v>
      </x:c>
      <x:c r="AD250" s="20" t="n">
        <x:f>IF(H250="CM-HCG",K250*'01 Controls'!$E$25,0)</x:f>
        <x:v>0</x:v>
      </x:c>
      <x:c r="AE250" s="20" t="n">
        <x:f>IF(H250="CM-HCG",K250*'01 Controls'!$E$26,0)</x:f>
        <x:v>0</x:v>
      </x:c>
      <x:c r="AF250" s="20" t="n">
        <x:f>IF(H250="CM-HCG",K250*'01 Controls'!$E$27,0)</x:f>
        <x:v>0</x:v>
      </x:c>
    </x:row>
    <x:row r="251">
      <x:c r="C251" s="22" t="str">
        <x:v>M3-L-ROG</x:v>
      </x:c>
      <x:c r="D251" s="22" t="n">
        <x:v>246</x:v>
      </x:c>
      <x:c r="E251" s="22" t="str">
        <x:v>M3</x:v>
      </x:c>
      <x:c r="F251" s="22" t="str">
        <x:v>Inland flood</x:v>
      </x:c>
      <x:c r="G251" s="22" t="n">
        <x:v>6</x:v>
      </x:c>
      <x:c r="H251" s="22" t="str">
        <x:v>L-ROG</x:v>
      </x:c>
      <x:c r="I251" s="22" t="str">
        <x:v>Land Engineering</x:v>
      </x:c>
      <x:c r="J251" s="22" t="str">
        <x:v>Access and route-opening group</x:v>
      </x:c>
      <x:c r="K251" s="23" t="n">
        <x:v>8</x:v>
      </x:c>
      <x:c r="L251" s="23" t="n">
        <x:v>350</x:v>
      </x:c>
      <x:c r="M251" s="23" t="n">
        <x:v>0</x:v>
      </x:c>
      <x:c r="N251" s="20" t="n">
        <x:f>K251*L251</x:f>
        <x:v>2800</x:v>
      </x:c>
      <x:c r="O251" s="19" t="n">
        <x:v>9000</x:v>
      </x:c>
      <x:c r="P251" s="17" t="n">
        <x:v>0.45</x:v>
      </x:c>
      <x:c r="Q251" s="20" t="n">
        <x:f>K251*O251*P251</x:f>
        <x:v>32400</x:v>
      </x:c>
      <x:c r="R251" s="20" t="n">
        <x:f>Q251*(1-'01 Controls'!$E$6)</x:f>
        <x:v>24300</x:v>
      </x:c>
      <x:c r="S251" s="19" t="n">
        <x:v>90</x:v>
      </x:c>
      <x:c r="T251" s="20" t="n">
        <x:f>K251*S251</x:f>
        <x:v>720</x:v>
      </x:c>
      <x:c r="U251" s="18" t="n">
        <x:f>'01 Controls'!E37</x:f>
        <x:v>0.05</x:v>
      </x:c>
      <x:c r="V251" s="20" t="n">
        <x:f>R251*U251</x:f>
        <x:v>1215</x:v>
      </x:c>
      <x:c r="W251" s="18" t="n">
        <x:f>'01 Controls'!F37</x:f>
        <x:v>0</x:v>
      </x:c>
      <x:c r="X251" s="20" t="n">
        <x:f>R251*W251</x:f>
        <x:v>0</x:v>
      </x:c>
      <x:c r="Y251" s="18" t="n">
        <x:f>'01 Controls'!G37</x:f>
        <x:v>0.7</x:v>
      </x:c>
      <x:c r="Z251" s="20" t="n">
        <x:f>R251*Y251</x:f>
        <x:v>17010</x:v>
      </x:c>
      <x:c r="AA251" s="18" t="n">
        <x:f>'01 Controls'!H37</x:f>
        <x:v>0.25</x:v>
      </x:c>
      <x:c r="AB251" s="20" t="n">
        <x:f>R251*AA251</x:f>
        <x:v>6075</x:v>
      </x:c>
      <x:c r="AC251" s="20" t="n">
        <x:f>IF(H251="CM-HCG",K251*'01 Controls'!$E$24,0)</x:f>
        <x:v>0</x:v>
      </x:c>
      <x:c r="AD251" s="20" t="n">
        <x:f>IF(H251="CM-HCG",K251*'01 Controls'!$E$25,0)</x:f>
        <x:v>0</x:v>
      </x:c>
      <x:c r="AE251" s="20" t="n">
        <x:f>IF(H251="CM-HCG",K251*'01 Controls'!$E$26,0)</x:f>
        <x:v>0</x:v>
      </x:c>
      <x:c r="AF251" s="20" t="n">
        <x:f>IF(H251="CM-HCG",K251*'01 Controls'!$E$27,0)</x:f>
        <x:v>0</x:v>
      </x:c>
    </x:row>
    <x:row r="252">
      <x:c r="C252" s="22" t="str">
        <x:v>M3-L-HCG</x:v>
      </x:c>
      <x:c r="D252" s="22" t="n">
        <x:v>247</x:v>
      </x:c>
      <x:c r="E252" s="22" t="str">
        <x:v>M3</x:v>
      </x:c>
      <x:c r="F252" s="22" t="str">
        <x:v>Inland flood</x:v>
      </x:c>
      <x:c r="G252" s="22" t="n">
        <x:v>6</x:v>
      </x:c>
      <x:c r="H252" s="22" t="str">
        <x:v>L-HCG</x:v>
      </x:c>
      <x:c r="I252" s="22" t="str">
        <x:v>Land Engineering</x:v>
      </x:c>
      <x:c r="J252" s="22" t="str">
        <x:v>Flood and hydraulic-control group</x:v>
      </x:c>
      <x:c r="K252" s="23" t="n">
        <x:v>12</x:v>
      </x:c>
      <x:c r="L252" s="23" t="n">
        <x:v>500</x:v>
      </x:c>
      <x:c r="M252" s="23" t="n">
        <x:v>0</x:v>
      </x:c>
      <x:c r="N252" s="20" t="n">
        <x:f>K252*L252</x:f>
        <x:v>6000</x:v>
      </x:c>
      <x:c r="O252" s="19" t="n">
        <x:v>9000</x:v>
      </x:c>
      <x:c r="P252" s="17" t="n">
        <x:v>0.45</x:v>
      </x:c>
      <x:c r="Q252" s="20" t="n">
        <x:f>K252*O252*P252</x:f>
        <x:v>48600</x:v>
      </x:c>
      <x:c r="R252" s="20" t="n">
        <x:f>Q252*(1-'01 Controls'!$E$6)</x:f>
        <x:v>36450</x:v>
      </x:c>
      <x:c r="S252" s="19" t="n">
        <x:v>90</x:v>
      </x:c>
      <x:c r="T252" s="20" t="n">
        <x:f>K252*S252</x:f>
        <x:v>1080</x:v>
      </x:c>
      <x:c r="U252" s="18" t="n">
        <x:f>'01 Controls'!E37</x:f>
        <x:v>0.05</x:v>
      </x:c>
      <x:c r="V252" s="20" t="n">
        <x:f>R252*U252</x:f>
        <x:v>1822.5</x:v>
      </x:c>
      <x:c r="W252" s="18" t="n">
        <x:f>'01 Controls'!F37</x:f>
        <x:v>0</x:v>
      </x:c>
      <x:c r="X252" s="20" t="n">
        <x:f>R252*W252</x:f>
        <x:v>0</x:v>
      </x:c>
      <x:c r="Y252" s="18" t="n">
        <x:f>'01 Controls'!G37</x:f>
        <x:v>0.7</x:v>
      </x:c>
      <x:c r="Z252" s="20" t="n">
        <x:f>R252*Y252</x:f>
        <x:v>25515</x:v>
      </x:c>
      <x:c r="AA252" s="18" t="n">
        <x:f>'01 Controls'!H37</x:f>
        <x:v>0.25</x:v>
      </x:c>
      <x:c r="AB252" s="20" t="n">
        <x:f>R252*AA252</x:f>
        <x:v>9112.5</x:v>
      </x:c>
      <x:c r="AC252" s="20" t="n">
        <x:f>IF(H252="CM-HCG",K252*'01 Controls'!$E$24,0)</x:f>
        <x:v>0</x:v>
      </x:c>
      <x:c r="AD252" s="20" t="n">
        <x:f>IF(H252="CM-HCG",K252*'01 Controls'!$E$25,0)</x:f>
        <x:v>0</x:v>
      </x:c>
      <x:c r="AE252" s="20" t="n">
        <x:f>IF(H252="CM-HCG",K252*'01 Controls'!$E$26,0)</x:f>
        <x:v>0</x:v>
      </x:c>
      <x:c r="AF252" s="20" t="n">
        <x:f>IF(H252="CM-HCG",K252*'01 Controls'!$E$27,0)</x:f>
        <x:v>0</x:v>
      </x:c>
    </x:row>
    <x:row r="253">
      <x:c r="C253" s="22" t="str">
        <x:v>M3-L-DMG</x:v>
      </x:c>
      <x:c r="D253" s="22" t="n">
        <x:v>248</x:v>
      </x:c>
      <x:c r="E253" s="22" t="str">
        <x:v>M3</x:v>
      </x:c>
      <x:c r="F253" s="22" t="str">
        <x:v>Inland flood</x:v>
      </x:c>
      <x:c r="G253" s="22" t="n">
        <x:v>6</x:v>
      </x:c>
      <x:c r="H253" s="22" t="str">
        <x:v>L-DMG</x:v>
      </x:c>
      <x:c r="I253" s="22" t="str">
        <x:v>Land Engineering</x:v>
      </x:c>
      <x:c r="J253" s="22" t="str">
        <x:v>Debris and materials group</x:v>
      </x:c>
      <x:c r="K253" s="23" t="n">
        <x:v>8</x:v>
      </x:c>
      <x:c r="L253" s="23" t="n">
        <x:v>400</x:v>
      </x:c>
      <x:c r="M253" s="23" t="n">
        <x:v>0</x:v>
      </x:c>
      <x:c r="N253" s="20" t="n">
        <x:f>K253*L253</x:f>
        <x:v>3200</x:v>
      </x:c>
      <x:c r="O253" s="19" t="n">
        <x:v>9000</x:v>
      </x:c>
      <x:c r="P253" s="17" t="n">
        <x:v>0.45</x:v>
      </x:c>
      <x:c r="Q253" s="20" t="n">
        <x:f>K253*O253*P253</x:f>
        <x:v>32400</x:v>
      </x:c>
      <x:c r="R253" s="20" t="n">
        <x:f>Q253*(1-'01 Controls'!$E$6)</x:f>
        <x:v>24300</x:v>
      </x:c>
      <x:c r="S253" s="19" t="n">
        <x:v>90</x:v>
      </x:c>
      <x:c r="T253" s="20" t="n">
        <x:f>K253*S253</x:f>
        <x:v>720</x:v>
      </x:c>
      <x:c r="U253" s="18" t="n">
        <x:f>'01 Controls'!E37</x:f>
        <x:v>0.05</x:v>
      </x:c>
      <x:c r="V253" s="20" t="n">
        <x:f>R253*U253</x:f>
        <x:v>1215</x:v>
      </x:c>
      <x:c r="W253" s="18" t="n">
        <x:f>'01 Controls'!F37</x:f>
        <x:v>0</x:v>
      </x:c>
      <x:c r="X253" s="20" t="n">
        <x:f>R253*W253</x:f>
        <x:v>0</x:v>
      </x:c>
      <x:c r="Y253" s="18" t="n">
        <x:f>'01 Controls'!G37</x:f>
        <x:v>0.7</x:v>
      </x:c>
      <x:c r="Z253" s="20" t="n">
        <x:f>R253*Y253</x:f>
        <x:v>17010</x:v>
      </x:c>
      <x:c r="AA253" s="18" t="n">
        <x:f>'01 Controls'!H37</x:f>
        <x:v>0.25</x:v>
      </x:c>
      <x:c r="AB253" s="20" t="n">
        <x:f>R253*AA253</x:f>
        <x:v>6075</x:v>
      </x:c>
      <x:c r="AC253" s="20" t="n">
        <x:f>IF(H253="CM-HCG",K253*'01 Controls'!$E$24,0)</x:f>
        <x:v>0</x:v>
      </x:c>
      <x:c r="AD253" s="20" t="n">
        <x:f>IF(H253="CM-HCG",K253*'01 Controls'!$E$25,0)</x:f>
        <x:v>0</x:v>
      </x:c>
      <x:c r="AE253" s="20" t="n">
        <x:f>IF(H253="CM-HCG",K253*'01 Controls'!$E$26,0)</x:f>
        <x:v>0</x:v>
      </x:c>
      <x:c r="AF253" s="20" t="n">
        <x:f>IF(H253="CM-HCG",K253*'01 Controls'!$E$27,0)</x:f>
        <x:v>0</x:v>
      </x:c>
    </x:row>
    <x:row r="254">
      <x:c r="C254" s="22" t="str">
        <x:v>M3-L-TWG</x:v>
      </x:c>
      <x:c r="D254" s="22" t="n">
        <x:v>249</x:v>
      </x:c>
      <x:c r="E254" s="22" t="str">
        <x:v>M3</x:v>
      </x:c>
      <x:c r="F254" s="22" t="str">
        <x:v>Inland flood</x:v>
      </x:c>
      <x:c r="G254" s="22" t="n">
        <x:v>6</x:v>
      </x:c>
      <x:c r="H254" s="22" t="str">
        <x:v>L-TWG</x:v>
      </x:c>
      <x:c r="I254" s="22" t="str">
        <x:v>Land Engineering</x:v>
      </x:c>
      <x:c r="J254" s="22" t="str">
        <x:v>Temporary works and crossing group</x:v>
      </x:c>
      <x:c r="K254" s="23" t="n">
        <x:v>6</x:v>
      </x:c>
      <x:c r="L254" s="23" t="n">
        <x:v>350</x:v>
      </x:c>
      <x:c r="M254" s="23" t="n">
        <x:v>0</x:v>
      </x:c>
      <x:c r="N254" s="20" t="n">
        <x:f>K254*L254</x:f>
        <x:v>2100</x:v>
      </x:c>
      <x:c r="O254" s="19" t="n">
        <x:v>9000</x:v>
      </x:c>
      <x:c r="P254" s="17" t="n">
        <x:v>0.45</x:v>
      </x:c>
      <x:c r="Q254" s="20" t="n">
        <x:f>K254*O254*P254</x:f>
        <x:v>24300</x:v>
      </x:c>
      <x:c r="R254" s="20" t="n">
        <x:f>Q254*(1-'01 Controls'!$E$6)</x:f>
        <x:v>18225</x:v>
      </x:c>
      <x:c r="S254" s="19" t="n">
        <x:v>90</x:v>
      </x:c>
      <x:c r="T254" s="20" t="n">
        <x:f>K254*S254</x:f>
        <x:v>540</x:v>
      </x:c>
      <x:c r="U254" s="18" t="n">
        <x:f>'01 Controls'!E37</x:f>
        <x:v>0.05</x:v>
      </x:c>
      <x:c r="V254" s="20" t="n">
        <x:f>R254*U254</x:f>
        <x:v>911.25</x:v>
      </x:c>
      <x:c r="W254" s="18" t="n">
        <x:f>'01 Controls'!F37</x:f>
        <x:v>0</x:v>
      </x:c>
      <x:c r="X254" s="20" t="n">
        <x:f>R254*W254</x:f>
        <x:v>0</x:v>
      </x:c>
      <x:c r="Y254" s="18" t="n">
        <x:f>'01 Controls'!G37</x:f>
        <x:v>0.7</x:v>
      </x:c>
      <x:c r="Z254" s="20" t="n">
        <x:f>R254*Y254</x:f>
        <x:v>12757.5</x:v>
      </x:c>
      <x:c r="AA254" s="18" t="n">
        <x:f>'01 Controls'!H37</x:f>
        <x:v>0.25</x:v>
      </x:c>
      <x:c r="AB254" s="20" t="n">
        <x:f>R254*AA254</x:f>
        <x:v>4556.25</x:v>
      </x:c>
      <x:c r="AC254" s="20" t="n">
        <x:f>IF(H254="CM-HCG",K254*'01 Controls'!$E$24,0)</x:f>
        <x:v>0</x:v>
      </x:c>
      <x:c r="AD254" s="20" t="n">
        <x:f>IF(H254="CM-HCG",K254*'01 Controls'!$E$25,0)</x:f>
        <x:v>0</x:v>
      </x:c>
      <x:c r="AE254" s="20" t="n">
        <x:f>IF(H254="CM-HCG",K254*'01 Controls'!$E$26,0)</x:f>
        <x:v>0</x:v>
      </x:c>
      <x:c r="AF254" s="20" t="n">
        <x:f>IF(H254="CM-HCG",K254*'01 Controls'!$E$27,0)</x:f>
        <x:v>0</x:v>
      </x:c>
    </x:row>
    <x:row r="255">
      <x:c r="C255" s="22" t="str">
        <x:v>M3-L-GFG</x:v>
      </x:c>
      <x:c r="D255" s="22" t="n">
        <x:v>250</x:v>
      </x:c>
      <x:c r="E255" s="22" t="str">
        <x:v>M3</x:v>
      </x:c>
      <x:c r="F255" s="22" t="str">
        <x:v>Inland flood</x:v>
      </x:c>
      <x:c r="G255" s="22" t="n">
        <x:v>6</x:v>
      </x:c>
      <x:c r="H255" s="22" t="str">
        <x:v>L-GFG</x:v>
      </x:c>
      <x:c r="I255" s="22" t="str">
        <x:v>Land Engineering</x:v>
      </x:c>
      <x:c r="J255" s="22" t="str">
        <x:v>Ground fire and landscape group</x:v>
      </x:c>
      <x:c r="K255" s="23" t="n">
        <x:v>1</x:v>
      </x:c>
      <x:c r="L255" s="23" t="n">
        <x:v>450</x:v>
      </x:c>
      <x:c r="M255" s="23" t="n">
        <x:v>0</x:v>
      </x:c>
      <x:c r="N255" s="20" t="n">
        <x:f>K255*L255</x:f>
        <x:v>450</x:v>
      </x:c>
      <x:c r="O255" s="19" t="n">
        <x:v>9000</x:v>
      </x:c>
      <x:c r="P255" s="17" t="n">
        <x:v>0.45</x:v>
      </x:c>
      <x:c r="Q255" s="20" t="n">
        <x:f>K255*O255*P255</x:f>
        <x:v>4050</x:v>
      </x:c>
      <x:c r="R255" s="20" t="n">
        <x:f>Q255*(1-'01 Controls'!$E$6)</x:f>
        <x:v>3037.5</x:v>
      </x:c>
      <x:c r="S255" s="19" t="n">
        <x:v>90</x:v>
      </x:c>
      <x:c r="T255" s="20" t="n">
        <x:f>K255*S255</x:f>
        <x:v>90</x:v>
      </x:c>
      <x:c r="U255" s="18" t="n">
        <x:f>'01 Controls'!E37</x:f>
        <x:v>0.05</x:v>
      </x:c>
      <x:c r="V255" s="20" t="n">
        <x:f>R255*U255</x:f>
        <x:v>151.875</x:v>
      </x:c>
      <x:c r="W255" s="18" t="n">
        <x:f>'01 Controls'!F37</x:f>
        <x:v>0</x:v>
      </x:c>
      <x:c r="X255" s="20" t="n">
        <x:f>R255*W255</x:f>
        <x:v>0</x:v>
      </x:c>
      <x:c r="Y255" s="18" t="n">
        <x:f>'01 Controls'!G37</x:f>
        <x:v>0.7</x:v>
      </x:c>
      <x:c r="Z255" s="20" t="n">
        <x:f>R255*Y255</x:f>
        <x:v>2126.25</x:v>
      </x:c>
      <x:c r="AA255" s="18" t="n">
        <x:f>'01 Controls'!H37</x:f>
        <x:v>0.25</x:v>
      </x:c>
      <x:c r="AB255" s="20" t="n">
        <x:f>R255*AA255</x:f>
        <x:v>759.375</x:v>
      </x:c>
      <x:c r="AC255" s="20" t="n">
        <x:f>IF(H255="CM-HCG",K255*'01 Controls'!$E$24,0)</x:f>
        <x:v>0</x:v>
      </x:c>
      <x:c r="AD255" s="20" t="n">
        <x:f>IF(H255="CM-HCG",K255*'01 Controls'!$E$25,0)</x:f>
        <x:v>0</x:v>
      </x:c>
      <x:c r="AE255" s="20" t="n">
        <x:f>IF(H255="CM-HCG",K255*'01 Controls'!$E$26,0)</x:f>
        <x:v>0</x:v>
      </x:c>
      <x:c r="AF255" s="20" t="n">
        <x:f>IF(H255="CM-HCG",K255*'01 Controls'!$E$27,0)</x:f>
        <x:v>0</x:v>
      </x:c>
    </x:row>
    <x:row r="256">
      <x:c r="C256" s="22" t="str">
        <x:v>M3-A-SMW</x:v>
      </x:c>
      <x:c r="D256" s="22" t="n">
        <x:v>251</x:v>
      </x:c>
      <x:c r="E256" s="22" t="str">
        <x:v>M3</x:v>
      </x:c>
      <x:c r="F256" s="22" t="str">
        <x:v>Inland flood</x:v>
      </x:c>
      <x:c r="G256" s="22" t="n">
        <x:v>6</x:v>
      </x:c>
      <x:c r="H256" s="22" t="str">
        <x:v>A-SMW</x:v>
      </x:c>
      <x:c r="I256" s="22" t="str">
        <x:v>Air Response</x:v>
      </x:c>
      <x:c r="J256" s="22" t="str">
        <x:v>Strategic mobility wing</x:v>
      </x:c>
      <x:c r="K256" s="23" t="n">
        <x:v>2</x:v>
      </x:c>
      <x:c r="L256" s="23" t="n">
        <x:v>900</x:v>
      </x:c>
      <x:c r="M256" s="23" t="n">
        <x:v>0</x:v>
      </x:c>
      <x:c r="N256" s="20" t="n">
        <x:f>K256*L256</x:f>
        <x:v>1800</x:v>
      </x:c>
      <x:c r="O256" s="19" t="n">
        <x:v>5000</x:v>
      </x:c>
      <x:c r="P256" s="17" t="n">
        <x:v>0.75</x:v>
      </x:c>
      <x:c r="Q256" s="20" t="n">
        <x:f>K256*O256*P256</x:f>
        <x:v>7500</x:v>
      </x:c>
      <x:c r="R256" s="20" t="n">
        <x:f>Q256*(1-'01 Controls'!$E$6)</x:f>
        <x:v>5625</x:v>
      </x:c>
      <x:c r="S256" s="19" t="n">
        <x:v>100</x:v>
      </x:c>
      <x:c r="T256" s="20" t="n">
        <x:f>K256*S256</x:f>
        <x:v>200</x:v>
      </x:c>
      <x:c r="U256" s="18" t="n">
        <x:f>'01 Controls'!E37</x:f>
        <x:v>0.05</x:v>
      </x:c>
      <x:c r="V256" s="20" t="n">
        <x:f>R256*U256</x:f>
        <x:v>281.25</x:v>
      </x:c>
      <x:c r="W256" s="18" t="n">
        <x:f>'01 Controls'!F37</x:f>
        <x:v>0</x:v>
      </x:c>
      <x:c r="X256" s="20" t="n">
        <x:f>R256*W256</x:f>
        <x:v>0</x:v>
      </x:c>
      <x:c r="Y256" s="18" t="n">
        <x:f>'01 Controls'!G37</x:f>
        <x:v>0.7</x:v>
      </x:c>
      <x:c r="Z256" s="20" t="n">
        <x:f>R256*Y256</x:f>
        <x:v>3937.4999999999995</x:v>
      </x:c>
      <x:c r="AA256" s="18" t="n">
        <x:f>'01 Controls'!H37</x:f>
        <x:v>0.25</x:v>
      </x:c>
      <x:c r="AB256" s="20" t="n">
        <x:f>R256*AA256</x:f>
        <x:v>1406.25</x:v>
      </x:c>
      <x:c r="AC256" s="20" t="n">
        <x:f>IF(H256="CM-HCG",K256*'01 Controls'!$E$24,0)</x:f>
        <x:v>0</x:v>
      </x:c>
      <x:c r="AD256" s="20" t="n">
        <x:f>IF(H256="CM-HCG",K256*'01 Controls'!$E$25,0)</x:f>
        <x:v>0</x:v>
      </x:c>
      <x:c r="AE256" s="20" t="n">
        <x:f>IF(H256="CM-HCG",K256*'01 Controls'!$E$26,0)</x:f>
        <x:v>0</x:v>
      </x:c>
      <x:c r="AF256" s="20" t="n">
        <x:f>IF(H256="CM-HCG",K256*'01 Controls'!$E$27,0)</x:f>
        <x:v>0</x:v>
      </x:c>
    </x:row>
    <x:row r="257">
      <x:c r="C257" s="22" t="str">
        <x:v>M3-A-AAG</x:v>
      </x:c>
      <x:c r="D257" s="22" t="n">
        <x:v>252</x:v>
      </x:c>
      <x:c r="E257" s="22" t="str">
        <x:v>M3</x:v>
      </x:c>
      <x:c r="F257" s="22" t="str">
        <x:v>Inland flood</x:v>
      </x:c>
      <x:c r="G257" s="22" t="n">
        <x:v>6</x:v>
      </x:c>
      <x:c r="H257" s="22" t="str">
        <x:v>A-AAG</x:v>
      </x:c>
      <x:c r="I257" s="22" t="str">
        <x:v>Air Response</x:v>
      </x:c>
      <x:c r="J257" s="22" t="str">
        <x:v>Austere air-access group</x:v>
      </x:c>
      <x:c r="K257" s="23" t="n">
        <x:v>2</x:v>
      </x:c>
      <x:c r="L257" s="23" t="n">
        <x:v>350</x:v>
      </x:c>
      <x:c r="M257" s="23" t="n">
        <x:v>0</x:v>
      </x:c>
      <x:c r="N257" s="20" t="n">
        <x:f>K257*L257</x:f>
        <x:v>700</x:v>
      </x:c>
      <x:c r="O257" s="19" t="n">
        <x:v>5000</x:v>
      </x:c>
      <x:c r="P257" s="17" t="n">
        <x:v>0.75</x:v>
      </x:c>
      <x:c r="Q257" s="20" t="n">
        <x:f>K257*O257*P257</x:f>
        <x:v>7500</x:v>
      </x:c>
      <x:c r="R257" s="20" t="n">
        <x:f>Q257*(1-'01 Controls'!$E$6)</x:f>
        <x:v>5625</x:v>
      </x:c>
      <x:c r="S257" s="19" t="n">
        <x:v>100</x:v>
      </x:c>
      <x:c r="T257" s="20" t="n">
        <x:f>K257*S257</x:f>
        <x:v>200</x:v>
      </x:c>
      <x:c r="U257" s="18" t="n">
        <x:f>'01 Controls'!E37</x:f>
        <x:v>0.05</x:v>
      </x:c>
      <x:c r="V257" s="20" t="n">
        <x:f>R257*U257</x:f>
        <x:v>281.25</x:v>
      </x:c>
      <x:c r="W257" s="18" t="n">
        <x:f>'01 Controls'!F37</x:f>
        <x:v>0</x:v>
      </x:c>
      <x:c r="X257" s="20" t="n">
        <x:f>R257*W257</x:f>
        <x:v>0</x:v>
      </x:c>
      <x:c r="Y257" s="18" t="n">
        <x:f>'01 Controls'!G37</x:f>
        <x:v>0.7</x:v>
      </x:c>
      <x:c r="Z257" s="20" t="n">
        <x:f>R257*Y257</x:f>
        <x:v>3937.4999999999995</x:v>
      </x:c>
      <x:c r="AA257" s="18" t="n">
        <x:f>'01 Controls'!H37</x:f>
        <x:v>0.25</x:v>
      </x:c>
      <x:c r="AB257" s="20" t="n">
        <x:f>R257*AA257</x:f>
        <x:v>1406.25</x:v>
      </x:c>
      <x:c r="AC257" s="20" t="n">
        <x:f>IF(H257="CM-HCG",K257*'01 Controls'!$E$24,0)</x:f>
        <x:v>0</x:v>
      </x:c>
      <x:c r="AD257" s="20" t="n">
        <x:f>IF(H257="CM-HCG",K257*'01 Controls'!$E$25,0)</x:f>
        <x:v>0</x:v>
      </x:c>
      <x:c r="AE257" s="20" t="n">
        <x:f>IF(H257="CM-HCG",K257*'01 Controls'!$E$26,0)</x:f>
        <x:v>0</x:v>
      </x:c>
      <x:c r="AF257" s="20" t="n">
        <x:f>IF(H257="CM-HCG",K257*'01 Controls'!$E$27,0)</x:f>
        <x:v>0</x:v>
      </x:c>
    </x:row>
    <x:row r="258">
      <x:c r="C258" s="22" t="str">
        <x:v>M3-A-AHW</x:v>
      </x:c>
      <x:c r="D258" s="22" t="n">
        <x:v>253</x:v>
      </x:c>
      <x:c r="E258" s="22" t="str">
        <x:v>M3</x:v>
      </x:c>
      <x:c r="F258" s="22" t="str">
        <x:v>Inland flood</x:v>
      </x:c>
      <x:c r="G258" s="22" t="n">
        <x:v>6</x:v>
      </x:c>
      <x:c r="H258" s="22" t="str">
        <x:v>A-AHW</x:v>
      </x:c>
      <x:c r="I258" s="22" t="str">
        <x:v>Air Response</x:v>
      </x:c>
      <x:c r="J258" s="22" t="str">
        <x:v>Aerial hazard-control wing</x:v>
      </x:c>
      <x:c r="K258" s="23" t="n">
        <x:v>0</x:v>
      </x:c>
      <x:c r="L258" s="23" t="n">
        <x:v>600</x:v>
      </x:c>
      <x:c r="M258" s="23" t="n">
        <x:v>0</x:v>
      </x:c>
      <x:c r="N258" s="20" t="n">
        <x:f>K258*L258</x:f>
        <x:v>0</x:v>
      </x:c>
      <x:c r="O258" s="19" t="n">
        <x:v>5000</x:v>
      </x:c>
      <x:c r="P258" s="17" t="n">
        <x:v>0.75</x:v>
      </x:c>
      <x:c r="Q258" s="20" t="n">
        <x:f>K258*O258*P258</x:f>
        <x:v>0</x:v>
      </x:c>
      <x:c r="R258" s="20" t="n">
        <x:f>Q258*(1-'01 Controls'!$E$6)</x:f>
        <x:v>0</x:v>
      </x:c>
      <x:c r="S258" s="19" t="n">
        <x:v>100</x:v>
      </x:c>
      <x:c r="T258" s="20" t="n">
        <x:f>K258*S258</x:f>
        <x:v>0</x:v>
      </x:c>
      <x:c r="U258" s="18" t="n">
        <x:f>'01 Controls'!E37</x:f>
        <x:v>0.05</x:v>
      </x:c>
      <x:c r="V258" s="20" t="n">
        <x:f>R258*U258</x:f>
        <x:v>0</x:v>
      </x:c>
      <x:c r="W258" s="18" t="n">
        <x:f>'01 Controls'!F37</x:f>
        <x:v>0</x:v>
      </x:c>
      <x:c r="X258" s="20" t="n">
        <x:f>R258*W258</x:f>
        <x:v>0</x:v>
      </x:c>
      <x:c r="Y258" s="18" t="n">
        <x:f>'01 Controls'!G37</x:f>
        <x:v>0.7</x:v>
      </x:c>
      <x:c r="Z258" s="20" t="n">
        <x:f>R258*Y258</x:f>
        <x:v>0</x:v>
      </x:c>
      <x:c r="AA258" s="18" t="n">
        <x:f>'01 Controls'!H37</x:f>
        <x:v>0.25</x:v>
      </x:c>
      <x:c r="AB258" s="20" t="n">
        <x:f>R258*AA258</x:f>
        <x:v>0</x:v>
      </x:c>
      <x:c r="AC258" s="20" t="n">
        <x:f>IF(H258="CM-HCG",K258*'01 Controls'!$E$24,0)</x:f>
        <x:v>0</x:v>
      </x:c>
      <x:c r="AD258" s="20" t="n">
        <x:f>IF(H258="CM-HCG",K258*'01 Controls'!$E$25,0)</x:f>
        <x:v>0</x:v>
      </x:c>
      <x:c r="AE258" s="20" t="n">
        <x:f>IF(H258="CM-HCG",K258*'01 Controls'!$E$26,0)</x:f>
        <x:v>0</x:v>
      </x:c>
      <x:c r="AF258" s="20" t="n">
        <x:f>IF(H258="CM-HCG",K258*'01 Controls'!$E$27,0)</x:f>
        <x:v>0</x:v>
      </x:c>
    </x:row>
    <x:row r="259">
      <x:c r="C259" s="22" t="str">
        <x:v>M3-A-TDG</x:v>
      </x:c>
      <x:c r="D259" s="22" t="n">
        <x:v>254</x:v>
      </x:c>
      <x:c r="E259" s="22" t="str">
        <x:v>M3</x:v>
      </x:c>
      <x:c r="F259" s="22" t="str">
        <x:v>Inland flood</x:v>
      </x:c>
      <x:c r="G259" s="22" t="n">
        <x:v>6</x:v>
      </x:c>
      <x:c r="H259" s="22" t="str">
        <x:v>A-TDG</x:v>
      </x:c>
      <x:c r="I259" s="22" t="str">
        <x:v>Air Response</x:v>
      </x:c>
      <x:c r="J259" s="22" t="str">
        <x:v>Tactical distribution group</x:v>
      </x:c>
      <x:c r="K259" s="23" t="n">
        <x:v>4</x:v>
      </x:c>
      <x:c r="L259" s="23" t="n">
        <x:v>450</x:v>
      </x:c>
      <x:c r="M259" s="23" t="n">
        <x:v>0</x:v>
      </x:c>
      <x:c r="N259" s="20" t="n">
        <x:f>K259*L259</x:f>
        <x:v>1800</x:v>
      </x:c>
      <x:c r="O259" s="19" t="n">
        <x:v>5000</x:v>
      </x:c>
      <x:c r="P259" s="17" t="n">
        <x:v>0.75</x:v>
      </x:c>
      <x:c r="Q259" s="20" t="n">
        <x:f>K259*O259*P259</x:f>
        <x:v>15000</x:v>
      </x:c>
      <x:c r="R259" s="20" t="n">
        <x:f>Q259*(1-'01 Controls'!$E$6)</x:f>
        <x:v>11250</x:v>
      </x:c>
      <x:c r="S259" s="19" t="n">
        <x:v>100</x:v>
      </x:c>
      <x:c r="T259" s="20" t="n">
        <x:f>K259*S259</x:f>
        <x:v>400</x:v>
      </x:c>
      <x:c r="U259" s="18" t="n">
        <x:f>'01 Controls'!E37</x:f>
        <x:v>0.05</x:v>
      </x:c>
      <x:c r="V259" s="20" t="n">
        <x:f>R259*U259</x:f>
        <x:v>562.5</x:v>
      </x:c>
      <x:c r="W259" s="18" t="n">
        <x:f>'01 Controls'!F37</x:f>
        <x:v>0</x:v>
      </x:c>
      <x:c r="X259" s="20" t="n">
        <x:f>R259*W259</x:f>
        <x:v>0</x:v>
      </x:c>
      <x:c r="Y259" s="18" t="n">
        <x:f>'01 Controls'!G37</x:f>
        <x:v>0.7</x:v>
      </x:c>
      <x:c r="Z259" s="20" t="n">
        <x:f>R259*Y259</x:f>
        <x:v>7874.999999999999</x:v>
      </x:c>
      <x:c r="AA259" s="18" t="n">
        <x:f>'01 Controls'!H37</x:f>
        <x:v>0.25</x:v>
      </x:c>
      <x:c r="AB259" s="20" t="n">
        <x:f>R259*AA259</x:f>
        <x:v>2812.5</x:v>
      </x:c>
      <x:c r="AC259" s="20" t="n">
        <x:f>IF(H259="CM-HCG",K259*'01 Controls'!$E$24,0)</x:f>
        <x:v>0</x:v>
      </x:c>
      <x:c r="AD259" s="20" t="n">
        <x:f>IF(H259="CM-HCG",K259*'01 Controls'!$E$25,0)</x:f>
        <x:v>0</x:v>
      </x:c>
      <x:c r="AE259" s="20" t="n">
        <x:f>IF(H259="CM-HCG",K259*'01 Controls'!$E$26,0)</x:f>
        <x:v>0</x:v>
      </x:c>
      <x:c r="AF259" s="20" t="n">
        <x:f>IF(H259="CM-HCG",K259*'01 Controls'!$E$27,0)</x:f>
        <x:v>0</x:v>
      </x:c>
    </x:row>
    <x:row r="260">
      <x:c r="C260" s="22" t="str">
        <x:v>M3-A-SRG</x:v>
      </x:c>
      <x:c r="D260" s="22" t="n">
        <x:v>255</x:v>
      </x:c>
      <x:c r="E260" s="22" t="str">
        <x:v>M3</x:v>
      </x:c>
      <x:c r="F260" s="22" t="str">
        <x:v>Inland flood</x:v>
      </x:c>
      <x:c r="G260" s="22" t="n">
        <x:v>6</x:v>
      </x:c>
      <x:c r="H260" s="22" t="str">
        <x:v>A-SRG</x:v>
      </x:c>
      <x:c r="I260" s="22" t="str">
        <x:v>Air Response</x:v>
      </x:c>
      <x:c r="J260" s="22" t="str">
        <x:v>Air sensing and relay group</x:v>
      </x:c>
      <x:c r="K260" s="23" t="n">
        <x:v>3</x:v>
      </x:c>
      <x:c r="L260" s="23" t="n">
        <x:v>180</x:v>
      </x:c>
      <x:c r="M260" s="23" t="n">
        <x:v>0</x:v>
      </x:c>
      <x:c r="N260" s="20" t="n">
        <x:f>K260*L260</x:f>
        <x:v>540</x:v>
      </x:c>
      <x:c r="O260" s="19" t="n">
        <x:v>5000</x:v>
      </x:c>
      <x:c r="P260" s="17" t="n">
        <x:v>0.75</x:v>
      </x:c>
      <x:c r="Q260" s="20" t="n">
        <x:f>K260*O260*P260</x:f>
        <x:v>11250</x:v>
      </x:c>
      <x:c r="R260" s="20" t="n">
        <x:f>Q260*(1-'01 Controls'!$E$6)</x:f>
        <x:v>8437.5</x:v>
      </x:c>
      <x:c r="S260" s="19" t="n">
        <x:v>100</x:v>
      </x:c>
      <x:c r="T260" s="20" t="n">
        <x:f>K260*S260</x:f>
        <x:v>300</x:v>
      </x:c>
      <x:c r="U260" s="18" t="n">
        <x:f>'01 Controls'!E37</x:f>
        <x:v>0.05</x:v>
      </x:c>
      <x:c r="V260" s="20" t="n">
        <x:f>R260*U260</x:f>
        <x:v>421.875</x:v>
      </x:c>
      <x:c r="W260" s="18" t="n">
        <x:f>'01 Controls'!F37</x:f>
        <x:v>0</x:v>
      </x:c>
      <x:c r="X260" s="20" t="n">
        <x:f>R260*W260</x:f>
        <x:v>0</x:v>
      </x:c>
      <x:c r="Y260" s="18" t="n">
        <x:f>'01 Controls'!G37</x:f>
        <x:v>0.7</x:v>
      </x:c>
      <x:c r="Z260" s="20" t="n">
        <x:f>R260*Y260</x:f>
        <x:v>5906.25</x:v>
      </x:c>
      <x:c r="AA260" s="18" t="n">
        <x:f>'01 Controls'!H37</x:f>
        <x:v>0.25</x:v>
      </x:c>
      <x:c r="AB260" s="20" t="n">
        <x:f>R260*AA260</x:f>
        <x:v>2109.375</x:v>
      </x:c>
      <x:c r="AC260" s="20" t="n">
        <x:f>IF(H260="CM-HCG",K260*'01 Controls'!$E$24,0)</x:f>
        <x:v>0</x:v>
      </x:c>
      <x:c r="AD260" s="20" t="n">
        <x:f>IF(H260="CM-HCG",K260*'01 Controls'!$E$25,0)</x:f>
        <x:v>0</x:v>
      </x:c>
      <x:c r="AE260" s="20" t="n">
        <x:f>IF(H260="CM-HCG",K260*'01 Controls'!$E$26,0)</x:f>
        <x:v>0</x:v>
      </x:c>
      <x:c r="AF260" s="20" t="n">
        <x:f>IF(H260="CM-HCG",K260*'01 Controls'!$E$27,0)</x:f>
        <x:v>0</x:v>
      </x:c>
    </x:row>
    <x:row r="261">
      <x:c r="C261" s="22" t="str">
        <x:v>M3-A-AMG</x:v>
      </x:c>
      <x:c r="D261" s="22" t="n">
        <x:v>256</x:v>
      </x:c>
      <x:c r="E261" s="22" t="str">
        <x:v>M3</x:v>
      </x:c>
      <x:c r="F261" s="22" t="str">
        <x:v>Inland flood</x:v>
      </x:c>
      <x:c r="G261" s="22" t="n">
        <x:v>6</x:v>
      </x:c>
      <x:c r="H261" s="22" t="str">
        <x:v>A-AMG</x:v>
      </x:c>
      <x:c r="I261" s="22" t="str">
        <x:v>Air Response</x:v>
      </x:c>
      <x:c r="J261" s="22" t="str">
        <x:v>Aeromedical movement group</x:v>
      </x:c>
      <x:c r="K261" s="23" t="n">
        <x:v>2</x:v>
      </x:c>
      <x:c r="L261" s="23" t="n">
        <x:v>300</x:v>
      </x:c>
      <x:c r="M261" s="23" t="n">
        <x:v>0</x:v>
      </x:c>
      <x:c r="N261" s="20" t="n">
        <x:f>K261*L261</x:f>
        <x:v>600</x:v>
      </x:c>
      <x:c r="O261" s="19" t="n">
        <x:v>5000</x:v>
      </x:c>
      <x:c r="P261" s="17" t="n">
        <x:v>0.75</x:v>
      </x:c>
      <x:c r="Q261" s="20" t="n">
        <x:f>K261*O261*P261</x:f>
        <x:v>7500</x:v>
      </x:c>
      <x:c r="R261" s="20" t="n">
        <x:f>Q261*(1-'01 Controls'!$E$6)</x:f>
        <x:v>5625</x:v>
      </x:c>
      <x:c r="S261" s="19" t="n">
        <x:v>100</x:v>
      </x:c>
      <x:c r="T261" s="20" t="n">
        <x:f>K261*S261</x:f>
        <x:v>200</x:v>
      </x:c>
      <x:c r="U261" s="18" t="n">
        <x:f>'01 Controls'!E37</x:f>
        <x:v>0.05</x:v>
      </x:c>
      <x:c r="V261" s="20" t="n">
        <x:f>R261*U261</x:f>
        <x:v>281.25</x:v>
      </x:c>
      <x:c r="W261" s="18" t="n">
        <x:f>'01 Controls'!F37</x:f>
        <x:v>0</x:v>
      </x:c>
      <x:c r="X261" s="20" t="n">
        <x:f>R261*W261</x:f>
        <x:v>0</x:v>
      </x:c>
      <x:c r="Y261" s="18" t="n">
        <x:f>'01 Controls'!G37</x:f>
        <x:v>0.7</x:v>
      </x:c>
      <x:c r="Z261" s="20" t="n">
        <x:f>R261*Y261</x:f>
        <x:v>3937.4999999999995</x:v>
      </x:c>
      <x:c r="AA261" s="18" t="n">
        <x:f>'01 Controls'!H37</x:f>
        <x:v>0.25</x:v>
      </x:c>
      <x:c r="AB261" s="20" t="n">
        <x:f>R261*AA261</x:f>
        <x:v>1406.25</x:v>
      </x:c>
      <x:c r="AC261" s="20" t="n">
        <x:f>IF(H261="CM-HCG",K261*'01 Controls'!$E$24,0)</x:f>
        <x:v>0</x:v>
      </x:c>
      <x:c r="AD261" s="20" t="n">
        <x:f>IF(H261="CM-HCG",K261*'01 Controls'!$E$25,0)</x:f>
        <x:v>0</x:v>
      </x:c>
      <x:c r="AE261" s="20" t="n">
        <x:f>IF(H261="CM-HCG",K261*'01 Controls'!$E$26,0)</x:f>
        <x:v>0</x:v>
      </x:c>
      <x:c r="AF261" s="20" t="n">
        <x:f>IF(H261="CM-HCG",K261*'01 Controls'!$E$27,0)</x:f>
        <x:v>0</x:v>
      </x:c>
    </x:row>
    <x:row r="262">
      <x:c r="C262" s="22" t="str">
        <x:v>M3-M-POG</x:v>
      </x:c>
      <x:c r="D262" s="22" t="n">
        <x:v>257</x:v>
      </x:c>
      <x:c r="E262" s="22" t="str">
        <x:v>M3</x:v>
      </x:c>
      <x:c r="F262" s="22" t="str">
        <x:v>Inland flood</x:v>
      </x:c>
      <x:c r="G262" s="22" t="n">
        <x:v>6</x:v>
      </x:c>
      <x:c r="H262" s="22" t="str">
        <x:v>M-POG</x:v>
      </x:c>
      <x:c r="I262" s="22" t="str">
        <x:v>Maritime Response</x:v>
      </x:c>
      <x:c r="J262" s="22" t="str">
        <x:v>Port-opening group</x:v>
      </x:c>
      <x:c r="K262" s="23" t="n">
        <x:v>1</x:v>
      </x:c>
      <x:c r="L262" s="23" t="n">
        <x:v>450</x:v>
      </x:c>
      <x:c r="M262" s="23" t="n">
        <x:v>0</x:v>
      </x:c>
      <x:c r="N262" s="20" t="n">
        <x:f>K262*L262</x:f>
        <x:v>450</x:v>
      </x:c>
      <x:c r="O262" s="19" t="n">
        <x:v>8000</x:v>
      </x:c>
      <x:c r="P262" s="17" t="n">
        <x:v>0.35</x:v>
      </x:c>
      <x:c r="Q262" s="20" t="n">
        <x:f>K262*O262*P262</x:f>
        <x:v>2800</x:v>
      </x:c>
      <x:c r="R262" s="20" t="n">
        <x:f>Q262*(1-'01 Controls'!$E$6)</x:f>
        <x:v>2100</x:v>
      </x:c>
      <x:c r="S262" s="19" t="n">
        <x:v>120</x:v>
      </x:c>
      <x:c r="T262" s="20" t="n">
        <x:f>K262*S262</x:f>
        <x:v>120</x:v>
      </x:c>
      <x:c r="U262" s="18" t="n">
        <x:f>'01 Controls'!E37</x:f>
        <x:v>0.05</x:v>
      </x:c>
      <x:c r="V262" s="20" t="n">
        <x:f>R262*U262</x:f>
        <x:v>105</x:v>
      </x:c>
      <x:c r="W262" s="18" t="n">
        <x:f>'01 Controls'!F37</x:f>
        <x:v>0</x:v>
      </x:c>
      <x:c r="X262" s="20" t="n">
        <x:f>R262*W262</x:f>
        <x:v>0</x:v>
      </x:c>
      <x:c r="Y262" s="18" t="n">
        <x:f>'01 Controls'!G37</x:f>
        <x:v>0.7</x:v>
      </x:c>
      <x:c r="Z262" s="20" t="n">
        <x:f>R262*Y262</x:f>
        <x:v>1470</x:v>
      </x:c>
      <x:c r="AA262" s="18" t="n">
        <x:f>'01 Controls'!H37</x:f>
        <x:v>0.25</x:v>
      </x:c>
      <x:c r="AB262" s="20" t="n">
        <x:f>R262*AA262</x:f>
        <x:v>525</x:v>
      </x:c>
      <x:c r="AC262" s="20" t="n">
        <x:f>IF(H262="CM-HCG",K262*'01 Controls'!$E$24,0)</x:f>
        <x:v>0</x:v>
      </x:c>
      <x:c r="AD262" s="20" t="n">
        <x:f>IF(H262="CM-HCG",K262*'01 Controls'!$E$25,0)</x:f>
        <x:v>0</x:v>
      </x:c>
      <x:c r="AE262" s="20" t="n">
        <x:f>IF(H262="CM-HCG",K262*'01 Controls'!$E$26,0)</x:f>
        <x:v>0</x:v>
      </x:c>
      <x:c r="AF262" s="20" t="n">
        <x:f>IF(H262="CM-HCG",K262*'01 Controls'!$E$27,0)</x:f>
        <x:v>0</x:v>
      </x:c>
    </x:row>
    <x:row r="263">
      <x:c r="C263" s="22" t="str">
        <x:v>M3-M-LAG</x:v>
      </x:c>
      <x:c r="D263" s="22" t="n">
        <x:v>258</x:v>
      </x:c>
      <x:c r="E263" s="22" t="str">
        <x:v>M3</x:v>
      </x:c>
      <x:c r="F263" s="22" t="str">
        <x:v>Inland flood</x:v>
      </x:c>
      <x:c r="G263" s="22" t="n">
        <x:v>6</x:v>
      </x:c>
      <x:c r="H263" s="22" t="str">
        <x:v>M-LAG</x:v>
      </x:c>
      <x:c r="I263" s="22" t="str">
        <x:v>Maritime Response</x:v>
      </x:c>
      <x:c r="J263" s="22" t="str">
        <x:v>Littoral-access group</x:v>
      </x:c>
      <x:c r="K263" s="23" t="n">
        <x:v>2</x:v>
      </x:c>
      <x:c r="L263" s="23" t="n">
        <x:v>350</x:v>
      </x:c>
      <x:c r="M263" s="23" t="n">
        <x:v>0</x:v>
      </x:c>
      <x:c r="N263" s="20" t="n">
        <x:f>K263*L263</x:f>
        <x:v>700</x:v>
      </x:c>
      <x:c r="O263" s="19" t="n">
        <x:v>8000</x:v>
      </x:c>
      <x:c r="P263" s="17" t="n">
        <x:v>0.35</x:v>
      </x:c>
      <x:c r="Q263" s="20" t="n">
        <x:f>K263*O263*P263</x:f>
        <x:v>5600</x:v>
      </x:c>
      <x:c r="R263" s="20" t="n">
        <x:f>Q263*(1-'01 Controls'!$E$6)</x:f>
        <x:v>4200</x:v>
      </x:c>
      <x:c r="S263" s="19" t="n">
        <x:v>120</x:v>
      </x:c>
      <x:c r="T263" s="20" t="n">
        <x:f>K263*S263</x:f>
        <x:v>240</x:v>
      </x:c>
      <x:c r="U263" s="18" t="n">
        <x:f>'01 Controls'!E37</x:f>
        <x:v>0.05</x:v>
      </x:c>
      <x:c r="V263" s="20" t="n">
        <x:f>R263*U263</x:f>
        <x:v>210</x:v>
      </x:c>
      <x:c r="W263" s="18" t="n">
        <x:f>'01 Controls'!F37</x:f>
        <x:v>0</x:v>
      </x:c>
      <x:c r="X263" s="20" t="n">
        <x:f>R263*W263</x:f>
        <x:v>0</x:v>
      </x:c>
      <x:c r="Y263" s="18" t="n">
        <x:f>'01 Controls'!G37</x:f>
        <x:v>0.7</x:v>
      </x:c>
      <x:c r="Z263" s="20" t="n">
        <x:f>R263*Y263</x:f>
        <x:v>2940</x:v>
      </x:c>
      <x:c r="AA263" s="18" t="n">
        <x:f>'01 Controls'!H37</x:f>
        <x:v>0.25</x:v>
      </x:c>
      <x:c r="AB263" s="20" t="n">
        <x:f>R263*AA263</x:f>
        <x:v>1050</x:v>
      </x:c>
      <x:c r="AC263" s="20" t="n">
        <x:f>IF(H263="CM-HCG",K263*'01 Controls'!$E$24,0)</x:f>
        <x:v>0</x:v>
      </x:c>
      <x:c r="AD263" s="20" t="n">
        <x:f>IF(H263="CM-HCG",K263*'01 Controls'!$E$25,0)</x:f>
        <x:v>0</x:v>
      </x:c>
      <x:c r="AE263" s="20" t="n">
        <x:f>IF(H263="CM-HCG",K263*'01 Controls'!$E$26,0)</x:f>
        <x:v>0</x:v>
      </x:c>
      <x:c r="AF263" s="20" t="n">
        <x:f>IF(H263="CM-HCG",K263*'01 Controls'!$E$27,0)</x:f>
        <x:v>0</x:v>
      </x:c>
    </x:row>
    <x:row r="264">
      <x:c r="C264" s="22" t="str">
        <x:v>M3-M-IWG</x:v>
      </x:c>
      <x:c r="D264" s="22" t="n">
        <x:v>259</x:v>
      </x:c>
      <x:c r="E264" s="22" t="str">
        <x:v>M3</x:v>
      </x:c>
      <x:c r="F264" s="22" t="str">
        <x:v>Inland flood</x:v>
      </x:c>
      <x:c r="G264" s="22" t="n">
        <x:v>6</x:v>
      </x:c>
      <x:c r="H264" s="22" t="str">
        <x:v>M-IWG</x:v>
      </x:c>
      <x:c r="I264" s="22" t="str">
        <x:v>Maritime Response</x:v>
      </x:c>
      <x:c r="J264" s="22" t="str">
        <x:v>Inland-waterway group</x:v>
      </x:c>
      <x:c r="K264" s="23" t="n">
        <x:v>8</x:v>
      </x:c>
      <x:c r="L264" s="23" t="n">
        <x:v>250</x:v>
      </x:c>
      <x:c r="M264" s="23" t="n">
        <x:v>0</x:v>
      </x:c>
      <x:c r="N264" s="20" t="n">
        <x:f>K264*L264</x:f>
        <x:v>2000</x:v>
      </x:c>
      <x:c r="O264" s="19" t="n">
        <x:v>8000</x:v>
      </x:c>
      <x:c r="P264" s="17" t="n">
        <x:v>0.35</x:v>
      </x:c>
      <x:c r="Q264" s="20" t="n">
        <x:f>K264*O264*P264</x:f>
        <x:v>22400</x:v>
      </x:c>
      <x:c r="R264" s="20" t="n">
        <x:f>Q264*(1-'01 Controls'!$E$6)</x:f>
        <x:v>16800</x:v>
      </x:c>
      <x:c r="S264" s="19" t="n">
        <x:v>120</x:v>
      </x:c>
      <x:c r="T264" s="20" t="n">
        <x:f>K264*S264</x:f>
        <x:v>960</x:v>
      </x:c>
      <x:c r="U264" s="18" t="n">
        <x:f>'01 Controls'!E37</x:f>
        <x:v>0.05</x:v>
      </x:c>
      <x:c r="V264" s="20" t="n">
        <x:f>R264*U264</x:f>
        <x:v>840</x:v>
      </x:c>
      <x:c r="W264" s="18" t="n">
        <x:f>'01 Controls'!F37</x:f>
        <x:v>0</x:v>
      </x:c>
      <x:c r="X264" s="20" t="n">
        <x:f>R264*W264</x:f>
        <x:v>0</x:v>
      </x:c>
      <x:c r="Y264" s="18" t="n">
        <x:f>'01 Controls'!G37</x:f>
        <x:v>0.7</x:v>
      </x:c>
      <x:c r="Z264" s="20" t="n">
        <x:f>R264*Y264</x:f>
        <x:v>11760</x:v>
      </x:c>
      <x:c r="AA264" s="18" t="n">
        <x:f>'01 Controls'!H37</x:f>
        <x:v>0.25</x:v>
      </x:c>
      <x:c r="AB264" s="20" t="n">
        <x:f>R264*AA264</x:f>
        <x:v>4200</x:v>
      </x:c>
      <x:c r="AC264" s="20" t="n">
        <x:f>IF(H264="CM-HCG",K264*'01 Controls'!$E$24,0)</x:f>
        <x:v>0</x:v>
      </x:c>
      <x:c r="AD264" s="20" t="n">
        <x:f>IF(H264="CM-HCG",K264*'01 Controls'!$E$25,0)</x:f>
        <x:v>0</x:v>
      </x:c>
      <x:c r="AE264" s="20" t="n">
        <x:f>IF(H264="CM-HCG",K264*'01 Controls'!$E$26,0)</x:f>
        <x:v>0</x:v>
      </x:c>
      <x:c r="AF264" s="20" t="n">
        <x:f>IF(H264="CM-HCG",K264*'01 Controls'!$E$27,0)</x:f>
        <x:v>0</x:v>
      </x:c>
    </x:row>
    <x:row r="265">
      <x:c r="C265" s="22" t="str">
        <x:v>M3-M-OSG</x:v>
      </x:c>
      <x:c r="D265" s="22" t="n">
        <x:v>260</x:v>
      </x:c>
      <x:c r="E265" s="22" t="str">
        <x:v>M3</x:v>
      </x:c>
      <x:c r="F265" s="22" t="str">
        <x:v>Inland flood</x:v>
      </x:c>
      <x:c r="G265" s="22" t="n">
        <x:v>6</x:v>
      </x:c>
      <x:c r="H265" s="22" t="str">
        <x:v>M-OSG</x:v>
      </x:c>
      <x:c r="I265" s="22" t="str">
        <x:v>Maritime Response</x:v>
      </x:c>
      <x:c r="J265" s="22" t="str">
        <x:v>Offshore-support group</x:v>
      </x:c>
      <x:c r="K265" s="23" t="n">
        <x:v>1</x:v>
      </x:c>
      <x:c r="L265" s="23" t="n">
        <x:v>700</x:v>
      </x:c>
      <x:c r="M265" s="23" t="n">
        <x:v>0</x:v>
      </x:c>
      <x:c r="N265" s="20" t="n">
        <x:f>K265*L265</x:f>
        <x:v>700</x:v>
      </x:c>
      <x:c r="O265" s="19" t="n">
        <x:v>8000</x:v>
      </x:c>
      <x:c r="P265" s="17" t="n">
        <x:v>0.35</x:v>
      </x:c>
      <x:c r="Q265" s="20" t="n">
        <x:f>K265*O265*P265</x:f>
        <x:v>2800</x:v>
      </x:c>
      <x:c r="R265" s="20" t="n">
        <x:f>Q265*(1-'01 Controls'!$E$6)</x:f>
        <x:v>2100</x:v>
      </x:c>
      <x:c r="S265" s="19" t="n">
        <x:v>120</x:v>
      </x:c>
      <x:c r="T265" s="20" t="n">
        <x:f>K265*S265</x:f>
        <x:v>120</x:v>
      </x:c>
      <x:c r="U265" s="18" t="n">
        <x:f>'01 Controls'!E37</x:f>
        <x:v>0.05</x:v>
      </x:c>
      <x:c r="V265" s="20" t="n">
        <x:f>R265*U265</x:f>
        <x:v>105</x:v>
      </x:c>
      <x:c r="W265" s="18" t="n">
        <x:f>'01 Controls'!F37</x:f>
        <x:v>0</x:v>
      </x:c>
      <x:c r="X265" s="20" t="n">
        <x:f>R265*W265</x:f>
        <x:v>0</x:v>
      </x:c>
      <x:c r="Y265" s="18" t="n">
        <x:f>'01 Controls'!G37</x:f>
        <x:v>0.7</x:v>
      </x:c>
      <x:c r="Z265" s="20" t="n">
        <x:f>R265*Y265</x:f>
        <x:v>1470</x:v>
      </x:c>
      <x:c r="AA265" s="18" t="n">
        <x:f>'01 Controls'!H37</x:f>
        <x:v>0.25</x:v>
      </x:c>
      <x:c r="AB265" s="20" t="n">
        <x:f>R265*AA265</x:f>
        <x:v>525</x:v>
      </x:c>
      <x:c r="AC265" s="20" t="n">
        <x:f>IF(H265="CM-HCG",K265*'01 Controls'!$E$24,0)</x:f>
        <x:v>0</x:v>
      </x:c>
      <x:c r="AD265" s="20" t="n">
        <x:f>IF(H265="CM-HCG",K265*'01 Controls'!$E$25,0)</x:f>
        <x:v>0</x:v>
      </x:c>
      <x:c r="AE265" s="20" t="n">
        <x:f>IF(H265="CM-HCG",K265*'01 Controls'!$E$26,0)</x:f>
        <x:v>0</x:v>
      </x:c>
      <x:c r="AF265" s="20" t="n">
        <x:f>IF(H265="CM-HCG",K265*'01 Controls'!$E$27,0)</x:f>
        <x:v>0</x:v>
      </x:c>
    </x:row>
    <x:row r="266">
      <x:c r="C266" s="22" t="str">
        <x:v>M3-M-SSG</x:v>
      </x:c>
      <x:c r="D266" s="22" t="n">
        <x:v>261</x:v>
      </x:c>
      <x:c r="E266" s="22" t="str">
        <x:v>M3</x:v>
      </x:c>
      <x:c r="F266" s="22" t="str">
        <x:v>Inland flood</x:v>
      </x:c>
      <x:c r="G266" s="22" t="n">
        <x:v>6</x:v>
      </x:c>
      <x:c r="H266" s="22" t="str">
        <x:v>M-SSG</x:v>
      </x:c>
      <x:c r="I266" s="22" t="str">
        <x:v>Maritime Response</x:v>
      </x:c>
      <x:c r="J266" s="22" t="str">
        <x:v>Ocean sustainment group</x:v>
      </x:c>
      <x:c r="K266" s="23" t="n">
        <x:v>2</x:v>
      </x:c>
      <x:c r="L266" s="23" t="n">
        <x:v>650</x:v>
      </x:c>
      <x:c r="M266" s="23" t="n">
        <x:v>0</x:v>
      </x:c>
      <x:c r="N266" s="20" t="n">
        <x:f>K266*L266</x:f>
        <x:v>1300</x:v>
      </x:c>
      <x:c r="O266" s="19" t="n">
        <x:v>8000</x:v>
      </x:c>
      <x:c r="P266" s="17" t="n">
        <x:v>0.35</x:v>
      </x:c>
      <x:c r="Q266" s="20" t="n">
        <x:f>K266*O266*P266</x:f>
        <x:v>5600</x:v>
      </x:c>
      <x:c r="R266" s="20" t="n">
        <x:f>Q266*(1-'01 Controls'!$E$6)</x:f>
        <x:v>4200</x:v>
      </x:c>
      <x:c r="S266" s="19" t="n">
        <x:v>120</x:v>
      </x:c>
      <x:c r="T266" s="20" t="n">
        <x:f>K266*S266</x:f>
        <x:v>240</x:v>
      </x:c>
      <x:c r="U266" s="18" t="n">
        <x:f>'01 Controls'!E37</x:f>
        <x:v>0.05</x:v>
      </x:c>
      <x:c r="V266" s="20" t="n">
        <x:f>R266*U266</x:f>
        <x:v>210</x:v>
      </x:c>
      <x:c r="W266" s="18" t="n">
        <x:f>'01 Controls'!F37</x:f>
        <x:v>0</x:v>
      </x:c>
      <x:c r="X266" s="20" t="n">
        <x:f>R266*W266</x:f>
        <x:v>0</x:v>
      </x:c>
      <x:c r="Y266" s="18" t="n">
        <x:f>'01 Controls'!G37</x:f>
        <x:v>0.7</x:v>
      </x:c>
      <x:c r="Z266" s="20" t="n">
        <x:f>R266*Y266</x:f>
        <x:v>2940</x:v>
      </x:c>
      <x:c r="AA266" s="18" t="n">
        <x:f>'01 Controls'!H37</x:f>
        <x:v>0.25</x:v>
      </x:c>
      <x:c r="AB266" s="20" t="n">
        <x:f>R266*AA266</x:f>
        <x:v>1050</x:v>
      </x:c>
      <x:c r="AC266" s="20" t="n">
        <x:f>IF(H266="CM-HCG",K266*'01 Controls'!$E$24,0)</x:f>
        <x:v>0</x:v>
      </x:c>
      <x:c r="AD266" s="20" t="n">
        <x:f>IF(H266="CM-HCG",K266*'01 Controls'!$E$25,0)</x:f>
        <x:v>0</x:v>
      </x:c>
      <x:c r="AE266" s="20" t="n">
        <x:f>IF(H266="CM-HCG",K266*'01 Controls'!$E$26,0)</x:f>
        <x:v>0</x:v>
      </x:c>
      <x:c r="AF266" s="20" t="n">
        <x:f>IF(H266="CM-HCG",K266*'01 Controls'!$E$27,0)</x:f>
        <x:v>0</x:v>
      </x:c>
    </x:row>
    <x:row r="267">
      <x:c r="C267" s="22" t="str">
        <x:v>M3-I-CUG</x:v>
      </x:c>
      <x:c r="D267" s="22" t="n">
        <x:v>262</x:v>
      </x:c>
      <x:c r="E267" s="22" t="str">
        <x:v>M3</x:v>
      </x:c>
      <x:c r="F267" s="22" t="str">
        <x:v>Inland flood</x:v>
      </x:c>
      <x:c r="G267" s="22" t="n">
        <x:v>6</x:v>
      </x:c>
      <x:c r="H267" s="22" t="str">
        <x:v>I-CUG</x:v>
      </x:c>
      <x:c r="I267" s="22" t="str">
        <x:v>Infrastructure Restoration</x:v>
      </x:c>
      <x:c r="J267" s="22" t="str">
        <x:v>Communications utility group</x:v>
      </x:c>
      <x:c r="K267" s="23" t="n">
        <x:v>5</x:v>
      </x:c>
      <x:c r="L267" s="23" t="n">
        <x:v>250</x:v>
      </x:c>
      <x:c r="M267" s="23" t="n">
        <x:v>0</x:v>
      </x:c>
      <x:c r="N267" s="20" t="n">
        <x:f>K267*L267</x:f>
        <x:v>1250</x:v>
      </x:c>
      <x:c r="O267" s="19" t="n">
        <x:v>12000</x:v>
      </x:c>
      <x:c r="P267" s="17" t="n">
        <x:v>0.4</x:v>
      </x:c>
      <x:c r="Q267" s="20" t="n">
        <x:f>K267*O267*P267</x:f>
        <x:v>24000</x:v>
      </x:c>
      <x:c r="R267" s="20" t="n">
        <x:f>Q267*(1-'01 Controls'!$E$6)</x:f>
        <x:v>18000</x:v>
      </x:c>
      <x:c r="S267" s="19" t="n">
        <x:v>110</x:v>
      </x:c>
      <x:c r="T267" s="20" t="n">
        <x:f>K267*S267</x:f>
        <x:v>550</x:v>
      </x:c>
      <x:c r="U267" s="18" t="n">
        <x:f>'01 Controls'!E37</x:f>
        <x:v>0.05</x:v>
      </x:c>
      <x:c r="V267" s="20" t="n">
        <x:f>R267*U267</x:f>
        <x:v>900</x:v>
      </x:c>
      <x:c r="W267" s="18" t="n">
        <x:f>'01 Controls'!F37</x:f>
        <x:v>0</x:v>
      </x:c>
      <x:c r="X267" s="20" t="n">
        <x:f>R267*W267</x:f>
        <x:v>0</x:v>
      </x:c>
      <x:c r="Y267" s="18" t="n">
        <x:f>'01 Controls'!G37</x:f>
        <x:v>0.7</x:v>
      </x:c>
      <x:c r="Z267" s="20" t="n">
        <x:f>R267*Y267</x:f>
        <x:v>12600</x:v>
      </x:c>
      <x:c r="AA267" s="18" t="n">
        <x:f>'01 Controls'!H37</x:f>
        <x:v>0.25</x:v>
      </x:c>
      <x:c r="AB267" s="20" t="n">
        <x:f>R267*AA267</x:f>
        <x:v>4500</x:v>
      </x:c>
      <x:c r="AC267" s="20" t="n">
        <x:f>IF(H267="CM-HCG",K267*'01 Controls'!$E$24,0)</x:f>
        <x:v>0</x:v>
      </x:c>
      <x:c r="AD267" s="20" t="n">
        <x:f>IF(H267="CM-HCG",K267*'01 Controls'!$E$25,0)</x:f>
        <x:v>0</x:v>
      </x:c>
      <x:c r="AE267" s="20" t="n">
        <x:f>IF(H267="CM-HCG",K267*'01 Controls'!$E$26,0)</x:f>
        <x:v>0</x:v>
      </x:c>
      <x:c r="AF267" s="20" t="n">
        <x:f>IF(H267="CM-HCG",K267*'01 Controls'!$E$27,0)</x:f>
        <x:v>0</x:v>
      </x:c>
    </x:row>
    <x:row r="268">
      <x:c r="C268" s="22" t="str">
        <x:v>M3-I-TSG</x:v>
      </x:c>
      <x:c r="D268" s="22" t="n">
        <x:v>263</x:v>
      </x:c>
      <x:c r="E268" s="22" t="str">
        <x:v>M3</x:v>
      </x:c>
      <x:c r="F268" s="22" t="str">
        <x:v>Inland flood</x:v>
      </x:c>
      <x:c r="G268" s="22" t="n">
        <x:v>6</x:v>
      </x:c>
      <x:c r="H268" s="22" t="str">
        <x:v>I-TSG</x:v>
      </x:c>
      <x:c r="I268" s="22" t="str">
        <x:v>Infrastructure Restoration</x:v>
      </x:c>
      <x:c r="J268" s="22" t="str">
        <x:v>Thermal safety group</x:v>
      </x:c>
      <x:c r="K268" s="23" t="n">
        <x:v>3</x:v>
      </x:c>
      <x:c r="L268" s="23" t="n">
        <x:v>250</x:v>
      </x:c>
      <x:c r="M268" s="23" t="n">
        <x:v>0</x:v>
      </x:c>
      <x:c r="N268" s="20" t="n">
        <x:f>K268*L268</x:f>
        <x:v>750</x:v>
      </x:c>
      <x:c r="O268" s="19" t="n">
        <x:v>12000</x:v>
      </x:c>
      <x:c r="P268" s="17" t="n">
        <x:v>0.4</x:v>
      </x:c>
      <x:c r="Q268" s="20" t="n">
        <x:f>K268*O268*P268</x:f>
        <x:v>14400</x:v>
      </x:c>
      <x:c r="R268" s="20" t="n">
        <x:f>Q268*(1-'01 Controls'!$E$6)</x:f>
        <x:v>10800</x:v>
      </x:c>
      <x:c r="S268" s="19" t="n">
        <x:v>110</x:v>
      </x:c>
      <x:c r="T268" s="20" t="n">
        <x:f>K268*S268</x:f>
        <x:v>330</x:v>
      </x:c>
      <x:c r="U268" s="18" t="n">
        <x:f>'01 Controls'!E37</x:f>
        <x:v>0.05</x:v>
      </x:c>
      <x:c r="V268" s="20" t="n">
        <x:f>R268*U268</x:f>
        <x:v>540</x:v>
      </x:c>
      <x:c r="W268" s="18" t="n">
        <x:f>'01 Controls'!F37</x:f>
        <x:v>0</x:v>
      </x:c>
      <x:c r="X268" s="20" t="n">
        <x:f>R268*W268</x:f>
        <x:v>0</x:v>
      </x:c>
      <x:c r="Y268" s="18" t="n">
        <x:f>'01 Controls'!G37</x:f>
        <x:v>0.7</x:v>
      </x:c>
      <x:c r="Z268" s="20" t="n">
        <x:f>R268*Y268</x:f>
        <x:v>7559.999999999999</x:v>
      </x:c>
      <x:c r="AA268" s="18" t="n">
        <x:f>'01 Controls'!H37</x:f>
        <x:v>0.25</x:v>
      </x:c>
      <x:c r="AB268" s="20" t="n">
        <x:f>R268*AA268</x:f>
        <x:v>2700</x:v>
      </x:c>
      <x:c r="AC268" s="20" t="n">
        <x:f>IF(H268="CM-HCG",K268*'01 Controls'!$E$24,0)</x:f>
        <x:v>0</x:v>
      </x:c>
      <x:c r="AD268" s="20" t="n">
        <x:f>IF(H268="CM-HCG",K268*'01 Controls'!$E$25,0)</x:f>
        <x:v>0</x:v>
      </x:c>
      <x:c r="AE268" s="20" t="n">
        <x:f>IF(H268="CM-HCG",K268*'01 Controls'!$E$26,0)</x:f>
        <x:v>0</x:v>
      </x:c>
      <x:c r="AF268" s="20" t="n">
        <x:f>IF(H268="CM-HCG",K268*'01 Controls'!$E$27,0)</x:f>
        <x:v>0</x:v>
      </x:c>
    </x:row>
    <x:row r="269">
      <x:c r="C269" s="22" t="str">
        <x:v>M3-I-URG</x:v>
      </x:c>
      <x:c r="D269" s="22" t="n">
        <x:v>264</x:v>
      </x:c>
      <x:c r="E269" s="22" t="str">
        <x:v>M3</x:v>
      </x:c>
      <x:c r="F269" s="22" t="str">
        <x:v>Inland flood</x:v>
      </x:c>
      <x:c r="G269" s="22" t="n">
        <x:v>6</x:v>
      </x:c>
      <x:c r="H269" s="22" t="str">
        <x:v>I-URG</x:v>
      </x:c>
      <x:c r="I269" s="22" t="str">
        <x:v>Infrastructure Restoration</x:v>
      </x:c>
      <x:c r="J269" s="22" t="str">
        <x:v>Utility reconstruction group</x:v>
      </x:c>
      <x:c r="K269" s="23" t="n">
        <x:v>6</x:v>
      </x:c>
      <x:c r="L269" s="23" t="n">
        <x:v>450</x:v>
      </x:c>
      <x:c r="M269" s="23" t="n">
        <x:v>0</x:v>
      </x:c>
      <x:c r="N269" s="20" t="n">
        <x:f>K269*L269</x:f>
        <x:v>2700</x:v>
      </x:c>
      <x:c r="O269" s="19" t="n">
        <x:v>12000</x:v>
      </x:c>
      <x:c r="P269" s="17" t="n">
        <x:v>0.4</x:v>
      </x:c>
      <x:c r="Q269" s="20" t="n">
        <x:f>K269*O269*P269</x:f>
        <x:v>28800</x:v>
      </x:c>
      <x:c r="R269" s="20" t="n">
        <x:f>Q269*(1-'01 Controls'!$E$6)</x:f>
        <x:v>21600</x:v>
      </x:c>
      <x:c r="S269" s="19" t="n">
        <x:v>110</x:v>
      </x:c>
      <x:c r="T269" s="20" t="n">
        <x:f>K269*S269</x:f>
        <x:v>660</x:v>
      </x:c>
      <x:c r="U269" s="18" t="n">
        <x:f>'01 Controls'!E37</x:f>
        <x:v>0.05</x:v>
      </x:c>
      <x:c r="V269" s="20" t="n">
        <x:f>R269*U269</x:f>
        <x:v>1080</x:v>
      </x:c>
      <x:c r="W269" s="18" t="n">
        <x:f>'01 Controls'!F37</x:f>
        <x:v>0</x:v>
      </x:c>
      <x:c r="X269" s="20" t="n">
        <x:f>R269*W269</x:f>
        <x:v>0</x:v>
      </x:c>
      <x:c r="Y269" s="18" t="n">
        <x:f>'01 Controls'!G37</x:f>
        <x:v>0.7</x:v>
      </x:c>
      <x:c r="Z269" s="20" t="n">
        <x:f>R269*Y269</x:f>
        <x:v>15119.999999999998</x:v>
      </x:c>
      <x:c r="AA269" s="18" t="n">
        <x:f>'01 Controls'!H37</x:f>
        <x:v>0.25</x:v>
      </x:c>
      <x:c r="AB269" s="20" t="n">
        <x:f>R269*AA269</x:f>
        <x:v>5400</x:v>
      </x:c>
      <x:c r="AC269" s="20" t="n">
        <x:f>IF(H269="CM-HCG",K269*'01 Controls'!$E$24,0)</x:f>
        <x:v>0</x:v>
      </x:c>
      <x:c r="AD269" s="20" t="n">
        <x:f>IF(H269="CM-HCG",K269*'01 Controls'!$E$25,0)</x:f>
        <x:v>0</x:v>
      </x:c>
      <x:c r="AE269" s="20" t="n">
        <x:f>IF(H269="CM-HCG",K269*'01 Controls'!$E$26,0)</x:f>
        <x:v>0</x:v>
      </x:c>
      <x:c r="AF269" s="20" t="n">
        <x:f>IF(H269="CM-HCG",K269*'01 Controls'!$E$27,0)</x:f>
        <x:v>0</x:v>
      </x:c>
    </x:row>
    <x:row r="270">
      <x:c r="C270" s="22" t="str">
        <x:v>M3-H-CHC</x:v>
      </x:c>
      <x:c r="D270" s="22" t="n">
        <x:v>265</x:v>
      </x:c>
      <x:c r="E270" s="22" t="str">
        <x:v>M3</x:v>
      </x:c>
      <x:c r="F270" s="22" t="str">
        <x:v>Inland flood</x:v>
      </x:c>
      <x:c r="G270" s="22" t="n">
        <x:v>6</x:v>
      </x:c>
      <x:c r="H270" s="22" t="str">
        <x:v>H-CHC</x:v>
      </x:c>
      <x:c r="I270" s="22" t="str">
        <x:v>Health Protection</x:v>
      </x:c>
      <x:c r="J270" s="22" t="str">
        <x:v>Community health continuity group</x:v>
      </x:c>
      <x:c r="K270" s="23" t="n">
        <x:v>5</x:v>
      </x:c>
      <x:c r="L270" s="23" t="n">
        <x:v>500</x:v>
      </x:c>
      <x:c r="M270" s="23" t="n">
        <x:v>0</x:v>
      </x:c>
      <x:c r="N270" s="20" t="n">
        <x:f>K270*L270</x:f>
        <x:v>2500</x:v>
      </x:c>
      <x:c r="O270" s="19" t="n">
        <x:v>5000</x:v>
      </x:c>
      <x:c r="P270" s="17" t="n">
        <x:v>0.7</x:v>
      </x:c>
      <x:c r="Q270" s="20" t="n">
        <x:f>K270*O270*P270</x:f>
        <x:v>17500</x:v>
      </x:c>
      <x:c r="R270" s="20" t="n">
        <x:f>Q270*(1-'01 Controls'!$E$6)</x:f>
        <x:v>13125</x:v>
      </x:c>
      <x:c r="S270" s="19" t="n">
        <x:v>55</x:v>
      </x:c>
      <x:c r="T270" s="20" t="n">
        <x:f>K270*S270</x:f>
        <x:v>275</x:v>
      </x:c>
      <x:c r="U270" s="18" t="n">
        <x:f>'01 Controls'!E37</x:f>
        <x:v>0.05</x:v>
      </x:c>
      <x:c r="V270" s="20" t="n">
        <x:f>R270*U270</x:f>
        <x:v>656.25</x:v>
      </x:c>
      <x:c r="W270" s="18" t="n">
        <x:f>'01 Controls'!F37</x:f>
        <x:v>0</x:v>
      </x:c>
      <x:c r="X270" s="20" t="n">
        <x:f>R270*W270</x:f>
        <x:v>0</x:v>
      </x:c>
      <x:c r="Y270" s="18" t="n">
        <x:f>'01 Controls'!G37</x:f>
        <x:v>0.7</x:v>
      </x:c>
      <x:c r="Z270" s="20" t="n">
        <x:f>R270*Y270</x:f>
        <x:v>9187.5</x:v>
      </x:c>
      <x:c r="AA270" s="18" t="n">
        <x:f>'01 Controls'!H37</x:f>
        <x:v>0.25</x:v>
      </x:c>
      <x:c r="AB270" s="20" t="n">
        <x:f>R270*AA270</x:f>
        <x:v>3281.25</x:v>
      </x:c>
      <x:c r="AC270" s="20" t="n">
        <x:f>IF(H270="CM-HCG",K270*'01 Controls'!$E$24,0)</x:f>
        <x:v>0</x:v>
      </x:c>
      <x:c r="AD270" s="20" t="n">
        <x:f>IF(H270="CM-HCG",K270*'01 Controls'!$E$25,0)</x:f>
        <x:v>0</x:v>
      </x:c>
      <x:c r="AE270" s="20" t="n">
        <x:f>IF(H270="CM-HCG",K270*'01 Controls'!$E$26,0)</x:f>
        <x:v>0</x:v>
      </x:c>
      <x:c r="AF270" s="20" t="n">
        <x:f>IF(H270="CM-HCG",K270*'01 Controls'!$E$27,0)</x:f>
        <x:v>0</x:v>
      </x:c>
    </x:row>
    <x:row r="271">
      <x:c r="C271" s="22" t="str">
        <x:v>M3-H-MAC</x:v>
      </x:c>
      <x:c r="D271" s="22" t="n">
        <x:v>266</x:v>
      </x:c>
      <x:c r="E271" s="22" t="str">
        <x:v>M3</x:v>
      </x:c>
      <x:c r="F271" s="22" t="str">
        <x:v>Inland flood</x:v>
      </x:c>
      <x:c r="G271" s="22" t="n">
        <x:v>6</x:v>
      </x:c>
      <x:c r="H271" s="22" t="str">
        <x:v>H-MAC</x:v>
      </x:c>
      <x:c r="I271" s="22" t="str">
        <x:v>Health Protection</x:v>
      </x:c>
      <x:c r="J271" s="22" t="str">
        <x:v>Mobile acute-care group</x:v>
      </x:c>
      <x:c r="K271" s="23" t="n">
        <x:v>3</x:v>
      </x:c>
      <x:c r="L271" s="23" t="n">
        <x:v>600</x:v>
      </x:c>
      <x:c r="M271" s="23" t="n">
        <x:v>0</x:v>
      </x:c>
      <x:c r="N271" s="20" t="n">
        <x:f>K271*L271</x:f>
        <x:v>1800</x:v>
      </x:c>
      <x:c r="O271" s="19" t="n">
        <x:v>5000</x:v>
      </x:c>
      <x:c r="P271" s="17" t="n">
        <x:v>0.7</x:v>
      </x:c>
      <x:c r="Q271" s="20" t="n">
        <x:f>K271*O271*P271</x:f>
        <x:v>10500</x:v>
      </x:c>
      <x:c r="R271" s="20" t="n">
        <x:f>Q271*(1-'01 Controls'!$E$6)</x:f>
        <x:v>7875</x:v>
      </x:c>
      <x:c r="S271" s="19" t="n">
        <x:v>55</x:v>
      </x:c>
      <x:c r="T271" s="20" t="n">
        <x:f>K271*S271</x:f>
        <x:v>165</x:v>
      </x:c>
      <x:c r="U271" s="18" t="n">
        <x:f>'01 Controls'!E37</x:f>
        <x:v>0.05</x:v>
      </x:c>
      <x:c r="V271" s="20" t="n">
        <x:f>R271*U271</x:f>
        <x:v>393.75</x:v>
      </x:c>
      <x:c r="W271" s="18" t="n">
        <x:f>'01 Controls'!F37</x:f>
        <x:v>0</x:v>
      </x:c>
      <x:c r="X271" s="20" t="n">
        <x:f>R271*W271</x:f>
        <x:v>0</x:v>
      </x:c>
      <x:c r="Y271" s="18" t="n">
        <x:f>'01 Controls'!G37</x:f>
        <x:v>0.7</x:v>
      </x:c>
      <x:c r="Z271" s="20" t="n">
        <x:f>R271*Y271</x:f>
        <x:v>5512.5</x:v>
      </x:c>
      <x:c r="AA271" s="18" t="n">
        <x:f>'01 Controls'!H37</x:f>
        <x:v>0.25</x:v>
      </x:c>
      <x:c r="AB271" s="20" t="n">
        <x:f>R271*AA271</x:f>
        <x:v>1968.75</x:v>
      </x:c>
      <x:c r="AC271" s="20" t="n">
        <x:f>IF(H271="CM-HCG",K271*'01 Controls'!$E$24,0)</x:f>
        <x:v>0</x:v>
      </x:c>
      <x:c r="AD271" s="20" t="n">
        <x:f>IF(H271="CM-HCG",K271*'01 Controls'!$E$25,0)</x:f>
        <x:v>0</x:v>
      </x:c>
      <x:c r="AE271" s="20" t="n">
        <x:f>IF(H271="CM-HCG",K271*'01 Controls'!$E$26,0)</x:f>
        <x:v>0</x:v>
      </x:c>
      <x:c r="AF271" s="20" t="n">
        <x:f>IF(H271="CM-HCG",K271*'01 Controls'!$E$27,0)</x:f>
        <x:v>0</x:v>
      </x:c>
    </x:row>
    <x:row r="272">
      <x:c r="C272" s="22" t="str">
        <x:v>M3-H-PHC</x:v>
      </x:c>
      <x:c r="D272" s="22" t="n">
        <x:v>267</x:v>
      </x:c>
      <x:c r="E272" s="22" t="str">
        <x:v>M3</x:v>
      </x:c>
      <x:c r="F272" s="22" t="str">
        <x:v>Inland flood</x:v>
      </x:c>
      <x:c r="G272" s="22" t="n">
        <x:v>6</x:v>
      </x:c>
      <x:c r="H272" s="22" t="str">
        <x:v>H-PHC</x:v>
      </x:c>
      <x:c r="I272" s="22" t="str">
        <x:v>Health Protection</x:v>
      </x:c>
      <x:c r="J272" s="22" t="str">
        <x:v>Public-health control group</x:v>
      </x:c>
      <x:c r="K272" s="23" t="n">
        <x:v>3</x:v>
      </x:c>
      <x:c r="L272" s="23" t="n">
        <x:v>250</x:v>
      </x:c>
      <x:c r="M272" s="23" t="n">
        <x:v>0</x:v>
      </x:c>
      <x:c r="N272" s="20" t="n">
        <x:f>K272*L272</x:f>
        <x:v>750</x:v>
      </x:c>
      <x:c r="O272" s="19" t="n">
        <x:v>5000</x:v>
      </x:c>
      <x:c r="P272" s="17" t="n">
        <x:v>0.7</x:v>
      </x:c>
      <x:c r="Q272" s="20" t="n">
        <x:f>K272*O272*P272</x:f>
        <x:v>10500</x:v>
      </x:c>
      <x:c r="R272" s="20" t="n">
        <x:f>Q272*(1-'01 Controls'!$E$6)</x:f>
        <x:v>7875</x:v>
      </x:c>
      <x:c r="S272" s="19" t="n">
        <x:v>55</x:v>
      </x:c>
      <x:c r="T272" s="20" t="n">
        <x:f>K272*S272</x:f>
        <x:v>165</x:v>
      </x:c>
      <x:c r="U272" s="18" t="n">
        <x:f>'01 Controls'!E37</x:f>
        <x:v>0.05</x:v>
      </x:c>
      <x:c r="V272" s="20" t="n">
        <x:f>R272*U272</x:f>
        <x:v>393.75</x:v>
      </x:c>
      <x:c r="W272" s="18" t="n">
        <x:f>'01 Controls'!F37</x:f>
        <x:v>0</x:v>
      </x:c>
      <x:c r="X272" s="20" t="n">
        <x:f>R272*W272</x:f>
        <x:v>0</x:v>
      </x:c>
      <x:c r="Y272" s="18" t="n">
        <x:f>'01 Controls'!G37</x:f>
        <x:v>0.7</x:v>
      </x:c>
      <x:c r="Z272" s="20" t="n">
        <x:f>R272*Y272</x:f>
        <x:v>5512.5</x:v>
      </x:c>
      <x:c r="AA272" s="18" t="n">
        <x:f>'01 Controls'!H37</x:f>
        <x:v>0.25</x:v>
      </x:c>
      <x:c r="AB272" s="20" t="n">
        <x:f>R272*AA272</x:f>
        <x:v>1968.75</x:v>
      </x:c>
      <x:c r="AC272" s="20" t="n">
        <x:f>IF(H272="CM-HCG",K272*'01 Controls'!$E$24,0)</x:f>
        <x:v>0</x:v>
      </x:c>
      <x:c r="AD272" s="20" t="n">
        <x:f>IF(H272="CM-HCG",K272*'01 Controls'!$E$25,0)</x:f>
        <x:v>0</x:v>
      </x:c>
      <x:c r="AE272" s="20" t="n">
        <x:f>IF(H272="CM-HCG",K272*'01 Controls'!$E$26,0)</x:f>
        <x:v>0</x:v>
      </x:c>
      <x:c r="AF272" s="20" t="n">
        <x:f>IF(H272="CM-HCG",K272*'01 Controls'!$E$27,0)</x:f>
        <x:v>0</x:v>
      </x:c>
    </x:row>
    <x:row r="273">
      <x:c r="C273" s="22" t="str">
        <x:v>M3-H-HWR</x:v>
      </x:c>
      <x:c r="D273" s="22" t="n">
        <x:v>268</x:v>
      </x:c>
      <x:c r="E273" s="22" t="str">
        <x:v>M3</x:v>
      </x:c>
      <x:c r="F273" s="22" t="str">
        <x:v>Inland flood</x:v>
      </x:c>
      <x:c r="G273" s="22" t="n">
        <x:v>6</x:v>
      </x:c>
      <x:c r="H273" s="22" t="str">
        <x:v>H-HWR</x:v>
      </x:c>
      <x:c r="I273" s="22" t="str">
        <x:v>Health Protection</x:v>
      </x:c>
      <x:c r="J273" s="22" t="str">
        <x:v>Health workforce replacement group</x:v>
      </x:c>
      <x:c r="K273" s="23" t="n">
        <x:v>5</x:v>
      </x:c>
      <x:c r="L273" s="23" t="n">
        <x:v>550</x:v>
      </x:c>
      <x:c r="M273" s="23" t="n">
        <x:v>0</x:v>
      </x:c>
      <x:c r="N273" s="20" t="n">
        <x:f>K273*L273</x:f>
        <x:v>2750</x:v>
      </x:c>
      <x:c r="O273" s="19" t="n">
        <x:v>5000</x:v>
      </x:c>
      <x:c r="P273" s="17" t="n">
        <x:v>0.7</x:v>
      </x:c>
      <x:c r="Q273" s="20" t="n">
        <x:f>K273*O273*P273</x:f>
        <x:v>17500</x:v>
      </x:c>
      <x:c r="R273" s="20" t="n">
        <x:f>Q273*(1-'01 Controls'!$E$6)</x:f>
        <x:v>13125</x:v>
      </x:c>
      <x:c r="S273" s="19" t="n">
        <x:v>55</x:v>
      </x:c>
      <x:c r="T273" s="20" t="n">
        <x:f>K273*S273</x:f>
        <x:v>275</x:v>
      </x:c>
      <x:c r="U273" s="18" t="n">
        <x:f>'01 Controls'!E37</x:f>
        <x:v>0.05</x:v>
      </x:c>
      <x:c r="V273" s="20" t="n">
        <x:f>R273*U273</x:f>
        <x:v>656.25</x:v>
      </x:c>
      <x:c r="W273" s="18" t="n">
        <x:f>'01 Controls'!F37</x:f>
        <x:v>0</x:v>
      </x:c>
      <x:c r="X273" s="20" t="n">
        <x:f>R273*W273</x:f>
        <x:v>0</x:v>
      </x:c>
      <x:c r="Y273" s="18" t="n">
        <x:f>'01 Controls'!G37</x:f>
        <x:v>0.7</x:v>
      </x:c>
      <x:c r="Z273" s="20" t="n">
        <x:f>R273*Y273</x:f>
        <x:v>9187.5</x:v>
      </x:c>
      <x:c r="AA273" s="18" t="n">
        <x:f>'01 Controls'!H37</x:f>
        <x:v>0.25</x:v>
      </x:c>
      <x:c r="AB273" s="20" t="n">
        <x:f>R273*AA273</x:f>
        <x:v>3281.25</x:v>
      </x:c>
      <x:c r="AC273" s="20" t="n">
        <x:f>IF(H273="CM-HCG",K273*'01 Controls'!$E$24,0)</x:f>
        <x:v>0</x:v>
      </x:c>
      <x:c r="AD273" s="20" t="n">
        <x:f>IF(H273="CM-HCG",K273*'01 Controls'!$E$25,0)</x:f>
        <x:v>0</x:v>
      </x:c>
      <x:c r="AE273" s="20" t="n">
        <x:f>IF(H273="CM-HCG",K273*'01 Controls'!$E$26,0)</x:f>
        <x:v>0</x:v>
      </x:c>
      <x:c r="AF273" s="20" t="n">
        <x:f>IF(H273="CM-HCG",K273*'01 Controls'!$E$27,0)</x:f>
        <x:v>0</x:v>
      </x:c>
    </x:row>
    <x:row r="274">
      <x:c r="C274" s="22" t="str">
        <x:v>M3-C-PSG</x:v>
      </x:c>
      <x:c r="D274" s="22" t="n">
        <x:v>269</x:v>
      </x:c>
      <x:c r="E274" s="22" t="str">
        <x:v>M3</x:v>
      </x:c>
      <x:c r="F274" s="22" t="str">
        <x:v>Inland flood</x:v>
      </x:c>
      <x:c r="G274" s="22" t="n">
        <x:v>6</x:v>
      </x:c>
      <x:c r="H274" s="22" t="str">
        <x:v>C-PSG</x:v>
      </x:c>
      <x:c r="I274" s="22" t="str">
        <x:v>Community Stabilization</x:v>
      </x:c>
      <x:c r="J274" s="22" t="str">
        <x:v>Population support group</x:v>
      </x:c>
      <x:c r="K274" s="23" t="n">
        <x:v>8</x:v>
      </x:c>
      <x:c r="L274" s="23" t="n">
        <x:v>450</x:v>
      </x:c>
      <x:c r="M274" s="23" t="n">
        <x:v>0</x:v>
      </x:c>
      <x:c r="N274" s="20" t="n">
        <x:f>K274*L274</x:f>
        <x:v>3600</x:v>
      </x:c>
      <x:c r="O274" s="19" t="n">
        <x:v>4500</x:v>
      </x:c>
      <x:c r="P274" s="17" t="n">
        <x:v>0.65</x:v>
      </x:c>
      <x:c r="Q274" s="20" t="n">
        <x:f>K274*O274*P274</x:f>
        <x:v>23400</x:v>
      </x:c>
      <x:c r="R274" s="20" t="n">
        <x:f>Q274*(1-'01 Controls'!$E$6)</x:f>
        <x:v>17550</x:v>
      </x:c>
      <x:c r="S274" s="19" t="n">
        <x:v>75</x:v>
      </x:c>
      <x:c r="T274" s="20" t="n">
        <x:f>K274*S274</x:f>
        <x:v>600</x:v>
      </x:c>
      <x:c r="U274" s="18" t="n">
        <x:f>'01 Controls'!E37</x:f>
        <x:v>0.05</x:v>
      </x:c>
      <x:c r="V274" s="20" t="n">
        <x:f>R274*U274</x:f>
        <x:v>877.5</x:v>
      </x:c>
      <x:c r="W274" s="18" t="n">
        <x:f>'01 Controls'!F37</x:f>
        <x:v>0</x:v>
      </x:c>
      <x:c r="X274" s="20" t="n">
        <x:f>R274*W274</x:f>
        <x:v>0</x:v>
      </x:c>
      <x:c r="Y274" s="18" t="n">
        <x:f>'01 Controls'!G37</x:f>
        <x:v>0.7</x:v>
      </x:c>
      <x:c r="Z274" s="20" t="n">
        <x:f>R274*Y274</x:f>
        <x:v>12285</x:v>
      </x:c>
      <x:c r="AA274" s="18" t="n">
        <x:f>'01 Controls'!H37</x:f>
        <x:v>0.25</x:v>
      </x:c>
      <x:c r="AB274" s="20" t="n">
        <x:f>R274*AA274</x:f>
        <x:v>4387.5</x:v>
      </x:c>
      <x:c r="AC274" s="20" t="n">
        <x:f>IF(H274="CM-HCG",K274*'01 Controls'!$E$24,0)</x:f>
        <x:v>0</x:v>
      </x:c>
      <x:c r="AD274" s="20" t="n">
        <x:f>IF(H274="CM-HCG",K274*'01 Controls'!$E$25,0)</x:f>
        <x:v>0</x:v>
      </x:c>
      <x:c r="AE274" s="20" t="n">
        <x:f>IF(H274="CM-HCG",K274*'01 Controls'!$E$26,0)</x:f>
        <x:v>0</x:v>
      </x:c>
      <x:c r="AF274" s="20" t="n">
        <x:f>IF(H274="CM-HCG",K274*'01 Controls'!$E$27,0)</x:f>
        <x:v>0</x:v>
      </x:c>
    </x:row>
    <x:row r="275">
      <x:c r="C275" s="22" t="str">
        <x:v>M3-C-EGG</x:v>
      </x:c>
      <x:c r="D275" s="22" t="n">
        <x:v>270</x:v>
      </x:c>
      <x:c r="E275" s="22" t="str">
        <x:v>M3</x:v>
      </x:c>
      <x:c r="F275" s="22" t="str">
        <x:v>Inland flood</x:v>
      </x:c>
      <x:c r="G275" s="22" t="n">
        <x:v>6</x:v>
      </x:c>
      <x:c r="H275" s="22" t="str">
        <x:v>C-EGG</x:v>
      </x:c>
      <x:c r="I275" s="22" t="str">
        <x:v>Community Stabilization</x:v>
      </x:c>
      <x:c r="J275" s="22" t="str">
        <x:v>Essential-goods group</x:v>
      </x:c>
      <x:c r="K275" s="23" t="n">
        <x:v>8</x:v>
      </x:c>
      <x:c r="L275" s="23" t="n">
        <x:v>350</x:v>
      </x:c>
      <x:c r="M275" s="23" t="n">
        <x:v>0</x:v>
      </x:c>
      <x:c r="N275" s="20" t="n">
        <x:f>K275*L275</x:f>
        <x:v>2800</x:v>
      </x:c>
      <x:c r="O275" s="19" t="n">
        <x:v>4500</x:v>
      </x:c>
      <x:c r="P275" s="17" t="n">
        <x:v>0.65</x:v>
      </x:c>
      <x:c r="Q275" s="20" t="n">
        <x:f>K275*O275*P275</x:f>
        <x:v>23400</x:v>
      </x:c>
      <x:c r="R275" s="20" t="n">
        <x:f>Q275*(1-'01 Controls'!$E$6)</x:f>
        <x:v>17550</x:v>
      </x:c>
      <x:c r="S275" s="19" t="n">
        <x:v>75</x:v>
      </x:c>
      <x:c r="T275" s="20" t="n">
        <x:f>K275*S275</x:f>
        <x:v>600</x:v>
      </x:c>
      <x:c r="U275" s="18" t="n">
        <x:f>'01 Controls'!E37</x:f>
        <x:v>0.05</x:v>
      </x:c>
      <x:c r="V275" s="20" t="n">
        <x:f>R275*U275</x:f>
        <x:v>877.5</x:v>
      </x:c>
      <x:c r="W275" s="18" t="n">
        <x:f>'01 Controls'!F37</x:f>
        <x:v>0</x:v>
      </x:c>
      <x:c r="X275" s="20" t="n">
        <x:f>R275*W275</x:f>
        <x:v>0</x:v>
      </x:c>
      <x:c r="Y275" s="18" t="n">
        <x:f>'01 Controls'!G37</x:f>
        <x:v>0.7</x:v>
      </x:c>
      <x:c r="Z275" s="20" t="n">
        <x:f>R275*Y275</x:f>
        <x:v>12285</x:v>
      </x:c>
      <x:c r="AA275" s="18" t="n">
        <x:f>'01 Controls'!H37</x:f>
        <x:v>0.25</x:v>
      </x:c>
      <x:c r="AB275" s="20" t="n">
        <x:f>R275*AA275</x:f>
        <x:v>4387.5</x:v>
      </x:c>
      <x:c r="AC275" s="20" t="n">
        <x:f>IF(H275="CM-HCG",K275*'01 Controls'!$E$24,0)</x:f>
        <x:v>0</x:v>
      </x:c>
      <x:c r="AD275" s="20" t="n">
        <x:f>IF(H275="CM-HCG",K275*'01 Controls'!$E$25,0)</x:f>
        <x:v>0</x:v>
      </x:c>
      <x:c r="AE275" s="20" t="n">
        <x:f>IF(H275="CM-HCG",K275*'01 Controls'!$E$26,0)</x:f>
        <x:v>0</x:v>
      </x:c>
      <x:c r="AF275" s="20" t="n">
        <x:f>IF(H275="CM-HCG",K275*'01 Controls'!$E$27,0)</x:f>
        <x:v>0</x:v>
      </x:c>
    </x:row>
    <x:row r="276">
      <x:c r="C276" s="22" t="str">
        <x:v>M3-C-CAG</x:v>
      </x:c>
      <x:c r="D276" s="22" t="n">
        <x:v>271</x:v>
      </x:c>
      <x:c r="E276" s="22" t="str">
        <x:v>M3</x:v>
      </x:c>
      <x:c r="F276" s="22" t="str">
        <x:v>Inland flood</x:v>
      </x:c>
      <x:c r="G276" s="22" t="n">
        <x:v>6</x:v>
      </x:c>
      <x:c r="H276" s="22" t="str">
        <x:v>C-CAG</x:v>
      </x:c>
      <x:c r="I276" s="22" t="str">
        <x:v>Community Stabilization</x:v>
      </x:c>
      <x:c r="J276" s="22" t="str">
        <x:v>Civil access group</x:v>
      </x:c>
      <x:c r="K276" s="23" t="n">
        <x:v>6</x:v>
      </x:c>
      <x:c r="L276" s="23" t="n">
        <x:v>180</x:v>
      </x:c>
      <x:c r="M276" s="23" t="n">
        <x:v>0</x:v>
      </x:c>
      <x:c r="N276" s="20" t="n">
        <x:f>K276*L276</x:f>
        <x:v>1080</x:v>
      </x:c>
      <x:c r="O276" s="19" t="n">
        <x:v>4500</x:v>
      </x:c>
      <x:c r="P276" s="17" t="n">
        <x:v>0.65</x:v>
      </x:c>
      <x:c r="Q276" s="20" t="n">
        <x:f>K276*O276*P276</x:f>
        <x:v>17550</x:v>
      </x:c>
      <x:c r="R276" s="20" t="n">
        <x:f>Q276*(1-'01 Controls'!$E$6)</x:f>
        <x:v>13162.5</x:v>
      </x:c>
      <x:c r="S276" s="19" t="n">
        <x:v>75</x:v>
      </x:c>
      <x:c r="T276" s="20" t="n">
        <x:f>K276*S276</x:f>
        <x:v>450</x:v>
      </x:c>
      <x:c r="U276" s="18" t="n">
        <x:f>'01 Controls'!E37</x:f>
        <x:v>0.05</x:v>
      </x:c>
      <x:c r="V276" s="20" t="n">
        <x:f>R276*U276</x:f>
        <x:v>658.125</x:v>
      </x:c>
      <x:c r="W276" s="18" t="n">
        <x:f>'01 Controls'!F37</x:f>
        <x:v>0</x:v>
      </x:c>
      <x:c r="X276" s="20" t="n">
        <x:f>R276*W276</x:f>
        <x:v>0</x:v>
      </x:c>
      <x:c r="Y276" s="18" t="n">
        <x:f>'01 Controls'!G37</x:f>
        <x:v>0.7</x:v>
      </x:c>
      <x:c r="Z276" s="20" t="n">
        <x:f>R276*Y276</x:f>
        <x:v>9213.75</x:v>
      </x:c>
      <x:c r="AA276" s="18" t="n">
        <x:f>'01 Controls'!H37</x:f>
        <x:v>0.25</x:v>
      </x:c>
      <x:c r="AB276" s="20" t="n">
        <x:f>R276*AA276</x:f>
        <x:v>3290.625</x:v>
      </x:c>
      <x:c r="AC276" s="20" t="n">
        <x:f>IF(H276="CM-HCG",K276*'01 Controls'!$E$24,0)</x:f>
        <x:v>0</x:v>
      </x:c>
      <x:c r="AD276" s="20" t="n">
        <x:f>IF(H276="CM-HCG",K276*'01 Controls'!$E$25,0)</x:f>
        <x:v>0</x:v>
      </x:c>
      <x:c r="AE276" s="20" t="n">
        <x:f>IF(H276="CM-HCG",K276*'01 Controls'!$E$26,0)</x:f>
        <x:v>0</x:v>
      </x:c>
      <x:c r="AF276" s="20" t="n">
        <x:f>IF(H276="CM-HCG",K276*'01 Controls'!$E$27,0)</x:f>
        <x:v>0</x:v>
      </x:c>
    </x:row>
    <x:row r="277">
      <x:c r="C277" s="22" t="str">
        <x:v>M3-C-DTG</x:v>
      </x:c>
      <x:c r="D277" s="22" t="n">
        <x:v>272</x:v>
      </x:c>
      <x:c r="E277" s="22" t="str">
        <x:v>M3</x:v>
      </x:c>
      <x:c r="F277" s="22" t="str">
        <x:v>Inland flood</x:v>
      </x:c>
      <x:c r="G277" s="22" t="n">
        <x:v>6</x:v>
      </x:c>
      <x:c r="H277" s="22" t="str">
        <x:v>C-DTG</x:v>
      </x:c>
      <x:c r="I277" s="22" t="str">
        <x:v>Community Stabilization</x:v>
      </x:c>
      <x:c r="J277" s="22" t="str">
        <x:v>Displacement transition group</x:v>
      </x:c>
      <x:c r="K277" s="23" t="n">
        <x:v>5</x:v>
      </x:c>
      <x:c r="L277" s="23" t="n">
        <x:v>300</x:v>
      </x:c>
      <x:c r="M277" s="23" t="n">
        <x:v>0</x:v>
      </x:c>
      <x:c r="N277" s="20" t="n">
        <x:f>K277*L277</x:f>
        <x:v>1500</x:v>
      </x:c>
      <x:c r="O277" s="19" t="n">
        <x:v>4500</x:v>
      </x:c>
      <x:c r="P277" s="17" t="n">
        <x:v>0.65</x:v>
      </x:c>
      <x:c r="Q277" s="20" t="n">
        <x:f>K277*O277*P277</x:f>
        <x:v>14625</x:v>
      </x:c>
      <x:c r="R277" s="20" t="n">
        <x:f>Q277*(1-'01 Controls'!$E$6)</x:f>
        <x:v>10968.75</x:v>
      </x:c>
      <x:c r="S277" s="19" t="n">
        <x:v>75</x:v>
      </x:c>
      <x:c r="T277" s="20" t="n">
        <x:f>K277*S277</x:f>
        <x:v>375</x:v>
      </x:c>
      <x:c r="U277" s="18" t="n">
        <x:f>'01 Controls'!E37</x:f>
        <x:v>0.05</x:v>
      </x:c>
      <x:c r="V277" s="20" t="n">
        <x:f>R277*U277</x:f>
        <x:v>548.4375</x:v>
      </x:c>
      <x:c r="W277" s="18" t="n">
        <x:f>'01 Controls'!F37</x:f>
        <x:v>0</x:v>
      </x:c>
      <x:c r="X277" s="20" t="n">
        <x:f>R277*W277</x:f>
        <x:v>0</x:v>
      </x:c>
      <x:c r="Y277" s="18" t="n">
        <x:f>'01 Controls'!G37</x:f>
        <x:v>0.7</x:v>
      </x:c>
      <x:c r="Z277" s="20" t="n">
        <x:f>R277*Y277</x:f>
        <x:v>7678.124999999999</x:v>
      </x:c>
      <x:c r="AA277" s="18" t="n">
        <x:f>'01 Controls'!H37</x:f>
        <x:v>0.25</x:v>
      </x:c>
      <x:c r="AB277" s="20" t="n">
        <x:f>R277*AA277</x:f>
        <x:v>2742.1875</x:v>
      </x:c>
      <x:c r="AC277" s="20" t="n">
        <x:f>IF(H277="CM-HCG",K277*'01 Controls'!$E$24,0)</x:f>
        <x:v>0</x:v>
      </x:c>
      <x:c r="AD277" s="20" t="n">
        <x:f>IF(H277="CM-HCG",K277*'01 Controls'!$E$25,0)</x:f>
        <x:v>0</x:v>
      </x:c>
      <x:c r="AE277" s="20" t="n">
        <x:f>IF(H277="CM-HCG",K277*'01 Controls'!$E$26,0)</x:f>
        <x:v>0</x:v>
      </x:c>
      <x:c r="AF277" s="20" t="n">
        <x:f>IF(H277="CM-HCG",K277*'01 Controls'!$E$27,0)</x:f>
        <x:v>0</x:v>
      </x:c>
    </x:row>
    <x:row r="278">
      <x:c r="C278" s="22" t="str">
        <x:v>M3-C-CIG</x:v>
      </x:c>
      <x:c r="D278" s="22" t="n">
        <x:v>273</x:v>
      </x:c>
      <x:c r="E278" s="22" t="str">
        <x:v>M3</x:v>
      </x:c>
      <x:c r="F278" s="22" t="str">
        <x:v>Inland flood</x:v>
      </x:c>
      <x:c r="G278" s="22" t="n">
        <x:v>6</x:v>
      </x:c>
      <x:c r="H278" s="22" t="str">
        <x:v>C-CIG</x:v>
      </x:c>
      <x:c r="I278" s="22" t="str">
        <x:v>Community Stabilization</x:v>
      </x:c>
      <x:c r="J278" s="22" t="str">
        <x:v>Community institutions group</x:v>
      </x:c>
      <x:c r="K278" s="23" t="n">
        <x:v>5</x:v>
      </x:c>
      <x:c r="L278" s="23" t="n">
        <x:v>250</x:v>
      </x:c>
      <x:c r="M278" s="23" t="n">
        <x:v>0</x:v>
      </x:c>
      <x:c r="N278" s="20" t="n">
        <x:f>K278*L278</x:f>
        <x:v>1250</x:v>
      </x:c>
      <x:c r="O278" s="19" t="n">
        <x:v>4500</x:v>
      </x:c>
      <x:c r="P278" s="17" t="n">
        <x:v>0.65</x:v>
      </x:c>
      <x:c r="Q278" s="20" t="n">
        <x:f>K278*O278*P278</x:f>
        <x:v>14625</x:v>
      </x:c>
      <x:c r="R278" s="20" t="n">
        <x:f>Q278*(1-'01 Controls'!$E$6)</x:f>
        <x:v>10968.75</x:v>
      </x:c>
      <x:c r="S278" s="19" t="n">
        <x:v>75</x:v>
      </x:c>
      <x:c r="T278" s="20" t="n">
        <x:f>K278*S278</x:f>
        <x:v>375</x:v>
      </x:c>
      <x:c r="U278" s="18" t="n">
        <x:f>'01 Controls'!E37</x:f>
        <x:v>0.05</x:v>
      </x:c>
      <x:c r="V278" s="20" t="n">
        <x:f>R278*U278</x:f>
        <x:v>548.4375</x:v>
      </x:c>
      <x:c r="W278" s="18" t="n">
        <x:f>'01 Controls'!F37</x:f>
        <x:v>0</x:v>
      </x:c>
      <x:c r="X278" s="20" t="n">
        <x:f>R278*W278</x:f>
        <x:v>0</x:v>
      </x:c>
      <x:c r="Y278" s="18" t="n">
        <x:f>'01 Controls'!G37</x:f>
        <x:v>0.7</x:v>
      </x:c>
      <x:c r="Z278" s="20" t="n">
        <x:f>R278*Y278</x:f>
        <x:v>7678.124999999999</x:v>
      </x:c>
      <x:c r="AA278" s="18" t="n">
        <x:f>'01 Controls'!H37</x:f>
        <x:v>0.25</x:v>
      </x:c>
      <x:c r="AB278" s="20" t="n">
        <x:f>R278*AA278</x:f>
        <x:v>2742.1875</x:v>
      </x:c>
      <x:c r="AC278" s="20" t="n">
        <x:f>IF(H278="CM-HCG",K278*'01 Controls'!$E$24,0)</x:f>
        <x:v>0</x:v>
      </x:c>
      <x:c r="AD278" s="20" t="n">
        <x:f>IF(H278="CM-HCG",K278*'01 Controls'!$E$25,0)</x:f>
        <x:v>0</x:v>
      </x:c>
      <x:c r="AE278" s="20" t="n">
        <x:f>IF(H278="CM-HCG",K278*'01 Controls'!$E$26,0)</x:f>
        <x:v>0</x:v>
      </x:c>
      <x:c r="AF278" s="20" t="n">
        <x:f>IF(H278="CM-HCG",K278*'01 Controls'!$E$27,0)</x:f>
        <x:v>0</x:v>
      </x:c>
    </x:row>
    <x:row r="279">
      <x:c r="C279" s="22" t="str">
        <x:v>M3-J-RIG</x:v>
      </x:c>
      <x:c r="D279" s="22" t="n">
        <x:v>274</x:v>
      </x:c>
      <x:c r="E279" s="22" t="str">
        <x:v>M3</x:v>
      </x:c>
      <x:c r="F279" s="22" t="str">
        <x:v>Inland flood</x:v>
      </x:c>
      <x:c r="G279" s="22" t="n">
        <x:v>6</x:v>
      </x:c>
      <x:c r="H279" s="22" t="str">
        <x:v>J-RIG</x:v>
      </x:c>
      <x:c r="I279" s="22" t="str">
        <x:v>Joint</x:v>
      </x:c>
      <x:c r="J279" s="22" t="str">
        <x:v>Resilience information group</x:v>
      </x:c>
      <x:c r="K279" s="23" t="n">
        <x:v>5</x:v>
      </x:c>
      <x:c r="L279" s="23" t="n">
        <x:v>420</x:v>
      </x:c>
      <x:c r="M279" s="23" t="n">
        <x:v>60</x:v>
      </x:c>
      <x:c r="N279" s="20" t="n">
        <x:f>K279*L279</x:f>
        <x:v>2100</x:v>
      </x:c>
      <x:c r="O279" s="19" t="n">
        <x:v>2800</x:v>
      </x:c>
      <x:c r="P279" s="17" t="n">
        <x:v>0.65</x:v>
      </x:c>
      <x:c r="Q279" s="20" t="n">
        <x:f>K279*O279*P279</x:f>
        <x:v>9100</x:v>
      </x:c>
      <x:c r="R279" s="20" t="n">
        <x:f>Q279*(1-'01 Controls'!$E$6)</x:f>
        <x:v>6825</x:v>
      </x:c>
      <x:c r="S279" s="19" t="n">
        <x:v>35</x:v>
      </x:c>
      <x:c r="T279" s="20" t="n">
        <x:f>K279*S279</x:f>
        <x:v>175</x:v>
      </x:c>
      <x:c r="U279" s="18" t="n">
        <x:f>'01 Controls'!E37</x:f>
        <x:v>0.05</x:v>
      </x:c>
      <x:c r="V279" s="20" t="n">
        <x:f>R279*U279</x:f>
        <x:v>341.25</x:v>
      </x:c>
      <x:c r="W279" s="18" t="n">
        <x:f>'01 Controls'!F37</x:f>
        <x:v>0</x:v>
      </x:c>
      <x:c r="X279" s="20" t="n">
        <x:f>R279*W279</x:f>
        <x:v>0</x:v>
      </x:c>
      <x:c r="Y279" s="18" t="n">
        <x:f>'01 Controls'!G37</x:f>
        <x:v>0.7</x:v>
      </x:c>
      <x:c r="Z279" s="20" t="n">
        <x:f>R279*Y279</x:f>
        <x:v>4777.5</x:v>
      </x:c>
      <x:c r="AA279" s="18" t="n">
        <x:f>'01 Controls'!H37</x:f>
        <x:v>0.25</x:v>
      </x:c>
      <x:c r="AB279" s="20" t="n">
        <x:f>R279*AA279</x:f>
        <x:v>1706.25</x:v>
      </x:c>
      <x:c r="AC279" s="20" t="n">
        <x:f>IF(H279="CM-HCG",K279*'01 Controls'!$E$24,0)</x:f>
        <x:v>0</x:v>
      </x:c>
      <x:c r="AD279" s="20" t="n">
        <x:f>IF(H279="CM-HCG",K279*'01 Controls'!$E$25,0)</x:f>
        <x:v>0</x:v>
      </x:c>
      <x:c r="AE279" s="20" t="n">
        <x:f>IF(H279="CM-HCG",K279*'01 Controls'!$E$26,0)</x:f>
        <x:v>0</x:v>
      </x:c>
      <x:c r="AF279" s="20" t="n">
        <x:f>IF(H279="CM-HCG",K279*'01 Controls'!$E$27,0)</x:f>
        <x:v>0</x:v>
      </x:c>
    </x:row>
    <x:row r="280">
      <x:c r="C280" s="22" t="str">
        <x:v>M3-M-MPG</x:v>
      </x:c>
      <x:c r="D280" s="22" t="n">
        <x:v>275</x:v>
      </x:c>
      <x:c r="E280" s="22" t="str">
        <x:v>M3</x:v>
      </x:c>
      <x:c r="F280" s="22" t="str">
        <x:v>Inland flood</x:v>
      </x:c>
      <x:c r="G280" s="22" t="n">
        <x:v>6</x:v>
      </x:c>
      <x:c r="H280" s="22" t="str">
        <x:v>M-MPG</x:v>
      </x:c>
      <x:c r="I280" s="22" t="str">
        <x:v>Maritime Response</x:v>
      </x:c>
      <x:c r="J280" s="22" t="str">
        <x:v>Maritime production group</x:v>
      </x:c>
      <x:c r="K280" s="23" t="n">
        <x:v>2</x:v>
      </x:c>
      <x:c r="L280" s="23" t="n">
        <x:v>1100</x:v>
      </x:c>
      <x:c r="M280" s="23" t="n">
        <x:v>200</x:v>
      </x:c>
      <x:c r="N280" s="20" t="n">
        <x:f>K280*L280</x:f>
        <x:v>2200</x:v>
      </x:c>
      <x:c r="O280" s="19" t="n">
        <x:v>28000</x:v>
      </x:c>
      <x:c r="P280" s="17" t="n">
        <x:v>0.35</x:v>
      </x:c>
      <x:c r="Q280" s="20" t="n">
        <x:f>K280*O280*P280</x:f>
        <x:v>19600</x:v>
      </x:c>
      <x:c r="R280" s="20" t="n">
        <x:f>Q280*(1-'01 Controls'!$E$6)</x:f>
        <x:v>14700</x:v>
      </x:c>
      <x:c r="S280" s="19" t="n">
        <x:v>50</x:v>
      </x:c>
      <x:c r="T280" s="20" t="n">
        <x:f>K280*S280</x:f>
        <x:v>100</x:v>
      </x:c>
      <x:c r="U280" s="18" t="n">
        <x:f>'01 Controls'!E37</x:f>
        <x:v>0.05</x:v>
      </x:c>
      <x:c r="V280" s="20" t="n">
        <x:f>R280*U280</x:f>
        <x:v>735</x:v>
      </x:c>
      <x:c r="W280" s="18" t="n">
        <x:f>'01 Controls'!F37</x:f>
        <x:v>0</x:v>
      </x:c>
      <x:c r="X280" s="20" t="n">
        <x:f>R280*W280</x:f>
        <x:v>0</x:v>
      </x:c>
      <x:c r="Y280" s="18" t="n">
        <x:f>'01 Controls'!G37</x:f>
        <x:v>0.7</x:v>
      </x:c>
      <x:c r="Z280" s="20" t="n">
        <x:f>R280*Y280</x:f>
        <x:v>10290</x:v>
      </x:c>
      <x:c r="AA280" s="18" t="n">
        <x:f>'01 Controls'!H37</x:f>
        <x:v>0.25</x:v>
      </x:c>
      <x:c r="AB280" s="20" t="n">
        <x:f>R280*AA280</x:f>
        <x:v>3675</x:v>
      </x:c>
      <x:c r="AC280" s="20" t="n">
        <x:f>IF(H280="CM-HCG",K280*'01 Controls'!$E$24,0)</x:f>
        <x:v>0</x:v>
      </x:c>
      <x:c r="AD280" s="20" t="n">
        <x:f>IF(H280="CM-HCG",K280*'01 Controls'!$E$25,0)</x:f>
        <x:v>0</x:v>
      </x:c>
      <x:c r="AE280" s="20" t="n">
        <x:f>IF(H280="CM-HCG",K280*'01 Controls'!$E$26,0)</x:f>
        <x:v>0</x:v>
      </x:c>
      <x:c r="AF280" s="20" t="n">
        <x:f>IF(H280="CM-HCG",K280*'01 Controls'!$E$27,0)</x:f>
        <x:v>0</x:v>
      </x:c>
    </x:row>
    <x:row r="281">
      <x:c r="C281" s="22" t="str">
        <x:v>M3-I-WRG</x:v>
      </x:c>
      <x:c r="D281" s="22" t="n">
        <x:v>276</x:v>
      </x:c>
      <x:c r="E281" s="22" t="str">
        <x:v>M3</x:v>
      </x:c>
      <x:c r="F281" s="22" t="str">
        <x:v>Inland flood</x:v>
      </x:c>
      <x:c r="G281" s="22" t="n">
        <x:v>6</x:v>
      </x:c>
      <x:c r="H281" s="22" t="str">
        <x:v>I-WRG</x:v>
      </x:c>
      <x:c r="I281" s="22" t="str">
        <x:v>Infrastructure Restoration</x:v>
      </x:c>
      <x:c r="J281" s="22" t="str">
        <x:v>Water restoration group</x:v>
      </x:c>
      <x:c r="K281" s="23" t="n">
        <x:v>4</x:v>
      </x:c>
      <x:c r="L281" s="23" t="n">
        <x:v>2720</x:v>
      </x:c>
      <x:c r="M281" s="23" t="n">
        <x:v>600</x:v>
      </x:c>
      <x:c r="N281" s="20" t="n">
        <x:f>K281*L281</x:f>
        <x:v>10880</x:v>
      </x:c>
      <x:c r="O281" s="19" t="n">
        <x:v>23516</x:v>
      </x:c>
      <x:c r="P281" s="17" t="n">
        <x:v>0.4</x:v>
      </x:c>
      <x:c r="Q281" s="20" t="n">
        <x:f>K281*O281*P281</x:f>
        <x:v>37625.6</x:v>
      </x:c>
      <x:c r="R281" s="20" t="n">
        <x:f>Q281*(1-'01 Controls'!$E$6)</x:f>
        <x:v>28219.199999999997</x:v>
      </x:c>
      <x:c r="S281" s="19" t="n">
        <x:v>65</x:v>
      </x:c>
      <x:c r="T281" s="20" t="n">
        <x:f>K281*S281</x:f>
        <x:v>260</x:v>
      </x:c>
      <x:c r="U281" s="18" t="n">
        <x:f>'01 Controls'!E37</x:f>
        <x:v>0.05</x:v>
      </x:c>
      <x:c r="V281" s="20" t="n">
        <x:f>R281*U281</x:f>
        <x:v>1410.96</x:v>
      </x:c>
      <x:c r="W281" s="18" t="n">
        <x:f>'01 Controls'!F37</x:f>
        <x:v>0</x:v>
      </x:c>
      <x:c r="X281" s="20" t="n">
        <x:f>R281*W281</x:f>
        <x:v>0</x:v>
      </x:c>
      <x:c r="Y281" s="18" t="n">
        <x:f>'01 Controls'!G37</x:f>
        <x:v>0.7</x:v>
      </x:c>
      <x:c r="Z281" s="20" t="n">
        <x:f>R281*Y281</x:f>
        <x:v>19753.439999999995</x:v>
      </x:c>
      <x:c r="AA281" s="18" t="n">
        <x:f>'01 Controls'!H37</x:f>
        <x:v>0.25</x:v>
      </x:c>
      <x:c r="AB281" s="20" t="n">
        <x:f>R281*AA281</x:f>
        <x:v>7054.799999999999</x:v>
      </x:c>
      <x:c r="AC281" s="20" t="n">
        <x:f>IF(H281="CM-HCG",K281*'01 Controls'!$E$24,0)</x:f>
        <x:v>0</x:v>
      </x:c>
      <x:c r="AD281" s="20" t="n">
        <x:f>IF(H281="CM-HCG",K281*'01 Controls'!$E$25,0)</x:f>
        <x:v>0</x:v>
      </x:c>
      <x:c r="AE281" s="20" t="n">
        <x:f>IF(H281="CM-HCG",K281*'01 Controls'!$E$26,0)</x:f>
        <x:v>0</x:v>
      </x:c>
      <x:c r="AF281" s="20" t="n">
        <x:f>IF(H281="CM-HCG",K281*'01 Controls'!$E$27,0)</x:f>
        <x:v>0</x:v>
      </x:c>
    </x:row>
    <x:row r="282">
      <x:c r="C282" s="22" t="str">
        <x:v>M3-I-PRG</x:v>
      </x:c>
      <x:c r="D282" s="22" t="n">
        <x:v>277</x:v>
      </x:c>
      <x:c r="E282" s="22" t="str">
        <x:v>M3</x:v>
      </x:c>
      <x:c r="F282" s="22" t="str">
        <x:v>Inland flood</x:v>
      </x:c>
      <x:c r="G282" s="22" t="n">
        <x:v>6</x:v>
      </x:c>
      <x:c r="H282" s="22" t="str">
        <x:v>I-PRG</x:v>
      </x:c>
      <x:c r="I282" s="22" t="str">
        <x:v>Infrastructure Restoration</x:v>
      </x:c>
      <x:c r="J282" s="22" t="str">
        <x:v>Power restoration group</x:v>
      </x:c>
      <x:c r="K282" s="23" t="n">
        <x:v>5</x:v>
      </x:c>
      <x:c r="L282" s="23" t="n">
        <x:v>2796</x:v>
      </x:c>
      <x:c r="M282" s="23" t="n">
        <x:v>596</x:v>
      </x:c>
      <x:c r="N282" s="20" t="n">
        <x:f>K282*L282</x:f>
        <x:v>13980</x:v>
      </x:c>
      <x:c r="O282" s="19" t="n">
        <x:v>18332</x:v>
      </x:c>
      <x:c r="P282" s="17" t="n">
        <x:v>0.4</x:v>
      </x:c>
      <x:c r="Q282" s="20" t="n">
        <x:f>K282*O282*P282</x:f>
        <x:v>36664</x:v>
      </x:c>
      <x:c r="R282" s="20" t="n">
        <x:f>Q282*(1-'01 Controls'!$E$6)</x:f>
        <x:v>27498</x:v>
      </x:c>
      <x:c r="S282" s="19" t="n">
        <x:v>80</x:v>
      </x:c>
      <x:c r="T282" s="20" t="n">
        <x:f>K282*S282</x:f>
        <x:v>400</x:v>
      </x:c>
      <x:c r="U282" s="18" t="n">
        <x:f>'01 Controls'!E37</x:f>
        <x:v>0.05</x:v>
      </x:c>
      <x:c r="V282" s="20" t="n">
        <x:f>R282*U282</x:f>
        <x:v>1374.9</x:v>
      </x:c>
      <x:c r="W282" s="18" t="n">
        <x:f>'01 Controls'!F37</x:f>
        <x:v>0</x:v>
      </x:c>
      <x:c r="X282" s="20" t="n">
        <x:f>R282*W282</x:f>
        <x:v>0</x:v>
      </x:c>
      <x:c r="Y282" s="18" t="n">
        <x:f>'01 Controls'!G37</x:f>
        <x:v>0.7</x:v>
      </x:c>
      <x:c r="Z282" s="20" t="n">
        <x:f>R282*Y282</x:f>
        <x:v>19248.6</x:v>
      </x:c>
      <x:c r="AA282" s="18" t="n">
        <x:f>'01 Controls'!H37</x:f>
        <x:v>0.25</x:v>
      </x:c>
      <x:c r="AB282" s="20" t="n">
        <x:f>R282*AA282</x:f>
        <x:v>6874.5</x:v>
      </x:c>
      <x:c r="AC282" s="20" t="n">
        <x:f>IF(H282="CM-HCG",K282*'01 Controls'!$E$24,0)</x:f>
        <x:v>0</x:v>
      </x:c>
      <x:c r="AD282" s="20" t="n">
        <x:f>IF(H282="CM-HCG",K282*'01 Controls'!$E$25,0)</x:f>
        <x:v>0</x:v>
      </x:c>
      <x:c r="AE282" s="20" t="n">
        <x:f>IF(H282="CM-HCG",K282*'01 Controls'!$E$26,0)</x:f>
        <x:v>0</x:v>
      </x:c>
      <x:c r="AF282" s="20" t="n">
        <x:f>IF(H282="CM-HCG",K282*'01 Controls'!$E$27,0)</x:f>
        <x:v>0</x:v>
      </x:c>
    </x:row>
    <x:row r="283">
      <x:c r="C283" s="22" t="str">
        <x:v>M3-I-GBG</x:v>
      </x:c>
      <x:c r="D283" s="22" t="n">
        <x:v>278</x:v>
      </x:c>
      <x:c r="E283" s="22" t="str">
        <x:v>M3</x:v>
      </x:c>
      <x:c r="F283" s="22" t="str">
        <x:v>Inland flood</x:v>
      </x:c>
      <x:c r="G283" s="22" t="n">
        <x:v>6</x:v>
      </x:c>
      <x:c r="H283" s="22" t="str">
        <x:v>I-GBG</x:v>
      </x:c>
      <x:c r="I283" s="22" t="str">
        <x:v>Infrastructure Restoration</x:v>
      </x:c>
      <x:c r="J283" s="22" t="str">
        <x:v>Grid bridge group</x:v>
      </x:c>
      <x:c r="K283" s="23" t="n">
        <x:v>4</x:v>
      </x:c>
      <x:c r="L283" s="23" t="n">
        <x:v>1800</x:v>
      </x:c>
      <x:c r="M283" s="23" t="n">
        <x:v>400</x:v>
      </x:c>
      <x:c r="N283" s="20" t="n">
        <x:f>K283*L283</x:f>
        <x:v>7200</x:v>
      </x:c>
      <x:c r="O283" s="19" t="n">
        <x:v>15000</x:v>
      </x:c>
      <x:c r="P283" s="17" t="n">
        <x:v>0.4</x:v>
      </x:c>
      <x:c r="Q283" s="20" t="n">
        <x:f>K283*O283*P283</x:f>
        <x:v>24000</x:v>
      </x:c>
      <x:c r="R283" s="20" t="n">
        <x:f>Q283*(1-'01 Controls'!$E$6)</x:f>
        <x:v>18000</x:v>
      </x:c>
      <x:c r="S283" s="19" t="n">
        <x:v>55</x:v>
      </x:c>
      <x:c r="T283" s="20" t="n">
        <x:f>K283*S283</x:f>
        <x:v>220</x:v>
      </x:c>
      <x:c r="U283" s="18" t="n">
        <x:f>'01 Controls'!E37</x:f>
        <x:v>0.05</x:v>
      </x:c>
      <x:c r="V283" s="20" t="n">
        <x:f>R283*U283</x:f>
        <x:v>900</x:v>
      </x:c>
      <x:c r="W283" s="18" t="n">
        <x:f>'01 Controls'!F37</x:f>
        <x:v>0</x:v>
      </x:c>
      <x:c r="X283" s="20" t="n">
        <x:f>R283*W283</x:f>
        <x:v>0</x:v>
      </x:c>
      <x:c r="Y283" s="18" t="n">
        <x:f>'01 Controls'!G37</x:f>
        <x:v>0.7</x:v>
      </x:c>
      <x:c r="Z283" s="20" t="n">
        <x:f>R283*Y283</x:f>
        <x:v>12600</x:v>
      </x:c>
      <x:c r="AA283" s="18" t="n">
        <x:f>'01 Controls'!H37</x:f>
        <x:v>0.25</x:v>
      </x:c>
      <x:c r="AB283" s="20" t="n">
        <x:f>R283*AA283</x:f>
        <x:v>4500</x:v>
      </x:c>
      <x:c r="AC283" s="20" t="n">
        <x:f>IF(H283="CM-HCG",K283*'01 Controls'!$E$24,0)</x:f>
        <x:v>0</x:v>
      </x:c>
      <x:c r="AD283" s="20" t="n">
        <x:f>IF(H283="CM-HCG",K283*'01 Controls'!$E$25,0)</x:f>
        <x:v>0</x:v>
      </x:c>
      <x:c r="AE283" s="20" t="n">
        <x:f>IF(H283="CM-HCG",K283*'01 Controls'!$E$26,0)</x:f>
        <x:v>0</x:v>
      </x:c>
      <x:c r="AF283" s="20" t="n">
        <x:f>IF(H283="CM-HCG",K283*'01 Controls'!$E$27,0)</x:f>
        <x:v>0</x:v>
      </x:c>
    </x:row>
    <x:row r="284">
      <x:c r="C284" s="22" t="str">
        <x:v>M3-H-THC</x:v>
      </x:c>
      <x:c r="D284" s="22" t="n">
        <x:v>279</x:v>
      </x:c>
      <x:c r="E284" s="22" t="str">
        <x:v>M3</x:v>
      </x:c>
      <x:c r="F284" s="22" t="str">
        <x:v>Inland flood</x:v>
      </x:c>
      <x:c r="G284" s="22" t="n">
        <x:v>6</x:v>
      </x:c>
      <x:c r="H284" s="22" t="str">
        <x:v>H-THC</x:v>
      </x:c>
      <x:c r="I284" s="22" t="str">
        <x:v>Health Protection</x:v>
      </x:c>
      <x:c r="J284" s="22" t="str">
        <x:v>Theater hospital command</x:v>
      </x:c>
      <x:c r="K284" s="23" t="n">
        <x:v>2</x:v>
      </x:c>
      <x:c r="L284" s="23" t="n">
        <x:v>900</x:v>
      </x:c>
      <x:c r="M284" s="23" t="n">
        <x:v>0</x:v>
      </x:c>
      <x:c r="N284" s="20" t="n">
        <x:f>K284*L284</x:f>
        <x:v>1800</x:v>
      </x:c>
      <x:c r="O284" s="19" t="n">
        <x:v>3500</x:v>
      </x:c>
      <x:c r="P284" s="17" t="n">
        <x:v>0.7</x:v>
      </x:c>
      <x:c r="Q284" s="20" t="n">
        <x:f>K284*O284*P284</x:f>
        <x:v>4900</x:v>
      </x:c>
      <x:c r="R284" s="20" t="n">
        <x:f>Q284*(1-'01 Controls'!$E$6)</x:f>
        <x:v>3675</x:v>
      </x:c>
      <x:c r="S284" s="19" t="n">
        <x:v>30</x:v>
      </x:c>
      <x:c r="T284" s="20" t="n">
        <x:f>K284*S284</x:f>
        <x:v>60</x:v>
      </x:c>
      <x:c r="U284" s="18" t="n">
        <x:f>'01 Controls'!E37</x:f>
        <x:v>0.05</x:v>
      </x:c>
      <x:c r="V284" s="20" t="n">
        <x:f>R284*U284</x:f>
        <x:v>183.75</x:v>
      </x:c>
      <x:c r="W284" s="18" t="n">
        <x:f>'01 Controls'!F37</x:f>
        <x:v>0</x:v>
      </x:c>
      <x:c r="X284" s="20" t="n">
        <x:f>R284*W284</x:f>
        <x:v>0</x:v>
      </x:c>
      <x:c r="Y284" s="18" t="n">
        <x:f>'01 Controls'!G37</x:f>
        <x:v>0.7</x:v>
      </x:c>
      <x:c r="Z284" s="20" t="n">
        <x:f>R284*Y284</x:f>
        <x:v>2572.5</x:v>
      </x:c>
      <x:c r="AA284" s="18" t="n">
        <x:f>'01 Controls'!H37</x:f>
        <x:v>0.25</x:v>
      </x:c>
      <x:c r="AB284" s="20" t="n">
        <x:f>R284*AA284</x:f>
        <x:v>918.75</x:v>
      </x:c>
      <x:c r="AC284" s="20" t="n">
        <x:f>IF(H284="CM-HCG",K284*'01 Controls'!$E$24,0)</x:f>
        <x:v>0</x:v>
      </x:c>
      <x:c r="AD284" s="20" t="n">
        <x:f>IF(H284="CM-HCG",K284*'01 Controls'!$E$25,0)</x:f>
        <x:v>0</x:v>
      </x:c>
      <x:c r="AE284" s="20" t="n">
        <x:f>IF(H284="CM-HCG",K284*'01 Controls'!$E$26,0)</x:f>
        <x:v>0</x:v>
      </x:c>
      <x:c r="AF284" s="20" t="n">
        <x:f>IF(H284="CM-HCG",K284*'01 Controls'!$E$27,0)</x:f>
        <x:v>0</x:v>
      </x:c>
    </x:row>
    <x:row r="285">
      <x:c r="C285" s="22" t="str">
        <x:v>M3-H-PMG</x:v>
      </x:c>
      <x:c r="D285" s="22" t="n">
        <x:v>280</x:v>
      </x:c>
      <x:c r="E285" s="22" t="str">
        <x:v>M3</x:v>
      </x:c>
      <x:c r="F285" s="22" t="str">
        <x:v>Inland flood</x:v>
      </x:c>
      <x:c r="G285" s="22" t="n">
        <x:v>6</x:v>
      </x:c>
      <x:c r="H285" s="22" t="str">
        <x:v>H-PMG</x:v>
      </x:c>
      <x:c r="I285" s="22" t="str">
        <x:v>Health Protection</x:v>
      </x:c>
      <x:c r="J285" s="22" t="str">
        <x:v>Patient movement group</x:v>
      </x:c>
      <x:c r="K285" s="23" t="n">
        <x:v>3</x:v>
      </x:c>
      <x:c r="L285" s="23" t="n">
        <x:v>650</x:v>
      </x:c>
      <x:c r="M285" s="23" t="n">
        <x:v>200</x:v>
      </x:c>
      <x:c r="N285" s="20" t="n">
        <x:f>K285*L285</x:f>
        <x:v>1950</x:v>
      </x:c>
      <x:c r="O285" s="19" t="n">
        <x:v>5500</x:v>
      </x:c>
      <x:c r="P285" s="17" t="n">
        <x:v>0.7</x:v>
      </x:c>
      <x:c r="Q285" s="20" t="n">
        <x:f>K285*O285*P285</x:f>
        <x:v>11550</x:v>
      </x:c>
      <x:c r="R285" s="20" t="n">
        <x:f>Q285*(1-'01 Controls'!$E$6)</x:f>
        <x:v>8662.5</x:v>
      </x:c>
      <x:c r="S285" s="19" t="n">
        <x:v>40</x:v>
      </x:c>
      <x:c r="T285" s="20" t="n">
        <x:f>K285*S285</x:f>
        <x:v>120</x:v>
      </x:c>
      <x:c r="U285" s="18" t="n">
        <x:f>'01 Controls'!E37</x:f>
        <x:v>0.05</x:v>
      </x:c>
      <x:c r="V285" s="20" t="n">
        <x:f>R285*U285</x:f>
        <x:v>433.125</x:v>
      </x:c>
      <x:c r="W285" s="18" t="n">
        <x:f>'01 Controls'!F37</x:f>
        <x:v>0</x:v>
      </x:c>
      <x:c r="X285" s="20" t="n">
        <x:f>R285*W285</x:f>
        <x:v>0</x:v>
      </x:c>
      <x:c r="Y285" s="18" t="n">
        <x:f>'01 Controls'!G37</x:f>
        <x:v>0.7</x:v>
      </x:c>
      <x:c r="Z285" s="20" t="n">
        <x:f>R285*Y285</x:f>
        <x:v>6063.75</x:v>
      </x:c>
      <x:c r="AA285" s="18" t="n">
        <x:f>'01 Controls'!H37</x:f>
        <x:v>0.25</x:v>
      </x:c>
      <x:c r="AB285" s="20" t="n">
        <x:f>R285*AA285</x:f>
        <x:v>2165.625</x:v>
      </x:c>
      <x:c r="AC285" s="20" t="n">
        <x:f>IF(H285="CM-HCG",K285*'01 Controls'!$E$24,0)</x:f>
        <x:v>0</x:v>
      </x:c>
      <x:c r="AD285" s="20" t="n">
        <x:f>IF(H285="CM-HCG",K285*'01 Controls'!$E$25,0)</x:f>
        <x:v>0</x:v>
      </x:c>
      <x:c r="AE285" s="20" t="n">
        <x:f>IF(H285="CM-HCG",K285*'01 Controls'!$E$26,0)</x:f>
        <x:v>0</x:v>
      </x:c>
      <x:c r="AF285" s="20" t="n">
        <x:f>IF(H285="CM-HCG",K285*'01 Controls'!$E$27,0)</x:f>
        <x:v>0</x:v>
      </x:c>
    </x:row>
    <x:row r="286">
      <x:c r="C286" s="22" t="str">
        <x:v>M3-C-ERG</x:v>
      </x:c>
      <x:c r="D286" s="22" t="n">
        <x:v>281</x:v>
      </x:c>
      <x:c r="E286" s="22" t="str">
        <x:v>M3</x:v>
      </x:c>
      <x:c r="F286" s="22" t="str">
        <x:v>Inland flood</x:v>
      </x:c>
      <x:c r="G286" s="22" t="n">
        <x:v>6</x:v>
      </x:c>
      <x:c r="H286" s="22" t="str">
        <x:v>C-ERG</x:v>
      </x:c>
      <x:c r="I286" s="22" t="str">
        <x:v>Community Stabilization</x:v>
      </x:c>
      <x:c r="J286" s="22" t="str">
        <x:v>Economic restart group</x:v>
      </x:c>
      <x:c r="K286" s="23" t="n">
        <x:v>4</x:v>
      </x:c>
      <x:c r="L286" s="23" t="n">
        <x:v>350</x:v>
      </x:c>
      <x:c r="M286" s="23" t="n">
        <x:v>0</x:v>
      </x:c>
      <x:c r="N286" s="20" t="n">
        <x:f>K286*L286</x:f>
        <x:v>1400</x:v>
      </x:c>
      <x:c r="O286" s="19" t="n">
        <x:v>2500</x:v>
      </x:c>
      <x:c r="P286" s="17" t="n">
        <x:v>0.65</x:v>
      </x:c>
      <x:c r="Q286" s="20" t="n">
        <x:f>K286*O286*P286</x:f>
        <x:v>6500</x:v>
      </x:c>
      <x:c r="R286" s="20" t="n">
        <x:f>Q286*(1-'01 Controls'!$E$6)</x:f>
        <x:v>4875</x:v>
      </x:c>
      <x:c r="S286" s="19" t="n">
        <x:v>30</x:v>
      </x:c>
      <x:c r="T286" s="20" t="n">
        <x:f>K286*S286</x:f>
        <x:v>120</x:v>
      </x:c>
      <x:c r="U286" s="18" t="n">
        <x:f>'01 Controls'!E37</x:f>
        <x:v>0.05</x:v>
      </x:c>
      <x:c r="V286" s="20" t="n">
        <x:f>R286*U286</x:f>
        <x:v>243.75</x:v>
      </x:c>
      <x:c r="W286" s="18" t="n">
        <x:f>'01 Controls'!F37</x:f>
        <x:v>0</x:v>
      </x:c>
      <x:c r="X286" s="20" t="n">
        <x:f>R286*W286</x:f>
        <x:v>0</x:v>
      </x:c>
      <x:c r="Y286" s="18" t="n">
        <x:f>'01 Controls'!G37</x:f>
        <x:v>0.7</x:v>
      </x:c>
      <x:c r="Z286" s="20" t="n">
        <x:f>R286*Y286</x:f>
        <x:v>3412.5</x:v>
      </x:c>
      <x:c r="AA286" s="18" t="n">
        <x:f>'01 Controls'!H37</x:f>
        <x:v>0.25</x:v>
      </x:c>
      <x:c r="AB286" s="20" t="n">
        <x:f>R286*AA286</x:f>
        <x:v>1218.75</x:v>
      </x:c>
      <x:c r="AC286" s="20" t="n">
        <x:f>IF(H286="CM-HCG",K286*'01 Controls'!$E$24,0)</x:f>
        <x:v>0</x:v>
      </x:c>
      <x:c r="AD286" s="20" t="n">
        <x:f>IF(H286="CM-HCG",K286*'01 Controls'!$E$25,0)</x:f>
        <x:v>0</x:v>
      </x:c>
      <x:c r="AE286" s="20" t="n">
        <x:f>IF(H286="CM-HCG",K286*'01 Controls'!$E$26,0)</x:f>
        <x:v>0</x:v>
      </x:c>
      <x:c r="AF286" s="20" t="n">
        <x:f>IF(H286="CM-HCG",K286*'01 Controls'!$E$27,0)</x:f>
        <x:v>0</x:v>
      </x:c>
    </x:row>
    <x:row r="287">
      <x:c r="C287" s="22" t="str">
        <x:v>M3-CM-HCG</x:v>
      </x:c>
      <x:c r="D287" s="22" t="n">
        <x:v>282</x:v>
      </x:c>
      <x:c r="E287" s="22" t="str">
        <x:v>M3</x:v>
      </x:c>
      <x:c r="F287" s="22" t="str">
        <x:v>Inland flood</x:v>
      </x:c>
      <x:c r="G287" s="22" t="n">
        <x:v>6</x:v>
      </x:c>
      <x:c r="H287" s="22" t="str">
        <x:v>CM-HCG</x:v>
      </x:c>
      <x:c r="I287" s="22" t="str">
        <x:v>Civil Mobility and Continuity</x:v>
      </x:c>
      <x:c r="J287" s="22" t="str">
        <x:v>Household collection group</x:v>
      </x:c>
      <x:c r="K287" s="23" t="n">
        <x:v>5</x:v>
      </x:c>
      <x:c r="L287" s="23" t="n">
        <x:v>7587</x:v>
      </x:c>
      <x:c r="M287" s="23" t="n">
        <x:v>2000</x:v>
      </x:c>
      <x:c r="N287" s="20" t="n">
        <x:f>K287*L287</x:f>
        <x:v>37935</x:v>
      </x:c>
      <x:c r="O287" s="19" t="n">
        <x:v>6388</x:v>
      </x:c>
      <x:c r="P287" s="17" t="n">
        <x:v>0.7</x:v>
      </x:c>
      <x:c r="Q287" s="20" t="n">
        <x:f>K287*O287*P287</x:f>
        <x:v>22358</x:v>
      </x:c>
      <x:c r="R287" s="20" t="n">
        <x:f>Q287*(1-'01 Controls'!$E$6)</x:f>
        <x:v>16768.5</x:v>
      </x:c>
      <x:c r="S287" s="19" t="n">
        <x:v>45</x:v>
      </x:c>
      <x:c r="T287" s="20" t="n">
        <x:f>K287*S287</x:f>
        <x:v>225</x:v>
      </x:c>
      <x:c r="U287" s="18" t="n">
        <x:f>'01 Controls'!E37</x:f>
        <x:v>0.05</x:v>
      </x:c>
      <x:c r="V287" s="20" t="n">
        <x:f>R287*U287</x:f>
        <x:v>838.4250000000001</x:v>
      </x:c>
      <x:c r="W287" s="18" t="n">
        <x:f>'01 Controls'!F37</x:f>
        <x:v>0</x:v>
      </x:c>
      <x:c r="X287" s="20" t="n">
        <x:f>R287*W287</x:f>
        <x:v>0</x:v>
      </x:c>
      <x:c r="Y287" s="18" t="n">
        <x:f>'01 Controls'!G37</x:f>
        <x:v>0.7</x:v>
      </x:c>
      <x:c r="Z287" s="20" t="n">
        <x:f>R287*Y287</x:f>
        <x:v>11737.949999999999</x:v>
      </x:c>
      <x:c r="AA287" s="18" t="n">
        <x:f>'01 Controls'!H37</x:f>
        <x:v>0.25</x:v>
      </x:c>
      <x:c r="AB287" s="20" t="n">
        <x:f>R287*AA287</x:f>
        <x:v>4192.125</x:v>
      </x:c>
      <x:c r="AC287" s="20" t="n">
        <x:f>IF(H287="CM-HCG",K287*'01 Controls'!$E$24,0)</x:f>
        <x:v>170</x:v>
      </x:c>
      <x:c r="AD287" s="20" t="n">
        <x:f>IF(H287="CM-HCG",K287*'01 Controls'!$E$25,0)</x:f>
        <x:v>35</x:v>
      </x:c>
      <x:c r="AE287" s="20" t="n">
        <x:f>IF(H287="CM-HCG",K287*'01 Controls'!$E$26,0)</x:f>
        <x:v>50</x:v>
      </x:c>
      <x:c r="AF287" s="20" t="n">
        <x:f>IF(H287="CM-HCG",K287*'01 Controls'!$E$27,0)</x:f>
        <x:v>45</x:v>
      </x:c>
    </x:row>
    <x:row r="288">
      <x:c r="C288" s="22" t="str">
        <x:v>M3-CM-CTN</x:v>
      </x:c>
      <x:c r="D288" s="22" t="n">
        <x:v>283</x:v>
      </x:c>
      <x:c r="E288" s="22" t="str">
        <x:v>M3</x:v>
      </x:c>
      <x:c r="F288" s="22" t="str">
        <x:v>Inland flood</x:v>
      </x:c>
      <x:c r="G288" s="22" t="n">
        <x:v>6</x:v>
      </x:c>
      <x:c r="H288" s="22" t="str">
        <x:v>CM-CTN</x:v>
      </x:c>
      <x:c r="I288" s="22" t="str">
        <x:v>Civil Mobility and Continuity</x:v>
      </x:c>
      <x:c r="J288" s="22" t="str">
        <x:v>Continuity transfer-node group</x:v>
      </x:c>
      <x:c r="K288" s="23" t="n">
        <x:v>4</x:v>
      </x:c>
      <x:c r="L288" s="23" t="n">
        <x:v>2289</x:v>
      </x:c>
      <x:c r="M288" s="23" t="n">
        <x:v>489</x:v>
      </x:c>
      <x:c r="N288" s="20" t="n">
        <x:f>K288*L288</x:f>
        <x:v>9156</x:v>
      </x:c>
      <x:c r="O288" s="19" t="n">
        <x:v>4513</x:v>
      </x:c>
      <x:c r="P288" s="17" t="n">
        <x:v>0.7</x:v>
      </x:c>
      <x:c r="Q288" s="20" t="n">
        <x:f>K288*O288*P288</x:f>
        <x:v>12636.4</x:v>
      </x:c>
      <x:c r="R288" s="20" t="n">
        <x:f>Q288*(1-'01 Controls'!$E$6)</x:f>
        <x:v>9477.3</x:v>
      </x:c>
      <x:c r="S288" s="19" t="n">
        <x:v>35</x:v>
      </x:c>
      <x:c r="T288" s="20" t="n">
        <x:f>K288*S288</x:f>
        <x:v>140</x:v>
      </x:c>
      <x:c r="U288" s="18" t="n">
        <x:f>'01 Controls'!E37</x:f>
        <x:v>0.05</x:v>
      </x:c>
      <x:c r="V288" s="20" t="n">
        <x:f>R288*U288</x:f>
        <x:v>473.865</x:v>
      </x:c>
      <x:c r="W288" s="18" t="n">
        <x:f>'01 Controls'!F37</x:f>
        <x:v>0</x:v>
      </x:c>
      <x:c r="X288" s="20" t="n">
        <x:f>R288*W288</x:f>
        <x:v>0</x:v>
      </x:c>
      <x:c r="Y288" s="18" t="n">
        <x:f>'01 Controls'!G37</x:f>
        <x:v>0.7</x:v>
      </x:c>
      <x:c r="Z288" s="20" t="n">
        <x:f>R288*Y288</x:f>
        <x:v>6634.109999999999</x:v>
      </x:c>
      <x:c r="AA288" s="18" t="n">
        <x:f>'01 Controls'!H37</x:f>
        <x:v>0.25</x:v>
      </x:c>
      <x:c r="AB288" s="20" t="n">
        <x:f>R288*AA288</x:f>
        <x:v>2369.325</x:v>
      </x:c>
      <x:c r="AC288" s="20" t="n">
        <x:f>IF(H288="CM-HCG",K288*'01 Controls'!$E$24,0)</x:f>
        <x:v>0</x:v>
      </x:c>
      <x:c r="AD288" s="20" t="n">
        <x:f>IF(H288="CM-HCG",K288*'01 Controls'!$E$25,0)</x:f>
        <x:v>0</x:v>
      </x:c>
      <x:c r="AE288" s="20" t="n">
        <x:f>IF(H288="CM-HCG",K288*'01 Controls'!$E$26,0)</x:f>
        <x:v>0</x:v>
      </x:c>
      <x:c r="AF288" s="20" t="n">
        <x:f>IF(H288="CM-HCG",K288*'01 Controls'!$E$27,0)</x:f>
        <x:v>0</x:v>
      </x:c>
    </x:row>
    <x:row r="289">
      <x:c r="C289" s="22" t="str">
        <x:v>M3-CM-RMG</x:v>
      </x:c>
      <x:c r="D289" s="22" t="n">
        <x:v>284</x:v>
      </x:c>
      <x:c r="E289" s="22" t="str">
        <x:v>M3</x:v>
      </x:c>
      <x:c r="F289" s="22" t="str">
        <x:v>Inland flood</x:v>
      </x:c>
      <x:c r="G289" s="22" t="n">
        <x:v>6</x:v>
      </x:c>
      <x:c r="H289" s="22" t="str">
        <x:v>CM-RMG</x:v>
      </x:c>
      <x:c r="I289" s="22" t="str">
        <x:v>Civil Mobility and Continuity</x:v>
      </x:c>
      <x:c r="J289" s="22" t="str">
        <x:v>Civil road-mobility group</x:v>
      </x:c>
      <x:c r="K289" s="23" t="n">
        <x:v>6</x:v>
      </x:c>
      <x:c r="L289" s="23" t="n">
        <x:v>900</x:v>
      </x:c>
      <x:c r="M289" s="23" t="n">
        <x:v>250</x:v>
      </x:c>
      <x:c r="N289" s="20" t="n">
        <x:f>K289*L289</x:f>
        <x:v>5400</x:v>
      </x:c>
      <x:c r="O289" s="19" t="n">
        <x:v>5000</x:v>
      </x:c>
      <x:c r="P289" s="17" t="n">
        <x:v>0.7</x:v>
      </x:c>
      <x:c r="Q289" s="20" t="n">
        <x:f>K289*O289*P289</x:f>
        <x:v>21000</x:v>
      </x:c>
      <x:c r="R289" s="20" t="n">
        <x:f>Q289*(1-'01 Controls'!$E$6)</x:f>
        <x:v>15750</x:v>
      </x:c>
      <x:c r="S289" s="19" t="n">
        <x:v>45</x:v>
      </x:c>
      <x:c r="T289" s="20" t="n">
        <x:f>K289*S289</x:f>
        <x:v>270</x:v>
      </x:c>
      <x:c r="U289" s="18" t="n">
        <x:f>'01 Controls'!E37</x:f>
        <x:v>0.05</x:v>
      </x:c>
      <x:c r="V289" s="20" t="n">
        <x:f>R289*U289</x:f>
        <x:v>787.5</x:v>
      </x:c>
      <x:c r="W289" s="18" t="n">
        <x:f>'01 Controls'!F37</x:f>
        <x:v>0</x:v>
      </x:c>
      <x:c r="X289" s="20" t="n">
        <x:f>R289*W289</x:f>
        <x:v>0</x:v>
      </x:c>
      <x:c r="Y289" s="18" t="n">
        <x:f>'01 Controls'!G37</x:f>
        <x:v>0.7</x:v>
      </x:c>
      <x:c r="Z289" s="20" t="n">
        <x:f>R289*Y289</x:f>
        <x:v>11025</x:v>
      </x:c>
      <x:c r="AA289" s="18" t="n">
        <x:f>'01 Controls'!H37</x:f>
        <x:v>0.25</x:v>
      </x:c>
      <x:c r="AB289" s="20" t="n">
        <x:f>R289*AA289</x:f>
        <x:v>3937.5</x:v>
      </x:c>
      <x:c r="AC289" s="20" t="n">
        <x:f>IF(H289="CM-HCG",K289*'01 Controls'!$E$24,0)</x:f>
        <x:v>0</x:v>
      </x:c>
      <x:c r="AD289" s="20" t="n">
        <x:f>IF(H289="CM-HCG",K289*'01 Controls'!$E$25,0)</x:f>
        <x:v>0</x:v>
      </x:c>
      <x:c r="AE289" s="20" t="n">
        <x:f>IF(H289="CM-HCG",K289*'01 Controls'!$E$26,0)</x:f>
        <x:v>0</x:v>
      </x:c>
      <x:c r="AF289" s="20" t="n">
        <x:f>IF(H289="CM-HCG",K289*'01 Controls'!$E$27,0)</x:f>
        <x:v>0</x:v>
      </x:c>
    </x:row>
    <x:row r="290">
      <x:c r="C290" s="22" t="str">
        <x:v>M3-CM-RLG</x:v>
      </x:c>
      <x:c r="D290" s="22" t="n">
        <x:v>285</x:v>
      </x:c>
      <x:c r="E290" s="22" t="str">
        <x:v>M3</x:v>
      </x:c>
      <x:c r="F290" s="22" t="str">
        <x:v>Inland flood</x:v>
      </x:c>
      <x:c r="G290" s="22" t="n">
        <x:v>6</x:v>
      </x:c>
      <x:c r="H290" s="22" t="str">
        <x:v>CM-RLG</x:v>
      </x:c>
      <x:c r="I290" s="22" t="str">
        <x:v>Civil Mobility and Continuity</x:v>
      </x:c>
      <x:c r="J290" s="22" t="str">
        <x:v>Civil rail-mobility group</x:v>
      </x:c>
      <x:c r="K290" s="23" t="n">
        <x:v>2</x:v>
      </x:c>
      <x:c r="L290" s="23" t="n">
        <x:v>500</x:v>
      </x:c>
      <x:c r="M290" s="23" t="n">
        <x:v>100</x:v>
      </x:c>
      <x:c r="N290" s="20" t="n">
        <x:f>K290*L290</x:f>
        <x:v>1000</x:v>
      </x:c>
      <x:c r="O290" s="19" t="n">
        <x:v>8000</x:v>
      </x:c>
      <x:c r="P290" s="17" t="n">
        <x:v>0.6</x:v>
      </x:c>
      <x:c r="Q290" s="20" t="n">
        <x:f>K290*O290*P290</x:f>
        <x:v>9600</x:v>
      </x:c>
      <x:c r="R290" s="20" t="n">
        <x:f>Q290*(1-'01 Controls'!$E$6)</x:f>
        <x:v>7200</x:v>
      </x:c>
      <x:c r="S290" s="19" t="n">
        <x:v>40</x:v>
      </x:c>
      <x:c r="T290" s="20" t="n">
        <x:f>K290*S290</x:f>
        <x:v>80</x:v>
      </x:c>
      <x:c r="U290" s="18" t="n">
        <x:f>'01 Controls'!E37</x:f>
        <x:v>0.05</x:v>
      </x:c>
      <x:c r="V290" s="20" t="n">
        <x:f>R290*U290</x:f>
        <x:v>360</x:v>
      </x:c>
      <x:c r="W290" s="18" t="n">
        <x:f>'01 Controls'!F37</x:f>
        <x:v>0</x:v>
      </x:c>
      <x:c r="X290" s="20" t="n">
        <x:f>R290*W290</x:f>
        <x:v>0</x:v>
      </x:c>
      <x:c r="Y290" s="18" t="n">
        <x:f>'01 Controls'!G37</x:f>
        <x:v>0.7</x:v>
      </x:c>
      <x:c r="Z290" s="20" t="n">
        <x:f>R290*Y290</x:f>
        <x:v>5040</x:v>
      </x:c>
      <x:c r="AA290" s="18" t="n">
        <x:f>'01 Controls'!H37</x:f>
        <x:v>0.25</x:v>
      </x:c>
      <x:c r="AB290" s="20" t="n">
        <x:f>R290*AA290</x:f>
        <x:v>1800</x:v>
      </x:c>
      <x:c r="AC290" s="20" t="n">
        <x:f>IF(H290="CM-HCG",K290*'01 Controls'!$E$24,0)</x:f>
        <x:v>0</x:v>
      </x:c>
      <x:c r="AD290" s="20" t="n">
        <x:f>IF(H290="CM-HCG",K290*'01 Controls'!$E$25,0)</x:f>
        <x:v>0</x:v>
      </x:c>
      <x:c r="AE290" s="20" t="n">
        <x:f>IF(H290="CM-HCG",K290*'01 Controls'!$E$26,0)</x:f>
        <x:v>0</x:v>
      </x:c>
      <x:c r="AF290" s="20" t="n">
        <x:f>IF(H290="CM-HCG",K290*'01 Controls'!$E$27,0)</x:f>
        <x:v>0</x:v>
      </x:c>
    </x:row>
    <x:row r="291">
      <x:c r="C291" s="22" t="str">
        <x:v>M3-CM-AMG</x:v>
      </x:c>
      <x:c r="D291" s="22" t="n">
        <x:v>286</x:v>
      </x:c>
      <x:c r="E291" s="22" t="str">
        <x:v>M3</x:v>
      </x:c>
      <x:c r="F291" s="22" t="str">
        <x:v>Inland flood</x:v>
      </x:c>
      <x:c r="G291" s="22" t="n">
        <x:v>6</x:v>
      </x:c>
      <x:c r="H291" s="22" t="str">
        <x:v>CM-AMG</x:v>
      </x:c>
      <x:c r="I291" s="22" t="str">
        <x:v>Civil Mobility and Continuity</x:v>
      </x:c>
      <x:c r="J291" s="22" t="str">
        <x:v>Civil air-mobility group</x:v>
      </x:c>
      <x:c r="K291" s="23" t="n">
        <x:v>2</x:v>
      </x:c>
      <x:c r="L291" s="23" t="n">
        <x:v>600</x:v>
      </x:c>
      <x:c r="M291" s="23" t="n">
        <x:v>200</x:v>
      </x:c>
      <x:c r="N291" s="20" t="n">
        <x:f>K291*L291</x:f>
        <x:v>1200</x:v>
      </x:c>
      <x:c r="O291" s="19" t="n">
        <x:v>6000</x:v>
      </x:c>
      <x:c r="P291" s="17" t="n">
        <x:v>0.75</x:v>
      </x:c>
      <x:c r="Q291" s="20" t="n">
        <x:f>K291*O291*P291</x:f>
        <x:v>9000</x:v>
      </x:c>
      <x:c r="R291" s="20" t="n">
        <x:f>Q291*(1-'01 Controls'!$E$6)</x:f>
        <x:v>6750</x:v>
      </x:c>
      <x:c r="S291" s="19" t="n">
        <x:v>55</x:v>
      </x:c>
      <x:c r="T291" s="20" t="n">
        <x:f>K291*S291</x:f>
        <x:v>110</x:v>
      </x:c>
      <x:c r="U291" s="18" t="n">
        <x:f>'01 Controls'!E37</x:f>
        <x:v>0.05</x:v>
      </x:c>
      <x:c r="V291" s="20" t="n">
        <x:f>R291*U291</x:f>
        <x:v>337.5</x:v>
      </x:c>
      <x:c r="W291" s="18" t="n">
        <x:f>'01 Controls'!F37</x:f>
        <x:v>0</x:v>
      </x:c>
      <x:c r="X291" s="20" t="n">
        <x:f>R291*W291</x:f>
        <x:v>0</x:v>
      </x:c>
      <x:c r="Y291" s="18" t="n">
        <x:f>'01 Controls'!G37</x:f>
        <x:v>0.7</x:v>
      </x:c>
      <x:c r="Z291" s="20" t="n">
        <x:f>R291*Y291</x:f>
        <x:v>4725</x:v>
      </x:c>
      <x:c r="AA291" s="18" t="n">
        <x:f>'01 Controls'!H37</x:f>
        <x:v>0.25</x:v>
      </x:c>
      <x:c r="AB291" s="20" t="n">
        <x:f>R291*AA291</x:f>
        <x:v>1687.5</x:v>
      </x:c>
      <x:c r="AC291" s="20" t="n">
        <x:f>IF(H291="CM-HCG",K291*'01 Controls'!$E$24,0)</x:f>
        <x:v>0</x:v>
      </x:c>
      <x:c r="AD291" s="20" t="n">
        <x:f>IF(H291="CM-HCG",K291*'01 Controls'!$E$25,0)</x:f>
        <x:v>0</x:v>
      </x:c>
      <x:c r="AE291" s="20" t="n">
        <x:f>IF(H291="CM-HCG",K291*'01 Controls'!$E$26,0)</x:f>
        <x:v>0</x:v>
      </x:c>
      <x:c r="AF291" s="20" t="n">
        <x:f>IF(H291="CM-HCG",K291*'01 Controls'!$E$27,0)</x:f>
        <x:v>0</x:v>
      </x:c>
    </x:row>
    <x:row r="292">
      <x:c r="C292" s="22" t="str">
        <x:v>M3-CM-WMG</x:v>
      </x:c>
      <x:c r="D292" s="22" t="n">
        <x:v>287</x:v>
      </x:c>
      <x:c r="E292" s="22" t="str">
        <x:v>M3</x:v>
      </x:c>
      <x:c r="F292" s="22" t="str">
        <x:v>Inland flood</x:v>
      </x:c>
      <x:c r="G292" s="22" t="n">
        <x:v>6</x:v>
      </x:c>
      <x:c r="H292" s="22" t="str">
        <x:v>CM-WMG</x:v>
      </x:c>
      <x:c r="I292" s="22" t="str">
        <x:v>Civil Mobility and Continuity</x:v>
      </x:c>
      <x:c r="J292" s="22" t="str">
        <x:v>Civil water-mobility group</x:v>
      </x:c>
      <x:c r="K292" s="23" t="n">
        <x:v>3</x:v>
      </x:c>
      <x:c r="L292" s="23" t="n">
        <x:v>500</x:v>
      </x:c>
      <x:c r="M292" s="23" t="n">
        <x:v>100</x:v>
      </x:c>
      <x:c r="N292" s="20" t="n">
        <x:f>K292*L292</x:f>
        <x:v>1500</x:v>
      </x:c>
      <x:c r="O292" s="19" t="n">
        <x:v>9000</x:v>
      </x:c>
      <x:c r="P292" s="17" t="n">
        <x:v>0.5</x:v>
      </x:c>
      <x:c r="Q292" s="20" t="n">
        <x:f>K292*O292*P292</x:f>
        <x:v>13500</x:v>
      </x:c>
      <x:c r="R292" s="20" t="n">
        <x:f>Q292*(1-'01 Controls'!$E$6)</x:f>
        <x:v>10125</x:v>
      </x:c>
      <x:c r="S292" s="19" t="n">
        <x:v>50</x:v>
      </x:c>
      <x:c r="T292" s="20" t="n">
        <x:f>K292*S292</x:f>
        <x:v>150</x:v>
      </x:c>
      <x:c r="U292" s="18" t="n">
        <x:f>'01 Controls'!E37</x:f>
        <x:v>0.05</x:v>
      </x:c>
      <x:c r="V292" s="20" t="n">
        <x:f>R292*U292</x:f>
        <x:v>506.25</x:v>
      </x:c>
      <x:c r="W292" s="18" t="n">
        <x:f>'01 Controls'!F37</x:f>
        <x:v>0</x:v>
      </x:c>
      <x:c r="X292" s="20" t="n">
        <x:f>R292*W292</x:f>
        <x:v>0</x:v>
      </x:c>
      <x:c r="Y292" s="18" t="n">
        <x:f>'01 Controls'!G37</x:f>
        <x:v>0.7</x:v>
      </x:c>
      <x:c r="Z292" s="20" t="n">
        <x:f>R292*Y292</x:f>
        <x:v>7087.5</x:v>
      </x:c>
      <x:c r="AA292" s="18" t="n">
        <x:f>'01 Controls'!H37</x:f>
        <x:v>0.25</x:v>
      </x:c>
      <x:c r="AB292" s="20" t="n">
        <x:f>R292*AA292</x:f>
        <x:v>2531.25</x:v>
      </x:c>
      <x:c r="AC292" s="20" t="n">
        <x:f>IF(H292="CM-HCG",K292*'01 Controls'!$E$24,0)</x:f>
        <x:v>0</x:v>
      </x:c>
      <x:c r="AD292" s="20" t="n">
        <x:f>IF(H292="CM-HCG",K292*'01 Controls'!$E$25,0)</x:f>
        <x:v>0</x:v>
      </x:c>
      <x:c r="AE292" s="20" t="n">
        <x:f>IF(H292="CM-HCG",K292*'01 Controls'!$E$26,0)</x:f>
        <x:v>0</x:v>
      </x:c>
      <x:c r="AF292" s="20" t="n">
        <x:f>IF(H292="CM-HCG",K292*'01 Controls'!$E$27,0)</x:f>
        <x:v>0</x:v>
      </x:c>
    </x:row>
    <x:row r="293">
      <x:c r="C293" s="22" t="str">
        <x:v>M3-CM-RDC</x:v>
      </x:c>
      <x:c r="D293" s="22" t="n">
        <x:v>288</x:v>
      </x:c>
      <x:c r="E293" s="22" t="str">
        <x:v>M3</x:v>
      </x:c>
      <x:c r="F293" s="22" t="str">
        <x:v>Inland flood</x:v>
      </x:c>
      <x:c r="G293" s="22" t="n">
        <x:v>6</x:v>
      </x:c>
      <x:c r="H293" s="22" t="str">
        <x:v>CM-RDC</x:v>
      </x:c>
      <x:c r="I293" s="22" t="str">
        <x:v>Civil Mobility and Continuity</x:v>
      </x:c>
      <x:c r="J293" s="22" t="str">
        <x:v>Return and durable-continuity group</x:v>
      </x:c>
      <x:c r="K293" s="23" t="n">
        <x:v>4</x:v>
      </x:c>
      <x:c r="L293" s="23" t="n">
        <x:v>450</x:v>
      </x:c>
      <x:c r="M293" s="23" t="n">
        <x:v>50</x:v>
      </x:c>
      <x:c r="N293" s="20" t="n">
        <x:f>K293*L293</x:f>
        <x:v>1800</x:v>
      </x:c>
      <x:c r="O293" s="19" t="n">
        <x:v>1800</x:v>
      </x:c>
      <x:c r="P293" s="17" t="n">
        <x:v>0.5</x:v>
      </x:c>
      <x:c r="Q293" s="20" t="n">
        <x:f>K293*O293*P293</x:f>
        <x:v>3600</x:v>
      </x:c>
      <x:c r="R293" s="20" t="n">
        <x:f>Q293*(1-'01 Controls'!$E$6)</x:f>
        <x:v>2700</x:v>
      </x:c>
      <x:c r="S293" s="19" t="n">
        <x:v>25</x:v>
      </x:c>
      <x:c r="T293" s="20" t="n">
        <x:f>K293*S293</x:f>
        <x:v>100</x:v>
      </x:c>
      <x:c r="U293" s="18" t="n">
        <x:f>'01 Controls'!E37</x:f>
        <x:v>0.05</x:v>
      </x:c>
      <x:c r="V293" s="20" t="n">
        <x:f>R293*U293</x:f>
        <x:v>135</x:v>
      </x:c>
      <x:c r="W293" s="18" t="n">
        <x:f>'01 Controls'!F37</x:f>
        <x:v>0</x:v>
      </x:c>
      <x:c r="X293" s="20" t="n">
        <x:f>R293*W293</x:f>
        <x:v>0</x:v>
      </x:c>
      <x:c r="Y293" s="18" t="n">
        <x:f>'01 Controls'!G37</x:f>
        <x:v>0.7</x:v>
      </x:c>
      <x:c r="Z293" s="20" t="n">
        <x:f>R293*Y293</x:f>
        <x:v>1889.9999999999998</x:v>
      </x:c>
      <x:c r="AA293" s="18" t="n">
        <x:f>'01 Controls'!H37</x:f>
        <x:v>0.25</x:v>
      </x:c>
      <x:c r="AB293" s="20" t="n">
        <x:f>R293*AA293</x:f>
        <x:v>675</x:v>
      </x:c>
      <x:c r="AC293" s="20" t="n">
        <x:f>IF(H293="CM-HCG",K293*'01 Controls'!$E$24,0)</x:f>
        <x:v>0</x:v>
      </x:c>
      <x:c r="AD293" s="20" t="n">
        <x:f>IF(H293="CM-HCG",K293*'01 Controls'!$E$25,0)</x:f>
        <x:v>0</x:v>
      </x:c>
      <x:c r="AE293" s="20" t="n">
        <x:f>IF(H293="CM-HCG",K293*'01 Controls'!$E$26,0)</x:f>
        <x:v>0</x:v>
      </x:c>
      <x:c r="AF293" s="20" t="n">
        <x:f>IF(H293="CM-HCG",K293*'01 Controls'!$E$27,0)</x:f>
        <x:v>0</x:v>
      </x:c>
    </x:row>
    <x:row r="294">
      <x:c r="C294" s="22" t="str">
        <x:v>M4-J-CIE</x:v>
      </x:c>
      <x:c r="D294" s="22" t="n">
        <x:v>289</x:v>
      </x:c>
      <x:c r="E294" s="22" t="str">
        <x:v>M4</x:v>
      </x:c>
      <x:c r="F294" s="22" t="str">
        <x:v>Tornado sequence</x:v>
      </x:c>
      <x:c r="G294" s="22" t="n">
        <x:v>7</x:v>
      </x:c>
      <x:c r="H294" s="22" t="str">
        <x:v>J-CIE</x:v>
      </x:c>
      <x:c r="I294" s="22" t="str">
        <x:v>Joint</x:v>
      </x:c>
      <x:c r="J294" s="22" t="str">
        <x:v>Civil integration and effects group</x:v>
      </x:c>
      <x:c r="K294" s="23" t="n">
        <x:v>3</x:v>
      </x:c>
      <x:c r="L294" s="23" t="n">
        <x:v>120</x:v>
      </x:c>
      <x:c r="M294" s="23" t="n">
        <x:v>0</x:v>
      </x:c>
      <x:c r="N294" s="20" t="n">
        <x:f>K294*L294</x:f>
        <x:v>360</x:v>
      </x:c>
      <x:c r="O294" s="19" t="n">
        <x:v>2200</x:v>
      </x:c>
      <x:c r="P294" s="17" t="n">
        <x:v>0.65</x:v>
      </x:c>
      <x:c r="Q294" s="20" t="n">
        <x:f>K294*O294*P294</x:f>
        <x:v>4290</x:v>
      </x:c>
      <x:c r="R294" s="20" t="n">
        <x:f>Q294*(1-'01 Controls'!$E$6)</x:f>
        <x:v>3217.5</x:v>
      </x:c>
      <x:c r="S294" s="19" t="n">
        <x:v>45</x:v>
      </x:c>
      <x:c r="T294" s="20" t="n">
        <x:f>K294*S294</x:f>
        <x:v>135</x:v>
      </x:c>
      <x:c r="U294" s="18" t="n">
        <x:f>'01 Controls'!E38</x:f>
        <x:v>0.05</x:v>
      </x:c>
      <x:c r="V294" s="20" t="n">
        <x:f>R294*U294</x:f>
        <x:v>160.875</x:v>
      </x:c>
      <x:c r="W294" s="18" t="n">
        <x:f>'01 Controls'!F38</x:f>
        <x:v>0</x:v>
      </x:c>
      <x:c r="X294" s="20" t="n">
        <x:f>R294*W294</x:f>
        <x:v>0</x:v>
      </x:c>
      <x:c r="Y294" s="18" t="n">
        <x:f>'01 Controls'!G38</x:f>
        <x:v>0.95</x:v>
      </x:c>
      <x:c r="Z294" s="20" t="n">
        <x:f>R294*Y294</x:f>
        <x:v>3056.625</x:v>
      </x:c>
      <x:c r="AA294" s="18" t="n">
        <x:f>'01 Controls'!H38</x:f>
        <x:v>0</x:v>
      </x:c>
      <x:c r="AB294" s="20" t="n">
        <x:f>R294*AA294</x:f>
        <x:v>0</x:v>
      </x:c>
      <x:c r="AC294" s="20" t="n">
        <x:f>IF(H294="CM-HCG",K294*'01 Controls'!$E$24,0)</x:f>
        <x:v>0</x:v>
      </x:c>
      <x:c r="AD294" s="20" t="n">
        <x:f>IF(H294="CM-HCG",K294*'01 Controls'!$E$25,0)</x:f>
        <x:v>0</x:v>
      </x:c>
      <x:c r="AE294" s="20" t="n">
        <x:f>IF(H294="CM-HCG",K294*'01 Controls'!$E$26,0)</x:f>
        <x:v>0</x:v>
      </x:c>
      <x:c r="AF294" s="20" t="n">
        <x:f>IF(H294="CM-HCG",K294*'01 Controls'!$E$27,0)</x:f>
        <x:v>0</x:v>
      </x:c>
    </x:row>
    <x:row r="295">
      <x:c r="C295" s="22" t="str">
        <x:v>M4-J-TOC</x:v>
      </x:c>
      <x:c r="D295" s="22" t="n">
        <x:v>290</x:v>
      </x:c>
      <x:c r="E295" s="22" t="str">
        <x:v>M4</x:v>
      </x:c>
      <x:c r="F295" s="22" t="str">
        <x:v>Tornado sequence</x:v>
      </x:c>
      <x:c r="G295" s="22" t="n">
        <x:v>7</x:v>
      </x:c>
      <x:c r="H295" s="22" t="str">
        <x:v>J-TOC</x:v>
      </x:c>
      <x:c r="I295" s="22" t="str">
        <x:v>Joint</x:v>
      </x:c>
      <x:c r="J295" s="22" t="str">
        <x:v>Theater-opening command</x:v>
      </x:c>
      <x:c r="K295" s="23" t="n">
        <x:v>2</x:v>
      </x:c>
      <x:c r="L295" s="23" t="n">
        <x:v>600</x:v>
      </x:c>
      <x:c r="M295" s="23" t="n">
        <x:v>0</x:v>
      </x:c>
      <x:c r="N295" s="20" t="n">
        <x:f>K295*L295</x:f>
        <x:v>1200</x:v>
      </x:c>
      <x:c r="O295" s="19" t="n">
        <x:v>2200</x:v>
      </x:c>
      <x:c r="P295" s="17" t="n">
        <x:v>0.65</x:v>
      </x:c>
      <x:c r="Q295" s="20" t="n">
        <x:f>K295*O295*P295</x:f>
        <x:v>2860</x:v>
      </x:c>
      <x:c r="R295" s="20" t="n">
        <x:f>Q295*(1-'01 Controls'!$E$6)</x:f>
        <x:v>2145</x:v>
      </x:c>
      <x:c r="S295" s="19" t="n">
        <x:v>45</x:v>
      </x:c>
      <x:c r="T295" s="20" t="n">
        <x:f>K295*S295</x:f>
        <x:v>90</x:v>
      </x:c>
      <x:c r="U295" s="18" t="n">
        <x:f>'01 Controls'!E38</x:f>
        <x:v>0.05</x:v>
      </x:c>
      <x:c r="V295" s="20" t="n">
        <x:f>R295*U295</x:f>
        <x:v>107.25</x:v>
      </x:c>
      <x:c r="W295" s="18" t="n">
        <x:f>'01 Controls'!F38</x:f>
        <x:v>0</x:v>
      </x:c>
      <x:c r="X295" s="20" t="n">
        <x:f>R295*W295</x:f>
        <x:v>0</x:v>
      </x:c>
      <x:c r="Y295" s="18" t="n">
        <x:f>'01 Controls'!G38</x:f>
        <x:v>0.95</x:v>
      </x:c>
      <x:c r="Z295" s="20" t="n">
        <x:f>R295*Y295</x:f>
        <x:v>2037.75</x:v>
      </x:c>
      <x:c r="AA295" s="18" t="n">
        <x:f>'01 Controls'!H38</x:f>
        <x:v>0</x:v>
      </x:c>
      <x:c r="AB295" s="20" t="n">
        <x:f>R295*AA295</x:f>
        <x:v>0</x:v>
      </x:c>
      <x:c r="AC295" s="20" t="n">
        <x:f>IF(H295="CM-HCG",K295*'01 Controls'!$E$24,0)</x:f>
        <x:v>0</x:v>
      </x:c>
      <x:c r="AD295" s="20" t="n">
        <x:f>IF(H295="CM-HCG",K295*'01 Controls'!$E$25,0)</x:f>
        <x:v>0</x:v>
      </x:c>
      <x:c r="AE295" s="20" t="n">
        <x:f>IF(H295="CM-HCG",K295*'01 Controls'!$E$26,0)</x:f>
        <x:v>0</x:v>
      </x:c>
      <x:c r="AF295" s="20" t="n">
        <x:f>IF(H295="CM-HCG",K295*'01 Controls'!$E$27,0)</x:f>
        <x:v>0</x:v>
      </x:c>
    </x:row>
    <x:row r="296">
      <x:c r="C296" s="22" t="str">
        <x:v>M4-J-TSC</x:v>
      </x:c>
      <x:c r="D296" s="22" t="n">
        <x:v>291</x:v>
      </x:c>
      <x:c r="E296" s="22" t="str">
        <x:v>M4</x:v>
      </x:c>
      <x:c r="F296" s="22" t="str">
        <x:v>Tornado sequence</x:v>
      </x:c>
      <x:c r="G296" s="22" t="n">
        <x:v>7</x:v>
      </x:c>
      <x:c r="H296" s="22" t="str">
        <x:v>J-TSC</x:v>
      </x:c>
      <x:c r="I296" s="22" t="str">
        <x:v>Joint</x:v>
      </x:c>
      <x:c r="J296" s="22" t="str">
        <x:v>Theater sustainment command</x:v>
      </x:c>
      <x:c r="K296" s="23" t="n">
        <x:v>3</x:v>
      </x:c>
      <x:c r="L296" s="23" t="n">
        <x:v>900</x:v>
      </x:c>
      <x:c r="M296" s="23" t="n">
        <x:v>0</x:v>
      </x:c>
      <x:c r="N296" s="20" t="n">
        <x:f>K296*L296</x:f>
        <x:v>2700</x:v>
      </x:c>
      <x:c r="O296" s="19" t="n">
        <x:v>2200</x:v>
      </x:c>
      <x:c r="P296" s="17" t="n">
        <x:v>0.65</x:v>
      </x:c>
      <x:c r="Q296" s="20" t="n">
        <x:f>K296*O296*P296</x:f>
        <x:v>4290</x:v>
      </x:c>
      <x:c r="R296" s="20" t="n">
        <x:f>Q296*(1-'01 Controls'!$E$6)</x:f>
        <x:v>3217.5</x:v>
      </x:c>
      <x:c r="S296" s="19" t="n">
        <x:v>45</x:v>
      </x:c>
      <x:c r="T296" s="20" t="n">
        <x:f>K296*S296</x:f>
        <x:v>135</x:v>
      </x:c>
      <x:c r="U296" s="18" t="n">
        <x:f>'01 Controls'!E38</x:f>
        <x:v>0.05</x:v>
      </x:c>
      <x:c r="V296" s="20" t="n">
        <x:f>R296*U296</x:f>
        <x:v>160.875</x:v>
      </x:c>
      <x:c r="W296" s="18" t="n">
        <x:f>'01 Controls'!F38</x:f>
        <x:v>0</x:v>
      </x:c>
      <x:c r="X296" s="20" t="n">
        <x:f>R296*W296</x:f>
        <x:v>0</x:v>
      </x:c>
      <x:c r="Y296" s="18" t="n">
        <x:f>'01 Controls'!G38</x:f>
        <x:v>0.95</x:v>
      </x:c>
      <x:c r="Z296" s="20" t="n">
        <x:f>R296*Y296</x:f>
        <x:v>3056.625</x:v>
      </x:c>
      <x:c r="AA296" s="18" t="n">
        <x:f>'01 Controls'!H38</x:f>
        <x:v>0</x:v>
      </x:c>
      <x:c r="AB296" s="20" t="n">
        <x:f>R296*AA296</x:f>
        <x:v>0</x:v>
      </x:c>
      <x:c r="AC296" s="20" t="n">
        <x:f>IF(H296="CM-HCG",K296*'01 Controls'!$E$24,0)</x:f>
        <x:v>0</x:v>
      </x:c>
      <x:c r="AD296" s="20" t="n">
        <x:f>IF(H296="CM-HCG",K296*'01 Controls'!$E$25,0)</x:f>
        <x:v>0</x:v>
      </x:c>
      <x:c r="AE296" s="20" t="n">
        <x:f>IF(H296="CM-HCG",K296*'01 Controls'!$E$26,0)</x:f>
        <x:v>0</x:v>
      </x:c>
      <x:c r="AF296" s="20" t="n">
        <x:f>IF(H296="CM-HCG",K296*'01 Controls'!$E$27,0)</x:f>
        <x:v>0</x:v>
      </x:c>
    </x:row>
    <x:row r="297">
      <x:c r="C297" s="22" t="str">
        <x:v>M4-J-RRG</x:v>
      </x:c>
      <x:c r="D297" s="22" t="n">
        <x:v>292</x:v>
      </x:c>
      <x:c r="E297" s="22" t="str">
        <x:v>M4</x:v>
      </x:c>
      <x:c r="F297" s="22" t="str">
        <x:v>Tornado sequence</x:v>
      </x:c>
      <x:c r="G297" s="22" t="n">
        <x:v>7</x:v>
      </x:c>
      <x:c r="H297" s="22" t="str">
        <x:v>J-RRG</x:v>
      </x:c>
      <x:c r="I297" s="22" t="str">
        <x:v>Joint</x:v>
      </x:c>
      <x:c r="J297" s="22" t="str">
        <x:v>Replacement and reconstitution group</x:v>
      </x:c>
      <x:c r="K297" s="23" t="n">
        <x:v>3</x:v>
      </x:c>
      <x:c r="L297" s="23" t="n">
        <x:v>400</x:v>
      </x:c>
      <x:c r="M297" s="23" t="n">
        <x:v>0</x:v>
      </x:c>
      <x:c r="N297" s="20" t="n">
        <x:f>K297*L297</x:f>
        <x:v>1200</x:v>
      </x:c>
      <x:c r="O297" s="19" t="n">
        <x:v>2200</x:v>
      </x:c>
      <x:c r="P297" s="17" t="n">
        <x:v>0.65</x:v>
      </x:c>
      <x:c r="Q297" s="20" t="n">
        <x:f>K297*O297*P297</x:f>
        <x:v>4290</x:v>
      </x:c>
      <x:c r="R297" s="20" t="n">
        <x:f>Q297*(1-'01 Controls'!$E$6)</x:f>
        <x:v>3217.5</x:v>
      </x:c>
      <x:c r="S297" s="19" t="n">
        <x:v>45</x:v>
      </x:c>
      <x:c r="T297" s="20" t="n">
        <x:f>K297*S297</x:f>
        <x:v>135</x:v>
      </x:c>
      <x:c r="U297" s="18" t="n">
        <x:f>'01 Controls'!E38</x:f>
        <x:v>0.05</x:v>
      </x:c>
      <x:c r="V297" s="20" t="n">
        <x:f>R297*U297</x:f>
        <x:v>160.875</x:v>
      </x:c>
      <x:c r="W297" s="18" t="n">
        <x:f>'01 Controls'!F38</x:f>
        <x:v>0</x:v>
      </x:c>
      <x:c r="X297" s="20" t="n">
        <x:f>R297*W297</x:f>
        <x:v>0</x:v>
      </x:c>
      <x:c r="Y297" s="18" t="n">
        <x:f>'01 Controls'!G38</x:f>
        <x:v>0.95</x:v>
      </x:c>
      <x:c r="Z297" s="20" t="n">
        <x:f>R297*Y297</x:f>
        <x:v>3056.625</x:v>
      </x:c>
      <x:c r="AA297" s="18" t="n">
        <x:f>'01 Controls'!H38</x:f>
        <x:v>0</x:v>
      </x:c>
      <x:c r="AB297" s="20" t="n">
        <x:f>R297*AA297</x:f>
        <x:v>0</x:v>
      </x:c>
      <x:c r="AC297" s="20" t="n">
        <x:f>IF(H297="CM-HCG",K297*'01 Controls'!$E$24,0)</x:f>
        <x:v>0</x:v>
      </x:c>
      <x:c r="AD297" s="20" t="n">
        <x:f>IF(H297="CM-HCG",K297*'01 Controls'!$E$25,0)</x:f>
        <x:v>0</x:v>
      </x:c>
      <x:c r="AE297" s="20" t="n">
        <x:f>IF(H297="CM-HCG",K297*'01 Controls'!$E$26,0)</x:f>
        <x:v>0</x:v>
      </x:c>
      <x:c r="AF297" s="20" t="n">
        <x:f>IF(H297="CM-HCG",K297*'01 Controls'!$E$27,0)</x:f>
        <x:v>0</x:v>
      </x:c>
    </x:row>
    <x:row r="298">
      <x:c r="C298" s="22" t="str">
        <x:v>M4-J-TDG</x:v>
      </x:c>
      <x:c r="D298" s="22" t="n">
        <x:v>293</x:v>
      </x:c>
      <x:c r="E298" s="22" t="str">
        <x:v>M4</x:v>
      </x:c>
      <x:c r="F298" s="22" t="str">
        <x:v>Tornado sequence</x:v>
      </x:c>
      <x:c r="G298" s="22" t="n">
        <x:v>7</x:v>
      </x:c>
      <x:c r="H298" s="22" t="str">
        <x:v>J-TDG</x:v>
      </x:c>
      <x:c r="I298" s="22" t="str">
        <x:v>Joint</x:v>
      </x:c>
      <x:c r="J298" s="22" t="str">
        <x:v>Transfer and demobilization group</x:v>
      </x:c>
      <x:c r="K298" s="23" t="n">
        <x:v>2</x:v>
      </x:c>
      <x:c r="L298" s="23" t="n">
        <x:v>150</x:v>
      </x:c>
      <x:c r="M298" s="23" t="n">
        <x:v>0</x:v>
      </x:c>
      <x:c r="N298" s="20" t="n">
        <x:f>K298*L298</x:f>
        <x:v>300</x:v>
      </x:c>
      <x:c r="O298" s="19" t="n">
        <x:v>2200</x:v>
      </x:c>
      <x:c r="P298" s="17" t="n">
        <x:v>0.65</x:v>
      </x:c>
      <x:c r="Q298" s="20" t="n">
        <x:f>K298*O298*P298</x:f>
        <x:v>2860</x:v>
      </x:c>
      <x:c r="R298" s="20" t="n">
        <x:f>Q298*(1-'01 Controls'!$E$6)</x:f>
        <x:v>2145</x:v>
      </x:c>
      <x:c r="S298" s="19" t="n">
        <x:v>45</x:v>
      </x:c>
      <x:c r="T298" s="20" t="n">
        <x:f>K298*S298</x:f>
        <x:v>90</x:v>
      </x:c>
      <x:c r="U298" s="18" t="n">
        <x:f>'01 Controls'!E38</x:f>
        <x:v>0.05</x:v>
      </x:c>
      <x:c r="V298" s="20" t="n">
        <x:f>R298*U298</x:f>
        <x:v>107.25</x:v>
      </x:c>
      <x:c r="W298" s="18" t="n">
        <x:f>'01 Controls'!F38</x:f>
        <x:v>0</x:v>
      </x:c>
      <x:c r="X298" s="20" t="n">
        <x:f>R298*W298</x:f>
        <x:v>0</x:v>
      </x:c>
      <x:c r="Y298" s="18" t="n">
        <x:f>'01 Controls'!G38</x:f>
        <x:v>0.95</x:v>
      </x:c>
      <x:c r="Z298" s="20" t="n">
        <x:f>R298*Y298</x:f>
        <x:v>2037.75</x:v>
      </x:c>
      <x:c r="AA298" s="18" t="n">
        <x:f>'01 Controls'!H38</x:f>
        <x:v>0</x:v>
      </x:c>
      <x:c r="AB298" s="20" t="n">
        <x:f>R298*AA298</x:f>
        <x:v>0</x:v>
      </x:c>
      <x:c r="AC298" s="20" t="n">
        <x:f>IF(H298="CM-HCG",K298*'01 Controls'!$E$24,0)</x:f>
        <x:v>0</x:v>
      </x:c>
      <x:c r="AD298" s="20" t="n">
        <x:f>IF(H298="CM-HCG",K298*'01 Controls'!$E$25,0)</x:f>
        <x:v>0</x:v>
      </x:c>
      <x:c r="AE298" s="20" t="n">
        <x:f>IF(H298="CM-HCG",K298*'01 Controls'!$E$26,0)</x:f>
        <x:v>0</x:v>
      </x:c>
      <x:c r="AF298" s="20" t="n">
        <x:f>IF(H298="CM-HCG",K298*'01 Controls'!$E$27,0)</x:f>
        <x:v>0</x:v>
      </x:c>
    </x:row>
    <x:row r="299">
      <x:c r="C299" s="22" t="str">
        <x:v>M4-L-ROG</x:v>
      </x:c>
      <x:c r="D299" s="22" t="n">
        <x:v>294</x:v>
      </x:c>
      <x:c r="E299" s="22" t="str">
        <x:v>M4</x:v>
      </x:c>
      <x:c r="F299" s="22" t="str">
        <x:v>Tornado sequence</x:v>
      </x:c>
      <x:c r="G299" s="22" t="n">
        <x:v>7</x:v>
      </x:c>
      <x:c r="H299" s="22" t="str">
        <x:v>L-ROG</x:v>
      </x:c>
      <x:c r="I299" s="22" t="str">
        <x:v>Land Engineering</x:v>
      </x:c>
      <x:c r="J299" s="22" t="str">
        <x:v>Access and route-opening group</x:v>
      </x:c>
      <x:c r="K299" s="23" t="n">
        <x:v>10</x:v>
      </x:c>
      <x:c r="L299" s="23" t="n">
        <x:v>350</x:v>
      </x:c>
      <x:c r="M299" s="23" t="n">
        <x:v>0</x:v>
      </x:c>
      <x:c r="N299" s="20" t="n">
        <x:f>K299*L299</x:f>
        <x:v>3500</x:v>
      </x:c>
      <x:c r="O299" s="19" t="n">
        <x:v>9000</x:v>
      </x:c>
      <x:c r="P299" s="17" t="n">
        <x:v>0.45</x:v>
      </x:c>
      <x:c r="Q299" s="20" t="n">
        <x:f>K299*O299*P299</x:f>
        <x:v>40500</x:v>
      </x:c>
      <x:c r="R299" s="20" t="n">
        <x:f>Q299*(1-'01 Controls'!$E$6)</x:f>
        <x:v>30375</x:v>
      </x:c>
      <x:c r="S299" s="19" t="n">
        <x:v>90</x:v>
      </x:c>
      <x:c r="T299" s="20" t="n">
        <x:f>K299*S299</x:f>
        <x:v>900</x:v>
      </x:c>
      <x:c r="U299" s="18" t="n">
        <x:f>'01 Controls'!E38</x:f>
        <x:v>0.05</x:v>
      </x:c>
      <x:c r="V299" s="20" t="n">
        <x:f>R299*U299</x:f>
        <x:v>1518.75</x:v>
      </x:c>
      <x:c r="W299" s="18" t="n">
        <x:f>'01 Controls'!F38</x:f>
        <x:v>0</x:v>
      </x:c>
      <x:c r="X299" s="20" t="n">
        <x:f>R299*W299</x:f>
        <x:v>0</x:v>
      </x:c>
      <x:c r="Y299" s="18" t="n">
        <x:f>'01 Controls'!G38</x:f>
        <x:v>0.95</x:v>
      </x:c>
      <x:c r="Z299" s="20" t="n">
        <x:f>R299*Y299</x:f>
        <x:v>28856.25</x:v>
      </x:c>
      <x:c r="AA299" s="18" t="n">
        <x:f>'01 Controls'!H38</x:f>
        <x:v>0</x:v>
      </x:c>
      <x:c r="AB299" s="20" t="n">
        <x:f>R299*AA299</x:f>
        <x:v>0</x:v>
      </x:c>
      <x:c r="AC299" s="20" t="n">
        <x:f>IF(H299="CM-HCG",K299*'01 Controls'!$E$24,0)</x:f>
        <x:v>0</x:v>
      </x:c>
      <x:c r="AD299" s="20" t="n">
        <x:f>IF(H299="CM-HCG",K299*'01 Controls'!$E$25,0)</x:f>
        <x:v>0</x:v>
      </x:c>
      <x:c r="AE299" s="20" t="n">
        <x:f>IF(H299="CM-HCG",K299*'01 Controls'!$E$26,0)</x:f>
        <x:v>0</x:v>
      </x:c>
      <x:c r="AF299" s="20" t="n">
        <x:f>IF(H299="CM-HCG",K299*'01 Controls'!$E$27,0)</x:f>
        <x:v>0</x:v>
      </x:c>
    </x:row>
    <x:row r="300">
      <x:c r="C300" s="22" t="str">
        <x:v>M4-L-HCG</x:v>
      </x:c>
      <x:c r="D300" s="22" t="n">
        <x:v>295</x:v>
      </x:c>
      <x:c r="E300" s="22" t="str">
        <x:v>M4</x:v>
      </x:c>
      <x:c r="F300" s="22" t="str">
        <x:v>Tornado sequence</x:v>
      </x:c>
      <x:c r="G300" s="22" t="n">
        <x:v>7</x:v>
      </x:c>
      <x:c r="H300" s="22" t="str">
        <x:v>L-HCG</x:v>
      </x:c>
      <x:c r="I300" s="22" t="str">
        <x:v>Land Engineering</x:v>
      </x:c>
      <x:c r="J300" s="22" t="str">
        <x:v>Flood and hydraulic-control group</x:v>
      </x:c>
      <x:c r="K300" s="23" t="n">
        <x:v>3</x:v>
      </x:c>
      <x:c r="L300" s="23" t="n">
        <x:v>500</x:v>
      </x:c>
      <x:c r="M300" s="23" t="n">
        <x:v>0</x:v>
      </x:c>
      <x:c r="N300" s="20" t="n">
        <x:f>K300*L300</x:f>
        <x:v>1500</x:v>
      </x:c>
      <x:c r="O300" s="19" t="n">
        <x:v>9000</x:v>
      </x:c>
      <x:c r="P300" s="17" t="n">
        <x:v>0.45</x:v>
      </x:c>
      <x:c r="Q300" s="20" t="n">
        <x:f>K300*O300*P300</x:f>
        <x:v>12150</x:v>
      </x:c>
      <x:c r="R300" s="20" t="n">
        <x:f>Q300*(1-'01 Controls'!$E$6)</x:f>
        <x:v>9112.5</x:v>
      </x:c>
      <x:c r="S300" s="19" t="n">
        <x:v>90</x:v>
      </x:c>
      <x:c r="T300" s="20" t="n">
        <x:f>K300*S300</x:f>
        <x:v>270</x:v>
      </x:c>
      <x:c r="U300" s="18" t="n">
        <x:f>'01 Controls'!E38</x:f>
        <x:v>0.05</x:v>
      </x:c>
      <x:c r="V300" s="20" t="n">
        <x:f>R300*U300</x:f>
        <x:v>455.625</x:v>
      </x:c>
      <x:c r="W300" s="18" t="n">
        <x:f>'01 Controls'!F38</x:f>
        <x:v>0</x:v>
      </x:c>
      <x:c r="X300" s="20" t="n">
        <x:f>R300*W300</x:f>
        <x:v>0</x:v>
      </x:c>
      <x:c r="Y300" s="18" t="n">
        <x:f>'01 Controls'!G38</x:f>
        <x:v>0.95</x:v>
      </x:c>
      <x:c r="Z300" s="20" t="n">
        <x:f>R300*Y300</x:f>
        <x:v>8656.875</x:v>
      </x:c>
      <x:c r="AA300" s="18" t="n">
        <x:f>'01 Controls'!H38</x:f>
        <x:v>0</x:v>
      </x:c>
      <x:c r="AB300" s="20" t="n">
        <x:f>R300*AA300</x:f>
        <x:v>0</x:v>
      </x:c>
      <x:c r="AC300" s="20" t="n">
        <x:f>IF(H300="CM-HCG",K300*'01 Controls'!$E$24,0)</x:f>
        <x:v>0</x:v>
      </x:c>
      <x:c r="AD300" s="20" t="n">
        <x:f>IF(H300="CM-HCG",K300*'01 Controls'!$E$25,0)</x:f>
        <x:v>0</x:v>
      </x:c>
      <x:c r="AE300" s="20" t="n">
        <x:f>IF(H300="CM-HCG",K300*'01 Controls'!$E$26,0)</x:f>
        <x:v>0</x:v>
      </x:c>
      <x:c r="AF300" s="20" t="n">
        <x:f>IF(H300="CM-HCG",K300*'01 Controls'!$E$27,0)</x:f>
        <x:v>0</x:v>
      </x:c>
    </x:row>
    <x:row r="301">
      <x:c r="C301" s="22" t="str">
        <x:v>M4-L-DMG</x:v>
      </x:c>
      <x:c r="D301" s="22" t="n">
        <x:v>296</x:v>
      </x:c>
      <x:c r="E301" s="22" t="str">
        <x:v>M4</x:v>
      </x:c>
      <x:c r="F301" s="22" t="str">
        <x:v>Tornado sequence</x:v>
      </x:c>
      <x:c r="G301" s="22" t="n">
        <x:v>7</x:v>
      </x:c>
      <x:c r="H301" s="22" t="str">
        <x:v>L-DMG</x:v>
      </x:c>
      <x:c r="I301" s="22" t="str">
        <x:v>Land Engineering</x:v>
      </x:c>
      <x:c r="J301" s="22" t="str">
        <x:v>Debris and materials group</x:v>
      </x:c>
      <x:c r="K301" s="23" t="n">
        <x:v>12</x:v>
      </x:c>
      <x:c r="L301" s="23" t="n">
        <x:v>400</x:v>
      </x:c>
      <x:c r="M301" s="23" t="n">
        <x:v>0</x:v>
      </x:c>
      <x:c r="N301" s="20" t="n">
        <x:f>K301*L301</x:f>
        <x:v>4800</x:v>
      </x:c>
      <x:c r="O301" s="19" t="n">
        <x:v>9000</x:v>
      </x:c>
      <x:c r="P301" s="17" t="n">
        <x:v>0.45</x:v>
      </x:c>
      <x:c r="Q301" s="20" t="n">
        <x:f>K301*O301*P301</x:f>
        <x:v>48600</x:v>
      </x:c>
      <x:c r="R301" s="20" t="n">
        <x:f>Q301*(1-'01 Controls'!$E$6)</x:f>
        <x:v>36450</x:v>
      </x:c>
      <x:c r="S301" s="19" t="n">
        <x:v>90</x:v>
      </x:c>
      <x:c r="T301" s="20" t="n">
        <x:f>K301*S301</x:f>
        <x:v>1080</x:v>
      </x:c>
      <x:c r="U301" s="18" t="n">
        <x:f>'01 Controls'!E38</x:f>
        <x:v>0.05</x:v>
      </x:c>
      <x:c r="V301" s="20" t="n">
        <x:f>R301*U301</x:f>
        <x:v>1822.5</x:v>
      </x:c>
      <x:c r="W301" s="18" t="n">
        <x:f>'01 Controls'!F38</x:f>
        <x:v>0</x:v>
      </x:c>
      <x:c r="X301" s="20" t="n">
        <x:f>R301*W301</x:f>
        <x:v>0</x:v>
      </x:c>
      <x:c r="Y301" s="18" t="n">
        <x:f>'01 Controls'!G38</x:f>
        <x:v>0.95</x:v>
      </x:c>
      <x:c r="Z301" s="20" t="n">
        <x:f>R301*Y301</x:f>
        <x:v>34627.5</x:v>
      </x:c>
      <x:c r="AA301" s="18" t="n">
        <x:f>'01 Controls'!H38</x:f>
        <x:v>0</x:v>
      </x:c>
      <x:c r="AB301" s="20" t="n">
        <x:f>R301*AA301</x:f>
        <x:v>0</x:v>
      </x:c>
      <x:c r="AC301" s="20" t="n">
        <x:f>IF(H301="CM-HCG",K301*'01 Controls'!$E$24,0)</x:f>
        <x:v>0</x:v>
      </x:c>
      <x:c r="AD301" s="20" t="n">
        <x:f>IF(H301="CM-HCG",K301*'01 Controls'!$E$25,0)</x:f>
        <x:v>0</x:v>
      </x:c>
      <x:c r="AE301" s="20" t="n">
        <x:f>IF(H301="CM-HCG",K301*'01 Controls'!$E$26,0)</x:f>
        <x:v>0</x:v>
      </x:c>
      <x:c r="AF301" s="20" t="n">
        <x:f>IF(H301="CM-HCG",K301*'01 Controls'!$E$27,0)</x:f>
        <x:v>0</x:v>
      </x:c>
    </x:row>
    <x:row r="302">
      <x:c r="C302" s="22" t="str">
        <x:v>M4-L-TWG</x:v>
      </x:c>
      <x:c r="D302" s="22" t="n">
        <x:v>297</x:v>
      </x:c>
      <x:c r="E302" s="22" t="str">
        <x:v>M4</x:v>
      </x:c>
      <x:c r="F302" s="22" t="str">
        <x:v>Tornado sequence</x:v>
      </x:c>
      <x:c r="G302" s="22" t="n">
        <x:v>7</x:v>
      </x:c>
      <x:c r="H302" s="22" t="str">
        <x:v>L-TWG</x:v>
      </x:c>
      <x:c r="I302" s="22" t="str">
        <x:v>Land Engineering</x:v>
      </x:c>
      <x:c r="J302" s="22" t="str">
        <x:v>Temporary works and crossing group</x:v>
      </x:c>
      <x:c r="K302" s="23" t="n">
        <x:v>8</x:v>
      </x:c>
      <x:c r="L302" s="23" t="n">
        <x:v>350</x:v>
      </x:c>
      <x:c r="M302" s="23" t="n">
        <x:v>0</x:v>
      </x:c>
      <x:c r="N302" s="20" t="n">
        <x:f>K302*L302</x:f>
        <x:v>2800</x:v>
      </x:c>
      <x:c r="O302" s="19" t="n">
        <x:v>9000</x:v>
      </x:c>
      <x:c r="P302" s="17" t="n">
        <x:v>0.45</x:v>
      </x:c>
      <x:c r="Q302" s="20" t="n">
        <x:f>K302*O302*P302</x:f>
        <x:v>32400</x:v>
      </x:c>
      <x:c r="R302" s="20" t="n">
        <x:f>Q302*(1-'01 Controls'!$E$6)</x:f>
        <x:v>24300</x:v>
      </x:c>
      <x:c r="S302" s="19" t="n">
        <x:v>90</x:v>
      </x:c>
      <x:c r="T302" s="20" t="n">
        <x:f>K302*S302</x:f>
        <x:v>720</x:v>
      </x:c>
      <x:c r="U302" s="18" t="n">
        <x:f>'01 Controls'!E38</x:f>
        <x:v>0.05</x:v>
      </x:c>
      <x:c r="V302" s="20" t="n">
        <x:f>R302*U302</x:f>
        <x:v>1215</x:v>
      </x:c>
      <x:c r="W302" s="18" t="n">
        <x:f>'01 Controls'!F38</x:f>
        <x:v>0</x:v>
      </x:c>
      <x:c r="X302" s="20" t="n">
        <x:f>R302*W302</x:f>
        <x:v>0</x:v>
      </x:c>
      <x:c r="Y302" s="18" t="n">
        <x:f>'01 Controls'!G38</x:f>
        <x:v>0.95</x:v>
      </x:c>
      <x:c r="Z302" s="20" t="n">
        <x:f>R302*Y302</x:f>
        <x:v>23085</x:v>
      </x:c>
      <x:c r="AA302" s="18" t="n">
        <x:f>'01 Controls'!H38</x:f>
        <x:v>0</x:v>
      </x:c>
      <x:c r="AB302" s="20" t="n">
        <x:f>R302*AA302</x:f>
        <x:v>0</x:v>
      </x:c>
      <x:c r="AC302" s="20" t="n">
        <x:f>IF(H302="CM-HCG",K302*'01 Controls'!$E$24,0)</x:f>
        <x:v>0</x:v>
      </x:c>
      <x:c r="AD302" s="20" t="n">
        <x:f>IF(H302="CM-HCG",K302*'01 Controls'!$E$25,0)</x:f>
        <x:v>0</x:v>
      </x:c>
      <x:c r="AE302" s="20" t="n">
        <x:f>IF(H302="CM-HCG",K302*'01 Controls'!$E$26,0)</x:f>
        <x:v>0</x:v>
      </x:c>
      <x:c r="AF302" s="20" t="n">
        <x:f>IF(H302="CM-HCG",K302*'01 Controls'!$E$27,0)</x:f>
        <x:v>0</x:v>
      </x:c>
    </x:row>
    <x:row r="303">
      <x:c r="C303" s="22" t="str">
        <x:v>M4-L-GFG</x:v>
      </x:c>
      <x:c r="D303" s="22" t="n">
        <x:v>298</x:v>
      </x:c>
      <x:c r="E303" s="22" t="str">
        <x:v>M4</x:v>
      </x:c>
      <x:c r="F303" s="22" t="str">
        <x:v>Tornado sequence</x:v>
      </x:c>
      <x:c r="G303" s="22" t="n">
        <x:v>7</x:v>
      </x:c>
      <x:c r="H303" s="22" t="str">
        <x:v>L-GFG</x:v>
      </x:c>
      <x:c r="I303" s="22" t="str">
        <x:v>Land Engineering</x:v>
      </x:c>
      <x:c r="J303" s="22" t="str">
        <x:v>Ground fire and landscape group</x:v>
      </x:c>
      <x:c r="K303" s="23" t="n">
        <x:v>2</x:v>
      </x:c>
      <x:c r="L303" s="23" t="n">
        <x:v>450</x:v>
      </x:c>
      <x:c r="M303" s="23" t="n">
        <x:v>0</x:v>
      </x:c>
      <x:c r="N303" s="20" t="n">
        <x:f>K303*L303</x:f>
        <x:v>900</x:v>
      </x:c>
      <x:c r="O303" s="19" t="n">
        <x:v>9000</x:v>
      </x:c>
      <x:c r="P303" s="17" t="n">
        <x:v>0.45</x:v>
      </x:c>
      <x:c r="Q303" s="20" t="n">
        <x:f>K303*O303*P303</x:f>
        <x:v>8100</x:v>
      </x:c>
      <x:c r="R303" s="20" t="n">
        <x:f>Q303*(1-'01 Controls'!$E$6)</x:f>
        <x:v>6075</x:v>
      </x:c>
      <x:c r="S303" s="19" t="n">
        <x:v>90</x:v>
      </x:c>
      <x:c r="T303" s="20" t="n">
        <x:f>K303*S303</x:f>
        <x:v>180</x:v>
      </x:c>
      <x:c r="U303" s="18" t="n">
        <x:f>'01 Controls'!E38</x:f>
        <x:v>0.05</x:v>
      </x:c>
      <x:c r="V303" s="20" t="n">
        <x:f>R303*U303</x:f>
        <x:v>303.75</x:v>
      </x:c>
      <x:c r="W303" s="18" t="n">
        <x:f>'01 Controls'!F38</x:f>
        <x:v>0</x:v>
      </x:c>
      <x:c r="X303" s="20" t="n">
        <x:f>R303*W303</x:f>
        <x:v>0</x:v>
      </x:c>
      <x:c r="Y303" s="18" t="n">
        <x:f>'01 Controls'!G38</x:f>
        <x:v>0.95</x:v>
      </x:c>
      <x:c r="Z303" s="20" t="n">
        <x:f>R303*Y303</x:f>
        <x:v>5771.25</x:v>
      </x:c>
      <x:c r="AA303" s="18" t="n">
        <x:f>'01 Controls'!H38</x:f>
        <x:v>0</x:v>
      </x:c>
      <x:c r="AB303" s="20" t="n">
        <x:f>R303*AA303</x:f>
        <x:v>0</x:v>
      </x:c>
      <x:c r="AC303" s="20" t="n">
        <x:f>IF(H303="CM-HCG",K303*'01 Controls'!$E$24,0)</x:f>
        <x:v>0</x:v>
      </x:c>
      <x:c r="AD303" s="20" t="n">
        <x:f>IF(H303="CM-HCG",K303*'01 Controls'!$E$25,0)</x:f>
        <x:v>0</x:v>
      </x:c>
      <x:c r="AE303" s="20" t="n">
        <x:f>IF(H303="CM-HCG",K303*'01 Controls'!$E$26,0)</x:f>
        <x:v>0</x:v>
      </x:c>
      <x:c r="AF303" s="20" t="n">
        <x:f>IF(H303="CM-HCG",K303*'01 Controls'!$E$27,0)</x:f>
        <x:v>0</x:v>
      </x:c>
    </x:row>
    <x:row r="304">
      <x:c r="C304" s="22" t="str">
        <x:v>M4-A-SMW</x:v>
      </x:c>
      <x:c r="D304" s="22" t="n">
        <x:v>299</x:v>
      </x:c>
      <x:c r="E304" s="22" t="str">
        <x:v>M4</x:v>
      </x:c>
      <x:c r="F304" s="22" t="str">
        <x:v>Tornado sequence</x:v>
      </x:c>
      <x:c r="G304" s="22" t="n">
        <x:v>7</x:v>
      </x:c>
      <x:c r="H304" s="22" t="str">
        <x:v>A-SMW</x:v>
      </x:c>
      <x:c r="I304" s="22" t="str">
        <x:v>Air Response</x:v>
      </x:c>
      <x:c r="J304" s="22" t="str">
        <x:v>Strategic mobility wing</x:v>
      </x:c>
      <x:c r="K304" s="23" t="n">
        <x:v>3</x:v>
      </x:c>
      <x:c r="L304" s="23" t="n">
        <x:v>900</x:v>
      </x:c>
      <x:c r="M304" s="23" t="n">
        <x:v>0</x:v>
      </x:c>
      <x:c r="N304" s="20" t="n">
        <x:f>K304*L304</x:f>
        <x:v>2700</x:v>
      </x:c>
      <x:c r="O304" s="19" t="n">
        <x:v>5000</x:v>
      </x:c>
      <x:c r="P304" s="17" t="n">
        <x:v>0.75</x:v>
      </x:c>
      <x:c r="Q304" s="20" t="n">
        <x:f>K304*O304*P304</x:f>
        <x:v>11250</x:v>
      </x:c>
      <x:c r="R304" s="20" t="n">
        <x:f>Q304*(1-'01 Controls'!$E$6)</x:f>
        <x:v>8437.5</x:v>
      </x:c>
      <x:c r="S304" s="19" t="n">
        <x:v>100</x:v>
      </x:c>
      <x:c r="T304" s="20" t="n">
        <x:f>K304*S304</x:f>
        <x:v>300</x:v>
      </x:c>
      <x:c r="U304" s="18" t="n">
        <x:f>'01 Controls'!E38</x:f>
        <x:v>0.05</x:v>
      </x:c>
      <x:c r="V304" s="20" t="n">
        <x:f>R304*U304</x:f>
        <x:v>421.875</x:v>
      </x:c>
      <x:c r="W304" s="18" t="n">
        <x:f>'01 Controls'!F38</x:f>
        <x:v>0</x:v>
      </x:c>
      <x:c r="X304" s="20" t="n">
        <x:f>R304*W304</x:f>
        <x:v>0</x:v>
      </x:c>
      <x:c r="Y304" s="18" t="n">
        <x:f>'01 Controls'!G38</x:f>
        <x:v>0.95</x:v>
      </x:c>
      <x:c r="Z304" s="20" t="n">
        <x:f>R304*Y304</x:f>
        <x:v>8015.625</x:v>
      </x:c>
      <x:c r="AA304" s="18" t="n">
        <x:f>'01 Controls'!H38</x:f>
        <x:v>0</x:v>
      </x:c>
      <x:c r="AB304" s="20" t="n">
        <x:f>R304*AA304</x:f>
        <x:v>0</x:v>
      </x:c>
      <x:c r="AC304" s="20" t="n">
        <x:f>IF(H304="CM-HCG",K304*'01 Controls'!$E$24,0)</x:f>
        <x:v>0</x:v>
      </x:c>
      <x:c r="AD304" s="20" t="n">
        <x:f>IF(H304="CM-HCG",K304*'01 Controls'!$E$25,0)</x:f>
        <x:v>0</x:v>
      </x:c>
      <x:c r="AE304" s="20" t="n">
        <x:f>IF(H304="CM-HCG",K304*'01 Controls'!$E$26,0)</x:f>
        <x:v>0</x:v>
      </x:c>
      <x:c r="AF304" s="20" t="n">
        <x:f>IF(H304="CM-HCG",K304*'01 Controls'!$E$27,0)</x:f>
        <x:v>0</x:v>
      </x:c>
    </x:row>
    <x:row r="305">
      <x:c r="C305" s="22" t="str">
        <x:v>M4-A-AAG</x:v>
      </x:c>
      <x:c r="D305" s="22" t="n">
        <x:v>300</x:v>
      </x:c>
      <x:c r="E305" s="22" t="str">
        <x:v>M4</x:v>
      </x:c>
      <x:c r="F305" s="22" t="str">
        <x:v>Tornado sequence</x:v>
      </x:c>
      <x:c r="G305" s="22" t="n">
        <x:v>7</x:v>
      </x:c>
      <x:c r="H305" s="22" t="str">
        <x:v>A-AAG</x:v>
      </x:c>
      <x:c r="I305" s="22" t="str">
        <x:v>Air Response</x:v>
      </x:c>
      <x:c r="J305" s="22" t="str">
        <x:v>Austere air-access group</x:v>
      </x:c>
      <x:c r="K305" s="23" t="n">
        <x:v>4</x:v>
      </x:c>
      <x:c r="L305" s="23" t="n">
        <x:v>350</x:v>
      </x:c>
      <x:c r="M305" s="23" t="n">
        <x:v>0</x:v>
      </x:c>
      <x:c r="N305" s="20" t="n">
        <x:f>K305*L305</x:f>
        <x:v>1400</x:v>
      </x:c>
      <x:c r="O305" s="19" t="n">
        <x:v>5000</x:v>
      </x:c>
      <x:c r="P305" s="17" t="n">
        <x:v>0.75</x:v>
      </x:c>
      <x:c r="Q305" s="20" t="n">
        <x:f>K305*O305*P305</x:f>
        <x:v>15000</x:v>
      </x:c>
      <x:c r="R305" s="20" t="n">
        <x:f>Q305*(1-'01 Controls'!$E$6)</x:f>
        <x:v>11250</x:v>
      </x:c>
      <x:c r="S305" s="19" t="n">
        <x:v>100</x:v>
      </x:c>
      <x:c r="T305" s="20" t="n">
        <x:f>K305*S305</x:f>
        <x:v>400</x:v>
      </x:c>
      <x:c r="U305" s="18" t="n">
        <x:f>'01 Controls'!E38</x:f>
        <x:v>0.05</x:v>
      </x:c>
      <x:c r="V305" s="20" t="n">
        <x:f>R305*U305</x:f>
        <x:v>562.5</x:v>
      </x:c>
      <x:c r="W305" s="18" t="n">
        <x:f>'01 Controls'!F38</x:f>
        <x:v>0</x:v>
      </x:c>
      <x:c r="X305" s="20" t="n">
        <x:f>R305*W305</x:f>
        <x:v>0</x:v>
      </x:c>
      <x:c r="Y305" s="18" t="n">
        <x:f>'01 Controls'!G38</x:f>
        <x:v>0.95</x:v>
      </x:c>
      <x:c r="Z305" s="20" t="n">
        <x:f>R305*Y305</x:f>
        <x:v>10687.5</x:v>
      </x:c>
      <x:c r="AA305" s="18" t="n">
        <x:f>'01 Controls'!H38</x:f>
        <x:v>0</x:v>
      </x:c>
      <x:c r="AB305" s="20" t="n">
        <x:f>R305*AA305</x:f>
        <x:v>0</x:v>
      </x:c>
      <x:c r="AC305" s="20" t="n">
        <x:f>IF(H305="CM-HCG",K305*'01 Controls'!$E$24,0)</x:f>
        <x:v>0</x:v>
      </x:c>
      <x:c r="AD305" s="20" t="n">
        <x:f>IF(H305="CM-HCG",K305*'01 Controls'!$E$25,0)</x:f>
        <x:v>0</x:v>
      </x:c>
      <x:c r="AE305" s="20" t="n">
        <x:f>IF(H305="CM-HCG",K305*'01 Controls'!$E$26,0)</x:f>
        <x:v>0</x:v>
      </x:c>
      <x:c r="AF305" s="20" t="n">
        <x:f>IF(H305="CM-HCG",K305*'01 Controls'!$E$27,0)</x:f>
        <x:v>0</x:v>
      </x:c>
    </x:row>
    <x:row r="306">
      <x:c r="C306" s="22" t="str">
        <x:v>M4-A-AHW</x:v>
      </x:c>
      <x:c r="D306" s="22" t="n">
        <x:v>301</x:v>
      </x:c>
      <x:c r="E306" s="22" t="str">
        <x:v>M4</x:v>
      </x:c>
      <x:c r="F306" s="22" t="str">
        <x:v>Tornado sequence</x:v>
      </x:c>
      <x:c r="G306" s="22" t="n">
        <x:v>7</x:v>
      </x:c>
      <x:c r="H306" s="22" t="str">
        <x:v>A-AHW</x:v>
      </x:c>
      <x:c r="I306" s="22" t="str">
        <x:v>Air Response</x:v>
      </x:c>
      <x:c r="J306" s="22" t="str">
        <x:v>Aerial hazard-control wing</x:v>
      </x:c>
      <x:c r="K306" s="23" t="n">
        <x:v>1</x:v>
      </x:c>
      <x:c r="L306" s="23" t="n">
        <x:v>600</x:v>
      </x:c>
      <x:c r="M306" s="23" t="n">
        <x:v>0</x:v>
      </x:c>
      <x:c r="N306" s="20" t="n">
        <x:f>K306*L306</x:f>
        <x:v>600</x:v>
      </x:c>
      <x:c r="O306" s="19" t="n">
        <x:v>5000</x:v>
      </x:c>
      <x:c r="P306" s="17" t="n">
        <x:v>0.75</x:v>
      </x:c>
      <x:c r="Q306" s="20" t="n">
        <x:f>K306*O306*P306</x:f>
        <x:v>3750</x:v>
      </x:c>
      <x:c r="R306" s="20" t="n">
        <x:f>Q306*(1-'01 Controls'!$E$6)</x:f>
        <x:v>2812.5</x:v>
      </x:c>
      <x:c r="S306" s="19" t="n">
        <x:v>100</x:v>
      </x:c>
      <x:c r="T306" s="20" t="n">
        <x:f>K306*S306</x:f>
        <x:v>100</x:v>
      </x:c>
      <x:c r="U306" s="18" t="n">
        <x:f>'01 Controls'!E38</x:f>
        <x:v>0.05</x:v>
      </x:c>
      <x:c r="V306" s="20" t="n">
        <x:f>R306*U306</x:f>
        <x:v>140.625</x:v>
      </x:c>
      <x:c r="W306" s="18" t="n">
        <x:f>'01 Controls'!F38</x:f>
        <x:v>0</x:v>
      </x:c>
      <x:c r="X306" s="20" t="n">
        <x:f>R306*W306</x:f>
        <x:v>0</x:v>
      </x:c>
      <x:c r="Y306" s="18" t="n">
        <x:f>'01 Controls'!G38</x:f>
        <x:v>0.95</x:v>
      </x:c>
      <x:c r="Z306" s="20" t="n">
        <x:f>R306*Y306</x:f>
        <x:v>2671.875</x:v>
      </x:c>
      <x:c r="AA306" s="18" t="n">
        <x:f>'01 Controls'!H38</x:f>
        <x:v>0</x:v>
      </x:c>
      <x:c r="AB306" s="20" t="n">
        <x:f>R306*AA306</x:f>
        <x:v>0</x:v>
      </x:c>
      <x:c r="AC306" s="20" t="n">
        <x:f>IF(H306="CM-HCG",K306*'01 Controls'!$E$24,0)</x:f>
        <x:v>0</x:v>
      </x:c>
      <x:c r="AD306" s="20" t="n">
        <x:f>IF(H306="CM-HCG",K306*'01 Controls'!$E$25,0)</x:f>
        <x:v>0</x:v>
      </x:c>
      <x:c r="AE306" s="20" t="n">
        <x:f>IF(H306="CM-HCG",K306*'01 Controls'!$E$26,0)</x:f>
        <x:v>0</x:v>
      </x:c>
      <x:c r="AF306" s="20" t="n">
        <x:f>IF(H306="CM-HCG",K306*'01 Controls'!$E$27,0)</x:f>
        <x:v>0</x:v>
      </x:c>
    </x:row>
    <x:row r="307">
      <x:c r="C307" s="22" t="str">
        <x:v>M4-A-TDG</x:v>
      </x:c>
      <x:c r="D307" s="22" t="n">
        <x:v>302</x:v>
      </x:c>
      <x:c r="E307" s="22" t="str">
        <x:v>M4</x:v>
      </x:c>
      <x:c r="F307" s="22" t="str">
        <x:v>Tornado sequence</x:v>
      </x:c>
      <x:c r="G307" s="22" t="n">
        <x:v>7</x:v>
      </x:c>
      <x:c r="H307" s="22" t="str">
        <x:v>A-TDG</x:v>
      </x:c>
      <x:c r="I307" s="22" t="str">
        <x:v>Air Response</x:v>
      </x:c>
      <x:c r="J307" s="22" t="str">
        <x:v>Tactical distribution group</x:v>
      </x:c>
      <x:c r="K307" s="23" t="n">
        <x:v>6</x:v>
      </x:c>
      <x:c r="L307" s="23" t="n">
        <x:v>450</x:v>
      </x:c>
      <x:c r="M307" s="23" t="n">
        <x:v>0</x:v>
      </x:c>
      <x:c r="N307" s="20" t="n">
        <x:f>K307*L307</x:f>
        <x:v>2700</x:v>
      </x:c>
      <x:c r="O307" s="19" t="n">
        <x:v>5000</x:v>
      </x:c>
      <x:c r="P307" s="17" t="n">
        <x:v>0.75</x:v>
      </x:c>
      <x:c r="Q307" s="20" t="n">
        <x:f>K307*O307*P307</x:f>
        <x:v>22500</x:v>
      </x:c>
      <x:c r="R307" s="20" t="n">
        <x:f>Q307*(1-'01 Controls'!$E$6)</x:f>
        <x:v>16875</x:v>
      </x:c>
      <x:c r="S307" s="19" t="n">
        <x:v>100</x:v>
      </x:c>
      <x:c r="T307" s="20" t="n">
        <x:f>K307*S307</x:f>
        <x:v>600</x:v>
      </x:c>
      <x:c r="U307" s="18" t="n">
        <x:f>'01 Controls'!E38</x:f>
        <x:v>0.05</x:v>
      </x:c>
      <x:c r="V307" s="20" t="n">
        <x:f>R307*U307</x:f>
        <x:v>843.75</x:v>
      </x:c>
      <x:c r="W307" s="18" t="n">
        <x:f>'01 Controls'!F38</x:f>
        <x:v>0</x:v>
      </x:c>
      <x:c r="X307" s="20" t="n">
        <x:f>R307*W307</x:f>
        <x:v>0</x:v>
      </x:c>
      <x:c r="Y307" s="18" t="n">
        <x:f>'01 Controls'!G38</x:f>
        <x:v>0.95</x:v>
      </x:c>
      <x:c r="Z307" s="20" t="n">
        <x:f>R307*Y307</x:f>
        <x:v>16031.25</x:v>
      </x:c>
      <x:c r="AA307" s="18" t="n">
        <x:f>'01 Controls'!H38</x:f>
        <x:v>0</x:v>
      </x:c>
      <x:c r="AB307" s="20" t="n">
        <x:f>R307*AA307</x:f>
        <x:v>0</x:v>
      </x:c>
      <x:c r="AC307" s="20" t="n">
        <x:f>IF(H307="CM-HCG",K307*'01 Controls'!$E$24,0)</x:f>
        <x:v>0</x:v>
      </x:c>
      <x:c r="AD307" s="20" t="n">
        <x:f>IF(H307="CM-HCG",K307*'01 Controls'!$E$25,0)</x:f>
        <x:v>0</x:v>
      </x:c>
      <x:c r="AE307" s="20" t="n">
        <x:f>IF(H307="CM-HCG",K307*'01 Controls'!$E$26,0)</x:f>
        <x:v>0</x:v>
      </x:c>
      <x:c r="AF307" s="20" t="n">
        <x:f>IF(H307="CM-HCG",K307*'01 Controls'!$E$27,0)</x:f>
        <x:v>0</x:v>
      </x:c>
    </x:row>
    <x:row r="308">
      <x:c r="C308" s="22" t="str">
        <x:v>M4-A-SRG</x:v>
      </x:c>
      <x:c r="D308" s="22" t="n">
        <x:v>303</x:v>
      </x:c>
      <x:c r="E308" s="22" t="str">
        <x:v>M4</x:v>
      </x:c>
      <x:c r="F308" s="22" t="str">
        <x:v>Tornado sequence</x:v>
      </x:c>
      <x:c r="G308" s="22" t="n">
        <x:v>7</x:v>
      </x:c>
      <x:c r="H308" s="22" t="str">
        <x:v>A-SRG</x:v>
      </x:c>
      <x:c r="I308" s="22" t="str">
        <x:v>Air Response</x:v>
      </x:c>
      <x:c r="J308" s="22" t="str">
        <x:v>Air sensing and relay group</x:v>
      </x:c>
      <x:c r="K308" s="23" t="n">
        <x:v>4</x:v>
      </x:c>
      <x:c r="L308" s="23" t="n">
        <x:v>180</x:v>
      </x:c>
      <x:c r="M308" s="23" t="n">
        <x:v>0</x:v>
      </x:c>
      <x:c r="N308" s="20" t="n">
        <x:f>K308*L308</x:f>
        <x:v>720</x:v>
      </x:c>
      <x:c r="O308" s="19" t="n">
        <x:v>5000</x:v>
      </x:c>
      <x:c r="P308" s="17" t="n">
        <x:v>0.75</x:v>
      </x:c>
      <x:c r="Q308" s="20" t="n">
        <x:f>K308*O308*P308</x:f>
        <x:v>15000</x:v>
      </x:c>
      <x:c r="R308" s="20" t="n">
        <x:f>Q308*(1-'01 Controls'!$E$6)</x:f>
        <x:v>11250</x:v>
      </x:c>
      <x:c r="S308" s="19" t="n">
        <x:v>100</x:v>
      </x:c>
      <x:c r="T308" s="20" t="n">
        <x:f>K308*S308</x:f>
        <x:v>400</x:v>
      </x:c>
      <x:c r="U308" s="18" t="n">
        <x:f>'01 Controls'!E38</x:f>
        <x:v>0.05</x:v>
      </x:c>
      <x:c r="V308" s="20" t="n">
        <x:f>R308*U308</x:f>
        <x:v>562.5</x:v>
      </x:c>
      <x:c r="W308" s="18" t="n">
        <x:f>'01 Controls'!F38</x:f>
        <x:v>0</x:v>
      </x:c>
      <x:c r="X308" s="20" t="n">
        <x:f>R308*W308</x:f>
        <x:v>0</x:v>
      </x:c>
      <x:c r="Y308" s="18" t="n">
        <x:f>'01 Controls'!G38</x:f>
        <x:v>0.95</x:v>
      </x:c>
      <x:c r="Z308" s="20" t="n">
        <x:f>R308*Y308</x:f>
        <x:v>10687.5</x:v>
      </x:c>
      <x:c r="AA308" s="18" t="n">
        <x:f>'01 Controls'!H38</x:f>
        <x:v>0</x:v>
      </x:c>
      <x:c r="AB308" s="20" t="n">
        <x:f>R308*AA308</x:f>
        <x:v>0</x:v>
      </x:c>
      <x:c r="AC308" s="20" t="n">
        <x:f>IF(H308="CM-HCG",K308*'01 Controls'!$E$24,0)</x:f>
        <x:v>0</x:v>
      </x:c>
      <x:c r="AD308" s="20" t="n">
        <x:f>IF(H308="CM-HCG",K308*'01 Controls'!$E$25,0)</x:f>
        <x:v>0</x:v>
      </x:c>
      <x:c r="AE308" s="20" t="n">
        <x:f>IF(H308="CM-HCG",K308*'01 Controls'!$E$26,0)</x:f>
        <x:v>0</x:v>
      </x:c>
      <x:c r="AF308" s="20" t="n">
        <x:f>IF(H308="CM-HCG",K308*'01 Controls'!$E$27,0)</x:f>
        <x:v>0</x:v>
      </x:c>
    </x:row>
    <x:row r="309">
      <x:c r="C309" s="22" t="str">
        <x:v>M4-A-AMG</x:v>
      </x:c>
      <x:c r="D309" s="22" t="n">
        <x:v>304</x:v>
      </x:c>
      <x:c r="E309" s="22" t="str">
        <x:v>M4</x:v>
      </x:c>
      <x:c r="F309" s="22" t="str">
        <x:v>Tornado sequence</x:v>
      </x:c>
      <x:c r="G309" s="22" t="n">
        <x:v>7</x:v>
      </x:c>
      <x:c r="H309" s="22" t="str">
        <x:v>A-AMG</x:v>
      </x:c>
      <x:c r="I309" s="22" t="str">
        <x:v>Air Response</x:v>
      </x:c>
      <x:c r="J309" s="22" t="str">
        <x:v>Aeromedical movement group</x:v>
      </x:c>
      <x:c r="K309" s="23" t="n">
        <x:v>3</x:v>
      </x:c>
      <x:c r="L309" s="23" t="n">
        <x:v>300</x:v>
      </x:c>
      <x:c r="M309" s="23" t="n">
        <x:v>0</x:v>
      </x:c>
      <x:c r="N309" s="20" t="n">
        <x:f>K309*L309</x:f>
        <x:v>900</x:v>
      </x:c>
      <x:c r="O309" s="19" t="n">
        <x:v>5000</x:v>
      </x:c>
      <x:c r="P309" s="17" t="n">
        <x:v>0.75</x:v>
      </x:c>
      <x:c r="Q309" s="20" t="n">
        <x:f>K309*O309*P309</x:f>
        <x:v>11250</x:v>
      </x:c>
      <x:c r="R309" s="20" t="n">
        <x:f>Q309*(1-'01 Controls'!$E$6)</x:f>
        <x:v>8437.5</x:v>
      </x:c>
      <x:c r="S309" s="19" t="n">
        <x:v>100</x:v>
      </x:c>
      <x:c r="T309" s="20" t="n">
        <x:f>K309*S309</x:f>
        <x:v>300</x:v>
      </x:c>
      <x:c r="U309" s="18" t="n">
        <x:f>'01 Controls'!E38</x:f>
        <x:v>0.05</x:v>
      </x:c>
      <x:c r="V309" s="20" t="n">
        <x:f>R309*U309</x:f>
        <x:v>421.875</x:v>
      </x:c>
      <x:c r="W309" s="18" t="n">
        <x:f>'01 Controls'!F38</x:f>
        <x:v>0</x:v>
      </x:c>
      <x:c r="X309" s="20" t="n">
        <x:f>R309*W309</x:f>
        <x:v>0</x:v>
      </x:c>
      <x:c r="Y309" s="18" t="n">
        <x:f>'01 Controls'!G38</x:f>
        <x:v>0.95</x:v>
      </x:c>
      <x:c r="Z309" s="20" t="n">
        <x:f>R309*Y309</x:f>
        <x:v>8015.625</x:v>
      </x:c>
      <x:c r="AA309" s="18" t="n">
        <x:f>'01 Controls'!H38</x:f>
        <x:v>0</x:v>
      </x:c>
      <x:c r="AB309" s="20" t="n">
        <x:f>R309*AA309</x:f>
        <x:v>0</x:v>
      </x:c>
      <x:c r="AC309" s="20" t="n">
        <x:f>IF(H309="CM-HCG",K309*'01 Controls'!$E$24,0)</x:f>
        <x:v>0</x:v>
      </x:c>
      <x:c r="AD309" s="20" t="n">
        <x:f>IF(H309="CM-HCG",K309*'01 Controls'!$E$25,0)</x:f>
        <x:v>0</x:v>
      </x:c>
      <x:c r="AE309" s="20" t="n">
        <x:f>IF(H309="CM-HCG",K309*'01 Controls'!$E$26,0)</x:f>
        <x:v>0</x:v>
      </x:c>
      <x:c r="AF309" s="20" t="n">
        <x:f>IF(H309="CM-HCG",K309*'01 Controls'!$E$27,0)</x:f>
        <x:v>0</x:v>
      </x:c>
    </x:row>
    <x:row r="310">
      <x:c r="C310" s="22" t="str">
        <x:v>M4-M-POG</x:v>
      </x:c>
      <x:c r="D310" s="22" t="n">
        <x:v>305</x:v>
      </x:c>
      <x:c r="E310" s="22" t="str">
        <x:v>M4</x:v>
      </x:c>
      <x:c r="F310" s="22" t="str">
        <x:v>Tornado sequence</x:v>
      </x:c>
      <x:c r="G310" s="22" t="n">
        <x:v>7</x:v>
      </x:c>
      <x:c r="H310" s="22" t="str">
        <x:v>M-POG</x:v>
      </x:c>
      <x:c r="I310" s="22" t="str">
        <x:v>Maritime Response</x:v>
      </x:c>
      <x:c r="J310" s="22" t="str">
        <x:v>Port-opening group</x:v>
      </x:c>
      <x:c r="K310" s="23" t="n">
        <x:v>1</x:v>
      </x:c>
      <x:c r="L310" s="23" t="n">
        <x:v>450</x:v>
      </x:c>
      <x:c r="M310" s="23" t="n">
        <x:v>0</x:v>
      </x:c>
      <x:c r="N310" s="20" t="n">
        <x:f>K310*L310</x:f>
        <x:v>450</x:v>
      </x:c>
      <x:c r="O310" s="19" t="n">
        <x:v>8000</x:v>
      </x:c>
      <x:c r="P310" s="17" t="n">
        <x:v>0.35</x:v>
      </x:c>
      <x:c r="Q310" s="20" t="n">
        <x:f>K310*O310*P310</x:f>
        <x:v>2800</x:v>
      </x:c>
      <x:c r="R310" s="20" t="n">
        <x:f>Q310*(1-'01 Controls'!$E$6)</x:f>
        <x:v>2100</x:v>
      </x:c>
      <x:c r="S310" s="19" t="n">
        <x:v>120</x:v>
      </x:c>
      <x:c r="T310" s="20" t="n">
        <x:f>K310*S310</x:f>
        <x:v>120</x:v>
      </x:c>
      <x:c r="U310" s="18" t="n">
        <x:f>'01 Controls'!E38</x:f>
        <x:v>0.05</x:v>
      </x:c>
      <x:c r="V310" s="20" t="n">
        <x:f>R310*U310</x:f>
        <x:v>105</x:v>
      </x:c>
      <x:c r="W310" s="18" t="n">
        <x:f>'01 Controls'!F38</x:f>
        <x:v>0</x:v>
      </x:c>
      <x:c r="X310" s="20" t="n">
        <x:f>R310*W310</x:f>
        <x:v>0</x:v>
      </x:c>
      <x:c r="Y310" s="18" t="n">
        <x:f>'01 Controls'!G38</x:f>
        <x:v>0.95</x:v>
      </x:c>
      <x:c r="Z310" s="20" t="n">
        <x:f>R310*Y310</x:f>
        <x:v>1995</x:v>
      </x:c>
      <x:c r="AA310" s="18" t="n">
        <x:f>'01 Controls'!H38</x:f>
        <x:v>0</x:v>
      </x:c>
      <x:c r="AB310" s="20" t="n">
        <x:f>R310*AA310</x:f>
        <x:v>0</x:v>
      </x:c>
      <x:c r="AC310" s="20" t="n">
        <x:f>IF(H310="CM-HCG",K310*'01 Controls'!$E$24,0)</x:f>
        <x:v>0</x:v>
      </x:c>
      <x:c r="AD310" s="20" t="n">
        <x:f>IF(H310="CM-HCG",K310*'01 Controls'!$E$25,0)</x:f>
        <x:v>0</x:v>
      </x:c>
      <x:c r="AE310" s="20" t="n">
        <x:f>IF(H310="CM-HCG",K310*'01 Controls'!$E$26,0)</x:f>
        <x:v>0</x:v>
      </x:c>
      <x:c r="AF310" s="20" t="n">
        <x:f>IF(H310="CM-HCG",K310*'01 Controls'!$E$27,0)</x:f>
        <x:v>0</x:v>
      </x:c>
    </x:row>
    <x:row r="311">
      <x:c r="C311" s="22" t="str">
        <x:v>M4-M-LAG</x:v>
      </x:c>
      <x:c r="D311" s="22" t="n">
        <x:v>306</x:v>
      </x:c>
      <x:c r="E311" s="22" t="str">
        <x:v>M4</x:v>
      </x:c>
      <x:c r="F311" s="22" t="str">
        <x:v>Tornado sequence</x:v>
      </x:c>
      <x:c r="G311" s="22" t="n">
        <x:v>7</x:v>
      </x:c>
      <x:c r="H311" s="22" t="str">
        <x:v>M-LAG</x:v>
      </x:c>
      <x:c r="I311" s="22" t="str">
        <x:v>Maritime Response</x:v>
      </x:c>
      <x:c r="J311" s="22" t="str">
        <x:v>Littoral-access group</x:v>
      </x:c>
      <x:c r="K311" s="23" t="n">
        <x:v>1</x:v>
      </x:c>
      <x:c r="L311" s="23" t="n">
        <x:v>350</x:v>
      </x:c>
      <x:c r="M311" s="23" t="n">
        <x:v>0</x:v>
      </x:c>
      <x:c r="N311" s="20" t="n">
        <x:f>K311*L311</x:f>
        <x:v>350</x:v>
      </x:c>
      <x:c r="O311" s="19" t="n">
        <x:v>8000</x:v>
      </x:c>
      <x:c r="P311" s="17" t="n">
        <x:v>0.35</x:v>
      </x:c>
      <x:c r="Q311" s="20" t="n">
        <x:f>K311*O311*P311</x:f>
        <x:v>2800</x:v>
      </x:c>
      <x:c r="R311" s="20" t="n">
        <x:f>Q311*(1-'01 Controls'!$E$6)</x:f>
        <x:v>2100</x:v>
      </x:c>
      <x:c r="S311" s="19" t="n">
        <x:v>120</x:v>
      </x:c>
      <x:c r="T311" s="20" t="n">
        <x:f>K311*S311</x:f>
        <x:v>120</x:v>
      </x:c>
      <x:c r="U311" s="18" t="n">
        <x:f>'01 Controls'!E38</x:f>
        <x:v>0.05</x:v>
      </x:c>
      <x:c r="V311" s="20" t="n">
        <x:f>R311*U311</x:f>
        <x:v>105</x:v>
      </x:c>
      <x:c r="W311" s="18" t="n">
        <x:f>'01 Controls'!F38</x:f>
        <x:v>0</x:v>
      </x:c>
      <x:c r="X311" s="20" t="n">
        <x:f>R311*W311</x:f>
        <x:v>0</x:v>
      </x:c>
      <x:c r="Y311" s="18" t="n">
        <x:f>'01 Controls'!G38</x:f>
        <x:v>0.95</x:v>
      </x:c>
      <x:c r="Z311" s="20" t="n">
        <x:f>R311*Y311</x:f>
        <x:v>1995</x:v>
      </x:c>
      <x:c r="AA311" s="18" t="n">
        <x:f>'01 Controls'!H38</x:f>
        <x:v>0</x:v>
      </x:c>
      <x:c r="AB311" s="20" t="n">
        <x:f>R311*AA311</x:f>
        <x:v>0</x:v>
      </x:c>
      <x:c r="AC311" s="20" t="n">
        <x:f>IF(H311="CM-HCG",K311*'01 Controls'!$E$24,0)</x:f>
        <x:v>0</x:v>
      </x:c>
      <x:c r="AD311" s="20" t="n">
        <x:f>IF(H311="CM-HCG",K311*'01 Controls'!$E$25,0)</x:f>
        <x:v>0</x:v>
      </x:c>
      <x:c r="AE311" s="20" t="n">
        <x:f>IF(H311="CM-HCG",K311*'01 Controls'!$E$26,0)</x:f>
        <x:v>0</x:v>
      </x:c>
      <x:c r="AF311" s="20" t="n">
        <x:f>IF(H311="CM-HCG",K311*'01 Controls'!$E$27,0)</x:f>
        <x:v>0</x:v>
      </x:c>
    </x:row>
    <x:row r="312">
      <x:c r="C312" s="22" t="str">
        <x:v>M4-M-IWG</x:v>
      </x:c>
      <x:c r="D312" s="22" t="n">
        <x:v>307</x:v>
      </x:c>
      <x:c r="E312" s="22" t="str">
        <x:v>M4</x:v>
      </x:c>
      <x:c r="F312" s="22" t="str">
        <x:v>Tornado sequence</x:v>
      </x:c>
      <x:c r="G312" s="22" t="n">
        <x:v>7</x:v>
      </x:c>
      <x:c r="H312" s="22" t="str">
        <x:v>M-IWG</x:v>
      </x:c>
      <x:c r="I312" s="22" t="str">
        <x:v>Maritime Response</x:v>
      </x:c>
      <x:c r="J312" s="22" t="str">
        <x:v>Inland-waterway group</x:v>
      </x:c>
      <x:c r="K312" s="23" t="n">
        <x:v>3</x:v>
      </x:c>
      <x:c r="L312" s="23" t="n">
        <x:v>250</x:v>
      </x:c>
      <x:c r="M312" s="23" t="n">
        <x:v>0</x:v>
      </x:c>
      <x:c r="N312" s="20" t="n">
        <x:f>K312*L312</x:f>
        <x:v>750</x:v>
      </x:c>
      <x:c r="O312" s="19" t="n">
        <x:v>8000</x:v>
      </x:c>
      <x:c r="P312" s="17" t="n">
        <x:v>0.35</x:v>
      </x:c>
      <x:c r="Q312" s="20" t="n">
        <x:f>K312*O312*P312</x:f>
        <x:v>8400</x:v>
      </x:c>
      <x:c r="R312" s="20" t="n">
        <x:f>Q312*(1-'01 Controls'!$E$6)</x:f>
        <x:v>6300</x:v>
      </x:c>
      <x:c r="S312" s="19" t="n">
        <x:v>120</x:v>
      </x:c>
      <x:c r="T312" s="20" t="n">
        <x:f>K312*S312</x:f>
        <x:v>360</x:v>
      </x:c>
      <x:c r="U312" s="18" t="n">
        <x:f>'01 Controls'!E38</x:f>
        <x:v>0.05</x:v>
      </x:c>
      <x:c r="V312" s="20" t="n">
        <x:f>R312*U312</x:f>
        <x:v>315</x:v>
      </x:c>
      <x:c r="W312" s="18" t="n">
        <x:f>'01 Controls'!F38</x:f>
        <x:v>0</x:v>
      </x:c>
      <x:c r="X312" s="20" t="n">
        <x:f>R312*W312</x:f>
        <x:v>0</x:v>
      </x:c>
      <x:c r="Y312" s="18" t="n">
        <x:f>'01 Controls'!G38</x:f>
        <x:v>0.95</x:v>
      </x:c>
      <x:c r="Z312" s="20" t="n">
        <x:f>R312*Y312</x:f>
        <x:v>5985</x:v>
      </x:c>
      <x:c r="AA312" s="18" t="n">
        <x:f>'01 Controls'!H38</x:f>
        <x:v>0</x:v>
      </x:c>
      <x:c r="AB312" s="20" t="n">
        <x:f>R312*AA312</x:f>
        <x:v>0</x:v>
      </x:c>
      <x:c r="AC312" s="20" t="n">
        <x:f>IF(H312="CM-HCG",K312*'01 Controls'!$E$24,0)</x:f>
        <x:v>0</x:v>
      </x:c>
      <x:c r="AD312" s="20" t="n">
        <x:f>IF(H312="CM-HCG",K312*'01 Controls'!$E$25,0)</x:f>
        <x:v>0</x:v>
      </x:c>
      <x:c r="AE312" s="20" t="n">
        <x:f>IF(H312="CM-HCG",K312*'01 Controls'!$E$26,0)</x:f>
        <x:v>0</x:v>
      </x:c>
      <x:c r="AF312" s="20" t="n">
        <x:f>IF(H312="CM-HCG",K312*'01 Controls'!$E$27,0)</x:f>
        <x:v>0</x:v>
      </x:c>
    </x:row>
    <x:row r="313">
      <x:c r="C313" s="22" t="str">
        <x:v>M4-M-OSG</x:v>
      </x:c>
      <x:c r="D313" s="22" t="n">
        <x:v>308</x:v>
      </x:c>
      <x:c r="E313" s="22" t="str">
        <x:v>M4</x:v>
      </x:c>
      <x:c r="F313" s="22" t="str">
        <x:v>Tornado sequence</x:v>
      </x:c>
      <x:c r="G313" s="22" t="n">
        <x:v>7</x:v>
      </x:c>
      <x:c r="H313" s="22" t="str">
        <x:v>M-OSG</x:v>
      </x:c>
      <x:c r="I313" s="22" t="str">
        <x:v>Maritime Response</x:v>
      </x:c>
      <x:c r="J313" s="22" t="str">
        <x:v>Offshore-support group</x:v>
      </x:c>
      <x:c r="K313" s="23" t="n">
        <x:v>1</x:v>
      </x:c>
      <x:c r="L313" s="23" t="n">
        <x:v>700</x:v>
      </x:c>
      <x:c r="M313" s="23" t="n">
        <x:v>0</x:v>
      </x:c>
      <x:c r="N313" s="20" t="n">
        <x:f>K313*L313</x:f>
        <x:v>700</x:v>
      </x:c>
      <x:c r="O313" s="19" t="n">
        <x:v>8000</x:v>
      </x:c>
      <x:c r="P313" s="17" t="n">
        <x:v>0.35</x:v>
      </x:c>
      <x:c r="Q313" s="20" t="n">
        <x:f>K313*O313*P313</x:f>
        <x:v>2800</x:v>
      </x:c>
      <x:c r="R313" s="20" t="n">
        <x:f>Q313*(1-'01 Controls'!$E$6)</x:f>
        <x:v>2100</x:v>
      </x:c>
      <x:c r="S313" s="19" t="n">
        <x:v>120</x:v>
      </x:c>
      <x:c r="T313" s="20" t="n">
        <x:f>K313*S313</x:f>
        <x:v>120</x:v>
      </x:c>
      <x:c r="U313" s="18" t="n">
        <x:f>'01 Controls'!E38</x:f>
        <x:v>0.05</x:v>
      </x:c>
      <x:c r="V313" s="20" t="n">
        <x:f>R313*U313</x:f>
        <x:v>105</x:v>
      </x:c>
      <x:c r="W313" s="18" t="n">
        <x:f>'01 Controls'!F38</x:f>
        <x:v>0</x:v>
      </x:c>
      <x:c r="X313" s="20" t="n">
        <x:f>R313*W313</x:f>
        <x:v>0</x:v>
      </x:c>
      <x:c r="Y313" s="18" t="n">
        <x:f>'01 Controls'!G38</x:f>
        <x:v>0.95</x:v>
      </x:c>
      <x:c r="Z313" s="20" t="n">
        <x:f>R313*Y313</x:f>
        <x:v>1995</x:v>
      </x:c>
      <x:c r="AA313" s="18" t="n">
        <x:f>'01 Controls'!H38</x:f>
        <x:v>0</x:v>
      </x:c>
      <x:c r="AB313" s="20" t="n">
        <x:f>R313*AA313</x:f>
        <x:v>0</x:v>
      </x:c>
      <x:c r="AC313" s="20" t="n">
        <x:f>IF(H313="CM-HCG",K313*'01 Controls'!$E$24,0)</x:f>
        <x:v>0</x:v>
      </x:c>
      <x:c r="AD313" s="20" t="n">
        <x:f>IF(H313="CM-HCG",K313*'01 Controls'!$E$25,0)</x:f>
        <x:v>0</x:v>
      </x:c>
      <x:c r="AE313" s="20" t="n">
        <x:f>IF(H313="CM-HCG",K313*'01 Controls'!$E$26,0)</x:f>
        <x:v>0</x:v>
      </x:c>
      <x:c r="AF313" s="20" t="n">
        <x:f>IF(H313="CM-HCG",K313*'01 Controls'!$E$27,0)</x:f>
        <x:v>0</x:v>
      </x:c>
    </x:row>
    <x:row r="314">
      <x:c r="C314" s="22" t="str">
        <x:v>M4-M-SSG</x:v>
      </x:c>
      <x:c r="D314" s="22" t="n">
        <x:v>309</x:v>
      </x:c>
      <x:c r="E314" s="22" t="str">
        <x:v>M4</x:v>
      </x:c>
      <x:c r="F314" s="22" t="str">
        <x:v>Tornado sequence</x:v>
      </x:c>
      <x:c r="G314" s="22" t="n">
        <x:v>7</x:v>
      </x:c>
      <x:c r="H314" s="22" t="str">
        <x:v>M-SSG</x:v>
      </x:c>
      <x:c r="I314" s="22" t="str">
        <x:v>Maritime Response</x:v>
      </x:c>
      <x:c r="J314" s="22" t="str">
        <x:v>Ocean sustainment group</x:v>
      </x:c>
      <x:c r="K314" s="23" t="n">
        <x:v>2</x:v>
      </x:c>
      <x:c r="L314" s="23" t="n">
        <x:v>650</x:v>
      </x:c>
      <x:c r="M314" s="23" t="n">
        <x:v>0</x:v>
      </x:c>
      <x:c r="N314" s="20" t="n">
        <x:f>K314*L314</x:f>
        <x:v>1300</x:v>
      </x:c>
      <x:c r="O314" s="19" t="n">
        <x:v>8000</x:v>
      </x:c>
      <x:c r="P314" s="17" t="n">
        <x:v>0.35</x:v>
      </x:c>
      <x:c r="Q314" s="20" t="n">
        <x:f>K314*O314*P314</x:f>
        <x:v>5600</x:v>
      </x:c>
      <x:c r="R314" s="20" t="n">
        <x:f>Q314*(1-'01 Controls'!$E$6)</x:f>
        <x:v>4200</x:v>
      </x:c>
      <x:c r="S314" s="19" t="n">
        <x:v>120</x:v>
      </x:c>
      <x:c r="T314" s="20" t="n">
        <x:f>K314*S314</x:f>
        <x:v>240</x:v>
      </x:c>
      <x:c r="U314" s="18" t="n">
        <x:f>'01 Controls'!E38</x:f>
        <x:v>0.05</x:v>
      </x:c>
      <x:c r="V314" s="20" t="n">
        <x:f>R314*U314</x:f>
        <x:v>210</x:v>
      </x:c>
      <x:c r="W314" s="18" t="n">
        <x:f>'01 Controls'!F38</x:f>
        <x:v>0</x:v>
      </x:c>
      <x:c r="X314" s="20" t="n">
        <x:f>R314*W314</x:f>
        <x:v>0</x:v>
      </x:c>
      <x:c r="Y314" s="18" t="n">
        <x:f>'01 Controls'!G38</x:f>
        <x:v>0.95</x:v>
      </x:c>
      <x:c r="Z314" s="20" t="n">
        <x:f>R314*Y314</x:f>
        <x:v>3990</x:v>
      </x:c>
      <x:c r="AA314" s="18" t="n">
        <x:f>'01 Controls'!H38</x:f>
        <x:v>0</x:v>
      </x:c>
      <x:c r="AB314" s="20" t="n">
        <x:f>R314*AA314</x:f>
        <x:v>0</x:v>
      </x:c>
      <x:c r="AC314" s="20" t="n">
        <x:f>IF(H314="CM-HCG",K314*'01 Controls'!$E$24,0)</x:f>
        <x:v>0</x:v>
      </x:c>
      <x:c r="AD314" s="20" t="n">
        <x:f>IF(H314="CM-HCG",K314*'01 Controls'!$E$25,0)</x:f>
        <x:v>0</x:v>
      </x:c>
      <x:c r="AE314" s="20" t="n">
        <x:f>IF(H314="CM-HCG",K314*'01 Controls'!$E$26,0)</x:f>
        <x:v>0</x:v>
      </x:c>
      <x:c r="AF314" s="20" t="n">
        <x:f>IF(H314="CM-HCG",K314*'01 Controls'!$E$27,0)</x:f>
        <x:v>0</x:v>
      </x:c>
    </x:row>
    <x:row r="315">
      <x:c r="C315" s="22" t="str">
        <x:v>M4-I-CUG</x:v>
      </x:c>
      <x:c r="D315" s="22" t="n">
        <x:v>310</x:v>
      </x:c>
      <x:c r="E315" s="22" t="str">
        <x:v>M4</x:v>
      </x:c>
      <x:c r="F315" s="22" t="str">
        <x:v>Tornado sequence</x:v>
      </x:c>
      <x:c r="G315" s="22" t="n">
        <x:v>7</x:v>
      </x:c>
      <x:c r="H315" s="22" t="str">
        <x:v>I-CUG</x:v>
      </x:c>
      <x:c r="I315" s="22" t="str">
        <x:v>Infrastructure Restoration</x:v>
      </x:c>
      <x:c r="J315" s="22" t="str">
        <x:v>Communications utility group</x:v>
      </x:c>
      <x:c r="K315" s="23" t="n">
        <x:v>5</x:v>
      </x:c>
      <x:c r="L315" s="23" t="n">
        <x:v>250</x:v>
      </x:c>
      <x:c r="M315" s="23" t="n">
        <x:v>0</x:v>
      </x:c>
      <x:c r="N315" s="20" t="n">
        <x:f>K315*L315</x:f>
        <x:v>1250</x:v>
      </x:c>
      <x:c r="O315" s="19" t="n">
        <x:v>12000</x:v>
      </x:c>
      <x:c r="P315" s="17" t="n">
        <x:v>0.4</x:v>
      </x:c>
      <x:c r="Q315" s="20" t="n">
        <x:f>K315*O315*P315</x:f>
        <x:v>24000</x:v>
      </x:c>
      <x:c r="R315" s="20" t="n">
        <x:f>Q315*(1-'01 Controls'!$E$6)</x:f>
        <x:v>18000</x:v>
      </x:c>
      <x:c r="S315" s="19" t="n">
        <x:v>110</x:v>
      </x:c>
      <x:c r="T315" s="20" t="n">
        <x:f>K315*S315</x:f>
        <x:v>550</x:v>
      </x:c>
      <x:c r="U315" s="18" t="n">
        <x:f>'01 Controls'!E38</x:f>
        <x:v>0.05</x:v>
      </x:c>
      <x:c r="V315" s="20" t="n">
        <x:f>R315*U315</x:f>
        <x:v>900</x:v>
      </x:c>
      <x:c r="W315" s="18" t="n">
        <x:f>'01 Controls'!F38</x:f>
        <x:v>0</x:v>
      </x:c>
      <x:c r="X315" s="20" t="n">
        <x:f>R315*W315</x:f>
        <x:v>0</x:v>
      </x:c>
      <x:c r="Y315" s="18" t="n">
        <x:f>'01 Controls'!G38</x:f>
        <x:v>0.95</x:v>
      </x:c>
      <x:c r="Z315" s="20" t="n">
        <x:f>R315*Y315</x:f>
        <x:v>17100</x:v>
      </x:c>
      <x:c r="AA315" s="18" t="n">
        <x:f>'01 Controls'!H38</x:f>
        <x:v>0</x:v>
      </x:c>
      <x:c r="AB315" s="20" t="n">
        <x:f>R315*AA315</x:f>
        <x:v>0</x:v>
      </x:c>
      <x:c r="AC315" s="20" t="n">
        <x:f>IF(H315="CM-HCG",K315*'01 Controls'!$E$24,0)</x:f>
        <x:v>0</x:v>
      </x:c>
      <x:c r="AD315" s="20" t="n">
        <x:f>IF(H315="CM-HCG",K315*'01 Controls'!$E$25,0)</x:f>
        <x:v>0</x:v>
      </x:c>
      <x:c r="AE315" s="20" t="n">
        <x:f>IF(H315="CM-HCG",K315*'01 Controls'!$E$26,0)</x:f>
        <x:v>0</x:v>
      </x:c>
      <x:c r="AF315" s="20" t="n">
        <x:f>IF(H315="CM-HCG",K315*'01 Controls'!$E$27,0)</x:f>
        <x:v>0</x:v>
      </x:c>
    </x:row>
    <x:row r="316">
      <x:c r="C316" s="22" t="str">
        <x:v>M4-I-TSG</x:v>
      </x:c>
      <x:c r="D316" s="22" t="n">
        <x:v>311</x:v>
      </x:c>
      <x:c r="E316" s="22" t="str">
        <x:v>M4</x:v>
      </x:c>
      <x:c r="F316" s="22" t="str">
        <x:v>Tornado sequence</x:v>
      </x:c>
      <x:c r="G316" s="22" t="n">
        <x:v>7</x:v>
      </x:c>
      <x:c r="H316" s="22" t="str">
        <x:v>I-TSG</x:v>
      </x:c>
      <x:c r="I316" s="22" t="str">
        <x:v>Infrastructure Restoration</x:v>
      </x:c>
      <x:c r="J316" s="22" t="str">
        <x:v>Thermal safety group</x:v>
      </x:c>
      <x:c r="K316" s="23" t="n">
        <x:v>4</x:v>
      </x:c>
      <x:c r="L316" s="23" t="n">
        <x:v>250</x:v>
      </x:c>
      <x:c r="M316" s="23" t="n">
        <x:v>0</x:v>
      </x:c>
      <x:c r="N316" s="20" t="n">
        <x:f>K316*L316</x:f>
        <x:v>1000</x:v>
      </x:c>
      <x:c r="O316" s="19" t="n">
        <x:v>12000</x:v>
      </x:c>
      <x:c r="P316" s="17" t="n">
        <x:v>0.4</x:v>
      </x:c>
      <x:c r="Q316" s="20" t="n">
        <x:f>K316*O316*P316</x:f>
        <x:v>19200</x:v>
      </x:c>
      <x:c r="R316" s="20" t="n">
        <x:f>Q316*(1-'01 Controls'!$E$6)</x:f>
        <x:v>14400</x:v>
      </x:c>
      <x:c r="S316" s="19" t="n">
        <x:v>110</x:v>
      </x:c>
      <x:c r="T316" s="20" t="n">
        <x:f>K316*S316</x:f>
        <x:v>440</x:v>
      </x:c>
      <x:c r="U316" s="18" t="n">
        <x:f>'01 Controls'!E38</x:f>
        <x:v>0.05</x:v>
      </x:c>
      <x:c r="V316" s="20" t="n">
        <x:f>R316*U316</x:f>
        <x:v>720</x:v>
      </x:c>
      <x:c r="W316" s="18" t="n">
        <x:f>'01 Controls'!F38</x:f>
        <x:v>0</x:v>
      </x:c>
      <x:c r="X316" s="20" t="n">
        <x:f>R316*W316</x:f>
        <x:v>0</x:v>
      </x:c>
      <x:c r="Y316" s="18" t="n">
        <x:f>'01 Controls'!G38</x:f>
        <x:v>0.95</x:v>
      </x:c>
      <x:c r="Z316" s="20" t="n">
        <x:f>R316*Y316</x:f>
        <x:v>13680</x:v>
      </x:c>
      <x:c r="AA316" s="18" t="n">
        <x:f>'01 Controls'!H38</x:f>
        <x:v>0</x:v>
      </x:c>
      <x:c r="AB316" s="20" t="n">
        <x:f>R316*AA316</x:f>
        <x:v>0</x:v>
      </x:c>
      <x:c r="AC316" s="20" t="n">
        <x:f>IF(H316="CM-HCG",K316*'01 Controls'!$E$24,0)</x:f>
        <x:v>0</x:v>
      </x:c>
      <x:c r="AD316" s="20" t="n">
        <x:f>IF(H316="CM-HCG",K316*'01 Controls'!$E$25,0)</x:f>
        <x:v>0</x:v>
      </x:c>
      <x:c r="AE316" s="20" t="n">
        <x:f>IF(H316="CM-HCG",K316*'01 Controls'!$E$26,0)</x:f>
        <x:v>0</x:v>
      </x:c>
      <x:c r="AF316" s="20" t="n">
        <x:f>IF(H316="CM-HCG",K316*'01 Controls'!$E$27,0)</x:f>
        <x:v>0</x:v>
      </x:c>
    </x:row>
    <x:row r="317">
      <x:c r="C317" s="22" t="str">
        <x:v>M4-I-URG</x:v>
      </x:c>
      <x:c r="D317" s="22" t="n">
        <x:v>312</x:v>
      </x:c>
      <x:c r="E317" s="22" t="str">
        <x:v>M4</x:v>
      </x:c>
      <x:c r="F317" s="22" t="str">
        <x:v>Tornado sequence</x:v>
      </x:c>
      <x:c r="G317" s="22" t="n">
        <x:v>7</x:v>
      </x:c>
      <x:c r="H317" s="22" t="str">
        <x:v>I-URG</x:v>
      </x:c>
      <x:c r="I317" s="22" t="str">
        <x:v>Infrastructure Restoration</x:v>
      </x:c>
      <x:c r="J317" s="22" t="str">
        <x:v>Utility reconstruction group</x:v>
      </x:c>
      <x:c r="K317" s="23" t="n">
        <x:v>8</x:v>
      </x:c>
      <x:c r="L317" s="23" t="n">
        <x:v>450</x:v>
      </x:c>
      <x:c r="M317" s="23" t="n">
        <x:v>0</x:v>
      </x:c>
      <x:c r="N317" s="20" t="n">
        <x:f>K317*L317</x:f>
        <x:v>3600</x:v>
      </x:c>
      <x:c r="O317" s="19" t="n">
        <x:v>12000</x:v>
      </x:c>
      <x:c r="P317" s="17" t="n">
        <x:v>0.4</x:v>
      </x:c>
      <x:c r="Q317" s="20" t="n">
        <x:f>K317*O317*P317</x:f>
        <x:v>38400</x:v>
      </x:c>
      <x:c r="R317" s="20" t="n">
        <x:f>Q317*(1-'01 Controls'!$E$6)</x:f>
        <x:v>28800</x:v>
      </x:c>
      <x:c r="S317" s="19" t="n">
        <x:v>110</x:v>
      </x:c>
      <x:c r="T317" s="20" t="n">
        <x:f>K317*S317</x:f>
        <x:v>880</x:v>
      </x:c>
      <x:c r="U317" s="18" t="n">
        <x:f>'01 Controls'!E38</x:f>
        <x:v>0.05</x:v>
      </x:c>
      <x:c r="V317" s="20" t="n">
        <x:f>R317*U317</x:f>
        <x:v>1440</x:v>
      </x:c>
      <x:c r="W317" s="18" t="n">
        <x:f>'01 Controls'!F38</x:f>
        <x:v>0</x:v>
      </x:c>
      <x:c r="X317" s="20" t="n">
        <x:f>R317*W317</x:f>
        <x:v>0</x:v>
      </x:c>
      <x:c r="Y317" s="18" t="n">
        <x:f>'01 Controls'!G38</x:f>
        <x:v>0.95</x:v>
      </x:c>
      <x:c r="Z317" s="20" t="n">
        <x:f>R317*Y317</x:f>
        <x:v>27360</x:v>
      </x:c>
      <x:c r="AA317" s="18" t="n">
        <x:f>'01 Controls'!H38</x:f>
        <x:v>0</x:v>
      </x:c>
      <x:c r="AB317" s="20" t="n">
        <x:f>R317*AA317</x:f>
        <x:v>0</x:v>
      </x:c>
      <x:c r="AC317" s="20" t="n">
        <x:f>IF(H317="CM-HCG",K317*'01 Controls'!$E$24,0)</x:f>
        <x:v>0</x:v>
      </x:c>
      <x:c r="AD317" s="20" t="n">
        <x:f>IF(H317="CM-HCG",K317*'01 Controls'!$E$25,0)</x:f>
        <x:v>0</x:v>
      </x:c>
      <x:c r="AE317" s="20" t="n">
        <x:f>IF(H317="CM-HCG",K317*'01 Controls'!$E$26,0)</x:f>
        <x:v>0</x:v>
      </x:c>
      <x:c r="AF317" s="20" t="n">
        <x:f>IF(H317="CM-HCG",K317*'01 Controls'!$E$27,0)</x:f>
        <x:v>0</x:v>
      </x:c>
    </x:row>
    <x:row r="318">
      <x:c r="C318" s="22" t="str">
        <x:v>M4-H-CHC</x:v>
      </x:c>
      <x:c r="D318" s="22" t="n">
        <x:v>313</x:v>
      </x:c>
      <x:c r="E318" s="22" t="str">
        <x:v>M4</x:v>
      </x:c>
      <x:c r="F318" s="22" t="str">
        <x:v>Tornado sequence</x:v>
      </x:c>
      <x:c r="G318" s="22" t="n">
        <x:v>7</x:v>
      </x:c>
      <x:c r="H318" s="22" t="str">
        <x:v>H-CHC</x:v>
      </x:c>
      <x:c r="I318" s="22" t="str">
        <x:v>Health Protection</x:v>
      </x:c>
      <x:c r="J318" s="22" t="str">
        <x:v>Community health continuity group</x:v>
      </x:c>
      <x:c r="K318" s="23" t="n">
        <x:v>6</x:v>
      </x:c>
      <x:c r="L318" s="23" t="n">
        <x:v>500</x:v>
      </x:c>
      <x:c r="M318" s="23" t="n">
        <x:v>0</x:v>
      </x:c>
      <x:c r="N318" s="20" t="n">
        <x:f>K318*L318</x:f>
        <x:v>3000</x:v>
      </x:c>
      <x:c r="O318" s="19" t="n">
        <x:v>5000</x:v>
      </x:c>
      <x:c r="P318" s="17" t="n">
        <x:v>0.7</x:v>
      </x:c>
      <x:c r="Q318" s="20" t="n">
        <x:f>K318*O318*P318</x:f>
        <x:v>21000</x:v>
      </x:c>
      <x:c r="R318" s="20" t="n">
        <x:f>Q318*(1-'01 Controls'!$E$6)</x:f>
        <x:v>15750</x:v>
      </x:c>
      <x:c r="S318" s="19" t="n">
        <x:v>55</x:v>
      </x:c>
      <x:c r="T318" s="20" t="n">
        <x:f>K318*S318</x:f>
        <x:v>330</x:v>
      </x:c>
      <x:c r="U318" s="18" t="n">
        <x:f>'01 Controls'!E38</x:f>
        <x:v>0.05</x:v>
      </x:c>
      <x:c r="V318" s="20" t="n">
        <x:f>R318*U318</x:f>
        <x:v>787.5</x:v>
      </x:c>
      <x:c r="W318" s="18" t="n">
        <x:f>'01 Controls'!F38</x:f>
        <x:v>0</x:v>
      </x:c>
      <x:c r="X318" s="20" t="n">
        <x:f>R318*W318</x:f>
        <x:v>0</x:v>
      </x:c>
      <x:c r="Y318" s="18" t="n">
        <x:f>'01 Controls'!G38</x:f>
        <x:v>0.95</x:v>
      </x:c>
      <x:c r="Z318" s="20" t="n">
        <x:f>R318*Y318</x:f>
        <x:v>14962.5</x:v>
      </x:c>
      <x:c r="AA318" s="18" t="n">
        <x:f>'01 Controls'!H38</x:f>
        <x:v>0</x:v>
      </x:c>
      <x:c r="AB318" s="20" t="n">
        <x:f>R318*AA318</x:f>
        <x:v>0</x:v>
      </x:c>
      <x:c r="AC318" s="20" t="n">
        <x:f>IF(H318="CM-HCG",K318*'01 Controls'!$E$24,0)</x:f>
        <x:v>0</x:v>
      </x:c>
      <x:c r="AD318" s="20" t="n">
        <x:f>IF(H318="CM-HCG",K318*'01 Controls'!$E$25,0)</x:f>
        <x:v>0</x:v>
      </x:c>
      <x:c r="AE318" s="20" t="n">
        <x:f>IF(H318="CM-HCG",K318*'01 Controls'!$E$26,0)</x:f>
        <x:v>0</x:v>
      </x:c>
      <x:c r="AF318" s="20" t="n">
        <x:f>IF(H318="CM-HCG",K318*'01 Controls'!$E$27,0)</x:f>
        <x:v>0</x:v>
      </x:c>
    </x:row>
    <x:row r="319">
      <x:c r="C319" s="22" t="str">
        <x:v>M4-H-MAC</x:v>
      </x:c>
      <x:c r="D319" s="22" t="n">
        <x:v>314</x:v>
      </x:c>
      <x:c r="E319" s="22" t="str">
        <x:v>M4</x:v>
      </x:c>
      <x:c r="F319" s="22" t="str">
        <x:v>Tornado sequence</x:v>
      </x:c>
      <x:c r="G319" s="22" t="n">
        <x:v>7</x:v>
      </x:c>
      <x:c r="H319" s="22" t="str">
        <x:v>H-MAC</x:v>
      </x:c>
      <x:c r="I319" s="22" t="str">
        <x:v>Health Protection</x:v>
      </x:c>
      <x:c r="J319" s="22" t="str">
        <x:v>Mobile acute-care group</x:v>
      </x:c>
      <x:c r="K319" s="23" t="n">
        <x:v>5</x:v>
      </x:c>
      <x:c r="L319" s="23" t="n">
        <x:v>600</x:v>
      </x:c>
      <x:c r="M319" s="23" t="n">
        <x:v>0</x:v>
      </x:c>
      <x:c r="N319" s="20" t="n">
        <x:f>K319*L319</x:f>
        <x:v>3000</x:v>
      </x:c>
      <x:c r="O319" s="19" t="n">
        <x:v>5000</x:v>
      </x:c>
      <x:c r="P319" s="17" t="n">
        <x:v>0.7</x:v>
      </x:c>
      <x:c r="Q319" s="20" t="n">
        <x:f>K319*O319*P319</x:f>
        <x:v>17500</x:v>
      </x:c>
      <x:c r="R319" s="20" t="n">
        <x:f>Q319*(1-'01 Controls'!$E$6)</x:f>
        <x:v>13125</x:v>
      </x:c>
      <x:c r="S319" s="19" t="n">
        <x:v>55</x:v>
      </x:c>
      <x:c r="T319" s="20" t="n">
        <x:f>K319*S319</x:f>
        <x:v>275</x:v>
      </x:c>
      <x:c r="U319" s="18" t="n">
        <x:f>'01 Controls'!E38</x:f>
        <x:v>0.05</x:v>
      </x:c>
      <x:c r="V319" s="20" t="n">
        <x:f>R319*U319</x:f>
        <x:v>656.25</x:v>
      </x:c>
      <x:c r="W319" s="18" t="n">
        <x:f>'01 Controls'!F38</x:f>
        <x:v>0</x:v>
      </x:c>
      <x:c r="X319" s="20" t="n">
        <x:f>R319*W319</x:f>
        <x:v>0</x:v>
      </x:c>
      <x:c r="Y319" s="18" t="n">
        <x:f>'01 Controls'!G38</x:f>
        <x:v>0.95</x:v>
      </x:c>
      <x:c r="Z319" s="20" t="n">
        <x:f>R319*Y319</x:f>
        <x:v>12468.75</x:v>
      </x:c>
      <x:c r="AA319" s="18" t="n">
        <x:f>'01 Controls'!H38</x:f>
        <x:v>0</x:v>
      </x:c>
      <x:c r="AB319" s="20" t="n">
        <x:f>R319*AA319</x:f>
        <x:v>0</x:v>
      </x:c>
      <x:c r="AC319" s="20" t="n">
        <x:f>IF(H319="CM-HCG",K319*'01 Controls'!$E$24,0)</x:f>
        <x:v>0</x:v>
      </x:c>
      <x:c r="AD319" s="20" t="n">
        <x:f>IF(H319="CM-HCG",K319*'01 Controls'!$E$25,0)</x:f>
        <x:v>0</x:v>
      </x:c>
      <x:c r="AE319" s="20" t="n">
        <x:f>IF(H319="CM-HCG",K319*'01 Controls'!$E$26,0)</x:f>
        <x:v>0</x:v>
      </x:c>
      <x:c r="AF319" s="20" t="n">
        <x:f>IF(H319="CM-HCG",K319*'01 Controls'!$E$27,0)</x:f>
        <x:v>0</x:v>
      </x:c>
    </x:row>
    <x:row r="320">
      <x:c r="C320" s="22" t="str">
        <x:v>M4-H-PHC</x:v>
      </x:c>
      <x:c r="D320" s="22" t="n">
        <x:v>315</x:v>
      </x:c>
      <x:c r="E320" s="22" t="str">
        <x:v>M4</x:v>
      </x:c>
      <x:c r="F320" s="22" t="str">
        <x:v>Tornado sequence</x:v>
      </x:c>
      <x:c r="G320" s="22" t="n">
        <x:v>7</x:v>
      </x:c>
      <x:c r="H320" s="22" t="str">
        <x:v>H-PHC</x:v>
      </x:c>
      <x:c r="I320" s="22" t="str">
        <x:v>Health Protection</x:v>
      </x:c>
      <x:c r="J320" s="22" t="str">
        <x:v>Public-health control group</x:v>
      </x:c>
      <x:c r="K320" s="23" t="n">
        <x:v>3</x:v>
      </x:c>
      <x:c r="L320" s="23" t="n">
        <x:v>250</x:v>
      </x:c>
      <x:c r="M320" s="23" t="n">
        <x:v>0</x:v>
      </x:c>
      <x:c r="N320" s="20" t="n">
        <x:f>K320*L320</x:f>
        <x:v>750</x:v>
      </x:c>
      <x:c r="O320" s="19" t="n">
        <x:v>5000</x:v>
      </x:c>
      <x:c r="P320" s="17" t="n">
        <x:v>0.7</x:v>
      </x:c>
      <x:c r="Q320" s="20" t="n">
        <x:f>K320*O320*P320</x:f>
        <x:v>10500</x:v>
      </x:c>
      <x:c r="R320" s="20" t="n">
        <x:f>Q320*(1-'01 Controls'!$E$6)</x:f>
        <x:v>7875</x:v>
      </x:c>
      <x:c r="S320" s="19" t="n">
        <x:v>55</x:v>
      </x:c>
      <x:c r="T320" s="20" t="n">
        <x:f>K320*S320</x:f>
        <x:v>165</x:v>
      </x:c>
      <x:c r="U320" s="18" t="n">
        <x:f>'01 Controls'!E38</x:f>
        <x:v>0.05</x:v>
      </x:c>
      <x:c r="V320" s="20" t="n">
        <x:f>R320*U320</x:f>
        <x:v>393.75</x:v>
      </x:c>
      <x:c r="W320" s="18" t="n">
        <x:f>'01 Controls'!F38</x:f>
        <x:v>0</x:v>
      </x:c>
      <x:c r="X320" s="20" t="n">
        <x:f>R320*W320</x:f>
        <x:v>0</x:v>
      </x:c>
      <x:c r="Y320" s="18" t="n">
        <x:f>'01 Controls'!G38</x:f>
        <x:v>0.95</x:v>
      </x:c>
      <x:c r="Z320" s="20" t="n">
        <x:f>R320*Y320</x:f>
        <x:v>7481.25</x:v>
      </x:c>
      <x:c r="AA320" s="18" t="n">
        <x:f>'01 Controls'!H38</x:f>
        <x:v>0</x:v>
      </x:c>
      <x:c r="AB320" s="20" t="n">
        <x:f>R320*AA320</x:f>
        <x:v>0</x:v>
      </x:c>
      <x:c r="AC320" s="20" t="n">
        <x:f>IF(H320="CM-HCG",K320*'01 Controls'!$E$24,0)</x:f>
        <x:v>0</x:v>
      </x:c>
      <x:c r="AD320" s="20" t="n">
        <x:f>IF(H320="CM-HCG",K320*'01 Controls'!$E$25,0)</x:f>
        <x:v>0</x:v>
      </x:c>
      <x:c r="AE320" s="20" t="n">
        <x:f>IF(H320="CM-HCG",K320*'01 Controls'!$E$26,0)</x:f>
        <x:v>0</x:v>
      </x:c>
      <x:c r="AF320" s="20" t="n">
        <x:f>IF(H320="CM-HCG",K320*'01 Controls'!$E$27,0)</x:f>
        <x:v>0</x:v>
      </x:c>
    </x:row>
    <x:row r="321">
      <x:c r="C321" s="22" t="str">
        <x:v>M4-H-HWR</x:v>
      </x:c>
      <x:c r="D321" s="22" t="n">
        <x:v>316</x:v>
      </x:c>
      <x:c r="E321" s="22" t="str">
        <x:v>M4</x:v>
      </x:c>
      <x:c r="F321" s="22" t="str">
        <x:v>Tornado sequence</x:v>
      </x:c>
      <x:c r="G321" s="22" t="n">
        <x:v>7</x:v>
      </x:c>
      <x:c r="H321" s="22" t="str">
        <x:v>H-HWR</x:v>
      </x:c>
      <x:c r="I321" s="22" t="str">
        <x:v>Health Protection</x:v>
      </x:c>
      <x:c r="J321" s="22" t="str">
        <x:v>Health workforce replacement group</x:v>
      </x:c>
      <x:c r="K321" s="23" t="n">
        <x:v>6</x:v>
      </x:c>
      <x:c r="L321" s="23" t="n">
        <x:v>550</x:v>
      </x:c>
      <x:c r="M321" s="23" t="n">
        <x:v>0</x:v>
      </x:c>
      <x:c r="N321" s="20" t="n">
        <x:f>K321*L321</x:f>
        <x:v>3300</x:v>
      </x:c>
      <x:c r="O321" s="19" t="n">
        <x:v>5000</x:v>
      </x:c>
      <x:c r="P321" s="17" t="n">
        <x:v>0.7</x:v>
      </x:c>
      <x:c r="Q321" s="20" t="n">
        <x:f>K321*O321*P321</x:f>
        <x:v>21000</x:v>
      </x:c>
      <x:c r="R321" s="20" t="n">
        <x:f>Q321*(1-'01 Controls'!$E$6)</x:f>
        <x:v>15750</x:v>
      </x:c>
      <x:c r="S321" s="19" t="n">
        <x:v>55</x:v>
      </x:c>
      <x:c r="T321" s="20" t="n">
        <x:f>K321*S321</x:f>
        <x:v>330</x:v>
      </x:c>
      <x:c r="U321" s="18" t="n">
        <x:f>'01 Controls'!E38</x:f>
        <x:v>0.05</x:v>
      </x:c>
      <x:c r="V321" s="20" t="n">
        <x:f>R321*U321</x:f>
        <x:v>787.5</x:v>
      </x:c>
      <x:c r="W321" s="18" t="n">
        <x:f>'01 Controls'!F38</x:f>
        <x:v>0</x:v>
      </x:c>
      <x:c r="X321" s="20" t="n">
        <x:f>R321*W321</x:f>
        <x:v>0</x:v>
      </x:c>
      <x:c r="Y321" s="18" t="n">
        <x:f>'01 Controls'!G38</x:f>
        <x:v>0.95</x:v>
      </x:c>
      <x:c r="Z321" s="20" t="n">
        <x:f>R321*Y321</x:f>
        <x:v>14962.5</x:v>
      </x:c>
      <x:c r="AA321" s="18" t="n">
        <x:f>'01 Controls'!H38</x:f>
        <x:v>0</x:v>
      </x:c>
      <x:c r="AB321" s="20" t="n">
        <x:f>R321*AA321</x:f>
        <x:v>0</x:v>
      </x:c>
      <x:c r="AC321" s="20" t="n">
        <x:f>IF(H321="CM-HCG",K321*'01 Controls'!$E$24,0)</x:f>
        <x:v>0</x:v>
      </x:c>
      <x:c r="AD321" s="20" t="n">
        <x:f>IF(H321="CM-HCG",K321*'01 Controls'!$E$25,0)</x:f>
        <x:v>0</x:v>
      </x:c>
      <x:c r="AE321" s="20" t="n">
        <x:f>IF(H321="CM-HCG",K321*'01 Controls'!$E$26,0)</x:f>
        <x:v>0</x:v>
      </x:c>
      <x:c r="AF321" s="20" t="n">
        <x:f>IF(H321="CM-HCG",K321*'01 Controls'!$E$27,0)</x:f>
        <x:v>0</x:v>
      </x:c>
    </x:row>
    <x:row r="322">
      <x:c r="C322" s="22" t="str">
        <x:v>M4-C-PSG</x:v>
      </x:c>
      <x:c r="D322" s="22" t="n">
        <x:v>317</x:v>
      </x:c>
      <x:c r="E322" s="22" t="str">
        <x:v>M4</x:v>
      </x:c>
      <x:c r="F322" s="22" t="str">
        <x:v>Tornado sequence</x:v>
      </x:c>
      <x:c r="G322" s="22" t="n">
        <x:v>7</x:v>
      </x:c>
      <x:c r="H322" s="22" t="str">
        <x:v>C-PSG</x:v>
      </x:c>
      <x:c r="I322" s="22" t="str">
        <x:v>Community Stabilization</x:v>
      </x:c>
      <x:c r="J322" s="22" t="str">
        <x:v>Population support group</x:v>
      </x:c>
      <x:c r="K322" s="23" t="n">
        <x:v>10</x:v>
      </x:c>
      <x:c r="L322" s="23" t="n">
        <x:v>450</x:v>
      </x:c>
      <x:c r="M322" s="23" t="n">
        <x:v>0</x:v>
      </x:c>
      <x:c r="N322" s="20" t="n">
        <x:f>K322*L322</x:f>
        <x:v>4500</x:v>
      </x:c>
      <x:c r="O322" s="19" t="n">
        <x:v>4500</x:v>
      </x:c>
      <x:c r="P322" s="17" t="n">
        <x:v>0.65</x:v>
      </x:c>
      <x:c r="Q322" s="20" t="n">
        <x:f>K322*O322*P322</x:f>
        <x:v>29250</x:v>
      </x:c>
      <x:c r="R322" s="20" t="n">
        <x:f>Q322*(1-'01 Controls'!$E$6)</x:f>
        <x:v>21937.5</x:v>
      </x:c>
      <x:c r="S322" s="19" t="n">
        <x:v>75</x:v>
      </x:c>
      <x:c r="T322" s="20" t="n">
        <x:f>K322*S322</x:f>
        <x:v>750</x:v>
      </x:c>
      <x:c r="U322" s="18" t="n">
        <x:f>'01 Controls'!E38</x:f>
        <x:v>0.05</x:v>
      </x:c>
      <x:c r="V322" s="20" t="n">
        <x:f>R322*U322</x:f>
        <x:v>1096.875</x:v>
      </x:c>
      <x:c r="W322" s="18" t="n">
        <x:f>'01 Controls'!F38</x:f>
        <x:v>0</x:v>
      </x:c>
      <x:c r="X322" s="20" t="n">
        <x:f>R322*W322</x:f>
        <x:v>0</x:v>
      </x:c>
      <x:c r="Y322" s="18" t="n">
        <x:f>'01 Controls'!G38</x:f>
        <x:v>0.95</x:v>
      </x:c>
      <x:c r="Z322" s="20" t="n">
        <x:f>R322*Y322</x:f>
        <x:v>20840.625</x:v>
      </x:c>
      <x:c r="AA322" s="18" t="n">
        <x:f>'01 Controls'!H38</x:f>
        <x:v>0</x:v>
      </x:c>
      <x:c r="AB322" s="20" t="n">
        <x:f>R322*AA322</x:f>
        <x:v>0</x:v>
      </x:c>
      <x:c r="AC322" s="20" t="n">
        <x:f>IF(H322="CM-HCG",K322*'01 Controls'!$E$24,0)</x:f>
        <x:v>0</x:v>
      </x:c>
      <x:c r="AD322" s="20" t="n">
        <x:f>IF(H322="CM-HCG",K322*'01 Controls'!$E$25,0)</x:f>
        <x:v>0</x:v>
      </x:c>
      <x:c r="AE322" s="20" t="n">
        <x:f>IF(H322="CM-HCG",K322*'01 Controls'!$E$26,0)</x:f>
        <x:v>0</x:v>
      </x:c>
      <x:c r="AF322" s="20" t="n">
        <x:f>IF(H322="CM-HCG",K322*'01 Controls'!$E$27,0)</x:f>
        <x:v>0</x:v>
      </x:c>
    </x:row>
    <x:row r="323">
      <x:c r="C323" s="22" t="str">
        <x:v>M4-C-EGG</x:v>
      </x:c>
      <x:c r="D323" s="22" t="n">
        <x:v>318</x:v>
      </x:c>
      <x:c r="E323" s="22" t="str">
        <x:v>M4</x:v>
      </x:c>
      <x:c r="F323" s="22" t="str">
        <x:v>Tornado sequence</x:v>
      </x:c>
      <x:c r="G323" s="22" t="n">
        <x:v>7</x:v>
      </x:c>
      <x:c r="H323" s="22" t="str">
        <x:v>C-EGG</x:v>
      </x:c>
      <x:c r="I323" s="22" t="str">
        <x:v>Community Stabilization</x:v>
      </x:c>
      <x:c r="J323" s="22" t="str">
        <x:v>Essential-goods group</x:v>
      </x:c>
      <x:c r="K323" s="23" t="n">
        <x:v>10</x:v>
      </x:c>
      <x:c r="L323" s="23" t="n">
        <x:v>350</x:v>
      </x:c>
      <x:c r="M323" s="23" t="n">
        <x:v>0</x:v>
      </x:c>
      <x:c r="N323" s="20" t="n">
        <x:f>K323*L323</x:f>
        <x:v>3500</x:v>
      </x:c>
      <x:c r="O323" s="19" t="n">
        <x:v>4500</x:v>
      </x:c>
      <x:c r="P323" s="17" t="n">
        <x:v>0.65</x:v>
      </x:c>
      <x:c r="Q323" s="20" t="n">
        <x:f>K323*O323*P323</x:f>
        <x:v>29250</x:v>
      </x:c>
      <x:c r="R323" s="20" t="n">
        <x:f>Q323*(1-'01 Controls'!$E$6)</x:f>
        <x:v>21937.5</x:v>
      </x:c>
      <x:c r="S323" s="19" t="n">
        <x:v>75</x:v>
      </x:c>
      <x:c r="T323" s="20" t="n">
        <x:f>K323*S323</x:f>
        <x:v>750</x:v>
      </x:c>
      <x:c r="U323" s="18" t="n">
        <x:f>'01 Controls'!E38</x:f>
        <x:v>0.05</x:v>
      </x:c>
      <x:c r="V323" s="20" t="n">
        <x:f>R323*U323</x:f>
        <x:v>1096.875</x:v>
      </x:c>
      <x:c r="W323" s="18" t="n">
        <x:f>'01 Controls'!F38</x:f>
        <x:v>0</x:v>
      </x:c>
      <x:c r="X323" s="20" t="n">
        <x:f>R323*W323</x:f>
        <x:v>0</x:v>
      </x:c>
      <x:c r="Y323" s="18" t="n">
        <x:f>'01 Controls'!G38</x:f>
        <x:v>0.95</x:v>
      </x:c>
      <x:c r="Z323" s="20" t="n">
        <x:f>R323*Y323</x:f>
        <x:v>20840.625</x:v>
      </x:c>
      <x:c r="AA323" s="18" t="n">
        <x:f>'01 Controls'!H38</x:f>
        <x:v>0</x:v>
      </x:c>
      <x:c r="AB323" s="20" t="n">
        <x:f>R323*AA323</x:f>
        <x:v>0</x:v>
      </x:c>
      <x:c r="AC323" s="20" t="n">
        <x:f>IF(H323="CM-HCG",K323*'01 Controls'!$E$24,0)</x:f>
        <x:v>0</x:v>
      </x:c>
      <x:c r="AD323" s="20" t="n">
        <x:f>IF(H323="CM-HCG",K323*'01 Controls'!$E$25,0)</x:f>
        <x:v>0</x:v>
      </x:c>
      <x:c r="AE323" s="20" t="n">
        <x:f>IF(H323="CM-HCG",K323*'01 Controls'!$E$26,0)</x:f>
        <x:v>0</x:v>
      </x:c>
      <x:c r="AF323" s="20" t="n">
        <x:f>IF(H323="CM-HCG",K323*'01 Controls'!$E$27,0)</x:f>
        <x:v>0</x:v>
      </x:c>
    </x:row>
    <x:row r="324">
      <x:c r="C324" s="22" t="str">
        <x:v>M4-C-CAG</x:v>
      </x:c>
      <x:c r="D324" s="22" t="n">
        <x:v>319</x:v>
      </x:c>
      <x:c r="E324" s="22" t="str">
        <x:v>M4</x:v>
      </x:c>
      <x:c r="F324" s="22" t="str">
        <x:v>Tornado sequence</x:v>
      </x:c>
      <x:c r="G324" s="22" t="n">
        <x:v>7</x:v>
      </x:c>
      <x:c r="H324" s="22" t="str">
        <x:v>C-CAG</x:v>
      </x:c>
      <x:c r="I324" s="22" t="str">
        <x:v>Community Stabilization</x:v>
      </x:c>
      <x:c r="J324" s="22" t="str">
        <x:v>Civil access group</x:v>
      </x:c>
      <x:c r="K324" s="23" t="n">
        <x:v>8</x:v>
      </x:c>
      <x:c r="L324" s="23" t="n">
        <x:v>180</x:v>
      </x:c>
      <x:c r="M324" s="23" t="n">
        <x:v>0</x:v>
      </x:c>
      <x:c r="N324" s="20" t="n">
        <x:f>K324*L324</x:f>
        <x:v>1440</x:v>
      </x:c>
      <x:c r="O324" s="19" t="n">
        <x:v>4500</x:v>
      </x:c>
      <x:c r="P324" s="17" t="n">
        <x:v>0.65</x:v>
      </x:c>
      <x:c r="Q324" s="20" t="n">
        <x:f>K324*O324*P324</x:f>
        <x:v>23400</x:v>
      </x:c>
      <x:c r="R324" s="20" t="n">
        <x:f>Q324*(1-'01 Controls'!$E$6)</x:f>
        <x:v>17550</x:v>
      </x:c>
      <x:c r="S324" s="19" t="n">
        <x:v>75</x:v>
      </x:c>
      <x:c r="T324" s="20" t="n">
        <x:f>K324*S324</x:f>
        <x:v>600</x:v>
      </x:c>
      <x:c r="U324" s="18" t="n">
        <x:f>'01 Controls'!E38</x:f>
        <x:v>0.05</x:v>
      </x:c>
      <x:c r="V324" s="20" t="n">
        <x:f>R324*U324</x:f>
        <x:v>877.5</x:v>
      </x:c>
      <x:c r="W324" s="18" t="n">
        <x:f>'01 Controls'!F38</x:f>
        <x:v>0</x:v>
      </x:c>
      <x:c r="X324" s="20" t="n">
        <x:f>R324*W324</x:f>
        <x:v>0</x:v>
      </x:c>
      <x:c r="Y324" s="18" t="n">
        <x:f>'01 Controls'!G38</x:f>
        <x:v>0.95</x:v>
      </x:c>
      <x:c r="Z324" s="20" t="n">
        <x:f>R324*Y324</x:f>
        <x:v>16672.5</x:v>
      </x:c>
      <x:c r="AA324" s="18" t="n">
        <x:f>'01 Controls'!H38</x:f>
        <x:v>0</x:v>
      </x:c>
      <x:c r="AB324" s="20" t="n">
        <x:f>R324*AA324</x:f>
        <x:v>0</x:v>
      </x:c>
      <x:c r="AC324" s="20" t="n">
        <x:f>IF(H324="CM-HCG",K324*'01 Controls'!$E$24,0)</x:f>
        <x:v>0</x:v>
      </x:c>
      <x:c r="AD324" s="20" t="n">
        <x:f>IF(H324="CM-HCG",K324*'01 Controls'!$E$25,0)</x:f>
        <x:v>0</x:v>
      </x:c>
      <x:c r="AE324" s="20" t="n">
        <x:f>IF(H324="CM-HCG",K324*'01 Controls'!$E$26,0)</x:f>
        <x:v>0</x:v>
      </x:c>
      <x:c r="AF324" s="20" t="n">
        <x:f>IF(H324="CM-HCG",K324*'01 Controls'!$E$27,0)</x:f>
        <x:v>0</x:v>
      </x:c>
    </x:row>
    <x:row r="325">
      <x:c r="C325" s="22" t="str">
        <x:v>M4-C-DTG</x:v>
      </x:c>
      <x:c r="D325" s="22" t="n">
        <x:v>320</x:v>
      </x:c>
      <x:c r="E325" s="22" t="str">
        <x:v>M4</x:v>
      </x:c>
      <x:c r="F325" s="22" t="str">
        <x:v>Tornado sequence</x:v>
      </x:c>
      <x:c r="G325" s="22" t="n">
        <x:v>7</x:v>
      </x:c>
      <x:c r="H325" s="22" t="str">
        <x:v>C-DTG</x:v>
      </x:c>
      <x:c r="I325" s="22" t="str">
        <x:v>Community Stabilization</x:v>
      </x:c>
      <x:c r="J325" s="22" t="str">
        <x:v>Displacement transition group</x:v>
      </x:c>
      <x:c r="K325" s="23" t="n">
        <x:v>8</x:v>
      </x:c>
      <x:c r="L325" s="23" t="n">
        <x:v>300</x:v>
      </x:c>
      <x:c r="M325" s="23" t="n">
        <x:v>0</x:v>
      </x:c>
      <x:c r="N325" s="20" t="n">
        <x:f>K325*L325</x:f>
        <x:v>2400</x:v>
      </x:c>
      <x:c r="O325" s="19" t="n">
        <x:v>4500</x:v>
      </x:c>
      <x:c r="P325" s="17" t="n">
        <x:v>0.65</x:v>
      </x:c>
      <x:c r="Q325" s="20" t="n">
        <x:f>K325*O325*P325</x:f>
        <x:v>23400</x:v>
      </x:c>
      <x:c r="R325" s="20" t="n">
        <x:f>Q325*(1-'01 Controls'!$E$6)</x:f>
        <x:v>17550</x:v>
      </x:c>
      <x:c r="S325" s="19" t="n">
        <x:v>75</x:v>
      </x:c>
      <x:c r="T325" s="20" t="n">
        <x:f>K325*S325</x:f>
        <x:v>600</x:v>
      </x:c>
      <x:c r="U325" s="18" t="n">
        <x:f>'01 Controls'!E38</x:f>
        <x:v>0.05</x:v>
      </x:c>
      <x:c r="V325" s="20" t="n">
        <x:f>R325*U325</x:f>
        <x:v>877.5</x:v>
      </x:c>
      <x:c r="W325" s="18" t="n">
        <x:f>'01 Controls'!F38</x:f>
        <x:v>0</x:v>
      </x:c>
      <x:c r="X325" s="20" t="n">
        <x:f>R325*W325</x:f>
        <x:v>0</x:v>
      </x:c>
      <x:c r="Y325" s="18" t="n">
        <x:f>'01 Controls'!G38</x:f>
        <x:v>0.95</x:v>
      </x:c>
      <x:c r="Z325" s="20" t="n">
        <x:f>R325*Y325</x:f>
        <x:v>16672.5</x:v>
      </x:c>
      <x:c r="AA325" s="18" t="n">
        <x:f>'01 Controls'!H38</x:f>
        <x:v>0</x:v>
      </x:c>
      <x:c r="AB325" s="20" t="n">
        <x:f>R325*AA325</x:f>
        <x:v>0</x:v>
      </x:c>
      <x:c r="AC325" s="20" t="n">
        <x:f>IF(H325="CM-HCG",K325*'01 Controls'!$E$24,0)</x:f>
        <x:v>0</x:v>
      </x:c>
      <x:c r="AD325" s="20" t="n">
        <x:f>IF(H325="CM-HCG",K325*'01 Controls'!$E$25,0)</x:f>
        <x:v>0</x:v>
      </x:c>
      <x:c r="AE325" s="20" t="n">
        <x:f>IF(H325="CM-HCG",K325*'01 Controls'!$E$26,0)</x:f>
        <x:v>0</x:v>
      </x:c>
      <x:c r="AF325" s="20" t="n">
        <x:f>IF(H325="CM-HCG",K325*'01 Controls'!$E$27,0)</x:f>
        <x:v>0</x:v>
      </x:c>
    </x:row>
    <x:row r="326">
      <x:c r="C326" s="22" t="str">
        <x:v>M4-C-CIG</x:v>
      </x:c>
      <x:c r="D326" s="22" t="n">
        <x:v>321</x:v>
      </x:c>
      <x:c r="E326" s="22" t="str">
        <x:v>M4</x:v>
      </x:c>
      <x:c r="F326" s="22" t="str">
        <x:v>Tornado sequence</x:v>
      </x:c>
      <x:c r="G326" s="22" t="n">
        <x:v>7</x:v>
      </x:c>
      <x:c r="H326" s="22" t="str">
        <x:v>C-CIG</x:v>
      </x:c>
      <x:c r="I326" s="22" t="str">
        <x:v>Community Stabilization</x:v>
      </x:c>
      <x:c r="J326" s="22" t="str">
        <x:v>Community institutions group</x:v>
      </x:c>
      <x:c r="K326" s="23" t="n">
        <x:v>6</x:v>
      </x:c>
      <x:c r="L326" s="23" t="n">
        <x:v>250</x:v>
      </x:c>
      <x:c r="M326" s="23" t="n">
        <x:v>0</x:v>
      </x:c>
      <x:c r="N326" s="20" t="n">
        <x:f>K326*L326</x:f>
        <x:v>1500</x:v>
      </x:c>
      <x:c r="O326" s="19" t="n">
        <x:v>4500</x:v>
      </x:c>
      <x:c r="P326" s="17" t="n">
        <x:v>0.65</x:v>
      </x:c>
      <x:c r="Q326" s="20" t="n">
        <x:f>K326*O326*P326</x:f>
        <x:v>17550</x:v>
      </x:c>
      <x:c r="R326" s="20" t="n">
        <x:f>Q326*(1-'01 Controls'!$E$6)</x:f>
        <x:v>13162.5</x:v>
      </x:c>
      <x:c r="S326" s="19" t="n">
        <x:v>75</x:v>
      </x:c>
      <x:c r="T326" s="20" t="n">
        <x:f>K326*S326</x:f>
        <x:v>450</x:v>
      </x:c>
      <x:c r="U326" s="18" t="n">
        <x:f>'01 Controls'!E38</x:f>
        <x:v>0.05</x:v>
      </x:c>
      <x:c r="V326" s="20" t="n">
        <x:f>R326*U326</x:f>
        <x:v>658.125</x:v>
      </x:c>
      <x:c r="W326" s="18" t="n">
        <x:f>'01 Controls'!F38</x:f>
        <x:v>0</x:v>
      </x:c>
      <x:c r="X326" s="20" t="n">
        <x:f>R326*W326</x:f>
        <x:v>0</x:v>
      </x:c>
      <x:c r="Y326" s="18" t="n">
        <x:f>'01 Controls'!G38</x:f>
        <x:v>0.95</x:v>
      </x:c>
      <x:c r="Z326" s="20" t="n">
        <x:f>R326*Y326</x:f>
        <x:v>12504.375</x:v>
      </x:c>
      <x:c r="AA326" s="18" t="n">
        <x:f>'01 Controls'!H38</x:f>
        <x:v>0</x:v>
      </x:c>
      <x:c r="AB326" s="20" t="n">
        <x:f>R326*AA326</x:f>
        <x:v>0</x:v>
      </x:c>
      <x:c r="AC326" s="20" t="n">
        <x:f>IF(H326="CM-HCG",K326*'01 Controls'!$E$24,0)</x:f>
        <x:v>0</x:v>
      </x:c>
      <x:c r="AD326" s="20" t="n">
        <x:f>IF(H326="CM-HCG",K326*'01 Controls'!$E$25,0)</x:f>
        <x:v>0</x:v>
      </x:c>
      <x:c r="AE326" s="20" t="n">
        <x:f>IF(H326="CM-HCG",K326*'01 Controls'!$E$26,0)</x:f>
        <x:v>0</x:v>
      </x:c>
      <x:c r="AF326" s="20" t="n">
        <x:f>IF(H326="CM-HCG",K326*'01 Controls'!$E$27,0)</x:f>
        <x:v>0</x:v>
      </x:c>
    </x:row>
    <x:row r="327">
      <x:c r="C327" s="22" t="str">
        <x:v>M4-J-RIG</x:v>
      </x:c>
      <x:c r="D327" s="22" t="n">
        <x:v>322</x:v>
      </x:c>
      <x:c r="E327" s="22" t="str">
        <x:v>M4</x:v>
      </x:c>
      <x:c r="F327" s="22" t="str">
        <x:v>Tornado sequence</x:v>
      </x:c>
      <x:c r="G327" s="22" t="n">
        <x:v>7</x:v>
      </x:c>
      <x:c r="H327" s="22" t="str">
        <x:v>J-RIG</x:v>
      </x:c>
      <x:c r="I327" s="22" t="str">
        <x:v>Joint</x:v>
      </x:c>
      <x:c r="J327" s="22" t="str">
        <x:v>Resilience information group</x:v>
      </x:c>
      <x:c r="K327" s="23" t="n">
        <x:v>5</x:v>
      </x:c>
      <x:c r="L327" s="23" t="n">
        <x:v>420</x:v>
      </x:c>
      <x:c r="M327" s="23" t="n">
        <x:v>60</x:v>
      </x:c>
      <x:c r="N327" s="20" t="n">
        <x:f>K327*L327</x:f>
        <x:v>2100</x:v>
      </x:c>
      <x:c r="O327" s="19" t="n">
        <x:v>2800</x:v>
      </x:c>
      <x:c r="P327" s="17" t="n">
        <x:v>0.65</x:v>
      </x:c>
      <x:c r="Q327" s="20" t="n">
        <x:f>K327*O327*P327</x:f>
        <x:v>9100</x:v>
      </x:c>
      <x:c r="R327" s="20" t="n">
        <x:f>Q327*(1-'01 Controls'!$E$6)</x:f>
        <x:v>6825</x:v>
      </x:c>
      <x:c r="S327" s="19" t="n">
        <x:v>35</x:v>
      </x:c>
      <x:c r="T327" s="20" t="n">
        <x:f>K327*S327</x:f>
        <x:v>175</x:v>
      </x:c>
      <x:c r="U327" s="18" t="n">
        <x:f>'01 Controls'!E38</x:f>
        <x:v>0.05</x:v>
      </x:c>
      <x:c r="V327" s="20" t="n">
        <x:f>R327*U327</x:f>
        <x:v>341.25</x:v>
      </x:c>
      <x:c r="W327" s="18" t="n">
        <x:f>'01 Controls'!F38</x:f>
        <x:v>0</x:v>
      </x:c>
      <x:c r="X327" s="20" t="n">
        <x:f>R327*W327</x:f>
        <x:v>0</x:v>
      </x:c>
      <x:c r="Y327" s="18" t="n">
        <x:f>'01 Controls'!G38</x:f>
        <x:v>0.95</x:v>
      </x:c>
      <x:c r="Z327" s="20" t="n">
        <x:f>R327*Y327</x:f>
        <x:v>6483.75</x:v>
      </x:c>
      <x:c r="AA327" s="18" t="n">
        <x:f>'01 Controls'!H38</x:f>
        <x:v>0</x:v>
      </x:c>
      <x:c r="AB327" s="20" t="n">
        <x:f>R327*AA327</x:f>
        <x:v>0</x:v>
      </x:c>
      <x:c r="AC327" s="20" t="n">
        <x:f>IF(H327="CM-HCG",K327*'01 Controls'!$E$24,0)</x:f>
        <x:v>0</x:v>
      </x:c>
      <x:c r="AD327" s="20" t="n">
        <x:f>IF(H327="CM-HCG",K327*'01 Controls'!$E$25,0)</x:f>
        <x:v>0</x:v>
      </x:c>
      <x:c r="AE327" s="20" t="n">
        <x:f>IF(H327="CM-HCG",K327*'01 Controls'!$E$26,0)</x:f>
        <x:v>0</x:v>
      </x:c>
      <x:c r="AF327" s="20" t="n">
        <x:f>IF(H327="CM-HCG",K327*'01 Controls'!$E$27,0)</x:f>
        <x:v>0</x:v>
      </x:c>
    </x:row>
    <x:row r="328">
      <x:c r="C328" s="22" t="str">
        <x:v>M4-M-MPG</x:v>
      </x:c>
      <x:c r="D328" s="22" t="n">
        <x:v>323</x:v>
      </x:c>
      <x:c r="E328" s="22" t="str">
        <x:v>M4</x:v>
      </x:c>
      <x:c r="F328" s="22" t="str">
        <x:v>Tornado sequence</x:v>
      </x:c>
      <x:c r="G328" s="22" t="n">
        <x:v>7</x:v>
      </x:c>
      <x:c r="H328" s="22" t="str">
        <x:v>M-MPG</x:v>
      </x:c>
      <x:c r="I328" s="22" t="str">
        <x:v>Maritime Response</x:v>
      </x:c>
      <x:c r="J328" s="22" t="str">
        <x:v>Maritime production group</x:v>
      </x:c>
      <x:c r="K328" s="23" t="n">
        <x:v>1</x:v>
      </x:c>
      <x:c r="L328" s="23" t="n">
        <x:v>1100</x:v>
      </x:c>
      <x:c r="M328" s="23" t="n">
        <x:v>200</x:v>
      </x:c>
      <x:c r="N328" s="20" t="n">
        <x:f>K328*L328</x:f>
        <x:v>1100</x:v>
      </x:c>
      <x:c r="O328" s="19" t="n">
        <x:v>28000</x:v>
      </x:c>
      <x:c r="P328" s="17" t="n">
        <x:v>0.35</x:v>
      </x:c>
      <x:c r="Q328" s="20" t="n">
        <x:f>K328*O328*P328</x:f>
        <x:v>9800</x:v>
      </x:c>
      <x:c r="R328" s="20" t="n">
        <x:f>Q328*(1-'01 Controls'!$E$6)</x:f>
        <x:v>7350</x:v>
      </x:c>
      <x:c r="S328" s="19" t="n">
        <x:v>50</x:v>
      </x:c>
      <x:c r="T328" s="20" t="n">
        <x:f>K328*S328</x:f>
        <x:v>50</x:v>
      </x:c>
      <x:c r="U328" s="18" t="n">
        <x:f>'01 Controls'!E38</x:f>
        <x:v>0.05</x:v>
      </x:c>
      <x:c r="V328" s="20" t="n">
        <x:f>R328*U328</x:f>
        <x:v>367.5</x:v>
      </x:c>
      <x:c r="W328" s="18" t="n">
        <x:f>'01 Controls'!F38</x:f>
        <x:v>0</x:v>
      </x:c>
      <x:c r="X328" s="20" t="n">
        <x:f>R328*W328</x:f>
        <x:v>0</x:v>
      </x:c>
      <x:c r="Y328" s="18" t="n">
        <x:f>'01 Controls'!G38</x:f>
        <x:v>0.95</x:v>
      </x:c>
      <x:c r="Z328" s="20" t="n">
        <x:f>R328*Y328</x:f>
        <x:v>6982.5</x:v>
      </x:c>
      <x:c r="AA328" s="18" t="n">
        <x:f>'01 Controls'!H38</x:f>
        <x:v>0</x:v>
      </x:c>
      <x:c r="AB328" s="20" t="n">
        <x:f>R328*AA328</x:f>
        <x:v>0</x:v>
      </x:c>
      <x:c r="AC328" s="20" t="n">
        <x:f>IF(H328="CM-HCG",K328*'01 Controls'!$E$24,0)</x:f>
        <x:v>0</x:v>
      </x:c>
      <x:c r="AD328" s="20" t="n">
        <x:f>IF(H328="CM-HCG",K328*'01 Controls'!$E$25,0)</x:f>
        <x:v>0</x:v>
      </x:c>
      <x:c r="AE328" s="20" t="n">
        <x:f>IF(H328="CM-HCG",K328*'01 Controls'!$E$26,0)</x:f>
        <x:v>0</x:v>
      </x:c>
      <x:c r="AF328" s="20" t="n">
        <x:f>IF(H328="CM-HCG",K328*'01 Controls'!$E$27,0)</x:f>
        <x:v>0</x:v>
      </x:c>
    </x:row>
    <x:row r="329">
      <x:c r="C329" s="22" t="str">
        <x:v>M4-I-WRG</x:v>
      </x:c>
      <x:c r="D329" s="22" t="n">
        <x:v>324</x:v>
      </x:c>
      <x:c r="E329" s="22" t="str">
        <x:v>M4</x:v>
      </x:c>
      <x:c r="F329" s="22" t="str">
        <x:v>Tornado sequence</x:v>
      </x:c>
      <x:c r="G329" s="22" t="n">
        <x:v>7</x:v>
      </x:c>
      <x:c r="H329" s="22" t="str">
        <x:v>I-WRG</x:v>
      </x:c>
      <x:c r="I329" s="22" t="str">
        <x:v>Infrastructure Restoration</x:v>
      </x:c>
      <x:c r="J329" s="22" t="str">
        <x:v>Water restoration group</x:v>
      </x:c>
      <x:c r="K329" s="23" t="n">
        <x:v>3</x:v>
      </x:c>
      <x:c r="L329" s="23" t="n">
        <x:v>2720</x:v>
      </x:c>
      <x:c r="M329" s="23" t="n">
        <x:v>600</x:v>
      </x:c>
      <x:c r="N329" s="20" t="n">
        <x:f>K329*L329</x:f>
        <x:v>8160</x:v>
      </x:c>
      <x:c r="O329" s="19" t="n">
        <x:v>23516</x:v>
      </x:c>
      <x:c r="P329" s="17" t="n">
        <x:v>0.4</x:v>
      </x:c>
      <x:c r="Q329" s="20" t="n">
        <x:f>K329*O329*P329</x:f>
        <x:v>28219.2</x:v>
      </x:c>
      <x:c r="R329" s="20" t="n">
        <x:f>Q329*(1-'01 Controls'!$E$6)</x:f>
        <x:v>21164.4</x:v>
      </x:c>
      <x:c r="S329" s="19" t="n">
        <x:v>65</x:v>
      </x:c>
      <x:c r="T329" s="20" t="n">
        <x:f>K329*S329</x:f>
        <x:v>195</x:v>
      </x:c>
      <x:c r="U329" s="18" t="n">
        <x:f>'01 Controls'!E38</x:f>
        <x:v>0.05</x:v>
      </x:c>
      <x:c r="V329" s="20" t="n">
        <x:f>R329*U329</x:f>
        <x:v>1058.22</x:v>
      </x:c>
      <x:c r="W329" s="18" t="n">
        <x:f>'01 Controls'!F38</x:f>
        <x:v>0</x:v>
      </x:c>
      <x:c r="X329" s="20" t="n">
        <x:f>R329*W329</x:f>
        <x:v>0</x:v>
      </x:c>
      <x:c r="Y329" s="18" t="n">
        <x:f>'01 Controls'!G38</x:f>
        <x:v>0.95</x:v>
      </x:c>
      <x:c r="Z329" s="20" t="n">
        <x:f>R329*Y329</x:f>
        <x:v>20106.18</x:v>
      </x:c>
      <x:c r="AA329" s="18" t="n">
        <x:f>'01 Controls'!H38</x:f>
        <x:v>0</x:v>
      </x:c>
      <x:c r="AB329" s="20" t="n">
        <x:f>R329*AA329</x:f>
        <x:v>0</x:v>
      </x:c>
      <x:c r="AC329" s="20" t="n">
        <x:f>IF(H329="CM-HCG",K329*'01 Controls'!$E$24,0)</x:f>
        <x:v>0</x:v>
      </x:c>
      <x:c r="AD329" s="20" t="n">
        <x:f>IF(H329="CM-HCG",K329*'01 Controls'!$E$25,0)</x:f>
        <x:v>0</x:v>
      </x:c>
      <x:c r="AE329" s="20" t="n">
        <x:f>IF(H329="CM-HCG",K329*'01 Controls'!$E$26,0)</x:f>
        <x:v>0</x:v>
      </x:c>
      <x:c r="AF329" s="20" t="n">
        <x:f>IF(H329="CM-HCG",K329*'01 Controls'!$E$27,0)</x:f>
        <x:v>0</x:v>
      </x:c>
    </x:row>
    <x:row r="330">
      <x:c r="C330" s="22" t="str">
        <x:v>M4-I-PRG</x:v>
      </x:c>
      <x:c r="D330" s="22" t="n">
        <x:v>325</x:v>
      </x:c>
      <x:c r="E330" s="22" t="str">
        <x:v>M4</x:v>
      </x:c>
      <x:c r="F330" s="22" t="str">
        <x:v>Tornado sequence</x:v>
      </x:c>
      <x:c r="G330" s="22" t="n">
        <x:v>7</x:v>
      </x:c>
      <x:c r="H330" s="22" t="str">
        <x:v>I-PRG</x:v>
      </x:c>
      <x:c r="I330" s="22" t="str">
        <x:v>Infrastructure Restoration</x:v>
      </x:c>
      <x:c r="J330" s="22" t="str">
        <x:v>Power restoration group</x:v>
      </x:c>
      <x:c r="K330" s="23" t="n">
        <x:v>4</x:v>
      </x:c>
      <x:c r="L330" s="23" t="n">
        <x:v>2796</x:v>
      </x:c>
      <x:c r="M330" s="23" t="n">
        <x:v>596</x:v>
      </x:c>
      <x:c r="N330" s="20" t="n">
        <x:f>K330*L330</x:f>
        <x:v>11184</x:v>
      </x:c>
      <x:c r="O330" s="19" t="n">
        <x:v>18332</x:v>
      </x:c>
      <x:c r="P330" s="17" t="n">
        <x:v>0.4</x:v>
      </x:c>
      <x:c r="Q330" s="20" t="n">
        <x:f>K330*O330*P330</x:f>
        <x:v>29331.2</x:v>
      </x:c>
      <x:c r="R330" s="20" t="n">
        <x:f>Q330*(1-'01 Controls'!$E$6)</x:f>
        <x:v>21998.4</x:v>
      </x:c>
      <x:c r="S330" s="19" t="n">
        <x:v>80</x:v>
      </x:c>
      <x:c r="T330" s="20" t="n">
        <x:f>K330*S330</x:f>
        <x:v>320</x:v>
      </x:c>
      <x:c r="U330" s="18" t="n">
        <x:f>'01 Controls'!E38</x:f>
        <x:v>0.05</x:v>
      </x:c>
      <x:c r="V330" s="20" t="n">
        <x:f>R330*U330</x:f>
        <x:v>1099.92</x:v>
      </x:c>
      <x:c r="W330" s="18" t="n">
        <x:f>'01 Controls'!F38</x:f>
        <x:v>0</x:v>
      </x:c>
      <x:c r="X330" s="20" t="n">
        <x:f>R330*W330</x:f>
        <x:v>0</x:v>
      </x:c>
      <x:c r="Y330" s="18" t="n">
        <x:f>'01 Controls'!G38</x:f>
        <x:v>0.95</x:v>
      </x:c>
      <x:c r="Z330" s="20" t="n">
        <x:f>R330*Y330</x:f>
        <x:v>20898.48</x:v>
      </x:c>
      <x:c r="AA330" s="18" t="n">
        <x:f>'01 Controls'!H38</x:f>
        <x:v>0</x:v>
      </x:c>
      <x:c r="AB330" s="20" t="n">
        <x:f>R330*AA330</x:f>
        <x:v>0</x:v>
      </x:c>
      <x:c r="AC330" s="20" t="n">
        <x:f>IF(H330="CM-HCG",K330*'01 Controls'!$E$24,0)</x:f>
        <x:v>0</x:v>
      </x:c>
      <x:c r="AD330" s="20" t="n">
        <x:f>IF(H330="CM-HCG",K330*'01 Controls'!$E$25,0)</x:f>
        <x:v>0</x:v>
      </x:c>
      <x:c r="AE330" s="20" t="n">
        <x:f>IF(H330="CM-HCG",K330*'01 Controls'!$E$26,0)</x:f>
        <x:v>0</x:v>
      </x:c>
      <x:c r="AF330" s="20" t="n">
        <x:f>IF(H330="CM-HCG",K330*'01 Controls'!$E$27,0)</x:f>
        <x:v>0</x:v>
      </x:c>
    </x:row>
    <x:row r="331">
      <x:c r="C331" s="22" t="str">
        <x:v>M4-I-GBG</x:v>
      </x:c>
      <x:c r="D331" s="22" t="n">
        <x:v>326</x:v>
      </x:c>
      <x:c r="E331" s="22" t="str">
        <x:v>M4</x:v>
      </x:c>
      <x:c r="F331" s="22" t="str">
        <x:v>Tornado sequence</x:v>
      </x:c>
      <x:c r="G331" s="22" t="n">
        <x:v>7</x:v>
      </x:c>
      <x:c r="H331" s="22" t="str">
        <x:v>I-GBG</x:v>
      </x:c>
      <x:c r="I331" s="22" t="str">
        <x:v>Infrastructure Restoration</x:v>
      </x:c>
      <x:c r="J331" s="22" t="str">
        <x:v>Grid bridge group</x:v>
      </x:c>
      <x:c r="K331" s="23" t="n">
        <x:v>3</x:v>
      </x:c>
      <x:c r="L331" s="23" t="n">
        <x:v>1800</x:v>
      </x:c>
      <x:c r="M331" s="23" t="n">
        <x:v>400</x:v>
      </x:c>
      <x:c r="N331" s="20" t="n">
        <x:f>K331*L331</x:f>
        <x:v>5400</x:v>
      </x:c>
      <x:c r="O331" s="19" t="n">
        <x:v>15000</x:v>
      </x:c>
      <x:c r="P331" s="17" t="n">
        <x:v>0.4</x:v>
      </x:c>
      <x:c r="Q331" s="20" t="n">
        <x:f>K331*O331*P331</x:f>
        <x:v>18000</x:v>
      </x:c>
      <x:c r="R331" s="20" t="n">
        <x:f>Q331*(1-'01 Controls'!$E$6)</x:f>
        <x:v>13500</x:v>
      </x:c>
      <x:c r="S331" s="19" t="n">
        <x:v>55</x:v>
      </x:c>
      <x:c r="T331" s="20" t="n">
        <x:f>K331*S331</x:f>
        <x:v>165</x:v>
      </x:c>
      <x:c r="U331" s="18" t="n">
        <x:f>'01 Controls'!E38</x:f>
        <x:v>0.05</x:v>
      </x:c>
      <x:c r="V331" s="20" t="n">
        <x:f>R331*U331</x:f>
        <x:v>675</x:v>
      </x:c>
      <x:c r="W331" s="18" t="n">
        <x:f>'01 Controls'!F38</x:f>
        <x:v>0</x:v>
      </x:c>
      <x:c r="X331" s="20" t="n">
        <x:f>R331*W331</x:f>
        <x:v>0</x:v>
      </x:c>
      <x:c r="Y331" s="18" t="n">
        <x:f>'01 Controls'!G38</x:f>
        <x:v>0.95</x:v>
      </x:c>
      <x:c r="Z331" s="20" t="n">
        <x:f>R331*Y331</x:f>
        <x:v>12825</x:v>
      </x:c>
      <x:c r="AA331" s="18" t="n">
        <x:f>'01 Controls'!H38</x:f>
        <x:v>0</x:v>
      </x:c>
      <x:c r="AB331" s="20" t="n">
        <x:f>R331*AA331</x:f>
        <x:v>0</x:v>
      </x:c>
      <x:c r="AC331" s="20" t="n">
        <x:f>IF(H331="CM-HCG",K331*'01 Controls'!$E$24,0)</x:f>
        <x:v>0</x:v>
      </x:c>
      <x:c r="AD331" s="20" t="n">
        <x:f>IF(H331="CM-HCG",K331*'01 Controls'!$E$25,0)</x:f>
        <x:v>0</x:v>
      </x:c>
      <x:c r="AE331" s="20" t="n">
        <x:f>IF(H331="CM-HCG",K331*'01 Controls'!$E$26,0)</x:f>
        <x:v>0</x:v>
      </x:c>
      <x:c r="AF331" s="20" t="n">
        <x:f>IF(H331="CM-HCG",K331*'01 Controls'!$E$27,0)</x:f>
        <x:v>0</x:v>
      </x:c>
    </x:row>
    <x:row r="332">
      <x:c r="C332" s="22" t="str">
        <x:v>M4-H-THC</x:v>
      </x:c>
      <x:c r="D332" s="22" t="n">
        <x:v>327</x:v>
      </x:c>
      <x:c r="E332" s="22" t="str">
        <x:v>M4</x:v>
      </x:c>
      <x:c r="F332" s="22" t="str">
        <x:v>Tornado sequence</x:v>
      </x:c>
      <x:c r="G332" s="22" t="n">
        <x:v>7</x:v>
      </x:c>
      <x:c r="H332" s="22" t="str">
        <x:v>H-THC</x:v>
      </x:c>
      <x:c r="I332" s="22" t="str">
        <x:v>Health Protection</x:v>
      </x:c>
      <x:c r="J332" s="22" t="str">
        <x:v>Theater hospital command</x:v>
      </x:c>
      <x:c r="K332" s="23" t="n">
        <x:v>3</x:v>
      </x:c>
      <x:c r="L332" s="23" t="n">
        <x:v>900</x:v>
      </x:c>
      <x:c r="M332" s="23" t="n">
        <x:v>0</x:v>
      </x:c>
      <x:c r="N332" s="20" t="n">
        <x:f>K332*L332</x:f>
        <x:v>2700</x:v>
      </x:c>
      <x:c r="O332" s="19" t="n">
        <x:v>3500</x:v>
      </x:c>
      <x:c r="P332" s="17" t="n">
        <x:v>0.7</x:v>
      </x:c>
      <x:c r="Q332" s="20" t="n">
        <x:f>K332*O332*P332</x:f>
        <x:v>7349.999999999999</x:v>
      </x:c>
      <x:c r="R332" s="20" t="n">
        <x:f>Q332*(1-'01 Controls'!$E$6)</x:f>
        <x:v>5512.499999999999</x:v>
      </x:c>
      <x:c r="S332" s="19" t="n">
        <x:v>30</x:v>
      </x:c>
      <x:c r="T332" s="20" t="n">
        <x:f>K332*S332</x:f>
        <x:v>90</x:v>
      </x:c>
      <x:c r="U332" s="18" t="n">
        <x:f>'01 Controls'!E38</x:f>
        <x:v>0.05</x:v>
      </x:c>
      <x:c r="V332" s="20" t="n">
        <x:f>R332*U332</x:f>
        <x:v>275.62499999999994</x:v>
      </x:c>
      <x:c r="W332" s="18" t="n">
        <x:f>'01 Controls'!F38</x:f>
        <x:v>0</x:v>
      </x:c>
      <x:c r="X332" s="20" t="n">
        <x:f>R332*W332</x:f>
        <x:v>0</x:v>
      </x:c>
      <x:c r="Y332" s="18" t="n">
        <x:f>'01 Controls'!G38</x:f>
        <x:v>0.95</x:v>
      </x:c>
      <x:c r="Z332" s="20" t="n">
        <x:f>R332*Y332</x:f>
        <x:v>5236.874999999999</x:v>
      </x:c>
      <x:c r="AA332" s="18" t="n">
        <x:f>'01 Controls'!H38</x:f>
        <x:v>0</x:v>
      </x:c>
      <x:c r="AB332" s="20" t="n">
        <x:f>R332*AA332</x:f>
        <x:v>0</x:v>
      </x:c>
      <x:c r="AC332" s="20" t="n">
        <x:f>IF(H332="CM-HCG",K332*'01 Controls'!$E$24,0)</x:f>
        <x:v>0</x:v>
      </x:c>
      <x:c r="AD332" s="20" t="n">
        <x:f>IF(H332="CM-HCG",K332*'01 Controls'!$E$25,0)</x:f>
        <x:v>0</x:v>
      </x:c>
      <x:c r="AE332" s="20" t="n">
        <x:f>IF(H332="CM-HCG",K332*'01 Controls'!$E$26,0)</x:f>
        <x:v>0</x:v>
      </x:c>
      <x:c r="AF332" s="20" t="n">
        <x:f>IF(H332="CM-HCG",K332*'01 Controls'!$E$27,0)</x:f>
        <x:v>0</x:v>
      </x:c>
    </x:row>
    <x:row r="333">
      <x:c r="C333" s="22" t="str">
        <x:v>M4-H-PMG</x:v>
      </x:c>
      <x:c r="D333" s="22" t="n">
        <x:v>328</x:v>
      </x:c>
      <x:c r="E333" s="22" t="str">
        <x:v>M4</x:v>
      </x:c>
      <x:c r="F333" s="22" t="str">
        <x:v>Tornado sequence</x:v>
      </x:c>
      <x:c r="G333" s="22" t="n">
        <x:v>7</x:v>
      </x:c>
      <x:c r="H333" s="22" t="str">
        <x:v>H-PMG</x:v>
      </x:c>
      <x:c r="I333" s="22" t="str">
        <x:v>Health Protection</x:v>
      </x:c>
      <x:c r="J333" s="22" t="str">
        <x:v>Patient movement group</x:v>
      </x:c>
      <x:c r="K333" s="23" t="n">
        <x:v>5</x:v>
      </x:c>
      <x:c r="L333" s="23" t="n">
        <x:v>650</x:v>
      </x:c>
      <x:c r="M333" s="23" t="n">
        <x:v>200</x:v>
      </x:c>
      <x:c r="N333" s="20" t="n">
        <x:f>K333*L333</x:f>
        <x:v>3250</x:v>
      </x:c>
      <x:c r="O333" s="19" t="n">
        <x:v>5500</x:v>
      </x:c>
      <x:c r="P333" s="17" t="n">
        <x:v>0.7</x:v>
      </x:c>
      <x:c r="Q333" s="20" t="n">
        <x:f>K333*O333*P333</x:f>
        <x:v>19250</x:v>
      </x:c>
      <x:c r="R333" s="20" t="n">
        <x:f>Q333*(1-'01 Controls'!$E$6)</x:f>
        <x:v>14437.5</x:v>
      </x:c>
      <x:c r="S333" s="19" t="n">
        <x:v>40</x:v>
      </x:c>
      <x:c r="T333" s="20" t="n">
        <x:f>K333*S333</x:f>
        <x:v>200</x:v>
      </x:c>
      <x:c r="U333" s="18" t="n">
        <x:f>'01 Controls'!E38</x:f>
        <x:v>0.05</x:v>
      </x:c>
      <x:c r="V333" s="20" t="n">
        <x:f>R333*U333</x:f>
        <x:v>721.875</x:v>
      </x:c>
      <x:c r="W333" s="18" t="n">
        <x:f>'01 Controls'!F38</x:f>
        <x:v>0</x:v>
      </x:c>
      <x:c r="X333" s="20" t="n">
        <x:f>R333*W333</x:f>
        <x:v>0</x:v>
      </x:c>
      <x:c r="Y333" s="18" t="n">
        <x:f>'01 Controls'!G38</x:f>
        <x:v>0.95</x:v>
      </x:c>
      <x:c r="Z333" s="20" t="n">
        <x:f>R333*Y333</x:f>
        <x:v>13715.625</x:v>
      </x:c>
      <x:c r="AA333" s="18" t="n">
        <x:f>'01 Controls'!H38</x:f>
        <x:v>0</x:v>
      </x:c>
      <x:c r="AB333" s="20" t="n">
        <x:f>R333*AA333</x:f>
        <x:v>0</x:v>
      </x:c>
      <x:c r="AC333" s="20" t="n">
        <x:f>IF(H333="CM-HCG",K333*'01 Controls'!$E$24,0)</x:f>
        <x:v>0</x:v>
      </x:c>
      <x:c r="AD333" s="20" t="n">
        <x:f>IF(H333="CM-HCG",K333*'01 Controls'!$E$25,0)</x:f>
        <x:v>0</x:v>
      </x:c>
      <x:c r="AE333" s="20" t="n">
        <x:f>IF(H333="CM-HCG",K333*'01 Controls'!$E$26,0)</x:f>
        <x:v>0</x:v>
      </x:c>
      <x:c r="AF333" s="20" t="n">
        <x:f>IF(H333="CM-HCG",K333*'01 Controls'!$E$27,0)</x:f>
        <x:v>0</x:v>
      </x:c>
    </x:row>
    <x:row r="334">
      <x:c r="C334" s="22" t="str">
        <x:v>M4-C-ERG</x:v>
      </x:c>
      <x:c r="D334" s="22" t="n">
        <x:v>329</x:v>
      </x:c>
      <x:c r="E334" s="22" t="str">
        <x:v>M4</x:v>
      </x:c>
      <x:c r="F334" s="22" t="str">
        <x:v>Tornado sequence</x:v>
      </x:c>
      <x:c r="G334" s="22" t="n">
        <x:v>7</x:v>
      </x:c>
      <x:c r="H334" s="22" t="str">
        <x:v>C-ERG</x:v>
      </x:c>
      <x:c r="I334" s="22" t="str">
        <x:v>Community Stabilization</x:v>
      </x:c>
      <x:c r="J334" s="22" t="str">
        <x:v>Economic restart group</x:v>
      </x:c>
      <x:c r="K334" s="23" t="n">
        <x:v>5</x:v>
      </x:c>
      <x:c r="L334" s="23" t="n">
        <x:v>350</x:v>
      </x:c>
      <x:c r="M334" s="23" t="n">
        <x:v>0</x:v>
      </x:c>
      <x:c r="N334" s="20" t="n">
        <x:f>K334*L334</x:f>
        <x:v>1750</x:v>
      </x:c>
      <x:c r="O334" s="19" t="n">
        <x:v>2500</x:v>
      </x:c>
      <x:c r="P334" s="17" t="n">
        <x:v>0.65</x:v>
      </x:c>
      <x:c r="Q334" s="20" t="n">
        <x:f>K334*O334*P334</x:f>
        <x:v>8125</x:v>
      </x:c>
      <x:c r="R334" s="20" t="n">
        <x:f>Q334*(1-'01 Controls'!$E$6)</x:f>
        <x:v>6093.75</x:v>
      </x:c>
      <x:c r="S334" s="19" t="n">
        <x:v>30</x:v>
      </x:c>
      <x:c r="T334" s="20" t="n">
        <x:f>K334*S334</x:f>
        <x:v>150</x:v>
      </x:c>
      <x:c r="U334" s="18" t="n">
        <x:f>'01 Controls'!E38</x:f>
        <x:v>0.05</x:v>
      </x:c>
      <x:c r="V334" s="20" t="n">
        <x:f>R334*U334</x:f>
        <x:v>304.6875</x:v>
      </x:c>
      <x:c r="W334" s="18" t="n">
        <x:f>'01 Controls'!F38</x:f>
        <x:v>0</x:v>
      </x:c>
      <x:c r="X334" s="20" t="n">
        <x:f>R334*W334</x:f>
        <x:v>0</x:v>
      </x:c>
      <x:c r="Y334" s="18" t="n">
        <x:f>'01 Controls'!G38</x:f>
        <x:v>0.95</x:v>
      </x:c>
      <x:c r="Z334" s="20" t="n">
        <x:f>R334*Y334</x:f>
        <x:v>5789.0625</x:v>
      </x:c>
      <x:c r="AA334" s="18" t="n">
        <x:f>'01 Controls'!H38</x:f>
        <x:v>0</x:v>
      </x:c>
      <x:c r="AB334" s="20" t="n">
        <x:f>R334*AA334</x:f>
        <x:v>0</x:v>
      </x:c>
      <x:c r="AC334" s="20" t="n">
        <x:f>IF(H334="CM-HCG",K334*'01 Controls'!$E$24,0)</x:f>
        <x:v>0</x:v>
      </x:c>
      <x:c r="AD334" s="20" t="n">
        <x:f>IF(H334="CM-HCG",K334*'01 Controls'!$E$25,0)</x:f>
        <x:v>0</x:v>
      </x:c>
      <x:c r="AE334" s="20" t="n">
        <x:f>IF(H334="CM-HCG",K334*'01 Controls'!$E$26,0)</x:f>
        <x:v>0</x:v>
      </x:c>
      <x:c r="AF334" s="20" t="n">
        <x:f>IF(H334="CM-HCG",K334*'01 Controls'!$E$27,0)</x:f>
        <x:v>0</x:v>
      </x:c>
    </x:row>
    <x:row r="335">
      <x:c r="C335" s="22" t="str">
        <x:v>M4-CM-HCG</x:v>
      </x:c>
      <x:c r="D335" s="22" t="n">
        <x:v>330</x:v>
      </x:c>
      <x:c r="E335" s="22" t="str">
        <x:v>M4</x:v>
      </x:c>
      <x:c r="F335" s="22" t="str">
        <x:v>Tornado sequence</x:v>
      </x:c>
      <x:c r="G335" s="22" t="n">
        <x:v>7</x:v>
      </x:c>
      <x:c r="H335" s="22" t="str">
        <x:v>CM-HCG</x:v>
      </x:c>
      <x:c r="I335" s="22" t="str">
        <x:v>Civil Mobility and Continuity</x:v>
      </x:c>
      <x:c r="J335" s="22" t="str">
        <x:v>Household collection group</x:v>
      </x:c>
      <x:c r="K335" s="23" t="n">
        <x:v>6</x:v>
      </x:c>
      <x:c r="L335" s="23" t="n">
        <x:v>7587</x:v>
      </x:c>
      <x:c r="M335" s="23" t="n">
        <x:v>2000</x:v>
      </x:c>
      <x:c r="N335" s="20" t="n">
        <x:f>K335*L335</x:f>
        <x:v>45522</x:v>
      </x:c>
      <x:c r="O335" s="19" t="n">
        <x:v>6388</x:v>
      </x:c>
      <x:c r="P335" s="17" t="n">
        <x:v>0.7</x:v>
      </x:c>
      <x:c r="Q335" s="20" t="n">
        <x:f>K335*O335*P335</x:f>
        <x:v>26829.6</x:v>
      </x:c>
      <x:c r="R335" s="20" t="n">
        <x:f>Q335*(1-'01 Controls'!$E$6)</x:f>
        <x:v>20122.199999999997</x:v>
      </x:c>
      <x:c r="S335" s="19" t="n">
        <x:v>45</x:v>
      </x:c>
      <x:c r="T335" s="20" t="n">
        <x:f>K335*S335</x:f>
        <x:v>270</x:v>
      </x:c>
      <x:c r="U335" s="18" t="n">
        <x:f>'01 Controls'!E38</x:f>
        <x:v>0.05</x:v>
      </x:c>
      <x:c r="V335" s="20" t="n">
        <x:f>R335*U335</x:f>
        <x:v>1006.1099999999999</x:v>
      </x:c>
      <x:c r="W335" s="18" t="n">
        <x:f>'01 Controls'!F38</x:f>
        <x:v>0</x:v>
      </x:c>
      <x:c r="X335" s="20" t="n">
        <x:f>R335*W335</x:f>
        <x:v>0</x:v>
      </x:c>
      <x:c r="Y335" s="18" t="n">
        <x:f>'01 Controls'!G38</x:f>
        <x:v>0.95</x:v>
      </x:c>
      <x:c r="Z335" s="20" t="n">
        <x:f>R335*Y335</x:f>
        <x:v>19116.089999999997</x:v>
      </x:c>
      <x:c r="AA335" s="18" t="n">
        <x:f>'01 Controls'!H38</x:f>
        <x:v>0</x:v>
      </x:c>
      <x:c r="AB335" s="20" t="n">
        <x:f>R335*AA335</x:f>
        <x:v>0</x:v>
      </x:c>
      <x:c r="AC335" s="20" t="n">
        <x:f>IF(H335="CM-HCG",K335*'01 Controls'!$E$24,0)</x:f>
        <x:v>204</x:v>
      </x:c>
      <x:c r="AD335" s="20" t="n">
        <x:f>IF(H335="CM-HCG",K335*'01 Controls'!$E$25,0)</x:f>
        <x:v>42</x:v>
      </x:c>
      <x:c r="AE335" s="20" t="n">
        <x:f>IF(H335="CM-HCG",K335*'01 Controls'!$E$26,0)</x:f>
        <x:v>60</x:v>
      </x:c>
      <x:c r="AF335" s="20" t="n">
        <x:f>IF(H335="CM-HCG",K335*'01 Controls'!$E$27,0)</x:f>
        <x:v>54</x:v>
      </x:c>
    </x:row>
    <x:row r="336">
      <x:c r="C336" s="22" t="str">
        <x:v>M4-CM-CTN</x:v>
      </x:c>
      <x:c r="D336" s="22" t="n">
        <x:v>331</x:v>
      </x:c>
      <x:c r="E336" s="22" t="str">
        <x:v>M4</x:v>
      </x:c>
      <x:c r="F336" s="22" t="str">
        <x:v>Tornado sequence</x:v>
      </x:c>
      <x:c r="G336" s="22" t="n">
        <x:v>7</x:v>
      </x:c>
      <x:c r="H336" s="22" t="str">
        <x:v>CM-CTN</x:v>
      </x:c>
      <x:c r="I336" s="22" t="str">
        <x:v>Civil Mobility and Continuity</x:v>
      </x:c>
      <x:c r="J336" s="22" t="str">
        <x:v>Continuity transfer-node group</x:v>
      </x:c>
      <x:c r="K336" s="23" t="n">
        <x:v>5</x:v>
      </x:c>
      <x:c r="L336" s="23" t="n">
        <x:v>2289</x:v>
      </x:c>
      <x:c r="M336" s="23" t="n">
        <x:v>489</x:v>
      </x:c>
      <x:c r="N336" s="20" t="n">
        <x:f>K336*L336</x:f>
        <x:v>11445</x:v>
      </x:c>
      <x:c r="O336" s="19" t="n">
        <x:v>4513</x:v>
      </x:c>
      <x:c r="P336" s="17" t="n">
        <x:v>0.7</x:v>
      </x:c>
      <x:c r="Q336" s="20" t="n">
        <x:f>K336*O336*P336</x:f>
        <x:v>15795.499999999998</x:v>
      </x:c>
      <x:c r="R336" s="20" t="n">
        <x:f>Q336*(1-'01 Controls'!$E$6)</x:f>
        <x:v>11846.624999999998</x:v>
      </x:c>
      <x:c r="S336" s="19" t="n">
        <x:v>35</x:v>
      </x:c>
      <x:c r="T336" s="20" t="n">
        <x:f>K336*S336</x:f>
        <x:v>175</x:v>
      </x:c>
      <x:c r="U336" s="18" t="n">
        <x:f>'01 Controls'!E38</x:f>
        <x:v>0.05</x:v>
      </x:c>
      <x:c r="V336" s="20" t="n">
        <x:f>R336*U336</x:f>
        <x:v>592.33125</x:v>
      </x:c>
      <x:c r="W336" s="18" t="n">
        <x:f>'01 Controls'!F38</x:f>
        <x:v>0</x:v>
      </x:c>
      <x:c r="X336" s="20" t="n">
        <x:f>R336*W336</x:f>
        <x:v>0</x:v>
      </x:c>
      <x:c r="Y336" s="18" t="n">
        <x:f>'01 Controls'!G38</x:f>
        <x:v>0.95</x:v>
      </x:c>
      <x:c r="Z336" s="20" t="n">
        <x:f>R336*Y336</x:f>
        <x:v>11254.293749999997</x:v>
      </x:c>
      <x:c r="AA336" s="18" t="n">
        <x:f>'01 Controls'!H38</x:f>
        <x:v>0</x:v>
      </x:c>
      <x:c r="AB336" s="20" t="n">
        <x:f>R336*AA336</x:f>
        <x:v>0</x:v>
      </x:c>
      <x:c r="AC336" s="20" t="n">
        <x:f>IF(H336="CM-HCG",K336*'01 Controls'!$E$24,0)</x:f>
        <x:v>0</x:v>
      </x:c>
      <x:c r="AD336" s="20" t="n">
        <x:f>IF(H336="CM-HCG",K336*'01 Controls'!$E$25,0)</x:f>
        <x:v>0</x:v>
      </x:c>
      <x:c r="AE336" s="20" t="n">
        <x:f>IF(H336="CM-HCG",K336*'01 Controls'!$E$26,0)</x:f>
        <x:v>0</x:v>
      </x:c>
      <x:c r="AF336" s="20" t="n">
        <x:f>IF(H336="CM-HCG",K336*'01 Controls'!$E$27,0)</x:f>
        <x:v>0</x:v>
      </x:c>
    </x:row>
    <x:row r="337">
      <x:c r="C337" s="22" t="str">
        <x:v>M4-CM-RMG</x:v>
      </x:c>
      <x:c r="D337" s="22" t="n">
        <x:v>332</x:v>
      </x:c>
      <x:c r="E337" s="22" t="str">
        <x:v>M4</x:v>
      </x:c>
      <x:c r="F337" s="22" t="str">
        <x:v>Tornado sequence</x:v>
      </x:c>
      <x:c r="G337" s="22" t="n">
        <x:v>7</x:v>
      </x:c>
      <x:c r="H337" s="22" t="str">
        <x:v>CM-RMG</x:v>
      </x:c>
      <x:c r="I337" s="22" t="str">
        <x:v>Civil Mobility and Continuity</x:v>
      </x:c>
      <x:c r="J337" s="22" t="str">
        <x:v>Civil road-mobility group</x:v>
      </x:c>
      <x:c r="K337" s="23" t="n">
        <x:v>8</x:v>
      </x:c>
      <x:c r="L337" s="23" t="n">
        <x:v>900</x:v>
      </x:c>
      <x:c r="M337" s="23" t="n">
        <x:v>250</x:v>
      </x:c>
      <x:c r="N337" s="20" t="n">
        <x:f>K337*L337</x:f>
        <x:v>7200</x:v>
      </x:c>
      <x:c r="O337" s="19" t="n">
        <x:v>5000</x:v>
      </x:c>
      <x:c r="P337" s="17" t="n">
        <x:v>0.7</x:v>
      </x:c>
      <x:c r="Q337" s="20" t="n">
        <x:f>K337*O337*P337</x:f>
        <x:v>28000</x:v>
      </x:c>
      <x:c r="R337" s="20" t="n">
        <x:f>Q337*(1-'01 Controls'!$E$6)</x:f>
        <x:v>21000</x:v>
      </x:c>
      <x:c r="S337" s="19" t="n">
        <x:v>45</x:v>
      </x:c>
      <x:c r="T337" s="20" t="n">
        <x:f>K337*S337</x:f>
        <x:v>360</x:v>
      </x:c>
      <x:c r="U337" s="18" t="n">
        <x:f>'01 Controls'!E38</x:f>
        <x:v>0.05</x:v>
      </x:c>
      <x:c r="V337" s="20" t="n">
        <x:f>R337*U337</x:f>
        <x:v>1050</x:v>
      </x:c>
      <x:c r="W337" s="18" t="n">
        <x:f>'01 Controls'!F38</x:f>
        <x:v>0</x:v>
      </x:c>
      <x:c r="X337" s="20" t="n">
        <x:f>R337*W337</x:f>
        <x:v>0</x:v>
      </x:c>
      <x:c r="Y337" s="18" t="n">
        <x:f>'01 Controls'!G38</x:f>
        <x:v>0.95</x:v>
      </x:c>
      <x:c r="Z337" s="20" t="n">
        <x:f>R337*Y337</x:f>
        <x:v>19950</x:v>
      </x:c>
      <x:c r="AA337" s="18" t="n">
        <x:f>'01 Controls'!H38</x:f>
        <x:v>0</x:v>
      </x:c>
      <x:c r="AB337" s="20" t="n">
        <x:f>R337*AA337</x:f>
        <x:v>0</x:v>
      </x:c>
      <x:c r="AC337" s="20" t="n">
        <x:f>IF(H337="CM-HCG",K337*'01 Controls'!$E$24,0)</x:f>
        <x:v>0</x:v>
      </x:c>
      <x:c r="AD337" s="20" t="n">
        <x:f>IF(H337="CM-HCG",K337*'01 Controls'!$E$25,0)</x:f>
        <x:v>0</x:v>
      </x:c>
      <x:c r="AE337" s="20" t="n">
        <x:f>IF(H337="CM-HCG",K337*'01 Controls'!$E$26,0)</x:f>
        <x:v>0</x:v>
      </x:c>
      <x:c r="AF337" s="20" t="n">
        <x:f>IF(H337="CM-HCG",K337*'01 Controls'!$E$27,0)</x:f>
        <x:v>0</x:v>
      </x:c>
    </x:row>
    <x:row r="338">
      <x:c r="C338" s="22" t="str">
        <x:v>M4-CM-RLG</x:v>
      </x:c>
      <x:c r="D338" s="22" t="n">
        <x:v>333</x:v>
      </x:c>
      <x:c r="E338" s="22" t="str">
        <x:v>M4</x:v>
      </x:c>
      <x:c r="F338" s="22" t="str">
        <x:v>Tornado sequence</x:v>
      </x:c>
      <x:c r="G338" s="22" t="n">
        <x:v>7</x:v>
      </x:c>
      <x:c r="H338" s="22" t="str">
        <x:v>CM-RLG</x:v>
      </x:c>
      <x:c r="I338" s="22" t="str">
        <x:v>Civil Mobility and Continuity</x:v>
      </x:c>
      <x:c r="J338" s="22" t="str">
        <x:v>Civil rail-mobility group</x:v>
      </x:c>
      <x:c r="K338" s="23" t="n">
        <x:v>3</x:v>
      </x:c>
      <x:c r="L338" s="23" t="n">
        <x:v>500</x:v>
      </x:c>
      <x:c r="M338" s="23" t="n">
        <x:v>100</x:v>
      </x:c>
      <x:c r="N338" s="20" t="n">
        <x:f>K338*L338</x:f>
        <x:v>1500</x:v>
      </x:c>
      <x:c r="O338" s="19" t="n">
        <x:v>8000</x:v>
      </x:c>
      <x:c r="P338" s="17" t="n">
        <x:v>0.6</x:v>
      </x:c>
      <x:c r="Q338" s="20" t="n">
        <x:f>K338*O338*P338</x:f>
        <x:v>14400</x:v>
      </x:c>
      <x:c r="R338" s="20" t="n">
        <x:f>Q338*(1-'01 Controls'!$E$6)</x:f>
        <x:v>10800</x:v>
      </x:c>
      <x:c r="S338" s="19" t="n">
        <x:v>40</x:v>
      </x:c>
      <x:c r="T338" s="20" t="n">
        <x:f>K338*S338</x:f>
        <x:v>120</x:v>
      </x:c>
      <x:c r="U338" s="18" t="n">
        <x:f>'01 Controls'!E38</x:f>
        <x:v>0.05</x:v>
      </x:c>
      <x:c r="V338" s="20" t="n">
        <x:f>R338*U338</x:f>
        <x:v>540</x:v>
      </x:c>
      <x:c r="W338" s="18" t="n">
        <x:f>'01 Controls'!F38</x:f>
        <x:v>0</x:v>
      </x:c>
      <x:c r="X338" s="20" t="n">
        <x:f>R338*W338</x:f>
        <x:v>0</x:v>
      </x:c>
      <x:c r="Y338" s="18" t="n">
        <x:f>'01 Controls'!G38</x:f>
        <x:v>0.95</x:v>
      </x:c>
      <x:c r="Z338" s="20" t="n">
        <x:f>R338*Y338</x:f>
        <x:v>10260</x:v>
      </x:c>
      <x:c r="AA338" s="18" t="n">
        <x:f>'01 Controls'!H38</x:f>
        <x:v>0</x:v>
      </x:c>
      <x:c r="AB338" s="20" t="n">
        <x:f>R338*AA338</x:f>
        <x:v>0</x:v>
      </x:c>
      <x:c r="AC338" s="20" t="n">
        <x:f>IF(H338="CM-HCG",K338*'01 Controls'!$E$24,0)</x:f>
        <x:v>0</x:v>
      </x:c>
      <x:c r="AD338" s="20" t="n">
        <x:f>IF(H338="CM-HCG",K338*'01 Controls'!$E$25,0)</x:f>
        <x:v>0</x:v>
      </x:c>
      <x:c r="AE338" s="20" t="n">
        <x:f>IF(H338="CM-HCG",K338*'01 Controls'!$E$26,0)</x:f>
        <x:v>0</x:v>
      </x:c>
      <x:c r="AF338" s="20" t="n">
        <x:f>IF(H338="CM-HCG",K338*'01 Controls'!$E$27,0)</x:f>
        <x:v>0</x:v>
      </x:c>
    </x:row>
    <x:row r="339">
      <x:c r="C339" s="22" t="str">
        <x:v>M4-CM-AMG</x:v>
      </x:c>
      <x:c r="D339" s="22" t="n">
        <x:v>334</x:v>
      </x:c>
      <x:c r="E339" s="22" t="str">
        <x:v>M4</x:v>
      </x:c>
      <x:c r="F339" s="22" t="str">
        <x:v>Tornado sequence</x:v>
      </x:c>
      <x:c r="G339" s="22" t="n">
        <x:v>7</x:v>
      </x:c>
      <x:c r="H339" s="22" t="str">
        <x:v>CM-AMG</x:v>
      </x:c>
      <x:c r="I339" s="22" t="str">
        <x:v>Civil Mobility and Continuity</x:v>
      </x:c>
      <x:c r="J339" s="22" t="str">
        <x:v>Civil air-mobility group</x:v>
      </x:c>
      <x:c r="K339" s="23" t="n">
        <x:v>3</x:v>
      </x:c>
      <x:c r="L339" s="23" t="n">
        <x:v>600</x:v>
      </x:c>
      <x:c r="M339" s="23" t="n">
        <x:v>200</x:v>
      </x:c>
      <x:c r="N339" s="20" t="n">
        <x:f>K339*L339</x:f>
        <x:v>1800</x:v>
      </x:c>
      <x:c r="O339" s="19" t="n">
        <x:v>6000</x:v>
      </x:c>
      <x:c r="P339" s="17" t="n">
        <x:v>0.75</x:v>
      </x:c>
      <x:c r="Q339" s="20" t="n">
        <x:f>K339*O339*P339</x:f>
        <x:v>13500</x:v>
      </x:c>
      <x:c r="R339" s="20" t="n">
        <x:f>Q339*(1-'01 Controls'!$E$6)</x:f>
        <x:v>10125</x:v>
      </x:c>
      <x:c r="S339" s="19" t="n">
        <x:v>55</x:v>
      </x:c>
      <x:c r="T339" s="20" t="n">
        <x:f>K339*S339</x:f>
        <x:v>165</x:v>
      </x:c>
      <x:c r="U339" s="18" t="n">
        <x:f>'01 Controls'!E38</x:f>
        <x:v>0.05</x:v>
      </x:c>
      <x:c r="V339" s="20" t="n">
        <x:f>R339*U339</x:f>
        <x:v>506.25</x:v>
      </x:c>
      <x:c r="W339" s="18" t="n">
        <x:f>'01 Controls'!F38</x:f>
        <x:v>0</x:v>
      </x:c>
      <x:c r="X339" s="20" t="n">
        <x:f>R339*W339</x:f>
        <x:v>0</x:v>
      </x:c>
      <x:c r="Y339" s="18" t="n">
        <x:f>'01 Controls'!G38</x:f>
        <x:v>0.95</x:v>
      </x:c>
      <x:c r="Z339" s="20" t="n">
        <x:f>R339*Y339</x:f>
        <x:v>9618.75</x:v>
      </x:c>
      <x:c r="AA339" s="18" t="n">
        <x:f>'01 Controls'!H38</x:f>
        <x:v>0</x:v>
      </x:c>
      <x:c r="AB339" s="20" t="n">
        <x:f>R339*AA339</x:f>
        <x:v>0</x:v>
      </x:c>
      <x:c r="AC339" s="20" t="n">
        <x:f>IF(H339="CM-HCG",K339*'01 Controls'!$E$24,0)</x:f>
        <x:v>0</x:v>
      </x:c>
      <x:c r="AD339" s="20" t="n">
        <x:f>IF(H339="CM-HCG",K339*'01 Controls'!$E$25,0)</x:f>
        <x:v>0</x:v>
      </x:c>
      <x:c r="AE339" s="20" t="n">
        <x:f>IF(H339="CM-HCG",K339*'01 Controls'!$E$26,0)</x:f>
        <x:v>0</x:v>
      </x:c>
      <x:c r="AF339" s="20" t="n">
        <x:f>IF(H339="CM-HCG",K339*'01 Controls'!$E$27,0)</x:f>
        <x:v>0</x:v>
      </x:c>
    </x:row>
    <x:row r="340">
      <x:c r="C340" s="22" t="str">
        <x:v>M4-CM-WMG</x:v>
      </x:c>
      <x:c r="D340" s="22" t="n">
        <x:v>335</x:v>
      </x:c>
      <x:c r="E340" s="22" t="str">
        <x:v>M4</x:v>
      </x:c>
      <x:c r="F340" s="22" t="str">
        <x:v>Tornado sequence</x:v>
      </x:c>
      <x:c r="G340" s="22" t="n">
        <x:v>7</x:v>
      </x:c>
      <x:c r="H340" s="22" t="str">
        <x:v>CM-WMG</x:v>
      </x:c>
      <x:c r="I340" s="22" t="str">
        <x:v>Civil Mobility and Continuity</x:v>
      </x:c>
      <x:c r="J340" s="22" t="str">
        <x:v>Civil water-mobility group</x:v>
      </x:c>
      <x:c r="K340" s="23" t="n">
        <x:v>2</x:v>
      </x:c>
      <x:c r="L340" s="23" t="n">
        <x:v>500</x:v>
      </x:c>
      <x:c r="M340" s="23" t="n">
        <x:v>100</x:v>
      </x:c>
      <x:c r="N340" s="20" t="n">
        <x:f>K340*L340</x:f>
        <x:v>1000</x:v>
      </x:c>
      <x:c r="O340" s="19" t="n">
        <x:v>9000</x:v>
      </x:c>
      <x:c r="P340" s="17" t="n">
        <x:v>0.5</x:v>
      </x:c>
      <x:c r="Q340" s="20" t="n">
        <x:f>K340*O340*P340</x:f>
        <x:v>9000</x:v>
      </x:c>
      <x:c r="R340" s="20" t="n">
        <x:f>Q340*(1-'01 Controls'!$E$6)</x:f>
        <x:v>6750</x:v>
      </x:c>
      <x:c r="S340" s="19" t="n">
        <x:v>50</x:v>
      </x:c>
      <x:c r="T340" s="20" t="n">
        <x:f>K340*S340</x:f>
        <x:v>100</x:v>
      </x:c>
      <x:c r="U340" s="18" t="n">
        <x:f>'01 Controls'!E38</x:f>
        <x:v>0.05</x:v>
      </x:c>
      <x:c r="V340" s="20" t="n">
        <x:f>R340*U340</x:f>
        <x:v>337.5</x:v>
      </x:c>
      <x:c r="W340" s="18" t="n">
        <x:f>'01 Controls'!F38</x:f>
        <x:v>0</x:v>
      </x:c>
      <x:c r="X340" s="20" t="n">
        <x:f>R340*W340</x:f>
        <x:v>0</x:v>
      </x:c>
      <x:c r="Y340" s="18" t="n">
        <x:f>'01 Controls'!G38</x:f>
        <x:v>0.95</x:v>
      </x:c>
      <x:c r="Z340" s="20" t="n">
        <x:f>R340*Y340</x:f>
        <x:v>6412.5</x:v>
      </x:c>
      <x:c r="AA340" s="18" t="n">
        <x:f>'01 Controls'!H38</x:f>
        <x:v>0</x:v>
      </x:c>
      <x:c r="AB340" s="20" t="n">
        <x:f>R340*AA340</x:f>
        <x:v>0</x:v>
      </x:c>
      <x:c r="AC340" s="20" t="n">
        <x:f>IF(H340="CM-HCG",K340*'01 Controls'!$E$24,0)</x:f>
        <x:v>0</x:v>
      </x:c>
      <x:c r="AD340" s="20" t="n">
        <x:f>IF(H340="CM-HCG",K340*'01 Controls'!$E$25,0)</x:f>
        <x:v>0</x:v>
      </x:c>
      <x:c r="AE340" s="20" t="n">
        <x:f>IF(H340="CM-HCG",K340*'01 Controls'!$E$26,0)</x:f>
        <x:v>0</x:v>
      </x:c>
      <x:c r="AF340" s="20" t="n">
        <x:f>IF(H340="CM-HCG",K340*'01 Controls'!$E$27,0)</x:f>
        <x:v>0</x:v>
      </x:c>
    </x:row>
    <x:row r="341">
      <x:c r="C341" s="22" t="str">
        <x:v>M4-CM-RDC</x:v>
      </x:c>
      <x:c r="D341" s="22" t="n">
        <x:v>336</x:v>
      </x:c>
      <x:c r="E341" s="22" t="str">
        <x:v>M4</x:v>
      </x:c>
      <x:c r="F341" s="22" t="str">
        <x:v>Tornado sequence</x:v>
      </x:c>
      <x:c r="G341" s="22" t="n">
        <x:v>7</x:v>
      </x:c>
      <x:c r="H341" s="22" t="str">
        <x:v>CM-RDC</x:v>
      </x:c>
      <x:c r="I341" s="22" t="str">
        <x:v>Civil Mobility and Continuity</x:v>
      </x:c>
      <x:c r="J341" s="22" t="str">
        <x:v>Return and durable-continuity group</x:v>
      </x:c>
      <x:c r="K341" s="23" t="n">
        <x:v>5</x:v>
      </x:c>
      <x:c r="L341" s="23" t="n">
        <x:v>450</x:v>
      </x:c>
      <x:c r="M341" s="23" t="n">
        <x:v>50</x:v>
      </x:c>
      <x:c r="N341" s="20" t="n">
        <x:f>K341*L341</x:f>
        <x:v>2250</x:v>
      </x:c>
      <x:c r="O341" s="19" t="n">
        <x:v>1800</x:v>
      </x:c>
      <x:c r="P341" s="17" t="n">
        <x:v>0.5</x:v>
      </x:c>
      <x:c r="Q341" s="20" t="n">
        <x:f>K341*O341*P341</x:f>
        <x:v>4500</x:v>
      </x:c>
      <x:c r="R341" s="20" t="n">
        <x:f>Q341*(1-'01 Controls'!$E$6)</x:f>
        <x:v>3375</x:v>
      </x:c>
      <x:c r="S341" s="19" t="n">
        <x:v>25</x:v>
      </x:c>
      <x:c r="T341" s="20" t="n">
        <x:f>K341*S341</x:f>
        <x:v>125</x:v>
      </x:c>
      <x:c r="U341" s="18" t="n">
        <x:f>'01 Controls'!E38</x:f>
        <x:v>0.05</x:v>
      </x:c>
      <x:c r="V341" s="20" t="n">
        <x:f>R341*U341</x:f>
        <x:v>168.75</x:v>
      </x:c>
      <x:c r="W341" s="18" t="n">
        <x:f>'01 Controls'!F38</x:f>
        <x:v>0</x:v>
      </x:c>
      <x:c r="X341" s="20" t="n">
        <x:f>R341*W341</x:f>
        <x:v>0</x:v>
      </x:c>
      <x:c r="Y341" s="18" t="n">
        <x:f>'01 Controls'!G38</x:f>
        <x:v>0.95</x:v>
      </x:c>
      <x:c r="Z341" s="20" t="n">
        <x:f>R341*Y341</x:f>
        <x:v>3206.25</x:v>
      </x:c>
      <x:c r="AA341" s="18" t="n">
        <x:f>'01 Controls'!H38</x:f>
        <x:v>0</x:v>
      </x:c>
      <x:c r="AB341" s="20" t="n">
        <x:f>R341*AA341</x:f>
        <x:v>0</x:v>
      </x:c>
      <x:c r="AC341" s="20" t="n">
        <x:f>IF(H341="CM-HCG",K341*'01 Controls'!$E$24,0)</x:f>
        <x:v>0</x:v>
      </x:c>
      <x:c r="AD341" s="20" t="n">
        <x:f>IF(H341="CM-HCG",K341*'01 Controls'!$E$25,0)</x:f>
        <x:v>0</x:v>
      </x:c>
      <x:c r="AE341" s="20" t="n">
        <x:f>IF(H341="CM-HCG",K341*'01 Controls'!$E$26,0)</x:f>
        <x:v>0</x:v>
      </x:c>
      <x:c r="AF341" s="20" t="n">
        <x:f>IF(H341="CM-HCG",K341*'01 Controls'!$E$27,0)</x:f>
        <x:v>0</x:v>
      </x:c>
    </x:row>
    <x:row r="342">
      <x:c r="C342" s="22" t="str">
        <x:v>M5-J-CIE</x:v>
      </x:c>
      <x:c r="D342" s="22" t="n">
        <x:v>337</x:v>
      </x:c>
      <x:c r="E342" s="22" t="str">
        <x:v>M5</x:v>
      </x:c>
      <x:c r="F342" s="22" t="str">
        <x:v>Drought and water</x:v>
      </x:c>
      <x:c r="G342" s="22" t="n">
        <x:v>8</x:v>
      </x:c>
      <x:c r="H342" s="22" t="str">
        <x:v>J-CIE</x:v>
      </x:c>
      <x:c r="I342" s="22" t="str">
        <x:v>Joint</x:v>
      </x:c>
      <x:c r="J342" s="22" t="str">
        <x:v>Civil integration and effects group</x:v>
      </x:c>
      <x:c r="K342" s="23" t="n">
        <x:v>3</x:v>
      </x:c>
      <x:c r="L342" s="23" t="n">
        <x:v>120</x:v>
      </x:c>
      <x:c r="M342" s="23" t="n">
        <x:v>0</x:v>
      </x:c>
      <x:c r="N342" s="20" t="n">
        <x:f>K342*L342</x:f>
        <x:v>360</x:v>
      </x:c>
      <x:c r="O342" s="19" t="n">
        <x:v>2200</x:v>
      </x:c>
      <x:c r="P342" s="17" t="n">
        <x:v>0.65</x:v>
      </x:c>
      <x:c r="Q342" s="20" t="n">
        <x:f>K342*O342*P342</x:f>
        <x:v>4290</x:v>
      </x:c>
      <x:c r="R342" s="20" t="n">
        <x:f>Q342*(1-'01 Controls'!$E$6)</x:f>
        <x:v>3217.5</x:v>
      </x:c>
      <x:c r="S342" s="19" t="n">
        <x:v>45</x:v>
      </x:c>
      <x:c r="T342" s="20" t="n">
        <x:f>K342*S342</x:f>
        <x:v>135</x:v>
      </x:c>
      <x:c r="U342" s="18" t="n">
        <x:f>'01 Controls'!E39</x:f>
        <x:v>0.05</x:v>
      </x:c>
      <x:c r="V342" s="20" t="n">
        <x:f>R342*U342</x:f>
        <x:v>160.875</x:v>
      </x:c>
      <x:c r="W342" s="18" t="n">
        <x:f>'01 Controls'!F39</x:f>
        <x:v>0</x:v>
      </x:c>
      <x:c r="X342" s="20" t="n">
        <x:f>R342*W342</x:f>
        <x:v>0</x:v>
      </x:c>
      <x:c r="Y342" s="18" t="n">
        <x:f>'01 Controls'!G39</x:f>
        <x:v>0.8</x:v>
      </x:c>
      <x:c r="Z342" s="20" t="n">
        <x:f>R342*Y342</x:f>
        <x:v>2574</x:v>
      </x:c>
      <x:c r="AA342" s="18" t="n">
        <x:f>'01 Controls'!H39</x:f>
        <x:v>0.15</x:v>
      </x:c>
      <x:c r="AB342" s="20" t="n">
        <x:f>R342*AA342</x:f>
        <x:v>482.625</x:v>
      </x:c>
      <x:c r="AC342" s="20" t="n">
        <x:f>IF(H342="CM-HCG",K342*'01 Controls'!$E$24,0)</x:f>
        <x:v>0</x:v>
      </x:c>
      <x:c r="AD342" s="20" t="n">
        <x:f>IF(H342="CM-HCG",K342*'01 Controls'!$E$25,0)</x:f>
        <x:v>0</x:v>
      </x:c>
      <x:c r="AE342" s="20" t="n">
        <x:f>IF(H342="CM-HCG",K342*'01 Controls'!$E$26,0)</x:f>
        <x:v>0</x:v>
      </x:c>
      <x:c r="AF342" s="20" t="n">
        <x:f>IF(H342="CM-HCG",K342*'01 Controls'!$E$27,0)</x:f>
        <x:v>0</x:v>
      </x:c>
    </x:row>
    <x:row r="343">
      <x:c r="C343" s="22" t="str">
        <x:v>M5-J-TOC</x:v>
      </x:c>
      <x:c r="D343" s="22" t="n">
        <x:v>338</x:v>
      </x:c>
      <x:c r="E343" s="22" t="str">
        <x:v>M5</x:v>
      </x:c>
      <x:c r="F343" s="22" t="str">
        <x:v>Drought and water</x:v>
      </x:c>
      <x:c r="G343" s="22" t="n">
        <x:v>8</x:v>
      </x:c>
      <x:c r="H343" s="22" t="str">
        <x:v>J-TOC</x:v>
      </x:c>
      <x:c r="I343" s="22" t="str">
        <x:v>Joint</x:v>
      </x:c>
      <x:c r="J343" s="22" t="str">
        <x:v>Theater-opening command</x:v>
      </x:c>
      <x:c r="K343" s="23" t="n">
        <x:v>2</x:v>
      </x:c>
      <x:c r="L343" s="23" t="n">
        <x:v>600</x:v>
      </x:c>
      <x:c r="M343" s="23" t="n">
        <x:v>0</x:v>
      </x:c>
      <x:c r="N343" s="20" t="n">
        <x:f>K343*L343</x:f>
        <x:v>1200</x:v>
      </x:c>
      <x:c r="O343" s="19" t="n">
        <x:v>2200</x:v>
      </x:c>
      <x:c r="P343" s="17" t="n">
        <x:v>0.65</x:v>
      </x:c>
      <x:c r="Q343" s="20" t="n">
        <x:f>K343*O343*P343</x:f>
        <x:v>2860</x:v>
      </x:c>
      <x:c r="R343" s="20" t="n">
        <x:f>Q343*(1-'01 Controls'!$E$6)</x:f>
        <x:v>2145</x:v>
      </x:c>
      <x:c r="S343" s="19" t="n">
        <x:v>45</x:v>
      </x:c>
      <x:c r="T343" s="20" t="n">
        <x:f>K343*S343</x:f>
        <x:v>90</x:v>
      </x:c>
      <x:c r="U343" s="18" t="n">
        <x:f>'01 Controls'!E39</x:f>
        <x:v>0.05</x:v>
      </x:c>
      <x:c r="V343" s="20" t="n">
        <x:f>R343*U343</x:f>
        <x:v>107.25</x:v>
      </x:c>
      <x:c r="W343" s="18" t="n">
        <x:f>'01 Controls'!F39</x:f>
        <x:v>0</x:v>
      </x:c>
      <x:c r="X343" s="20" t="n">
        <x:f>R343*W343</x:f>
        <x:v>0</x:v>
      </x:c>
      <x:c r="Y343" s="18" t="n">
        <x:f>'01 Controls'!G39</x:f>
        <x:v>0.8</x:v>
      </x:c>
      <x:c r="Z343" s="20" t="n">
        <x:f>R343*Y343</x:f>
        <x:v>1716</x:v>
      </x:c>
      <x:c r="AA343" s="18" t="n">
        <x:f>'01 Controls'!H39</x:f>
        <x:v>0.15</x:v>
      </x:c>
      <x:c r="AB343" s="20" t="n">
        <x:f>R343*AA343</x:f>
        <x:v>321.75</x:v>
      </x:c>
      <x:c r="AC343" s="20" t="n">
        <x:f>IF(H343="CM-HCG",K343*'01 Controls'!$E$24,0)</x:f>
        <x:v>0</x:v>
      </x:c>
      <x:c r="AD343" s="20" t="n">
        <x:f>IF(H343="CM-HCG",K343*'01 Controls'!$E$25,0)</x:f>
        <x:v>0</x:v>
      </x:c>
      <x:c r="AE343" s="20" t="n">
        <x:f>IF(H343="CM-HCG",K343*'01 Controls'!$E$26,0)</x:f>
        <x:v>0</x:v>
      </x:c>
      <x:c r="AF343" s="20" t="n">
        <x:f>IF(H343="CM-HCG",K343*'01 Controls'!$E$27,0)</x:f>
        <x:v>0</x:v>
      </x:c>
    </x:row>
    <x:row r="344">
      <x:c r="C344" s="22" t="str">
        <x:v>M5-J-TSC</x:v>
      </x:c>
      <x:c r="D344" s="22" t="n">
        <x:v>339</x:v>
      </x:c>
      <x:c r="E344" s="22" t="str">
        <x:v>M5</x:v>
      </x:c>
      <x:c r="F344" s="22" t="str">
        <x:v>Drought and water</x:v>
      </x:c>
      <x:c r="G344" s="22" t="n">
        <x:v>8</x:v>
      </x:c>
      <x:c r="H344" s="22" t="str">
        <x:v>J-TSC</x:v>
      </x:c>
      <x:c r="I344" s="22" t="str">
        <x:v>Joint</x:v>
      </x:c>
      <x:c r="J344" s="22" t="str">
        <x:v>Theater sustainment command</x:v>
      </x:c>
      <x:c r="K344" s="23" t="n">
        <x:v>3</x:v>
      </x:c>
      <x:c r="L344" s="23" t="n">
        <x:v>900</x:v>
      </x:c>
      <x:c r="M344" s="23" t="n">
        <x:v>0</x:v>
      </x:c>
      <x:c r="N344" s="20" t="n">
        <x:f>K344*L344</x:f>
        <x:v>2700</x:v>
      </x:c>
      <x:c r="O344" s="19" t="n">
        <x:v>2200</x:v>
      </x:c>
      <x:c r="P344" s="17" t="n">
        <x:v>0.65</x:v>
      </x:c>
      <x:c r="Q344" s="20" t="n">
        <x:f>K344*O344*P344</x:f>
        <x:v>4290</x:v>
      </x:c>
      <x:c r="R344" s="20" t="n">
        <x:f>Q344*(1-'01 Controls'!$E$6)</x:f>
        <x:v>3217.5</x:v>
      </x:c>
      <x:c r="S344" s="19" t="n">
        <x:v>45</x:v>
      </x:c>
      <x:c r="T344" s="20" t="n">
        <x:f>K344*S344</x:f>
        <x:v>135</x:v>
      </x:c>
      <x:c r="U344" s="18" t="n">
        <x:f>'01 Controls'!E39</x:f>
        <x:v>0.05</x:v>
      </x:c>
      <x:c r="V344" s="20" t="n">
        <x:f>R344*U344</x:f>
        <x:v>160.875</x:v>
      </x:c>
      <x:c r="W344" s="18" t="n">
        <x:f>'01 Controls'!F39</x:f>
        <x:v>0</x:v>
      </x:c>
      <x:c r="X344" s="20" t="n">
        <x:f>R344*W344</x:f>
        <x:v>0</x:v>
      </x:c>
      <x:c r="Y344" s="18" t="n">
        <x:f>'01 Controls'!G39</x:f>
        <x:v>0.8</x:v>
      </x:c>
      <x:c r="Z344" s="20" t="n">
        <x:f>R344*Y344</x:f>
        <x:v>2574</x:v>
      </x:c>
      <x:c r="AA344" s="18" t="n">
        <x:f>'01 Controls'!H39</x:f>
        <x:v>0.15</x:v>
      </x:c>
      <x:c r="AB344" s="20" t="n">
        <x:f>R344*AA344</x:f>
        <x:v>482.625</x:v>
      </x:c>
      <x:c r="AC344" s="20" t="n">
        <x:f>IF(H344="CM-HCG",K344*'01 Controls'!$E$24,0)</x:f>
        <x:v>0</x:v>
      </x:c>
      <x:c r="AD344" s="20" t="n">
        <x:f>IF(H344="CM-HCG",K344*'01 Controls'!$E$25,0)</x:f>
        <x:v>0</x:v>
      </x:c>
      <x:c r="AE344" s="20" t="n">
        <x:f>IF(H344="CM-HCG",K344*'01 Controls'!$E$26,0)</x:f>
        <x:v>0</x:v>
      </x:c>
      <x:c r="AF344" s="20" t="n">
        <x:f>IF(H344="CM-HCG",K344*'01 Controls'!$E$27,0)</x:f>
        <x:v>0</x:v>
      </x:c>
    </x:row>
    <x:row r="345">
      <x:c r="C345" s="22" t="str">
        <x:v>M5-J-RRG</x:v>
      </x:c>
      <x:c r="D345" s="22" t="n">
        <x:v>340</x:v>
      </x:c>
      <x:c r="E345" s="22" t="str">
        <x:v>M5</x:v>
      </x:c>
      <x:c r="F345" s="22" t="str">
        <x:v>Drought and water</x:v>
      </x:c>
      <x:c r="G345" s="22" t="n">
        <x:v>8</x:v>
      </x:c>
      <x:c r="H345" s="22" t="str">
        <x:v>J-RRG</x:v>
      </x:c>
      <x:c r="I345" s="22" t="str">
        <x:v>Joint</x:v>
      </x:c>
      <x:c r="J345" s="22" t="str">
        <x:v>Replacement and reconstitution group</x:v>
      </x:c>
      <x:c r="K345" s="23" t="n">
        <x:v>3</x:v>
      </x:c>
      <x:c r="L345" s="23" t="n">
        <x:v>400</x:v>
      </x:c>
      <x:c r="M345" s="23" t="n">
        <x:v>0</x:v>
      </x:c>
      <x:c r="N345" s="20" t="n">
        <x:f>K345*L345</x:f>
        <x:v>1200</x:v>
      </x:c>
      <x:c r="O345" s="19" t="n">
        <x:v>2200</x:v>
      </x:c>
      <x:c r="P345" s="17" t="n">
        <x:v>0.65</x:v>
      </x:c>
      <x:c r="Q345" s="20" t="n">
        <x:f>K345*O345*P345</x:f>
        <x:v>4290</x:v>
      </x:c>
      <x:c r="R345" s="20" t="n">
        <x:f>Q345*(1-'01 Controls'!$E$6)</x:f>
        <x:v>3217.5</x:v>
      </x:c>
      <x:c r="S345" s="19" t="n">
        <x:v>45</x:v>
      </x:c>
      <x:c r="T345" s="20" t="n">
        <x:f>K345*S345</x:f>
        <x:v>135</x:v>
      </x:c>
      <x:c r="U345" s="18" t="n">
        <x:f>'01 Controls'!E39</x:f>
        <x:v>0.05</x:v>
      </x:c>
      <x:c r="V345" s="20" t="n">
        <x:f>R345*U345</x:f>
        <x:v>160.875</x:v>
      </x:c>
      <x:c r="W345" s="18" t="n">
        <x:f>'01 Controls'!F39</x:f>
        <x:v>0</x:v>
      </x:c>
      <x:c r="X345" s="20" t="n">
        <x:f>R345*W345</x:f>
        <x:v>0</x:v>
      </x:c>
      <x:c r="Y345" s="18" t="n">
        <x:f>'01 Controls'!G39</x:f>
        <x:v>0.8</x:v>
      </x:c>
      <x:c r="Z345" s="20" t="n">
        <x:f>R345*Y345</x:f>
        <x:v>2574</x:v>
      </x:c>
      <x:c r="AA345" s="18" t="n">
        <x:f>'01 Controls'!H39</x:f>
        <x:v>0.15</x:v>
      </x:c>
      <x:c r="AB345" s="20" t="n">
        <x:f>R345*AA345</x:f>
        <x:v>482.625</x:v>
      </x:c>
      <x:c r="AC345" s="20" t="n">
        <x:f>IF(H345="CM-HCG",K345*'01 Controls'!$E$24,0)</x:f>
        <x:v>0</x:v>
      </x:c>
      <x:c r="AD345" s="20" t="n">
        <x:f>IF(H345="CM-HCG",K345*'01 Controls'!$E$25,0)</x:f>
        <x:v>0</x:v>
      </x:c>
      <x:c r="AE345" s="20" t="n">
        <x:f>IF(H345="CM-HCG",K345*'01 Controls'!$E$26,0)</x:f>
        <x:v>0</x:v>
      </x:c>
      <x:c r="AF345" s="20" t="n">
        <x:f>IF(H345="CM-HCG",K345*'01 Controls'!$E$27,0)</x:f>
        <x:v>0</x:v>
      </x:c>
    </x:row>
    <x:row r="346">
      <x:c r="C346" s="22" t="str">
        <x:v>M5-J-TDG</x:v>
      </x:c>
      <x:c r="D346" s="22" t="n">
        <x:v>341</x:v>
      </x:c>
      <x:c r="E346" s="22" t="str">
        <x:v>M5</x:v>
      </x:c>
      <x:c r="F346" s="22" t="str">
        <x:v>Drought and water</x:v>
      </x:c>
      <x:c r="G346" s="22" t="n">
        <x:v>8</x:v>
      </x:c>
      <x:c r="H346" s="22" t="str">
        <x:v>J-TDG</x:v>
      </x:c>
      <x:c r="I346" s="22" t="str">
        <x:v>Joint</x:v>
      </x:c>
      <x:c r="J346" s="22" t="str">
        <x:v>Transfer and demobilization group</x:v>
      </x:c>
      <x:c r="K346" s="23" t="n">
        <x:v>2</x:v>
      </x:c>
      <x:c r="L346" s="23" t="n">
        <x:v>150</x:v>
      </x:c>
      <x:c r="M346" s="23" t="n">
        <x:v>0</x:v>
      </x:c>
      <x:c r="N346" s="20" t="n">
        <x:f>K346*L346</x:f>
        <x:v>300</x:v>
      </x:c>
      <x:c r="O346" s="19" t="n">
        <x:v>2200</x:v>
      </x:c>
      <x:c r="P346" s="17" t="n">
        <x:v>0.65</x:v>
      </x:c>
      <x:c r="Q346" s="20" t="n">
        <x:f>K346*O346*P346</x:f>
        <x:v>2860</x:v>
      </x:c>
      <x:c r="R346" s="20" t="n">
        <x:f>Q346*(1-'01 Controls'!$E$6)</x:f>
        <x:v>2145</x:v>
      </x:c>
      <x:c r="S346" s="19" t="n">
        <x:v>45</x:v>
      </x:c>
      <x:c r="T346" s="20" t="n">
        <x:f>K346*S346</x:f>
        <x:v>90</x:v>
      </x:c>
      <x:c r="U346" s="18" t="n">
        <x:f>'01 Controls'!E39</x:f>
        <x:v>0.05</x:v>
      </x:c>
      <x:c r="V346" s="20" t="n">
        <x:f>R346*U346</x:f>
        <x:v>107.25</x:v>
      </x:c>
      <x:c r="W346" s="18" t="n">
        <x:f>'01 Controls'!F39</x:f>
        <x:v>0</x:v>
      </x:c>
      <x:c r="X346" s="20" t="n">
        <x:f>R346*W346</x:f>
        <x:v>0</x:v>
      </x:c>
      <x:c r="Y346" s="18" t="n">
        <x:f>'01 Controls'!G39</x:f>
        <x:v>0.8</x:v>
      </x:c>
      <x:c r="Z346" s="20" t="n">
        <x:f>R346*Y346</x:f>
        <x:v>1716</x:v>
      </x:c>
      <x:c r="AA346" s="18" t="n">
        <x:f>'01 Controls'!H39</x:f>
        <x:v>0.15</x:v>
      </x:c>
      <x:c r="AB346" s="20" t="n">
        <x:f>R346*AA346</x:f>
        <x:v>321.75</x:v>
      </x:c>
      <x:c r="AC346" s="20" t="n">
        <x:f>IF(H346="CM-HCG",K346*'01 Controls'!$E$24,0)</x:f>
        <x:v>0</x:v>
      </x:c>
      <x:c r="AD346" s="20" t="n">
        <x:f>IF(H346="CM-HCG",K346*'01 Controls'!$E$25,0)</x:f>
        <x:v>0</x:v>
      </x:c>
      <x:c r="AE346" s="20" t="n">
        <x:f>IF(H346="CM-HCG",K346*'01 Controls'!$E$26,0)</x:f>
        <x:v>0</x:v>
      </x:c>
      <x:c r="AF346" s="20" t="n">
        <x:f>IF(H346="CM-HCG",K346*'01 Controls'!$E$27,0)</x:f>
        <x:v>0</x:v>
      </x:c>
    </x:row>
    <x:row r="347">
      <x:c r="C347" s="22" t="str">
        <x:v>M5-L-ROG</x:v>
      </x:c>
      <x:c r="D347" s="22" t="n">
        <x:v>342</x:v>
      </x:c>
      <x:c r="E347" s="22" t="str">
        <x:v>M5</x:v>
      </x:c>
      <x:c r="F347" s="22" t="str">
        <x:v>Drought and water</x:v>
      </x:c>
      <x:c r="G347" s="22" t="n">
        <x:v>8</x:v>
      </x:c>
      <x:c r="H347" s="22" t="str">
        <x:v>L-ROG</x:v>
      </x:c>
      <x:c r="I347" s="22" t="str">
        <x:v>Land Engineering</x:v>
      </x:c>
      <x:c r="J347" s="22" t="str">
        <x:v>Access and route-opening group</x:v>
      </x:c>
      <x:c r="K347" s="23" t="n">
        <x:v>4</x:v>
      </x:c>
      <x:c r="L347" s="23" t="n">
        <x:v>350</x:v>
      </x:c>
      <x:c r="M347" s="23" t="n">
        <x:v>0</x:v>
      </x:c>
      <x:c r="N347" s="20" t="n">
        <x:f>K347*L347</x:f>
        <x:v>1400</x:v>
      </x:c>
      <x:c r="O347" s="19" t="n">
        <x:v>9000</x:v>
      </x:c>
      <x:c r="P347" s="17" t="n">
        <x:v>0.45</x:v>
      </x:c>
      <x:c r="Q347" s="20" t="n">
        <x:f>K347*O347*P347</x:f>
        <x:v>16200</x:v>
      </x:c>
      <x:c r="R347" s="20" t="n">
        <x:f>Q347*(1-'01 Controls'!$E$6)</x:f>
        <x:v>12150</x:v>
      </x:c>
      <x:c r="S347" s="19" t="n">
        <x:v>90</x:v>
      </x:c>
      <x:c r="T347" s="20" t="n">
        <x:f>K347*S347</x:f>
        <x:v>360</x:v>
      </x:c>
      <x:c r="U347" s="18" t="n">
        <x:f>'01 Controls'!E39</x:f>
        <x:v>0.05</x:v>
      </x:c>
      <x:c r="V347" s="20" t="n">
        <x:f>R347*U347</x:f>
        <x:v>607.5</x:v>
      </x:c>
      <x:c r="W347" s="18" t="n">
        <x:f>'01 Controls'!F39</x:f>
        <x:v>0</x:v>
      </x:c>
      <x:c r="X347" s="20" t="n">
        <x:f>R347*W347</x:f>
        <x:v>0</x:v>
      </x:c>
      <x:c r="Y347" s="18" t="n">
        <x:f>'01 Controls'!G39</x:f>
        <x:v>0.8</x:v>
      </x:c>
      <x:c r="Z347" s="20" t="n">
        <x:f>R347*Y347</x:f>
        <x:v>9720</x:v>
      </x:c>
      <x:c r="AA347" s="18" t="n">
        <x:f>'01 Controls'!H39</x:f>
        <x:v>0.15</x:v>
      </x:c>
      <x:c r="AB347" s="20" t="n">
        <x:f>R347*AA347</x:f>
        <x:v>1822.5</x:v>
      </x:c>
      <x:c r="AC347" s="20" t="n">
        <x:f>IF(H347="CM-HCG",K347*'01 Controls'!$E$24,0)</x:f>
        <x:v>0</x:v>
      </x:c>
      <x:c r="AD347" s="20" t="n">
        <x:f>IF(H347="CM-HCG",K347*'01 Controls'!$E$25,0)</x:f>
        <x:v>0</x:v>
      </x:c>
      <x:c r="AE347" s="20" t="n">
        <x:f>IF(H347="CM-HCG",K347*'01 Controls'!$E$26,0)</x:f>
        <x:v>0</x:v>
      </x:c>
      <x:c r="AF347" s="20" t="n">
        <x:f>IF(H347="CM-HCG",K347*'01 Controls'!$E$27,0)</x:f>
        <x:v>0</x:v>
      </x:c>
    </x:row>
    <x:row r="348">
      <x:c r="C348" s="22" t="str">
        <x:v>M5-L-HCG</x:v>
      </x:c>
      <x:c r="D348" s="22" t="n">
        <x:v>343</x:v>
      </x:c>
      <x:c r="E348" s="22" t="str">
        <x:v>M5</x:v>
      </x:c>
      <x:c r="F348" s="22" t="str">
        <x:v>Drought and water</x:v>
      </x:c>
      <x:c r="G348" s="22" t="n">
        <x:v>8</x:v>
      </x:c>
      <x:c r="H348" s="22" t="str">
        <x:v>L-HCG</x:v>
      </x:c>
      <x:c r="I348" s="22" t="str">
        <x:v>Land Engineering</x:v>
      </x:c>
      <x:c r="J348" s="22" t="str">
        <x:v>Flood and hydraulic-control group</x:v>
      </x:c>
      <x:c r="K348" s="23" t="n">
        <x:v>2</x:v>
      </x:c>
      <x:c r="L348" s="23" t="n">
        <x:v>500</x:v>
      </x:c>
      <x:c r="M348" s="23" t="n">
        <x:v>0</x:v>
      </x:c>
      <x:c r="N348" s="20" t="n">
        <x:f>K348*L348</x:f>
        <x:v>1000</x:v>
      </x:c>
      <x:c r="O348" s="19" t="n">
        <x:v>9000</x:v>
      </x:c>
      <x:c r="P348" s="17" t="n">
        <x:v>0.45</x:v>
      </x:c>
      <x:c r="Q348" s="20" t="n">
        <x:f>K348*O348*P348</x:f>
        <x:v>8100</x:v>
      </x:c>
      <x:c r="R348" s="20" t="n">
        <x:f>Q348*(1-'01 Controls'!$E$6)</x:f>
        <x:v>6075</x:v>
      </x:c>
      <x:c r="S348" s="19" t="n">
        <x:v>90</x:v>
      </x:c>
      <x:c r="T348" s="20" t="n">
        <x:f>K348*S348</x:f>
        <x:v>180</x:v>
      </x:c>
      <x:c r="U348" s="18" t="n">
        <x:f>'01 Controls'!E39</x:f>
        <x:v>0.05</x:v>
      </x:c>
      <x:c r="V348" s="20" t="n">
        <x:f>R348*U348</x:f>
        <x:v>303.75</x:v>
      </x:c>
      <x:c r="W348" s="18" t="n">
        <x:f>'01 Controls'!F39</x:f>
        <x:v>0</x:v>
      </x:c>
      <x:c r="X348" s="20" t="n">
        <x:f>R348*W348</x:f>
        <x:v>0</x:v>
      </x:c>
      <x:c r="Y348" s="18" t="n">
        <x:f>'01 Controls'!G39</x:f>
        <x:v>0.8</x:v>
      </x:c>
      <x:c r="Z348" s="20" t="n">
        <x:f>R348*Y348</x:f>
        <x:v>4860</x:v>
      </x:c>
      <x:c r="AA348" s="18" t="n">
        <x:f>'01 Controls'!H39</x:f>
        <x:v>0.15</x:v>
      </x:c>
      <x:c r="AB348" s="20" t="n">
        <x:f>R348*AA348</x:f>
        <x:v>911.25</x:v>
      </x:c>
      <x:c r="AC348" s="20" t="n">
        <x:f>IF(H348="CM-HCG",K348*'01 Controls'!$E$24,0)</x:f>
        <x:v>0</x:v>
      </x:c>
      <x:c r="AD348" s="20" t="n">
        <x:f>IF(H348="CM-HCG",K348*'01 Controls'!$E$25,0)</x:f>
        <x:v>0</x:v>
      </x:c>
      <x:c r="AE348" s="20" t="n">
        <x:f>IF(H348="CM-HCG",K348*'01 Controls'!$E$26,0)</x:f>
        <x:v>0</x:v>
      </x:c>
      <x:c r="AF348" s="20" t="n">
        <x:f>IF(H348="CM-HCG",K348*'01 Controls'!$E$27,0)</x:f>
        <x:v>0</x:v>
      </x:c>
    </x:row>
    <x:row r="349">
      <x:c r="C349" s="22" t="str">
        <x:v>M5-L-DMG</x:v>
      </x:c>
      <x:c r="D349" s="22" t="n">
        <x:v>344</x:v>
      </x:c>
      <x:c r="E349" s="22" t="str">
        <x:v>M5</x:v>
      </x:c>
      <x:c r="F349" s="22" t="str">
        <x:v>Drought and water</x:v>
      </x:c>
      <x:c r="G349" s="22" t="n">
        <x:v>8</x:v>
      </x:c>
      <x:c r="H349" s="22" t="str">
        <x:v>L-DMG</x:v>
      </x:c>
      <x:c r="I349" s="22" t="str">
        <x:v>Land Engineering</x:v>
      </x:c>
      <x:c r="J349" s="22" t="str">
        <x:v>Debris and materials group</x:v>
      </x:c>
      <x:c r="K349" s="23" t="n">
        <x:v>2</x:v>
      </x:c>
      <x:c r="L349" s="23" t="n">
        <x:v>400</x:v>
      </x:c>
      <x:c r="M349" s="23" t="n">
        <x:v>0</x:v>
      </x:c>
      <x:c r="N349" s="20" t="n">
        <x:f>K349*L349</x:f>
        <x:v>800</x:v>
      </x:c>
      <x:c r="O349" s="19" t="n">
        <x:v>9000</x:v>
      </x:c>
      <x:c r="P349" s="17" t="n">
        <x:v>0.45</x:v>
      </x:c>
      <x:c r="Q349" s="20" t="n">
        <x:f>K349*O349*P349</x:f>
        <x:v>8100</x:v>
      </x:c>
      <x:c r="R349" s="20" t="n">
        <x:f>Q349*(1-'01 Controls'!$E$6)</x:f>
        <x:v>6075</x:v>
      </x:c>
      <x:c r="S349" s="19" t="n">
        <x:v>90</x:v>
      </x:c>
      <x:c r="T349" s="20" t="n">
        <x:f>K349*S349</x:f>
        <x:v>180</x:v>
      </x:c>
      <x:c r="U349" s="18" t="n">
        <x:f>'01 Controls'!E39</x:f>
        <x:v>0.05</x:v>
      </x:c>
      <x:c r="V349" s="20" t="n">
        <x:f>R349*U349</x:f>
        <x:v>303.75</x:v>
      </x:c>
      <x:c r="W349" s="18" t="n">
        <x:f>'01 Controls'!F39</x:f>
        <x:v>0</x:v>
      </x:c>
      <x:c r="X349" s="20" t="n">
        <x:f>R349*W349</x:f>
        <x:v>0</x:v>
      </x:c>
      <x:c r="Y349" s="18" t="n">
        <x:f>'01 Controls'!G39</x:f>
        <x:v>0.8</x:v>
      </x:c>
      <x:c r="Z349" s="20" t="n">
        <x:f>R349*Y349</x:f>
        <x:v>4860</x:v>
      </x:c>
      <x:c r="AA349" s="18" t="n">
        <x:f>'01 Controls'!H39</x:f>
        <x:v>0.15</x:v>
      </x:c>
      <x:c r="AB349" s="20" t="n">
        <x:f>R349*AA349</x:f>
        <x:v>911.25</x:v>
      </x:c>
      <x:c r="AC349" s="20" t="n">
        <x:f>IF(H349="CM-HCG",K349*'01 Controls'!$E$24,0)</x:f>
        <x:v>0</x:v>
      </x:c>
      <x:c r="AD349" s="20" t="n">
        <x:f>IF(H349="CM-HCG",K349*'01 Controls'!$E$25,0)</x:f>
        <x:v>0</x:v>
      </x:c>
      <x:c r="AE349" s="20" t="n">
        <x:f>IF(H349="CM-HCG",K349*'01 Controls'!$E$26,0)</x:f>
        <x:v>0</x:v>
      </x:c>
      <x:c r="AF349" s="20" t="n">
        <x:f>IF(H349="CM-HCG",K349*'01 Controls'!$E$27,0)</x:f>
        <x:v>0</x:v>
      </x:c>
    </x:row>
    <x:row r="350">
      <x:c r="C350" s="22" t="str">
        <x:v>M5-L-TWG</x:v>
      </x:c>
      <x:c r="D350" s="22" t="n">
        <x:v>345</x:v>
      </x:c>
      <x:c r="E350" s="22" t="str">
        <x:v>M5</x:v>
      </x:c>
      <x:c r="F350" s="22" t="str">
        <x:v>Drought and water</x:v>
      </x:c>
      <x:c r="G350" s="22" t="n">
        <x:v>8</x:v>
      </x:c>
      <x:c r="H350" s="22" t="str">
        <x:v>L-TWG</x:v>
      </x:c>
      <x:c r="I350" s="22" t="str">
        <x:v>Land Engineering</x:v>
      </x:c>
      <x:c r="J350" s="22" t="str">
        <x:v>Temporary works and crossing group</x:v>
      </x:c>
      <x:c r="K350" s="23" t="n">
        <x:v>4</x:v>
      </x:c>
      <x:c r="L350" s="23" t="n">
        <x:v>350</x:v>
      </x:c>
      <x:c r="M350" s="23" t="n">
        <x:v>0</x:v>
      </x:c>
      <x:c r="N350" s="20" t="n">
        <x:f>K350*L350</x:f>
        <x:v>1400</x:v>
      </x:c>
      <x:c r="O350" s="19" t="n">
        <x:v>9000</x:v>
      </x:c>
      <x:c r="P350" s="17" t="n">
        <x:v>0.45</x:v>
      </x:c>
      <x:c r="Q350" s="20" t="n">
        <x:f>K350*O350*P350</x:f>
        <x:v>16200</x:v>
      </x:c>
      <x:c r="R350" s="20" t="n">
        <x:f>Q350*(1-'01 Controls'!$E$6)</x:f>
        <x:v>12150</x:v>
      </x:c>
      <x:c r="S350" s="19" t="n">
        <x:v>90</x:v>
      </x:c>
      <x:c r="T350" s="20" t="n">
        <x:f>K350*S350</x:f>
        <x:v>360</x:v>
      </x:c>
      <x:c r="U350" s="18" t="n">
        <x:f>'01 Controls'!E39</x:f>
        <x:v>0.05</x:v>
      </x:c>
      <x:c r="V350" s="20" t="n">
        <x:f>R350*U350</x:f>
        <x:v>607.5</x:v>
      </x:c>
      <x:c r="W350" s="18" t="n">
        <x:f>'01 Controls'!F39</x:f>
        <x:v>0</x:v>
      </x:c>
      <x:c r="X350" s="20" t="n">
        <x:f>R350*W350</x:f>
        <x:v>0</x:v>
      </x:c>
      <x:c r="Y350" s="18" t="n">
        <x:f>'01 Controls'!G39</x:f>
        <x:v>0.8</x:v>
      </x:c>
      <x:c r="Z350" s="20" t="n">
        <x:f>R350*Y350</x:f>
        <x:v>9720</x:v>
      </x:c>
      <x:c r="AA350" s="18" t="n">
        <x:f>'01 Controls'!H39</x:f>
        <x:v>0.15</x:v>
      </x:c>
      <x:c r="AB350" s="20" t="n">
        <x:f>R350*AA350</x:f>
        <x:v>1822.5</x:v>
      </x:c>
      <x:c r="AC350" s="20" t="n">
        <x:f>IF(H350="CM-HCG",K350*'01 Controls'!$E$24,0)</x:f>
        <x:v>0</x:v>
      </x:c>
      <x:c r="AD350" s="20" t="n">
        <x:f>IF(H350="CM-HCG",K350*'01 Controls'!$E$25,0)</x:f>
        <x:v>0</x:v>
      </x:c>
      <x:c r="AE350" s="20" t="n">
        <x:f>IF(H350="CM-HCG",K350*'01 Controls'!$E$26,0)</x:f>
        <x:v>0</x:v>
      </x:c>
      <x:c r="AF350" s="20" t="n">
        <x:f>IF(H350="CM-HCG",K350*'01 Controls'!$E$27,0)</x:f>
        <x:v>0</x:v>
      </x:c>
    </x:row>
    <x:row r="351">
      <x:c r="C351" s="22" t="str">
        <x:v>M5-L-GFG</x:v>
      </x:c>
      <x:c r="D351" s="22" t="n">
        <x:v>346</x:v>
      </x:c>
      <x:c r="E351" s="22" t="str">
        <x:v>M5</x:v>
      </x:c>
      <x:c r="F351" s="22" t="str">
        <x:v>Drought and water</x:v>
      </x:c>
      <x:c r="G351" s="22" t="n">
        <x:v>8</x:v>
      </x:c>
      <x:c r="H351" s="22" t="str">
        <x:v>L-GFG</x:v>
      </x:c>
      <x:c r="I351" s="22" t="str">
        <x:v>Land Engineering</x:v>
      </x:c>
      <x:c r="J351" s="22" t="str">
        <x:v>Ground fire and landscape group</x:v>
      </x:c>
      <x:c r="K351" s="23" t="n">
        <x:v>2</x:v>
      </x:c>
      <x:c r="L351" s="23" t="n">
        <x:v>450</x:v>
      </x:c>
      <x:c r="M351" s="23" t="n">
        <x:v>0</x:v>
      </x:c>
      <x:c r="N351" s="20" t="n">
        <x:f>K351*L351</x:f>
        <x:v>900</x:v>
      </x:c>
      <x:c r="O351" s="19" t="n">
        <x:v>9000</x:v>
      </x:c>
      <x:c r="P351" s="17" t="n">
        <x:v>0.45</x:v>
      </x:c>
      <x:c r="Q351" s="20" t="n">
        <x:f>K351*O351*P351</x:f>
        <x:v>8100</x:v>
      </x:c>
      <x:c r="R351" s="20" t="n">
        <x:f>Q351*(1-'01 Controls'!$E$6)</x:f>
        <x:v>6075</x:v>
      </x:c>
      <x:c r="S351" s="19" t="n">
        <x:v>90</x:v>
      </x:c>
      <x:c r="T351" s="20" t="n">
        <x:f>K351*S351</x:f>
        <x:v>180</x:v>
      </x:c>
      <x:c r="U351" s="18" t="n">
        <x:f>'01 Controls'!E39</x:f>
        <x:v>0.05</x:v>
      </x:c>
      <x:c r="V351" s="20" t="n">
        <x:f>R351*U351</x:f>
        <x:v>303.75</x:v>
      </x:c>
      <x:c r="W351" s="18" t="n">
        <x:f>'01 Controls'!F39</x:f>
        <x:v>0</x:v>
      </x:c>
      <x:c r="X351" s="20" t="n">
        <x:f>R351*W351</x:f>
        <x:v>0</x:v>
      </x:c>
      <x:c r="Y351" s="18" t="n">
        <x:f>'01 Controls'!G39</x:f>
        <x:v>0.8</x:v>
      </x:c>
      <x:c r="Z351" s="20" t="n">
        <x:f>R351*Y351</x:f>
        <x:v>4860</x:v>
      </x:c>
      <x:c r="AA351" s="18" t="n">
        <x:f>'01 Controls'!H39</x:f>
        <x:v>0.15</x:v>
      </x:c>
      <x:c r="AB351" s="20" t="n">
        <x:f>R351*AA351</x:f>
        <x:v>911.25</x:v>
      </x:c>
      <x:c r="AC351" s="20" t="n">
        <x:f>IF(H351="CM-HCG",K351*'01 Controls'!$E$24,0)</x:f>
        <x:v>0</x:v>
      </x:c>
      <x:c r="AD351" s="20" t="n">
        <x:f>IF(H351="CM-HCG",K351*'01 Controls'!$E$25,0)</x:f>
        <x:v>0</x:v>
      </x:c>
      <x:c r="AE351" s="20" t="n">
        <x:f>IF(H351="CM-HCG",K351*'01 Controls'!$E$26,0)</x:f>
        <x:v>0</x:v>
      </x:c>
      <x:c r="AF351" s="20" t="n">
        <x:f>IF(H351="CM-HCG",K351*'01 Controls'!$E$27,0)</x:f>
        <x:v>0</x:v>
      </x:c>
    </x:row>
    <x:row r="352">
      <x:c r="C352" s="22" t="str">
        <x:v>M5-A-SMW</x:v>
      </x:c>
      <x:c r="D352" s="22" t="n">
        <x:v>347</x:v>
      </x:c>
      <x:c r="E352" s="22" t="str">
        <x:v>M5</x:v>
      </x:c>
      <x:c r="F352" s="22" t="str">
        <x:v>Drought and water</x:v>
      </x:c>
      <x:c r="G352" s="22" t="n">
        <x:v>8</x:v>
      </x:c>
      <x:c r="H352" s="22" t="str">
        <x:v>A-SMW</x:v>
      </x:c>
      <x:c r="I352" s="22" t="str">
        <x:v>Air Response</x:v>
      </x:c>
      <x:c r="J352" s="22" t="str">
        <x:v>Strategic mobility wing</x:v>
      </x:c>
      <x:c r="K352" s="23" t="n">
        <x:v>3</x:v>
      </x:c>
      <x:c r="L352" s="23" t="n">
        <x:v>900</x:v>
      </x:c>
      <x:c r="M352" s="23" t="n">
        <x:v>0</x:v>
      </x:c>
      <x:c r="N352" s="20" t="n">
        <x:f>K352*L352</x:f>
        <x:v>2700</x:v>
      </x:c>
      <x:c r="O352" s="19" t="n">
        <x:v>5000</x:v>
      </x:c>
      <x:c r="P352" s="17" t="n">
        <x:v>0.75</x:v>
      </x:c>
      <x:c r="Q352" s="20" t="n">
        <x:f>K352*O352*P352</x:f>
        <x:v>11250</x:v>
      </x:c>
      <x:c r="R352" s="20" t="n">
        <x:f>Q352*(1-'01 Controls'!$E$6)</x:f>
        <x:v>8437.5</x:v>
      </x:c>
      <x:c r="S352" s="19" t="n">
        <x:v>100</x:v>
      </x:c>
      <x:c r="T352" s="20" t="n">
        <x:f>K352*S352</x:f>
        <x:v>300</x:v>
      </x:c>
      <x:c r="U352" s="18" t="n">
        <x:f>'01 Controls'!E39</x:f>
        <x:v>0.05</x:v>
      </x:c>
      <x:c r="V352" s="20" t="n">
        <x:f>R352*U352</x:f>
        <x:v>421.875</x:v>
      </x:c>
      <x:c r="W352" s="18" t="n">
        <x:f>'01 Controls'!F39</x:f>
        <x:v>0</x:v>
      </x:c>
      <x:c r="X352" s="20" t="n">
        <x:f>R352*W352</x:f>
        <x:v>0</x:v>
      </x:c>
      <x:c r="Y352" s="18" t="n">
        <x:f>'01 Controls'!G39</x:f>
        <x:v>0.8</x:v>
      </x:c>
      <x:c r="Z352" s="20" t="n">
        <x:f>R352*Y352</x:f>
        <x:v>6750</x:v>
      </x:c>
      <x:c r="AA352" s="18" t="n">
        <x:f>'01 Controls'!H39</x:f>
        <x:v>0.15</x:v>
      </x:c>
      <x:c r="AB352" s="20" t="n">
        <x:f>R352*AA352</x:f>
        <x:v>1265.625</x:v>
      </x:c>
      <x:c r="AC352" s="20" t="n">
        <x:f>IF(H352="CM-HCG",K352*'01 Controls'!$E$24,0)</x:f>
        <x:v>0</x:v>
      </x:c>
      <x:c r="AD352" s="20" t="n">
        <x:f>IF(H352="CM-HCG",K352*'01 Controls'!$E$25,0)</x:f>
        <x:v>0</x:v>
      </x:c>
      <x:c r="AE352" s="20" t="n">
        <x:f>IF(H352="CM-HCG",K352*'01 Controls'!$E$26,0)</x:f>
        <x:v>0</x:v>
      </x:c>
      <x:c r="AF352" s="20" t="n">
        <x:f>IF(H352="CM-HCG",K352*'01 Controls'!$E$27,0)</x:f>
        <x:v>0</x:v>
      </x:c>
    </x:row>
    <x:row r="353">
      <x:c r="C353" s="22" t="str">
        <x:v>M5-A-AAG</x:v>
      </x:c>
      <x:c r="D353" s="22" t="n">
        <x:v>348</x:v>
      </x:c>
      <x:c r="E353" s="22" t="str">
        <x:v>M5</x:v>
      </x:c>
      <x:c r="F353" s="22" t="str">
        <x:v>Drought and water</x:v>
      </x:c>
      <x:c r="G353" s="22" t="n">
        <x:v>8</x:v>
      </x:c>
      <x:c r="H353" s="22" t="str">
        <x:v>A-AAG</x:v>
      </x:c>
      <x:c r="I353" s="22" t="str">
        <x:v>Air Response</x:v>
      </x:c>
      <x:c r="J353" s="22" t="str">
        <x:v>Austere air-access group</x:v>
      </x:c>
      <x:c r="K353" s="23" t="n">
        <x:v>3</x:v>
      </x:c>
      <x:c r="L353" s="23" t="n">
        <x:v>350</x:v>
      </x:c>
      <x:c r="M353" s="23" t="n">
        <x:v>0</x:v>
      </x:c>
      <x:c r="N353" s="20" t="n">
        <x:f>K353*L353</x:f>
        <x:v>1050</x:v>
      </x:c>
      <x:c r="O353" s="19" t="n">
        <x:v>5000</x:v>
      </x:c>
      <x:c r="P353" s="17" t="n">
        <x:v>0.75</x:v>
      </x:c>
      <x:c r="Q353" s="20" t="n">
        <x:f>K353*O353*P353</x:f>
        <x:v>11250</x:v>
      </x:c>
      <x:c r="R353" s="20" t="n">
        <x:f>Q353*(1-'01 Controls'!$E$6)</x:f>
        <x:v>8437.5</x:v>
      </x:c>
      <x:c r="S353" s="19" t="n">
        <x:v>100</x:v>
      </x:c>
      <x:c r="T353" s="20" t="n">
        <x:f>K353*S353</x:f>
        <x:v>300</x:v>
      </x:c>
      <x:c r="U353" s="18" t="n">
        <x:f>'01 Controls'!E39</x:f>
        <x:v>0.05</x:v>
      </x:c>
      <x:c r="V353" s="20" t="n">
        <x:f>R353*U353</x:f>
        <x:v>421.875</x:v>
      </x:c>
      <x:c r="W353" s="18" t="n">
        <x:f>'01 Controls'!F39</x:f>
        <x:v>0</x:v>
      </x:c>
      <x:c r="X353" s="20" t="n">
        <x:f>R353*W353</x:f>
        <x:v>0</x:v>
      </x:c>
      <x:c r="Y353" s="18" t="n">
        <x:f>'01 Controls'!G39</x:f>
        <x:v>0.8</x:v>
      </x:c>
      <x:c r="Z353" s="20" t="n">
        <x:f>R353*Y353</x:f>
        <x:v>6750</x:v>
      </x:c>
      <x:c r="AA353" s="18" t="n">
        <x:f>'01 Controls'!H39</x:f>
        <x:v>0.15</x:v>
      </x:c>
      <x:c r="AB353" s="20" t="n">
        <x:f>R353*AA353</x:f>
        <x:v>1265.625</x:v>
      </x:c>
      <x:c r="AC353" s="20" t="n">
        <x:f>IF(H353="CM-HCG",K353*'01 Controls'!$E$24,0)</x:f>
        <x:v>0</x:v>
      </x:c>
      <x:c r="AD353" s="20" t="n">
        <x:f>IF(H353="CM-HCG",K353*'01 Controls'!$E$25,0)</x:f>
        <x:v>0</x:v>
      </x:c>
      <x:c r="AE353" s="20" t="n">
        <x:f>IF(H353="CM-HCG",K353*'01 Controls'!$E$26,0)</x:f>
        <x:v>0</x:v>
      </x:c>
      <x:c r="AF353" s="20" t="n">
        <x:f>IF(H353="CM-HCG",K353*'01 Controls'!$E$27,0)</x:f>
        <x:v>0</x:v>
      </x:c>
    </x:row>
    <x:row r="354">
      <x:c r="C354" s="22" t="str">
        <x:v>M5-A-AHW</x:v>
      </x:c>
      <x:c r="D354" s="22" t="n">
        <x:v>349</x:v>
      </x:c>
      <x:c r="E354" s="22" t="str">
        <x:v>M5</x:v>
      </x:c>
      <x:c r="F354" s="22" t="str">
        <x:v>Drought and water</x:v>
      </x:c>
      <x:c r="G354" s="22" t="n">
        <x:v>8</x:v>
      </x:c>
      <x:c r="H354" s="22" t="str">
        <x:v>A-AHW</x:v>
      </x:c>
      <x:c r="I354" s="22" t="str">
        <x:v>Air Response</x:v>
      </x:c>
      <x:c r="J354" s="22" t="str">
        <x:v>Aerial hazard-control wing</x:v>
      </x:c>
      <x:c r="K354" s="23" t="n">
        <x:v>1</x:v>
      </x:c>
      <x:c r="L354" s="23" t="n">
        <x:v>600</x:v>
      </x:c>
      <x:c r="M354" s="23" t="n">
        <x:v>0</x:v>
      </x:c>
      <x:c r="N354" s="20" t="n">
        <x:f>K354*L354</x:f>
        <x:v>600</x:v>
      </x:c>
      <x:c r="O354" s="19" t="n">
        <x:v>5000</x:v>
      </x:c>
      <x:c r="P354" s="17" t="n">
        <x:v>0.75</x:v>
      </x:c>
      <x:c r="Q354" s="20" t="n">
        <x:f>K354*O354*P354</x:f>
        <x:v>3750</x:v>
      </x:c>
      <x:c r="R354" s="20" t="n">
        <x:f>Q354*(1-'01 Controls'!$E$6)</x:f>
        <x:v>2812.5</x:v>
      </x:c>
      <x:c r="S354" s="19" t="n">
        <x:v>100</x:v>
      </x:c>
      <x:c r="T354" s="20" t="n">
        <x:f>K354*S354</x:f>
        <x:v>100</x:v>
      </x:c>
      <x:c r="U354" s="18" t="n">
        <x:f>'01 Controls'!E39</x:f>
        <x:v>0.05</x:v>
      </x:c>
      <x:c r="V354" s="20" t="n">
        <x:f>R354*U354</x:f>
        <x:v>140.625</x:v>
      </x:c>
      <x:c r="W354" s="18" t="n">
        <x:f>'01 Controls'!F39</x:f>
        <x:v>0</x:v>
      </x:c>
      <x:c r="X354" s="20" t="n">
        <x:f>R354*W354</x:f>
        <x:v>0</x:v>
      </x:c>
      <x:c r="Y354" s="18" t="n">
        <x:f>'01 Controls'!G39</x:f>
        <x:v>0.8</x:v>
      </x:c>
      <x:c r="Z354" s="20" t="n">
        <x:f>R354*Y354</x:f>
        <x:v>2250</x:v>
      </x:c>
      <x:c r="AA354" s="18" t="n">
        <x:f>'01 Controls'!H39</x:f>
        <x:v>0.15</x:v>
      </x:c>
      <x:c r="AB354" s="20" t="n">
        <x:f>R354*AA354</x:f>
        <x:v>421.875</x:v>
      </x:c>
      <x:c r="AC354" s="20" t="n">
        <x:f>IF(H354="CM-HCG",K354*'01 Controls'!$E$24,0)</x:f>
        <x:v>0</x:v>
      </x:c>
      <x:c r="AD354" s="20" t="n">
        <x:f>IF(H354="CM-HCG",K354*'01 Controls'!$E$25,0)</x:f>
        <x:v>0</x:v>
      </x:c>
      <x:c r="AE354" s="20" t="n">
        <x:f>IF(H354="CM-HCG",K354*'01 Controls'!$E$26,0)</x:f>
        <x:v>0</x:v>
      </x:c>
      <x:c r="AF354" s="20" t="n">
        <x:f>IF(H354="CM-HCG",K354*'01 Controls'!$E$27,0)</x:f>
        <x:v>0</x:v>
      </x:c>
    </x:row>
    <x:row r="355">
      <x:c r="C355" s="22" t="str">
        <x:v>M5-A-TDG</x:v>
      </x:c>
      <x:c r="D355" s="22" t="n">
        <x:v>350</x:v>
      </x:c>
      <x:c r="E355" s="22" t="str">
        <x:v>M5</x:v>
      </x:c>
      <x:c r="F355" s="22" t="str">
        <x:v>Drought and water</x:v>
      </x:c>
      <x:c r="G355" s="22" t="n">
        <x:v>8</x:v>
      </x:c>
      <x:c r="H355" s="22" t="str">
        <x:v>A-TDG</x:v>
      </x:c>
      <x:c r="I355" s="22" t="str">
        <x:v>Air Response</x:v>
      </x:c>
      <x:c r="J355" s="22" t="str">
        <x:v>Tactical distribution group</x:v>
      </x:c>
      <x:c r="K355" s="23" t="n">
        <x:v>5</x:v>
      </x:c>
      <x:c r="L355" s="23" t="n">
        <x:v>450</x:v>
      </x:c>
      <x:c r="M355" s="23" t="n">
        <x:v>0</x:v>
      </x:c>
      <x:c r="N355" s="20" t="n">
        <x:f>K355*L355</x:f>
        <x:v>2250</x:v>
      </x:c>
      <x:c r="O355" s="19" t="n">
        <x:v>5000</x:v>
      </x:c>
      <x:c r="P355" s="17" t="n">
        <x:v>0.75</x:v>
      </x:c>
      <x:c r="Q355" s="20" t="n">
        <x:f>K355*O355*P355</x:f>
        <x:v>18750</x:v>
      </x:c>
      <x:c r="R355" s="20" t="n">
        <x:f>Q355*(1-'01 Controls'!$E$6)</x:f>
        <x:v>14062.5</x:v>
      </x:c>
      <x:c r="S355" s="19" t="n">
        <x:v>100</x:v>
      </x:c>
      <x:c r="T355" s="20" t="n">
        <x:f>K355*S355</x:f>
        <x:v>500</x:v>
      </x:c>
      <x:c r="U355" s="18" t="n">
        <x:f>'01 Controls'!E39</x:f>
        <x:v>0.05</x:v>
      </x:c>
      <x:c r="V355" s="20" t="n">
        <x:f>R355*U355</x:f>
        <x:v>703.125</x:v>
      </x:c>
      <x:c r="W355" s="18" t="n">
        <x:f>'01 Controls'!F39</x:f>
        <x:v>0</x:v>
      </x:c>
      <x:c r="X355" s="20" t="n">
        <x:f>R355*W355</x:f>
        <x:v>0</x:v>
      </x:c>
      <x:c r="Y355" s="18" t="n">
        <x:f>'01 Controls'!G39</x:f>
        <x:v>0.8</x:v>
      </x:c>
      <x:c r="Z355" s="20" t="n">
        <x:f>R355*Y355</x:f>
        <x:v>11250</x:v>
      </x:c>
      <x:c r="AA355" s="18" t="n">
        <x:f>'01 Controls'!H39</x:f>
        <x:v>0.15</x:v>
      </x:c>
      <x:c r="AB355" s="20" t="n">
        <x:f>R355*AA355</x:f>
        <x:v>2109.375</x:v>
      </x:c>
      <x:c r="AC355" s="20" t="n">
        <x:f>IF(H355="CM-HCG",K355*'01 Controls'!$E$24,0)</x:f>
        <x:v>0</x:v>
      </x:c>
      <x:c r="AD355" s="20" t="n">
        <x:f>IF(H355="CM-HCG",K355*'01 Controls'!$E$25,0)</x:f>
        <x:v>0</x:v>
      </x:c>
      <x:c r="AE355" s="20" t="n">
        <x:f>IF(H355="CM-HCG",K355*'01 Controls'!$E$26,0)</x:f>
        <x:v>0</x:v>
      </x:c>
      <x:c r="AF355" s="20" t="n">
        <x:f>IF(H355="CM-HCG",K355*'01 Controls'!$E$27,0)</x:f>
        <x:v>0</x:v>
      </x:c>
    </x:row>
    <x:row r="356">
      <x:c r="C356" s="22" t="str">
        <x:v>M5-A-SRG</x:v>
      </x:c>
      <x:c r="D356" s="22" t="n">
        <x:v>351</x:v>
      </x:c>
      <x:c r="E356" s="22" t="str">
        <x:v>M5</x:v>
      </x:c>
      <x:c r="F356" s="22" t="str">
        <x:v>Drought and water</x:v>
      </x:c>
      <x:c r="G356" s="22" t="n">
        <x:v>8</x:v>
      </x:c>
      <x:c r="H356" s="22" t="str">
        <x:v>A-SRG</x:v>
      </x:c>
      <x:c r="I356" s="22" t="str">
        <x:v>Air Response</x:v>
      </x:c>
      <x:c r="J356" s="22" t="str">
        <x:v>Air sensing and relay group</x:v>
      </x:c>
      <x:c r="K356" s="23" t="n">
        <x:v>3</x:v>
      </x:c>
      <x:c r="L356" s="23" t="n">
        <x:v>180</x:v>
      </x:c>
      <x:c r="M356" s="23" t="n">
        <x:v>0</x:v>
      </x:c>
      <x:c r="N356" s="20" t="n">
        <x:f>K356*L356</x:f>
        <x:v>540</x:v>
      </x:c>
      <x:c r="O356" s="19" t="n">
        <x:v>5000</x:v>
      </x:c>
      <x:c r="P356" s="17" t="n">
        <x:v>0.75</x:v>
      </x:c>
      <x:c r="Q356" s="20" t="n">
        <x:f>K356*O356*P356</x:f>
        <x:v>11250</x:v>
      </x:c>
      <x:c r="R356" s="20" t="n">
        <x:f>Q356*(1-'01 Controls'!$E$6)</x:f>
        <x:v>8437.5</x:v>
      </x:c>
      <x:c r="S356" s="19" t="n">
        <x:v>100</x:v>
      </x:c>
      <x:c r="T356" s="20" t="n">
        <x:f>K356*S356</x:f>
        <x:v>300</x:v>
      </x:c>
      <x:c r="U356" s="18" t="n">
        <x:f>'01 Controls'!E39</x:f>
        <x:v>0.05</x:v>
      </x:c>
      <x:c r="V356" s="20" t="n">
        <x:f>R356*U356</x:f>
        <x:v>421.875</x:v>
      </x:c>
      <x:c r="W356" s="18" t="n">
        <x:f>'01 Controls'!F39</x:f>
        <x:v>0</x:v>
      </x:c>
      <x:c r="X356" s="20" t="n">
        <x:f>R356*W356</x:f>
        <x:v>0</x:v>
      </x:c>
      <x:c r="Y356" s="18" t="n">
        <x:f>'01 Controls'!G39</x:f>
        <x:v>0.8</x:v>
      </x:c>
      <x:c r="Z356" s="20" t="n">
        <x:f>R356*Y356</x:f>
        <x:v>6750</x:v>
      </x:c>
      <x:c r="AA356" s="18" t="n">
        <x:f>'01 Controls'!H39</x:f>
        <x:v>0.15</x:v>
      </x:c>
      <x:c r="AB356" s="20" t="n">
        <x:f>R356*AA356</x:f>
        <x:v>1265.625</x:v>
      </x:c>
      <x:c r="AC356" s="20" t="n">
        <x:f>IF(H356="CM-HCG",K356*'01 Controls'!$E$24,0)</x:f>
        <x:v>0</x:v>
      </x:c>
      <x:c r="AD356" s="20" t="n">
        <x:f>IF(H356="CM-HCG",K356*'01 Controls'!$E$25,0)</x:f>
        <x:v>0</x:v>
      </x:c>
      <x:c r="AE356" s="20" t="n">
        <x:f>IF(H356="CM-HCG",K356*'01 Controls'!$E$26,0)</x:f>
        <x:v>0</x:v>
      </x:c>
      <x:c r="AF356" s="20" t="n">
        <x:f>IF(H356="CM-HCG",K356*'01 Controls'!$E$27,0)</x:f>
        <x:v>0</x:v>
      </x:c>
    </x:row>
    <x:row r="357">
      <x:c r="C357" s="22" t="str">
        <x:v>M5-A-AMG</x:v>
      </x:c>
      <x:c r="D357" s="22" t="n">
        <x:v>352</x:v>
      </x:c>
      <x:c r="E357" s="22" t="str">
        <x:v>M5</x:v>
      </x:c>
      <x:c r="F357" s="22" t="str">
        <x:v>Drought and water</x:v>
      </x:c>
      <x:c r="G357" s="22" t="n">
        <x:v>8</x:v>
      </x:c>
      <x:c r="H357" s="22" t="str">
        <x:v>A-AMG</x:v>
      </x:c>
      <x:c r="I357" s="22" t="str">
        <x:v>Air Response</x:v>
      </x:c>
      <x:c r="J357" s="22" t="str">
        <x:v>Aeromedical movement group</x:v>
      </x:c>
      <x:c r="K357" s="23" t="n">
        <x:v>2</x:v>
      </x:c>
      <x:c r="L357" s="23" t="n">
        <x:v>300</x:v>
      </x:c>
      <x:c r="M357" s="23" t="n">
        <x:v>0</x:v>
      </x:c>
      <x:c r="N357" s="20" t="n">
        <x:f>K357*L357</x:f>
        <x:v>600</x:v>
      </x:c>
      <x:c r="O357" s="19" t="n">
        <x:v>5000</x:v>
      </x:c>
      <x:c r="P357" s="17" t="n">
        <x:v>0.75</x:v>
      </x:c>
      <x:c r="Q357" s="20" t="n">
        <x:f>K357*O357*P357</x:f>
        <x:v>7500</x:v>
      </x:c>
      <x:c r="R357" s="20" t="n">
        <x:f>Q357*(1-'01 Controls'!$E$6)</x:f>
        <x:v>5625</x:v>
      </x:c>
      <x:c r="S357" s="19" t="n">
        <x:v>100</x:v>
      </x:c>
      <x:c r="T357" s="20" t="n">
        <x:f>K357*S357</x:f>
        <x:v>200</x:v>
      </x:c>
      <x:c r="U357" s="18" t="n">
        <x:f>'01 Controls'!E39</x:f>
        <x:v>0.05</x:v>
      </x:c>
      <x:c r="V357" s="20" t="n">
        <x:f>R357*U357</x:f>
        <x:v>281.25</x:v>
      </x:c>
      <x:c r="W357" s="18" t="n">
        <x:f>'01 Controls'!F39</x:f>
        <x:v>0</x:v>
      </x:c>
      <x:c r="X357" s="20" t="n">
        <x:f>R357*W357</x:f>
        <x:v>0</x:v>
      </x:c>
      <x:c r="Y357" s="18" t="n">
        <x:f>'01 Controls'!G39</x:f>
        <x:v>0.8</x:v>
      </x:c>
      <x:c r="Z357" s="20" t="n">
        <x:f>R357*Y357</x:f>
        <x:v>4500</x:v>
      </x:c>
      <x:c r="AA357" s="18" t="n">
        <x:f>'01 Controls'!H39</x:f>
        <x:v>0.15</x:v>
      </x:c>
      <x:c r="AB357" s="20" t="n">
        <x:f>R357*AA357</x:f>
        <x:v>843.75</x:v>
      </x:c>
      <x:c r="AC357" s="20" t="n">
        <x:f>IF(H357="CM-HCG",K357*'01 Controls'!$E$24,0)</x:f>
        <x:v>0</x:v>
      </x:c>
      <x:c r="AD357" s="20" t="n">
        <x:f>IF(H357="CM-HCG",K357*'01 Controls'!$E$25,0)</x:f>
        <x:v>0</x:v>
      </x:c>
      <x:c r="AE357" s="20" t="n">
        <x:f>IF(H357="CM-HCG",K357*'01 Controls'!$E$26,0)</x:f>
        <x:v>0</x:v>
      </x:c>
      <x:c r="AF357" s="20" t="n">
        <x:f>IF(H357="CM-HCG",K357*'01 Controls'!$E$27,0)</x:f>
        <x:v>0</x:v>
      </x:c>
    </x:row>
    <x:row r="358">
      <x:c r="C358" s="22" t="str">
        <x:v>M5-M-POG</x:v>
      </x:c>
      <x:c r="D358" s="22" t="n">
        <x:v>353</x:v>
      </x:c>
      <x:c r="E358" s="22" t="str">
        <x:v>M5</x:v>
      </x:c>
      <x:c r="F358" s="22" t="str">
        <x:v>Drought and water</x:v>
      </x:c>
      <x:c r="G358" s="22" t="n">
        <x:v>8</x:v>
      </x:c>
      <x:c r="H358" s="22" t="str">
        <x:v>M-POG</x:v>
      </x:c>
      <x:c r="I358" s="22" t="str">
        <x:v>Maritime Response</x:v>
      </x:c>
      <x:c r="J358" s="22" t="str">
        <x:v>Port-opening group</x:v>
      </x:c>
      <x:c r="K358" s="23" t="n">
        <x:v>2</x:v>
      </x:c>
      <x:c r="L358" s="23" t="n">
        <x:v>450</x:v>
      </x:c>
      <x:c r="M358" s="23" t="n">
        <x:v>0</x:v>
      </x:c>
      <x:c r="N358" s="20" t="n">
        <x:f>K358*L358</x:f>
        <x:v>900</x:v>
      </x:c>
      <x:c r="O358" s="19" t="n">
        <x:v>8000</x:v>
      </x:c>
      <x:c r="P358" s="17" t="n">
        <x:v>0.35</x:v>
      </x:c>
      <x:c r="Q358" s="20" t="n">
        <x:f>K358*O358*P358</x:f>
        <x:v>5600</x:v>
      </x:c>
      <x:c r="R358" s="20" t="n">
        <x:f>Q358*(1-'01 Controls'!$E$6)</x:f>
        <x:v>4200</x:v>
      </x:c>
      <x:c r="S358" s="19" t="n">
        <x:v>120</x:v>
      </x:c>
      <x:c r="T358" s="20" t="n">
        <x:f>K358*S358</x:f>
        <x:v>240</x:v>
      </x:c>
      <x:c r="U358" s="18" t="n">
        <x:f>'01 Controls'!E39</x:f>
        <x:v>0.05</x:v>
      </x:c>
      <x:c r="V358" s="20" t="n">
        <x:f>R358*U358</x:f>
        <x:v>210</x:v>
      </x:c>
      <x:c r="W358" s="18" t="n">
        <x:f>'01 Controls'!F39</x:f>
        <x:v>0</x:v>
      </x:c>
      <x:c r="X358" s="20" t="n">
        <x:f>R358*W358</x:f>
        <x:v>0</x:v>
      </x:c>
      <x:c r="Y358" s="18" t="n">
        <x:f>'01 Controls'!G39</x:f>
        <x:v>0.8</x:v>
      </x:c>
      <x:c r="Z358" s="20" t="n">
        <x:f>R358*Y358</x:f>
        <x:v>3360</x:v>
      </x:c>
      <x:c r="AA358" s="18" t="n">
        <x:f>'01 Controls'!H39</x:f>
        <x:v>0.15</x:v>
      </x:c>
      <x:c r="AB358" s="20" t="n">
        <x:f>R358*AA358</x:f>
        <x:v>630</x:v>
      </x:c>
      <x:c r="AC358" s="20" t="n">
        <x:f>IF(H358="CM-HCG",K358*'01 Controls'!$E$24,0)</x:f>
        <x:v>0</x:v>
      </x:c>
      <x:c r="AD358" s="20" t="n">
        <x:f>IF(H358="CM-HCG",K358*'01 Controls'!$E$25,0)</x:f>
        <x:v>0</x:v>
      </x:c>
      <x:c r="AE358" s="20" t="n">
        <x:f>IF(H358="CM-HCG",K358*'01 Controls'!$E$26,0)</x:f>
        <x:v>0</x:v>
      </x:c>
      <x:c r="AF358" s="20" t="n">
        <x:f>IF(H358="CM-HCG",K358*'01 Controls'!$E$27,0)</x:f>
        <x:v>0</x:v>
      </x:c>
    </x:row>
    <x:row r="359">
      <x:c r="C359" s="22" t="str">
        <x:v>M5-M-LAG</x:v>
      </x:c>
      <x:c r="D359" s="22" t="n">
        <x:v>354</x:v>
      </x:c>
      <x:c r="E359" s="22" t="str">
        <x:v>M5</x:v>
      </x:c>
      <x:c r="F359" s="22" t="str">
        <x:v>Drought and water</x:v>
      </x:c>
      <x:c r="G359" s="22" t="n">
        <x:v>8</x:v>
      </x:c>
      <x:c r="H359" s="22" t="str">
        <x:v>M-LAG</x:v>
      </x:c>
      <x:c r="I359" s="22" t="str">
        <x:v>Maritime Response</x:v>
      </x:c>
      <x:c r="J359" s="22" t="str">
        <x:v>Littoral-access group</x:v>
      </x:c>
      <x:c r="K359" s="23" t="n">
        <x:v>3</x:v>
      </x:c>
      <x:c r="L359" s="23" t="n">
        <x:v>350</x:v>
      </x:c>
      <x:c r="M359" s="23" t="n">
        <x:v>0</x:v>
      </x:c>
      <x:c r="N359" s="20" t="n">
        <x:f>K359*L359</x:f>
        <x:v>1050</x:v>
      </x:c>
      <x:c r="O359" s="19" t="n">
        <x:v>8000</x:v>
      </x:c>
      <x:c r="P359" s="17" t="n">
        <x:v>0.35</x:v>
      </x:c>
      <x:c r="Q359" s="20" t="n">
        <x:f>K359*O359*P359</x:f>
        <x:v>8400</x:v>
      </x:c>
      <x:c r="R359" s="20" t="n">
        <x:f>Q359*(1-'01 Controls'!$E$6)</x:f>
        <x:v>6300</x:v>
      </x:c>
      <x:c r="S359" s="19" t="n">
        <x:v>120</x:v>
      </x:c>
      <x:c r="T359" s="20" t="n">
        <x:f>K359*S359</x:f>
        <x:v>360</x:v>
      </x:c>
      <x:c r="U359" s="18" t="n">
        <x:f>'01 Controls'!E39</x:f>
        <x:v>0.05</x:v>
      </x:c>
      <x:c r="V359" s="20" t="n">
        <x:f>R359*U359</x:f>
        <x:v>315</x:v>
      </x:c>
      <x:c r="W359" s="18" t="n">
        <x:f>'01 Controls'!F39</x:f>
        <x:v>0</x:v>
      </x:c>
      <x:c r="X359" s="20" t="n">
        <x:f>R359*W359</x:f>
        <x:v>0</x:v>
      </x:c>
      <x:c r="Y359" s="18" t="n">
        <x:f>'01 Controls'!G39</x:f>
        <x:v>0.8</x:v>
      </x:c>
      <x:c r="Z359" s="20" t="n">
        <x:f>R359*Y359</x:f>
        <x:v>5040</x:v>
      </x:c>
      <x:c r="AA359" s="18" t="n">
        <x:f>'01 Controls'!H39</x:f>
        <x:v>0.15</x:v>
      </x:c>
      <x:c r="AB359" s="20" t="n">
        <x:f>R359*AA359</x:f>
        <x:v>945</x:v>
      </x:c>
      <x:c r="AC359" s="20" t="n">
        <x:f>IF(H359="CM-HCG",K359*'01 Controls'!$E$24,0)</x:f>
        <x:v>0</x:v>
      </x:c>
      <x:c r="AD359" s="20" t="n">
        <x:f>IF(H359="CM-HCG",K359*'01 Controls'!$E$25,0)</x:f>
        <x:v>0</x:v>
      </x:c>
      <x:c r="AE359" s="20" t="n">
        <x:f>IF(H359="CM-HCG",K359*'01 Controls'!$E$26,0)</x:f>
        <x:v>0</x:v>
      </x:c>
      <x:c r="AF359" s="20" t="n">
        <x:f>IF(H359="CM-HCG",K359*'01 Controls'!$E$27,0)</x:f>
        <x:v>0</x:v>
      </x:c>
    </x:row>
    <x:row r="360">
      <x:c r="C360" s="22" t="str">
        <x:v>M5-M-IWG</x:v>
      </x:c>
      <x:c r="D360" s="22" t="n">
        <x:v>355</x:v>
      </x:c>
      <x:c r="E360" s="22" t="str">
        <x:v>M5</x:v>
      </x:c>
      <x:c r="F360" s="22" t="str">
        <x:v>Drought and water</x:v>
      </x:c>
      <x:c r="G360" s="22" t="n">
        <x:v>8</x:v>
      </x:c>
      <x:c r="H360" s="22" t="str">
        <x:v>M-IWG</x:v>
      </x:c>
      <x:c r="I360" s="22" t="str">
        <x:v>Maritime Response</x:v>
      </x:c>
      <x:c r="J360" s="22" t="str">
        <x:v>Inland-waterway group</x:v>
      </x:c>
      <x:c r="K360" s="23" t="n">
        <x:v>4</x:v>
      </x:c>
      <x:c r="L360" s="23" t="n">
        <x:v>250</x:v>
      </x:c>
      <x:c r="M360" s="23" t="n">
        <x:v>0</x:v>
      </x:c>
      <x:c r="N360" s="20" t="n">
        <x:f>K360*L360</x:f>
        <x:v>1000</x:v>
      </x:c>
      <x:c r="O360" s="19" t="n">
        <x:v>8000</x:v>
      </x:c>
      <x:c r="P360" s="17" t="n">
        <x:v>0.35</x:v>
      </x:c>
      <x:c r="Q360" s="20" t="n">
        <x:f>K360*O360*P360</x:f>
        <x:v>11200</x:v>
      </x:c>
      <x:c r="R360" s="20" t="n">
        <x:f>Q360*(1-'01 Controls'!$E$6)</x:f>
        <x:v>8400</x:v>
      </x:c>
      <x:c r="S360" s="19" t="n">
        <x:v>120</x:v>
      </x:c>
      <x:c r="T360" s="20" t="n">
        <x:f>K360*S360</x:f>
        <x:v>480</x:v>
      </x:c>
      <x:c r="U360" s="18" t="n">
        <x:f>'01 Controls'!E39</x:f>
        <x:v>0.05</x:v>
      </x:c>
      <x:c r="V360" s="20" t="n">
        <x:f>R360*U360</x:f>
        <x:v>420</x:v>
      </x:c>
      <x:c r="W360" s="18" t="n">
        <x:f>'01 Controls'!F39</x:f>
        <x:v>0</x:v>
      </x:c>
      <x:c r="X360" s="20" t="n">
        <x:f>R360*W360</x:f>
        <x:v>0</x:v>
      </x:c>
      <x:c r="Y360" s="18" t="n">
        <x:f>'01 Controls'!G39</x:f>
        <x:v>0.8</x:v>
      </x:c>
      <x:c r="Z360" s="20" t="n">
        <x:f>R360*Y360</x:f>
        <x:v>6720</x:v>
      </x:c>
      <x:c r="AA360" s="18" t="n">
        <x:f>'01 Controls'!H39</x:f>
        <x:v>0.15</x:v>
      </x:c>
      <x:c r="AB360" s="20" t="n">
        <x:f>R360*AA360</x:f>
        <x:v>1260</x:v>
      </x:c>
      <x:c r="AC360" s="20" t="n">
        <x:f>IF(H360="CM-HCG",K360*'01 Controls'!$E$24,0)</x:f>
        <x:v>0</x:v>
      </x:c>
      <x:c r="AD360" s="20" t="n">
        <x:f>IF(H360="CM-HCG",K360*'01 Controls'!$E$25,0)</x:f>
        <x:v>0</x:v>
      </x:c>
      <x:c r="AE360" s="20" t="n">
        <x:f>IF(H360="CM-HCG",K360*'01 Controls'!$E$26,0)</x:f>
        <x:v>0</x:v>
      </x:c>
      <x:c r="AF360" s="20" t="n">
        <x:f>IF(H360="CM-HCG",K360*'01 Controls'!$E$27,0)</x:f>
        <x:v>0</x:v>
      </x:c>
    </x:row>
    <x:row r="361">
      <x:c r="C361" s="22" t="str">
        <x:v>M5-M-OSG</x:v>
      </x:c>
      <x:c r="D361" s="22" t="n">
        <x:v>356</x:v>
      </x:c>
      <x:c r="E361" s="22" t="str">
        <x:v>M5</x:v>
      </x:c>
      <x:c r="F361" s="22" t="str">
        <x:v>Drought and water</x:v>
      </x:c>
      <x:c r="G361" s="22" t="n">
        <x:v>8</x:v>
      </x:c>
      <x:c r="H361" s="22" t="str">
        <x:v>M-OSG</x:v>
      </x:c>
      <x:c r="I361" s="22" t="str">
        <x:v>Maritime Response</x:v>
      </x:c>
      <x:c r="J361" s="22" t="str">
        <x:v>Offshore-support group</x:v>
      </x:c>
      <x:c r="K361" s="23" t="n">
        <x:v>3</x:v>
      </x:c>
      <x:c r="L361" s="23" t="n">
        <x:v>700</x:v>
      </x:c>
      <x:c r="M361" s="23" t="n">
        <x:v>0</x:v>
      </x:c>
      <x:c r="N361" s="20" t="n">
        <x:f>K361*L361</x:f>
        <x:v>2100</x:v>
      </x:c>
      <x:c r="O361" s="19" t="n">
        <x:v>8000</x:v>
      </x:c>
      <x:c r="P361" s="17" t="n">
        <x:v>0.35</x:v>
      </x:c>
      <x:c r="Q361" s="20" t="n">
        <x:f>K361*O361*P361</x:f>
        <x:v>8400</x:v>
      </x:c>
      <x:c r="R361" s="20" t="n">
        <x:f>Q361*(1-'01 Controls'!$E$6)</x:f>
        <x:v>6300</x:v>
      </x:c>
      <x:c r="S361" s="19" t="n">
        <x:v>120</x:v>
      </x:c>
      <x:c r="T361" s="20" t="n">
        <x:f>K361*S361</x:f>
        <x:v>360</x:v>
      </x:c>
      <x:c r="U361" s="18" t="n">
        <x:f>'01 Controls'!E39</x:f>
        <x:v>0.05</x:v>
      </x:c>
      <x:c r="V361" s="20" t="n">
        <x:f>R361*U361</x:f>
        <x:v>315</x:v>
      </x:c>
      <x:c r="W361" s="18" t="n">
        <x:f>'01 Controls'!F39</x:f>
        <x:v>0</x:v>
      </x:c>
      <x:c r="X361" s="20" t="n">
        <x:f>R361*W361</x:f>
        <x:v>0</x:v>
      </x:c>
      <x:c r="Y361" s="18" t="n">
        <x:f>'01 Controls'!G39</x:f>
        <x:v>0.8</x:v>
      </x:c>
      <x:c r="Z361" s="20" t="n">
        <x:f>R361*Y361</x:f>
        <x:v>5040</x:v>
      </x:c>
      <x:c r="AA361" s="18" t="n">
        <x:f>'01 Controls'!H39</x:f>
        <x:v>0.15</x:v>
      </x:c>
      <x:c r="AB361" s="20" t="n">
        <x:f>R361*AA361</x:f>
        <x:v>945</x:v>
      </x:c>
      <x:c r="AC361" s="20" t="n">
        <x:f>IF(H361="CM-HCG",K361*'01 Controls'!$E$24,0)</x:f>
        <x:v>0</x:v>
      </x:c>
      <x:c r="AD361" s="20" t="n">
        <x:f>IF(H361="CM-HCG",K361*'01 Controls'!$E$25,0)</x:f>
        <x:v>0</x:v>
      </x:c>
      <x:c r="AE361" s="20" t="n">
        <x:f>IF(H361="CM-HCG",K361*'01 Controls'!$E$26,0)</x:f>
        <x:v>0</x:v>
      </x:c>
      <x:c r="AF361" s="20" t="n">
        <x:f>IF(H361="CM-HCG",K361*'01 Controls'!$E$27,0)</x:f>
        <x:v>0</x:v>
      </x:c>
    </x:row>
    <x:row r="362">
      <x:c r="C362" s="22" t="str">
        <x:v>M5-M-SSG</x:v>
      </x:c>
      <x:c r="D362" s="22" t="n">
        <x:v>357</x:v>
      </x:c>
      <x:c r="E362" s="22" t="str">
        <x:v>M5</x:v>
      </x:c>
      <x:c r="F362" s="22" t="str">
        <x:v>Drought and water</x:v>
      </x:c>
      <x:c r="G362" s="22" t="n">
        <x:v>8</x:v>
      </x:c>
      <x:c r="H362" s="22" t="str">
        <x:v>M-SSG</x:v>
      </x:c>
      <x:c r="I362" s="22" t="str">
        <x:v>Maritime Response</x:v>
      </x:c>
      <x:c r="J362" s="22" t="str">
        <x:v>Ocean sustainment group</x:v>
      </x:c>
      <x:c r="K362" s="23" t="n">
        <x:v>4</x:v>
      </x:c>
      <x:c r="L362" s="23" t="n">
        <x:v>650</x:v>
      </x:c>
      <x:c r="M362" s="23" t="n">
        <x:v>0</x:v>
      </x:c>
      <x:c r="N362" s="20" t="n">
        <x:f>K362*L362</x:f>
        <x:v>2600</x:v>
      </x:c>
      <x:c r="O362" s="19" t="n">
        <x:v>8000</x:v>
      </x:c>
      <x:c r="P362" s="17" t="n">
        <x:v>0.35</x:v>
      </x:c>
      <x:c r="Q362" s="20" t="n">
        <x:f>K362*O362*P362</x:f>
        <x:v>11200</x:v>
      </x:c>
      <x:c r="R362" s="20" t="n">
        <x:f>Q362*(1-'01 Controls'!$E$6)</x:f>
        <x:v>8400</x:v>
      </x:c>
      <x:c r="S362" s="19" t="n">
        <x:v>120</x:v>
      </x:c>
      <x:c r="T362" s="20" t="n">
        <x:f>K362*S362</x:f>
        <x:v>480</x:v>
      </x:c>
      <x:c r="U362" s="18" t="n">
        <x:f>'01 Controls'!E39</x:f>
        <x:v>0.05</x:v>
      </x:c>
      <x:c r="V362" s="20" t="n">
        <x:f>R362*U362</x:f>
        <x:v>420</x:v>
      </x:c>
      <x:c r="W362" s="18" t="n">
        <x:f>'01 Controls'!F39</x:f>
        <x:v>0</x:v>
      </x:c>
      <x:c r="X362" s="20" t="n">
        <x:f>R362*W362</x:f>
        <x:v>0</x:v>
      </x:c>
      <x:c r="Y362" s="18" t="n">
        <x:f>'01 Controls'!G39</x:f>
        <x:v>0.8</x:v>
      </x:c>
      <x:c r="Z362" s="20" t="n">
        <x:f>R362*Y362</x:f>
        <x:v>6720</x:v>
      </x:c>
      <x:c r="AA362" s="18" t="n">
        <x:f>'01 Controls'!H39</x:f>
        <x:v>0.15</x:v>
      </x:c>
      <x:c r="AB362" s="20" t="n">
        <x:f>R362*AA362</x:f>
        <x:v>1260</x:v>
      </x:c>
      <x:c r="AC362" s="20" t="n">
        <x:f>IF(H362="CM-HCG",K362*'01 Controls'!$E$24,0)</x:f>
        <x:v>0</x:v>
      </x:c>
      <x:c r="AD362" s="20" t="n">
        <x:f>IF(H362="CM-HCG",K362*'01 Controls'!$E$25,0)</x:f>
        <x:v>0</x:v>
      </x:c>
      <x:c r="AE362" s="20" t="n">
        <x:f>IF(H362="CM-HCG",K362*'01 Controls'!$E$26,0)</x:f>
        <x:v>0</x:v>
      </x:c>
      <x:c r="AF362" s="20" t="n">
        <x:f>IF(H362="CM-HCG",K362*'01 Controls'!$E$27,0)</x:f>
        <x:v>0</x:v>
      </x:c>
    </x:row>
    <x:row r="363">
      <x:c r="C363" s="22" t="str">
        <x:v>M5-I-CUG</x:v>
      </x:c>
      <x:c r="D363" s="22" t="n">
        <x:v>358</x:v>
      </x:c>
      <x:c r="E363" s="22" t="str">
        <x:v>M5</x:v>
      </x:c>
      <x:c r="F363" s="22" t="str">
        <x:v>Drought and water</x:v>
      </x:c>
      <x:c r="G363" s="22" t="n">
        <x:v>8</x:v>
      </x:c>
      <x:c r="H363" s="22" t="str">
        <x:v>I-CUG</x:v>
      </x:c>
      <x:c r="I363" s="22" t="str">
        <x:v>Infrastructure Restoration</x:v>
      </x:c>
      <x:c r="J363" s="22" t="str">
        <x:v>Communications utility group</x:v>
      </x:c>
      <x:c r="K363" s="23" t="n">
        <x:v>5</x:v>
      </x:c>
      <x:c r="L363" s="23" t="n">
        <x:v>250</x:v>
      </x:c>
      <x:c r="M363" s="23" t="n">
        <x:v>0</x:v>
      </x:c>
      <x:c r="N363" s="20" t="n">
        <x:f>K363*L363</x:f>
        <x:v>1250</x:v>
      </x:c>
      <x:c r="O363" s="19" t="n">
        <x:v>12000</x:v>
      </x:c>
      <x:c r="P363" s="17" t="n">
        <x:v>0.4</x:v>
      </x:c>
      <x:c r="Q363" s="20" t="n">
        <x:f>K363*O363*P363</x:f>
        <x:v>24000</x:v>
      </x:c>
      <x:c r="R363" s="20" t="n">
        <x:f>Q363*(1-'01 Controls'!$E$6)</x:f>
        <x:v>18000</x:v>
      </x:c>
      <x:c r="S363" s="19" t="n">
        <x:v>110</x:v>
      </x:c>
      <x:c r="T363" s="20" t="n">
        <x:f>K363*S363</x:f>
        <x:v>550</x:v>
      </x:c>
      <x:c r="U363" s="18" t="n">
        <x:f>'01 Controls'!E39</x:f>
        <x:v>0.05</x:v>
      </x:c>
      <x:c r="V363" s="20" t="n">
        <x:f>R363*U363</x:f>
        <x:v>900</x:v>
      </x:c>
      <x:c r="W363" s="18" t="n">
        <x:f>'01 Controls'!F39</x:f>
        <x:v>0</x:v>
      </x:c>
      <x:c r="X363" s="20" t="n">
        <x:f>R363*W363</x:f>
        <x:v>0</x:v>
      </x:c>
      <x:c r="Y363" s="18" t="n">
        <x:f>'01 Controls'!G39</x:f>
        <x:v>0.8</x:v>
      </x:c>
      <x:c r="Z363" s="20" t="n">
        <x:f>R363*Y363</x:f>
        <x:v>14400</x:v>
      </x:c>
      <x:c r="AA363" s="18" t="n">
        <x:f>'01 Controls'!H39</x:f>
        <x:v>0.15</x:v>
      </x:c>
      <x:c r="AB363" s="20" t="n">
        <x:f>R363*AA363</x:f>
        <x:v>2700</x:v>
      </x:c>
      <x:c r="AC363" s="20" t="n">
        <x:f>IF(H363="CM-HCG",K363*'01 Controls'!$E$24,0)</x:f>
        <x:v>0</x:v>
      </x:c>
      <x:c r="AD363" s="20" t="n">
        <x:f>IF(H363="CM-HCG",K363*'01 Controls'!$E$25,0)</x:f>
        <x:v>0</x:v>
      </x:c>
      <x:c r="AE363" s="20" t="n">
        <x:f>IF(H363="CM-HCG",K363*'01 Controls'!$E$26,0)</x:f>
        <x:v>0</x:v>
      </x:c>
      <x:c r="AF363" s="20" t="n">
        <x:f>IF(H363="CM-HCG",K363*'01 Controls'!$E$27,0)</x:f>
        <x:v>0</x:v>
      </x:c>
    </x:row>
    <x:row r="364">
      <x:c r="C364" s="22" t="str">
        <x:v>M5-I-TSG</x:v>
      </x:c>
      <x:c r="D364" s="22" t="n">
        <x:v>359</x:v>
      </x:c>
      <x:c r="E364" s="22" t="str">
        <x:v>M5</x:v>
      </x:c>
      <x:c r="F364" s="22" t="str">
        <x:v>Drought and water</x:v>
      </x:c>
      <x:c r="G364" s="22" t="n">
        <x:v>8</x:v>
      </x:c>
      <x:c r="H364" s="22" t="str">
        <x:v>I-TSG</x:v>
      </x:c>
      <x:c r="I364" s="22" t="str">
        <x:v>Infrastructure Restoration</x:v>
      </x:c>
      <x:c r="J364" s="22" t="str">
        <x:v>Thermal safety group</x:v>
      </x:c>
      <x:c r="K364" s="23" t="n">
        <x:v>5</x:v>
      </x:c>
      <x:c r="L364" s="23" t="n">
        <x:v>250</x:v>
      </x:c>
      <x:c r="M364" s="23" t="n">
        <x:v>0</x:v>
      </x:c>
      <x:c r="N364" s="20" t="n">
        <x:f>K364*L364</x:f>
        <x:v>1250</x:v>
      </x:c>
      <x:c r="O364" s="19" t="n">
        <x:v>12000</x:v>
      </x:c>
      <x:c r="P364" s="17" t="n">
        <x:v>0.4</x:v>
      </x:c>
      <x:c r="Q364" s="20" t="n">
        <x:f>K364*O364*P364</x:f>
        <x:v>24000</x:v>
      </x:c>
      <x:c r="R364" s="20" t="n">
        <x:f>Q364*(1-'01 Controls'!$E$6)</x:f>
        <x:v>18000</x:v>
      </x:c>
      <x:c r="S364" s="19" t="n">
        <x:v>110</x:v>
      </x:c>
      <x:c r="T364" s="20" t="n">
        <x:f>K364*S364</x:f>
        <x:v>550</x:v>
      </x:c>
      <x:c r="U364" s="18" t="n">
        <x:f>'01 Controls'!E39</x:f>
        <x:v>0.05</x:v>
      </x:c>
      <x:c r="V364" s="20" t="n">
        <x:f>R364*U364</x:f>
        <x:v>900</x:v>
      </x:c>
      <x:c r="W364" s="18" t="n">
        <x:f>'01 Controls'!F39</x:f>
        <x:v>0</x:v>
      </x:c>
      <x:c r="X364" s="20" t="n">
        <x:f>R364*W364</x:f>
        <x:v>0</x:v>
      </x:c>
      <x:c r="Y364" s="18" t="n">
        <x:f>'01 Controls'!G39</x:f>
        <x:v>0.8</x:v>
      </x:c>
      <x:c r="Z364" s="20" t="n">
        <x:f>R364*Y364</x:f>
        <x:v>14400</x:v>
      </x:c>
      <x:c r="AA364" s="18" t="n">
        <x:f>'01 Controls'!H39</x:f>
        <x:v>0.15</x:v>
      </x:c>
      <x:c r="AB364" s="20" t="n">
        <x:f>R364*AA364</x:f>
        <x:v>2700</x:v>
      </x:c>
      <x:c r="AC364" s="20" t="n">
        <x:f>IF(H364="CM-HCG",K364*'01 Controls'!$E$24,0)</x:f>
        <x:v>0</x:v>
      </x:c>
      <x:c r="AD364" s="20" t="n">
        <x:f>IF(H364="CM-HCG",K364*'01 Controls'!$E$25,0)</x:f>
        <x:v>0</x:v>
      </x:c>
      <x:c r="AE364" s="20" t="n">
        <x:f>IF(H364="CM-HCG",K364*'01 Controls'!$E$26,0)</x:f>
        <x:v>0</x:v>
      </x:c>
      <x:c r="AF364" s="20" t="n">
        <x:f>IF(H364="CM-HCG",K364*'01 Controls'!$E$27,0)</x:f>
        <x:v>0</x:v>
      </x:c>
    </x:row>
    <x:row r="365">
      <x:c r="C365" s="22" t="str">
        <x:v>M5-I-URG</x:v>
      </x:c>
      <x:c r="D365" s="22" t="n">
        <x:v>360</x:v>
      </x:c>
      <x:c r="E365" s="22" t="str">
        <x:v>M5</x:v>
      </x:c>
      <x:c r="F365" s="22" t="str">
        <x:v>Drought and water</x:v>
      </x:c>
      <x:c r="G365" s="22" t="n">
        <x:v>8</x:v>
      </x:c>
      <x:c r="H365" s="22" t="str">
        <x:v>I-URG</x:v>
      </x:c>
      <x:c r="I365" s="22" t="str">
        <x:v>Infrastructure Restoration</x:v>
      </x:c>
      <x:c r="J365" s="22" t="str">
        <x:v>Utility reconstruction group</x:v>
      </x:c>
      <x:c r="K365" s="23" t="n">
        <x:v>6</x:v>
      </x:c>
      <x:c r="L365" s="23" t="n">
        <x:v>450</x:v>
      </x:c>
      <x:c r="M365" s="23" t="n">
        <x:v>0</x:v>
      </x:c>
      <x:c r="N365" s="20" t="n">
        <x:f>K365*L365</x:f>
        <x:v>2700</x:v>
      </x:c>
      <x:c r="O365" s="19" t="n">
        <x:v>12000</x:v>
      </x:c>
      <x:c r="P365" s="17" t="n">
        <x:v>0.4</x:v>
      </x:c>
      <x:c r="Q365" s="20" t="n">
        <x:f>K365*O365*P365</x:f>
        <x:v>28800</x:v>
      </x:c>
      <x:c r="R365" s="20" t="n">
        <x:f>Q365*(1-'01 Controls'!$E$6)</x:f>
        <x:v>21600</x:v>
      </x:c>
      <x:c r="S365" s="19" t="n">
        <x:v>110</x:v>
      </x:c>
      <x:c r="T365" s="20" t="n">
        <x:f>K365*S365</x:f>
        <x:v>660</x:v>
      </x:c>
      <x:c r="U365" s="18" t="n">
        <x:f>'01 Controls'!E39</x:f>
        <x:v>0.05</x:v>
      </x:c>
      <x:c r="V365" s="20" t="n">
        <x:f>R365*U365</x:f>
        <x:v>1080</x:v>
      </x:c>
      <x:c r="W365" s="18" t="n">
        <x:f>'01 Controls'!F39</x:f>
        <x:v>0</x:v>
      </x:c>
      <x:c r="X365" s="20" t="n">
        <x:f>R365*W365</x:f>
        <x:v>0</x:v>
      </x:c>
      <x:c r="Y365" s="18" t="n">
        <x:f>'01 Controls'!G39</x:f>
        <x:v>0.8</x:v>
      </x:c>
      <x:c r="Z365" s="20" t="n">
        <x:f>R365*Y365</x:f>
        <x:v>17280</x:v>
      </x:c>
      <x:c r="AA365" s="18" t="n">
        <x:f>'01 Controls'!H39</x:f>
        <x:v>0.15</x:v>
      </x:c>
      <x:c r="AB365" s="20" t="n">
        <x:f>R365*AA365</x:f>
        <x:v>3240</x:v>
      </x:c>
      <x:c r="AC365" s="20" t="n">
        <x:f>IF(H365="CM-HCG",K365*'01 Controls'!$E$24,0)</x:f>
        <x:v>0</x:v>
      </x:c>
      <x:c r="AD365" s="20" t="n">
        <x:f>IF(H365="CM-HCG",K365*'01 Controls'!$E$25,0)</x:f>
        <x:v>0</x:v>
      </x:c>
      <x:c r="AE365" s="20" t="n">
        <x:f>IF(H365="CM-HCG",K365*'01 Controls'!$E$26,0)</x:f>
        <x:v>0</x:v>
      </x:c>
      <x:c r="AF365" s="20" t="n">
        <x:f>IF(H365="CM-HCG",K365*'01 Controls'!$E$27,0)</x:f>
        <x:v>0</x:v>
      </x:c>
    </x:row>
    <x:row r="366">
      <x:c r="C366" s="22" t="str">
        <x:v>M5-H-CHC</x:v>
      </x:c>
      <x:c r="D366" s="22" t="n">
        <x:v>361</x:v>
      </x:c>
      <x:c r="E366" s="22" t="str">
        <x:v>M5</x:v>
      </x:c>
      <x:c r="F366" s="22" t="str">
        <x:v>Drought and water</x:v>
      </x:c>
      <x:c r="G366" s="22" t="n">
        <x:v>8</x:v>
      </x:c>
      <x:c r="H366" s="22" t="str">
        <x:v>H-CHC</x:v>
      </x:c>
      <x:c r="I366" s="22" t="str">
        <x:v>Health Protection</x:v>
      </x:c>
      <x:c r="J366" s="22" t="str">
        <x:v>Community health continuity group</x:v>
      </x:c>
      <x:c r="K366" s="23" t="n">
        <x:v>6</x:v>
      </x:c>
      <x:c r="L366" s="23" t="n">
        <x:v>500</x:v>
      </x:c>
      <x:c r="M366" s="23" t="n">
        <x:v>0</x:v>
      </x:c>
      <x:c r="N366" s="20" t="n">
        <x:f>K366*L366</x:f>
        <x:v>3000</x:v>
      </x:c>
      <x:c r="O366" s="19" t="n">
        <x:v>5000</x:v>
      </x:c>
      <x:c r="P366" s="17" t="n">
        <x:v>0.7</x:v>
      </x:c>
      <x:c r="Q366" s="20" t="n">
        <x:f>K366*O366*P366</x:f>
        <x:v>21000</x:v>
      </x:c>
      <x:c r="R366" s="20" t="n">
        <x:f>Q366*(1-'01 Controls'!$E$6)</x:f>
        <x:v>15750</x:v>
      </x:c>
      <x:c r="S366" s="19" t="n">
        <x:v>55</x:v>
      </x:c>
      <x:c r="T366" s="20" t="n">
        <x:f>K366*S366</x:f>
        <x:v>330</x:v>
      </x:c>
      <x:c r="U366" s="18" t="n">
        <x:f>'01 Controls'!E39</x:f>
        <x:v>0.05</x:v>
      </x:c>
      <x:c r="V366" s="20" t="n">
        <x:f>R366*U366</x:f>
        <x:v>787.5</x:v>
      </x:c>
      <x:c r="W366" s="18" t="n">
        <x:f>'01 Controls'!F39</x:f>
        <x:v>0</x:v>
      </x:c>
      <x:c r="X366" s="20" t="n">
        <x:f>R366*W366</x:f>
        <x:v>0</x:v>
      </x:c>
      <x:c r="Y366" s="18" t="n">
        <x:f>'01 Controls'!G39</x:f>
        <x:v>0.8</x:v>
      </x:c>
      <x:c r="Z366" s="20" t="n">
        <x:f>R366*Y366</x:f>
        <x:v>12600</x:v>
      </x:c>
      <x:c r="AA366" s="18" t="n">
        <x:f>'01 Controls'!H39</x:f>
        <x:v>0.15</x:v>
      </x:c>
      <x:c r="AB366" s="20" t="n">
        <x:f>R366*AA366</x:f>
        <x:v>2362.5</x:v>
      </x:c>
      <x:c r="AC366" s="20" t="n">
        <x:f>IF(H366="CM-HCG",K366*'01 Controls'!$E$24,0)</x:f>
        <x:v>0</x:v>
      </x:c>
      <x:c r="AD366" s="20" t="n">
        <x:f>IF(H366="CM-HCG",K366*'01 Controls'!$E$25,0)</x:f>
        <x:v>0</x:v>
      </x:c>
      <x:c r="AE366" s="20" t="n">
        <x:f>IF(H366="CM-HCG",K366*'01 Controls'!$E$26,0)</x:f>
        <x:v>0</x:v>
      </x:c>
      <x:c r="AF366" s="20" t="n">
        <x:f>IF(H366="CM-HCG",K366*'01 Controls'!$E$27,0)</x:f>
        <x:v>0</x:v>
      </x:c>
    </x:row>
    <x:row r="367">
      <x:c r="C367" s="22" t="str">
        <x:v>M5-H-MAC</x:v>
      </x:c>
      <x:c r="D367" s="22" t="n">
        <x:v>362</x:v>
      </x:c>
      <x:c r="E367" s="22" t="str">
        <x:v>M5</x:v>
      </x:c>
      <x:c r="F367" s="22" t="str">
        <x:v>Drought and water</x:v>
      </x:c>
      <x:c r="G367" s="22" t="n">
        <x:v>8</x:v>
      </x:c>
      <x:c r="H367" s="22" t="str">
        <x:v>H-MAC</x:v>
      </x:c>
      <x:c r="I367" s="22" t="str">
        <x:v>Health Protection</x:v>
      </x:c>
      <x:c r="J367" s="22" t="str">
        <x:v>Mobile acute-care group</x:v>
      </x:c>
      <x:c r="K367" s="23" t="n">
        <x:v>3</x:v>
      </x:c>
      <x:c r="L367" s="23" t="n">
        <x:v>600</x:v>
      </x:c>
      <x:c r="M367" s="23" t="n">
        <x:v>0</x:v>
      </x:c>
      <x:c r="N367" s="20" t="n">
        <x:f>K367*L367</x:f>
        <x:v>1800</x:v>
      </x:c>
      <x:c r="O367" s="19" t="n">
        <x:v>5000</x:v>
      </x:c>
      <x:c r="P367" s="17" t="n">
        <x:v>0.7</x:v>
      </x:c>
      <x:c r="Q367" s="20" t="n">
        <x:f>K367*O367*P367</x:f>
        <x:v>10500</x:v>
      </x:c>
      <x:c r="R367" s="20" t="n">
        <x:f>Q367*(1-'01 Controls'!$E$6)</x:f>
        <x:v>7875</x:v>
      </x:c>
      <x:c r="S367" s="19" t="n">
        <x:v>55</x:v>
      </x:c>
      <x:c r="T367" s="20" t="n">
        <x:f>K367*S367</x:f>
        <x:v>165</x:v>
      </x:c>
      <x:c r="U367" s="18" t="n">
        <x:f>'01 Controls'!E39</x:f>
        <x:v>0.05</x:v>
      </x:c>
      <x:c r="V367" s="20" t="n">
        <x:f>R367*U367</x:f>
        <x:v>393.75</x:v>
      </x:c>
      <x:c r="W367" s="18" t="n">
        <x:f>'01 Controls'!F39</x:f>
        <x:v>0</x:v>
      </x:c>
      <x:c r="X367" s="20" t="n">
        <x:f>R367*W367</x:f>
        <x:v>0</x:v>
      </x:c>
      <x:c r="Y367" s="18" t="n">
        <x:f>'01 Controls'!G39</x:f>
        <x:v>0.8</x:v>
      </x:c>
      <x:c r="Z367" s="20" t="n">
        <x:f>R367*Y367</x:f>
        <x:v>6300</x:v>
      </x:c>
      <x:c r="AA367" s="18" t="n">
        <x:f>'01 Controls'!H39</x:f>
        <x:v>0.15</x:v>
      </x:c>
      <x:c r="AB367" s="20" t="n">
        <x:f>R367*AA367</x:f>
        <x:v>1181.25</x:v>
      </x:c>
      <x:c r="AC367" s="20" t="n">
        <x:f>IF(H367="CM-HCG",K367*'01 Controls'!$E$24,0)</x:f>
        <x:v>0</x:v>
      </x:c>
      <x:c r="AD367" s="20" t="n">
        <x:f>IF(H367="CM-HCG",K367*'01 Controls'!$E$25,0)</x:f>
        <x:v>0</x:v>
      </x:c>
      <x:c r="AE367" s="20" t="n">
        <x:f>IF(H367="CM-HCG",K367*'01 Controls'!$E$26,0)</x:f>
        <x:v>0</x:v>
      </x:c>
      <x:c r="AF367" s="20" t="n">
        <x:f>IF(H367="CM-HCG",K367*'01 Controls'!$E$27,0)</x:f>
        <x:v>0</x:v>
      </x:c>
    </x:row>
    <x:row r="368">
      <x:c r="C368" s="22" t="str">
        <x:v>M5-H-PHC</x:v>
      </x:c>
      <x:c r="D368" s="22" t="n">
        <x:v>363</x:v>
      </x:c>
      <x:c r="E368" s="22" t="str">
        <x:v>M5</x:v>
      </x:c>
      <x:c r="F368" s="22" t="str">
        <x:v>Drought and water</x:v>
      </x:c>
      <x:c r="G368" s="22" t="n">
        <x:v>8</x:v>
      </x:c>
      <x:c r="H368" s="22" t="str">
        <x:v>H-PHC</x:v>
      </x:c>
      <x:c r="I368" s="22" t="str">
        <x:v>Health Protection</x:v>
      </x:c>
      <x:c r="J368" s="22" t="str">
        <x:v>Public-health control group</x:v>
      </x:c>
      <x:c r="K368" s="23" t="n">
        <x:v>4</x:v>
      </x:c>
      <x:c r="L368" s="23" t="n">
        <x:v>250</x:v>
      </x:c>
      <x:c r="M368" s="23" t="n">
        <x:v>0</x:v>
      </x:c>
      <x:c r="N368" s="20" t="n">
        <x:f>K368*L368</x:f>
        <x:v>1000</x:v>
      </x:c>
      <x:c r="O368" s="19" t="n">
        <x:v>5000</x:v>
      </x:c>
      <x:c r="P368" s="17" t="n">
        <x:v>0.7</x:v>
      </x:c>
      <x:c r="Q368" s="20" t="n">
        <x:f>K368*O368*P368</x:f>
        <x:v>14000</x:v>
      </x:c>
      <x:c r="R368" s="20" t="n">
        <x:f>Q368*(1-'01 Controls'!$E$6)</x:f>
        <x:v>10500</x:v>
      </x:c>
      <x:c r="S368" s="19" t="n">
        <x:v>55</x:v>
      </x:c>
      <x:c r="T368" s="20" t="n">
        <x:f>K368*S368</x:f>
        <x:v>220</x:v>
      </x:c>
      <x:c r="U368" s="18" t="n">
        <x:f>'01 Controls'!E39</x:f>
        <x:v>0.05</x:v>
      </x:c>
      <x:c r="V368" s="20" t="n">
        <x:f>R368*U368</x:f>
        <x:v>525</x:v>
      </x:c>
      <x:c r="W368" s="18" t="n">
        <x:f>'01 Controls'!F39</x:f>
        <x:v>0</x:v>
      </x:c>
      <x:c r="X368" s="20" t="n">
        <x:f>R368*W368</x:f>
        <x:v>0</x:v>
      </x:c>
      <x:c r="Y368" s="18" t="n">
        <x:f>'01 Controls'!G39</x:f>
        <x:v>0.8</x:v>
      </x:c>
      <x:c r="Z368" s="20" t="n">
        <x:f>R368*Y368</x:f>
        <x:v>8400</x:v>
      </x:c>
      <x:c r="AA368" s="18" t="n">
        <x:f>'01 Controls'!H39</x:f>
        <x:v>0.15</x:v>
      </x:c>
      <x:c r="AB368" s="20" t="n">
        <x:f>R368*AA368</x:f>
        <x:v>1575</x:v>
      </x:c>
      <x:c r="AC368" s="20" t="n">
        <x:f>IF(H368="CM-HCG",K368*'01 Controls'!$E$24,0)</x:f>
        <x:v>0</x:v>
      </x:c>
      <x:c r="AD368" s="20" t="n">
        <x:f>IF(H368="CM-HCG",K368*'01 Controls'!$E$25,0)</x:f>
        <x:v>0</x:v>
      </x:c>
      <x:c r="AE368" s="20" t="n">
        <x:f>IF(H368="CM-HCG",K368*'01 Controls'!$E$26,0)</x:f>
        <x:v>0</x:v>
      </x:c>
      <x:c r="AF368" s="20" t="n">
        <x:f>IF(H368="CM-HCG",K368*'01 Controls'!$E$27,0)</x:f>
        <x:v>0</x:v>
      </x:c>
    </x:row>
    <x:row r="369">
      <x:c r="C369" s="22" t="str">
        <x:v>M5-H-HWR</x:v>
      </x:c>
      <x:c r="D369" s="22" t="n">
        <x:v>364</x:v>
      </x:c>
      <x:c r="E369" s="22" t="str">
        <x:v>M5</x:v>
      </x:c>
      <x:c r="F369" s="22" t="str">
        <x:v>Drought and water</x:v>
      </x:c>
      <x:c r="G369" s="22" t="n">
        <x:v>8</x:v>
      </x:c>
      <x:c r="H369" s="22" t="str">
        <x:v>H-HWR</x:v>
      </x:c>
      <x:c r="I369" s="22" t="str">
        <x:v>Health Protection</x:v>
      </x:c>
      <x:c r="J369" s="22" t="str">
        <x:v>Health workforce replacement group</x:v>
      </x:c>
      <x:c r="K369" s="23" t="n">
        <x:v>6</x:v>
      </x:c>
      <x:c r="L369" s="23" t="n">
        <x:v>550</x:v>
      </x:c>
      <x:c r="M369" s="23" t="n">
        <x:v>0</x:v>
      </x:c>
      <x:c r="N369" s="20" t="n">
        <x:f>K369*L369</x:f>
        <x:v>3300</x:v>
      </x:c>
      <x:c r="O369" s="19" t="n">
        <x:v>5000</x:v>
      </x:c>
      <x:c r="P369" s="17" t="n">
        <x:v>0.7</x:v>
      </x:c>
      <x:c r="Q369" s="20" t="n">
        <x:f>K369*O369*P369</x:f>
        <x:v>21000</x:v>
      </x:c>
      <x:c r="R369" s="20" t="n">
        <x:f>Q369*(1-'01 Controls'!$E$6)</x:f>
        <x:v>15750</x:v>
      </x:c>
      <x:c r="S369" s="19" t="n">
        <x:v>55</x:v>
      </x:c>
      <x:c r="T369" s="20" t="n">
        <x:f>K369*S369</x:f>
        <x:v>330</x:v>
      </x:c>
      <x:c r="U369" s="18" t="n">
        <x:f>'01 Controls'!E39</x:f>
        <x:v>0.05</x:v>
      </x:c>
      <x:c r="V369" s="20" t="n">
        <x:f>R369*U369</x:f>
        <x:v>787.5</x:v>
      </x:c>
      <x:c r="W369" s="18" t="n">
        <x:f>'01 Controls'!F39</x:f>
        <x:v>0</x:v>
      </x:c>
      <x:c r="X369" s="20" t="n">
        <x:f>R369*W369</x:f>
        <x:v>0</x:v>
      </x:c>
      <x:c r="Y369" s="18" t="n">
        <x:f>'01 Controls'!G39</x:f>
        <x:v>0.8</x:v>
      </x:c>
      <x:c r="Z369" s="20" t="n">
        <x:f>R369*Y369</x:f>
        <x:v>12600</x:v>
      </x:c>
      <x:c r="AA369" s="18" t="n">
        <x:f>'01 Controls'!H39</x:f>
        <x:v>0.15</x:v>
      </x:c>
      <x:c r="AB369" s="20" t="n">
        <x:f>R369*AA369</x:f>
        <x:v>2362.5</x:v>
      </x:c>
      <x:c r="AC369" s="20" t="n">
        <x:f>IF(H369="CM-HCG",K369*'01 Controls'!$E$24,0)</x:f>
        <x:v>0</x:v>
      </x:c>
      <x:c r="AD369" s="20" t="n">
        <x:f>IF(H369="CM-HCG",K369*'01 Controls'!$E$25,0)</x:f>
        <x:v>0</x:v>
      </x:c>
      <x:c r="AE369" s="20" t="n">
        <x:f>IF(H369="CM-HCG",K369*'01 Controls'!$E$26,0)</x:f>
        <x:v>0</x:v>
      </x:c>
      <x:c r="AF369" s="20" t="n">
        <x:f>IF(H369="CM-HCG",K369*'01 Controls'!$E$27,0)</x:f>
        <x:v>0</x:v>
      </x:c>
    </x:row>
    <x:row r="370">
      <x:c r="C370" s="22" t="str">
        <x:v>M5-C-PSG</x:v>
      </x:c>
      <x:c r="D370" s="22" t="n">
        <x:v>365</x:v>
      </x:c>
      <x:c r="E370" s="22" t="str">
        <x:v>M5</x:v>
      </x:c>
      <x:c r="F370" s="22" t="str">
        <x:v>Drought and water</x:v>
      </x:c>
      <x:c r="G370" s="22" t="n">
        <x:v>8</x:v>
      </x:c>
      <x:c r="H370" s="22" t="str">
        <x:v>C-PSG</x:v>
      </x:c>
      <x:c r="I370" s="22" t="str">
        <x:v>Community Stabilization</x:v>
      </x:c>
      <x:c r="J370" s="22" t="str">
        <x:v>Population support group</x:v>
      </x:c>
      <x:c r="K370" s="23" t="n">
        <x:v>8</x:v>
      </x:c>
      <x:c r="L370" s="23" t="n">
        <x:v>450</x:v>
      </x:c>
      <x:c r="M370" s="23" t="n">
        <x:v>0</x:v>
      </x:c>
      <x:c r="N370" s="20" t="n">
        <x:f>K370*L370</x:f>
        <x:v>3600</x:v>
      </x:c>
      <x:c r="O370" s="19" t="n">
        <x:v>4500</x:v>
      </x:c>
      <x:c r="P370" s="17" t="n">
        <x:v>0.65</x:v>
      </x:c>
      <x:c r="Q370" s="20" t="n">
        <x:f>K370*O370*P370</x:f>
        <x:v>23400</x:v>
      </x:c>
      <x:c r="R370" s="20" t="n">
        <x:f>Q370*(1-'01 Controls'!$E$6)</x:f>
        <x:v>17550</x:v>
      </x:c>
      <x:c r="S370" s="19" t="n">
        <x:v>75</x:v>
      </x:c>
      <x:c r="T370" s="20" t="n">
        <x:f>K370*S370</x:f>
        <x:v>600</x:v>
      </x:c>
      <x:c r="U370" s="18" t="n">
        <x:f>'01 Controls'!E39</x:f>
        <x:v>0.05</x:v>
      </x:c>
      <x:c r="V370" s="20" t="n">
        <x:f>R370*U370</x:f>
        <x:v>877.5</x:v>
      </x:c>
      <x:c r="W370" s="18" t="n">
        <x:f>'01 Controls'!F39</x:f>
        <x:v>0</x:v>
      </x:c>
      <x:c r="X370" s="20" t="n">
        <x:f>R370*W370</x:f>
        <x:v>0</x:v>
      </x:c>
      <x:c r="Y370" s="18" t="n">
        <x:f>'01 Controls'!G39</x:f>
        <x:v>0.8</x:v>
      </x:c>
      <x:c r="Z370" s="20" t="n">
        <x:f>R370*Y370</x:f>
        <x:v>14040</x:v>
      </x:c>
      <x:c r="AA370" s="18" t="n">
        <x:f>'01 Controls'!H39</x:f>
        <x:v>0.15</x:v>
      </x:c>
      <x:c r="AB370" s="20" t="n">
        <x:f>R370*AA370</x:f>
        <x:v>2632.5</x:v>
      </x:c>
      <x:c r="AC370" s="20" t="n">
        <x:f>IF(H370="CM-HCG",K370*'01 Controls'!$E$24,0)</x:f>
        <x:v>0</x:v>
      </x:c>
      <x:c r="AD370" s="20" t="n">
        <x:f>IF(H370="CM-HCG",K370*'01 Controls'!$E$25,0)</x:f>
        <x:v>0</x:v>
      </x:c>
      <x:c r="AE370" s="20" t="n">
        <x:f>IF(H370="CM-HCG",K370*'01 Controls'!$E$26,0)</x:f>
        <x:v>0</x:v>
      </x:c>
      <x:c r="AF370" s="20" t="n">
        <x:f>IF(H370="CM-HCG",K370*'01 Controls'!$E$27,0)</x:f>
        <x:v>0</x:v>
      </x:c>
    </x:row>
    <x:row r="371">
      <x:c r="C371" s="22" t="str">
        <x:v>M5-C-EGG</x:v>
      </x:c>
      <x:c r="D371" s="22" t="n">
        <x:v>366</x:v>
      </x:c>
      <x:c r="E371" s="22" t="str">
        <x:v>M5</x:v>
      </x:c>
      <x:c r="F371" s="22" t="str">
        <x:v>Drought and water</x:v>
      </x:c>
      <x:c r="G371" s="22" t="n">
        <x:v>8</x:v>
      </x:c>
      <x:c r="H371" s="22" t="str">
        <x:v>C-EGG</x:v>
      </x:c>
      <x:c r="I371" s="22" t="str">
        <x:v>Community Stabilization</x:v>
      </x:c>
      <x:c r="J371" s="22" t="str">
        <x:v>Essential-goods group</x:v>
      </x:c>
      <x:c r="K371" s="23" t="n">
        <x:v>8</x:v>
      </x:c>
      <x:c r="L371" s="23" t="n">
        <x:v>350</x:v>
      </x:c>
      <x:c r="M371" s="23" t="n">
        <x:v>0</x:v>
      </x:c>
      <x:c r="N371" s="20" t="n">
        <x:f>K371*L371</x:f>
        <x:v>2800</x:v>
      </x:c>
      <x:c r="O371" s="19" t="n">
        <x:v>4500</x:v>
      </x:c>
      <x:c r="P371" s="17" t="n">
        <x:v>0.65</x:v>
      </x:c>
      <x:c r="Q371" s="20" t="n">
        <x:f>K371*O371*P371</x:f>
        <x:v>23400</x:v>
      </x:c>
      <x:c r="R371" s="20" t="n">
        <x:f>Q371*(1-'01 Controls'!$E$6)</x:f>
        <x:v>17550</x:v>
      </x:c>
      <x:c r="S371" s="19" t="n">
        <x:v>75</x:v>
      </x:c>
      <x:c r="T371" s="20" t="n">
        <x:f>K371*S371</x:f>
        <x:v>600</x:v>
      </x:c>
      <x:c r="U371" s="18" t="n">
        <x:f>'01 Controls'!E39</x:f>
        <x:v>0.05</x:v>
      </x:c>
      <x:c r="V371" s="20" t="n">
        <x:f>R371*U371</x:f>
        <x:v>877.5</x:v>
      </x:c>
      <x:c r="W371" s="18" t="n">
        <x:f>'01 Controls'!F39</x:f>
        <x:v>0</x:v>
      </x:c>
      <x:c r="X371" s="20" t="n">
        <x:f>R371*W371</x:f>
        <x:v>0</x:v>
      </x:c>
      <x:c r="Y371" s="18" t="n">
        <x:f>'01 Controls'!G39</x:f>
        <x:v>0.8</x:v>
      </x:c>
      <x:c r="Z371" s="20" t="n">
        <x:f>R371*Y371</x:f>
        <x:v>14040</x:v>
      </x:c>
      <x:c r="AA371" s="18" t="n">
        <x:f>'01 Controls'!H39</x:f>
        <x:v>0.15</x:v>
      </x:c>
      <x:c r="AB371" s="20" t="n">
        <x:f>R371*AA371</x:f>
        <x:v>2632.5</x:v>
      </x:c>
      <x:c r="AC371" s="20" t="n">
        <x:f>IF(H371="CM-HCG",K371*'01 Controls'!$E$24,0)</x:f>
        <x:v>0</x:v>
      </x:c>
      <x:c r="AD371" s="20" t="n">
        <x:f>IF(H371="CM-HCG",K371*'01 Controls'!$E$25,0)</x:f>
        <x:v>0</x:v>
      </x:c>
      <x:c r="AE371" s="20" t="n">
        <x:f>IF(H371="CM-HCG",K371*'01 Controls'!$E$26,0)</x:f>
        <x:v>0</x:v>
      </x:c>
      <x:c r="AF371" s="20" t="n">
        <x:f>IF(H371="CM-HCG",K371*'01 Controls'!$E$27,0)</x:f>
        <x:v>0</x:v>
      </x:c>
    </x:row>
    <x:row r="372">
      <x:c r="C372" s="22" t="str">
        <x:v>M5-C-CAG</x:v>
      </x:c>
      <x:c r="D372" s="22" t="n">
        <x:v>367</x:v>
      </x:c>
      <x:c r="E372" s="22" t="str">
        <x:v>M5</x:v>
      </x:c>
      <x:c r="F372" s="22" t="str">
        <x:v>Drought and water</x:v>
      </x:c>
      <x:c r="G372" s="22" t="n">
        <x:v>8</x:v>
      </x:c>
      <x:c r="H372" s="22" t="str">
        <x:v>C-CAG</x:v>
      </x:c>
      <x:c r="I372" s="22" t="str">
        <x:v>Community Stabilization</x:v>
      </x:c>
      <x:c r="J372" s="22" t="str">
        <x:v>Civil access group</x:v>
      </x:c>
      <x:c r="K372" s="23" t="n">
        <x:v>6</x:v>
      </x:c>
      <x:c r="L372" s="23" t="n">
        <x:v>180</x:v>
      </x:c>
      <x:c r="M372" s="23" t="n">
        <x:v>0</x:v>
      </x:c>
      <x:c r="N372" s="20" t="n">
        <x:f>K372*L372</x:f>
        <x:v>1080</x:v>
      </x:c>
      <x:c r="O372" s="19" t="n">
        <x:v>4500</x:v>
      </x:c>
      <x:c r="P372" s="17" t="n">
        <x:v>0.65</x:v>
      </x:c>
      <x:c r="Q372" s="20" t="n">
        <x:f>K372*O372*P372</x:f>
        <x:v>17550</x:v>
      </x:c>
      <x:c r="R372" s="20" t="n">
        <x:f>Q372*(1-'01 Controls'!$E$6)</x:f>
        <x:v>13162.5</x:v>
      </x:c>
      <x:c r="S372" s="19" t="n">
        <x:v>75</x:v>
      </x:c>
      <x:c r="T372" s="20" t="n">
        <x:f>K372*S372</x:f>
        <x:v>450</x:v>
      </x:c>
      <x:c r="U372" s="18" t="n">
        <x:f>'01 Controls'!E39</x:f>
        <x:v>0.05</x:v>
      </x:c>
      <x:c r="V372" s="20" t="n">
        <x:f>R372*U372</x:f>
        <x:v>658.125</x:v>
      </x:c>
      <x:c r="W372" s="18" t="n">
        <x:f>'01 Controls'!F39</x:f>
        <x:v>0</x:v>
      </x:c>
      <x:c r="X372" s="20" t="n">
        <x:f>R372*W372</x:f>
        <x:v>0</x:v>
      </x:c>
      <x:c r="Y372" s="18" t="n">
        <x:f>'01 Controls'!G39</x:f>
        <x:v>0.8</x:v>
      </x:c>
      <x:c r="Z372" s="20" t="n">
        <x:f>R372*Y372</x:f>
        <x:v>10530</x:v>
      </x:c>
      <x:c r="AA372" s="18" t="n">
        <x:f>'01 Controls'!H39</x:f>
        <x:v>0.15</x:v>
      </x:c>
      <x:c r="AB372" s="20" t="n">
        <x:f>R372*AA372</x:f>
        <x:v>1974.375</x:v>
      </x:c>
      <x:c r="AC372" s="20" t="n">
        <x:f>IF(H372="CM-HCG",K372*'01 Controls'!$E$24,0)</x:f>
        <x:v>0</x:v>
      </x:c>
      <x:c r="AD372" s="20" t="n">
        <x:f>IF(H372="CM-HCG",K372*'01 Controls'!$E$25,0)</x:f>
        <x:v>0</x:v>
      </x:c>
      <x:c r="AE372" s="20" t="n">
        <x:f>IF(H372="CM-HCG",K372*'01 Controls'!$E$26,0)</x:f>
        <x:v>0</x:v>
      </x:c>
      <x:c r="AF372" s="20" t="n">
        <x:f>IF(H372="CM-HCG",K372*'01 Controls'!$E$27,0)</x:f>
        <x:v>0</x:v>
      </x:c>
    </x:row>
    <x:row r="373">
      <x:c r="C373" s="22" t="str">
        <x:v>M5-C-DTG</x:v>
      </x:c>
      <x:c r="D373" s="22" t="n">
        <x:v>368</x:v>
      </x:c>
      <x:c r="E373" s="22" t="str">
        <x:v>M5</x:v>
      </x:c>
      <x:c r="F373" s="22" t="str">
        <x:v>Drought and water</x:v>
      </x:c>
      <x:c r="G373" s="22" t="n">
        <x:v>8</x:v>
      </x:c>
      <x:c r="H373" s="22" t="str">
        <x:v>C-DTG</x:v>
      </x:c>
      <x:c r="I373" s="22" t="str">
        <x:v>Community Stabilization</x:v>
      </x:c>
      <x:c r="J373" s="22" t="str">
        <x:v>Displacement transition group</x:v>
      </x:c>
      <x:c r="K373" s="23" t="n">
        <x:v>6</x:v>
      </x:c>
      <x:c r="L373" s="23" t="n">
        <x:v>300</x:v>
      </x:c>
      <x:c r="M373" s="23" t="n">
        <x:v>0</x:v>
      </x:c>
      <x:c r="N373" s="20" t="n">
        <x:f>K373*L373</x:f>
        <x:v>1800</x:v>
      </x:c>
      <x:c r="O373" s="19" t="n">
        <x:v>4500</x:v>
      </x:c>
      <x:c r="P373" s="17" t="n">
        <x:v>0.65</x:v>
      </x:c>
      <x:c r="Q373" s="20" t="n">
        <x:f>K373*O373*P373</x:f>
        <x:v>17550</x:v>
      </x:c>
      <x:c r="R373" s="20" t="n">
        <x:f>Q373*(1-'01 Controls'!$E$6)</x:f>
        <x:v>13162.5</x:v>
      </x:c>
      <x:c r="S373" s="19" t="n">
        <x:v>75</x:v>
      </x:c>
      <x:c r="T373" s="20" t="n">
        <x:f>K373*S373</x:f>
        <x:v>450</x:v>
      </x:c>
      <x:c r="U373" s="18" t="n">
        <x:f>'01 Controls'!E39</x:f>
        <x:v>0.05</x:v>
      </x:c>
      <x:c r="V373" s="20" t="n">
        <x:f>R373*U373</x:f>
        <x:v>658.125</x:v>
      </x:c>
      <x:c r="W373" s="18" t="n">
        <x:f>'01 Controls'!F39</x:f>
        <x:v>0</x:v>
      </x:c>
      <x:c r="X373" s="20" t="n">
        <x:f>R373*W373</x:f>
        <x:v>0</x:v>
      </x:c>
      <x:c r="Y373" s="18" t="n">
        <x:f>'01 Controls'!G39</x:f>
        <x:v>0.8</x:v>
      </x:c>
      <x:c r="Z373" s="20" t="n">
        <x:f>R373*Y373</x:f>
        <x:v>10530</x:v>
      </x:c>
      <x:c r="AA373" s="18" t="n">
        <x:f>'01 Controls'!H39</x:f>
        <x:v>0.15</x:v>
      </x:c>
      <x:c r="AB373" s="20" t="n">
        <x:f>R373*AA373</x:f>
        <x:v>1974.375</x:v>
      </x:c>
      <x:c r="AC373" s="20" t="n">
        <x:f>IF(H373="CM-HCG",K373*'01 Controls'!$E$24,0)</x:f>
        <x:v>0</x:v>
      </x:c>
      <x:c r="AD373" s="20" t="n">
        <x:f>IF(H373="CM-HCG",K373*'01 Controls'!$E$25,0)</x:f>
        <x:v>0</x:v>
      </x:c>
      <x:c r="AE373" s="20" t="n">
        <x:f>IF(H373="CM-HCG",K373*'01 Controls'!$E$26,0)</x:f>
        <x:v>0</x:v>
      </x:c>
      <x:c r="AF373" s="20" t="n">
        <x:f>IF(H373="CM-HCG",K373*'01 Controls'!$E$27,0)</x:f>
        <x:v>0</x:v>
      </x:c>
    </x:row>
    <x:row r="374">
      <x:c r="C374" s="22" t="str">
        <x:v>M5-C-CIG</x:v>
      </x:c>
      <x:c r="D374" s="22" t="n">
        <x:v>369</x:v>
      </x:c>
      <x:c r="E374" s="22" t="str">
        <x:v>M5</x:v>
      </x:c>
      <x:c r="F374" s="22" t="str">
        <x:v>Drought and water</x:v>
      </x:c>
      <x:c r="G374" s="22" t="n">
        <x:v>8</x:v>
      </x:c>
      <x:c r="H374" s="22" t="str">
        <x:v>C-CIG</x:v>
      </x:c>
      <x:c r="I374" s="22" t="str">
        <x:v>Community Stabilization</x:v>
      </x:c>
      <x:c r="J374" s="22" t="str">
        <x:v>Community institutions group</x:v>
      </x:c>
      <x:c r="K374" s="23" t="n">
        <x:v>5</x:v>
      </x:c>
      <x:c r="L374" s="23" t="n">
        <x:v>250</x:v>
      </x:c>
      <x:c r="M374" s="23" t="n">
        <x:v>0</x:v>
      </x:c>
      <x:c r="N374" s="20" t="n">
        <x:f>K374*L374</x:f>
        <x:v>1250</x:v>
      </x:c>
      <x:c r="O374" s="19" t="n">
        <x:v>4500</x:v>
      </x:c>
      <x:c r="P374" s="17" t="n">
        <x:v>0.65</x:v>
      </x:c>
      <x:c r="Q374" s="20" t="n">
        <x:f>K374*O374*P374</x:f>
        <x:v>14625</x:v>
      </x:c>
      <x:c r="R374" s="20" t="n">
        <x:f>Q374*(1-'01 Controls'!$E$6)</x:f>
        <x:v>10968.75</x:v>
      </x:c>
      <x:c r="S374" s="19" t="n">
        <x:v>75</x:v>
      </x:c>
      <x:c r="T374" s="20" t="n">
        <x:f>K374*S374</x:f>
        <x:v>375</x:v>
      </x:c>
      <x:c r="U374" s="18" t="n">
        <x:f>'01 Controls'!E39</x:f>
        <x:v>0.05</x:v>
      </x:c>
      <x:c r="V374" s="20" t="n">
        <x:f>R374*U374</x:f>
        <x:v>548.4375</x:v>
      </x:c>
      <x:c r="W374" s="18" t="n">
        <x:f>'01 Controls'!F39</x:f>
        <x:v>0</x:v>
      </x:c>
      <x:c r="X374" s="20" t="n">
        <x:f>R374*W374</x:f>
        <x:v>0</x:v>
      </x:c>
      <x:c r="Y374" s="18" t="n">
        <x:f>'01 Controls'!G39</x:f>
        <x:v>0.8</x:v>
      </x:c>
      <x:c r="Z374" s="20" t="n">
        <x:f>R374*Y374</x:f>
        <x:v>8775</x:v>
      </x:c>
      <x:c r="AA374" s="18" t="n">
        <x:f>'01 Controls'!H39</x:f>
        <x:v>0.15</x:v>
      </x:c>
      <x:c r="AB374" s="20" t="n">
        <x:f>R374*AA374</x:f>
        <x:v>1645.3125</x:v>
      </x:c>
      <x:c r="AC374" s="20" t="n">
        <x:f>IF(H374="CM-HCG",K374*'01 Controls'!$E$24,0)</x:f>
        <x:v>0</x:v>
      </x:c>
      <x:c r="AD374" s="20" t="n">
        <x:f>IF(H374="CM-HCG",K374*'01 Controls'!$E$25,0)</x:f>
        <x:v>0</x:v>
      </x:c>
      <x:c r="AE374" s="20" t="n">
        <x:f>IF(H374="CM-HCG",K374*'01 Controls'!$E$26,0)</x:f>
        <x:v>0</x:v>
      </x:c>
      <x:c r="AF374" s="20" t="n">
        <x:f>IF(H374="CM-HCG",K374*'01 Controls'!$E$27,0)</x:f>
        <x:v>0</x:v>
      </x:c>
    </x:row>
    <x:row r="375">
      <x:c r="C375" s="22" t="str">
        <x:v>M5-J-RIG</x:v>
      </x:c>
      <x:c r="D375" s="22" t="n">
        <x:v>370</x:v>
      </x:c>
      <x:c r="E375" s="22" t="str">
        <x:v>M5</x:v>
      </x:c>
      <x:c r="F375" s="22" t="str">
        <x:v>Drought and water</x:v>
      </x:c>
      <x:c r="G375" s="22" t="n">
        <x:v>8</x:v>
      </x:c>
      <x:c r="H375" s="22" t="str">
        <x:v>J-RIG</x:v>
      </x:c>
      <x:c r="I375" s="22" t="str">
        <x:v>Joint</x:v>
      </x:c>
      <x:c r="J375" s="22" t="str">
        <x:v>Resilience information group</x:v>
      </x:c>
      <x:c r="K375" s="23" t="n">
        <x:v>5</x:v>
      </x:c>
      <x:c r="L375" s="23" t="n">
        <x:v>420</x:v>
      </x:c>
      <x:c r="M375" s="23" t="n">
        <x:v>60</x:v>
      </x:c>
      <x:c r="N375" s="20" t="n">
        <x:f>K375*L375</x:f>
        <x:v>2100</x:v>
      </x:c>
      <x:c r="O375" s="19" t="n">
        <x:v>2800</x:v>
      </x:c>
      <x:c r="P375" s="17" t="n">
        <x:v>0.65</x:v>
      </x:c>
      <x:c r="Q375" s="20" t="n">
        <x:f>K375*O375*P375</x:f>
        <x:v>9100</x:v>
      </x:c>
      <x:c r="R375" s="20" t="n">
        <x:f>Q375*(1-'01 Controls'!$E$6)</x:f>
        <x:v>6825</x:v>
      </x:c>
      <x:c r="S375" s="19" t="n">
        <x:v>35</x:v>
      </x:c>
      <x:c r="T375" s="20" t="n">
        <x:f>K375*S375</x:f>
        <x:v>175</x:v>
      </x:c>
      <x:c r="U375" s="18" t="n">
        <x:f>'01 Controls'!E39</x:f>
        <x:v>0.05</x:v>
      </x:c>
      <x:c r="V375" s="20" t="n">
        <x:f>R375*U375</x:f>
        <x:v>341.25</x:v>
      </x:c>
      <x:c r="W375" s="18" t="n">
        <x:f>'01 Controls'!F39</x:f>
        <x:v>0</x:v>
      </x:c>
      <x:c r="X375" s="20" t="n">
        <x:f>R375*W375</x:f>
        <x:v>0</x:v>
      </x:c>
      <x:c r="Y375" s="18" t="n">
        <x:f>'01 Controls'!G39</x:f>
        <x:v>0.8</x:v>
      </x:c>
      <x:c r="Z375" s="20" t="n">
        <x:f>R375*Y375</x:f>
        <x:v>5460</x:v>
      </x:c>
      <x:c r="AA375" s="18" t="n">
        <x:f>'01 Controls'!H39</x:f>
        <x:v>0.15</x:v>
      </x:c>
      <x:c r="AB375" s="20" t="n">
        <x:f>R375*AA375</x:f>
        <x:v>1023.75</x:v>
      </x:c>
      <x:c r="AC375" s="20" t="n">
        <x:f>IF(H375="CM-HCG",K375*'01 Controls'!$E$24,0)</x:f>
        <x:v>0</x:v>
      </x:c>
      <x:c r="AD375" s="20" t="n">
        <x:f>IF(H375="CM-HCG",K375*'01 Controls'!$E$25,0)</x:f>
        <x:v>0</x:v>
      </x:c>
      <x:c r="AE375" s="20" t="n">
        <x:f>IF(H375="CM-HCG",K375*'01 Controls'!$E$26,0)</x:f>
        <x:v>0</x:v>
      </x:c>
      <x:c r="AF375" s="20" t="n">
        <x:f>IF(H375="CM-HCG",K375*'01 Controls'!$E$27,0)</x:f>
        <x:v>0</x:v>
      </x:c>
    </x:row>
    <x:row r="376">
      <x:c r="C376" s="22" t="str">
        <x:v>M5-M-MPG</x:v>
      </x:c>
      <x:c r="D376" s="22" t="n">
        <x:v>371</x:v>
      </x:c>
      <x:c r="E376" s="22" t="str">
        <x:v>M5</x:v>
      </x:c>
      <x:c r="F376" s="22" t="str">
        <x:v>Drought and water</x:v>
      </x:c>
      <x:c r="G376" s="22" t="n">
        <x:v>8</x:v>
      </x:c>
      <x:c r="H376" s="22" t="str">
        <x:v>M-MPG</x:v>
      </x:c>
      <x:c r="I376" s="22" t="str">
        <x:v>Maritime Response</x:v>
      </x:c>
      <x:c r="J376" s="22" t="str">
        <x:v>Maritime production group</x:v>
      </x:c>
      <x:c r="K376" s="23" t="n">
        <x:v>4</x:v>
      </x:c>
      <x:c r="L376" s="23" t="n">
        <x:v>1100</x:v>
      </x:c>
      <x:c r="M376" s="23" t="n">
        <x:v>200</x:v>
      </x:c>
      <x:c r="N376" s="20" t="n">
        <x:f>K376*L376</x:f>
        <x:v>4400</x:v>
      </x:c>
      <x:c r="O376" s="19" t="n">
        <x:v>28000</x:v>
      </x:c>
      <x:c r="P376" s="17" t="n">
        <x:v>0.35</x:v>
      </x:c>
      <x:c r="Q376" s="20" t="n">
        <x:f>K376*O376*P376</x:f>
        <x:v>39200</x:v>
      </x:c>
      <x:c r="R376" s="20" t="n">
        <x:f>Q376*(1-'01 Controls'!$E$6)</x:f>
        <x:v>29400</x:v>
      </x:c>
      <x:c r="S376" s="19" t="n">
        <x:v>50</x:v>
      </x:c>
      <x:c r="T376" s="20" t="n">
        <x:f>K376*S376</x:f>
        <x:v>200</x:v>
      </x:c>
      <x:c r="U376" s="18" t="n">
        <x:f>'01 Controls'!E39</x:f>
        <x:v>0.05</x:v>
      </x:c>
      <x:c r="V376" s="20" t="n">
        <x:f>R376*U376</x:f>
        <x:v>1470</x:v>
      </x:c>
      <x:c r="W376" s="18" t="n">
        <x:f>'01 Controls'!F39</x:f>
        <x:v>0</x:v>
      </x:c>
      <x:c r="X376" s="20" t="n">
        <x:f>R376*W376</x:f>
        <x:v>0</x:v>
      </x:c>
      <x:c r="Y376" s="18" t="n">
        <x:f>'01 Controls'!G39</x:f>
        <x:v>0.8</x:v>
      </x:c>
      <x:c r="Z376" s="20" t="n">
        <x:f>R376*Y376</x:f>
        <x:v>23520</x:v>
      </x:c>
      <x:c r="AA376" s="18" t="n">
        <x:f>'01 Controls'!H39</x:f>
        <x:v>0.15</x:v>
      </x:c>
      <x:c r="AB376" s="20" t="n">
        <x:f>R376*AA376</x:f>
        <x:v>4410</x:v>
      </x:c>
      <x:c r="AC376" s="20" t="n">
        <x:f>IF(H376="CM-HCG",K376*'01 Controls'!$E$24,0)</x:f>
        <x:v>0</x:v>
      </x:c>
      <x:c r="AD376" s="20" t="n">
        <x:f>IF(H376="CM-HCG",K376*'01 Controls'!$E$25,0)</x:f>
        <x:v>0</x:v>
      </x:c>
      <x:c r="AE376" s="20" t="n">
        <x:f>IF(H376="CM-HCG",K376*'01 Controls'!$E$26,0)</x:f>
        <x:v>0</x:v>
      </x:c>
      <x:c r="AF376" s="20" t="n">
        <x:f>IF(H376="CM-HCG",K376*'01 Controls'!$E$27,0)</x:f>
        <x:v>0</x:v>
      </x:c>
    </x:row>
    <x:row r="377">
      <x:c r="C377" s="22" t="str">
        <x:v>M5-I-WRG</x:v>
      </x:c>
      <x:c r="D377" s="22" t="n">
        <x:v>372</x:v>
      </x:c>
      <x:c r="E377" s="22" t="str">
        <x:v>M5</x:v>
      </x:c>
      <x:c r="F377" s="22" t="str">
        <x:v>Drought and water</x:v>
      </x:c>
      <x:c r="G377" s="22" t="n">
        <x:v>8</x:v>
      </x:c>
      <x:c r="H377" s="22" t="str">
        <x:v>I-WRG</x:v>
      </x:c>
      <x:c r="I377" s="22" t="str">
        <x:v>Infrastructure Restoration</x:v>
      </x:c>
      <x:c r="J377" s="22" t="str">
        <x:v>Water restoration group</x:v>
      </x:c>
      <x:c r="K377" s="23" t="n">
        <x:v>8</x:v>
      </x:c>
      <x:c r="L377" s="23" t="n">
        <x:v>2720</x:v>
      </x:c>
      <x:c r="M377" s="23" t="n">
        <x:v>600</x:v>
      </x:c>
      <x:c r="N377" s="20" t="n">
        <x:f>K377*L377</x:f>
        <x:v>21760</x:v>
      </x:c>
      <x:c r="O377" s="19" t="n">
        <x:v>23516</x:v>
      </x:c>
      <x:c r="P377" s="17" t="n">
        <x:v>0.4</x:v>
      </x:c>
      <x:c r="Q377" s="20" t="n">
        <x:f>K377*O377*P377</x:f>
        <x:v>75251.2</x:v>
      </x:c>
      <x:c r="R377" s="20" t="n">
        <x:f>Q377*(1-'01 Controls'!$E$6)</x:f>
        <x:v>56438.399999999994</x:v>
      </x:c>
      <x:c r="S377" s="19" t="n">
        <x:v>65</x:v>
      </x:c>
      <x:c r="T377" s="20" t="n">
        <x:f>K377*S377</x:f>
        <x:v>520</x:v>
      </x:c>
      <x:c r="U377" s="18" t="n">
        <x:f>'01 Controls'!E39</x:f>
        <x:v>0.05</x:v>
      </x:c>
      <x:c r="V377" s="20" t="n">
        <x:f>R377*U377</x:f>
        <x:v>2821.92</x:v>
      </x:c>
      <x:c r="W377" s="18" t="n">
        <x:f>'01 Controls'!F39</x:f>
        <x:v>0</x:v>
      </x:c>
      <x:c r="X377" s="20" t="n">
        <x:f>R377*W377</x:f>
        <x:v>0</x:v>
      </x:c>
      <x:c r="Y377" s="18" t="n">
        <x:f>'01 Controls'!G39</x:f>
        <x:v>0.8</x:v>
      </x:c>
      <x:c r="Z377" s="20" t="n">
        <x:f>R377*Y377</x:f>
        <x:v>45150.72</x:v>
      </x:c>
      <x:c r="AA377" s="18" t="n">
        <x:f>'01 Controls'!H39</x:f>
        <x:v>0.15</x:v>
      </x:c>
      <x:c r="AB377" s="20" t="n">
        <x:f>R377*AA377</x:f>
        <x:v>8465.759999999998</x:v>
      </x:c>
      <x:c r="AC377" s="20" t="n">
        <x:f>IF(H377="CM-HCG",K377*'01 Controls'!$E$24,0)</x:f>
        <x:v>0</x:v>
      </x:c>
      <x:c r="AD377" s="20" t="n">
        <x:f>IF(H377="CM-HCG",K377*'01 Controls'!$E$25,0)</x:f>
        <x:v>0</x:v>
      </x:c>
      <x:c r="AE377" s="20" t="n">
        <x:f>IF(H377="CM-HCG",K377*'01 Controls'!$E$26,0)</x:f>
        <x:v>0</x:v>
      </x:c>
      <x:c r="AF377" s="20" t="n">
        <x:f>IF(H377="CM-HCG",K377*'01 Controls'!$E$27,0)</x:f>
        <x:v>0</x:v>
      </x:c>
    </x:row>
    <x:row r="378">
      <x:c r="C378" s="22" t="str">
        <x:v>M5-I-PRG</x:v>
      </x:c>
      <x:c r="D378" s="22" t="n">
        <x:v>373</x:v>
      </x:c>
      <x:c r="E378" s="22" t="str">
        <x:v>M5</x:v>
      </x:c>
      <x:c r="F378" s="22" t="str">
        <x:v>Drought and water</x:v>
      </x:c>
      <x:c r="G378" s="22" t="n">
        <x:v>8</x:v>
      </x:c>
      <x:c r="H378" s="22" t="str">
        <x:v>I-PRG</x:v>
      </x:c>
      <x:c r="I378" s="22" t="str">
        <x:v>Infrastructure Restoration</x:v>
      </x:c>
      <x:c r="J378" s="22" t="str">
        <x:v>Power restoration group</x:v>
      </x:c>
      <x:c r="K378" s="23" t="n">
        <x:v>6</x:v>
      </x:c>
      <x:c r="L378" s="23" t="n">
        <x:v>2796</x:v>
      </x:c>
      <x:c r="M378" s="23" t="n">
        <x:v>596</x:v>
      </x:c>
      <x:c r="N378" s="20" t="n">
        <x:f>K378*L378</x:f>
        <x:v>16776</x:v>
      </x:c>
      <x:c r="O378" s="19" t="n">
        <x:v>18332</x:v>
      </x:c>
      <x:c r="P378" s="17" t="n">
        <x:v>0.4</x:v>
      </x:c>
      <x:c r="Q378" s="20" t="n">
        <x:f>K378*O378*P378</x:f>
        <x:v>43996.8</x:v>
      </x:c>
      <x:c r="R378" s="20" t="n">
        <x:f>Q378*(1-'01 Controls'!$E$6)</x:f>
        <x:v>32997.600000000006</x:v>
      </x:c>
      <x:c r="S378" s="19" t="n">
        <x:v>80</x:v>
      </x:c>
      <x:c r="T378" s="20" t="n">
        <x:f>K378*S378</x:f>
        <x:v>480</x:v>
      </x:c>
      <x:c r="U378" s="18" t="n">
        <x:f>'01 Controls'!E39</x:f>
        <x:v>0.05</x:v>
      </x:c>
      <x:c r="V378" s="20" t="n">
        <x:f>R378*U378</x:f>
        <x:v>1649.8800000000003</x:v>
      </x:c>
      <x:c r="W378" s="18" t="n">
        <x:f>'01 Controls'!F39</x:f>
        <x:v>0</x:v>
      </x:c>
      <x:c r="X378" s="20" t="n">
        <x:f>R378*W378</x:f>
        <x:v>0</x:v>
      </x:c>
      <x:c r="Y378" s="18" t="n">
        <x:f>'01 Controls'!G39</x:f>
        <x:v>0.8</x:v>
      </x:c>
      <x:c r="Z378" s="20" t="n">
        <x:f>R378*Y378</x:f>
        <x:v>26398.080000000005</x:v>
      </x:c>
      <x:c r="AA378" s="18" t="n">
        <x:f>'01 Controls'!H39</x:f>
        <x:v>0.15</x:v>
      </x:c>
      <x:c r="AB378" s="20" t="n">
        <x:f>R378*AA378</x:f>
        <x:v>4949.64</x:v>
      </x:c>
      <x:c r="AC378" s="20" t="n">
        <x:f>IF(H378="CM-HCG",K378*'01 Controls'!$E$24,0)</x:f>
        <x:v>0</x:v>
      </x:c>
      <x:c r="AD378" s="20" t="n">
        <x:f>IF(H378="CM-HCG",K378*'01 Controls'!$E$25,0)</x:f>
        <x:v>0</x:v>
      </x:c>
      <x:c r="AE378" s="20" t="n">
        <x:f>IF(H378="CM-HCG",K378*'01 Controls'!$E$26,0)</x:f>
        <x:v>0</x:v>
      </x:c>
      <x:c r="AF378" s="20" t="n">
        <x:f>IF(H378="CM-HCG",K378*'01 Controls'!$E$27,0)</x:f>
        <x:v>0</x:v>
      </x:c>
    </x:row>
    <x:row r="379">
      <x:c r="C379" s="22" t="str">
        <x:v>M5-I-GBG</x:v>
      </x:c>
      <x:c r="D379" s="22" t="n">
        <x:v>374</x:v>
      </x:c>
      <x:c r="E379" s="22" t="str">
        <x:v>M5</x:v>
      </x:c>
      <x:c r="F379" s="22" t="str">
        <x:v>Drought and water</x:v>
      </x:c>
      <x:c r="G379" s="22" t="n">
        <x:v>8</x:v>
      </x:c>
      <x:c r="H379" s="22" t="str">
        <x:v>I-GBG</x:v>
      </x:c>
      <x:c r="I379" s="22" t="str">
        <x:v>Infrastructure Restoration</x:v>
      </x:c>
      <x:c r="J379" s="22" t="str">
        <x:v>Grid bridge group</x:v>
      </x:c>
      <x:c r="K379" s="23" t="n">
        <x:v>4</x:v>
      </x:c>
      <x:c r="L379" s="23" t="n">
        <x:v>1800</x:v>
      </x:c>
      <x:c r="M379" s="23" t="n">
        <x:v>400</x:v>
      </x:c>
      <x:c r="N379" s="20" t="n">
        <x:f>K379*L379</x:f>
        <x:v>7200</x:v>
      </x:c>
      <x:c r="O379" s="19" t="n">
        <x:v>15000</x:v>
      </x:c>
      <x:c r="P379" s="17" t="n">
        <x:v>0.4</x:v>
      </x:c>
      <x:c r="Q379" s="20" t="n">
        <x:f>K379*O379*P379</x:f>
        <x:v>24000</x:v>
      </x:c>
      <x:c r="R379" s="20" t="n">
        <x:f>Q379*(1-'01 Controls'!$E$6)</x:f>
        <x:v>18000</x:v>
      </x:c>
      <x:c r="S379" s="19" t="n">
        <x:v>55</x:v>
      </x:c>
      <x:c r="T379" s="20" t="n">
        <x:f>K379*S379</x:f>
        <x:v>220</x:v>
      </x:c>
      <x:c r="U379" s="18" t="n">
        <x:f>'01 Controls'!E39</x:f>
        <x:v>0.05</x:v>
      </x:c>
      <x:c r="V379" s="20" t="n">
        <x:f>R379*U379</x:f>
        <x:v>900</x:v>
      </x:c>
      <x:c r="W379" s="18" t="n">
        <x:f>'01 Controls'!F39</x:f>
        <x:v>0</x:v>
      </x:c>
      <x:c r="X379" s="20" t="n">
        <x:f>R379*W379</x:f>
        <x:v>0</x:v>
      </x:c>
      <x:c r="Y379" s="18" t="n">
        <x:f>'01 Controls'!G39</x:f>
        <x:v>0.8</x:v>
      </x:c>
      <x:c r="Z379" s="20" t="n">
        <x:f>R379*Y379</x:f>
        <x:v>14400</x:v>
      </x:c>
      <x:c r="AA379" s="18" t="n">
        <x:f>'01 Controls'!H39</x:f>
        <x:v>0.15</x:v>
      </x:c>
      <x:c r="AB379" s="20" t="n">
        <x:f>R379*AA379</x:f>
        <x:v>2700</x:v>
      </x:c>
      <x:c r="AC379" s="20" t="n">
        <x:f>IF(H379="CM-HCG",K379*'01 Controls'!$E$24,0)</x:f>
        <x:v>0</x:v>
      </x:c>
      <x:c r="AD379" s="20" t="n">
        <x:f>IF(H379="CM-HCG",K379*'01 Controls'!$E$25,0)</x:f>
        <x:v>0</x:v>
      </x:c>
      <x:c r="AE379" s="20" t="n">
        <x:f>IF(H379="CM-HCG",K379*'01 Controls'!$E$26,0)</x:f>
        <x:v>0</x:v>
      </x:c>
      <x:c r="AF379" s="20" t="n">
        <x:f>IF(H379="CM-HCG",K379*'01 Controls'!$E$27,0)</x:f>
        <x:v>0</x:v>
      </x:c>
    </x:row>
    <x:row r="380">
      <x:c r="C380" s="22" t="str">
        <x:v>M5-H-THC</x:v>
      </x:c>
      <x:c r="D380" s="22" t="n">
        <x:v>375</x:v>
      </x:c>
      <x:c r="E380" s="22" t="str">
        <x:v>M5</x:v>
      </x:c>
      <x:c r="F380" s="22" t="str">
        <x:v>Drought and water</x:v>
      </x:c>
      <x:c r="G380" s="22" t="n">
        <x:v>8</x:v>
      </x:c>
      <x:c r="H380" s="22" t="str">
        <x:v>H-THC</x:v>
      </x:c>
      <x:c r="I380" s="22" t="str">
        <x:v>Health Protection</x:v>
      </x:c>
      <x:c r="J380" s="22" t="str">
        <x:v>Theater hospital command</x:v>
      </x:c>
      <x:c r="K380" s="23" t="n">
        <x:v>2</x:v>
      </x:c>
      <x:c r="L380" s="23" t="n">
        <x:v>900</x:v>
      </x:c>
      <x:c r="M380" s="23" t="n">
        <x:v>0</x:v>
      </x:c>
      <x:c r="N380" s="20" t="n">
        <x:f>K380*L380</x:f>
        <x:v>1800</x:v>
      </x:c>
      <x:c r="O380" s="19" t="n">
        <x:v>3500</x:v>
      </x:c>
      <x:c r="P380" s="17" t="n">
        <x:v>0.7</x:v>
      </x:c>
      <x:c r="Q380" s="20" t="n">
        <x:f>K380*O380*P380</x:f>
        <x:v>4900</x:v>
      </x:c>
      <x:c r="R380" s="20" t="n">
        <x:f>Q380*(1-'01 Controls'!$E$6)</x:f>
        <x:v>3675</x:v>
      </x:c>
      <x:c r="S380" s="19" t="n">
        <x:v>30</x:v>
      </x:c>
      <x:c r="T380" s="20" t="n">
        <x:f>K380*S380</x:f>
        <x:v>60</x:v>
      </x:c>
      <x:c r="U380" s="18" t="n">
        <x:f>'01 Controls'!E39</x:f>
        <x:v>0.05</x:v>
      </x:c>
      <x:c r="V380" s="20" t="n">
        <x:f>R380*U380</x:f>
        <x:v>183.75</x:v>
      </x:c>
      <x:c r="W380" s="18" t="n">
        <x:f>'01 Controls'!F39</x:f>
        <x:v>0</x:v>
      </x:c>
      <x:c r="X380" s="20" t="n">
        <x:f>R380*W380</x:f>
        <x:v>0</x:v>
      </x:c>
      <x:c r="Y380" s="18" t="n">
        <x:f>'01 Controls'!G39</x:f>
        <x:v>0.8</x:v>
      </x:c>
      <x:c r="Z380" s="20" t="n">
        <x:f>R380*Y380</x:f>
        <x:v>2940</x:v>
      </x:c>
      <x:c r="AA380" s="18" t="n">
        <x:f>'01 Controls'!H39</x:f>
        <x:v>0.15</x:v>
      </x:c>
      <x:c r="AB380" s="20" t="n">
        <x:f>R380*AA380</x:f>
        <x:v>551.25</x:v>
      </x:c>
      <x:c r="AC380" s="20" t="n">
        <x:f>IF(H380="CM-HCG",K380*'01 Controls'!$E$24,0)</x:f>
        <x:v>0</x:v>
      </x:c>
      <x:c r="AD380" s="20" t="n">
        <x:f>IF(H380="CM-HCG",K380*'01 Controls'!$E$25,0)</x:f>
        <x:v>0</x:v>
      </x:c>
      <x:c r="AE380" s="20" t="n">
        <x:f>IF(H380="CM-HCG",K380*'01 Controls'!$E$26,0)</x:f>
        <x:v>0</x:v>
      </x:c>
      <x:c r="AF380" s="20" t="n">
        <x:f>IF(H380="CM-HCG",K380*'01 Controls'!$E$27,0)</x:f>
        <x:v>0</x:v>
      </x:c>
    </x:row>
    <x:row r="381">
      <x:c r="C381" s="22" t="str">
        <x:v>M5-H-PMG</x:v>
      </x:c>
      <x:c r="D381" s="22" t="n">
        <x:v>376</x:v>
      </x:c>
      <x:c r="E381" s="22" t="str">
        <x:v>M5</x:v>
      </x:c>
      <x:c r="F381" s="22" t="str">
        <x:v>Drought and water</x:v>
      </x:c>
      <x:c r="G381" s="22" t="n">
        <x:v>8</x:v>
      </x:c>
      <x:c r="H381" s="22" t="str">
        <x:v>H-PMG</x:v>
      </x:c>
      <x:c r="I381" s="22" t="str">
        <x:v>Health Protection</x:v>
      </x:c>
      <x:c r="J381" s="22" t="str">
        <x:v>Patient movement group</x:v>
      </x:c>
      <x:c r="K381" s="23" t="n">
        <x:v>3</x:v>
      </x:c>
      <x:c r="L381" s="23" t="n">
        <x:v>650</x:v>
      </x:c>
      <x:c r="M381" s="23" t="n">
        <x:v>200</x:v>
      </x:c>
      <x:c r="N381" s="20" t="n">
        <x:f>K381*L381</x:f>
        <x:v>1950</x:v>
      </x:c>
      <x:c r="O381" s="19" t="n">
        <x:v>5500</x:v>
      </x:c>
      <x:c r="P381" s="17" t="n">
        <x:v>0.7</x:v>
      </x:c>
      <x:c r="Q381" s="20" t="n">
        <x:f>K381*O381*P381</x:f>
        <x:v>11550</x:v>
      </x:c>
      <x:c r="R381" s="20" t="n">
        <x:f>Q381*(1-'01 Controls'!$E$6)</x:f>
        <x:v>8662.5</x:v>
      </x:c>
      <x:c r="S381" s="19" t="n">
        <x:v>40</x:v>
      </x:c>
      <x:c r="T381" s="20" t="n">
        <x:f>K381*S381</x:f>
        <x:v>120</x:v>
      </x:c>
      <x:c r="U381" s="18" t="n">
        <x:f>'01 Controls'!E39</x:f>
        <x:v>0.05</x:v>
      </x:c>
      <x:c r="V381" s="20" t="n">
        <x:f>R381*U381</x:f>
        <x:v>433.125</x:v>
      </x:c>
      <x:c r="W381" s="18" t="n">
        <x:f>'01 Controls'!F39</x:f>
        <x:v>0</x:v>
      </x:c>
      <x:c r="X381" s="20" t="n">
        <x:f>R381*W381</x:f>
        <x:v>0</x:v>
      </x:c>
      <x:c r="Y381" s="18" t="n">
        <x:f>'01 Controls'!G39</x:f>
        <x:v>0.8</x:v>
      </x:c>
      <x:c r="Z381" s="20" t="n">
        <x:f>R381*Y381</x:f>
        <x:v>6930</x:v>
      </x:c>
      <x:c r="AA381" s="18" t="n">
        <x:f>'01 Controls'!H39</x:f>
        <x:v>0.15</x:v>
      </x:c>
      <x:c r="AB381" s="20" t="n">
        <x:f>R381*AA381</x:f>
        <x:v>1299.375</x:v>
      </x:c>
      <x:c r="AC381" s="20" t="n">
        <x:f>IF(H381="CM-HCG",K381*'01 Controls'!$E$24,0)</x:f>
        <x:v>0</x:v>
      </x:c>
      <x:c r="AD381" s="20" t="n">
        <x:f>IF(H381="CM-HCG",K381*'01 Controls'!$E$25,0)</x:f>
        <x:v>0</x:v>
      </x:c>
      <x:c r="AE381" s="20" t="n">
        <x:f>IF(H381="CM-HCG",K381*'01 Controls'!$E$26,0)</x:f>
        <x:v>0</x:v>
      </x:c>
      <x:c r="AF381" s="20" t="n">
        <x:f>IF(H381="CM-HCG",K381*'01 Controls'!$E$27,0)</x:f>
        <x:v>0</x:v>
      </x:c>
    </x:row>
    <x:row r="382">
      <x:c r="C382" s="22" t="str">
        <x:v>M5-C-ERG</x:v>
      </x:c>
      <x:c r="D382" s="22" t="n">
        <x:v>377</x:v>
      </x:c>
      <x:c r="E382" s="22" t="str">
        <x:v>M5</x:v>
      </x:c>
      <x:c r="F382" s="22" t="str">
        <x:v>Drought and water</x:v>
      </x:c>
      <x:c r="G382" s="22" t="n">
        <x:v>8</x:v>
      </x:c>
      <x:c r="H382" s="22" t="str">
        <x:v>C-ERG</x:v>
      </x:c>
      <x:c r="I382" s="22" t="str">
        <x:v>Community Stabilization</x:v>
      </x:c>
      <x:c r="J382" s="22" t="str">
        <x:v>Economic restart group</x:v>
      </x:c>
      <x:c r="K382" s="23" t="n">
        <x:v>5</x:v>
      </x:c>
      <x:c r="L382" s="23" t="n">
        <x:v>350</x:v>
      </x:c>
      <x:c r="M382" s="23" t="n">
        <x:v>0</x:v>
      </x:c>
      <x:c r="N382" s="20" t="n">
        <x:f>K382*L382</x:f>
        <x:v>1750</x:v>
      </x:c>
      <x:c r="O382" s="19" t="n">
        <x:v>2500</x:v>
      </x:c>
      <x:c r="P382" s="17" t="n">
        <x:v>0.65</x:v>
      </x:c>
      <x:c r="Q382" s="20" t="n">
        <x:f>K382*O382*P382</x:f>
        <x:v>8125</x:v>
      </x:c>
      <x:c r="R382" s="20" t="n">
        <x:f>Q382*(1-'01 Controls'!$E$6)</x:f>
        <x:v>6093.75</x:v>
      </x:c>
      <x:c r="S382" s="19" t="n">
        <x:v>30</x:v>
      </x:c>
      <x:c r="T382" s="20" t="n">
        <x:f>K382*S382</x:f>
        <x:v>150</x:v>
      </x:c>
      <x:c r="U382" s="18" t="n">
        <x:f>'01 Controls'!E39</x:f>
        <x:v>0.05</x:v>
      </x:c>
      <x:c r="V382" s="20" t="n">
        <x:f>R382*U382</x:f>
        <x:v>304.6875</x:v>
      </x:c>
      <x:c r="W382" s="18" t="n">
        <x:f>'01 Controls'!F39</x:f>
        <x:v>0</x:v>
      </x:c>
      <x:c r="X382" s="20" t="n">
        <x:f>R382*W382</x:f>
        <x:v>0</x:v>
      </x:c>
      <x:c r="Y382" s="18" t="n">
        <x:f>'01 Controls'!G39</x:f>
        <x:v>0.8</x:v>
      </x:c>
      <x:c r="Z382" s="20" t="n">
        <x:f>R382*Y382</x:f>
        <x:v>4875</x:v>
      </x:c>
      <x:c r="AA382" s="18" t="n">
        <x:f>'01 Controls'!H39</x:f>
        <x:v>0.15</x:v>
      </x:c>
      <x:c r="AB382" s="20" t="n">
        <x:f>R382*AA382</x:f>
        <x:v>914.0625</x:v>
      </x:c>
      <x:c r="AC382" s="20" t="n">
        <x:f>IF(H382="CM-HCG",K382*'01 Controls'!$E$24,0)</x:f>
        <x:v>0</x:v>
      </x:c>
      <x:c r="AD382" s="20" t="n">
        <x:f>IF(H382="CM-HCG",K382*'01 Controls'!$E$25,0)</x:f>
        <x:v>0</x:v>
      </x:c>
      <x:c r="AE382" s="20" t="n">
        <x:f>IF(H382="CM-HCG",K382*'01 Controls'!$E$26,0)</x:f>
        <x:v>0</x:v>
      </x:c>
      <x:c r="AF382" s="20" t="n">
        <x:f>IF(H382="CM-HCG",K382*'01 Controls'!$E$27,0)</x:f>
        <x:v>0</x:v>
      </x:c>
    </x:row>
    <x:row r="383">
      <x:c r="C383" s="22" t="str">
        <x:v>M5-CM-HCG</x:v>
      </x:c>
      <x:c r="D383" s="22" t="n">
        <x:v>378</x:v>
      </x:c>
      <x:c r="E383" s="22" t="str">
        <x:v>M5</x:v>
      </x:c>
      <x:c r="F383" s="22" t="str">
        <x:v>Drought and water</x:v>
      </x:c>
      <x:c r="G383" s="22" t="n">
        <x:v>8</x:v>
      </x:c>
      <x:c r="H383" s="22" t="str">
        <x:v>CM-HCG</x:v>
      </x:c>
      <x:c r="I383" s="22" t="str">
        <x:v>Civil Mobility and Continuity</x:v>
      </x:c>
      <x:c r="J383" s="22" t="str">
        <x:v>Household collection group</x:v>
      </x:c>
      <x:c r="K383" s="23" t="n">
        <x:v>5</x:v>
      </x:c>
      <x:c r="L383" s="23" t="n">
        <x:v>7587</x:v>
      </x:c>
      <x:c r="M383" s="23" t="n">
        <x:v>2000</x:v>
      </x:c>
      <x:c r="N383" s="20" t="n">
        <x:f>K383*L383</x:f>
        <x:v>37935</x:v>
      </x:c>
      <x:c r="O383" s="19" t="n">
        <x:v>6388</x:v>
      </x:c>
      <x:c r="P383" s="17" t="n">
        <x:v>0.7</x:v>
      </x:c>
      <x:c r="Q383" s="20" t="n">
        <x:f>K383*O383*P383</x:f>
        <x:v>22358</x:v>
      </x:c>
      <x:c r="R383" s="20" t="n">
        <x:f>Q383*(1-'01 Controls'!$E$6)</x:f>
        <x:v>16768.5</x:v>
      </x:c>
      <x:c r="S383" s="19" t="n">
        <x:v>45</x:v>
      </x:c>
      <x:c r="T383" s="20" t="n">
        <x:f>K383*S383</x:f>
        <x:v>225</x:v>
      </x:c>
      <x:c r="U383" s="18" t="n">
        <x:f>'01 Controls'!E39</x:f>
        <x:v>0.05</x:v>
      </x:c>
      <x:c r="V383" s="20" t="n">
        <x:f>R383*U383</x:f>
        <x:v>838.4250000000001</x:v>
      </x:c>
      <x:c r="W383" s="18" t="n">
        <x:f>'01 Controls'!F39</x:f>
        <x:v>0</x:v>
      </x:c>
      <x:c r="X383" s="20" t="n">
        <x:f>R383*W383</x:f>
        <x:v>0</x:v>
      </x:c>
      <x:c r="Y383" s="18" t="n">
        <x:f>'01 Controls'!G39</x:f>
        <x:v>0.8</x:v>
      </x:c>
      <x:c r="Z383" s="20" t="n">
        <x:f>R383*Y383</x:f>
        <x:v>13414.800000000001</x:v>
      </x:c>
      <x:c r="AA383" s="18" t="n">
        <x:f>'01 Controls'!H39</x:f>
        <x:v>0.15</x:v>
      </x:c>
      <x:c r="AB383" s="20" t="n">
        <x:f>R383*AA383</x:f>
        <x:v>2515.275</x:v>
      </x:c>
      <x:c r="AC383" s="20" t="n">
        <x:f>IF(H383="CM-HCG",K383*'01 Controls'!$E$24,0)</x:f>
        <x:v>170</x:v>
      </x:c>
      <x:c r="AD383" s="20" t="n">
        <x:f>IF(H383="CM-HCG",K383*'01 Controls'!$E$25,0)</x:f>
        <x:v>35</x:v>
      </x:c>
      <x:c r="AE383" s="20" t="n">
        <x:f>IF(H383="CM-HCG",K383*'01 Controls'!$E$26,0)</x:f>
        <x:v>50</x:v>
      </x:c>
      <x:c r="AF383" s="20" t="n">
        <x:f>IF(H383="CM-HCG",K383*'01 Controls'!$E$27,0)</x:f>
        <x:v>45</x:v>
      </x:c>
    </x:row>
    <x:row r="384">
      <x:c r="C384" s="22" t="str">
        <x:v>M5-CM-CTN</x:v>
      </x:c>
      <x:c r="D384" s="22" t="n">
        <x:v>379</x:v>
      </x:c>
      <x:c r="E384" s="22" t="str">
        <x:v>M5</x:v>
      </x:c>
      <x:c r="F384" s="22" t="str">
        <x:v>Drought and water</x:v>
      </x:c>
      <x:c r="G384" s="22" t="n">
        <x:v>8</x:v>
      </x:c>
      <x:c r="H384" s="22" t="str">
        <x:v>CM-CTN</x:v>
      </x:c>
      <x:c r="I384" s="22" t="str">
        <x:v>Civil Mobility and Continuity</x:v>
      </x:c>
      <x:c r="J384" s="22" t="str">
        <x:v>Continuity transfer-node group</x:v>
      </x:c>
      <x:c r="K384" s="23" t="n">
        <x:v>4</x:v>
      </x:c>
      <x:c r="L384" s="23" t="n">
        <x:v>2289</x:v>
      </x:c>
      <x:c r="M384" s="23" t="n">
        <x:v>489</x:v>
      </x:c>
      <x:c r="N384" s="20" t="n">
        <x:f>K384*L384</x:f>
        <x:v>9156</x:v>
      </x:c>
      <x:c r="O384" s="19" t="n">
        <x:v>4513</x:v>
      </x:c>
      <x:c r="P384" s="17" t="n">
        <x:v>0.7</x:v>
      </x:c>
      <x:c r="Q384" s="20" t="n">
        <x:f>K384*O384*P384</x:f>
        <x:v>12636.4</x:v>
      </x:c>
      <x:c r="R384" s="20" t="n">
        <x:f>Q384*(1-'01 Controls'!$E$6)</x:f>
        <x:v>9477.3</x:v>
      </x:c>
      <x:c r="S384" s="19" t="n">
        <x:v>35</x:v>
      </x:c>
      <x:c r="T384" s="20" t="n">
        <x:f>K384*S384</x:f>
        <x:v>140</x:v>
      </x:c>
      <x:c r="U384" s="18" t="n">
        <x:f>'01 Controls'!E39</x:f>
        <x:v>0.05</x:v>
      </x:c>
      <x:c r="V384" s="20" t="n">
        <x:f>R384*U384</x:f>
        <x:v>473.865</x:v>
      </x:c>
      <x:c r="W384" s="18" t="n">
        <x:f>'01 Controls'!F39</x:f>
        <x:v>0</x:v>
      </x:c>
      <x:c r="X384" s="20" t="n">
        <x:f>R384*W384</x:f>
        <x:v>0</x:v>
      </x:c>
      <x:c r="Y384" s="18" t="n">
        <x:f>'01 Controls'!G39</x:f>
        <x:v>0.8</x:v>
      </x:c>
      <x:c r="Z384" s="20" t="n">
        <x:f>R384*Y384</x:f>
        <x:v>7581.84</x:v>
      </x:c>
      <x:c r="AA384" s="18" t="n">
        <x:f>'01 Controls'!H39</x:f>
        <x:v>0.15</x:v>
      </x:c>
      <x:c r="AB384" s="20" t="n">
        <x:f>R384*AA384</x:f>
        <x:v>1421.5949999999998</x:v>
      </x:c>
      <x:c r="AC384" s="20" t="n">
        <x:f>IF(H384="CM-HCG",K384*'01 Controls'!$E$24,0)</x:f>
        <x:v>0</x:v>
      </x:c>
      <x:c r="AD384" s="20" t="n">
        <x:f>IF(H384="CM-HCG",K384*'01 Controls'!$E$25,0)</x:f>
        <x:v>0</x:v>
      </x:c>
      <x:c r="AE384" s="20" t="n">
        <x:f>IF(H384="CM-HCG",K384*'01 Controls'!$E$26,0)</x:f>
        <x:v>0</x:v>
      </x:c>
      <x:c r="AF384" s="20" t="n">
        <x:f>IF(H384="CM-HCG",K384*'01 Controls'!$E$27,0)</x:f>
        <x:v>0</x:v>
      </x:c>
    </x:row>
    <x:row r="385">
      <x:c r="C385" s="22" t="str">
        <x:v>M5-CM-RMG</x:v>
      </x:c>
      <x:c r="D385" s="22" t="n">
        <x:v>380</x:v>
      </x:c>
      <x:c r="E385" s="22" t="str">
        <x:v>M5</x:v>
      </x:c>
      <x:c r="F385" s="22" t="str">
        <x:v>Drought and water</x:v>
      </x:c>
      <x:c r="G385" s="22" t="n">
        <x:v>8</x:v>
      </x:c>
      <x:c r="H385" s="22" t="str">
        <x:v>CM-RMG</x:v>
      </x:c>
      <x:c r="I385" s="22" t="str">
        <x:v>Civil Mobility and Continuity</x:v>
      </x:c>
      <x:c r="J385" s="22" t="str">
        <x:v>Civil road-mobility group</x:v>
      </x:c>
      <x:c r="K385" s="23" t="n">
        <x:v>6</x:v>
      </x:c>
      <x:c r="L385" s="23" t="n">
        <x:v>900</x:v>
      </x:c>
      <x:c r="M385" s="23" t="n">
        <x:v>250</x:v>
      </x:c>
      <x:c r="N385" s="20" t="n">
        <x:f>K385*L385</x:f>
        <x:v>5400</x:v>
      </x:c>
      <x:c r="O385" s="19" t="n">
        <x:v>5000</x:v>
      </x:c>
      <x:c r="P385" s="17" t="n">
        <x:v>0.7</x:v>
      </x:c>
      <x:c r="Q385" s="20" t="n">
        <x:f>K385*O385*P385</x:f>
        <x:v>21000</x:v>
      </x:c>
      <x:c r="R385" s="20" t="n">
        <x:f>Q385*(1-'01 Controls'!$E$6)</x:f>
        <x:v>15750</x:v>
      </x:c>
      <x:c r="S385" s="19" t="n">
        <x:v>45</x:v>
      </x:c>
      <x:c r="T385" s="20" t="n">
        <x:f>K385*S385</x:f>
        <x:v>270</x:v>
      </x:c>
      <x:c r="U385" s="18" t="n">
        <x:f>'01 Controls'!E39</x:f>
        <x:v>0.05</x:v>
      </x:c>
      <x:c r="V385" s="20" t="n">
        <x:f>R385*U385</x:f>
        <x:v>787.5</x:v>
      </x:c>
      <x:c r="W385" s="18" t="n">
        <x:f>'01 Controls'!F39</x:f>
        <x:v>0</x:v>
      </x:c>
      <x:c r="X385" s="20" t="n">
        <x:f>R385*W385</x:f>
        <x:v>0</x:v>
      </x:c>
      <x:c r="Y385" s="18" t="n">
        <x:f>'01 Controls'!G39</x:f>
        <x:v>0.8</x:v>
      </x:c>
      <x:c r="Z385" s="20" t="n">
        <x:f>R385*Y385</x:f>
        <x:v>12600</x:v>
      </x:c>
      <x:c r="AA385" s="18" t="n">
        <x:f>'01 Controls'!H39</x:f>
        <x:v>0.15</x:v>
      </x:c>
      <x:c r="AB385" s="20" t="n">
        <x:f>R385*AA385</x:f>
        <x:v>2362.5</x:v>
      </x:c>
      <x:c r="AC385" s="20" t="n">
        <x:f>IF(H385="CM-HCG",K385*'01 Controls'!$E$24,0)</x:f>
        <x:v>0</x:v>
      </x:c>
      <x:c r="AD385" s="20" t="n">
        <x:f>IF(H385="CM-HCG",K385*'01 Controls'!$E$25,0)</x:f>
        <x:v>0</x:v>
      </x:c>
      <x:c r="AE385" s="20" t="n">
        <x:f>IF(H385="CM-HCG",K385*'01 Controls'!$E$26,0)</x:f>
        <x:v>0</x:v>
      </x:c>
      <x:c r="AF385" s="20" t="n">
        <x:f>IF(H385="CM-HCG",K385*'01 Controls'!$E$27,0)</x:f>
        <x:v>0</x:v>
      </x:c>
    </x:row>
    <x:row r="386">
      <x:c r="C386" s="22" t="str">
        <x:v>M5-CM-RLG</x:v>
      </x:c>
      <x:c r="D386" s="22" t="n">
        <x:v>381</x:v>
      </x:c>
      <x:c r="E386" s="22" t="str">
        <x:v>M5</x:v>
      </x:c>
      <x:c r="F386" s="22" t="str">
        <x:v>Drought and water</x:v>
      </x:c>
      <x:c r="G386" s="22" t="n">
        <x:v>8</x:v>
      </x:c>
      <x:c r="H386" s="22" t="str">
        <x:v>CM-RLG</x:v>
      </x:c>
      <x:c r="I386" s="22" t="str">
        <x:v>Civil Mobility and Continuity</x:v>
      </x:c>
      <x:c r="J386" s="22" t="str">
        <x:v>Civil rail-mobility group</x:v>
      </x:c>
      <x:c r="K386" s="23" t="n">
        <x:v>2</x:v>
      </x:c>
      <x:c r="L386" s="23" t="n">
        <x:v>500</x:v>
      </x:c>
      <x:c r="M386" s="23" t="n">
        <x:v>100</x:v>
      </x:c>
      <x:c r="N386" s="20" t="n">
        <x:f>K386*L386</x:f>
        <x:v>1000</x:v>
      </x:c>
      <x:c r="O386" s="19" t="n">
        <x:v>8000</x:v>
      </x:c>
      <x:c r="P386" s="17" t="n">
        <x:v>0.6</x:v>
      </x:c>
      <x:c r="Q386" s="20" t="n">
        <x:f>K386*O386*P386</x:f>
        <x:v>9600</x:v>
      </x:c>
      <x:c r="R386" s="20" t="n">
        <x:f>Q386*(1-'01 Controls'!$E$6)</x:f>
        <x:v>7200</x:v>
      </x:c>
      <x:c r="S386" s="19" t="n">
        <x:v>40</x:v>
      </x:c>
      <x:c r="T386" s="20" t="n">
        <x:f>K386*S386</x:f>
        <x:v>80</x:v>
      </x:c>
      <x:c r="U386" s="18" t="n">
        <x:f>'01 Controls'!E39</x:f>
        <x:v>0.05</x:v>
      </x:c>
      <x:c r="V386" s="20" t="n">
        <x:f>R386*U386</x:f>
        <x:v>360</x:v>
      </x:c>
      <x:c r="W386" s="18" t="n">
        <x:f>'01 Controls'!F39</x:f>
        <x:v>0</x:v>
      </x:c>
      <x:c r="X386" s="20" t="n">
        <x:f>R386*W386</x:f>
        <x:v>0</x:v>
      </x:c>
      <x:c r="Y386" s="18" t="n">
        <x:f>'01 Controls'!G39</x:f>
        <x:v>0.8</x:v>
      </x:c>
      <x:c r="Z386" s="20" t="n">
        <x:f>R386*Y386</x:f>
        <x:v>5760</x:v>
      </x:c>
      <x:c r="AA386" s="18" t="n">
        <x:f>'01 Controls'!H39</x:f>
        <x:v>0.15</x:v>
      </x:c>
      <x:c r="AB386" s="20" t="n">
        <x:f>R386*AA386</x:f>
        <x:v>1080</x:v>
      </x:c>
      <x:c r="AC386" s="20" t="n">
        <x:f>IF(H386="CM-HCG",K386*'01 Controls'!$E$24,0)</x:f>
        <x:v>0</x:v>
      </x:c>
      <x:c r="AD386" s="20" t="n">
        <x:f>IF(H386="CM-HCG",K386*'01 Controls'!$E$25,0)</x:f>
        <x:v>0</x:v>
      </x:c>
      <x:c r="AE386" s="20" t="n">
        <x:f>IF(H386="CM-HCG",K386*'01 Controls'!$E$26,0)</x:f>
        <x:v>0</x:v>
      </x:c>
      <x:c r="AF386" s="20" t="n">
        <x:f>IF(H386="CM-HCG",K386*'01 Controls'!$E$27,0)</x:f>
        <x:v>0</x:v>
      </x:c>
    </x:row>
    <x:row r="387">
      <x:c r="C387" s="22" t="str">
        <x:v>M5-CM-AMG</x:v>
      </x:c>
      <x:c r="D387" s="22" t="n">
        <x:v>382</x:v>
      </x:c>
      <x:c r="E387" s="22" t="str">
        <x:v>M5</x:v>
      </x:c>
      <x:c r="F387" s="22" t="str">
        <x:v>Drought and water</x:v>
      </x:c>
      <x:c r="G387" s="22" t="n">
        <x:v>8</x:v>
      </x:c>
      <x:c r="H387" s="22" t="str">
        <x:v>CM-AMG</x:v>
      </x:c>
      <x:c r="I387" s="22" t="str">
        <x:v>Civil Mobility and Continuity</x:v>
      </x:c>
      <x:c r="J387" s="22" t="str">
        <x:v>Civil air-mobility group</x:v>
      </x:c>
      <x:c r="K387" s="23" t="n">
        <x:v>3</x:v>
      </x:c>
      <x:c r="L387" s="23" t="n">
        <x:v>600</x:v>
      </x:c>
      <x:c r="M387" s="23" t="n">
        <x:v>200</x:v>
      </x:c>
      <x:c r="N387" s="20" t="n">
        <x:f>K387*L387</x:f>
        <x:v>1800</x:v>
      </x:c>
      <x:c r="O387" s="19" t="n">
        <x:v>6000</x:v>
      </x:c>
      <x:c r="P387" s="17" t="n">
        <x:v>0.75</x:v>
      </x:c>
      <x:c r="Q387" s="20" t="n">
        <x:f>K387*O387*P387</x:f>
        <x:v>13500</x:v>
      </x:c>
      <x:c r="R387" s="20" t="n">
        <x:f>Q387*(1-'01 Controls'!$E$6)</x:f>
        <x:v>10125</x:v>
      </x:c>
      <x:c r="S387" s="19" t="n">
        <x:v>55</x:v>
      </x:c>
      <x:c r="T387" s="20" t="n">
        <x:f>K387*S387</x:f>
        <x:v>165</x:v>
      </x:c>
      <x:c r="U387" s="18" t="n">
        <x:f>'01 Controls'!E39</x:f>
        <x:v>0.05</x:v>
      </x:c>
      <x:c r="V387" s="20" t="n">
        <x:f>R387*U387</x:f>
        <x:v>506.25</x:v>
      </x:c>
      <x:c r="W387" s="18" t="n">
        <x:f>'01 Controls'!F39</x:f>
        <x:v>0</x:v>
      </x:c>
      <x:c r="X387" s="20" t="n">
        <x:f>R387*W387</x:f>
        <x:v>0</x:v>
      </x:c>
      <x:c r="Y387" s="18" t="n">
        <x:f>'01 Controls'!G39</x:f>
        <x:v>0.8</x:v>
      </x:c>
      <x:c r="Z387" s="20" t="n">
        <x:f>R387*Y387</x:f>
        <x:v>8100</x:v>
      </x:c>
      <x:c r="AA387" s="18" t="n">
        <x:f>'01 Controls'!H39</x:f>
        <x:v>0.15</x:v>
      </x:c>
      <x:c r="AB387" s="20" t="n">
        <x:f>R387*AA387</x:f>
        <x:v>1518.75</x:v>
      </x:c>
      <x:c r="AC387" s="20" t="n">
        <x:f>IF(H387="CM-HCG",K387*'01 Controls'!$E$24,0)</x:f>
        <x:v>0</x:v>
      </x:c>
      <x:c r="AD387" s="20" t="n">
        <x:f>IF(H387="CM-HCG",K387*'01 Controls'!$E$25,0)</x:f>
        <x:v>0</x:v>
      </x:c>
      <x:c r="AE387" s="20" t="n">
        <x:f>IF(H387="CM-HCG",K387*'01 Controls'!$E$26,0)</x:f>
        <x:v>0</x:v>
      </x:c>
      <x:c r="AF387" s="20" t="n">
        <x:f>IF(H387="CM-HCG",K387*'01 Controls'!$E$27,0)</x:f>
        <x:v>0</x:v>
      </x:c>
    </x:row>
    <x:row r="388">
      <x:c r="C388" s="22" t="str">
        <x:v>M5-CM-WMG</x:v>
      </x:c>
      <x:c r="D388" s="22" t="n">
        <x:v>383</x:v>
      </x:c>
      <x:c r="E388" s="22" t="str">
        <x:v>M5</x:v>
      </x:c>
      <x:c r="F388" s="22" t="str">
        <x:v>Drought and water</x:v>
      </x:c>
      <x:c r="G388" s="22" t="n">
        <x:v>8</x:v>
      </x:c>
      <x:c r="H388" s="22" t="str">
        <x:v>CM-WMG</x:v>
      </x:c>
      <x:c r="I388" s="22" t="str">
        <x:v>Civil Mobility and Continuity</x:v>
      </x:c>
      <x:c r="J388" s="22" t="str">
        <x:v>Civil water-mobility group</x:v>
      </x:c>
      <x:c r="K388" s="23" t="n">
        <x:v>3</x:v>
      </x:c>
      <x:c r="L388" s="23" t="n">
        <x:v>500</x:v>
      </x:c>
      <x:c r="M388" s="23" t="n">
        <x:v>100</x:v>
      </x:c>
      <x:c r="N388" s="20" t="n">
        <x:f>K388*L388</x:f>
        <x:v>1500</x:v>
      </x:c>
      <x:c r="O388" s="19" t="n">
        <x:v>9000</x:v>
      </x:c>
      <x:c r="P388" s="17" t="n">
        <x:v>0.5</x:v>
      </x:c>
      <x:c r="Q388" s="20" t="n">
        <x:f>K388*O388*P388</x:f>
        <x:v>13500</x:v>
      </x:c>
      <x:c r="R388" s="20" t="n">
        <x:f>Q388*(1-'01 Controls'!$E$6)</x:f>
        <x:v>10125</x:v>
      </x:c>
      <x:c r="S388" s="19" t="n">
        <x:v>50</x:v>
      </x:c>
      <x:c r="T388" s="20" t="n">
        <x:f>K388*S388</x:f>
        <x:v>150</x:v>
      </x:c>
      <x:c r="U388" s="18" t="n">
        <x:f>'01 Controls'!E39</x:f>
        <x:v>0.05</x:v>
      </x:c>
      <x:c r="V388" s="20" t="n">
        <x:f>R388*U388</x:f>
        <x:v>506.25</x:v>
      </x:c>
      <x:c r="W388" s="18" t="n">
        <x:f>'01 Controls'!F39</x:f>
        <x:v>0</x:v>
      </x:c>
      <x:c r="X388" s="20" t="n">
        <x:f>R388*W388</x:f>
        <x:v>0</x:v>
      </x:c>
      <x:c r="Y388" s="18" t="n">
        <x:f>'01 Controls'!G39</x:f>
        <x:v>0.8</x:v>
      </x:c>
      <x:c r="Z388" s="20" t="n">
        <x:f>R388*Y388</x:f>
        <x:v>8100</x:v>
      </x:c>
      <x:c r="AA388" s="18" t="n">
        <x:f>'01 Controls'!H39</x:f>
        <x:v>0.15</x:v>
      </x:c>
      <x:c r="AB388" s="20" t="n">
        <x:f>R388*AA388</x:f>
        <x:v>1518.75</x:v>
      </x:c>
      <x:c r="AC388" s="20" t="n">
        <x:f>IF(H388="CM-HCG",K388*'01 Controls'!$E$24,0)</x:f>
        <x:v>0</x:v>
      </x:c>
      <x:c r="AD388" s="20" t="n">
        <x:f>IF(H388="CM-HCG",K388*'01 Controls'!$E$25,0)</x:f>
        <x:v>0</x:v>
      </x:c>
      <x:c r="AE388" s="20" t="n">
        <x:f>IF(H388="CM-HCG",K388*'01 Controls'!$E$26,0)</x:f>
        <x:v>0</x:v>
      </x:c>
      <x:c r="AF388" s="20" t="n">
        <x:f>IF(H388="CM-HCG",K388*'01 Controls'!$E$27,0)</x:f>
        <x:v>0</x:v>
      </x:c>
    </x:row>
    <x:row r="389">
      <x:c r="C389" s="22" t="str">
        <x:v>M5-CM-RDC</x:v>
      </x:c>
      <x:c r="D389" s="22" t="n">
        <x:v>384</x:v>
      </x:c>
      <x:c r="E389" s="22" t="str">
        <x:v>M5</x:v>
      </x:c>
      <x:c r="F389" s="22" t="str">
        <x:v>Drought and water</x:v>
      </x:c>
      <x:c r="G389" s="22" t="n">
        <x:v>8</x:v>
      </x:c>
      <x:c r="H389" s="22" t="str">
        <x:v>CM-RDC</x:v>
      </x:c>
      <x:c r="I389" s="22" t="str">
        <x:v>Civil Mobility and Continuity</x:v>
      </x:c>
      <x:c r="J389" s="22" t="str">
        <x:v>Return and durable-continuity group</x:v>
      </x:c>
      <x:c r="K389" s="23" t="n">
        <x:v>5</x:v>
      </x:c>
      <x:c r="L389" s="23" t="n">
        <x:v>450</x:v>
      </x:c>
      <x:c r="M389" s="23" t="n">
        <x:v>50</x:v>
      </x:c>
      <x:c r="N389" s="20" t="n">
        <x:f>K389*L389</x:f>
        <x:v>2250</x:v>
      </x:c>
      <x:c r="O389" s="19" t="n">
        <x:v>1800</x:v>
      </x:c>
      <x:c r="P389" s="17" t="n">
        <x:v>0.5</x:v>
      </x:c>
      <x:c r="Q389" s="20" t="n">
        <x:f>K389*O389*P389</x:f>
        <x:v>4500</x:v>
      </x:c>
      <x:c r="R389" s="20" t="n">
        <x:f>Q389*(1-'01 Controls'!$E$6)</x:f>
        <x:v>3375</x:v>
      </x:c>
      <x:c r="S389" s="19" t="n">
        <x:v>25</x:v>
      </x:c>
      <x:c r="T389" s="20" t="n">
        <x:f>K389*S389</x:f>
        <x:v>125</x:v>
      </x:c>
      <x:c r="U389" s="18" t="n">
        <x:f>'01 Controls'!E39</x:f>
        <x:v>0.05</x:v>
      </x:c>
      <x:c r="V389" s="20" t="n">
        <x:f>R389*U389</x:f>
        <x:v>168.75</x:v>
      </x:c>
      <x:c r="W389" s="18" t="n">
        <x:f>'01 Controls'!F39</x:f>
        <x:v>0</x:v>
      </x:c>
      <x:c r="X389" s="20" t="n">
        <x:f>R389*W389</x:f>
        <x:v>0</x:v>
      </x:c>
      <x:c r="Y389" s="18" t="n">
        <x:f>'01 Controls'!G39</x:f>
        <x:v>0.8</x:v>
      </x:c>
      <x:c r="Z389" s="20" t="n">
        <x:f>R389*Y389</x:f>
        <x:v>2700</x:v>
      </x:c>
      <x:c r="AA389" s="18" t="n">
        <x:f>'01 Controls'!H39</x:f>
        <x:v>0.15</x:v>
      </x:c>
      <x:c r="AB389" s="20" t="n">
        <x:f>R389*AA389</x:f>
        <x:v>506.25</x:v>
      </x:c>
      <x:c r="AC389" s="20" t="n">
        <x:f>IF(H389="CM-HCG",K389*'01 Controls'!$E$24,0)</x:f>
        <x:v>0</x:v>
      </x:c>
      <x:c r="AD389" s="20" t="n">
        <x:f>IF(H389="CM-HCG",K389*'01 Controls'!$E$25,0)</x:f>
        <x:v>0</x:v>
      </x:c>
      <x:c r="AE389" s="20" t="n">
        <x:f>IF(H389="CM-HCG",K389*'01 Controls'!$E$26,0)</x:f>
        <x:v>0</x:v>
      </x:c>
      <x:c r="AF389" s="20" t="n">
        <x:f>IF(H389="CM-HCG",K389*'01 Controls'!$E$27,0)</x:f>
        <x:v>0</x:v>
      </x:c>
    </x:row>
    <x:row r="390">
      <x:c r="C390" s="22" t="str">
        <x:v>G1-J-CIE</x:v>
      </x:c>
      <x:c r="D390" s="22" t="n">
        <x:v>385</x:v>
      </x:c>
      <x:c r="E390" s="22" t="str">
        <x:v>G1</x:v>
      </x:c>
      <x:c r="F390" s="22" t="str">
        <x:v>Allied megacity earthquake</x:v>
      </x:c>
      <x:c r="G390" s="22" t="n">
        <x:v>9</x:v>
      </x:c>
      <x:c r="H390" s="22" t="str">
        <x:v>J-CIE</x:v>
      </x:c>
      <x:c r="I390" s="22" t="str">
        <x:v>Joint</x:v>
      </x:c>
      <x:c r="J390" s="22" t="str">
        <x:v>Civil integration and effects group</x:v>
      </x:c>
      <x:c r="K390" s="23" t="n">
        <x:v>4</x:v>
      </x:c>
      <x:c r="L390" s="23" t="n">
        <x:v>120</x:v>
      </x:c>
      <x:c r="M390" s="23" t="n">
        <x:v>0</x:v>
      </x:c>
      <x:c r="N390" s="20" t="n">
        <x:f>K390*L390</x:f>
        <x:v>480</x:v>
      </x:c>
      <x:c r="O390" s="19" t="n">
        <x:v>2200</x:v>
      </x:c>
      <x:c r="P390" s="17" t="n">
        <x:v>0.65</x:v>
      </x:c>
      <x:c r="Q390" s="20" t="n">
        <x:f>K390*O390*P390</x:f>
        <x:v>5720</x:v>
      </x:c>
      <x:c r="R390" s="20" t="n">
        <x:f>Q390*(1-'01 Controls'!$E$6)</x:f>
        <x:v>4290</x:v>
      </x:c>
      <x:c r="S390" s="19" t="n">
        <x:v>45</x:v>
      </x:c>
      <x:c r="T390" s="20" t="n">
        <x:f>K390*S390</x:f>
        <x:v>180</x:v>
      </x:c>
      <x:c r="U390" s="18" t="n">
        <x:f>'01 Controls'!E40</x:f>
        <x:v>0.15</x:v>
      </x:c>
      <x:c r="V390" s="20" t="n">
        <x:f>R390*U390</x:f>
        <x:v>643.5</x:v>
      </x:c>
      <x:c r="W390" s="18" t="n">
        <x:f>'01 Controls'!F40</x:f>
        <x:v>0.85</x:v>
      </x:c>
      <x:c r="X390" s="20" t="n">
        <x:f>R390*W390</x:f>
        <x:v>3646.5</x:v>
      </x:c>
      <x:c r="Y390" s="18" t="n">
        <x:f>'01 Controls'!G40</x:f>
        <x:v>0</x:v>
      </x:c>
      <x:c r="Z390" s="20" t="n">
        <x:f>R390*Y390</x:f>
        <x:v>0</x:v>
      </x:c>
      <x:c r="AA390" s="18" t="n">
        <x:f>'01 Controls'!H40</x:f>
        <x:v>0</x:v>
      </x:c>
      <x:c r="AB390" s="20" t="n">
        <x:f>R390*AA390</x:f>
        <x:v>0</x:v>
      </x:c>
      <x:c r="AC390" s="20" t="n">
        <x:f>IF(H390="CM-HCG",K390*'01 Controls'!$E$24,0)</x:f>
        <x:v>0</x:v>
      </x:c>
      <x:c r="AD390" s="20" t="n">
        <x:f>IF(H390="CM-HCG",K390*'01 Controls'!$E$25,0)</x:f>
        <x:v>0</x:v>
      </x:c>
      <x:c r="AE390" s="20" t="n">
        <x:f>IF(H390="CM-HCG",K390*'01 Controls'!$E$26,0)</x:f>
        <x:v>0</x:v>
      </x:c>
      <x:c r="AF390" s="20" t="n">
        <x:f>IF(H390="CM-HCG",K390*'01 Controls'!$E$27,0)</x:f>
        <x:v>0</x:v>
      </x:c>
    </x:row>
    <x:row r="391">
      <x:c r="C391" s="22" t="str">
        <x:v>G1-J-TOC</x:v>
      </x:c>
      <x:c r="D391" s="22" t="n">
        <x:v>386</x:v>
      </x:c>
      <x:c r="E391" s="22" t="str">
        <x:v>G1</x:v>
      </x:c>
      <x:c r="F391" s="22" t="str">
        <x:v>Allied megacity earthquake</x:v>
      </x:c>
      <x:c r="G391" s="22" t="n">
        <x:v>9</x:v>
      </x:c>
      <x:c r="H391" s="22" t="str">
        <x:v>J-TOC</x:v>
      </x:c>
      <x:c r="I391" s="22" t="str">
        <x:v>Joint</x:v>
      </x:c>
      <x:c r="J391" s="22" t="str">
        <x:v>Theater-opening command</x:v>
      </x:c>
      <x:c r="K391" s="23" t="n">
        <x:v>3</x:v>
      </x:c>
      <x:c r="L391" s="23" t="n">
        <x:v>600</x:v>
      </x:c>
      <x:c r="M391" s="23" t="n">
        <x:v>0</x:v>
      </x:c>
      <x:c r="N391" s="20" t="n">
        <x:f>K391*L391</x:f>
        <x:v>1800</x:v>
      </x:c>
      <x:c r="O391" s="19" t="n">
        <x:v>2200</x:v>
      </x:c>
      <x:c r="P391" s="17" t="n">
        <x:v>0.65</x:v>
      </x:c>
      <x:c r="Q391" s="20" t="n">
        <x:f>K391*O391*P391</x:f>
        <x:v>4290</x:v>
      </x:c>
      <x:c r="R391" s="20" t="n">
        <x:f>Q391*(1-'01 Controls'!$E$6)</x:f>
        <x:v>3217.5</x:v>
      </x:c>
      <x:c r="S391" s="19" t="n">
        <x:v>45</x:v>
      </x:c>
      <x:c r="T391" s="20" t="n">
        <x:f>K391*S391</x:f>
        <x:v>135</x:v>
      </x:c>
      <x:c r="U391" s="18" t="n">
        <x:f>'01 Controls'!E40</x:f>
        <x:v>0.15</x:v>
      </x:c>
      <x:c r="V391" s="20" t="n">
        <x:f>R391*U391</x:f>
        <x:v>482.625</x:v>
      </x:c>
      <x:c r="W391" s="18" t="n">
        <x:f>'01 Controls'!F40</x:f>
        <x:v>0.85</x:v>
      </x:c>
      <x:c r="X391" s="20" t="n">
        <x:f>R391*W391</x:f>
        <x:v>2734.875</x:v>
      </x:c>
      <x:c r="Y391" s="18" t="n">
        <x:f>'01 Controls'!G40</x:f>
        <x:v>0</x:v>
      </x:c>
      <x:c r="Z391" s="20" t="n">
        <x:f>R391*Y391</x:f>
        <x:v>0</x:v>
      </x:c>
      <x:c r="AA391" s="18" t="n">
        <x:f>'01 Controls'!H40</x:f>
        <x:v>0</x:v>
      </x:c>
      <x:c r="AB391" s="20" t="n">
        <x:f>R391*AA391</x:f>
        <x:v>0</x:v>
      </x:c>
      <x:c r="AC391" s="20" t="n">
        <x:f>IF(H391="CM-HCG",K391*'01 Controls'!$E$24,0)</x:f>
        <x:v>0</x:v>
      </x:c>
      <x:c r="AD391" s="20" t="n">
        <x:f>IF(H391="CM-HCG",K391*'01 Controls'!$E$25,0)</x:f>
        <x:v>0</x:v>
      </x:c>
      <x:c r="AE391" s="20" t="n">
        <x:f>IF(H391="CM-HCG",K391*'01 Controls'!$E$26,0)</x:f>
        <x:v>0</x:v>
      </x:c>
      <x:c r="AF391" s="20" t="n">
        <x:f>IF(H391="CM-HCG",K391*'01 Controls'!$E$27,0)</x:f>
        <x:v>0</x:v>
      </x:c>
    </x:row>
    <x:row r="392">
      <x:c r="C392" s="22" t="str">
        <x:v>G1-J-TSC</x:v>
      </x:c>
      <x:c r="D392" s="22" t="n">
        <x:v>387</x:v>
      </x:c>
      <x:c r="E392" s="22" t="str">
        <x:v>G1</x:v>
      </x:c>
      <x:c r="F392" s="22" t="str">
        <x:v>Allied megacity earthquake</x:v>
      </x:c>
      <x:c r="G392" s="22" t="n">
        <x:v>9</x:v>
      </x:c>
      <x:c r="H392" s="22" t="str">
        <x:v>J-TSC</x:v>
      </x:c>
      <x:c r="I392" s="22" t="str">
        <x:v>Joint</x:v>
      </x:c>
      <x:c r="J392" s="22" t="str">
        <x:v>Theater sustainment command</x:v>
      </x:c>
      <x:c r="K392" s="23" t="n">
        <x:v>4</x:v>
      </x:c>
      <x:c r="L392" s="23" t="n">
        <x:v>900</x:v>
      </x:c>
      <x:c r="M392" s="23" t="n">
        <x:v>0</x:v>
      </x:c>
      <x:c r="N392" s="20" t="n">
        <x:f>K392*L392</x:f>
        <x:v>3600</x:v>
      </x:c>
      <x:c r="O392" s="19" t="n">
        <x:v>2200</x:v>
      </x:c>
      <x:c r="P392" s="17" t="n">
        <x:v>0.65</x:v>
      </x:c>
      <x:c r="Q392" s="20" t="n">
        <x:f>K392*O392*P392</x:f>
        <x:v>5720</x:v>
      </x:c>
      <x:c r="R392" s="20" t="n">
        <x:f>Q392*(1-'01 Controls'!$E$6)</x:f>
        <x:v>4290</x:v>
      </x:c>
      <x:c r="S392" s="19" t="n">
        <x:v>45</x:v>
      </x:c>
      <x:c r="T392" s="20" t="n">
        <x:f>K392*S392</x:f>
        <x:v>180</x:v>
      </x:c>
      <x:c r="U392" s="18" t="n">
        <x:f>'01 Controls'!E40</x:f>
        <x:v>0.15</x:v>
      </x:c>
      <x:c r="V392" s="20" t="n">
        <x:f>R392*U392</x:f>
        <x:v>643.5</x:v>
      </x:c>
      <x:c r="W392" s="18" t="n">
        <x:f>'01 Controls'!F40</x:f>
        <x:v>0.85</x:v>
      </x:c>
      <x:c r="X392" s="20" t="n">
        <x:f>R392*W392</x:f>
        <x:v>3646.5</x:v>
      </x:c>
      <x:c r="Y392" s="18" t="n">
        <x:f>'01 Controls'!G40</x:f>
        <x:v>0</x:v>
      </x:c>
      <x:c r="Z392" s="20" t="n">
        <x:f>R392*Y392</x:f>
        <x:v>0</x:v>
      </x:c>
      <x:c r="AA392" s="18" t="n">
        <x:f>'01 Controls'!H40</x:f>
        <x:v>0</x:v>
      </x:c>
      <x:c r="AB392" s="20" t="n">
        <x:f>R392*AA392</x:f>
        <x:v>0</x:v>
      </x:c>
      <x:c r="AC392" s="20" t="n">
        <x:f>IF(H392="CM-HCG",K392*'01 Controls'!$E$24,0)</x:f>
        <x:v>0</x:v>
      </x:c>
      <x:c r="AD392" s="20" t="n">
        <x:f>IF(H392="CM-HCG",K392*'01 Controls'!$E$25,0)</x:f>
        <x:v>0</x:v>
      </x:c>
      <x:c r="AE392" s="20" t="n">
        <x:f>IF(H392="CM-HCG",K392*'01 Controls'!$E$26,0)</x:f>
        <x:v>0</x:v>
      </x:c>
      <x:c r="AF392" s="20" t="n">
        <x:f>IF(H392="CM-HCG",K392*'01 Controls'!$E$27,0)</x:f>
        <x:v>0</x:v>
      </x:c>
    </x:row>
    <x:row r="393">
      <x:c r="C393" s="22" t="str">
        <x:v>G1-J-RRG</x:v>
      </x:c>
      <x:c r="D393" s="22" t="n">
        <x:v>388</x:v>
      </x:c>
      <x:c r="E393" s="22" t="str">
        <x:v>G1</x:v>
      </x:c>
      <x:c r="F393" s="22" t="str">
        <x:v>Allied megacity earthquake</x:v>
      </x:c>
      <x:c r="G393" s="22" t="n">
        <x:v>9</x:v>
      </x:c>
      <x:c r="H393" s="22" t="str">
        <x:v>J-RRG</x:v>
      </x:c>
      <x:c r="I393" s="22" t="str">
        <x:v>Joint</x:v>
      </x:c>
      <x:c r="J393" s="22" t="str">
        <x:v>Replacement and reconstitution group</x:v>
      </x:c>
      <x:c r="K393" s="23" t="n">
        <x:v>4</x:v>
      </x:c>
      <x:c r="L393" s="23" t="n">
        <x:v>400</x:v>
      </x:c>
      <x:c r="M393" s="23" t="n">
        <x:v>0</x:v>
      </x:c>
      <x:c r="N393" s="20" t="n">
        <x:f>K393*L393</x:f>
        <x:v>1600</x:v>
      </x:c>
      <x:c r="O393" s="19" t="n">
        <x:v>2200</x:v>
      </x:c>
      <x:c r="P393" s="17" t="n">
        <x:v>0.65</x:v>
      </x:c>
      <x:c r="Q393" s="20" t="n">
        <x:f>K393*O393*P393</x:f>
        <x:v>5720</x:v>
      </x:c>
      <x:c r="R393" s="20" t="n">
        <x:f>Q393*(1-'01 Controls'!$E$6)</x:f>
        <x:v>4290</x:v>
      </x:c>
      <x:c r="S393" s="19" t="n">
        <x:v>45</x:v>
      </x:c>
      <x:c r="T393" s="20" t="n">
        <x:f>K393*S393</x:f>
        <x:v>180</x:v>
      </x:c>
      <x:c r="U393" s="18" t="n">
        <x:f>'01 Controls'!E40</x:f>
        <x:v>0.15</x:v>
      </x:c>
      <x:c r="V393" s="20" t="n">
        <x:f>R393*U393</x:f>
        <x:v>643.5</x:v>
      </x:c>
      <x:c r="W393" s="18" t="n">
        <x:f>'01 Controls'!F40</x:f>
        <x:v>0.85</x:v>
      </x:c>
      <x:c r="X393" s="20" t="n">
        <x:f>R393*W393</x:f>
        <x:v>3646.5</x:v>
      </x:c>
      <x:c r="Y393" s="18" t="n">
        <x:f>'01 Controls'!G40</x:f>
        <x:v>0</x:v>
      </x:c>
      <x:c r="Z393" s="20" t="n">
        <x:f>R393*Y393</x:f>
        <x:v>0</x:v>
      </x:c>
      <x:c r="AA393" s="18" t="n">
        <x:f>'01 Controls'!H40</x:f>
        <x:v>0</x:v>
      </x:c>
      <x:c r="AB393" s="20" t="n">
        <x:f>R393*AA393</x:f>
        <x:v>0</x:v>
      </x:c>
      <x:c r="AC393" s="20" t="n">
        <x:f>IF(H393="CM-HCG",K393*'01 Controls'!$E$24,0)</x:f>
        <x:v>0</x:v>
      </x:c>
      <x:c r="AD393" s="20" t="n">
        <x:f>IF(H393="CM-HCG",K393*'01 Controls'!$E$25,0)</x:f>
        <x:v>0</x:v>
      </x:c>
      <x:c r="AE393" s="20" t="n">
        <x:f>IF(H393="CM-HCG",K393*'01 Controls'!$E$26,0)</x:f>
        <x:v>0</x:v>
      </x:c>
      <x:c r="AF393" s="20" t="n">
        <x:f>IF(H393="CM-HCG",K393*'01 Controls'!$E$27,0)</x:f>
        <x:v>0</x:v>
      </x:c>
    </x:row>
    <x:row r="394">
      <x:c r="C394" s="22" t="str">
        <x:v>G1-J-TDG</x:v>
      </x:c>
      <x:c r="D394" s="22" t="n">
        <x:v>389</x:v>
      </x:c>
      <x:c r="E394" s="22" t="str">
        <x:v>G1</x:v>
      </x:c>
      <x:c r="F394" s="22" t="str">
        <x:v>Allied megacity earthquake</x:v>
      </x:c>
      <x:c r="G394" s="22" t="n">
        <x:v>9</x:v>
      </x:c>
      <x:c r="H394" s="22" t="str">
        <x:v>J-TDG</x:v>
      </x:c>
      <x:c r="I394" s="22" t="str">
        <x:v>Joint</x:v>
      </x:c>
      <x:c r="J394" s="22" t="str">
        <x:v>Transfer and demobilization group</x:v>
      </x:c>
      <x:c r="K394" s="23" t="n">
        <x:v>3</x:v>
      </x:c>
      <x:c r="L394" s="23" t="n">
        <x:v>150</x:v>
      </x:c>
      <x:c r="M394" s="23" t="n">
        <x:v>0</x:v>
      </x:c>
      <x:c r="N394" s="20" t="n">
        <x:f>K394*L394</x:f>
        <x:v>450</x:v>
      </x:c>
      <x:c r="O394" s="19" t="n">
        <x:v>2200</x:v>
      </x:c>
      <x:c r="P394" s="17" t="n">
        <x:v>0.65</x:v>
      </x:c>
      <x:c r="Q394" s="20" t="n">
        <x:f>K394*O394*P394</x:f>
        <x:v>4290</x:v>
      </x:c>
      <x:c r="R394" s="20" t="n">
        <x:f>Q394*(1-'01 Controls'!$E$6)</x:f>
        <x:v>3217.5</x:v>
      </x:c>
      <x:c r="S394" s="19" t="n">
        <x:v>45</x:v>
      </x:c>
      <x:c r="T394" s="20" t="n">
        <x:f>K394*S394</x:f>
        <x:v>135</x:v>
      </x:c>
      <x:c r="U394" s="18" t="n">
        <x:f>'01 Controls'!E40</x:f>
        <x:v>0.15</x:v>
      </x:c>
      <x:c r="V394" s="20" t="n">
        <x:f>R394*U394</x:f>
        <x:v>482.625</x:v>
      </x:c>
      <x:c r="W394" s="18" t="n">
        <x:f>'01 Controls'!F40</x:f>
        <x:v>0.85</x:v>
      </x:c>
      <x:c r="X394" s="20" t="n">
        <x:f>R394*W394</x:f>
        <x:v>2734.875</x:v>
      </x:c>
      <x:c r="Y394" s="18" t="n">
        <x:f>'01 Controls'!G40</x:f>
        <x:v>0</x:v>
      </x:c>
      <x:c r="Z394" s="20" t="n">
        <x:f>R394*Y394</x:f>
        <x:v>0</x:v>
      </x:c>
      <x:c r="AA394" s="18" t="n">
        <x:f>'01 Controls'!H40</x:f>
        <x:v>0</x:v>
      </x:c>
      <x:c r="AB394" s="20" t="n">
        <x:f>R394*AA394</x:f>
        <x:v>0</x:v>
      </x:c>
      <x:c r="AC394" s="20" t="n">
        <x:f>IF(H394="CM-HCG",K394*'01 Controls'!$E$24,0)</x:f>
        <x:v>0</x:v>
      </x:c>
      <x:c r="AD394" s="20" t="n">
        <x:f>IF(H394="CM-HCG",K394*'01 Controls'!$E$25,0)</x:f>
        <x:v>0</x:v>
      </x:c>
      <x:c r="AE394" s="20" t="n">
        <x:f>IF(H394="CM-HCG",K394*'01 Controls'!$E$26,0)</x:f>
        <x:v>0</x:v>
      </x:c>
      <x:c r="AF394" s="20" t="n">
        <x:f>IF(H394="CM-HCG",K394*'01 Controls'!$E$27,0)</x:f>
        <x:v>0</x:v>
      </x:c>
    </x:row>
    <x:row r="395">
      <x:c r="C395" s="22" t="str">
        <x:v>G1-L-ROG</x:v>
      </x:c>
      <x:c r="D395" s="22" t="n">
        <x:v>390</x:v>
      </x:c>
      <x:c r="E395" s="22" t="str">
        <x:v>G1</x:v>
      </x:c>
      <x:c r="F395" s="22" t="str">
        <x:v>Allied megacity earthquake</x:v>
      </x:c>
      <x:c r="G395" s="22" t="n">
        <x:v>9</x:v>
      </x:c>
      <x:c r="H395" s="22" t="str">
        <x:v>L-ROG</x:v>
      </x:c>
      <x:c r="I395" s="22" t="str">
        <x:v>Land Engineering</x:v>
      </x:c>
      <x:c r="J395" s="22" t="str">
        <x:v>Access and route-opening group</x:v>
      </x:c>
      <x:c r="K395" s="23" t="n">
        <x:v>10</x:v>
      </x:c>
      <x:c r="L395" s="23" t="n">
        <x:v>350</x:v>
      </x:c>
      <x:c r="M395" s="23" t="n">
        <x:v>0</x:v>
      </x:c>
      <x:c r="N395" s="20" t="n">
        <x:f>K395*L395</x:f>
        <x:v>3500</x:v>
      </x:c>
      <x:c r="O395" s="19" t="n">
        <x:v>9000</x:v>
      </x:c>
      <x:c r="P395" s="17" t="n">
        <x:v>0.45</x:v>
      </x:c>
      <x:c r="Q395" s="20" t="n">
        <x:f>K395*O395*P395</x:f>
        <x:v>40500</x:v>
      </x:c>
      <x:c r="R395" s="20" t="n">
        <x:f>Q395*(1-'01 Controls'!$E$6)</x:f>
        <x:v>30375</x:v>
      </x:c>
      <x:c r="S395" s="19" t="n">
        <x:v>90</x:v>
      </x:c>
      <x:c r="T395" s="20" t="n">
        <x:f>K395*S395</x:f>
        <x:v>900</x:v>
      </x:c>
      <x:c r="U395" s="18" t="n">
        <x:f>'01 Controls'!E40</x:f>
        <x:v>0.15</x:v>
      </x:c>
      <x:c r="V395" s="20" t="n">
        <x:f>R395*U395</x:f>
        <x:v>4556.25</x:v>
      </x:c>
      <x:c r="W395" s="18" t="n">
        <x:f>'01 Controls'!F40</x:f>
        <x:v>0.85</x:v>
      </x:c>
      <x:c r="X395" s="20" t="n">
        <x:f>R395*W395</x:f>
        <x:v>25818.75</x:v>
      </x:c>
      <x:c r="Y395" s="18" t="n">
        <x:f>'01 Controls'!G40</x:f>
        <x:v>0</x:v>
      </x:c>
      <x:c r="Z395" s="20" t="n">
        <x:f>R395*Y395</x:f>
        <x:v>0</x:v>
      </x:c>
      <x:c r="AA395" s="18" t="n">
        <x:f>'01 Controls'!H40</x:f>
        <x:v>0</x:v>
      </x:c>
      <x:c r="AB395" s="20" t="n">
        <x:f>R395*AA395</x:f>
        <x:v>0</x:v>
      </x:c>
      <x:c r="AC395" s="20" t="n">
        <x:f>IF(H395="CM-HCG",K395*'01 Controls'!$E$24,0)</x:f>
        <x:v>0</x:v>
      </x:c>
      <x:c r="AD395" s="20" t="n">
        <x:f>IF(H395="CM-HCG",K395*'01 Controls'!$E$25,0)</x:f>
        <x:v>0</x:v>
      </x:c>
      <x:c r="AE395" s="20" t="n">
        <x:f>IF(H395="CM-HCG",K395*'01 Controls'!$E$26,0)</x:f>
        <x:v>0</x:v>
      </x:c>
      <x:c r="AF395" s="20" t="n">
        <x:f>IF(H395="CM-HCG",K395*'01 Controls'!$E$27,0)</x:f>
        <x:v>0</x:v>
      </x:c>
    </x:row>
    <x:row r="396">
      <x:c r="C396" s="22" t="str">
        <x:v>G1-L-HCG</x:v>
      </x:c>
      <x:c r="D396" s="22" t="n">
        <x:v>391</x:v>
      </x:c>
      <x:c r="E396" s="22" t="str">
        <x:v>G1</x:v>
      </x:c>
      <x:c r="F396" s="22" t="str">
        <x:v>Allied megacity earthquake</x:v>
      </x:c>
      <x:c r="G396" s="22" t="n">
        <x:v>9</x:v>
      </x:c>
      <x:c r="H396" s="22" t="str">
        <x:v>L-HCG</x:v>
      </x:c>
      <x:c r="I396" s="22" t="str">
        <x:v>Land Engineering</x:v>
      </x:c>
      <x:c r="J396" s="22" t="str">
        <x:v>Flood and hydraulic-control group</x:v>
      </x:c>
      <x:c r="K396" s="23" t="n">
        <x:v>4</x:v>
      </x:c>
      <x:c r="L396" s="23" t="n">
        <x:v>500</x:v>
      </x:c>
      <x:c r="M396" s="23" t="n">
        <x:v>0</x:v>
      </x:c>
      <x:c r="N396" s="20" t="n">
        <x:f>K396*L396</x:f>
        <x:v>2000</x:v>
      </x:c>
      <x:c r="O396" s="19" t="n">
        <x:v>9000</x:v>
      </x:c>
      <x:c r="P396" s="17" t="n">
        <x:v>0.45</x:v>
      </x:c>
      <x:c r="Q396" s="20" t="n">
        <x:f>K396*O396*P396</x:f>
        <x:v>16200</x:v>
      </x:c>
      <x:c r="R396" s="20" t="n">
        <x:f>Q396*(1-'01 Controls'!$E$6)</x:f>
        <x:v>12150</x:v>
      </x:c>
      <x:c r="S396" s="19" t="n">
        <x:v>90</x:v>
      </x:c>
      <x:c r="T396" s="20" t="n">
        <x:f>K396*S396</x:f>
        <x:v>360</x:v>
      </x:c>
      <x:c r="U396" s="18" t="n">
        <x:f>'01 Controls'!E40</x:f>
        <x:v>0.15</x:v>
      </x:c>
      <x:c r="V396" s="20" t="n">
        <x:f>R396*U396</x:f>
        <x:v>1822.5</x:v>
      </x:c>
      <x:c r="W396" s="18" t="n">
        <x:f>'01 Controls'!F40</x:f>
        <x:v>0.85</x:v>
      </x:c>
      <x:c r="X396" s="20" t="n">
        <x:f>R396*W396</x:f>
        <x:v>10327.5</x:v>
      </x:c>
      <x:c r="Y396" s="18" t="n">
        <x:f>'01 Controls'!G40</x:f>
        <x:v>0</x:v>
      </x:c>
      <x:c r="Z396" s="20" t="n">
        <x:f>R396*Y396</x:f>
        <x:v>0</x:v>
      </x:c>
      <x:c r="AA396" s="18" t="n">
        <x:f>'01 Controls'!H40</x:f>
        <x:v>0</x:v>
      </x:c>
      <x:c r="AB396" s="20" t="n">
        <x:f>R396*AA396</x:f>
        <x:v>0</x:v>
      </x:c>
      <x:c r="AC396" s="20" t="n">
        <x:f>IF(H396="CM-HCG",K396*'01 Controls'!$E$24,0)</x:f>
        <x:v>0</x:v>
      </x:c>
      <x:c r="AD396" s="20" t="n">
        <x:f>IF(H396="CM-HCG",K396*'01 Controls'!$E$25,0)</x:f>
        <x:v>0</x:v>
      </x:c>
      <x:c r="AE396" s="20" t="n">
        <x:f>IF(H396="CM-HCG",K396*'01 Controls'!$E$26,0)</x:f>
        <x:v>0</x:v>
      </x:c>
      <x:c r="AF396" s="20" t="n">
        <x:f>IF(H396="CM-HCG",K396*'01 Controls'!$E$27,0)</x:f>
        <x:v>0</x:v>
      </x:c>
    </x:row>
    <x:row r="397">
      <x:c r="C397" s="22" t="str">
        <x:v>G1-L-DMG</x:v>
      </x:c>
      <x:c r="D397" s="22" t="n">
        <x:v>392</x:v>
      </x:c>
      <x:c r="E397" s="22" t="str">
        <x:v>G1</x:v>
      </x:c>
      <x:c r="F397" s="22" t="str">
        <x:v>Allied megacity earthquake</x:v>
      </x:c>
      <x:c r="G397" s="22" t="n">
        <x:v>9</x:v>
      </x:c>
      <x:c r="H397" s="22" t="str">
        <x:v>L-DMG</x:v>
      </x:c>
      <x:c r="I397" s="22" t="str">
        <x:v>Land Engineering</x:v>
      </x:c>
      <x:c r="J397" s="22" t="str">
        <x:v>Debris and materials group</x:v>
      </x:c>
      <x:c r="K397" s="23" t="n">
        <x:v>10</x:v>
      </x:c>
      <x:c r="L397" s="23" t="n">
        <x:v>400</x:v>
      </x:c>
      <x:c r="M397" s="23" t="n">
        <x:v>0</x:v>
      </x:c>
      <x:c r="N397" s="20" t="n">
        <x:f>K397*L397</x:f>
        <x:v>4000</x:v>
      </x:c>
      <x:c r="O397" s="19" t="n">
        <x:v>9000</x:v>
      </x:c>
      <x:c r="P397" s="17" t="n">
        <x:v>0.45</x:v>
      </x:c>
      <x:c r="Q397" s="20" t="n">
        <x:f>K397*O397*P397</x:f>
        <x:v>40500</x:v>
      </x:c>
      <x:c r="R397" s="20" t="n">
        <x:f>Q397*(1-'01 Controls'!$E$6)</x:f>
        <x:v>30375</x:v>
      </x:c>
      <x:c r="S397" s="19" t="n">
        <x:v>90</x:v>
      </x:c>
      <x:c r="T397" s="20" t="n">
        <x:f>K397*S397</x:f>
        <x:v>900</x:v>
      </x:c>
      <x:c r="U397" s="18" t="n">
        <x:f>'01 Controls'!E40</x:f>
        <x:v>0.15</x:v>
      </x:c>
      <x:c r="V397" s="20" t="n">
        <x:f>R397*U397</x:f>
        <x:v>4556.25</x:v>
      </x:c>
      <x:c r="W397" s="18" t="n">
        <x:f>'01 Controls'!F40</x:f>
        <x:v>0.85</x:v>
      </x:c>
      <x:c r="X397" s="20" t="n">
        <x:f>R397*W397</x:f>
        <x:v>25818.75</x:v>
      </x:c>
      <x:c r="Y397" s="18" t="n">
        <x:f>'01 Controls'!G40</x:f>
        <x:v>0</x:v>
      </x:c>
      <x:c r="Z397" s="20" t="n">
        <x:f>R397*Y397</x:f>
        <x:v>0</x:v>
      </x:c>
      <x:c r="AA397" s="18" t="n">
        <x:f>'01 Controls'!H40</x:f>
        <x:v>0</x:v>
      </x:c>
      <x:c r="AB397" s="20" t="n">
        <x:f>R397*AA397</x:f>
        <x:v>0</x:v>
      </x:c>
      <x:c r="AC397" s="20" t="n">
        <x:f>IF(H397="CM-HCG",K397*'01 Controls'!$E$24,0)</x:f>
        <x:v>0</x:v>
      </x:c>
      <x:c r="AD397" s="20" t="n">
        <x:f>IF(H397="CM-HCG",K397*'01 Controls'!$E$25,0)</x:f>
        <x:v>0</x:v>
      </x:c>
      <x:c r="AE397" s="20" t="n">
        <x:f>IF(H397="CM-HCG",K397*'01 Controls'!$E$26,0)</x:f>
        <x:v>0</x:v>
      </x:c>
      <x:c r="AF397" s="20" t="n">
        <x:f>IF(H397="CM-HCG",K397*'01 Controls'!$E$27,0)</x:f>
        <x:v>0</x:v>
      </x:c>
    </x:row>
    <x:row r="398">
      <x:c r="C398" s="22" t="str">
        <x:v>G1-L-TWG</x:v>
      </x:c>
      <x:c r="D398" s="22" t="n">
        <x:v>393</x:v>
      </x:c>
      <x:c r="E398" s="22" t="str">
        <x:v>G1</x:v>
      </x:c>
      <x:c r="F398" s="22" t="str">
        <x:v>Allied megacity earthquake</x:v>
      </x:c>
      <x:c r="G398" s="22" t="n">
        <x:v>9</x:v>
      </x:c>
      <x:c r="H398" s="22" t="str">
        <x:v>L-TWG</x:v>
      </x:c>
      <x:c r="I398" s="22" t="str">
        <x:v>Land Engineering</x:v>
      </x:c>
      <x:c r="J398" s="22" t="str">
        <x:v>Temporary works and crossing group</x:v>
      </x:c>
      <x:c r="K398" s="23" t="n">
        <x:v>8</x:v>
      </x:c>
      <x:c r="L398" s="23" t="n">
        <x:v>350</x:v>
      </x:c>
      <x:c r="M398" s="23" t="n">
        <x:v>0</x:v>
      </x:c>
      <x:c r="N398" s="20" t="n">
        <x:f>K398*L398</x:f>
        <x:v>2800</x:v>
      </x:c>
      <x:c r="O398" s="19" t="n">
        <x:v>9000</x:v>
      </x:c>
      <x:c r="P398" s="17" t="n">
        <x:v>0.45</x:v>
      </x:c>
      <x:c r="Q398" s="20" t="n">
        <x:f>K398*O398*P398</x:f>
        <x:v>32400</x:v>
      </x:c>
      <x:c r="R398" s="20" t="n">
        <x:f>Q398*(1-'01 Controls'!$E$6)</x:f>
        <x:v>24300</x:v>
      </x:c>
      <x:c r="S398" s="19" t="n">
        <x:v>90</x:v>
      </x:c>
      <x:c r="T398" s="20" t="n">
        <x:f>K398*S398</x:f>
        <x:v>720</x:v>
      </x:c>
      <x:c r="U398" s="18" t="n">
        <x:f>'01 Controls'!E40</x:f>
        <x:v>0.15</x:v>
      </x:c>
      <x:c r="V398" s="20" t="n">
        <x:f>R398*U398</x:f>
        <x:v>3645</x:v>
      </x:c>
      <x:c r="W398" s="18" t="n">
        <x:f>'01 Controls'!F40</x:f>
        <x:v>0.85</x:v>
      </x:c>
      <x:c r="X398" s="20" t="n">
        <x:f>R398*W398</x:f>
        <x:v>20655</x:v>
      </x:c>
      <x:c r="Y398" s="18" t="n">
        <x:f>'01 Controls'!G40</x:f>
        <x:v>0</x:v>
      </x:c>
      <x:c r="Z398" s="20" t="n">
        <x:f>R398*Y398</x:f>
        <x:v>0</x:v>
      </x:c>
      <x:c r="AA398" s="18" t="n">
        <x:f>'01 Controls'!H40</x:f>
        <x:v>0</x:v>
      </x:c>
      <x:c r="AB398" s="20" t="n">
        <x:f>R398*AA398</x:f>
        <x:v>0</x:v>
      </x:c>
      <x:c r="AC398" s="20" t="n">
        <x:f>IF(H398="CM-HCG",K398*'01 Controls'!$E$24,0)</x:f>
        <x:v>0</x:v>
      </x:c>
      <x:c r="AD398" s="20" t="n">
        <x:f>IF(H398="CM-HCG",K398*'01 Controls'!$E$25,0)</x:f>
        <x:v>0</x:v>
      </x:c>
      <x:c r="AE398" s="20" t="n">
        <x:f>IF(H398="CM-HCG",K398*'01 Controls'!$E$26,0)</x:f>
        <x:v>0</x:v>
      </x:c>
      <x:c r="AF398" s="20" t="n">
        <x:f>IF(H398="CM-HCG",K398*'01 Controls'!$E$27,0)</x:f>
        <x:v>0</x:v>
      </x:c>
    </x:row>
    <x:row r="399">
      <x:c r="C399" s="22" t="str">
        <x:v>G1-L-GFG</x:v>
      </x:c>
      <x:c r="D399" s="22" t="n">
        <x:v>394</x:v>
      </x:c>
      <x:c r="E399" s="22" t="str">
        <x:v>G1</x:v>
      </x:c>
      <x:c r="F399" s="22" t="str">
        <x:v>Allied megacity earthquake</x:v>
      </x:c>
      <x:c r="G399" s="22" t="n">
        <x:v>9</x:v>
      </x:c>
      <x:c r="H399" s="22" t="str">
        <x:v>L-GFG</x:v>
      </x:c>
      <x:c r="I399" s="22" t="str">
        <x:v>Land Engineering</x:v>
      </x:c>
      <x:c r="J399" s="22" t="str">
        <x:v>Ground fire and landscape group</x:v>
      </x:c>
      <x:c r="K399" s="23" t="n">
        <x:v>2</x:v>
      </x:c>
      <x:c r="L399" s="23" t="n">
        <x:v>450</x:v>
      </x:c>
      <x:c r="M399" s="23" t="n">
        <x:v>0</x:v>
      </x:c>
      <x:c r="N399" s="20" t="n">
        <x:f>K399*L399</x:f>
        <x:v>900</x:v>
      </x:c>
      <x:c r="O399" s="19" t="n">
        <x:v>9000</x:v>
      </x:c>
      <x:c r="P399" s="17" t="n">
        <x:v>0.45</x:v>
      </x:c>
      <x:c r="Q399" s="20" t="n">
        <x:f>K399*O399*P399</x:f>
        <x:v>8100</x:v>
      </x:c>
      <x:c r="R399" s="20" t="n">
        <x:f>Q399*(1-'01 Controls'!$E$6)</x:f>
        <x:v>6075</x:v>
      </x:c>
      <x:c r="S399" s="19" t="n">
        <x:v>90</x:v>
      </x:c>
      <x:c r="T399" s="20" t="n">
        <x:f>K399*S399</x:f>
        <x:v>180</x:v>
      </x:c>
      <x:c r="U399" s="18" t="n">
        <x:f>'01 Controls'!E40</x:f>
        <x:v>0.15</x:v>
      </x:c>
      <x:c r="V399" s="20" t="n">
        <x:f>R399*U399</x:f>
        <x:v>911.25</x:v>
      </x:c>
      <x:c r="W399" s="18" t="n">
        <x:f>'01 Controls'!F40</x:f>
        <x:v>0.85</x:v>
      </x:c>
      <x:c r="X399" s="20" t="n">
        <x:f>R399*W399</x:f>
        <x:v>5163.75</x:v>
      </x:c>
      <x:c r="Y399" s="18" t="n">
        <x:f>'01 Controls'!G40</x:f>
        <x:v>0</x:v>
      </x:c>
      <x:c r="Z399" s="20" t="n">
        <x:f>R399*Y399</x:f>
        <x:v>0</x:v>
      </x:c>
      <x:c r="AA399" s="18" t="n">
        <x:f>'01 Controls'!H40</x:f>
        <x:v>0</x:v>
      </x:c>
      <x:c r="AB399" s="20" t="n">
        <x:f>R399*AA399</x:f>
        <x:v>0</x:v>
      </x:c>
      <x:c r="AC399" s="20" t="n">
        <x:f>IF(H399="CM-HCG",K399*'01 Controls'!$E$24,0)</x:f>
        <x:v>0</x:v>
      </x:c>
      <x:c r="AD399" s="20" t="n">
        <x:f>IF(H399="CM-HCG",K399*'01 Controls'!$E$25,0)</x:f>
        <x:v>0</x:v>
      </x:c>
      <x:c r="AE399" s="20" t="n">
        <x:f>IF(H399="CM-HCG",K399*'01 Controls'!$E$26,0)</x:f>
        <x:v>0</x:v>
      </x:c>
      <x:c r="AF399" s="20" t="n">
        <x:f>IF(H399="CM-HCG",K399*'01 Controls'!$E$27,0)</x:f>
        <x:v>0</x:v>
      </x:c>
    </x:row>
    <x:row r="400">
      <x:c r="C400" s="22" t="str">
        <x:v>G1-A-SMW</x:v>
      </x:c>
      <x:c r="D400" s="22" t="n">
        <x:v>395</x:v>
      </x:c>
      <x:c r="E400" s="22" t="str">
        <x:v>G1</x:v>
      </x:c>
      <x:c r="F400" s="22" t="str">
        <x:v>Allied megacity earthquake</x:v>
      </x:c>
      <x:c r="G400" s="22" t="n">
        <x:v>9</x:v>
      </x:c>
      <x:c r="H400" s="22" t="str">
        <x:v>A-SMW</x:v>
      </x:c>
      <x:c r="I400" s="22" t="str">
        <x:v>Air Response</x:v>
      </x:c>
      <x:c r="J400" s="22" t="str">
        <x:v>Strategic mobility wing</x:v>
      </x:c>
      <x:c r="K400" s="23" t="n">
        <x:v>5</x:v>
      </x:c>
      <x:c r="L400" s="23" t="n">
        <x:v>900</x:v>
      </x:c>
      <x:c r="M400" s="23" t="n">
        <x:v>0</x:v>
      </x:c>
      <x:c r="N400" s="20" t="n">
        <x:f>K400*L400</x:f>
        <x:v>4500</x:v>
      </x:c>
      <x:c r="O400" s="19" t="n">
        <x:v>5000</x:v>
      </x:c>
      <x:c r="P400" s="17" t="n">
        <x:v>0.75</x:v>
      </x:c>
      <x:c r="Q400" s="20" t="n">
        <x:f>K400*O400*P400</x:f>
        <x:v>18750</x:v>
      </x:c>
      <x:c r="R400" s="20" t="n">
        <x:f>Q400*(1-'01 Controls'!$E$6)</x:f>
        <x:v>14062.5</x:v>
      </x:c>
      <x:c r="S400" s="19" t="n">
        <x:v>100</x:v>
      </x:c>
      <x:c r="T400" s="20" t="n">
        <x:f>K400*S400</x:f>
        <x:v>500</x:v>
      </x:c>
      <x:c r="U400" s="18" t="n">
        <x:f>'01 Controls'!E40</x:f>
        <x:v>0.15</x:v>
      </x:c>
      <x:c r="V400" s="20" t="n">
        <x:f>R400*U400</x:f>
        <x:v>2109.375</x:v>
      </x:c>
      <x:c r="W400" s="18" t="n">
        <x:f>'01 Controls'!F40</x:f>
        <x:v>0.85</x:v>
      </x:c>
      <x:c r="X400" s="20" t="n">
        <x:f>R400*W400</x:f>
        <x:v>11953.125</x:v>
      </x:c>
      <x:c r="Y400" s="18" t="n">
        <x:f>'01 Controls'!G40</x:f>
        <x:v>0</x:v>
      </x:c>
      <x:c r="Z400" s="20" t="n">
        <x:f>R400*Y400</x:f>
        <x:v>0</x:v>
      </x:c>
      <x:c r="AA400" s="18" t="n">
        <x:f>'01 Controls'!H40</x:f>
        <x:v>0</x:v>
      </x:c>
      <x:c r="AB400" s="20" t="n">
        <x:f>R400*AA400</x:f>
        <x:v>0</x:v>
      </x:c>
      <x:c r="AC400" s="20" t="n">
        <x:f>IF(H400="CM-HCG",K400*'01 Controls'!$E$24,0)</x:f>
        <x:v>0</x:v>
      </x:c>
      <x:c r="AD400" s="20" t="n">
        <x:f>IF(H400="CM-HCG",K400*'01 Controls'!$E$25,0)</x:f>
        <x:v>0</x:v>
      </x:c>
      <x:c r="AE400" s="20" t="n">
        <x:f>IF(H400="CM-HCG",K400*'01 Controls'!$E$26,0)</x:f>
        <x:v>0</x:v>
      </x:c>
      <x:c r="AF400" s="20" t="n">
        <x:f>IF(H400="CM-HCG",K400*'01 Controls'!$E$27,0)</x:f>
        <x:v>0</x:v>
      </x:c>
    </x:row>
    <x:row r="401">
      <x:c r="C401" s="22" t="str">
        <x:v>G1-A-AAG</x:v>
      </x:c>
      <x:c r="D401" s="22" t="n">
        <x:v>396</x:v>
      </x:c>
      <x:c r="E401" s="22" t="str">
        <x:v>G1</x:v>
      </x:c>
      <x:c r="F401" s="22" t="str">
        <x:v>Allied megacity earthquake</x:v>
      </x:c>
      <x:c r="G401" s="22" t="n">
        <x:v>9</x:v>
      </x:c>
      <x:c r="H401" s="22" t="str">
        <x:v>A-AAG</x:v>
      </x:c>
      <x:c r="I401" s="22" t="str">
        <x:v>Air Response</x:v>
      </x:c>
      <x:c r="J401" s="22" t="str">
        <x:v>Austere air-access group</x:v>
      </x:c>
      <x:c r="K401" s="23" t="n">
        <x:v>5</x:v>
      </x:c>
      <x:c r="L401" s="23" t="n">
        <x:v>350</x:v>
      </x:c>
      <x:c r="M401" s="23" t="n">
        <x:v>0</x:v>
      </x:c>
      <x:c r="N401" s="20" t="n">
        <x:f>K401*L401</x:f>
        <x:v>1750</x:v>
      </x:c>
      <x:c r="O401" s="19" t="n">
        <x:v>5000</x:v>
      </x:c>
      <x:c r="P401" s="17" t="n">
        <x:v>0.75</x:v>
      </x:c>
      <x:c r="Q401" s="20" t="n">
        <x:f>K401*O401*P401</x:f>
        <x:v>18750</x:v>
      </x:c>
      <x:c r="R401" s="20" t="n">
        <x:f>Q401*(1-'01 Controls'!$E$6)</x:f>
        <x:v>14062.5</x:v>
      </x:c>
      <x:c r="S401" s="19" t="n">
        <x:v>100</x:v>
      </x:c>
      <x:c r="T401" s="20" t="n">
        <x:f>K401*S401</x:f>
        <x:v>500</x:v>
      </x:c>
      <x:c r="U401" s="18" t="n">
        <x:f>'01 Controls'!E40</x:f>
        <x:v>0.15</x:v>
      </x:c>
      <x:c r="V401" s="20" t="n">
        <x:f>R401*U401</x:f>
        <x:v>2109.375</x:v>
      </x:c>
      <x:c r="W401" s="18" t="n">
        <x:f>'01 Controls'!F40</x:f>
        <x:v>0.85</x:v>
      </x:c>
      <x:c r="X401" s="20" t="n">
        <x:f>R401*W401</x:f>
        <x:v>11953.125</x:v>
      </x:c>
      <x:c r="Y401" s="18" t="n">
        <x:f>'01 Controls'!G40</x:f>
        <x:v>0</x:v>
      </x:c>
      <x:c r="Z401" s="20" t="n">
        <x:f>R401*Y401</x:f>
        <x:v>0</x:v>
      </x:c>
      <x:c r="AA401" s="18" t="n">
        <x:f>'01 Controls'!H40</x:f>
        <x:v>0</x:v>
      </x:c>
      <x:c r="AB401" s="20" t="n">
        <x:f>R401*AA401</x:f>
        <x:v>0</x:v>
      </x:c>
      <x:c r="AC401" s="20" t="n">
        <x:f>IF(H401="CM-HCG",K401*'01 Controls'!$E$24,0)</x:f>
        <x:v>0</x:v>
      </x:c>
      <x:c r="AD401" s="20" t="n">
        <x:f>IF(H401="CM-HCG",K401*'01 Controls'!$E$25,0)</x:f>
        <x:v>0</x:v>
      </x:c>
      <x:c r="AE401" s="20" t="n">
        <x:f>IF(H401="CM-HCG",K401*'01 Controls'!$E$26,0)</x:f>
        <x:v>0</x:v>
      </x:c>
      <x:c r="AF401" s="20" t="n">
        <x:f>IF(H401="CM-HCG",K401*'01 Controls'!$E$27,0)</x:f>
        <x:v>0</x:v>
      </x:c>
    </x:row>
    <x:row r="402">
      <x:c r="C402" s="22" t="str">
        <x:v>G1-A-AHW</x:v>
      </x:c>
      <x:c r="D402" s="22" t="n">
        <x:v>397</x:v>
      </x:c>
      <x:c r="E402" s="22" t="str">
        <x:v>G1</x:v>
      </x:c>
      <x:c r="F402" s="22" t="str">
        <x:v>Allied megacity earthquake</x:v>
      </x:c>
      <x:c r="G402" s="22" t="n">
        <x:v>9</x:v>
      </x:c>
      <x:c r="H402" s="22" t="str">
        <x:v>A-AHW</x:v>
      </x:c>
      <x:c r="I402" s="22" t="str">
        <x:v>Air Response</x:v>
      </x:c>
      <x:c r="J402" s="22" t="str">
        <x:v>Aerial hazard-control wing</x:v>
      </x:c>
      <x:c r="K402" s="23" t="n">
        <x:v>2</x:v>
      </x:c>
      <x:c r="L402" s="23" t="n">
        <x:v>600</x:v>
      </x:c>
      <x:c r="M402" s="23" t="n">
        <x:v>0</x:v>
      </x:c>
      <x:c r="N402" s="20" t="n">
        <x:f>K402*L402</x:f>
        <x:v>1200</x:v>
      </x:c>
      <x:c r="O402" s="19" t="n">
        <x:v>5000</x:v>
      </x:c>
      <x:c r="P402" s="17" t="n">
        <x:v>0.75</x:v>
      </x:c>
      <x:c r="Q402" s="20" t="n">
        <x:f>K402*O402*P402</x:f>
        <x:v>7500</x:v>
      </x:c>
      <x:c r="R402" s="20" t="n">
        <x:f>Q402*(1-'01 Controls'!$E$6)</x:f>
        <x:v>5625</x:v>
      </x:c>
      <x:c r="S402" s="19" t="n">
        <x:v>100</x:v>
      </x:c>
      <x:c r="T402" s="20" t="n">
        <x:f>K402*S402</x:f>
        <x:v>200</x:v>
      </x:c>
      <x:c r="U402" s="18" t="n">
        <x:f>'01 Controls'!E40</x:f>
        <x:v>0.15</x:v>
      </x:c>
      <x:c r="V402" s="20" t="n">
        <x:f>R402*U402</x:f>
        <x:v>843.75</x:v>
      </x:c>
      <x:c r="W402" s="18" t="n">
        <x:f>'01 Controls'!F40</x:f>
        <x:v>0.85</x:v>
      </x:c>
      <x:c r="X402" s="20" t="n">
        <x:f>R402*W402</x:f>
        <x:v>4781.25</x:v>
      </x:c>
      <x:c r="Y402" s="18" t="n">
        <x:f>'01 Controls'!G40</x:f>
        <x:v>0</x:v>
      </x:c>
      <x:c r="Z402" s="20" t="n">
        <x:f>R402*Y402</x:f>
        <x:v>0</x:v>
      </x:c>
      <x:c r="AA402" s="18" t="n">
        <x:f>'01 Controls'!H40</x:f>
        <x:v>0</x:v>
      </x:c>
      <x:c r="AB402" s="20" t="n">
        <x:f>R402*AA402</x:f>
        <x:v>0</x:v>
      </x:c>
      <x:c r="AC402" s="20" t="n">
        <x:f>IF(H402="CM-HCG",K402*'01 Controls'!$E$24,0)</x:f>
        <x:v>0</x:v>
      </x:c>
      <x:c r="AD402" s="20" t="n">
        <x:f>IF(H402="CM-HCG",K402*'01 Controls'!$E$25,0)</x:f>
        <x:v>0</x:v>
      </x:c>
      <x:c r="AE402" s="20" t="n">
        <x:f>IF(H402="CM-HCG",K402*'01 Controls'!$E$26,0)</x:f>
        <x:v>0</x:v>
      </x:c>
      <x:c r="AF402" s="20" t="n">
        <x:f>IF(H402="CM-HCG",K402*'01 Controls'!$E$27,0)</x:f>
        <x:v>0</x:v>
      </x:c>
    </x:row>
    <x:row r="403">
      <x:c r="C403" s="22" t="str">
        <x:v>G1-A-TDG</x:v>
      </x:c>
      <x:c r="D403" s="22" t="n">
        <x:v>398</x:v>
      </x:c>
      <x:c r="E403" s="22" t="str">
        <x:v>G1</x:v>
      </x:c>
      <x:c r="F403" s="22" t="str">
        <x:v>Allied megacity earthquake</x:v>
      </x:c>
      <x:c r="G403" s="22" t="n">
        <x:v>9</x:v>
      </x:c>
      <x:c r="H403" s="22" t="str">
        <x:v>A-TDG</x:v>
      </x:c>
      <x:c r="I403" s="22" t="str">
        <x:v>Air Response</x:v>
      </x:c>
      <x:c r="J403" s="22" t="str">
        <x:v>Tactical distribution group</x:v>
      </x:c>
      <x:c r="K403" s="23" t="n">
        <x:v>8</x:v>
      </x:c>
      <x:c r="L403" s="23" t="n">
        <x:v>450</x:v>
      </x:c>
      <x:c r="M403" s="23" t="n">
        <x:v>0</x:v>
      </x:c>
      <x:c r="N403" s="20" t="n">
        <x:f>K403*L403</x:f>
        <x:v>3600</x:v>
      </x:c>
      <x:c r="O403" s="19" t="n">
        <x:v>5000</x:v>
      </x:c>
      <x:c r="P403" s="17" t="n">
        <x:v>0.75</x:v>
      </x:c>
      <x:c r="Q403" s="20" t="n">
        <x:f>K403*O403*P403</x:f>
        <x:v>30000</x:v>
      </x:c>
      <x:c r="R403" s="20" t="n">
        <x:f>Q403*(1-'01 Controls'!$E$6)</x:f>
        <x:v>22500</x:v>
      </x:c>
      <x:c r="S403" s="19" t="n">
        <x:v>100</x:v>
      </x:c>
      <x:c r="T403" s="20" t="n">
        <x:f>K403*S403</x:f>
        <x:v>800</x:v>
      </x:c>
      <x:c r="U403" s="18" t="n">
        <x:f>'01 Controls'!E40</x:f>
        <x:v>0.15</x:v>
      </x:c>
      <x:c r="V403" s="20" t="n">
        <x:f>R403*U403</x:f>
        <x:v>3375</x:v>
      </x:c>
      <x:c r="W403" s="18" t="n">
        <x:f>'01 Controls'!F40</x:f>
        <x:v>0.85</x:v>
      </x:c>
      <x:c r="X403" s="20" t="n">
        <x:f>R403*W403</x:f>
        <x:v>19125</x:v>
      </x:c>
      <x:c r="Y403" s="18" t="n">
        <x:f>'01 Controls'!G40</x:f>
        <x:v>0</x:v>
      </x:c>
      <x:c r="Z403" s="20" t="n">
        <x:f>R403*Y403</x:f>
        <x:v>0</x:v>
      </x:c>
      <x:c r="AA403" s="18" t="n">
        <x:f>'01 Controls'!H40</x:f>
        <x:v>0</x:v>
      </x:c>
      <x:c r="AB403" s="20" t="n">
        <x:f>R403*AA403</x:f>
        <x:v>0</x:v>
      </x:c>
      <x:c r="AC403" s="20" t="n">
        <x:f>IF(H403="CM-HCG",K403*'01 Controls'!$E$24,0)</x:f>
        <x:v>0</x:v>
      </x:c>
      <x:c r="AD403" s="20" t="n">
        <x:f>IF(H403="CM-HCG",K403*'01 Controls'!$E$25,0)</x:f>
        <x:v>0</x:v>
      </x:c>
      <x:c r="AE403" s="20" t="n">
        <x:f>IF(H403="CM-HCG",K403*'01 Controls'!$E$26,0)</x:f>
        <x:v>0</x:v>
      </x:c>
      <x:c r="AF403" s="20" t="n">
        <x:f>IF(H403="CM-HCG",K403*'01 Controls'!$E$27,0)</x:f>
        <x:v>0</x:v>
      </x:c>
    </x:row>
    <x:row r="404">
      <x:c r="C404" s="22" t="str">
        <x:v>G1-A-SRG</x:v>
      </x:c>
      <x:c r="D404" s="22" t="n">
        <x:v>399</x:v>
      </x:c>
      <x:c r="E404" s="22" t="str">
        <x:v>G1</x:v>
      </x:c>
      <x:c r="F404" s="22" t="str">
        <x:v>Allied megacity earthquake</x:v>
      </x:c>
      <x:c r="G404" s="22" t="n">
        <x:v>9</x:v>
      </x:c>
      <x:c r="H404" s="22" t="str">
        <x:v>A-SRG</x:v>
      </x:c>
      <x:c r="I404" s="22" t="str">
        <x:v>Air Response</x:v>
      </x:c>
      <x:c r="J404" s="22" t="str">
        <x:v>Air sensing and relay group</x:v>
      </x:c>
      <x:c r="K404" s="23" t="n">
        <x:v>5</x:v>
      </x:c>
      <x:c r="L404" s="23" t="n">
        <x:v>180</x:v>
      </x:c>
      <x:c r="M404" s="23" t="n">
        <x:v>0</x:v>
      </x:c>
      <x:c r="N404" s="20" t="n">
        <x:f>K404*L404</x:f>
        <x:v>900</x:v>
      </x:c>
      <x:c r="O404" s="19" t="n">
        <x:v>5000</x:v>
      </x:c>
      <x:c r="P404" s="17" t="n">
        <x:v>0.75</x:v>
      </x:c>
      <x:c r="Q404" s="20" t="n">
        <x:f>K404*O404*P404</x:f>
        <x:v>18750</x:v>
      </x:c>
      <x:c r="R404" s="20" t="n">
        <x:f>Q404*(1-'01 Controls'!$E$6)</x:f>
        <x:v>14062.5</x:v>
      </x:c>
      <x:c r="S404" s="19" t="n">
        <x:v>100</x:v>
      </x:c>
      <x:c r="T404" s="20" t="n">
        <x:f>K404*S404</x:f>
        <x:v>500</x:v>
      </x:c>
      <x:c r="U404" s="18" t="n">
        <x:f>'01 Controls'!E40</x:f>
        <x:v>0.15</x:v>
      </x:c>
      <x:c r="V404" s="20" t="n">
        <x:f>R404*U404</x:f>
        <x:v>2109.375</x:v>
      </x:c>
      <x:c r="W404" s="18" t="n">
        <x:f>'01 Controls'!F40</x:f>
        <x:v>0.85</x:v>
      </x:c>
      <x:c r="X404" s="20" t="n">
        <x:f>R404*W404</x:f>
        <x:v>11953.125</x:v>
      </x:c>
      <x:c r="Y404" s="18" t="n">
        <x:f>'01 Controls'!G40</x:f>
        <x:v>0</x:v>
      </x:c>
      <x:c r="Z404" s="20" t="n">
        <x:f>R404*Y404</x:f>
        <x:v>0</x:v>
      </x:c>
      <x:c r="AA404" s="18" t="n">
        <x:f>'01 Controls'!H40</x:f>
        <x:v>0</x:v>
      </x:c>
      <x:c r="AB404" s="20" t="n">
        <x:f>R404*AA404</x:f>
        <x:v>0</x:v>
      </x:c>
      <x:c r="AC404" s="20" t="n">
        <x:f>IF(H404="CM-HCG",K404*'01 Controls'!$E$24,0)</x:f>
        <x:v>0</x:v>
      </x:c>
      <x:c r="AD404" s="20" t="n">
        <x:f>IF(H404="CM-HCG",K404*'01 Controls'!$E$25,0)</x:f>
        <x:v>0</x:v>
      </x:c>
      <x:c r="AE404" s="20" t="n">
        <x:f>IF(H404="CM-HCG",K404*'01 Controls'!$E$26,0)</x:f>
        <x:v>0</x:v>
      </x:c>
      <x:c r="AF404" s="20" t="n">
        <x:f>IF(H404="CM-HCG",K404*'01 Controls'!$E$27,0)</x:f>
        <x:v>0</x:v>
      </x:c>
    </x:row>
    <x:row r="405">
      <x:c r="C405" s="22" t="str">
        <x:v>G1-A-AMG</x:v>
      </x:c>
      <x:c r="D405" s="22" t="n">
        <x:v>400</x:v>
      </x:c>
      <x:c r="E405" s="22" t="str">
        <x:v>G1</x:v>
      </x:c>
      <x:c r="F405" s="22" t="str">
        <x:v>Allied megacity earthquake</x:v>
      </x:c>
      <x:c r="G405" s="22" t="n">
        <x:v>9</x:v>
      </x:c>
      <x:c r="H405" s="22" t="str">
        <x:v>A-AMG</x:v>
      </x:c>
      <x:c r="I405" s="22" t="str">
        <x:v>Air Response</x:v>
      </x:c>
      <x:c r="J405" s="22" t="str">
        <x:v>Aeromedical movement group</x:v>
      </x:c>
      <x:c r="K405" s="23" t="n">
        <x:v>5</x:v>
      </x:c>
      <x:c r="L405" s="23" t="n">
        <x:v>300</x:v>
      </x:c>
      <x:c r="M405" s="23" t="n">
        <x:v>0</x:v>
      </x:c>
      <x:c r="N405" s="20" t="n">
        <x:f>K405*L405</x:f>
        <x:v>1500</x:v>
      </x:c>
      <x:c r="O405" s="19" t="n">
        <x:v>5000</x:v>
      </x:c>
      <x:c r="P405" s="17" t="n">
        <x:v>0.75</x:v>
      </x:c>
      <x:c r="Q405" s="20" t="n">
        <x:f>K405*O405*P405</x:f>
        <x:v>18750</x:v>
      </x:c>
      <x:c r="R405" s="20" t="n">
        <x:f>Q405*(1-'01 Controls'!$E$6)</x:f>
        <x:v>14062.5</x:v>
      </x:c>
      <x:c r="S405" s="19" t="n">
        <x:v>100</x:v>
      </x:c>
      <x:c r="T405" s="20" t="n">
        <x:f>K405*S405</x:f>
        <x:v>500</x:v>
      </x:c>
      <x:c r="U405" s="18" t="n">
        <x:f>'01 Controls'!E40</x:f>
        <x:v>0.15</x:v>
      </x:c>
      <x:c r="V405" s="20" t="n">
        <x:f>R405*U405</x:f>
        <x:v>2109.375</x:v>
      </x:c>
      <x:c r="W405" s="18" t="n">
        <x:f>'01 Controls'!F40</x:f>
        <x:v>0.85</x:v>
      </x:c>
      <x:c r="X405" s="20" t="n">
        <x:f>R405*W405</x:f>
        <x:v>11953.125</x:v>
      </x:c>
      <x:c r="Y405" s="18" t="n">
        <x:f>'01 Controls'!G40</x:f>
        <x:v>0</x:v>
      </x:c>
      <x:c r="Z405" s="20" t="n">
        <x:f>R405*Y405</x:f>
        <x:v>0</x:v>
      </x:c>
      <x:c r="AA405" s="18" t="n">
        <x:f>'01 Controls'!H40</x:f>
        <x:v>0</x:v>
      </x:c>
      <x:c r="AB405" s="20" t="n">
        <x:f>R405*AA405</x:f>
        <x:v>0</x:v>
      </x:c>
      <x:c r="AC405" s="20" t="n">
        <x:f>IF(H405="CM-HCG",K405*'01 Controls'!$E$24,0)</x:f>
        <x:v>0</x:v>
      </x:c>
      <x:c r="AD405" s="20" t="n">
        <x:f>IF(H405="CM-HCG",K405*'01 Controls'!$E$25,0)</x:f>
        <x:v>0</x:v>
      </x:c>
      <x:c r="AE405" s="20" t="n">
        <x:f>IF(H405="CM-HCG",K405*'01 Controls'!$E$26,0)</x:f>
        <x:v>0</x:v>
      </x:c>
      <x:c r="AF405" s="20" t="n">
        <x:f>IF(H405="CM-HCG",K405*'01 Controls'!$E$27,0)</x:f>
        <x:v>0</x:v>
      </x:c>
    </x:row>
    <x:row r="406">
      <x:c r="C406" s="22" t="str">
        <x:v>G1-M-POG</x:v>
      </x:c>
      <x:c r="D406" s="22" t="n">
        <x:v>401</x:v>
      </x:c>
      <x:c r="E406" s="22" t="str">
        <x:v>G1</x:v>
      </x:c>
      <x:c r="F406" s="22" t="str">
        <x:v>Allied megacity earthquake</x:v>
      </x:c>
      <x:c r="G406" s="22" t="n">
        <x:v>9</x:v>
      </x:c>
      <x:c r="H406" s="22" t="str">
        <x:v>M-POG</x:v>
      </x:c>
      <x:c r="I406" s="22" t="str">
        <x:v>Maritime Response</x:v>
      </x:c>
      <x:c r="J406" s="22" t="str">
        <x:v>Port-opening group</x:v>
      </x:c>
      <x:c r="K406" s="23" t="n">
        <x:v>8</x:v>
      </x:c>
      <x:c r="L406" s="23" t="n">
        <x:v>450</x:v>
      </x:c>
      <x:c r="M406" s="23" t="n">
        <x:v>0</x:v>
      </x:c>
      <x:c r="N406" s="20" t="n">
        <x:f>K406*L406</x:f>
        <x:v>3600</x:v>
      </x:c>
      <x:c r="O406" s="19" t="n">
        <x:v>8000</x:v>
      </x:c>
      <x:c r="P406" s="17" t="n">
        <x:v>0.35</x:v>
      </x:c>
      <x:c r="Q406" s="20" t="n">
        <x:f>K406*O406*P406</x:f>
        <x:v>22400</x:v>
      </x:c>
      <x:c r="R406" s="20" t="n">
        <x:f>Q406*(1-'01 Controls'!$E$6)</x:f>
        <x:v>16800</x:v>
      </x:c>
      <x:c r="S406" s="19" t="n">
        <x:v>120</x:v>
      </x:c>
      <x:c r="T406" s="20" t="n">
        <x:f>K406*S406</x:f>
        <x:v>960</x:v>
      </x:c>
      <x:c r="U406" s="18" t="n">
        <x:f>'01 Controls'!E40</x:f>
        <x:v>0.15</x:v>
      </x:c>
      <x:c r="V406" s="20" t="n">
        <x:f>R406*U406</x:f>
        <x:v>2520</x:v>
      </x:c>
      <x:c r="W406" s="18" t="n">
        <x:f>'01 Controls'!F40</x:f>
        <x:v>0.85</x:v>
      </x:c>
      <x:c r="X406" s="20" t="n">
        <x:f>R406*W406</x:f>
        <x:v>14280</x:v>
      </x:c>
      <x:c r="Y406" s="18" t="n">
        <x:f>'01 Controls'!G40</x:f>
        <x:v>0</x:v>
      </x:c>
      <x:c r="Z406" s="20" t="n">
        <x:f>R406*Y406</x:f>
        <x:v>0</x:v>
      </x:c>
      <x:c r="AA406" s="18" t="n">
        <x:f>'01 Controls'!H40</x:f>
        <x:v>0</x:v>
      </x:c>
      <x:c r="AB406" s="20" t="n">
        <x:f>R406*AA406</x:f>
        <x:v>0</x:v>
      </x:c>
      <x:c r="AC406" s="20" t="n">
        <x:f>IF(H406="CM-HCG",K406*'01 Controls'!$E$24,0)</x:f>
        <x:v>0</x:v>
      </x:c>
      <x:c r="AD406" s="20" t="n">
        <x:f>IF(H406="CM-HCG",K406*'01 Controls'!$E$25,0)</x:f>
        <x:v>0</x:v>
      </x:c>
      <x:c r="AE406" s="20" t="n">
        <x:f>IF(H406="CM-HCG",K406*'01 Controls'!$E$26,0)</x:f>
        <x:v>0</x:v>
      </x:c>
      <x:c r="AF406" s="20" t="n">
        <x:f>IF(H406="CM-HCG",K406*'01 Controls'!$E$27,0)</x:f>
        <x:v>0</x:v>
      </x:c>
    </x:row>
    <x:row r="407">
      <x:c r="C407" s="22" t="str">
        <x:v>G1-M-LAG</x:v>
      </x:c>
      <x:c r="D407" s="22" t="n">
        <x:v>402</x:v>
      </x:c>
      <x:c r="E407" s="22" t="str">
        <x:v>G1</x:v>
      </x:c>
      <x:c r="F407" s="22" t="str">
        <x:v>Allied megacity earthquake</x:v>
      </x:c>
      <x:c r="G407" s="22" t="n">
        <x:v>9</x:v>
      </x:c>
      <x:c r="H407" s="22" t="str">
        <x:v>M-LAG</x:v>
      </x:c>
      <x:c r="I407" s="22" t="str">
        <x:v>Maritime Response</x:v>
      </x:c>
      <x:c r="J407" s="22" t="str">
        <x:v>Littoral-access group</x:v>
      </x:c>
      <x:c r="K407" s="23" t="n">
        <x:v>8</x:v>
      </x:c>
      <x:c r="L407" s="23" t="n">
        <x:v>350</x:v>
      </x:c>
      <x:c r="M407" s="23" t="n">
        <x:v>0</x:v>
      </x:c>
      <x:c r="N407" s="20" t="n">
        <x:f>K407*L407</x:f>
        <x:v>2800</x:v>
      </x:c>
      <x:c r="O407" s="19" t="n">
        <x:v>8000</x:v>
      </x:c>
      <x:c r="P407" s="17" t="n">
        <x:v>0.35</x:v>
      </x:c>
      <x:c r="Q407" s="20" t="n">
        <x:f>K407*O407*P407</x:f>
        <x:v>22400</x:v>
      </x:c>
      <x:c r="R407" s="20" t="n">
        <x:f>Q407*(1-'01 Controls'!$E$6)</x:f>
        <x:v>16800</x:v>
      </x:c>
      <x:c r="S407" s="19" t="n">
        <x:v>120</x:v>
      </x:c>
      <x:c r="T407" s="20" t="n">
        <x:f>K407*S407</x:f>
        <x:v>960</x:v>
      </x:c>
      <x:c r="U407" s="18" t="n">
        <x:f>'01 Controls'!E40</x:f>
        <x:v>0.15</x:v>
      </x:c>
      <x:c r="V407" s="20" t="n">
        <x:f>R407*U407</x:f>
        <x:v>2520</x:v>
      </x:c>
      <x:c r="W407" s="18" t="n">
        <x:f>'01 Controls'!F40</x:f>
        <x:v>0.85</x:v>
      </x:c>
      <x:c r="X407" s="20" t="n">
        <x:f>R407*W407</x:f>
        <x:v>14280</x:v>
      </x:c>
      <x:c r="Y407" s="18" t="n">
        <x:f>'01 Controls'!G40</x:f>
        <x:v>0</x:v>
      </x:c>
      <x:c r="Z407" s="20" t="n">
        <x:f>R407*Y407</x:f>
        <x:v>0</x:v>
      </x:c>
      <x:c r="AA407" s="18" t="n">
        <x:f>'01 Controls'!H40</x:f>
        <x:v>0</x:v>
      </x:c>
      <x:c r="AB407" s="20" t="n">
        <x:f>R407*AA407</x:f>
        <x:v>0</x:v>
      </x:c>
      <x:c r="AC407" s="20" t="n">
        <x:f>IF(H407="CM-HCG",K407*'01 Controls'!$E$24,0)</x:f>
        <x:v>0</x:v>
      </x:c>
      <x:c r="AD407" s="20" t="n">
        <x:f>IF(H407="CM-HCG",K407*'01 Controls'!$E$25,0)</x:f>
        <x:v>0</x:v>
      </x:c>
      <x:c r="AE407" s="20" t="n">
        <x:f>IF(H407="CM-HCG",K407*'01 Controls'!$E$26,0)</x:f>
        <x:v>0</x:v>
      </x:c>
      <x:c r="AF407" s="20" t="n">
        <x:f>IF(H407="CM-HCG",K407*'01 Controls'!$E$27,0)</x:f>
        <x:v>0</x:v>
      </x:c>
    </x:row>
    <x:row r="408">
      <x:c r="C408" s="22" t="str">
        <x:v>G1-M-IWG</x:v>
      </x:c>
      <x:c r="D408" s="22" t="n">
        <x:v>403</x:v>
      </x:c>
      <x:c r="E408" s="22" t="str">
        <x:v>G1</x:v>
      </x:c>
      <x:c r="F408" s="22" t="str">
        <x:v>Allied megacity earthquake</x:v>
      </x:c>
      <x:c r="G408" s="22" t="n">
        <x:v>9</x:v>
      </x:c>
      <x:c r="H408" s="22" t="str">
        <x:v>M-IWG</x:v>
      </x:c>
      <x:c r="I408" s="22" t="str">
        <x:v>Maritime Response</x:v>
      </x:c>
      <x:c r="J408" s="22" t="str">
        <x:v>Inland-waterway group</x:v>
      </x:c>
      <x:c r="K408" s="23" t="n">
        <x:v>1</x:v>
      </x:c>
      <x:c r="L408" s="23" t="n">
        <x:v>250</x:v>
      </x:c>
      <x:c r="M408" s="23" t="n">
        <x:v>0</x:v>
      </x:c>
      <x:c r="N408" s="20" t="n">
        <x:f>K408*L408</x:f>
        <x:v>250</x:v>
      </x:c>
      <x:c r="O408" s="19" t="n">
        <x:v>8000</x:v>
      </x:c>
      <x:c r="P408" s="17" t="n">
        <x:v>0.35</x:v>
      </x:c>
      <x:c r="Q408" s="20" t="n">
        <x:f>K408*O408*P408</x:f>
        <x:v>2800</x:v>
      </x:c>
      <x:c r="R408" s="20" t="n">
        <x:f>Q408*(1-'01 Controls'!$E$6)</x:f>
        <x:v>2100</x:v>
      </x:c>
      <x:c r="S408" s="19" t="n">
        <x:v>120</x:v>
      </x:c>
      <x:c r="T408" s="20" t="n">
        <x:f>K408*S408</x:f>
        <x:v>120</x:v>
      </x:c>
      <x:c r="U408" s="18" t="n">
        <x:f>'01 Controls'!E40</x:f>
        <x:v>0.15</x:v>
      </x:c>
      <x:c r="V408" s="20" t="n">
        <x:f>R408*U408</x:f>
        <x:v>315</x:v>
      </x:c>
      <x:c r="W408" s="18" t="n">
        <x:f>'01 Controls'!F40</x:f>
        <x:v>0.85</x:v>
      </x:c>
      <x:c r="X408" s="20" t="n">
        <x:f>R408*W408</x:f>
        <x:v>1785</x:v>
      </x:c>
      <x:c r="Y408" s="18" t="n">
        <x:f>'01 Controls'!G40</x:f>
        <x:v>0</x:v>
      </x:c>
      <x:c r="Z408" s="20" t="n">
        <x:f>R408*Y408</x:f>
        <x:v>0</x:v>
      </x:c>
      <x:c r="AA408" s="18" t="n">
        <x:f>'01 Controls'!H40</x:f>
        <x:v>0</x:v>
      </x:c>
      <x:c r="AB408" s="20" t="n">
        <x:f>R408*AA408</x:f>
        <x:v>0</x:v>
      </x:c>
      <x:c r="AC408" s="20" t="n">
        <x:f>IF(H408="CM-HCG",K408*'01 Controls'!$E$24,0)</x:f>
        <x:v>0</x:v>
      </x:c>
      <x:c r="AD408" s="20" t="n">
        <x:f>IF(H408="CM-HCG",K408*'01 Controls'!$E$25,0)</x:f>
        <x:v>0</x:v>
      </x:c>
      <x:c r="AE408" s="20" t="n">
        <x:f>IF(H408="CM-HCG",K408*'01 Controls'!$E$26,0)</x:f>
        <x:v>0</x:v>
      </x:c>
      <x:c r="AF408" s="20" t="n">
        <x:f>IF(H408="CM-HCG",K408*'01 Controls'!$E$27,0)</x:f>
        <x:v>0</x:v>
      </x:c>
    </x:row>
    <x:row r="409">
      <x:c r="C409" s="22" t="str">
        <x:v>G1-M-OSG</x:v>
      </x:c>
      <x:c r="D409" s="22" t="n">
        <x:v>404</x:v>
      </x:c>
      <x:c r="E409" s="22" t="str">
        <x:v>G1</x:v>
      </x:c>
      <x:c r="F409" s="22" t="str">
        <x:v>Allied megacity earthquake</x:v>
      </x:c>
      <x:c r="G409" s="22" t="n">
        <x:v>9</x:v>
      </x:c>
      <x:c r="H409" s="22" t="str">
        <x:v>M-OSG</x:v>
      </x:c>
      <x:c r="I409" s="22" t="str">
        <x:v>Maritime Response</x:v>
      </x:c>
      <x:c r="J409" s="22" t="str">
        <x:v>Offshore-support group</x:v>
      </x:c>
      <x:c r="K409" s="23" t="n">
        <x:v>6</x:v>
      </x:c>
      <x:c r="L409" s="23" t="n">
        <x:v>700</x:v>
      </x:c>
      <x:c r="M409" s="23" t="n">
        <x:v>0</x:v>
      </x:c>
      <x:c r="N409" s="20" t="n">
        <x:f>K409*L409</x:f>
        <x:v>4200</x:v>
      </x:c>
      <x:c r="O409" s="19" t="n">
        <x:v>8000</x:v>
      </x:c>
      <x:c r="P409" s="17" t="n">
        <x:v>0.35</x:v>
      </x:c>
      <x:c r="Q409" s="20" t="n">
        <x:f>K409*O409*P409</x:f>
        <x:v>16800</x:v>
      </x:c>
      <x:c r="R409" s="20" t="n">
        <x:f>Q409*(1-'01 Controls'!$E$6)</x:f>
        <x:v>12600</x:v>
      </x:c>
      <x:c r="S409" s="19" t="n">
        <x:v>120</x:v>
      </x:c>
      <x:c r="T409" s="20" t="n">
        <x:f>K409*S409</x:f>
        <x:v>720</x:v>
      </x:c>
      <x:c r="U409" s="18" t="n">
        <x:f>'01 Controls'!E40</x:f>
        <x:v>0.15</x:v>
      </x:c>
      <x:c r="V409" s="20" t="n">
        <x:f>R409*U409</x:f>
        <x:v>1890</x:v>
      </x:c>
      <x:c r="W409" s="18" t="n">
        <x:f>'01 Controls'!F40</x:f>
        <x:v>0.85</x:v>
      </x:c>
      <x:c r="X409" s="20" t="n">
        <x:f>R409*W409</x:f>
        <x:v>10710</x:v>
      </x:c>
      <x:c r="Y409" s="18" t="n">
        <x:f>'01 Controls'!G40</x:f>
        <x:v>0</x:v>
      </x:c>
      <x:c r="Z409" s="20" t="n">
        <x:f>R409*Y409</x:f>
        <x:v>0</x:v>
      </x:c>
      <x:c r="AA409" s="18" t="n">
        <x:f>'01 Controls'!H40</x:f>
        <x:v>0</x:v>
      </x:c>
      <x:c r="AB409" s="20" t="n">
        <x:f>R409*AA409</x:f>
        <x:v>0</x:v>
      </x:c>
      <x:c r="AC409" s="20" t="n">
        <x:f>IF(H409="CM-HCG",K409*'01 Controls'!$E$24,0)</x:f>
        <x:v>0</x:v>
      </x:c>
      <x:c r="AD409" s="20" t="n">
        <x:f>IF(H409="CM-HCG",K409*'01 Controls'!$E$25,0)</x:f>
        <x:v>0</x:v>
      </x:c>
      <x:c r="AE409" s="20" t="n">
        <x:f>IF(H409="CM-HCG",K409*'01 Controls'!$E$26,0)</x:f>
        <x:v>0</x:v>
      </x:c>
      <x:c r="AF409" s="20" t="n">
        <x:f>IF(H409="CM-HCG",K409*'01 Controls'!$E$27,0)</x:f>
        <x:v>0</x:v>
      </x:c>
    </x:row>
    <x:row r="410">
      <x:c r="C410" s="22" t="str">
        <x:v>G1-M-SSG</x:v>
      </x:c>
      <x:c r="D410" s="22" t="n">
        <x:v>405</x:v>
      </x:c>
      <x:c r="E410" s="22" t="str">
        <x:v>G1</x:v>
      </x:c>
      <x:c r="F410" s="22" t="str">
        <x:v>Allied megacity earthquake</x:v>
      </x:c>
      <x:c r="G410" s="22" t="n">
        <x:v>9</x:v>
      </x:c>
      <x:c r="H410" s="22" t="str">
        <x:v>M-SSG</x:v>
      </x:c>
      <x:c r="I410" s="22" t="str">
        <x:v>Maritime Response</x:v>
      </x:c>
      <x:c r="J410" s="22" t="str">
        <x:v>Ocean sustainment group</x:v>
      </x:c>
      <x:c r="K410" s="23" t="n">
        <x:v>8</x:v>
      </x:c>
      <x:c r="L410" s="23" t="n">
        <x:v>650</x:v>
      </x:c>
      <x:c r="M410" s="23" t="n">
        <x:v>0</x:v>
      </x:c>
      <x:c r="N410" s="20" t="n">
        <x:f>K410*L410</x:f>
        <x:v>5200</x:v>
      </x:c>
      <x:c r="O410" s="19" t="n">
        <x:v>8000</x:v>
      </x:c>
      <x:c r="P410" s="17" t="n">
        <x:v>0.35</x:v>
      </x:c>
      <x:c r="Q410" s="20" t="n">
        <x:f>K410*O410*P410</x:f>
        <x:v>22400</x:v>
      </x:c>
      <x:c r="R410" s="20" t="n">
        <x:f>Q410*(1-'01 Controls'!$E$6)</x:f>
        <x:v>16800</x:v>
      </x:c>
      <x:c r="S410" s="19" t="n">
        <x:v>120</x:v>
      </x:c>
      <x:c r="T410" s="20" t="n">
        <x:f>K410*S410</x:f>
        <x:v>960</x:v>
      </x:c>
      <x:c r="U410" s="18" t="n">
        <x:f>'01 Controls'!E40</x:f>
        <x:v>0.15</x:v>
      </x:c>
      <x:c r="V410" s="20" t="n">
        <x:f>R410*U410</x:f>
        <x:v>2520</x:v>
      </x:c>
      <x:c r="W410" s="18" t="n">
        <x:f>'01 Controls'!F40</x:f>
        <x:v>0.85</x:v>
      </x:c>
      <x:c r="X410" s="20" t="n">
        <x:f>R410*W410</x:f>
        <x:v>14280</x:v>
      </x:c>
      <x:c r="Y410" s="18" t="n">
        <x:f>'01 Controls'!G40</x:f>
        <x:v>0</x:v>
      </x:c>
      <x:c r="Z410" s="20" t="n">
        <x:f>R410*Y410</x:f>
        <x:v>0</x:v>
      </x:c>
      <x:c r="AA410" s="18" t="n">
        <x:f>'01 Controls'!H40</x:f>
        <x:v>0</x:v>
      </x:c>
      <x:c r="AB410" s="20" t="n">
        <x:f>R410*AA410</x:f>
        <x:v>0</x:v>
      </x:c>
      <x:c r="AC410" s="20" t="n">
        <x:f>IF(H410="CM-HCG",K410*'01 Controls'!$E$24,0)</x:f>
        <x:v>0</x:v>
      </x:c>
      <x:c r="AD410" s="20" t="n">
        <x:f>IF(H410="CM-HCG",K410*'01 Controls'!$E$25,0)</x:f>
        <x:v>0</x:v>
      </x:c>
      <x:c r="AE410" s="20" t="n">
        <x:f>IF(H410="CM-HCG",K410*'01 Controls'!$E$26,0)</x:f>
        <x:v>0</x:v>
      </x:c>
      <x:c r="AF410" s="20" t="n">
        <x:f>IF(H410="CM-HCG",K410*'01 Controls'!$E$27,0)</x:f>
        <x:v>0</x:v>
      </x:c>
    </x:row>
    <x:row r="411">
      <x:c r="C411" s="22" t="str">
        <x:v>G1-I-CUG</x:v>
      </x:c>
      <x:c r="D411" s="22" t="n">
        <x:v>406</x:v>
      </x:c>
      <x:c r="E411" s="22" t="str">
        <x:v>G1</x:v>
      </x:c>
      <x:c r="F411" s="22" t="str">
        <x:v>Allied megacity earthquake</x:v>
      </x:c>
      <x:c r="G411" s="22" t="n">
        <x:v>9</x:v>
      </x:c>
      <x:c r="H411" s="22" t="str">
        <x:v>I-CUG</x:v>
      </x:c>
      <x:c r="I411" s="22" t="str">
        <x:v>Infrastructure Restoration</x:v>
      </x:c>
      <x:c r="J411" s="22" t="str">
        <x:v>Communications utility group</x:v>
      </x:c>
      <x:c r="K411" s="23" t="n">
        <x:v>8</x:v>
      </x:c>
      <x:c r="L411" s="23" t="n">
        <x:v>250</x:v>
      </x:c>
      <x:c r="M411" s="23" t="n">
        <x:v>0</x:v>
      </x:c>
      <x:c r="N411" s="20" t="n">
        <x:f>K411*L411</x:f>
        <x:v>2000</x:v>
      </x:c>
      <x:c r="O411" s="19" t="n">
        <x:v>12000</x:v>
      </x:c>
      <x:c r="P411" s="17" t="n">
        <x:v>0.4</x:v>
      </x:c>
      <x:c r="Q411" s="20" t="n">
        <x:f>K411*O411*P411</x:f>
        <x:v>38400</x:v>
      </x:c>
      <x:c r="R411" s="20" t="n">
        <x:f>Q411*(1-'01 Controls'!$E$6)</x:f>
        <x:v>28800</x:v>
      </x:c>
      <x:c r="S411" s="19" t="n">
        <x:v>110</x:v>
      </x:c>
      <x:c r="T411" s="20" t="n">
        <x:f>K411*S411</x:f>
        <x:v>880</x:v>
      </x:c>
      <x:c r="U411" s="18" t="n">
        <x:f>'01 Controls'!E40</x:f>
        <x:v>0.15</x:v>
      </x:c>
      <x:c r="V411" s="20" t="n">
        <x:f>R411*U411</x:f>
        <x:v>4320</x:v>
      </x:c>
      <x:c r="W411" s="18" t="n">
        <x:f>'01 Controls'!F40</x:f>
        <x:v>0.85</x:v>
      </x:c>
      <x:c r="X411" s="20" t="n">
        <x:f>R411*W411</x:f>
        <x:v>24480</x:v>
      </x:c>
      <x:c r="Y411" s="18" t="n">
        <x:f>'01 Controls'!G40</x:f>
        <x:v>0</x:v>
      </x:c>
      <x:c r="Z411" s="20" t="n">
        <x:f>R411*Y411</x:f>
        <x:v>0</x:v>
      </x:c>
      <x:c r="AA411" s="18" t="n">
        <x:f>'01 Controls'!H40</x:f>
        <x:v>0</x:v>
      </x:c>
      <x:c r="AB411" s="20" t="n">
        <x:f>R411*AA411</x:f>
        <x:v>0</x:v>
      </x:c>
      <x:c r="AC411" s="20" t="n">
        <x:f>IF(H411="CM-HCG",K411*'01 Controls'!$E$24,0)</x:f>
        <x:v>0</x:v>
      </x:c>
      <x:c r="AD411" s="20" t="n">
        <x:f>IF(H411="CM-HCG",K411*'01 Controls'!$E$25,0)</x:f>
        <x:v>0</x:v>
      </x:c>
      <x:c r="AE411" s="20" t="n">
        <x:f>IF(H411="CM-HCG",K411*'01 Controls'!$E$26,0)</x:f>
        <x:v>0</x:v>
      </x:c>
      <x:c r="AF411" s="20" t="n">
        <x:f>IF(H411="CM-HCG",K411*'01 Controls'!$E$27,0)</x:f>
        <x:v>0</x:v>
      </x:c>
    </x:row>
    <x:row r="412">
      <x:c r="C412" s="22" t="str">
        <x:v>G1-I-TSG</x:v>
      </x:c>
      <x:c r="D412" s="22" t="n">
        <x:v>407</x:v>
      </x:c>
      <x:c r="E412" s="22" t="str">
        <x:v>G1</x:v>
      </x:c>
      <x:c r="F412" s="22" t="str">
        <x:v>Allied megacity earthquake</x:v>
      </x:c>
      <x:c r="G412" s="22" t="n">
        <x:v>9</x:v>
      </x:c>
      <x:c r="H412" s="22" t="str">
        <x:v>I-TSG</x:v>
      </x:c>
      <x:c r="I412" s="22" t="str">
        <x:v>Infrastructure Restoration</x:v>
      </x:c>
      <x:c r="J412" s="22" t="str">
        <x:v>Thermal safety group</x:v>
      </x:c>
      <x:c r="K412" s="23" t="n">
        <x:v>6</x:v>
      </x:c>
      <x:c r="L412" s="23" t="n">
        <x:v>250</x:v>
      </x:c>
      <x:c r="M412" s="23" t="n">
        <x:v>0</x:v>
      </x:c>
      <x:c r="N412" s="20" t="n">
        <x:f>K412*L412</x:f>
        <x:v>1500</x:v>
      </x:c>
      <x:c r="O412" s="19" t="n">
        <x:v>12000</x:v>
      </x:c>
      <x:c r="P412" s="17" t="n">
        <x:v>0.4</x:v>
      </x:c>
      <x:c r="Q412" s="20" t="n">
        <x:f>K412*O412*P412</x:f>
        <x:v>28800</x:v>
      </x:c>
      <x:c r="R412" s="20" t="n">
        <x:f>Q412*(1-'01 Controls'!$E$6)</x:f>
        <x:v>21600</x:v>
      </x:c>
      <x:c r="S412" s="19" t="n">
        <x:v>110</x:v>
      </x:c>
      <x:c r="T412" s="20" t="n">
        <x:f>K412*S412</x:f>
        <x:v>660</x:v>
      </x:c>
      <x:c r="U412" s="18" t="n">
        <x:f>'01 Controls'!E40</x:f>
        <x:v>0.15</x:v>
      </x:c>
      <x:c r="V412" s="20" t="n">
        <x:f>R412*U412</x:f>
        <x:v>3240</x:v>
      </x:c>
      <x:c r="W412" s="18" t="n">
        <x:f>'01 Controls'!F40</x:f>
        <x:v>0.85</x:v>
      </x:c>
      <x:c r="X412" s="20" t="n">
        <x:f>R412*W412</x:f>
        <x:v>18360</x:v>
      </x:c>
      <x:c r="Y412" s="18" t="n">
        <x:f>'01 Controls'!G40</x:f>
        <x:v>0</x:v>
      </x:c>
      <x:c r="Z412" s="20" t="n">
        <x:f>R412*Y412</x:f>
        <x:v>0</x:v>
      </x:c>
      <x:c r="AA412" s="18" t="n">
        <x:f>'01 Controls'!H40</x:f>
        <x:v>0</x:v>
      </x:c>
      <x:c r="AB412" s="20" t="n">
        <x:f>R412*AA412</x:f>
        <x:v>0</x:v>
      </x:c>
      <x:c r="AC412" s="20" t="n">
        <x:f>IF(H412="CM-HCG",K412*'01 Controls'!$E$24,0)</x:f>
        <x:v>0</x:v>
      </x:c>
      <x:c r="AD412" s="20" t="n">
        <x:f>IF(H412="CM-HCG",K412*'01 Controls'!$E$25,0)</x:f>
        <x:v>0</x:v>
      </x:c>
      <x:c r="AE412" s="20" t="n">
        <x:f>IF(H412="CM-HCG",K412*'01 Controls'!$E$26,0)</x:f>
        <x:v>0</x:v>
      </x:c>
      <x:c r="AF412" s="20" t="n">
        <x:f>IF(H412="CM-HCG",K412*'01 Controls'!$E$27,0)</x:f>
        <x:v>0</x:v>
      </x:c>
    </x:row>
    <x:row r="413">
      <x:c r="C413" s="22" t="str">
        <x:v>G1-I-URG</x:v>
      </x:c>
      <x:c r="D413" s="22" t="n">
        <x:v>408</x:v>
      </x:c>
      <x:c r="E413" s="22" t="str">
        <x:v>G1</x:v>
      </x:c>
      <x:c r="F413" s="22" t="str">
        <x:v>Allied megacity earthquake</x:v>
      </x:c>
      <x:c r="G413" s="22" t="n">
        <x:v>9</x:v>
      </x:c>
      <x:c r="H413" s="22" t="str">
        <x:v>I-URG</x:v>
      </x:c>
      <x:c r="I413" s="22" t="str">
        <x:v>Infrastructure Restoration</x:v>
      </x:c>
      <x:c r="J413" s="22" t="str">
        <x:v>Utility reconstruction group</x:v>
      </x:c>
      <x:c r="K413" s="23" t="n">
        <x:v>10</x:v>
      </x:c>
      <x:c r="L413" s="23" t="n">
        <x:v>450</x:v>
      </x:c>
      <x:c r="M413" s="23" t="n">
        <x:v>0</x:v>
      </x:c>
      <x:c r="N413" s="20" t="n">
        <x:f>K413*L413</x:f>
        <x:v>4500</x:v>
      </x:c>
      <x:c r="O413" s="19" t="n">
        <x:v>12000</x:v>
      </x:c>
      <x:c r="P413" s="17" t="n">
        <x:v>0.4</x:v>
      </x:c>
      <x:c r="Q413" s="20" t="n">
        <x:f>K413*O413*P413</x:f>
        <x:v>48000</x:v>
      </x:c>
      <x:c r="R413" s="20" t="n">
        <x:f>Q413*(1-'01 Controls'!$E$6)</x:f>
        <x:v>36000</x:v>
      </x:c>
      <x:c r="S413" s="19" t="n">
        <x:v>110</x:v>
      </x:c>
      <x:c r="T413" s="20" t="n">
        <x:f>K413*S413</x:f>
        <x:v>1100</x:v>
      </x:c>
      <x:c r="U413" s="18" t="n">
        <x:f>'01 Controls'!E40</x:f>
        <x:v>0.15</x:v>
      </x:c>
      <x:c r="V413" s="20" t="n">
        <x:f>R413*U413</x:f>
        <x:v>5400</x:v>
      </x:c>
      <x:c r="W413" s="18" t="n">
        <x:f>'01 Controls'!F40</x:f>
        <x:v>0.85</x:v>
      </x:c>
      <x:c r="X413" s="20" t="n">
        <x:f>R413*W413</x:f>
        <x:v>30600</x:v>
      </x:c>
      <x:c r="Y413" s="18" t="n">
        <x:f>'01 Controls'!G40</x:f>
        <x:v>0</x:v>
      </x:c>
      <x:c r="Z413" s="20" t="n">
        <x:f>R413*Y413</x:f>
        <x:v>0</x:v>
      </x:c>
      <x:c r="AA413" s="18" t="n">
        <x:f>'01 Controls'!H40</x:f>
        <x:v>0</x:v>
      </x:c>
      <x:c r="AB413" s="20" t="n">
        <x:f>R413*AA413</x:f>
        <x:v>0</x:v>
      </x:c>
      <x:c r="AC413" s="20" t="n">
        <x:f>IF(H413="CM-HCG",K413*'01 Controls'!$E$24,0)</x:f>
        <x:v>0</x:v>
      </x:c>
      <x:c r="AD413" s="20" t="n">
        <x:f>IF(H413="CM-HCG",K413*'01 Controls'!$E$25,0)</x:f>
        <x:v>0</x:v>
      </x:c>
      <x:c r="AE413" s="20" t="n">
        <x:f>IF(H413="CM-HCG",K413*'01 Controls'!$E$26,0)</x:f>
        <x:v>0</x:v>
      </x:c>
      <x:c r="AF413" s="20" t="n">
        <x:f>IF(H413="CM-HCG",K413*'01 Controls'!$E$27,0)</x:f>
        <x:v>0</x:v>
      </x:c>
    </x:row>
    <x:row r="414">
      <x:c r="C414" s="22" t="str">
        <x:v>G1-H-CHC</x:v>
      </x:c>
      <x:c r="D414" s="22" t="n">
        <x:v>409</x:v>
      </x:c>
      <x:c r="E414" s="22" t="str">
        <x:v>G1</x:v>
      </x:c>
      <x:c r="F414" s="22" t="str">
        <x:v>Allied megacity earthquake</x:v>
      </x:c>
      <x:c r="G414" s="22" t="n">
        <x:v>9</x:v>
      </x:c>
      <x:c r="H414" s="22" t="str">
        <x:v>H-CHC</x:v>
      </x:c>
      <x:c r="I414" s="22" t="str">
        <x:v>Health Protection</x:v>
      </x:c>
      <x:c r="J414" s="22" t="str">
        <x:v>Community health continuity group</x:v>
      </x:c>
      <x:c r="K414" s="23" t="n">
        <x:v>10</x:v>
      </x:c>
      <x:c r="L414" s="23" t="n">
        <x:v>500</x:v>
      </x:c>
      <x:c r="M414" s="23" t="n">
        <x:v>0</x:v>
      </x:c>
      <x:c r="N414" s="20" t="n">
        <x:f>K414*L414</x:f>
        <x:v>5000</x:v>
      </x:c>
      <x:c r="O414" s="19" t="n">
        <x:v>5000</x:v>
      </x:c>
      <x:c r="P414" s="17" t="n">
        <x:v>0.7</x:v>
      </x:c>
      <x:c r="Q414" s="20" t="n">
        <x:f>K414*O414*P414</x:f>
        <x:v>35000</x:v>
      </x:c>
      <x:c r="R414" s="20" t="n">
        <x:f>Q414*(1-'01 Controls'!$E$6)</x:f>
        <x:v>26250</x:v>
      </x:c>
      <x:c r="S414" s="19" t="n">
        <x:v>55</x:v>
      </x:c>
      <x:c r="T414" s="20" t="n">
        <x:f>K414*S414</x:f>
        <x:v>550</x:v>
      </x:c>
      <x:c r="U414" s="18" t="n">
        <x:f>'01 Controls'!E40</x:f>
        <x:v>0.15</x:v>
      </x:c>
      <x:c r="V414" s="20" t="n">
        <x:f>R414*U414</x:f>
        <x:v>3937.5</x:v>
      </x:c>
      <x:c r="W414" s="18" t="n">
        <x:f>'01 Controls'!F40</x:f>
        <x:v>0.85</x:v>
      </x:c>
      <x:c r="X414" s="20" t="n">
        <x:f>R414*W414</x:f>
        <x:v>22312.5</x:v>
      </x:c>
      <x:c r="Y414" s="18" t="n">
        <x:f>'01 Controls'!G40</x:f>
        <x:v>0</x:v>
      </x:c>
      <x:c r="Z414" s="20" t="n">
        <x:f>R414*Y414</x:f>
        <x:v>0</x:v>
      </x:c>
      <x:c r="AA414" s="18" t="n">
        <x:f>'01 Controls'!H40</x:f>
        <x:v>0</x:v>
      </x:c>
      <x:c r="AB414" s="20" t="n">
        <x:f>R414*AA414</x:f>
        <x:v>0</x:v>
      </x:c>
      <x:c r="AC414" s="20" t="n">
        <x:f>IF(H414="CM-HCG",K414*'01 Controls'!$E$24,0)</x:f>
        <x:v>0</x:v>
      </x:c>
      <x:c r="AD414" s="20" t="n">
        <x:f>IF(H414="CM-HCG",K414*'01 Controls'!$E$25,0)</x:f>
        <x:v>0</x:v>
      </x:c>
      <x:c r="AE414" s="20" t="n">
        <x:f>IF(H414="CM-HCG",K414*'01 Controls'!$E$26,0)</x:f>
        <x:v>0</x:v>
      </x:c>
      <x:c r="AF414" s="20" t="n">
        <x:f>IF(H414="CM-HCG",K414*'01 Controls'!$E$27,0)</x:f>
        <x:v>0</x:v>
      </x:c>
    </x:row>
    <x:row r="415">
      <x:c r="C415" s="22" t="str">
        <x:v>G1-H-MAC</x:v>
      </x:c>
      <x:c r="D415" s="22" t="n">
        <x:v>410</x:v>
      </x:c>
      <x:c r="E415" s="22" t="str">
        <x:v>G1</x:v>
      </x:c>
      <x:c r="F415" s="22" t="str">
        <x:v>Allied megacity earthquake</x:v>
      </x:c>
      <x:c r="G415" s="22" t="n">
        <x:v>9</x:v>
      </x:c>
      <x:c r="H415" s="22" t="str">
        <x:v>H-MAC</x:v>
      </x:c>
      <x:c r="I415" s="22" t="str">
        <x:v>Health Protection</x:v>
      </x:c>
      <x:c r="J415" s="22" t="str">
        <x:v>Mobile acute-care group</x:v>
      </x:c>
      <x:c r="K415" s="23" t="n">
        <x:v>8</x:v>
      </x:c>
      <x:c r="L415" s="23" t="n">
        <x:v>600</x:v>
      </x:c>
      <x:c r="M415" s="23" t="n">
        <x:v>0</x:v>
      </x:c>
      <x:c r="N415" s="20" t="n">
        <x:f>K415*L415</x:f>
        <x:v>4800</x:v>
      </x:c>
      <x:c r="O415" s="19" t="n">
        <x:v>5000</x:v>
      </x:c>
      <x:c r="P415" s="17" t="n">
        <x:v>0.7</x:v>
      </x:c>
      <x:c r="Q415" s="20" t="n">
        <x:f>K415*O415*P415</x:f>
        <x:v>28000</x:v>
      </x:c>
      <x:c r="R415" s="20" t="n">
        <x:f>Q415*(1-'01 Controls'!$E$6)</x:f>
        <x:v>21000</x:v>
      </x:c>
      <x:c r="S415" s="19" t="n">
        <x:v>55</x:v>
      </x:c>
      <x:c r="T415" s="20" t="n">
        <x:f>K415*S415</x:f>
        <x:v>440</x:v>
      </x:c>
      <x:c r="U415" s="18" t="n">
        <x:f>'01 Controls'!E40</x:f>
        <x:v>0.15</x:v>
      </x:c>
      <x:c r="V415" s="20" t="n">
        <x:f>R415*U415</x:f>
        <x:v>3150</x:v>
      </x:c>
      <x:c r="W415" s="18" t="n">
        <x:f>'01 Controls'!F40</x:f>
        <x:v>0.85</x:v>
      </x:c>
      <x:c r="X415" s="20" t="n">
        <x:f>R415*W415</x:f>
        <x:v>17850</x:v>
      </x:c>
      <x:c r="Y415" s="18" t="n">
        <x:f>'01 Controls'!G40</x:f>
        <x:v>0</x:v>
      </x:c>
      <x:c r="Z415" s="20" t="n">
        <x:f>R415*Y415</x:f>
        <x:v>0</x:v>
      </x:c>
      <x:c r="AA415" s="18" t="n">
        <x:f>'01 Controls'!H40</x:f>
        <x:v>0</x:v>
      </x:c>
      <x:c r="AB415" s="20" t="n">
        <x:f>R415*AA415</x:f>
        <x:v>0</x:v>
      </x:c>
      <x:c r="AC415" s="20" t="n">
        <x:f>IF(H415="CM-HCG",K415*'01 Controls'!$E$24,0)</x:f>
        <x:v>0</x:v>
      </x:c>
      <x:c r="AD415" s="20" t="n">
        <x:f>IF(H415="CM-HCG",K415*'01 Controls'!$E$25,0)</x:f>
        <x:v>0</x:v>
      </x:c>
      <x:c r="AE415" s="20" t="n">
        <x:f>IF(H415="CM-HCG",K415*'01 Controls'!$E$26,0)</x:f>
        <x:v>0</x:v>
      </x:c>
      <x:c r="AF415" s="20" t="n">
        <x:f>IF(H415="CM-HCG",K415*'01 Controls'!$E$27,0)</x:f>
        <x:v>0</x:v>
      </x:c>
    </x:row>
    <x:row r="416">
      <x:c r="C416" s="22" t="str">
        <x:v>G1-H-PHC</x:v>
      </x:c>
      <x:c r="D416" s="22" t="n">
        <x:v>411</x:v>
      </x:c>
      <x:c r="E416" s="22" t="str">
        <x:v>G1</x:v>
      </x:c>
      <x:c r="F416" s="22" t="str">
        <x:v>Allied megacity earthquake</x:v>
      </x:c>
      <x:c r="G416" s="22" t="n">
        <x:v>9</x:v>
      </x:c>
      <x:c r="H416" s="22" t="str">
        <x:v>H-PHC</x:v>
      </x:c>
      <x:c r="I416" s="22" t="str">
        <x:v>Health Protection</x:v>
      </x:c>
      <x:c r="J416" s="22" t="str">
        <x:v>Public-health control group</x:v>
      </x:c>
      <x:c r="K416" s="23" t="n">
        <x:v>6</x:v>
      </x:c>
      <x:c r="L416" s="23" t="n">
        <x:v>250</x:v>
      </x:c>
      <x:c r="M416" s="23" t="n">
        <x:v>0</x:v>
      </x:c>
      <x:c r="N416" s="20" t="n">
        <x:f>K416*L416</x:f>
        <x:v>1500</x:v>
      </x:c>
      <x:c r="O416" s="19" t="n">
        <x:v>5000</x:v>
      </x:c>
      <x:c r="P416" s="17" t="n">
        <x:v>0.7</x:v>
      </x:c>
      <x:c r="Q416" s="20" t="n">
        <x:f>K416*O416*P416</x:f>
        <x:v>21000</x:v>
      </x:c>
      <x:c r="R416" s="20" t="n">
        <x:f>Q416*(1-'01 Controls'!$E$6)</x:f>
        <x:v>15750</x:v>
      </x:c>
      <x:c r="S416" s="19" t="n">
        <x:v>55</x:v>
      </x:c>
      <x:c r="T416" s="20" t="n">
        <x:f>K416*S416</x:f>
        <x:v>330</x:v>
      </x:c>
      <x:c r="U416" s="18" t="n">
        <x:f>'01 Controls'!E40</x:f>
        <x:v>0.15</x:v>
      </x:c>
      <x:c r="V416" s="20" t="n">
        <x:f>R416*U416</x:f>
        <x:v>2362.5</x:v>
      </x:c>
      <x:c r="W416" s="18" t="n">
        <x:f>'01 Controls'!F40</x:f>
        <x:v>0.85</x:v>
      </x:c>
      <x:c r="X416" s="20" t="n">
        <x:f>R416*W416</x:f>
        <x:v>13387.5</x:v>
      </x:c>
      <x:c r="Y416" s="18" t="n">
        <x:f>'01 Controls'!G40</x:f>
        <x:v>0</x:v>
      </x:c>
      <x:c r="Z416" s="20" t="n">
        <x:f>R416*Y416</x:f>
        <x:v>0</x:v>
      </x:c>
      <x:c r="AA416" s="18" t="n">
        <x:f>'01 Controls'!H40</x:f>
        <x:v>0</x:v>
      </x:c>
      <x:c r="AB416" s="20" t="n">
        <x:f>R416*AA416</x:f>
        <x:v>0</x:v>
      </x:c>
      <x:c r="AC416" s="20" t="n">
        <x:f>IF(H416="CM-HCG",K416*'01 Controls'!$E$24,0)</x:f>
        <x:v>0</x:v>
      </x:c>
      <x:c r="AD416" s="20" t="n">
        <x:f>IF(H416="CM-HCG",K416*'01 Controls'!$E$25,0)</x:f>
        <x:v>0</x:v>
      </x:c>
      <x:c r="AE416" s="20" t="n">
        <x:f>IF(H416="CM-HCG",K416*'01 Controls'!$E$26,0)</x:f>
        <x:v>0</x:v>
      </x:c>
      <x:c r="AF416" s="20" t="n">
        <x:f>IF(H416="CM-HCG",K416*'01 Controls'!$E$27,0)</x:f>
        <x:v>0</x:v>
      </x:c>
    </x:row>
    <x:row r="417">
      <x:c r="C417" s="22" t="str">
        <x:v>G1-H-HWR</x:v>
      </x:c>
      <x:c r="D417" s="22" t="n">
        <x:v>412</x:v>
      </x:c>
      <x:c r="E417" s="22" t="str">
        <x:v>G1</x:v>
      </x:c>
      <x:c r="F417" s="22" t="str">
        <x:v>Allied megacity earthquake</x:v>
      </x:c>
      <x:c r="G417" s="22" t="n">
        <x:v>9</x:v>
      </x:c>
      <x:c r="H417" s="22" t="str">
        <x:v>H-HWR</x:v>
      </x:c>
      <x:c r="I417" s="22" t="str">
        <x:v>Health Protection</x:v>
      </x:c>
      <x:c r="J417" s="22" t="str">
        <x:v>Health workforce replacement group</x:v>
      </x:c>
      <x:c r="K417" s="23" t="n">
        <x:v>10</x:v>
      </x:c>
      <x:c r="L417" s="23" t="n">
        <x:v>550</x:v>
      </x:c>
      <x:c r="M417" s="23" t="n">
        <x:v>0</x:v>
      </x:c>
      <x:c r="N417" s="20" t="n">
        <x:f>K417*L417</x:f>
        <x:v>5500</x:v>
      </x:c>
      <x:c r="O417" s="19" t="n">
        <x:v>5000</x:v>
      </x:c>
      <x:c r="P417" s="17" t="n">
        <x:v>0.7</x:v>
      </x:c>
      <x:c r="Q417" s="20" t="n">
        <x:f>K417*O417*P417</x:f>
        <x:v>35000</x:v>
      </x:c>
      <x:c r="R417" s="20" t="n">
        <x:f>Q417*(1-'01 Controls'!$E$6)</x:f>
        <x:v>26250</x:v>
      </x:c>
      <x:c r="S417" s="19" t="n">
        <x:v>55</x:v>
      </x:c>
      <x:c r="T417" s="20" t="n">
        <x:f>K417*S417</x:f>
        <x:v>550</x:v>
      </x:c>
      <x:c r="U417" s="18" t="n">
        <x:f>'01 Controls'!E40</x:f>
        <x:v>0.15</x:v>
      </x:c>
      <x:c r="V417" s="20" t="n">
        <x:f>R417*U417</x:f>
        <x:v>3937.5</x:v>
      </x:c>
      <x:c r="W417" s="18" t="n">
        <x:f>'01 Controls'!F40</x:f>
        <x:v>0.85</x:v>
      </x:c>
      <x:c r="X417" s="20" t="n">
        <x:f>R417*W417</x:f>
        <x:v>22312.5</x:v>
      </x:c>
      <x:c r="Y417" s="18" t="n">
        <x:f>'01 Controls'!G40</x:f>
        <x:v>0</x:v>
      </x:c>
      <x:c r="Z417" s="20" t="n">
        <x:f>R417*Y417</x:f>
        <x:v>0</x:v>
      </x:c>
      <x:c r="AA417" s="18" t="n">
        <x:f>'01 Controls'!H40</x:f>
        <x:v>0</x:v>
      </x:c>
      <x:c r="AB417" s="20" t="n">
        <x:f>R417*AA417</x:f>
        <x:v>0</x:v>
      </x:c>
      <x:c r="AC417" s="20" t="n">
        <x:f>IF(H417="CM-HCG",K417*'01 Controls'!$E$24,0)</x:f>
        <x:v>0</x:v>
      </x:c>
      <x:c r="AD417" s="20" t="n">
        <x:f>IF(H417="CM-HCG",K417*'01 Controls'!$E$25,0)</x:f>
        <x:v>0</x:v>
      </x:c>
      <x:c r="AE417" s="20" t="n">
        <x:f>IF(H417="CM-HCG",K417*'01 Controls'!$E$26,0)</x:f>
        <x:v>0</x:v>
      </x:c>
      <x:c r="AF417" s="20" t="n">
        <x:f>IF(H417="CM-HCG",K417*'01 Controls'!$E$27,0)</x:f>
        <x:v>0</x:v>
      </x:c>
    </x:row>
    <x:row r="418">
      <x:c r="C418" s="22" t="str">
        <x:v>G1-C-PSG</x:v>
      </x:c>
      <x:c r="D418" s="22" t="n">
        <x:v>413</x:v>
      </x:c>
      <x:c r="E418" s="22" t="str">
        <x:v>G1</x:v>
      </x:c>
      <x:c r="F418" s="22" t="str">
        <x:v>Allied megacity earthquake</x:v>
      </x:c>
      <x:c r="G418" s="22" t="n">
        <x:v>9</x:v>
      </x:c>
      <x:c r="H418" s="22" t="str">
        <x:v>C-PSG</x:v>
      </x:c>
      <x:c r="I418" s="22" t="str">
        <x:v>Community Stabilization</x:v>
      </x:c>
      <x:c r="J418" s="22" t="str">
        <x:v>Population support group</x:v>
      </x:c>
      <x:c r="K418" s="23" t="n">
        <x:v>14</x:v>
      </x:c>
      <x:c r="L418" s="23" t="n">
        <x:v>450</x:v>
      </x:c>
      <x:c r="M418" s="23" t="n">
        <x:v>0</x:v>
      </x:c>
      <x:c r="N418" s="20" t="n">
        <x:f>K418*L418</x:f>
        <x:v>6300</x:v>
      </x:c>
      <x:c r="O418" s="19" t="n">
        <x:v>4500</x:v>
      </x:c>
      <x:c r="P418" s="17" t="n">
        <x:v>0.65</x:v>
      </x:c>
      <x:c r="Q418" s="20" t="n">
        <x:f>K418*O418*P418</x:f>
        <x:v>40950</x:v>
      </x:c>
      <x:c r="R418" s="20" t="n">
        <x:f>Q418*(1-'01 Controls'!$E$6)</x:f>
        <x:v>30712.5</x:v>
      </x:c>
      <x:c r="S418" s="19" t="n">
        <x:v>75</x:v>
      </x:c>
      <x:c r="T418" s="20" t="n">
        <x:f>K418*S418</x:f>
        <x:v>1050</x:v>
      </x:c>
      <x:c r="U418" s="18" t="n">
        <x:f>'01 Controls'!E40</x:f>
        <x:v>0.15</x:v>
      </x:c>
      <x:c r="V418" s="20" t="n">
        <x:f>R418*U418</x:f>
        <x:v>4606.875</x:v>
      </x:c>
      <x:c r="W418" s="18" t="n">
        <x:f>'01 Controls'!F40</x:f>
        <x:v>0.85</x:v>
      </x:c>
      <x:c r="X418" s="20" t="n">
        <x:f>R418*W418</x:f>
        <x:v>26105.625</x:v>
      </x:c>
      <x:c r="Y418" s="18" t="n">
        <x:f>'01 Controls'!G40</x:f>
        <x:v>0</x:v>
      </x:c>
      <x:c r="Z418" s="20" t="n">
        <x:f>R418*Y418</x:f>
        <x:v>0</x:v>
      </x:c>
      <x:c r="AA418" s="18" t="n">
        <x:f>'01 Controls'!H40</x:f>
        <x:v>0</x:v>
      </x:c>
      <x:c r="AB418" s="20" t="n">
        <x:f>R418*AA418</x:f>
        <x:v>0</x:v>
      </x:c>
      <x:c r="AC418" s="20" t="n">
        <x:f>IF(H418="CM-HCG",K418*'01 Controls'!$E$24,0)</x:f>
        <x:v>0</x:v>
      </x:c>
      <x:c r="AD418" s="20" t="n">
        <x:f>IF(H418="CM-HCG",K418*'01 Controls'!$E$25,0)</x:f>
        <x:v>0</x:v>
      </x:c>
      <x:c r="AE418" s="20" t="n">
        <x:f>IF(H418="CM-HCG",K418*'01 Controls'!$E$26,0)</x:f>
        <x:v>0</x:v>
      </x:c>
      <x:c r="AF418" s="20" t="n">
        <x:f>IF(H418="CM-HCG",K418*'01 Controls'!$E$27,0)</x:f>
        <x:v>0</x:v>
      </x:c>
    </x:row>
    <x:row r="419">
      <x:c r="C419" s="22" t="str">
        <x:v>G1-C-EGG</x:v>
      </x:c>
      <x:c r="D419" s="22" t="n">
        <x:v>414</x:v>
      </x:c>
      <x:c r="E419" s="22" t="str">
        <x:v>G1</x:v>
      </x:c>
      <x:c r="F419" s="22" t="str">
        <x:v>Allied megacity earthquake</x:v>
      </x:c>
      <x:c r="G419" s="22" t="n">
        <x:v>9</x:v>
      </x:c>
      <x:c r="H419" s="22" t="str">
        <x:v>C-EGG</x:v>
      </x:c>
      <x:c r="I419" s="22" t="str">
        <x:v>Community Stabilization</x:v>
      </x:c>
      <x:c r="J419" s="22" t="str">
        <x:v>Essential-goods group</x:v>
      </x:c>
      <x:c r="K419" s="23" t="n">
        <x:v>14</x:v>
      </x:c>
      <x:c r="L419" s="23" t="n">
        <x:v>350</x:v>
      </x:c>
      <x:c r="M419" s="23" t="n">
        <x:v>0</x:v>
      </x:c>
      <x:c r="N419" s="20" t="n">
        <x:f>K419*L419</x:f>
        <x:v>4900</x:v>
      </x:c>
      <x:c r="O419" s="19" t="n">
        <x:v>4500</x:v>
      </x:c>
      <x:c r="P419" s="17" t="n">
        <x:v>0.65</x:v>
      </x:c>
      <x:c r="Q419" s="20" t="n">
        <x:f>K419*O419*P419</x:f>
        <x:v>40950</x:v>
      </x:c>
      <x:c r="R419" s="20" t="n">
        <x:f>Q419*(1-'01 Controls'!$E$6)</x:f>
        <x:v>30712.5</x:v>
      </x:c>
      <x:c r="S419" s="19" t="n">
        <x:v>75</x:v>
      </x:c>
      <x:c r="T419" s="20" t="n">
        <x:f>K419*S419</x:f>
        <x:v>1050</x:v>
      </x:c>
      <x:c r="U419" s="18" t="n">
        <x:f>'01 Controls'!E40</x:f>
        <x:v>0.15</x:v>
      </x:c>
      <x:c r="V419" s="20" t="n">
        <x:f>R419*U419</x:f>
        <x:v>4606.875</x:v>
      </x:c>
      <x:c r="W419" s="18" t="n">
        <x:f>'01 Controls'!F40</x:f>
        <x:v>0.85</x:v>
      </x:c>
      <x:c r="X419" s="20" t="n">
        <x:f>R419*W419</x:f>
        <x:v>26105.625</x:v>
      </x:c>
      <x:c r="Y419" s="18" t="n">
        <x:f>'01 Controls'!G40</x:f>
        <x:v>0</x:v>
      </x:c>
      <x:c r="Z419" s="20" t="n">
        <x:f>R419*Y419</x:f>
        <x:v>0</x:v>
      </x:c>
      <x:c r="AA419" s="18" t="n">
        <x:f>'01 Controls'!H40</x:f>
        <x:v>0</x:v>
      </x:c>
      <x:c r="AB419" s="20" t="n">
        <x:f>R419*AA419</x:f>
        <x:v>0</x:v>
      </x:c>
      <x:c r="AC419" s="20" t="n">
        <x:f>IF(H419="CM-HCG",K419*'01 Controls'!$E$24,0)</x:f>
        <x:v>0</x:v>
      </x:c>
      <x:c r="AD419" s="20" t="n">
        <x:f>IF(H419="CM-HCG",K419*'01 Controls'!$E$25,0)</x:f>
        <x:v>0</x:v>
      </x:c>
      <x:c r="AE419" s="20" t="n">
        <x:f>IF(H419="CM-HCG",K419*'01 Controls'!$E$26,0)</x:f>
        <x:v>0</x:v>
      </x:c>
      <x:c r="AF419" s="20" t="n">
        <x:f>IF(H419="CM-HCG",K419*'01 Controls'!$E$27,0)</x:f>
        <x:v>0</x:v>
      </x:c>
    </x:row>
    <x:row r="420">
      <x:c r="C420" s="22" t="str">
        <x:v>G1-C-CAG</x:v>
      </x:c>
      <x:c r="D420" s="22" t="n">
        <x:v>415</x:v>
      </x:c>
      <x:c r="E420" s="22" t="str">
        <x:v>G1</x:v>
      </x:c>
      <x:c r="F420" s="22" t="str">
        <x:v>Allied megacity earthquake</x:v>
      </x:c>
      <x:c r="G420" s="22" t="n">
        <x:v>9</x:v>
      </x:c>
      <x:c r="H420" s="22" t="str">
        <x:v>C-CAG</x:v>
      </x:c>
      <x:c r="I420" s="22" t="str">
        <x:v>Community Stabilization</x:v>
      </x:c>
      <x:c r="J420" s="22" t="str">
        <x:v>Civil access group</x:v>
      </x:c>
      <x:c r="K420" s="23" t="n">
        <x:v>10</x:v>
      </x:c>
      <x:c r="L420" s="23" t="n">
        <x:v>180</x:v>
      </x:c>
      <x:c r="M420" s="23" t="n">
        <x:v>0</x:v>
      </x:c>
      <x:c r="N420" s="20" t="n">
        <x:f>K420*L420</x:f>
        <x:v>1800</x:v>
      </x:c>
      <x:c r="O420" s="19" t="n">
        <x:v>4500</x:v>
      </x:c>
      <x:c r="P420" s="17" t="n">
        <x:v>0.65</x:v>
      </x:c>
      <x:c r="Q420" s="20" t="n">
        <x:f>K420*O420*P420</x:f>
        <x:v>29250</x:v>
      </x:c>
      <x:c r="R420" s="20" t="n">
        <x:f>Q420*(1-'01 Controls'!$E$6)</x:f>
        <x:v>21937.5</x:v>
      </x:c>
      <x:c r="S420" s="19" t="n">
        <x:v>75</x:v>
      </x:c>
      <x:c r="T420" s="20" t="n">
        <x:f>K420*S420</x:f>
        <x:v>750</x:v>
      </x:c>
      <x:c r="U420" s="18" t="n">
        <x:f>'01 Controls'!E40</x:f>
        <x:v>0.15</x:v>
      </x:c>
      <x:c r="V420" s="20" t="n">
        <x:f>R420*U420</x:f>
        <x:v>3290.625</x:v>
      </x:c>
      <x:c r="W420" s="18" t="n">
        <x:f>'01 Controls'!F40</x:f>
        <x:v>0.85</x:v>
      </x:c>
      <x:c r="X420" s="20" t="n">
        <x:f>R420*W420</x:f>
        <x:v>18646.875</x:v>
      </x:c>
      <x:c r="Y420" s="18" t="n">
        <x:f>'01 Controls'!G40</x:f>
        <x:v>0</x:v>
      </x:c>
      <x:c r="Z420" s="20" t="n">
        <x:f>R420*Y420</x:f>
        <x:v>0</x:v>
      </x:c>
      <x:c r="AA420" s="18" t="n">
        <x:f>'01 Controls'!H40</x:f>
        <x:v>0</x:v>
      </x:c>
      <x:c r="AB420" s="20" t="n">
        <x:f>R420*AA420</x:f>
        <x:v>0</x:v>
      </x:c>
      <x:c r="AC420" s="20" t="n">
        <x:f>IF(H420="CM-HCG",K420*'01 Controls'!$E$24,0)</x:f>
        <x:v>0</x:v>
      </x:c>
      <x:c r="AD420" s="20" t="n">
        <x:f>IF(H420="CM-HCG",K420*'01 Controls'!$E$25,0)</x:f>
        <x:v>0</x:v>
      </x:c>
      <x:c r="AE420" s="20" t="n">
        <x:f>IF(H420="CM-HCG",K420*'01 Controls'!$E$26,0)</x:f>
        <x:v>0</x:v>
      </x:c>
      <x:c r="AF420" s="20" t="n">
        <x:f>IF(H420="CM-HCG",K420*'01 Controls'!$E$27,0)</x:f>
        <x:v>0</x:v>
      </x:c>
    </x:row>
    <x:row r="421">
      <x:c r="C421" s="22" t="str">
        <x:v>G1-C-DTG</x:v>
      </x:c>
      <x:c r="D421" s="22" t="n">
        <x:v>416</x:v>
      </x:c>
      <x:c r="E421" s="22" t="str">
        <x:v>G1</x:v>
      </x:c>
      <x:c r="F421" s="22" t="str">
        <x:v>Allied megacity earthquake</x:v>
      </x:c>
      <x:c r="G421" s="22" t="n">
        <x:v>9</x:v>
      </x:c>
      <x:c r="H421" s="22" t="str">
        <x:v>C-DTG</x:v>
      </x:c>
      <x:c r="I421" s="22" t="str">
        <x:v>Community Stabilization</x:v>
      </x:c>
      <x:c r="J421" s="22" t="str">
        <x:v>Displacement transition group</x:v>
      </x:c>
      <x:c r="K421" s="23" t="n">
        <x:v>10</x:v>
      </x:c>
      <x:c r="L421" s="23" t="n">
        <x:v>300</x:v>
      </x:c>
      <x:c r="M421" s="23" t="n">
        <x:v>0</x:v>
      </x:c>
      <x:c r="N421" s="20" t="n">
        <x:f>K421*L421</x:f>
        <x:v>3000</x:v>
      </x:c>
      <x:c r="O421" s="19" t="n">
        <x:v>4500</x:v>
      </x:c>
      <x:c r="P421" s="17" t="n">
        <x:v>0.65</x:v>
      </x:c>
      <x:c r="Q421" s="20" t="n">
        <x:f>K421*O421*P421</x:f>
        <x:v>29250</x:v>
      </x:c>
      <x:c r="R421" s="20" t="n">
        <x:f>Q421*(1-'01 Controls'!$E$6)</x:f>
        <x:v>21937.5</x:v>
      </x:c>
      <x:c r="S421" s="19" t="n">
        <x:v>75</x:v>
      </x:c>
      <x:c r="T421" s="20" t="n">
        <x:f>K421*S421</x:f>
        <x:v>750</x:v>
      </x:c>
      <x:c r="U421" s="18" t="n">
        <x:f>'01 Controls'!E40</x:f>
        <x:v>0.15</x:v>
      </x:c>
      <x:c r="V421" s="20" t="n">
        <x:f>R421*U421</x:f>
        <x:v>3290.625</x:v>
      </x:c>
      <x:c r="W421" s="18" t="n">
        <x:f>'01 Controls'!F40</x:f>
        <x:v>0.85</x:v>
      </x:c>
      <x:c r="X421" s="20" t="n">
        <x:f>R421*W421</x:f>
        <x:v>18646.875</x:v>
      </x:c>
      <x:c r="Y421" s="18" t="n">
        <x:f>'01 Controls'!G40</x:f>
        <x:v>0</x:v>
      </x:c>
      <x:c r="Z421" s="20" t="n">
        <x:f>R421*Y421</x:f>
        <x:v>0</x:v>
      </x:c>
      <x:c r="AA421" s="18" t="n">
        <x:f>'01 Controls'!H40</x:f>
        <x:v>0</x:v>
      </x:c>
      <x:c r="AB421" s="20" t="n">
        <x:f>R421*AA421</x:f>
        <x:v>0</x:v>
      </x:c>
      <x:c r="AC421" s="20" t="n">
        <x:f>IF(H421="CM-HCG",K421*'01 Controls'!$E$24,0)</x:f>
        <x:v>0</x:v>
      </x:c>
      <x:c r="AD421" s="20" t="n">
        <x:f>IF(H421="CM-HCG",K421*'01 Controls'!$E$25,0)</x:f>
        <x:v>0</x:v>
      </x:c>
      <x:c r="AE421" s="20" t="n">
        <x:f>IF(H421="CM-HCG",K421*'01 Controls'!$E$26,0)</x:f>
        <x:v>0</x:v>
      </x:c>
      <x:c r="AF421" s="20" t="n">
        <x:f>IF(H421="CM-HCG",K421*'01 Controls'!$E$27,0)</x:f>
        <x:v>0</x:v>
      </x:c>
    </x:row>
    <x:row r="422">
      <x:c r="C422" s="22" t="str">
        <x:v>G1-C-CIG</x:v>
      </x:c>
      <x:c r="D422" s="22" t="n">
        <x:v>417</x:v>
      </x:c>
      <x:c r="E422" s="22" t="str">
        <x:v>G1</x:v>
      </x:c>
      <x:c r="F422" s="22" t="str">
        <x:v>Allied megacity earthquake</x:v>
      </x:c>
      <x:c r="G422" s="22" t="n">
        <x:v>9</x:v>
      </x:c>
      <x:c r="H422" s="22" t="str">
        <x:v>C-CIG</x:v>
      </x:c>
      <x:c r="I422" s="22" t="str">
        <x:v>Community Stabilization</x:v>
      </x:c>
      <x:c r="J422" s="22" t="str">
        <x:v>Community institutions group</x:v>
      </x:c>
      <x:c r="K422" s="23" t="n">
        <x:v>8</x:v>
      </x:c>
      <x:c r="L422" s="23" t="n">
        <x:v>250</x:v>
      </x:c>
      <x:c r="M422" s="23" t="n">
        <x:v>0</x:v>
      </x:c>
      <x:c r="N422" s="20" t="n">
        <x:f>K422*L422</x:f>
        <x:v>2000</x:v>
      </x:c>
      <x:c r="O422" s="19" t="n">
        <x:v>4500</x:v>
      </x:c>
      <x:c r="P422" s="17" t="n">
        <x:v>0.65</x:v>
      </x:c>
      <x:c r="Q422" s="20" t="n">
        <x:f>K422*O422*P422</x:f>
        <x:v>23400</x:v>
      </x:c>
      <x:c r="R422" s="20" t="n">
        <x:f>Q422*(1-'01 Controls'!$E$6)</x:f>
        <x:v>17550</x:v>
      </x:c>
      <x:c r="S422" s="19" t="n">
        <x:v>75</x:v>
      </x:c>
      <x:c r="T422" s="20" t="n">
        <x:f>K422*S422</x:f>
        <x:v>600</x:v>
      </x:c>
      <x:c r="U422" s="18" t="n">
        <x:f>'01 Controls'!E40</x:f>
        <x:v>0.15</x:v>
      </x:c>
      <x:c r="V422" s="20" t="n">
        <x:f>R422*U422</x:f>
        <x:v>2632.5</x:v>
      </x:c>
      <x:c r="W422" s="18" t="n">
        <x:f>'01 Controls'!F40</x:f>
        <x:v>0.85</x:v>
      </x:c>
      <x:c r="X422" s="20" t="n">
        <x:f>R422*W422</x:f>
        <x:v>14917.5</x:v>
      </x:c>
      <x:c r="Y422" s="18" t="n">
        <x:f>'01 Controls'!G40</x:f>
        <x:v>0</x:v>
      </x:c>
      <x:c r="Z422" s="20" t="n">
        <x:f>R422*Y422</x:f>
        <x:v>0</x:v>
      </x:c>
      <x:c r="AA422" s="18" t="n">
        <x:f>'01 Controls'!H40</x:f>
        <x:v>0</x:v>
      </x:c>
      <x:c r="AB422" s="20" t="n">
        <x:f>R422*AA422</x:f>
        <x:v>0</x:v>
      </x:c>
      <x:c r="AC422" s="20" t="n">
        <x:f>IF(H422="CM-HCG",K422*'01 Controls'!$E$24,0)</x:f>
        <x:v>0</x:v>
      </x:c>
      <x:c r="AD422" s="20" t="n">
        <x:f>IF(H422="CM-HCG",K422*'01 Controls'!$E$25,0)</x:f>
        <x:v>0</x:v>
      </x:c>
      <x:c r="AE422" s="20" t="n">
        <x:f>IF(H422="CM-HCG",K422*'01 Controls'!$E$26,0)</x:f>
        <x:v>0</x:v>
      </x:c>
      <x:c r="AF422" s="20" t="n">
        <x:f>IF(H422="CM-HCG",K422*'01 Controls'!$E$27,0)</x:f>
        <x:v>0</x:v>
      </x:c>
    </x:row>
    <x:row r="423">
      <x:c r="C423" s="22" t="str">
        <x:v>G1-J-RIG</x:v>
      </x:c>
      <x:c r="D423" s="22" t="n">
        <x:v>418</x:v>
      </x:c>
      <x:c r="E423" s="22" t="str">
        <x:v>G1</x:v>
      </x:c>
      <x:c r="F423" s="22" t="str">
        <x:v>Allied megacity earthquake</x:v>
      </x:c>
      <x:c r="G423" s="22" t="n">
        <x:v>9</x:v>
      </x:c>
      <x:c r="H423" s="22" t="str">
        <x:v>J-RIG</x:v>
      </x:c>
      <x:c r="I423" s="22" t="str">
        <x:v>Joint</x:v>
      </x:c>
      <x:c r="J423" s="22" t="str">
        <x:v>Resilience information group</x:v>
      </x:c>
      <x:c r="K423" s="23" t="n">
        <x:v>8</x:v>
      </x:c>
      <x:c r="L423" s="23" t="n">
        <x:v>420</x:v>
      </x:c>
      <x:c r="M423" s="23" t="n">
        <x:v>60</x:v>
      </x:c>
      <x:c r="N423" s="20" t="n">
        <x:f>K423*L423</x:f>
        <x:v>3360</x:v>
      </x:c>
      <x:c r="O423" s="19" t="n">
        <x:v>2800</x:v>
      </x:c>
      <x:c r="P423" s="17" t="n">
        <x:v>0.65</x:v>
      </x:c>
      <x:c r="Q423" s="20" t="n">
        <x:f>K423*O423*P423</x:f>
        <x:v>14560</x:v>
      </x:c>
      <x:c r="R423" s="20" t="n">
        <x:f>Q423*(1-'01 Controls'!$E$6)</x:f>
        <x:v>10920</x:v>
      </x:c>
      <x:c r="S423" s="19" t="n">
        <x:v>35</x:v>
      </x:c>
      <x:c r="T423" s="20" t="n">
        <x:f>K423*S423</x:f>
        <x:v>280</x:v>
      </x:c>
      <x:c r="U423" s="18" t="n">
        <x:f>'01 Controls'!E40</x:f>
        <x:v>0.15</x:v>
      </x:c>
      <x:c r="V423" s="20" t="n">
        <x:f>R423*U423</x:f>
        <x:v>1638</x:v>
      </x:c>
      <x:c r="W423" s="18" t="n">
        <x:f>'01 Controls'!F40</x:f>
        <x:v>0.85</x:v>
      </x:c>
      <x:c r="X423" s="20" t="n">
        <x:f>R423*W423</x:f>
        <x:v>9282</x:v>
      </x:c>
      <x:c r="Y423" s="18" t="n">
        <x:f>'01 Controls'!G40</x:f>
        <x:v>0</x:v>
      </x:c>
      <x:c r="Z423" s="20" t="n">
        <x:f>R423*Y423</x:f>
        <x:v>0</x:v>
      </x:c>
      <x:c r="AA423" s="18" t="n">
        <x:f>'01 Controls'!H40</x:f>
        <x:v>0</x:v>
      </x:c>
      <x:c r="AB423" s="20" t="n">
        <x:f>R423*AA423</x:f>
        <x:v>0</x:v>
      </x:c>
      <x:c r="AC423" s="20" t="n">
        <x:f>IF(H423="CM-HCG",K423*'01 Controls'!$E$24,0)</x:f>
        <x:v>0</x:v>
      </x:c>
      <x:c r="AD423" s="20" t="n">
        <x:f>IF(H423="CM-HCG",K423*'01 Controls'!$E$25,0)</x:f>
        <x:v>0</x:v>
      </x:c>
      <x:c r="AE423" s="20" t="n">
        <x:f>IF(H423="CM-HCG",K423*'01 Controls'!$E$26,0)</x:f>
        <x:v>0</x:v>
      </x:c>
      <x:c r="AF423" s="20" t="n">
        <x:f>IF(H423="CM-HCG",K423*'01 Controls'!$E$27,0)</x:f>
        <x:v>0</x:v>
      </x:c>
    </x:row>
    <x:row r="424">
      <x:c r="C424" s="22" t="str">
        <x:v>G1-M-MPG</x:v>
      </x:c>
      <x:c r="D424" s="22" t="n">
        <x:v>419</x:v>
      </x:c>
      <x:c r="E424" s="22" t="str">
        <x:v>G1</x:v>
      </x:c>
      <x:c r="F424" s="22" t="str">
        <x:v>Allied megacity earthquake</x:v>
      </x:c>
      <x:c r="G424" s="22" t="n">
        <x:v>9</x:v>
      </x:c>
      <x:c r="H424" s="22" t="str">
        <x:v>M-MPG</x:v>
      </x:c>
      <x:c r="I424" s="22" t="str">
        <x:v>Maritime Response</x:v>
      </x:c>
      <x:c r="J424" s="22" t="str">
        <x:v>Maritime production group</x:v>
      </x:c>
      <x:c r="K424" s="23" t="n">
        <x:v>4</x:v>
      </x:c>
      <x:c r="L424" s="23" t="n">
        <x:v>1100</x:v>
      </x:c>
      <x:c r="M424" s="23" t="n">
        <x:v>200</x:v>
      </x:c>
      <x:c r="N424" s="20" t="n">
        <x:f>K424*L424</x:f>
        <x:v>4400</x:v>
      </x:c>
      <x:c r="O424" s="19" t="n">
        <x:v>28000</x:v>
      </x:c>
      <x:c r="P424" s="17" t="n">
        <x:v>0.35</x:v>
      </x:c>
      <x:c r="Q424" s="20" t="n">
        <x:f>K424*O424*P424</x:f>
        <x:v>39200</x:v>
      </x:c>
      <x:c r="R424" s="20" t="n">
        <x:f>Q424*(1-'01 Controls'!$E$6)</x:f>
        <x:v>29400</x:v>
      </x:c>
      <x:c r="S424" s="19" t="n">
        <x:v>50</x:v>
      </x:c>
      <x:c r="T424" s="20" t="n">
        <x:f>K424*S424</x:f>
        <x:v>200</x:v>
      </x:c>
      <x:c r="U424" s="18" t="n">
        <x:f>'01 Controls'!E40</x:f>
        <x:v>0.15</x:v>
      </x:c>
      <x:c r="V424" s="20" t="n">
        <x:f>R424*U424</x:f>
        <x:v>4410</x:v>
      </x:c>
      <x:c r="W424" s="18" t="n">
        <x:f>'01 Controls'!F40</x:f>
        <x:v>0.85</x:v>
      </x:c>
      <x:c r="X424" s="20" t="n">
        <x:f>R424*W424</x:f>
        <x:v>24990</x:v>
      </x:c>
      <x:c r="Y424" s="18" t="n">
        <x:f>'01 Controls'!G40</x:f>
        <x:v>0</x:v>
      </x:c>
      <x:c r="Z424" s="20" t="n">
        <x:f>R424*Y424</x:f>
        <x:v>0</x:v>
      </x:c>
      <x:c r="AA424" s="18" t="n">
        <x:f>'01 Controls'!H40</x:f>
        <x:v>0</x:v>
      </x:c>
      <x:c r="AB424" s="20" t="n">
        <x:f>R424*AA424</x:f>
        <x:v>0</x:v>
      </x:c>
      <x:c r="AC424" s="20" t="n">
        <x:f>IF(H424="CM-HCG",K424*'01 Controls'!$E$24,0)</x:f>
        <x:v>0</x:v>
      </x:c>
      <x:c r="AD424" s="20" t="n">
        <x:f>IF(H424="CM-HCG",K424*'01 Controls'!$E$25,0)</x:f>
        <x:v>0</x:v>
      </x:c>
      <x:c r="AE424" s="20" t="n">
        <x:f>IF(H424="CM-HCG",K424*'01 Controls'!$E$26,0)</x:f>
        <x:v>0</x:v>
      </x:c>
      <x:c r="AF424" s="20" t="n">
        <x:f>IF(H424="CM-HCG",K424*'01 Controls'!$E$27,0)</x:f>
        <x:v>0</x:v>
      </x:c>
    </x:row>
    <x:row r="425">
      <x:c r="C425" s="22" t="str">
        <x:v>G1-I-WRG</x:v>
      </x:c>
      <x:c r="D425" s="22" t="n">
        <x:v>420</x:v>
      </x:c>
      <x:c r="E425" s="22" t="str">
        <x:v>G1</x:v>
      </x:c>
      <x:c r="F425" s="22" t="str">
        <x:v>Allied megacity earthquake</x:v>
      </x:c>
      <x:c r="G425" s="22" t="n">
        <x:v>9</x:v>
      </x:c>
      <x:c r="H425" s="22" t="str">
        <x:v>I-WRG</x:v>
      </x:c>
      <x:c r="I425" s="22" t="str">
        <x:v>Infrastructure Restoration</x:v>
      </x:c>
      <x:c r="J425" s="22" t="str">
        <x:v>Water restoration group</x:v>
      </x:c>
      <x:c r="K425" s="23" t="n">
        <x:v>8</x:v>
      </x:c>
      <x:c r="L425" s="23" t="n">
        <x:v>2720</x:v>
      </x:c>
      <x:c r="M425" s="23" t="n">
        <x:v>600</x:v>
      </x:c>
      <x:c r="N425" s="20" t="n">
        <x:f>K425*L425</x:f>
        <x:v>21760</x:v>
      </x:c>
      <x:c r="O425" s="19" t="n">
        <x:v>23516</x:v>
      </x:c>
      <x:c r="P425" s="17" t="n">
        <x:v>0.4</x:v>
      </x:c>
      <x:c r="Q425" s="20" t="n">
        <x:f>K425*O425*P425</x:f>
        <x:v>75251.2</x:v>
      </x:c>
      <x:c r="R425" s="20" t="n">
        <x:f>Q425*(1-'01 Controls'!$E$6)</x:f>
        <x:v>56438.399999999994</x:v>
      </x:c>
      <x:c r="S425" s="19" t="n">
        <x:v>65</x:v>
      </x:c>
      <x:c r="T425" s="20" t="n">
        <x:f>K425*S425</x:f>
        <x:v>520</x:v>
      </x:c>
      <x:c r="U425" s="18" t="n">
        <x:f>'01 Controls'!E40</x:f>
        <x:v>0.15</x:v>
      </x:c>
      <x:c r="V425" s="20" t="n">
        <x:f>R425*U425</x:f>
        <x:v>8465.759999999998</x:v>
      </x:c>
      <x:c r="W425" s="18" t="n">
        <x:f>'01 Controls'!F40</x:f>
        <x:v>0.85</x:v>
      </x:c>
      <x:c r="X425" s="20" t="n">
        <x:f>R425*W425</x:f>
        <x:v>47972.63999999999</x:v>
      </x:c>
      <x:c r="Y425" s="18" t="n">
        <x:f>'01 Controls'!G40</x:f>
        <x:v>0</x:v>
      </x:c>
      <x:c r="Z425" s="20" t="n">
        <x:f>R425*Y425</x:f>
        <x:v>0</x:v>
      </x:c>
      <x:c r="AA425" s="18" t="n">
        <x:f>'01 Controls'!H40</x:f>
        <x:v>0</x:v>
      </x:c>
      <x:c r="AB425" s="20" t="n">
        <x:f>R425*AA425</x:f>
        <x:v>0</x:v>
      </x:c>
      <x:c r="AC425" s="20" t="n">
        <x:f>IF(H425="CM-HCG",K425*'01 Controls'!$E$24,0)</x:f>
        <x:v>0</x:v>
      </x:c>
      <x:c r="AD425" s="20" t="n">
        <x:f>IF(H425="CM-HCG",K425*'01 Controls'!$E$25,0)</x:f>
        <x:v>0</x:v>
      </x:c>
      <x:c r="AE425" s="20" t="n">
        <x:f>IF(H425="CM-HCG",K425*'01 Controls'!$E$26,0)</x:f>
        <x:v>0</x:v>
      </x:c>
      <x:c r="AF425" s="20" t="n">
        <x:f>IF(H425="CM-HCG",K425*'01 Controls'!$E$27,0)</x:f>
        <x:v>0</x:v>
      </x:c>
    </x:row>
    <x:row r="426">
      <x:c r="C426" s="22" t="str">
        <x:v>G1-I-PRG</x:v>
      </x:c>
      <x:c r="D426" s="22" t="n">
        <x:v>421</x:v>
      </x:c>
      <x:c r="E426" s="22" t="str">
        <x:v>G1</x:v>
      </x:c>
      <x:c r="F426" s="22" t="str">
        <x:v>Allied megacity earthquake</x:v>
      </x:c>
      <x:c r="G426" s="22" t="n">
        <x:v>9</x:v>
      </x:c>
      <x:c r="H426" s="22" t="str">
        <x:v>I-PRG</x:v>
      </x:c>
      <x:c r="I426" s="22" t="str">
        <x:v>Infrastructure Restoration</x:v>
      </x:c>
      <x:c r="J426" s="22" t="str">
        <x:v>Power restoration group</x:v>
      </x:c>
      <x:c r="K426" s="23" t="n">
        <x:v>8</x:v>
      </x:c>
      <x:c r="L426" s="23" t="n">
        <x:v>2796</x:v>
      </x:c>
      <x:c r="M426" s="23" t="n">
        <x:v>596</x:v>
      </x:c>
      <x:c r="N426" s="20" t="n">
        <x:f>K426*L426</x:f>
        <x:v>22368</x:v>
      </x:c>
      <x:c r="O426" s="19" t="n">
        <x:v>18332</x:v>
      </x:c>
      <x:c r="P426" s="17" t="n">
        <x:v>0.4</x:v>
      </x:c>
      <x:c r="Q426" s="20" t="n">
        <x:f>K426*O426*P426</x:f>
        <x:v>58662.4</x:v>
      </x:c>
      <x:c r="R426" s="20" t="n">
        <x:f>Q426*(1-'01 Controls'!$E$6)</x:f>
        <x:v>43996.8</x:v>
      </x:c>
      <x:c r="S426" s="19" t="n">
        <x:v>80</x:v>
      </x:c>
      <x:c r="T426" s="20" t="n">
        <x:f>K426*S426</x:f>
        <x:v>640</x:v>
      </x:c>
      <x:c r="U426" s="18" t="n">
        <x:f>'01 Controls'!E40</x:f>
        <x:v>0.15</x:v>
      </x:c>
      <x:c r="V426" s="20" t="n">
        <x:f>R426*U426</x:f>
        <x:v>6599.52</x:v>
      </x:c>
      <x:c r="W426" s="18" t="n">
        <x:f>'01 Controls'!F40</x:f>
        <x:v>0.85</x:v>
      </x:c>
      <x:c r="X426" s="20" t="n">
        <x:f>R426*W426</x:f>
        <x:v>37397.28</x:v>
      </x:c>
      <x:c r="Y426" s="18" t="n">
        <x:f>'01 Controls'!G40</x:f>
        <x:v>0</x:v>
      </x:c>
      <x:c r="Z426" s="20" t="n">
        <x:f>R426*Y426</x:f>
        <x:v>0</x:v>
      </x:c>
      <x:c r="AA426" s="18" t="n">
        <x:f>'01 Controls'!H40</x:f>
        <x:v>0</x:v>
      </x:c>
      <x:c r="AB426" s="20" t="n">
        <x:f>R426*AA426</x:f>
        <x:v>0</x:v>
      </x:c>
      <x:c r="AC426" s="20" t="n">
        <x:f>IF(H426="CM-HCG",K426*'01 Controls'!$E$24,0)</x:f>
        <x:v>0</x:v>
      </x:c>
      <x:c r="AD426" s="20" t="n">
        <x:f>IF(H426="CM-HCG",K426*'01 Controls'!$E$25,0)</x:f>
        <x:v>0</x:v>
      </x:c>
      <x:c r="AE426" s="20" t="n">
        <x:f>IF(H426="CM-HCG",K426*'01 Controls'!$E$26,0)</x:f>
        <x:v>0</x:v>
      </x:c>
      <x:c r="AF426" s="20" t="n">
        <x:f>IF(H426="CM-HCG",K426*'01 Controls'!$E$27,0)</x:f>
        <x:v>0</x:v>
      </x:c>
    </x:row>
    <x:row r="427">
      <x:c r="C427" s="22" t="str">
        <x:v>G1-I-GBG</x:v>
      </x:c>
      <x:c r="D427" s="22" t="n">
        <x:v>422</x:v>
      </x:c>
      <x:c r="E427" s="22" t="str">
        <x:v>G1</x:v>
      </x:c>
      <x:c r="F427" s="22" t="str">
        <x:v>Allied megacity earthquake</x:v>
      </x:c>
      <x:c r="G427" s="22" t="n">
        <x:v>9</x:v>
      </x:c>
      <x:c r="H427" s="22" t="str">
        <x:v>I-GBG</x:v>
      </x:c>
      <x:c r="I427" s="22" t="str">
        <x:v>Infrastructure Restoration</x:v>
      </x:c>
      <x:c r="J427" s="22" t="str">
        <x:v>Grid bridge group</x:v>
      </x:c>
      <x:c r="K427" s="23" t="n">
        <x:v>6</x:v>
      </x:c>
      <x:c r="L427" s="23" t="n">
        <x:v>1800</x:v>
      </x:c>
      <x:c r="M427" s="23" t="n">
        <x:v>400</x:v>
      </x:c>
      <x:c r="N427" s="20" t="n">
        <x:f>K427*L427</x:f>
        <x:v>10800</x:v>
      </x:c>
      <x:c r="O427" s="19" t="n">
        <x:v>15000</x:v>
      </x:c>
      <x:c r="P427" s="17" t="n">
        <x:v>0.4</x:v>
      </x:c>
      <x:c r="Q427" s="20" t="n">
        <x:f>K427*O427*P427</x:f>
        <x:v>36000</x:v>
      </x:c>
      <x:c r="R427" s="20" t="n">
        <x:f>Q427*(1-'01 Controls'!$E$6)</x:f>
        <x:v>27000</x:v>
      </x:c>
      <x:c r="S427" s="19" t="n">
        <x:v>55</x:v>
      </x:c>
      <x:c r="T427" s="20" t="n">
        <x:f>K427*S427</x:f>
        <x:v>330</x:v>
      </x:c>
      <x:c r="U427" s="18" t="n">
        <x:f>'01 Controls'!E40</x:f>
        <x:v>0.15</x:v>
      </x:c>
      <x:c r="V427" s="20" t="n">
        <x:f>R427*U427</x:f>
        <x:v>4050</x:v>
      </x:c>
      <x:c r="W427" s="18" t="n">
        <x:f>'01 Controls'!F40</x:f>
        <x:v>0.85</x:v>
      </x:c>
      <x:c r="X427" s="20" t="n">
        <x:f>R427*W427</x:f>
        <x:v>22950</x:v>
      </x:c>
      <x:c r="Y427" s="18" t="n">
        <x:f>'01 Controls'!G40</x:f>
        <x:v>0</x:v>
      </x:c>
      <x:c r="Z427" s="20" t="n">
        <x:f>R427*Y427</x:f>
        <x:v>0</x:v>
      </x:c>
      <x:c r="AA427" s="18" t="n">
        <x:f>'01 Controls'!H40</x:f>
        <x:v>0</x:v>
      </x:c>
      <x:c r="AB427" s="20" t="n">
        <x:f>R427*AA427</x:f>
        <x:v>0</x:v>
      </x:c>
      <x:c r="AC427" s="20" t="n">
        <x:f>IF(H427="CM-HCG",K427*'01 Controls'!$E$24,0)</x:f>
        <x:v>0</x:v>
      </x:c>
      <x:c r="AD427" s="20" t="n">
        <x:f>IF(H427="CM-HCG",K427*'01 Controls'!$E$25,0)</x:f>
        <x:v>0</x:v>
      </x:c>
      <x:c r="AE427" s="20" t="n">
        <x:f>IF(H427="CM-HCG",K427*'01 Controls'!$E$26,0)</x:f>
        <x:v>0</x:v>
      </x:c>
      <x:c r="AF427" s="20" t="n">
        <x:f>IF(H427="CM-HCG",K427*'01 Controls'!$E$27,0)</x:f>
        <x:v>0</x:v>
      </x:c>
    </x:row>
    <x:row r="428">
      <x:c r="C428" s="22" t="str">
        <x:v>G1-H-THC</x:v>
      </x:c>
      <x:c r="D428" s="22" t="n">
        <x:v>423</x:v>
      </x:c>
      <x:c r="E428" s="22" t="str">
        <x:v>G1</x:v>
      </x:c>
      <x:c r="F428" s="22" t="str">
        <x:v>Allied megacity earthquake</x:v>
      </x:c>
      <x:c r="G428" s="22" t="n">
        <x:v>9</x:v>
      </x:c>
      <x:c r="H428" s="22" t="str">
        <x:v>H-THC</x:v>
      </x:c>
      <x:c r="I428" s="22" t="str">
        <x:v>Health Protection</x:v>
      </x:c>
      <x:c r="J428" s="22" t="str">
        <x:v>Theater hospital command</x:v>
      </x:c>
      <x:c r="K428" s="23" t="n">
        <x:v>4</x:v>
      </x:c>
      <x:c r="L428" s="23" t="n">
        <x:v>900</x:v>
      </x:c>
      <x:c r="M428" s="23" t="n">
        <x:v>0</x:v>
      </x:c>
      <x:c r="N428" s="20" t="n">
        <x:f>K428*L428</x:f>
        <x:v>3600</x:v>
      </x:c>
      <x:c r="O428" s="19" t="n">
        <x:v>3500</x:v>
      </x:c>
      <x:c r="P428" s="17" t="n">
        <x:v>0.7</x:v>
      </x:c>
      <x:c r="Q428" s="20" t="n">
        <x:f>K428*O428*P428</x:f>
        <x:v>9800</x:v>
      </x:c>
      <x:c r="R428" s="20" t="n">
        <x:f>Q428*(1-'01 Controls'!$E$6)</x:f>
        <x:v>7350</x:v>
      </x:c>
      <x:c r="S428" s="19" t="n">
        <x:v>30</x:v>
      </x:c>
      <x:c r="T428" s="20" t="n">
        <x:f>K428*S428</x:f>
        <x:v>120</x:v>
      </x:c>
      <x:c r="U428" s="18" t="n">
        <x:f>'01 Controls'!E40</x:f>
        <x:v>0.15</x:v>
      </x:c>
      <x:c r="V428" s="20" t="n">
        <x:f>R428*U428</x:f>
        <x:v>1102.5</x:v>
      </x:c>
      <x:c r="W428" s="18" t="n">
        <x:f>'01 Controls'!F40</x:f>
        <x:v>0.85</x:v>
      </x:c>
      <x:c r="X428" s="20" t="n">
        <x:f>R428*W428</x:f>
        <x:v>6247.5</x:v>
      </x:c>
      <x:c r="Y428" s="18" t="n">
        <x:f>'01 Controls'!G40</x:f>
        <x:v>0</x:v>
      </x:c>
      <x:c r="Z428" s="20" t="n">
        <x:f>R428*Y428</x:f>
        <x:v>0</x:v>
      </x:c>
      <x:c r="AA428" s="18" t="n">
        <x:f>'01 Controls'!H40</x:f>
        <x:v>0</x:v>
      </x:c>
      <x:c r="AB428" s="20" t="n">
        <x:f>R428*AA428</x:f>
        <x:v>0</x:v>
      </x:c>
      <x:c r="AC428" s="20" t="n">
        <x:f>IF(H428="CM-HCG",K428*'01 Controls'!$E$24,0)</x:f>
        <x:v>0</x:v>
      </x:c>
      <x:c r="AD428" s="20" t="n">
        <x:f>IF(H428="CM-HCG",K428*'01 Controls'!$E$25,0)</x:f>
        <x:v>0</x:v>
      </x:c>
      <x:c r="AE428" s="20" t="n">
        <x:f>IF(H428="CM-HCG",K428*'01 Controls'!$E$26,0)</x:f>
        <x:v>0</x:v>
      </x:c>
      <x:c r="AF428" s="20" t="n">
        <x:f>IF(H428="CM-HCG",K428*'01 Controls'!$E$27,0)</x:f>
        <x:v>0</x:v>
      </x:c>
    </x:row>
    <x:row r="429">
      <x:c r="C429" s="22" t="str">
        <x:v>G1-H-PMG</x:v>
      </x:c>
      <x:c r="D429" s="22" t="n">
        <x:v>424</x:v>
      </x:c>
      <x:c r="E429" s="22" t="str">
        <x:v>G1</x:v>
      </x:c>
      <x:c r="F429" s="22" t="str">
        <x:v>Allied megacity earthquake</x:v>
      </x:c>
      <x:c r="G429" s="22" t="n">
        <x:v>9</x:v>
      </x:c>
      <x:c r="H429" s="22" t="str">
        <x:v>H-PMG</x:v>
      </x:c>
      <x:c r="I429" s="22" t="str">
        <x:v>Health Protection</x:v>
      </x:c>
      <x:c r="J429" s="22" t="str">
        <x:v>Patient movement group</x:v>
      </x:c>
      <x:c r="K429" s="23" t="n">
        <x:v>8</x:v>
      </x:c>
      <x:c r="L429" s="23" t="n">
        <x:v>650</x:v>
      </x:c>
      <x:c r="M429" s="23" t="n">
        <x:v>200</x:v>
      </x:c>
      <x:c r="N429" s="20" t="n">
        <x:f>K429*L429</x:f>
        <x:v>5200</x:v>
      </x:c>
      <x:c r="O429" s="19" t="n">
        <x:v>5500</x:v>
      </x:c>
      <x:c r="P429" s="17" t="n">
        <x:v>0.7</x:v>
      </x:c>
      <x:c r="Q429" s="20" t="n">
        <x:f>K429*O429*P429</x:f>
        <x:v>30799.999999999996</x:v>
      </x:c>
      <x:c r="R429" s="20" t="n">
        <x:f>Q429*(1-'01 Controls'!$E$6)</x:f>
        <x:v>23099.999999999996</x:v>
      </x:c>
      <x:c r="S429" s="19" t="n">
        <x:v>40</x:v>
      </x:c>
      <x:c r="T429" s="20" t="n">
        <x:f>K429*S429</x:f>
        <x:v>320</x:v>
      </x:c>
      <x:c r="U429" s="18" t="n">
        <x:f>'01 Controls'!E40</x:f>
        <x:v>0.15</x:v>
      </x:c>
      <x:c r="V429" s="20" t="n">
        <x:f>R429*U429</x:f>
        <x:v>3464.9999999999995</x:v>
      </x:c>
      <x:c r="W429" s="18" t="n">
        <x:f>'01 Controls'!F40</x:f>
        <x:v>0.85</x:v>
      </x:c>
      <x:c r="X429" s="20" t="n">
        <x:f>R429*W429</x:f>
        <x:v>19634.999999999996</x:v>
      </x:c>
      <x:c r="Y429" s="18" t="n">
        <x:f>'01 Controls'!G40</x:f>
        <x:v>0</x:v>
      </x:c>
      <x:c r="Z429" s="20" t="n">
        <x:f>R429*Y429</x:f>
        <x:v>0</x:v>
      </x:c>
      <x:c r="AA429" s="18" t="n">
        <x:f>'01 Controls'!H40</x:f>
        <x:v>0</x:v>
      </x:c>
      <x:c r="AB429" s="20" t="n">
        <x:f>R429*AA429</x:f>
        <x:v>0</x:v>
      </x:c>
      <x:c r="AC429" s="20" t="n">
        <x:f>IF(H429="CM-HCG",K429*'01 Controls'!$E$24,0)</x:f>
        <x:v>0</x:v>
      </x:c>
      <x:c r="AD429" s="20" t="n">
        <x:f>IF(H429="CM-HCG",K429*'01 Controls'!$E$25,0)</x:f>
        <x:v>0</x:v>
      </x:c>
      <x:c r="AE429" s="20" t="n">
        <x:f>IF(H429="CM-HCG",K429*'01 Controls'!$E$26,0)</x:f>
        <x:v>0</x:v>
      </x:c>
      <x:c r="AF429" s="20" t="n">
        <x:f>IF(H429="CM-HCG",K429*'01 Controls'!$E$27,0)</x:f>
        <x:v>0</x:v>
      </x:c>
    </x:row>
    <x:row r="430">
      <x:c r="C430" s="22" t="str">
        <x:v>G1-C-ERG</x:v>
      </x:c>
      <x:c r="D430" s="22" t="n">
        <x:v>425</x:v>
      </x:c>
      <x:c r="E430" s="22" t="str">
        <x:v>G1</x:v>
      </x:c>
      <x:c r="F430" s="22" t="str">
        <x:v>Allied megacity earthquake</x:v>
      </x:c>
      <x:c r="G430" s="22" t="n">
        <x:v>9</x:v>
      </x:c>
      <x:c r="H430" s="22" t="str">
        <x:v>C-ERG</x:v>
      </x:c>
      <x:c r="I430" s="22" t="str">
        <x:v>Community Stabilization</x:v>
      </x:c>
      <x:c r="J430" s="22" t="str">
        <x:v>Economic restart group</x:v>
      </x:c>
      <x:c r="K430" s="23" t="n">
        <x:v>8</x:v>
      </x:c>
      <x:c r="L430" s="23" t="n">
        <x:v>350</x:v>
      </x:c>
      <x:c r="M430" s="23" t="n">
        <x:v>0</x:v>
      </x:c>
      <x:c r="N430" s="20" t="n">
        <x:f>K430*L430</x:f>
        <x:v>2800</x:v>
      </x:c>
      <x:c r="O430" s="19" t="n">
        <x:v>2500</x:v>
      </x:c>
      <x:c r="P430" s="17" t="n">
        <x:v>0.65</x:v>
      </x:c>
      <x:c r="Q430" s="20" t="n">
        <x:f>K430*O430*P430</x:f>
        <x:v>13000</x:v>
      </x:c>
      <x:c r="R430" s="20" t="n">
        <x:f>Q430*(1-'01 Controls'!$E$6)</x:f>
        <x:v>9750</x:v>
      </x:c>
      <x:c r="S430" s="19" t="n">
        <x:v>30</x:v>
      </x:c>
      <x:c r="T430" s="20" t="n">
        <x:f>K430*S430</x:f>
        <x:v>240</x:v>
      </x:c>
      <x:c r="U430" s="18" t="n">
        <x:f>'01 Controls'!E40</x:f>
        <x:v>0.15</x:v>
      </x:c>
      <x:c r="V430" s="20" t="n">
        <x:f>R430*U430</x:f>
        <x:v>1462.5</x:v>
      </x:c>
      <x:c r="W430" s="18" t="n">
        <x:f>'01 Controls'!F40</x:f>
        <x:v>0.85</x:v>
      </x:c>
      <x:c r="X430" s="20" t="n">
        <x:f>R430*W430</x:f>
        <x:v>8287.5</x:v>
      </x:c>
      <x:c r="Y430" s="18" t="n">
        <x:f>'01 Controls'!G40</x:f>
        <x:v>0</x:v>
      </x:c>
      <x:c r="Z430" s="20" t="n">
        <x:f>R430*Y430</x:f>
        <x:v>0</x:v>
      </x:c>
      <x:c r="AA430" s="18" t="n">
        <x:f>'01 Controls'!H40</x:f>
        <x:v>0</x:v>
      </x:c>
      <x:c r="AB430" s="20" t="n">
        <x:f>R430*AA430</x:f>
        <x:v>0</x:v>
      </x:c>
      <x:c r="AC430" s="20" t="n">
        <x:f>IF(H430="CM-HCG",K430*'01 Controls'!$E$24,0)</x:f>
        <x:v>0</x:v>
      </x:c>
      <x:c r="AD430" s="20" t="n">
        <x:f>IF(H430="CM-HCG",K430*'01 Controls'!$E$25,0)</x:f>
        <x:v>0</x:v>
      </x:c>
      <x:c r="AE430" s="20" t="n">
        <x:f>IF(H430="CM-HCG",K430*'01 Controls'!$E$26,0)</x:f>
        <x:v>0</x:v>
      </x:c>
      <x:c r="AF430" s="20" t="n">
        <x:f>IF(H430="CM-HCG",K430*'01 Controls'!$E$27,0)</x:f>
        <x:v>0</x:v>
      </x:c>
    </x:row>
    <x:row r="431">
      <x:c r="C431" s="22" t="str">
        <x:v>G1-CM-HCG</x:v>
      </x:c>
      <x:c r="D431" s="22" t="n">
        <x:v>426</x:v>
      </x:c>
      <x:c r="E431" s="22" t="str">
        <x:v>G1</x:v>
      </x:c>
      <x:c r="F431" s="22" t="str">
        <x:v>Allied megacity earthquake</x:v>
      </x:c>
      <x:c r="G431" s="22" t="n">
        <x:v>9</x:v>
      </x:c>
      <x:c r="H431" s="22" t="str">
        <x:v>CM-HCG</x:v>
      </x:c>
      <x:c r="I431" s="22" t="str">
        <x:v>Civil Mobility and Continuity</x:v>
      </x:c>
      <x:c r="J431" s="22" t="str">
        <x:v>Household collection group</x:v>
      </x:c>
      <x:c r="K431" s="23" t="n">
        <x:v>10</x:v>
      </x:c>
      <x:c r="L431" s="23" t="n">
        <x:v>7587</x:v>
      </x:c>
      <x:c r="M431" s="23" t="n">
        <x:v>2000</x:v>
      </x:c>
      <x:c r="N431" s="20" t="n">
        <x:f>K431*L431</x:f>
        <x:v>75870</x:v>
      </x:c>
      <x:c r="O431" s="19" t="n">
        <x:v>6388</x:v>
      </x:c>
      <x:c r="P431" s="17" t="n">
        <x:v>0.7</x:v>
      </x:c>
      <x:c r="Q431" s="20" t="n">
        <x:f>K431*O431*P431</x:f>
        <x:v>44716</x:v>
      </x:c>
      <x:c r="R431" s="20" t="n">
        <x:f>Q431*(1-'01 Controls'!$E$6)</x:f>
        <x:v>33537</x:v>
      </x:c>
      <x:c r="S431" s="19" t="n">
        <x:v>45</x:v>
      </x:c>
      <x:c r="T431" s="20" t="n">
        <x:f>K431*S431</x:f>
        <x:v>450</x:v>
      </x:c>
      <x:c r="U431" s="18" t="n">
        <x:f>'01 Controls'!E40</x:f>
        <x:v>0.15</x:v>
      </x:c>
      <x:c r="V431" s="20" t="n">
        <x:f>R431*U431</x:f>
        <x:v>5030.55</x:v>
      </x:c>
      <x:c r="W431" s="18" t="n">
        <x:f>'01 Controls'!F40</x:f>
        <x:v>0.85</x:v>
      </x:c>
      <x:c r="X431" s="20" t="n">
        <x:f>R431*W431</x:f>
        <x:v>28506.45</x:v>
      </x:c>
      <x:c r="Y431" s="18" t="n">
        <x:f>'01 Controls'!G40</x:f>
        <x:v>0</x:v>
      </x:c>
      <x:c r="Z431" s="20" t="n">
        <x:f>R431*Y431</x:f>
        <x:v>0</x:v>
      </x:c>
      <x:c r="AA431" s="18" t="n">
        <x:f>'01 Controls'!H40</x:f>
        <x:v>0</x:v>
      </x:c>
      <x:c r="AB431" s="20" t="n">
        <x:f>R431*AA431</x:f>
        <x:v>0</x:v>
      </x:c>
      <x:c r="AC431" s="20" t="n">
        <x:f>IF(H431="CM-HCG",K431*'01 Controls'!$E$24,0)</x:f>
        <x:v>340</x:v>
      </x:c>
      <x:c r="AD431" s="20" t="n">
        <x:f>IF(H431="CM-HCG",K431*'01 Controls'!$E$25,0)</x:f>
        <x:v>70</x:v>
      </x:c>
      <x:c r="AE431" s="20" t="n">
        <x:f>IF(H431="CM-HCG",K431*'01 Controls'!$E$26,0)</x:f>
        <x:v>100</x:v>
      </x:c>
      <x:c r="AF431" s="20" t="n">
        <x:f>IF(H431="CM-HCG",K431*'01 Controls'!$E$27,0)</x:f>
        <x:v>90</x:v>
      </x:c>
    </x:row>
    <x:row r="432">
      <x:c r="C432" s="22" t="str">
        <x:v>G1-CM-CTN</x:v>
      </x:c>
      <x:c r="D432" s="22" t="n">
        <x:v>427</x:v>
      </x:c>
      <x:c r="E432" s="22" t="str">
        <x:v>G1</x:v>
      </x:c>
      <x:c r="F432" s="22" t="str">
        <x:v>Allied megacity earthquake</x:v>
      </x:c>
      <x:c r="G432" s="22" t="n">
        <x:v>9</x:v>
      </x:c>
      <x:c r="H432" s="22" t="str">
        <x:v>CM-CTN</x:v>
      </x:c>
      <x:c r="I432" s="22" t="str">
        <x:v>Civil Mobility and Continuity</x:v>
      </x:c>
      <x:c r="J432" s="22" t="str">
        <x:v>Continuity transfer-node group</x:v>
      </x:c>
      <x:c r="K432" s="23" t="n">
        <x:v>8</x:v>
      </x:c>
      <x:c r="L432" s="23" t="n">
        <x:v>2289</x:v>
      </x:c>
      <x:c r="M432" s="23" t="n">
        <x:v>489</x:v>
      </x:c>
      <x:c r="N432" s="20" t="n">
        <x:f>K432*L432</x:f>
        <x:v>18312</x:v>
      </x:c>
      <x:c r="O432" s="19" t="n">
        <x:v>4513</x:v>
      </x:c>
      <x:c r="P432" s="17" t="n">
        <x:v>0.7</x:v>
      </x:c>
      <x:c r="Q432" s="20" t="n">
        <x:f>K432*O432*P432</x:f>
        <x:v>25272.8</x:v>
      </x:c>
      <x:c r="R432" s="20" t="n">
        <x:f>Q432*(1-'01 Controls'!$E$6)</x:f>
        <x:v>18954.6</x:v>
      </x:c>
      <x:c r="S432" s="19" t="n">
        <x:v>35</x:v>
      </x:c>
      <x:c r="T432" s="20" t="n">
        <x:f>K432*S432</x:f>
        <x:v>280</x:v>
      </x:c>
      <x:c r="U432" s="18" t="n">
        <x:f>'01 Controls'!E40</x:f>
        <x:v>0.15</x:v>
      </x:c>
      <x:c r="V432" s="20" t="n">
        <x:f>R432*U432</x:f>
        <x:v>2843.1899999999996</x:v>
      </x:c>
      <x:c r="W432" s="18" t="n">
        <x:f>'01 Controls'!F40</x:f>
        <x:v>0.85</x:v>
      </x:c>
      <x:c r="X432" s="20" t="n">
        <x:f>R432*W432</x:f>
        <x:v>16111.409999999998</x:v>
      </x:c>
      <x:c r="Y432" s="18" t="n">
        <x:f>'01 Controls'!G40</x:f>
        <x:v>0</x:v>
      </x:c>
      <x:c r="Z432" s="20" t="n">
        <x:f>R432*Y432</x:f>
        <x:v>0</x:v>
      </x:c>
      <x:c r="AA432" s="18" t="n">
        <x:f>'01 Controls'!H40</x:f>
        <x:v>0</x:v>
      </x:c>
      <x:c r="AB432" s="20" t="n">
        <x:f>R432*AA432</x:f>
        <x:v>0</x:v>
      </x:c>
      <x:c r="AC432" s="20" t="n">
        <x:f>IF(H432="CM-HCG",K432*'01 Controls'!$E$24,0)</x:f>
        <x:v>0</x:v>
      </x:c>
      <x:c r="AD432" s="20" t="n">
        <x:f>IF(H432="CM-HCG",K432*'01 Controls'!$E$25,0)</x:f>
        <x:v>0</x:v>
      </x:c>
      <x:c r="AE432" s="20" t="n">
        <x:f>IF(H432="CM-HCG",K432*'01 Controls'!$E$26,0)</x:f>
        <x:v>0</x:v>
      </x:c>
      <x:c r="AF432" s="20" t="n">
        <x:f>IF(H432="CM-HCG",K432*'01 Controls'!$E$27,0)</x:f>
        <x:v>0</x:v>
      </x:c>
    </x:row>
    <x:row r="433">
      <x:c r="C433" s="22" t="str">
        <x:v>G1-CM-RMG</x:v>
      </x:c>
      <x:c r="D433" s="22" t="n">
        <x:v>428</x:v>
      </x:c>
      <x:c r="E433" s="22" t="str">
        <x:v>G1</x:v>
      </x:c>
      <x:c r="F433" s="22" t="str">
        <x:v>Allied megacity earthquake</x:v>
      </x:c>
      <x:c r="G433" s="22" t="n">
        <x:v>9</x:v>
      </x:c>
      <x:c r="H433" s="22" t="str">
        <x:v>CM-RMG</x:v>
      </x:c>
      <x:c r="I433" s="22" t="str">
        <x:v>Civil Mobility and Continuity</x:v>
      </x:c>
      <x:c r="J433" s="22" t="str">
        <x:v>Civil road-mobility group</x:v>
      </x:c>
      <x:c r="K433" s="23" t="n">
        <x:v>12</x:v>
      </x:c>
      <x:c r="L433" s="23" t="n">
        <x:v>900</x:v>
      </x:c>
      <x:c r="M433" s="23" t="n">
        <x:v>250</x:v>
      </x:c>
      <x:c r="N433" s="20" t="n">
        <x:f>K433*L433</x:f>
        <x:v>10800</x:v>
      </x:c>
      <x:c r="O433" s="19" t="n">
        <x:v>5000</x:v>
      </x:c>
      <x:c r="P433" s="17" t="n">
        <x:v>0.7</x:v>
      </x:c>
      <x:c r="Q433" s="20" t="n">
        <x:f>K433*O433*P433</x:f>
        <x:v>42000</x:v>
      </x:c>
      <x:c r="R433" s="20" t="n">
        <x:f>Q433*(1-'01 Controls'!$E$6)</x:f>
        <x:v>31500</x:v>
      </x:c>
      <x:c r="S433" s="19" t="n">
        <x:v>45</x:v>
      </x:c>
      <x:c r="T433" s="20" t="n">
        <x:f>K433*S433</x:f>
        <x:v>540</x:v>
      </x:c>
      <x:c r="U433" s="18" t="n">
        <x:f>'01 Controls'!E40</x:f>
        <x:v>0.15</x:v>
      </x:c>
      <x:c r="V433" s="20" t="n">
        <x:f>R433*U433</x:f>
        <x:v>4725</x:v>
      </x:c>
      <x:c r="W433" s="18" t="n">
        <x:f>'01 Controls'!F40</x:f>
        <x:v>0.85</x:v>
      </x:c>
      <x:c r="X433" s="20" t="n">
        <x:f>R433*W433</x:f>
        <x:v>26775</x:v>
      </x:c>
      <x:c r="Y433" s="18" t="n">
        <x:f>'01 Controls'!G40</x:f>
        <x:v>0</x:v>
      </x:c>
      <x:c r="Z433" s="20" t="n">
        <x:f>R433*Y433</x:f>
        <x:v>0</x:v>
      </x:c>
      <x:c r="AA433" s="18" t="n">
        <x:f>'01 Controls'!H40</x:f>
        <x:v>0</x:v>
      </x:c>
      <x:c r="AB433" s="20" t="n">
        <x:f>R433*AA433</x:f>
        <x:v>0</x:v>
      </x:c>
      <x:c r="AC433" s="20" t="n">
        <x:f>IF(H433="CM-HCG",K433*'01 Controls'!$E$24,0)</x:f>
        <x:v>0</x:v>
      </x:c>
      <x:c r="AD433" s="20" t="n">
        <x:f>IF(H433="CM-HCG",K433*'01 Controls'!$E$25,0)</x:f>
        <x:v>0</x:v>
      </x:c>
      <x:c r="AE433" s="20" t="n">
        <x:f>IF(H433="CM-HCG",K433*'01 Controls'!$E$26,0)</x:f>
        <x:v>0</x:v>
      </x:c>
      <x:c r="AF433" s="20" t="n">
        <x:f>IF(H433="CM-HCG",K433*'01 Controls'!$E$27,0)</x:f>
        <x:v>0</x:v>
      </x:c>
    </x:row>
    <x:row r="434">
      <x:c r="C434" s="22" t="str">
        <x:v>G1-CM-RLG</x:v>
      </x:c>
      <x:c r="D434" s="22" t="n">
        <x:v>429</x:v>
      </x:c>
      <x:c r="E434" s="22" t="str">
        <x:v>G1</x:v>
      </x:c>
      <x:c r="F434" s="22" t="str">
        <x:v>Allied megacity earthquake</x:v>
      </x:c>
      <x:c r="G434" s="22" t="n">
        <x:v>9</x:v>
      </x:c>
      <x:c r="H434" s="22" t="str">
        <x:v>CM-RLG</x:v>
      </x:c>
      <x:c r="I434" s="22" t="str">
        <x:v>Civil Mobility and Continuity</x:v>
      </x:c>
      <x:c r="J434" s="22" t="str">
        <x:v>Civil rail-mobility group</x:v>
      </x:c>
      <x:c r="K434" s="23" t="n">
        <x:v>5</x:v>
      </x:c>
      <x:c r="L434" s="23" t="n">
        <x:v>500</x:v>
      </x:c>
      <x:c r="M434" s="23" t="n">
        <x:v>100</x:v>
      </x:c>
      <x:c r="N434" s="20" t="n">
        <x:f>K434*L434</x:f>
        <x:v>2500</x:v>
      </x:c>
      <x:c r="O434" s="19" t="n">
        <x:v>8000</x:v>
      </x:c>
      <x:c r="P434" s="17" t="n">
        <x:v>0.6</x:v>
      </x:c>
      <x:c r="Q434" s="20" t="n">
        <x:f>K434*O434*P434</x:f>
        <x:v>24000</x:v>
      </x:c>
      <x:c r="R434" s="20" t="n">
        <x:f>Q434*(1-'01 Controls'!$E$6)</x:f>
        <x:v>18000</x:v>
      </x:c>
      <x:c r="S434" s="19" t="n">
        <x:v>40</x:v>
      </x:c>
      <x:c r="T434" s="20" t="n">
        <x:f>K434*S434</x:f>
        <x:v>200</x:v>
      </x:c>
      <x:c r="U434" s="18" t="n">
        <x:f>'01 Controls'!E40</x:f>
        <x:v>0.15</x:v>
      </x:c>
      <x:c r="V434" s="20" t="n">
        <x:f>R434*U434</x:f>
        <x:v>2700</x:v>
      </x:c>
      <x:c r="W434" s="18" t="n">
        <x:f>'01 Controls'!F40</x:f>
        <x:v>0.85</x:v>
      </x:c>
      <x:c r="X434" s="20" t="n">
        <x:f>R434*W434</x:f>
        <x:v>15300</x:v>
      </x:c>
      <x:c r="Y434" s="18" t="n">
        <x:f>'01 Controls'!G40</x:f>
        <x:v>0</x:v>
      </x:c>
      <x:c r="Z434" s="20" t="n">
        <x:f>R434*Y434</x:f>
        <x:v>0</x:v>
      </x:c>
      <x:c r="AA434" s="18" t="n">
        <x:f>'01 Controls'!H40</x:f>
        <x:v>0</x:v>
      </x:c>
      <x:c r="AB434" s="20" t="n">
        <x:f>R434*AA434</x:f>
        <x:v>0</x:v>
      </x:c>
      <x:c r="AC434" s="20" t="n">
        <x:f>IF(H434="CM-HCG",K434*'01 Controls'!$E$24,0)</x:f>
        <x:v>0</x:v>
      </x:c>
      <x:c r="AD434" s="20" t="n">
        <x:f>IF(H434="CM-HCG",K434*'01 Controls'!$E$25,0)</x:f>
        <x:v>0</x:v>
      </x:c>
      <x:c r="AE434" s="20" t="n">
        <x:f>IF(H434="CM-HCG",K434*'01 Controls'!$E$26,0)</x:f>
        <x:v>0</x:v>
      </x:c>
      <x:c r="AF434" s="20" t="n">
        <x:f>IF(H434="CM-HCG",K434*'01 Controls'!$E$27,0)</x:f>
        <x:v>0</x:v>
      </x:c>
    </x:row>
    <x:row r="435">
      <x:c r="C435" s="22" t="str">
        <x:v>G1-CM-AMG</x:v>
      </x:c>
      <x:c r="D435" s="22" t="n">
        <x:v>430</x:v>
      </x:c>
      <x:c r="E435" s="22" t="str">
        <x:v>G1</x:v>
      </x:c>
      <x:c r="F435" s="22" t="str">
        <x:v>Allied megacity earthquake</x:v>
      </x:c>
      <x:c r="G435" s="22" t="n">
        <x:v>9</x:v>
      </x:c>
      <x:c r="H435" s="22" t="str">
        <x:v>CM-AMG</x:v>
      </x:c>
      <x:c r="I435" s="22" t="str">
        <x:v>Civil Mobility and Continuity</x:v>
      </x:c>
      <x:c r="J435" s="22" t="str">
        <x:v>Civil air-mobility group</x:v>
      </x:c>
      <x:c r="K435" s="23" t="n">
        <x:v>5</x:v>
      </x:c>
      <x:c r="L435" s="23" t="n">
        <x:v>600</x:v>
      </x:c>
      <x:c r="M435" s="23" t="n">
        <x:v>200</x:v>
      </x:c>
      <x:c r="N435" s="20" t="n">
        <x:f>K435*L435</x:f>
        <x:v>3000</x:v>
      </x:c>
      <x:c r="O435" s="19" t="n">
        <x:v>6000</x:v>
      </x:c>
      <x:c r="P435" s="17" t="n">
        <x:v>0.75</x:v>
      </x:c>
      <x:c r="Q435" s="20" t="n">
        <x:f>K435*O435*P435</x:f>
        <x:v>22500</x:v>
      </x:c>
      <x:c r="R435" s="20" t="n">
        <x:f>Q435*(1-'01 Controls'!$E$6)</x:f>
        <x:v>16875</x:v>
      </x:c>
      <x:c r="S435" s="19" t="n">
        <x:v>55</x:v>
      </x:c>
      <x:c r="T435" s="20" t="n">
        <x:f>K435*S435</x:f>
        <x:v>275</x:v>
      </x:c>
      <x:c r="U435" s="18" t="n">
        <x:f>'01 Controls'!E40</x:f>
        <x:v>0.15</x:v>
      </x:c>
      <x:c r="V435" s="20" t="n">
        <x:f>R435*U435</x:f>
        <x:v>2531.25</x:v>
      </x:c>
      <x:c r="W435" s="18" t="n">
        <x:f>'01 Controls'!F40</x:f>
        <x:v>0.85</x:v>
      </x:c>
      <x:c r="X435" s="20" t="n">
        <x:f>R435*W435</x:f>
        <x:v>14343.75</x:v>
      </x:c>
      <x:c r="Y435" s="18" t="n">
        <x:f>'01 Controls'!G40</x:f>
        <x:v>0</x:v>
      </x:c>
      <x:c r="Z435" s="20" t="n">
        <x:f>R435*Y435</x:f>
        <x:v>0</x:v>
      </x:c>
      <x:c r="AA435" s="18" t="n">
        <x:f>'01 Controls'!H40</x:f>
        <x:v>0</x:v>
      </x:c>
      <x:c r="AB435" s="20" t="n">
        <x:f>R435*AA435</x:f>
        <x:v>0</x:v>
      </x:c>
      <x:c r="AC435" s="20" t="n">
        <x:f>IF(H435="CM-HCG",K435*'01 Controls'!$E$24,0)</x:f>
        <x:v>0</x:v>
      </x:c>
      <x:c r="AD435" s="20" t="n">
        <x:f>IF(H435="CM-HCG",K435*'01 Controls'!$E$25,0)</x:f>
        <x:v>0</x:v>
      </x:c>
      <x:c r="AE435" s="20" t="n">
        <x:f>IF(H435="CM-HCG",K435*'01 Controls'!$E$26,0)</x:f>
        <x:v>0</x:v>
      </x:c>
      <x:c r="AF435" s="20" t="n">
        <x:f>IF(H435="CM-HCG",K435*'01 Controls'!$E$27,0)</x:f>
        <x:v>0</x:v>
      </x:c>
    </x:row>
    <x:row r="436">
      <x:c r="C436" s="22" t="str">
        <x:v>G1-CM-WMG</x:v>
      </x:c>
      <x:c r="D436" s="22" t="n">
        <x:v>431</x:v>
      </x:c>
      <x:c r="E436" s="22" t="str">
        <x:v>G1</x:v>
      </x:c>
      <x:c r="F436" s="22" t="str">
        <x:v>Allied megacity earthquake</x:v>
      </x:c>
      <x:c r="G436" s="22" t="n">
        <x:v>9</x:v>
      </x:c>
      <x:c r="H436" s="22" t="str">
        <x:v>CM-WMG</x:v>
      </x:c>
      <x:c r="I436" s="22" t="str">
        <x:v>Civil Mobility and Continuity</x:v>
      </x:c>
      <x:c r="J436" s="22" t="str">
        <x:v>Civil water-mobility group</x:v>
      </x:c>
      <x:c r="K436" s="23" t="n">
        <x:v>5</x:v>
      </x:c>
      <x:c r="L436" s="23" t="n">
        <x:v>500</x:v>
      </x:c>
      <x:c r="M436" s="23" t="n">
        <x:v>100</x:v>
      </x:c>
      <x:c r="N436" s="20" t="n">
        <x:f>K436*L436</x:f>
        <x:v>2500</x:v>
      </x:c>
      <x:c r="O436" s="19" t="n">
        <x:v>9000</x:v>
      </x:c>
      <x:c r="P436" s="17" t="n">
        <x:v>0.5</x:v>
      </x:c>
      <x:c r="Q436" s="20" t="n">
        <x:f>K436*O436*P436</x:f>
        <x:v>22500</x:v>
      </x:c>
      <x:c r="R436" s="20" t="n">
        <x:f>Q436*(1-'01 Controls'!$E$6)</x:f>
        <x:v>16875</x:v>
      </x:c>
      <x:c r="S436" s="19" t="n">
        <x:v>50</x:v>
      </x:c>
      <x:c r="T436" s="20" t="n">
        <x:f>K436*S436</x:f>
        <x:v>250</x:v>
      </x:c>
      <x:c r="U436" s="18" t="n">
        <x:f>'01 Controls'!E40</x:f>
        <x:v>0.15</x:v>
      </x:c>
      <x:c r="V436" s="20" t="n">
        <x:f>R436*U436</x:f>
        <x:v>2531.25</x:v>
      </x:c>
      <x:c r="W436" s="18" t="n">
        <x:f>'01 Controls'!F40</x:f>
        <x:v>0.85</x:v>
      </x:c>
      <x:c r="X436" s="20" t="n">
        <x:f>R436*W436</x:f>
        <x:v>14343.75</x:v>
      </x:c>
      <x:c r="Y436" s="18" t="n">
        <x:f>'01 Controls'!G40</x:f>
        <x:v>0</x:v>
      </x:c>
      <x:c r="Z436" s="20" t="n">
        <x:f>R436*Y436</x:f>
        <x:v>0</x:v>
      </x:c>
      <x:c r="AA436" s="18" t="n">
        <x:f>'01 Controls'!H40</x:f>
        <x:v>0</x:v>
      </x:c>
      <x:c r="AB436" s="20" t="n">
        <x:f>R436*AA436</x:f>
        <x:v>0</x:v>
      </x:c>
      <x:c r="AC436" s="20" t="n">
        <x:f>IF(H436="CM-HCG",K436*'01 Controls'!$E$24,0)</x:f>
        <x:v>0</x:v>
      </x:c>
      <x:c r="AD436" s="20" t="n">
        <x:f>IF(H436="CM-HCG",K436*'01 Controls'!$E$25,0)</x:f>
        <x:v>0</x:v>
      </x:c>
      <x:c r="AE436" s="20" t="n">
        <x:f>IF(H436="CM-HCG",K436*'01 Controls'!$E$26,0)</x:f>
        <x:v>0</x:v>
      </x:c>
      <x:c r="AF436" s="20" t="n">
        <x:f>IF(H436="CM-HCG",K436*'01 Controls'!$E$27,0)</x:f>
        <x:v>0</x:v>
      </x:c>
    </x:row>
    <x:row r="437">
      <x:c r="C437" s="22" t="str">
        <x:v>G1-CM-RDC</x:v>
      </x:c>
      <x:c r="D437" s="22" t="n">
        <x:v>432</x:v>
      </x:c>
      <x:c r="E437" s="22" t="str">
        <x:v>G1</x:v>
      </x:c>
      <x:c r="F437" s="22" t="str">
        <x:v>Allied megacity earthquake</x:v>
      </x:c>
      <x:c r="G437" s="22" t="n">
        <x:v>9</x:v>
      </x:c>
      <x:c r="H437" s="22" t="str">
        <x:v>CM-RDC</x:v>
      </x:c>
      <x:c r="I437" s="22" t="str">
        <x:v>Civil Mobility and Continuity</x:v>
      </x:c>
      <x:c r="J437" s="22" t="str">
        <x:v>Return and durable-continuity group</x:v>
      </x:c>
      <x:c r="K437" s="23" t="n">
        <x:v>8</x:v>
      </x:c>
      <x:c r="L437" s="23" t="n">
        <x:v>450</x:v>
      </x:c>
      <x:c r="M437" s="23" t="n">
        <x:v>50</x:v>
      </x:c>
      <x:c r="N437" s="20" t="n">
        <x:f>K437*L437</x:f>
        <x:v>3600</x:v>
      </x:c>
      <x:c r="O437" s="19" t="n">
        <x:v>1800</x:v>
      </x:c>
      <x:c r="P437" s="17" t="n">
        <x:v>0.5</x:v>
      </x:c>
      <x:c r="Q437" s="20" t="n">
        <x:f>K437*O437*P437</x:f>
        <x:v>7200</x:v>
      </x:c>
      <x:c r="R437" s="20" t="n">
        <x:f>Q437*(1-'01 Controls'!$E$6)</x:f>
        <x:v>5400</x:v>
      </x:c>
      <x:c r="S437" s="19" t="n">
        <x:v>25</x:v>
      </x:c>
      <x:c r="T437" s="20" t="n">
        <x:f>K437*S437</x:f>
        <x:v>200</x:v>
      </x:c>
      <x:c r="U437" s="18" t="n">
        <x:f>'01 Controls'!E40</x:f>
        <x:v>0.15</x:v>
      </x:c>
      <x:c r="V437" s="20" t="n">
        <x:f>R437*U437</x:f>
        <x:v>810</x:v>
      </x:c>
      <x:c r="W437" s="18" t="n">
        <x:f>'01 Controls'!F40</x:f>
        <x:v>0.85</x:v>
      </x:c>
      <x:c r="X437" s="20" t="n">
        <x:f>R437*W437</x:f>
        <x:v>4590</x:v>
      </x:c>
      <x:c r="Y437" s="18" t="n">
        <x:f>'01 Controls'!G40</x:f>
        <x:v>0</x:v>
      </x:c>
      <x:c r="Z437" s="20" t="n">
        <x:f>R437*Y437</x:f>
        <x:v>0</x:v>
      </x:c>
      <x:c r="AA437" s="18" t="n">
        <x:f>'01 Controls'!H40</x:f>
        <x:v>0</x:v>
      </x:c>
      <x:c r="AB437" s="20" t="n">
        <x:f>R437*AA437</x:f>
        <x:v>0</x:v>
      </x:c>
      <x:c r="AC437" s="20" t="n">
        <x:f>IF(H437="CM-HCG",K437*'01 Controls'!$E$24,0)</x:f>
        <x:v>0</x:v>
      </x:c>
      <x:c r="AD437" s="20" t="n">
        <x:f>IF(H437="CM-HCG",K437*'01 Controls'!$E$25,0)</x:f>
        <x:v>0</x:v>
      </x:c>
      <x:c r="AE437" s="20" t="n">
        <x:f>IF(H437="CM-HCG",K437*'01 Controls'!$E$26,0)</x:f>
        <x:v>0</x:v>
      </x:c>
      <x:c r="AF437" s="20" t="n">
        <x:f>IF(H437="CM-HCG",K437*'01 Controls'!$E$27,0)</x:f>
        <x:v>0</x:v>
      </x:c>
    </x:row>
    <x:row r="438">
      <x:c r="C438" s="22" t="str">
        <x:v>G2-J-CIE</x:v>
      </x:c>
      <x:c r="D438" s="22" t="n">
        <x:v>433</x:v>
      </x:c>
      <x:c r="E438" s="22" t="str">
        <x:v>G2</x:v>
      </x:c>
      <x:c r="F438" s="22" t="str">
        <x:v>Regional flood and displacement</x:v>
      </x:c>
      <x:c r="G438" s="22" t="n">
        <x:v>10</x:v>
      </x:c>
      <x:c r="H438" s="22" t="str">
        <x:v>J-CIE</x:v>
      </x:c>
      <x:c r="I438" s="22" t="str">
        <x:v>Joint</x:v>
      </x:c>
      <x:c r="J438" s="22" t="str">
        <x:v>Civil integration and effects group</x:v>
      </x:c>
      <x:c r="K438" s="23" t="n">
        <x:v>4</x:v>
      </x:c>
      <x:c r="L438" s="23" t="n">
        <x:v>120</x:v>
      </x:c>
      <x:c r="M438" s="23" t="n">
        <x:v>0</x:v>
      </x:c>
      <x:c r="N438" s="20" t="n">
        <x:f>K438*L438</x:f>
        <x:v>480</x:v>
      </x:c>
      <x:c r="O438" s="19" t="n">
        <x:v>2200</x:v>
      </x:c>
      <x:c r="P438" s="17" t="n">
        <x:v>0.65</x:v>
      </x:c>
      <x:c r="Q438" s="20" t="n">
        <x:f>K438*O438*P438</x:f>
        <x:v>5720</x:v>
      </x:c>
      <x:c r="R438" s="20" t="n">
        <x:f>Q438*(1-'01 Controls'!$E$6)</x:f>
        <x:v>4290</x:v>
      </x:c>
      <x:c r="S438" s="19" t="n">
        <x:v>45</x:v>
      </x:c>
      <x:c r="T438" s="20" t="n">
        <x:f>K438*S438</x:f>
        <x:v>180</x:v>
      </x:c>
      <x:c r="U438" s="18" t="n">
        <x:f>'01 Controls'!E41</x:f>
        <x:v>0.15</x:v>
      </x:c>
      <x:c r="V438" s="20" t="n">
        <x:f>R438*U438</x:f>
        <x:v>643.5</x:v>
      </x:c>
      <x:c r="W438" s="18" t="n">
        <x:f>'01 Controls'!F41</x:f>
        <x:v>0.75</x:v>
      </x:c>
      <x:c r="X438" s="20" t="n">
        <x:f>R438*W438</x:f>
        <x:v>3217.5</x:v>
      </x:c>
      <x:c r="Y438" s="18" t="n">
        <x:f>'01 Controls'!G41</x:f>
        <x:v>0</x:v>
      </x:c>
      <x:c r="Z438" s="20" t="n">
        <x:f>R438*Y438</x:f>
        <x:v>0</x:v>
      </x:c>
      <x:c r="AA438" s="18" t="n">
        <x:f>'01 Controls'!H41</x:f>
        <x:v>0.1</x:v>
      </x:c>
      <x:c r="AB438" s="20" t="n">
        <x:f>R438*AA438</x:f>
        <x:v>429</x:v>
      </x:c>
      <x:c r="AC438" s="20" t="n">
        <x:f>IF(H438="CM-HCG",K438*'01 Controls'!$E$24,0)</x:f>
        <x:v>0</x:v>
      </x:c>
      <x:c r="AD438" s="20" t="n">
        <x:f>IF(H438="CM-HCG",K438*'01 Controls'!$E$25,0)</x:f>
        <x:v>0</x:v>
      </x:c>
      <x:c r="AE438" s="20" t="n">
        <x:f>IF(H438="CM-HCG",K438*'01 Controls'!$E$26,0)</x:f>
        <x:v>0</x:v>
      </x:c>
      <x:c r="AF438" s="20" t="n">
        <x:f>IF(H438="CM-HCG",K438*'01 Controls'!$E$27,0)</x:f>
        <x:v>0</x:v>
      </x:c>
    </x:row>
    <x:row r="439">
      <x:c r="C439" s="22" t="str">
        <x:v>G2-J-TOC</x:v>
      </x:c>
      <x:c r="D439" s="22" t="n">
        <x:v>434</x:v>
      </x:c>
      <x:c r="E439" s="22" t="str">
        <x:v>G2</x:v>
      </x:c>
      <x:c r="F439" s="22" t="str">
        <x:v>Regional flood and displacement</x:v>
      </x:c>
      <x:c r="G439" s="22" t="n">
        <x:v>10</x:v>
      </x:c>
      <x:c r="H439" s="22" t="str">
        <x:v>J-TOC</x:v>
      </x:c>
      <x:c r="I439" s="22" t="str">
        <x:v>Joint</x:v>
      </x:c>
      <x:c r="J439" s="22" t="str">
        <x:v>Theater-opening command</x:v>
      </x:c>
      <x:c r="K439" s="23" t="n">
        <x:v>3</x:v>
      </x:c>
      <x:c r="L439" s="23" t="n">
        <x:v>600</x:v>
      </x:c>
      <x:c r="M439" s="23" t="n">
        <x:v>0</x:v>
      </x:c>
      <x:c r="N439" s="20" t="n">
        <x:f>K439*L439</x:f>
        <x:v>1800</x:v>
      </x:c>
      <x:c r="O439" s="19" t="n">
        <x:v>2200</x:v>
      </x:c>
      <x:c r="P439" s="17" t="n">
        <x:v>0.65</x:v>
      </x:c>
      <x:c r="Q439" s="20" t="n">
        <x:f>K439*O439*P439</x:f>
        <x:v>4290</x:v>
      </x:c>
      <x:c r="R439" s="20" t="n">
        <x:f>Q439*(1-'01 Controls'!$E$6)</x:f>
        <x:v>3217.5</x:v>
      </x:c>
      <x:c r="S439" s="19" t="n">
        <x:v>45</x:v>
      </x:c>
      <x:c r="T439" s="20" t="n">
        <x:f>K439*S439</x:f>
        <x:v>135</x:v>
      </x:c>
      <x:c r="U439" s="18" t="n">
        <x:f>'01 Controls'!E41</x:f>
        <x:v>0.15</x:v>
      </x:c>
      <x:c r="V439" s="20" t="n">
        <x:f>R439*U439</x:f>
        <x:v>482.625</x:v>
      </x:c>
      <x:c r="W439" s="18" t="n">
        <x:f>'01 Controls'!F41</x:f>
        <x:v>0.75</x:v>
      </x:c>
      <x:c r="X439" s="20" t="n">
        <x:f>R439*W439</x:f>
        <x:v>2413.125</x:v>
      </x:c>
      <x:c r="Y439" s="18" t="n">
        <x:f>'01 Controls'!G41</x:f>
        <x:v>0</x:v>
      </x:c>
      <x:c r="Z439" s="20" t="n">
        <x:f>R439*Y439</x:f>
        <x:v>0</x:v>
      </x:c>
      <x:c r="AA439" s="18" t="n">
        <x:f>'01 Controls'!H41</x:f>
        <x:v>0.1</x:v>
      </x:c>
      <x:c r="AB439" s="20" t="n">
        <x:f>R439*AA439</x:f>
        <x:v>321.75</x:v>
      </x:c>
      <x:c r="AC439" s="20" t="n">
        <x:f>IF(H439="CM-HCG",K439*'01 Controls'!$E$24,0)</x:f>
        <x:v>0</x:v>
      </x:c>
      <x:c r="AD439" s="20" t="n">
        <x:f>IF(H439="CM-HCG",K439*'01 Controls'!$E$25,0)</x:f>
        <x:v>0</x:v>
      </x:c>
      <x:c r="AE439" s="20" t="n">
        <x:f>IF(H439="CM-HCG",K439*'01 Controls'!$E$26,0)</x:f>
        <x:v>0</x:v>
      </x:c>
      <x:c r="AF439" s="20" t="n">
        <x:f>IF(H439="CM-HCG",K439*'01 Controls'!$E$27,0)</x:f>
        <x:v>0</x:v>
      </x:c>
    </x:row>
    <x:row r="440">
      <x:c r="C440" s="22" t="str">
        <x:v>G2-J-TSC</x:v>
      </x:c>
      <x:c r="D440" s="22" t="n">
        <x:v>435</x:v>
      </x:c>
      <x:c r="E440" s="22" t="str">
        <x:v>G2</x:v>
      </x:c>
      <x:c r="F440" s="22" t="str">
        <x:v>Regional flood and displacement</x:v>
      </x:c>
      <x:c r="G440" s="22" t="n">
        <x:v>10</x:v>
      </x:c>
      <x:c r="H440" s="22" t="str">
        <x:v>J-TSC</x:v>
      </x:c>
      <x:c r="I440" s="22" t="str">
        <x:v>Joint</x:v>
      </x:c>
      <x:c r="J440" s="22" t="str">
        <x:v>Theater sustainment command</x:v>
      </x:c>
      <x:c r="K440" s="23" t="n">
        <x:v>4</x:v>
      </x:c>
      <x:c r="L440" s="23" t="n">
        <x:v>900</x:v>
      </x:c>
      <x:c r="M440" s="23" t="n">
        <x:v>0</x:v>
      </x:c>
      <x:c r="N440" s="20" t="n">
        <x:f>K440*L440</x:f>
        <x:v>3600</x:v>
      </x:c>
      <x:c r="O440" s="19" t="n">
        <x:v>2200</x:v>
      </x:c>
      <x:c r="P440" s="17" t="n">
        <x:v>0.65</x:v>
      </x:c>
      <x:c r="Q440" s="20" t="n">
        <x:f>K440*O440*P440</x:f>
        <x:v>5720</x:v>
      </x:c>
      <x:c r="R440" s="20" t="n">
        <x:f>Q440*(1-'01 Controls'!$E$6)</x:f>
        <x:v>4290</x:v>
      </x:c>
      <x:c r="S440" s="19" t="n">
        <x:v>45</x:v>
      </x:c>
      <x:c r="T440" s="20" t="n">
        <x:f>K440*S440</x:f>
        <x:v>180</x:v>
      </x:c>
      <x:c r="U440" s="18" t="n">
        <x:f>'01 Controls'!E41</x:f>
        <x:v>0.15</x:v>
      </x:c>
      <x:c r="V440" s="20" t="n">
        <x:f>R440*U440</x:f>
        <x:v>643.5</x:v>
      </x:c>
      <x:c r="W440" s="18" t="n">
        <x:f>'01 Controls'!F41</x:f>
        <x:v>0.75</x:v>
      </x:c>
      <x:c r="X440" s="20" t="n">
        <x:f>R440*W440</x:f>
        <x:v>3217.5</x:v>
      </x:c>
      <x:c r="Y440" s="18" t="n">
        <x:f>'01 Controls'!G41</x:f>
        <x:v>0</x:v>
      </x:c>
      <x:c r="Z440" s="20" t="n">
        <x:f>R440*Y440</x:f>
        <x:v>0</x:v>
      </x:c>
      <x:c r="AA440" s="18" t="n">
        <x:f>'01 Controls'!H41</x:f>
        <x:v>0.1</x:v>
      </x:c>
      <x:c r="AB440" s="20" t="n">
        <x:f>R440*AA440</x:f>
        <x:v>429</x:v>
      </x:c>
      <x:c r="AC440" s="20" t="n">
        <x:f>IF(H440="CM-HCG",K440*'01 Controls'!$E$24,0)</x:f>
        <x:v>0</x:v>
      </x:c>
      <x:c r="AD440" s="20" t="n">
        <x:f>IF(H440="CM-HCG",K440*'01 Controls'!$E$25,0)</x:f>
        <x:v>0</x:v>
      </x:c>
      <x:c r="AE440" s="20" t="n">
        <x:f>IF(H440="CM-HCG",K440*'01 Controls'!$E$26,0)</x:f>
        <x:v>0</x:v>
      </x:c>
      <x:c r="AF440" s="20" t="n">
        <x:f>IF(H440="CM-HCG",K440*'01 Controls'!$E$27,0)</x:f>
        <x:v>0</x:v>
      </x:c>
    </x:row>
    <x:row r="441">
      <x:c r="C441" s="22" t="str">
        <x:v>G2-J-RRG</x:v>
      </x:c>
      <x:c r="D441" s="22" t="n">
        <x:v>436</x:v>
      </x:c>
      <x:c r="E441" s="22" t="str">
        <x:v>G2</x:v>
      </x:c>
      <x:c r="F441" s="22" t="str">
        <x:v>Regional flood and displacement</x:v>
      </x:c>
      <x:c r="G441" s="22" t="n">
        <x:v>10</x:v>
      </x:c>
      <x:c r="H441" s="22" t="str">
        <x:v>J-RRG</x:v>
      </x:c>
      <x:c r="I441" s="22" t="str">
        <x:v>Joint</x:v>
      </x:c>
      <x:c r="J441" s="22" t="str">
        <x:v>Replacement and reconstitution group</x:v>
      </x:c>
      <x:c r="K441" s="23" t="n">
        <x:v>4</x:v>
      </x:c>
      <x:c r="L441" s="23" t="n">
        <x:v>400</x:v>
      </x:c>
      <x:c r="M441" s="23" t="n">
        <x:v>0</x:v>
      </x:c>
      <x:c r="N441" s="20" t="n">
        <x:f>K441*L441</x:f>
        <x:v>1600</x:v>
      </x:c>
      <x:c r="O441" s="19" t="n">
        <x:v>2200</x:v>
      </x:c>
      <x:c r="P441" s="17" t="n">
        <x:v>0.65</x:v>
      </x:c>
      <x:c r="Q441" s="20" t="n">
        <x:f>K441*O441*P441</x:f>
        <x:v>5720</x:v>
      </x:c>
      <x:c r="R441" s="20" t="n">
        <x:f>Q441*(1-'01 Controls'!$E$6)</x:f>
        <x:v>4290</x:v>
      </x:c>
      <x:c r="S441" s="19" t="n">
        <x:v>45</x:v>
      </x:c>
      <x:c r="T441" s="20" t="n">
        <x:f>K441*S441</x:f>
        <x:v>180</x:v>
      </x:c>
      <x:c r="U441" s="18" t="n">
        <x:f>'01 Controls'!E41</x:f>
        <x:v>0.15</x:v>
      </x:c>
      <x:c r="V441" s="20" t="n">
        <x:f>R441*U441</x:f>
        <x:v>643.5</x:v>
      </x:c>
      <x:c r="W441" s="18" t="n">
        <x:f>'01 Controls'!F41</x:f>
        <x:v>0.75</x:v>
      </x:c>
      <x:c r="X441" s="20" t="n">
        <x:f>R441*W441</x:f>
        <x:v>3217.5</x:v>
      </x:c>
      <x:c r="Y441" s="18" t="n">
        <x:f>'01 Controls'!G41</x:f>
        <x:v>0</x:v>
      </x:c>
      <x:c r="Z441" s="20" t="n">
        <x:f>R441*Y441</x:f>
        <x:v>0</x:v>
      </x:c>
      <x:c r="AA441" s="18" t="n">
        <x:f>'01 Controls'!H41</x:f>
        <x:v>0.1</x:v>
      </x:c>
      <x:c r="AB441" s="20" t="n">
        <x:f>R441*AA441</x:f>
        <x:v>429</x:v>
      </x:c>
      <x:c r="AC441" s="20" t="n">
        <x:f>IF(H441="CM-HCG",K441*'01 Controls'!$E$24,0)</x:f>
        <x:v>0</x:v>
      </x:c>
      <x:c r="AD441" s="20" t="n">
        <x:f>IF(H441="CM-HCG",K441*'01 Controls'!$E$25,0)</x:f>
        <x:v>0</x:v>
      </x:c>
      <x:c r="AE441" s="20" t="n">
        <x:f>IF(H441="CM-HCG",K441*'01 Controls'!$E$26,0)</x:f>
        <x:v>0</x:v>
      </x:c>
      <x:c r="AF441" s="20" t="n">
        <x:f>IF(H441="CM-HCG",K441*'01 Controls'!$E$27,0)</x:f>
        <x:v>0</x:v>
      </x:c>
    </x:row>
    <x:row r="442">
      <x:c r="C442" s="22" t="str">
        <x:v>G2-J-TDG</x:v>
      </x:c>
      <x:c r="D442" s="22" t="n">
        <x:v>437</x:v>
      </x:c>
      <x:c r="E442" s="22" t="str">
        <x:v>G2</x:v>
      </x:c>
      <x:c r="F442" s="22" t="str">
        <x:v>Regional flood and displacement</x:v>
      </x:c>
      <x:c r="G442" s="22" t="n">
        <x:v>10</x:v>
      </x:c>
      <x:c r="H442" s="22" t="str">
        <x:v>J-TDG</x:v>
      </x:c>
      <x:c r="I442" s="22" t="str">
        <x:v>Joint</x:v>
      </x:c>
      <x:c r="J442" s="22" t="str">
        <x:v>Transfer and demobilization group</x:v>
      </x:c>
      <x:c r="K442" s="23" t="n">
        <x:v>3</x:v>
      </x:c>
      <x:c r="L442" s="23" t="n">
        <x:v>150</x:v>
      </x:c>
      <x:c r="M442" s="23" t="n">
        <x:v>0</x:v>
      </x:c>
      <x:c r="N442" s="20" t="n">
        <x:f>K442*L442</x:f>
        <x:v>450</x:v>
      </x:c>
      <x:c r="O442" s="19" t="n">
        <x:v>2200</x:v>
      </x:c>
      <x:c r="P442" s="17" t="n">
        <x:v>0.65</x:v>
      </x:c>
      <x:c r="Q442" s="20" t="n">
        <x:f>K442*O442*P442</x:f>
        <x:v>4290</x:v>
      </x:c>
      <x:c r="R442" s="20" t="n">
        <x:f>Q442*(1-'01 Controls'!$E$6)</x:f>
        <x:v>3217.5</x:v>
      </x:c>
      <x:c r="S442" s="19" t="n">
        <x:v>45</x:v>
      </x:c>
      <x:c r="T442" s="20" t="n">
        <x:f>K442*S442</x:f>
        <x:v>135</x:v>
      </x:c>
      <x:c r="U442" s="18" t="n">
        <x:f>'01 Controls'!E41</x:f>
        <x:v>0.15</x:v>
      </x:c>
      <x:c r="V442" s="20" t="n">
        <x:f>R442*U442</x:f>
        <x:v>482.625</x:v>
      </x:c>
      <x:c r="W442" s="18" t="n">
        <x:f>'01 Controls'!F41</x:f>
        <x:v>0.75</x:v>
      </x:c>
      <x:c r="X442" s="20" t="n">
        <x:f>R442*W442</x:f>
        <x:v>2413.125</x:v>
      </x:c>
      <x:c r="Y442" s="18" t="n">
        <x:f>'01 Controls'!G41</x:f>
        <x:v>0</x:v>
      </x:c>
      <x:c r="Z442" s="20" t="n">
        <x:f>R442*Y442</x:f>
        <x:v>0</x:v>
      </x:c>
      <x:c r="AA442" s="18" t="n">
        <x:f>'01 Controls'!H41</x:f>
        <x:v>0.1</x:v>
      </x:c>
      <x:c r="AB442" s="20" t="n">
        <x:f>R442*AA442</x:f>
        <x:v>321.75</x:v>
      </x:c>
      <x:c r="AC442" s="20" t="n">
        <x:f>IF(H442="CM-HCG",K442*'01 Controls'!$E$24,0)</x:f>
        <x:v>0</x:v>
      </x:c>
      <x:c r="AD442" s="20" t="n">
        <x:f>IF(H442="CM-HCG",K442*'01 Controls'!$E$25,0)</x:f>
        <x:v>0</x:v>
      </x:c>
      <x:c r="AE442" s="20" t="n">
        <x:f>IF(H442="CM-HCG",K442*'01 Controls'!$E$26,0)</x:f>
        <x:v>0</x:v>
      </x:c>
      <x:c r="AF442" s="20" t="n">
        <x:f>IF(H442="CM-HCG",K442*'01 Controls'!$E$27,0)</x:f>
        <x:v>0</x:v>
      </x:c>
    </x:row>
    <x:row r="443">
      <x:c r="C443" s="22" t="str">
        <x:v>G2-L-ROG</x:v>
      </x:c>
      <x:c r="D443" s="22" t="n">
        <x:v>438</x:v>
      </x:c>
      <x:c r="E443" s="22" t="str">
        <x:v>G2</x:v>
      </x:c>
      <x:c r="F443" s="22" t="str">
        <x:v>Regional flood and displacement</x:v>
      </x:c>
      <x:c r="G443" s="22" t="n">
        <x:v>10</x:v>
      </x:c>
      <x:c r="H443" s="22" t="str">
        <x:v>L-ROG</x:v>
      </x:c>
      <x:c r="I443" s="22" t="str">
        <x:v>Land Engineering</x:v>
      </x:c>
      <x:c r="J443" s="22" t="str">
        <x:v>Access and route-opening group</x:v>
      </x:c>
      <x:c r="K443" s="23" t="n">
        <x:v>8</x:v>
      </x:c>
      <x:c r="L443" s="23" t="n">
        <x:v>350</x:v>
      </x:c>
      <x:c r="M443" s="23" t="n">
        <x:v>0</x:v>
      </x:c>
      <x:c r="N443" s="20" t="n">
        <x:f>K443*L443</x:f>
        <x:v>2800</x:v>
      </x:c>
      <x:c r="O443" s="19" t="n">
        <x:v>9000</x:v>
      </x:c>
      <x:c r="P443" s="17" t="n">
        <x:v>0.45</x:v>
      </x:c>
      <x:c r="Q443" s="20" t="n">
        <x:f>K443*O443*P443</x:f>
        <x:v>32400</x:v>
      </x:c>
      <x:c r="R443" s="20" t="n">
        <x:f>Q443*(1-'01 Controls'!$E$6)</x:f>
        <x:v>24300</x:v>
      </x:c>
      <x:c r="S443" s="19" t="n">
        <x:v>90</x:v>
      </x:c>
      <x:c r="T443" s="20" t="n">
        <x:f>K443*S443</x:f>
        <x:v>720</x:v>
      </x:c>
      <x:c r="U443" s="18" t="n">
        <x:f>'01 Controls'!E41</x:f>
        <x:v>0.15</x:v>
      </x:c>
      <x:c r="V443" s="20" t="n">
        <x:f>R443*U443</x:f>
        <x:v>3645</x:v>
      </x:c>
      <x:c r="W443" s="18" t="n">
        <x:f>'01 Controls'!F41</x:f>
        <x:v>0.75</x:v>
      </x:c>
      <x:c r="X443" s="20" t="n">
        <x:f>R443*W443</x:f>
        <x:v>18225</x:v>
      </x:c>
      <x:c r="Y443" s="18" t="n">
        <x:f>'01 Controls'!G41</x:f>
        <x:v>0</x:v>
      </x:c>
      <x:c r="Z443" s="20" t="n">
        <x:f>R443*Y443</x:f>
        <x:v>0</x:v>
      </x:c>
      <x:c r="AA443" s="18" t="n">
        <x:f>'01 Controls'!H41</x:f>
        <x:v>0.1</x:v>
      </x:c>
      <x:c r="AB443" s="20" t="n">
        <x:f>R443*AA443</x:f>
        <x:v>2430</x:v>
      </x:c>
      <x:c r="AC443" s="20" t="n">
        <x:f>IF(H443="CM-HCG",K443*'01 Controls'!$E$24,0)</x:f>
        <x:v>0</x:v>
      </x:c>
      <x:c r="AD443" s="20" t="n">
        <x:f>IF(H443="CM-HCG",K443*'01 Controls'!$E$25,0)</x:f>
        <x:v>0</x:v>
      </x:c>
      <x:c r="AE443" s="20" t="n">
        <x:f>IF(H443="CM-HCG",K443*'01 Controls'!$E$26,0)</x:f>
        <x:v>0</x:v>
      </x:c>
      <x:c r="AF443" s="20" t="n">
        <x:f>IF(H443="CM-HCG",K443*'01 Controls'!$E$27,0)</x:f>
        <x:v>0</x:v>
      </x:c>
    </x:row>
    <x:row r="444">
      <x:c r="C444" s="22" t="str">
        <x:v>G2-L-HCG</x:v>
      </x:c>
      <x:c r="D444" s="22" t="n">
        <x:v>439</x:v>
      </x:c>
      <x:c r="E444" s="22" t="str">
        <x:v>G2</x:v>
      </x:c>
      <x:c r="F444" s="22" t="str">
        <x:v>Regional flood and displacement</x:v>
      </x:c>
      <x:c r="G444" s="22" t="n">
        <x:v>10</x:v>
      </x:c>
      <x:c r="H444" s="22" t="str">
        <x:v>L-HCG</x:v>
      </x:c>
      <x:c r="I444" s="22" t="str">
        <x:v>Land Engineering</x:v>
      </x:c>
      <x:c r="J444" s="22" t="str">
        <x:v>Flood and hydraulic-control group</x:v>
      </x:c>
      <x:c r="K444" s="23" t="n">
        <x:v>12</x:v>
      </x:c>
      <x:c r="L444" s="23" t="n">
        <x:v>500</x:v>
      </x:c>
      <x:c r="M444" s="23" t="n">
        <x:v>0</x:v>
      </x:c>
      <x:c r="N444" s="20" t="n">
        <x:f>K444*L444</x:f>
        <x:v>6000</x:v>
      </x:c>
      <x:c r="O444" s="19" t="n">
        <x:v>9000</x:v>
      </x:c>
      <x:c r="P444" s="17" t="n">
        <x:v>0.45</x:v>
      </x:c>
      <x:c r="Q444" s="20" t="n">
        <x:f>K444*O444*P444</x:f>
        <x:v>48600</x:v>
      </x:c>
      <x:c r="R444" s="20" t="n">
        <x:f>Q444*(1-'01 Controls'!$E$6)</x:f>
        <x:v>36450</x:v>
      </x:c>
      <x:c r="S444" s="19" t="n">
        <x:v>90</x:v>
      </x:c>
      <x:c r="T444" s="20" t="n">
        <x:f>K444*S444</x:f>
        <x:v>1080</x:v>
      </x:c>
      <x:c r="U444" s="18" t="n">
        <x:f>'01 Controls'!E41</x:f>
        <x:v>0.15</x:v>
      </x:c>
      <x:c r="V444" s="20" t="n">
        <x:f>R444*U444</x:f>
        <x:v>5467.5</x:v>
      </x:c>
      <x:c r="W444" s="18" t="n">
        <x:f>'01 Controls'!F41</x:f>
        <x:v>0.75</x:v>
      </x:c>
      <x:c r="X444" s="20" t="n">
        <x:f>R444*W444</x:f>
        <x:v>27337.5</x:v>
      </x:c>
      <x:c r="Y444" s="18" t="n">
        <x:f>'01 Controls'!G41</x:f>
        <x:v>0</x:v>
      </x:c>
      <x:c r="Z444" s="20" t="n">
        <x:f>R444*Y444</x:f>
        <x:v>0</x:v>
      </x:c>
      <x:c r="AA444" s="18" t="n">
        <x:f>'01 Controls'!H41</x:f>
        <x:v>0.1</x:v>
      </x:c>
      <x:c r="AB444" s="20" t="n">
        <x:f>R444*AA444</x:f>
        <x:v>3645</x:v>
      </x:c>
      <x:c r="AC444" s="20" t="n">
        <x:f>IF(H444="CM-HCG",K444*'01 Controls'!$E$24,0)</x:f>
        <x:v>0</x:v>
      </x:c>
      <x:c r="AD444" s="20" t="n">
        <x:f>IF(H444="CM-HCG",K444*'01 Controls'!$E$25,0)</x:f>
        <x:v>0</x:v>
      </x:c>
      <x:c r="AE444" s="20" t="n">
        <x:f>IF(H444="CM-HCG",K444*'01 Controls'!$E$26,0)</x:f>
        <x:v>0</x:v>
      </x:c>
      <x:c r="AF444" s="20" t="n">
        <x:f>IF(H444="CM-HCG",K444*'01 Controls'!$E$27,0)</x:f>
        <x:v>0</x:v>
      </x:c>
    </x:row>
    <x:row r="445">
      <x:c r="C445" s="22" t="str">
        <x:v>G2-L-DMG</x:v>
      </x:c>
      <x:c r="D445" s="22" t="n">
        <x:v>440</x:v>
      </x:c>
      <x:c r="E445" s="22" t="str">
        <x:v>G2</x:v>
      </x:c>
      <x:c r="F445" s="22" t="str">
        <x:v>Regional flood and displacement</x:v>
      </x:c>
      <x:c r="G445" s="22" t="n">
        <x:v>10</x:v>
      </x:c>
      <x:c r="H445" s="22" t="str">
        <x:v>L-DMG</x:v>
      </x:c>
      <x:c r="I445" s="22" t="str">
        <x:v>Land Engineering</x:v>
      </x:c>
      <x:c r="J445" s="22" t="str">
        <x:v>Debris and materials group</x:v>
      </x:c>
      <x:c r="K445" s="23" t="n">
        <x:v>8</x:v>
      </x:c>
      <x:c r="L445" s="23" t="n">
        <x:v>400</x:v>
      </x:c>
      <x:c r="M445" s="23" t="n">
        <x:v>0</x:v>
      </x:c>
      <x:c r="N445" s="20" t="n">
        <x:f>K445*L445</x:f>
        <x:v>3200</x:v>
      </x:c>
      <x:c r="O445" s="19" t="n">
        <x:v>9000</x:v>
      </x:c>
      <x:c r="P445" s="17" t="n">
        <x:v>0.45</x:v>
      </x:c>
      <x:c r="Q445" s="20" t="n">
        <x:f>K445*O445*P445</x:f>
        <x:v>32400</x:v>
      </x:c>
      <x:c r="R445" s="20" t="n">
        <x:f>Q445*(1-'01 Controls'!$E$6)</x:f>
        <x:v>24300</x:v>
      </x:c>
      <x:c r="S445" s="19" t="n">
        <x:v>90</x:v>
      </x:c>
      <x:c r="T445" s="20" t="n">
        <x:f>K445*S445</x:f>
        <x:v>720</x:v>
      </x:c>
      <x:c r="U445" s="18" t="n">
        <x:f>'01 Controls'!E41</x:f>
        <x:v>0.15</x:v>
      </x:c>
      <x:c r="V445" s="20" t="n">
        <x:f>R445*U445</x:f>
        <x:v>3645</x:v>
      </x:c>
      <x:c r="W445" s="18" t="n">
        <x:f>'01 Controls'!F41</x:f>
        <x:v>0.75</x:v>
      </x:c>
      <x:c r="X445" s="20" t="n">
        <x:f>R445*W445</x:f>
        <x:v>18225</x:v>
      </x:c>
      <x:c r="Y445" s="18" t="n">
        <x:f>'01 Controls'!G41</x:f>
        <x:v>0</x:v>
      </x:c>
      <x:c r="Z445" s="20" t="n">
        <x:f>R445*Y445</x:f>
        <x:v>0</x:v>
      </x:c>
      <x:c r="AA445" s="18" t="n">
        <x:f>'01 Controls'!H41</x:f>
        <x:v>0.1</x:v>
      </x:c>
      <x:c r="AB445" s="20" t="n">
        <x:f>R445*AA445</x:f>
        <x:v>2430</x:v>
      </x:c>
      <x:c r="AC445" s="20" t="n">
        <x:f>IF(H445="CM-HCG",K445*'01 Controls'!$E$24,0)</x:f>
        <x:v>0</x:v>
      </x:c>
      <x:c r="AD445" s="20" t="n">
        <x:f>IF(H445="CM-HCG",K445*'01 Controls'!$E$25,0)</x:f>
        <x:v>0</x:v>
      </x:c>
      <x:c r="AE445" s="20" t="n">
        <x:f>IF(H445="CM-HCG",K445*'01 Controls'!$E$26,0)</x:f>
        <x:v>0</x:v>
      </x:c>
      <x:c r="AF445" s="20" t="n">
        <x:f>IF(H445="CM-HCG",K445*'01 Controls'!$E$27,0)</x:f>
        <x:v>0</x:v>
      </x:c>
    </x:row>
    <x:row r="446">
      <x:c r="C446" s="22" t="str">
        <x:v>G2-L-TWG</x:v>
      </x:c>
      <x:c r="D446" s="22" t="n">
        <x:v>441</x:v>
      </x:c>
      <x:c r="E446" s="22" t="str">
        <x:v>G2</x:v>
      </x:c>
      <x:c r="F446" s="22" t="str">
        <x:v>Regional flood and displacement</x:v>
      </x:c>
      <x:c r="G446" s="22" t="n">
        <x:v>10</x:v>
      </x:c>
      <x:c r="H446" s="22" t="str">
        <x:v>L-TWG</x:v>
      </x:c>
      <x:c r="I446" s="22" t="str">
        <x:v>Land Engineering</x:v>
      </x:c>
      <x:c r="J446" s="22" t="str">
        <x:v>Temporary works and crossing group</x:v>
      </x:c>
      <x:c r="K446" s="23" t="n">
        <x:v>6</x:v>
      </x:c>
      <x:c r="L446" s="23" t="n">
        <x:v>350</x:v>
      </x:c>
      <x:c r="M446" s="23" t="n">
        <x:v>0</x:v>
      </x:c>
      <x:c r="N446" s="20" t="n">
        <x:f>K446*L446</x:f>
        <x:v>2100</x:v>
      </x:c>
      <x:c r="O446" s="19" t="n">
        <x:v>9000</x:v>
      </x:c>
      <x:c r="P446" s="17" t="n">
        <x:v>0.45</x:v>
      </x:c>
      <x:c r="Q446" s="20" t="n">
        <x:f>K446*O446*P446</x:f>
        <x:v>24300</x:v>
      </x:c>
      <x:c r="R446" s="20" t="n">
        <x:f>Q446*(1-'01 Controls'!$E$6)</x:f>
        <x:v>18225</x:v>
      </x:c>
      <x:c r="S446" s="19" t="n">
        <x:v>90</x:v>
      </x:c>
      <x:c r="T446" s="20" t="n">
        <x:f>K446*S446</x:f>
        <x:v>540</x:v>
      </x:c>
      <x:c r="U446" s="18" t="n">
        <x:f>'01 Controls'!E41</x:f>
        <x:v>0.15</x:v>
      </x:c>
      <x:c r="V446" s="20" t="n">
        <x:f>R446*U446</x:f>
        <x:v>2733.75</x:v>
      </x:c>
      <x:c r="W446" s="18" t="n">
        <x:f>'01 Controls'!F41</x:f>
        <x:v>0.75</x:v>
      </x:c>
      <x:c r="X446" s="20" t="n">
        <x:f>R446*W446</x:f>
        <x:v>13668.75</x:v>
      </x:c>
      <x:c r="Y446" s="18" t="n">
        <x:f>'01 Controls'!G41</x:f>
        <x:v>0</x:v>
      </x:c>
      <x:c r="Z446" s="20" t="n">
        <x:f>R446*Y446</x:f>
        <x:v>0</x:v>
      </x:c>
      <x:c r="AA446" s="18" t="n">
        <x:f>'01 Controls'!H41</x:f>
        <x:v>0.1</x:v>
      </x:c>
      <x:c r="AB446" s="20" t="n">
        <x:f>R446*AA446</x:f>
        <x:v>1822.5</x:v>
      </x:c>
      <x:c r="AC446" s="20" t="n">
        <x:f>IF(H446="CM-HCG",K446*'01 Controls'!$E$24,0)</x:f>
        <x:v>0</x:v>
      </x:c>
      <x:c r="AD446" s="20" t="n">
        <x:f>IF(H446="CM-HCG",K446*'01 Controls'!$E$25,0)</x:f>
        <x:v>0</x:v>
      </x:c>
      <x:c r="AE446" s="20" t="n">
        <x:f>IF(H446="CM-HCG",K446*'01 Controls'!$E$26,0)</x:f>
        <x:v>0</x:v>
      </x:c>
      <x:c r="AF446" s="20" t="n">
        <x:f>IF(H446="CM-HCG",K446*'01 Controls'!$E$27,0)</x:f>
        <x:v>0</x:v>
      </x:c>
    </x:row>
    <x:row r="447">
      <x:c r="C447" s="22" t="str">
        <x:v>G2-L-GFG</x:v>
      </x:c>
      <x:c r="D447" s="22" t="n">
        <x:v>442</x:v>
      </x:c>
      <x:c r="E447" s="22" t="str">
        <x:v>G2</x:v>
      </x:c>
      <x:c r="F447" s="22" t="str">
        <x:v>Regional flood and displacement</x:v>
      </x:c>
      <x:c r="G447" s="22" t="n">
        <x:v>10</x:v>
      </x:c>
      <x:c r="H447" s="22" t="str">
        <x:v>L-GFG</x:v>
      </x:c>
      <x:c r="I447" s="22" t="str">
        <x:v>Land Engineering</x:v>
      </x:c>
      <x:c r="J447" s="22" t="str">
        <x:v>Ground fire and landscape group</x:v>
      </x:c>
      <x:c r="K447" s="23" t="n">
        <x:v>2</x:v>
      </x:c>
      <x:c r="L447" s="23" t="n">
        <x:v>450</x:v>
      </x:c>
      <x:c r="M447" s="23" t="n">
        <x:v>0</x:v>
      </x:c>
      <x:c r="N447" s="20" t="n">
        <x:f>K447*L447</x:f>
        <x:v>900</x:v>
      </x:c>
      <x:c r="O447" s="19" t="n">
        <x:v>9000</x:v>
      </x:c>
      <x:c r="P447" s="17" t="n">
        <x:v>0.45</x:v>
      </x:c>
      <x:c r="Q447" s="20" t="n">
        <x:f>K447*O447*P447</x:f>
        <x:v>8100</x:v>
      </x:c>
      <x:c r="R447" s="20" t="n">
        <x:f>Q447*(1-'01 Controls'!$E$6)</x:f>
        <x:v>6075</x:v>
      </x:c>
      <x:c r="S447" s="19" t="n">
        <x:v>90</x:v>
      </x:c>
      <x:c r="T447" s="20" t="n">
        <x:f>K447*S447</x:f>
        <x:v>180</x:v>
      </x:c>
      <x:c r="U447" s="18" t="n">
        <x:f>'01 Controls'!E41</x:f>
        <x:v>0.15</x:v>
      </x:c>
      <x:c r="V447" s="20" t="n">
        <x:f>R447*U447</x:f>
        <x:v>911.25</x:v>
      </x:c>
      <x:c r="W447" s="18" t="n">
        <x:f>'01 Controls'!F41</x:f>
        <x:v>0.75</x:v>
      </x:c>
      <x:c r="X447" s="20" t="n">
        <x:f>R447*W447</x:f>
        <x:v>4556.25</x:v>
      </x:c>
      <x:c r="Y447" s="18" t="n">
        <x:f>'01 Controls'!G41</x:f>
        <x:v>0</x:v>
      </x:c>
      <x:c r="Z447" s="20" t="n">
        <x:f>R447*Y447</x:f>
        <x:v>0</x:v>
      </x:c>
      <x:c r="AA447" s="18" t="n">
        <x:f>'01 Controls'!H41</x:f>
        <x:v>0.1</x:v>
      </x:c>
      <x:c r="AB447" s="20" t="n">
        <x:f>R447*AA447</x:f>
        <x:v>607.5</x:v>
      </x:c>
      <x:c r="AC447" s="20" t="n">
        <x:f>IF(H447="CM-HCG",K447*'01 Controls'!$E$24,0)</x:f>
        <x:v>0</x:v>
      </x:c>
      <x:c r="AD447" s="20" t="n">
        <x:f>IF(H447="CM-HCG",K447*'01 Controls'!$E$25,0)</x:f>
        <x:v>0</x:v>
      </x:c>
      <x:c r="AE447" s="20" t="n">
        <x:f>IF(H447="CM-HCG",K447*'01 Controls'!$E$26,0)</x:f>
        <x:v>0</x:v>
      </x:c>
      <x:c r="AF447" s="20" t="n">
        <x:f>IF(H447="CM-HCG",K447*'01 Controls'!$E$27,0)</x:f>
        <x:v>0</x:v>
      </x:c>
    </x:row>
    <x:row r="448">
      <x:c r="C448" s="22" t="str">
        <x:v>G2-A-SMW</x:v>
      </x:c>
      <x:c r="D448" s="22" t="n">
        <x:v>443</x:v>
      </x:c>
      <x:c r="E448" s="22" t="str">
        <x:v>G2</x:v>
      </x:c>
      <x:c r="F448" s="22" t="str">
        <x:v>Regional flood and displacement</x:v>
      </x:c>
      <x:c r="G448" s="22" t="n">
        <x:v>10</x:v>
      </x:c>
      <x:c r="H448" s="22" t="str">
        <x:v>A-SMW</x:v>
      </x:c>
      <x:c r="I448" s="22" t="str">
        <x:v>Air Response</x:v>
      </x:c>
      <x:c r="J448" s="22" t="str">
        <x:v>Strategic mobility wing</x:v>
      </x:c>
      <x:c r="K448" s="23" t="n">
        <x:v>5</x:v>
      </x:c>
      <x:c r="L448" s="23" t="n">
        <x:v>900</x:v>
      </x:c>
      <x:c r="M448" s="23" t="n">
        <x:v>0</x:v>
      </x:c>
      <x:c r="N448" s="20" t="n">
        <x:f>K448*L448</x:f>
        <x:v>4500</x:v>
      </x:c>
      <x:c r="O448" s="19" t="n">
        <x:v>5000</x:v>
      </x:c>
      <x:c r="P448" s="17" t="n">
        <x:v>0.75</x:v>
      </x:c>
      <x:c r="Q448" s="20" t="n">
        <x:f>K448*O448*P448</x:f>
        <x:v>18750</x:v>
      </x:c>
      <x:c r="R448" s="20" t="n">
        <x:f>Q448*(1-'01 Controls'!$E$6)</x:f>
        <x:v>14062.5</x:v>
      </x:c>
      <x:c r="S448" s="19" t="n">
        <x:v>100</x:v>
      </x:c>
      <x:c r="T448" s="20" t="n">
        <x:f>K448*S448</x:f>
        <x:v>500</x:v>
      </x:c>
      <x:c r="U448" s="18" t="n">
        <x:f>'01 Controls'!E41</x:f>
        <x:v>0.15</x:v>
      </x:c>
      <x:c r="V448" s="20" t="n">
        <x:f>R448*U448</x:f>
        <x:v>2109.375</x:v>
      </x:c>
      <x:c r="W448" s="18" t="n">
        <x:f>'01 Controls'!F41</x:f>
        <x:v>0.75</x:v>
      </x:c>
      <x:c r="X448" s="20" t="n">
        <x:f>R448*W448</x:f>
        <x:v>10546.875</x:v>
      </x:c>
      <x:c r="Y448" s="18" t="n">
        <x:f>'01 Controls'!G41</x:f>
        <x:v>0</x:v>
      </x:c>
      <x:c r="Z448" s="20" t="n">
        <x:f>R448*Y448</x:f>
        <x:v>0</x:v>
      </x:c>
      <x:c r="AA448" s="18" t="n">
        <x:f>'01 Controls'!H41</x:f>
        <x:v>0.1</x:v>
      </x:c>
      <x:c r="AB448" s="20" t="n">
        <x:f>R448*AA448</x:f>
        <x:v>1406.25</x:v>
      </x:c>
      <x:c r="AC448" s="20" t="n">
        <x:f>IF(H448="CM-HCG",K448*'01 Controls'!$E$24,0)</x:f>
        <x:v>0</x:v>
      </x:c>
      <x:c r="AD448" s="20" t="n">
        <x:f>IF(H448="CM-HCG",K448*'01 Controls'!$E$25,0)</x:f>
        <x:v>0</x:v>
      </x:c>
      <x:c r="AE448" s="20" t="n">
        <x:f>IF(H448="CM-HCG",K448*'01 Controls'!$E$26,0)</x:f>
        <x:v>0</x:v>
      </x:c>
      <x:c r="AF448" s="20" t="n">
        <x:f>IF(H448="CM-HCG",K448*'01 Controls'!$E$27,0)</x:f>
        <x:v>0</x:v>
      </x:c>
    </x:row>
    <x:row r="449">
      <x:c r="C449" s="22" t="str">
        <x:v>G2-A-AAG</x:v>
      </x:c>
      <x:c r="D449" s="22" t="n">
        <x:v>444</x:v>
      </x:c>
      <x:c r="E449" s="22" t="str">
        <x:v>G2</x:v>
      </x:c>
      <x:c r="F449" s="22" t="str">
        <x:v>Regional flood and displacement</x:v>
      </x:c>
      <x:c r="G449" s="22" t="n">
        <x:v>10</x:v>
      </x:c>
      <x:c r="H449" s="22" t="str">
        <x:v>A-AAG</x:v>
      </x:c>
      <x:c r="I449" s="22" t="str">
        <x:v>Air Response</x:v>
      </x:c>
      <x:c r="J449" s="22" t="str">
        <x:v>Austere air-access group</x:v>
      </x:c>
      <x:c r="K449" s="23" t="n">
        <x:v>5</x:v>
      </x:c>
      <x:c r="L449" s="23" t="n">
        <x:v>350</x:v>
      </x:c>
      <x:c r="M449" s="23" t="n">
        <x:v>0</x:v>
      </x:c>
      <x:c r="N449" s="20" t="n">
        <x:f>K449*L449</x:f>
        <x:v>1750</x:v>
      </x:c>
      <x:c r="O449" s="19" t="n">
        <x:v>5000</x:v>
      </x:c>
      <x:c r="P449" s="17" t="n">
        <x:v>0.75</x:v>
      </x:c>
      <x:c r="Q449" s="20" t="n">
        <x:f>K449*O449*P449</x:f>
        <x:v>18750</x:v>
      </x:c>
      <x:c r="R449" s="20" t="n">
        <x:f>Q449*(1-'01 Controls'!$E$6)</x:f>
        <x:v>14062.5</x:v>
      </x:c>
      <x:c r="S449" s="19" t="n">
        <x:v>100</x:v>
      </x:c>
      <x:c r="T449" s="20" t="n">
        <x:f>K449*S449</x:f>
        <x:v>500</x:v>
      </x:c>
      <x:c r="U449" s="18" t="n">
        <x:f>'01 Controls'!E41</x:f>
        <x:v>0.15</x:v>
      </x:c>
      <x:c r="V449" s="20" t="n">
        <x:f>R449*U449</x:f>
        <x:v>2109.375</x:v>
      </x:c>
      <x:c r="W449" s="18" t="n">
        <x:f>'01 Controls'!F41</x:f>
        <x:v>0.75</x:v>
      </x:c>
      <x:c r="X449" s="20" t="n">
        <x:f>R449*W449</x:f>
        <x:v>10546.875</x:v>
      </x:c>
      <x:c r="Y449" s="18" t="n">
        <x:f>'01 Controls'!G41</x:f>
        <x:v>0</x:v>
      </x:c>
      <x:c r="Z449" s="20" t="n">
        <x:f>R449*Y449</x:f>
        <x:v>0</x:v>
      </x:c>
      <x:c r="AA449" s="18" t="n">
        <x:f>'01 Controls'!H41</x:f>
        <x:v>0.1</x:v>
      </x:c>
      <x:c r="AB449" s="20" t="n">
        <x:f>R449*AA449</x:f>
        <x:v>1406.25</x:v>
      </x:c>
      <x:c r="AC449" s="20" t="n">
        <x:f>IF(H449="CM-HCG",K449*'01 Controls'!$E$24,0)</x:f>
        <x:v>0</x:v>
      </x:c>
      <x:c r="AD449" s="20" t="n">
        <x:f>IF(H449="CM-HCG",K449*'01 Controls'!$E$25,0)</x:f>
        <x:v>0</x:v>
      </x:c>
      <x:c r="AE449" s="20" t="n">
        <x:f>IF(H449="CM-HCG",K449*'01 Controls'!$E$26,0)</x:f>
        <x:v>0</x:v>
      </x:c>
      <x:c r="AF449" s="20" t="n">
        <x:f>IF(H449="CM-HCG",K449*'01 Controls'!$E$27,0)</x:f>
        <x:v>0</x:v>
      </x:c>
    </x:row>
    <x:row r="450">
      <x:c r="C450" s="22" t="str">
        <x:v>G2-A-AHW</x:v>
      </x:c>
      <x:c r="D450" s="22" t="n">
        <x:v>445</x:v>
      </x:c>
      <x:c r="E450" s="22" t="str">
        <x:v>G2</x:v>
      </x:c>
      <x:c r="F450" s="22" t="str">
        <x:v>Regional flood and displacement</x:v>
      </x:c>
      <x:c r="G450" s="22" t="n">
        <x:v>10</x:v>
      </x:c>
      <x:c r="H450" s="22" t="str">
        <x:v>A-AHW</x:v>
      </x:c>
      <x:c r="I450" s="22" t="str">
        <x:v>Air Response</x:v>
      </x:c>
      <x:c r="J450" s="22" t="str">
        <x:v>Aerial hazard-control wing</x:v>
      </x:c>
      <x:c r="K450" s="23" t="n">
        <x:v>1</x:v>
      </x:c>
      <x:c r="L450" s="23" t="n">
        <x:v>600</x:v>
      </x:c>
      <x:c r="M450" s="23" t="n">
        <x:v>0</x:v>
      </x:c>
      <x:c r="N450" s="20" t="n">
        <x:f>K450*L450</x:f>
        <x:v>600</x:v>
      </x:c>
      <x:c r="O450" s="19" t="n">
        <x:v>5000</x:v>
      </x:c>
      <x:c r="P450" s="17" t="n">
        <x:v>0.75</x:v>
      </x:c>
      <x:c r="Q450" s="20" t="n">
        <x:f>K450*O450*P450</x:f>
        <x:v>3750</x:v>
      </x:c>
      <x:c r="R450" s="20" t="n">
        <x:f>Q450*(1-'01 Controls'!$E$6)</x:f>
        <x:v>2812.5</x:v>
      </x:c>
      <x:c r="S450" s="19" t="n">
        <x:v>100</x:v>
      </x:c>
      <x:c r="T450" s="20" t="n">
        <x:f>K450*S450</x:f>
        <x:v>100</x:v>
      </x:c>
      <x:c r="U450" s="18" t="n">
        <x:f>'01 Controls'!E41</x:f>
        <x:v>0.15</x:v>
      </x:c>
      <x:c r="V450" s="20" t="n">
        <x:f>R450*U450</x:f>
        <x:v>421.875</x:v>
      </x:c>
      <x:c r="W450" s="18" t="n">
        <x:f>'01 Controls'!F41</x:f>
        <x:v>0.75</x:v>
      </x:c>
      <x:c r="X450" s="20" t="n">
        <x:f>R450*W450</x:f>
        <x:v>2109.375</x:v>
      </x:c>
      <x:c r="Y450" s="18" t="n">
        <x:f>'01 Controls'!G41</x:f>
        <x:v>0</x:v>
      </x:c>
      <x:c r="Z450" s="20" t="n">
        <x:f>R450*Y450</x:f>
        <x:v>0</x:v>
      </x:c>
      <x:c r="AA450" s="18" t="n">
        <x:f>'01 Controls'!H41</x:f>
        <x:v>0.1</x:v>
      </x:c>
      <x:c r="AB450" s="20" t="n">
        <x:f>R450*AA450</x:f>
        <x:v>281.25</x:v>
      </x:c>
      <x:c r="AC450" s="20" t="n">
        <x:f>IF(H450="CM-HCG",K450*'01 Controls'!$E$24,0)</x:f>
        <x:v>0</x:v>
      </x:c>
      <x:c r="AD450" s="20" t="n">
        <x:f>IF(H450="CM-HCG",K450*'01 Controls'!$E$25,0)</x:f>
        <x:v>0</x:v>
      </x:c>
      <x:c r="AE450" s="20" t="n">
        <x:f>IF(H450="CM-HCG",K450*'01 Controls'!$E$26,0)</x:f>
        <x:v>0</x:v>
      </x:c>
      <x:c r="AF450" s="20" t="n">
        <x:f>IF(H450="CM-HCG",K450*'01 Controls'!$E$27,0)</x:f>
        <x:v>0</x:v>
      </x:c>
    </x:row>
    <x:row r="451">
      <x:c r="C451" s="22" t="str">
        <x:v>G2-A-TDG</x:v>
      </x:c>
      <x:c r="D451" s="22" t="n">
        <x:v>446</x:v>
      </x:c>
      <x:c r="E451" s="22" t="str">
        <x:v>G2</x:v>
      </x:c>
      <x:c r="F451" s="22" t="str">
        <x:v>Regional flood and displacement</x:v>
      </x:c>
      <x:c r="G451" s="22" t="n">
        <x:v>10</x:v>
      </x:c>
      <x:c r="H451" s="22" t="str">
        <x:v>A-TDG</x:v>
      </x:c>
      <x:c r="I451" s="22" t="str">
        <x:v>Air Response</x:v>
      </x:c>
      <x:c r="J451" s="22" t="str">
        <x:v>Tactical distribution group</x:v>
      </x:c>
      <x:c r="K451" s="23" t="n">
        <x:v>8</x:v>
      </x:c>
      <x:c r="L451" s="23" t="n">
        <x:v>450</x:v>
      </x:c>
      <x:c r="M451" s="23" t="n">
        <x:v>0</x:v>
      </x:c>
      <x:c r="N451" s="20" t="n">
        <x:f>K451*L451</x:f>
        <x:v>3600</x:v>
      </x:c>
      <x:c r="O451" s="19" t="n">
        <x:v>5000</x:v>
      </x:c>
      <x:c r="P451" s="17" t="n">
        <x:v>0.75</x:v>
      </x:c>
      <x:c r="Q451" s="20" t="n">
        <x:f>K451*O451*P451</x:f>
        <x:v>30000</x:v>
      </x:c>
      <x:c r="R451" s="20" t="n">
        <x:f>Q451*(1-'01 Controls'!$E$6)</x:f>
        <x:v>22500</x:v>
      </x:c>
      <x:c r="S451" s="19" t="n">
        <x:v>100</x:v>
      </x:c>
      <x:c r="T451" s="20" t="n">
        <x:f>K451*S451</x:f>
        <x:v>800</x:v>
      </x:c>
      <x:c r="U451" s="18" t="n">
        <x:f>'01 Controls'!E41</x:f>
        <x:v>0.15</x:v>
      </x:c>
      <x:c r="V451" s="20" t="n">
        <x:f>R451*U451</x:f>
        <x:v>3375</x:v>
      </x:c>
      <x:c r="W451" s="18" t="n">
        <x:f>'01 Controls'!F41</x:f>
        <x:v>0.75</x:v>
      </x:c>
      <x:c r="X451" s="20" t="n">
        <x:f>R451*W451</x:f>
        <x:v>16875</x:v>
      </x:c>
      <x:c r="Y451" s="18" t="n">
        <x:f>'01 Controls'!G41</x:f>
        <x:v>0</x:v>
      </x:c>
      <x:c r="Z451" s="20" t="n">
        <x:f>R451*Y451</x:f>
        <x:v>0</x:v>
      </x:c>
      <x:c r="AA451" s="18" t="n">
        <x:f>'01 Controls'!H41</x:f>
        <x:v>0.1</x:v>
      </x:c>
      <x:c r="AB451" s="20" t="n">
        <x:f>R451*AA451</x:f>
        <x:v>2250</x:v>
      </x:c>
      <x:c r="AC451" s="20" t="n">
        <x:f>IF(H451="CM-HCG",K451*'01 Controls'!$E$24,0)</x:f>
        <x:v>0</x:v>
      </x:c>
      <x:c r="AD451" s="20" t="n">
        <x:f>IF(H451="CM-HCG",K451*'01 Controls'!$E$25,0)</x:f>
        <x:v>0</x:v>
      </x:c>
      <x:c r="AE451" s="20" t="n">
        <x:f>IF(H451="CM-HCG",K451*'01 Controls'!$E$26,0)</x:f>
        <x:v>0</x:v>
      </x:c>
      <x:c r="AF451" s="20" t="n">
        <x:f>IF(H451="CM-HCG",K451*'01 Controls'!$E$27,0)</x:f>
        <x:v>0</x:v>
      </x:c>
    </x:row>
    <x:row r="452">
      <x:c r="C452" s="22" t="str">
        <x:v>G2-A-SRG</x:v>
      </x:c>
      <x:c r="D452" s="22" t="n">
        <x:v>447</x:v>
      </x:c>
      <x:c r="E452" s="22" t="str">
        <x:v>G2</x:v>
      </x:c>
      <x:c r="F452" s="22" t="str">
        <x:v>Regional flood and displacement</x:v>
      </x:c>
      <x:c r="G452" s="22" t="n">
        <x:v>10</x:v>
      </x:c>
      <x:c r="H452" s="22" t="str">
        <x:v>A-SRG</x:v>
      </x:c>
      <x:c r="I452" s="22" t="str">
        <x:v>Air Response</x:v>
      </x:c>
      <x:c r="J452" s="22" t="str">
        <x:v>Air sensing and relay group</x:v>
      </x:c>
      <x:c r="K452" s="23" t="n">
        <x:v>5</x:v>
      </x:c>
      <x:c r="L452" s="23" t="n">
        <x:v>180</x:v>
      </x:c>
      <x:c r="M452" s="23" t="n">
        <x:v>0</x:v>
      </x:c>
      <x:c r="N452" s="20" t="n">
        <x:f>K452*L452</x:f>
        <x:v>900</x:v>
      </x:c>
      <x:c r="O452" s="19" t="n">
        <x:v>5000</x:v>
      </x:c>
      <x:c r="P452" s="17" t="n">
        <x:v>0.75</x:v>
      </x:c>
      <x:c r="Q452" s="20" t="n">
        <x:f>K452*O452*P452</x:f>
        <x:v>18750</x:v>
      </x:c>
      <x:c r="R452" s="20" t="n">
        <x:f>Q452*(1-'01 Controls'!$E$6)</x:f>
        <x:v>14062.5</x:v>
      </x:c>
      <x:c r="S452" s="19" t="n">
        <x:v>100</x:v>
      </x:c>
      <x:c r="T452" s="20" t="n">
        <x:f>K452*S452</x:f>
        <x:v>500</x:v>
      </x:c>
      <x:c r="U452" s="18" t="n">
        <x:f>'01 Controls'!E41</x:f>
        <x:v>0.15</x:v>
      </x:c>
      <x:c r="V452" s="20" t="n">
        <x:f>R452*U452</x:f>
        <x:v>2109.375</x:v>
      </x:c>
      <x:c r="W452" s="18" t="n">
        <x:f>'01 Controls'!F41</x:f>
        <x:v>0.75</x:v>
      </x:c>
      <x:c r="X452" s="20" t="n">
        <x:f>R452*W452</x:f>
        <x:v>10546.875</x:v>
      </x:c>
      <x:c r="Y452" s="18" t="n">
        <x:f>'01 Controls'!G41</x:f>
        <x:v>0</x:v>
      </x:c>
      <x:c r="Z452" s="20" t="n">
        <x:f>R452*Y452</x:f>
        <x:v>0</x:v>
      </x:c>
      <x:c r="AA452" s="18" t="n">
        <x:f>'01 Controls'!H41</x:f>
        <x:v>0.1</x:v>
      </x:c>
      <x:c r="AB452" s="20" t="n">
        <x:f>R452*AA452</x:f>
        <x:v>1406.25</x:v>
      </x:c>
      <x:c r="AC452" s="20" t="n">
        <x:f>IF(H452="CM-HCG",K452*'01 Controls'!$E$24,0)</x:f>
        <x:v>0</x:v>
      </x:c>
      <x:c r="AD452" s="20" t="n">
        <x:f>IF(H452="CM-HCG",K452*'01 Controls'!$E$25,0)</x:f>
        <x:v>0</x:v>
      </x:c>
      <x:c r="AE452" s="20" t="n">
        <x:f>IF(H452="CM-HCG",K452*'01 Controls'!$E$26,0)</x:f>
        <x:v>0</x:v>
      </x:c>
      <x:c r="AF452" s="20" t="n">
        <x:f>IF(H452="CM-HCG",K452*'01 Controls'!$E$27,0)</x:f>
        <x:v>0</x:v>
      </x:c>
    </x:row>
    <x:row r="453">
      <x:c r="C453" s="22" t="str">
        <x:v>G2-A-AMG</x:v>
      </x:c>
      <x:c r="D453" s="22" t="n">
        <x:v>448</x:v>
      </x:c>
      <x:c r="E453" s="22" t="str">
        <x:v>G2</x:v>
      </x:c>
      <x:c r="F453" s="22" t="str">
        <x:v>Regional flood and displacement</x:v>
      </x:c>
      <x:c r="G453" s="22" t="n">
        <x:v>10</x:v>
      </x:c>
      <x:c r="H453" s="22" t="str">
        <x:v>A-AMG</x:v>
      </x:c>
      <x:c r="I453" s="22" t="str">
        <x:v>Air Response</x:v>
      </x:c>
      <x:c r="J453" s="22" t="str">
        <x:v>Aeromedical movement group</x:v>
      </x:c>
      <x:c r="K453" s="23" t="n">
        <x:v>4</x:v>
      </x:c>
      <x:c r="L453" s="23" t="n">
        <x:v>300</x:v>
      </x:c>
      <x:c r="M453" s="23" t="n">
        <x:v>0</x:v>
      </x:c>
      <x:c r="N453" s="20" t="n">
        <x:f>K453*L453</x:f>
        <x:v>1200</x:v>
      </x:c>
      <x:c r="O453" s="19" t="n">
        <x:v>5000</x:v>
      </x:c>
      <x:c r="P453" s="17" t="n">
        <x:v>0.75</x:v>
      </x:c>
      <x:c r="Q453" s="20" t="n">
        <x:f>K453*O453*P453</x:f>
        <x:v>15000</x:v>
      </x:c>
      <x:c r="R453" s="20" t="n">
        <x:f>Q453*(1-'01 Controls'!$E$6)</x:f>
        <x:v>11250</x:v>
      </x:c>
      <x:c r="S453" s="19" t="n">
        <x:v>100</x:v>
      </x:c>
      <x:c r="T453" s="20" t="n">
        <x:f>K453*S453</x:f>
        <x:v>400</x:v>
      </x:c>
      <x:c r="U453" s="18" t="n">
        <x:f>'01 Controls'!E41</x:f>
        <x:v>0.15</x:v>
      </x:c>
      <x:c r="V453" s="20" t="n">
        <x:f>R453*U453</x:f>
        <x:v>1687.5</x:v>
      </x:c>
      <x:c r="W453" s="18" t="n">
        <x:f>'01 Controls'!F41</x:f>
        <x:v>0.75</x:v>
      </x:c>
      <x:c r="X453" s="20" t="n">
        <x:f>R453*W453</x:f>
        <x:v>8437.5</x:v>
      </x:c>
      <x:c r="Y453" s="18" t="n">
        <x:f>'01 Controls'!G41</x:f>
        <x:v>0</x:v>
      </x:c>
      <x:c r="Z453" s="20" t="n">
        <x:f>R453*Y453</x:f>
        <x:v>0</x:v>
      </x:c>
      <x:c r="AA453" s="18" t="n">
        <x:f>'01 Controls'!H41</x:f>
        <x:v>0.1</x:v>
      </x:c>
      <x:c r="AB453" s="20" t="n">
        <x:f>R453*AA453</x:f>
        <x:v>1125</x:v>
      </x:c>
      <x:c r="AC453" s="20" t="n">
        <x:f>IF(H453="CM-HCG",K453*'01 Controls'!$E$24,0)</x:f>
        <x:v>0</x:v>
      </x:c>
      <x:c r="AD453" s="20" t="n">
        <x:f>IF(H453="CM-HCG",K453*'01 Controls'!$E$25,0)</x:f>
        <x:v>0</x:v>
      </x:c>
      <x:c r="AE453" s="20" t="n">
        <x:f>IF(H453="CM-HCG",K453*'01 Controls'!$E$26,0)</x:f>
        <x:v>0</x:v>
      </x:c>
      <x:c r="AF453" s="20" t="n">
        <x:f>IF(H453="CM-HCG",K453*'01 Controls'!$E$27,0)</x:f>
        <x:v>0</x:v>
      </x:c>
    </x:row>
    <x:row r="454">
      <x:c r="C454" s="22" t="str">
        <x:v>G2-M-POG</x:v>
      </x:c>
      <x:c r="D454" s="22" t="n">
        <x:v>449</x:v>
      </x:c>
      <x:c r="E454" s="22" t="str">
        <x:v>G2</x:v>
      </x:c>
      <x:c r="F454" s="22" t="str">
        <x:v>Regional flood and displacement</x:v>
      </x:c>
      <x:c r="G454" s="22" t="n">
        <x:v>10</x:v>
      </x:c>
      <x:c r="H454" s="22" t="str">
        <x:v>M-POG</x:v>
      </x:c>
      <x:c r="I454" s="22" t="str">
        <x:v>Maritime Response</x:v>
      </x:c>
      <x:c r="J454" s="22" t="str">
        <x:v>Port-opening group</x:v>
      </x:c>
      <x:c r="K454" s="23" t="n">
        <x:v>6</x:v>
      </x:c>
      <x:c r="L454" s="23" t="n">
        <x:v>450</x:v>
      </x:c>
      <x:c r="M454" s="23" t="n">
        <x:v>0</x:v>
      </x:c>
      <x:c r="N454" s="20" t="n">
        <x:f>K454*L454</x:f>
        <x:v>2700</x:v>
      </x:c>
      <x:c r="O454" s="19" t="n">
        <x:v>8000</x:v>
      </x:c>
      <x:c r="P454" s="17" t="n">
        <x:v>0.35</x:v>
      </x:c>
      <x:c r="Q454" s="20" t="n">
        <x:f>K454*O454*P454</x:f>
        <x:v>16800</x:v>
      </x:c>
      <x:c r="R454" s="20" t="n">
        <x:f>Q454*(1-'01 Controls'!$E$6)</x:f>
        <x:v>12600</x:v>
      </x:c>
      <x:c r="S454" s="19" t="n">
        <x:v>120</x:v>
      </x:c>
      <x:c r="T454" s="20" t="n">
        <x:f>K454*S454</x:f>
        <x:v>720</x:v>
      </x:c>
      <x:c r="U454" s="18" t="n">
        <x:f>'01 Controls'!E41</x:f>
        <x:v>0.15</x:v>
      </x:c>
      <x:c r="V454" s="20" t="n">
        <x:f>R454*U454</x:f>
        <x:v>1890</x:v>
      </x:c>
      <x:c r="W454" s="18" t="n">
        <x:f>'01 Controls'!F41</x:f>
        <x:v>0.75</x:v>
      </x:c>
      <x:c r="X454" s="20" t="n">
        <x:f>R454*W454</x:f>
        <x:v>9450</x:v>
      </x:c>
      <x:c r="Y454" s="18" t="n">
        <x:f>'01 Controls'!G41</x:f>
        <x:v>0</x:v>
      </x:c>
      <x:c r="Z454" s="20" t="n">
        <x:f>R454*Y454</x:f>
        <x:v>0</x:v>
      </x:c>
      <x:c r="AA454" s="18" t="n">
        <x:f>'01 Controls'!H41</x:f>
        <x:v>0.1</x:v>
      </x:c>
      <x:c r="AB454" s="20" t="n">
        <x:f>R454*AA454</x:f>
        <x:v>1260</x:v>
      </x:c>
      <x:c r="AC454" s="20" t="n">
        <x:f>IF(H454="CM-HCG",K454*'01 Controls'!$E$24,0)</x:f>
        <x:v>0</x:v>
      </x:c>
      <x:c r="AD454" s="20" t="n">
        <x:f>IF(H454="CM-HCG",K454*'01 Controls'!$E$25,0)</x:f>
        <x:v>0</x:v>
      </x:c>
      <x:c r="AE454" s="20" t="n">
        <x:f>IF(H454="CM-HCG",K454*'01 Controls'!$E$26,0)</x:f>
        <x:v>0</x:v>
      </x:c>
      <x:c r="AF454" s="20" t="n">
        <x:f>IF(H454="CM-HCG",K454*'01 Controls'!$E$27,0)</x:f>
        <x:v>0</x:v>
      </x:c>
    </x:row>
    <x:row r="455">
      <x:c r="C455" s="22" t="str">
        <x:v>G2-M-LAG</x:v>
      </x:c>
      <x:c r="D455" s="22" t="n">
        <x:v>450</x:v>
      </x:c>
      <x:c r="E455" s="22" t="str">
        <x:v>G2</x:v>
      </x:c>
      <x:c r="F455" s="22" t="str">
        <x:v>Regional flood and displacement</x:v>
      </x:c>
      <x:c r="G455" s="22" t="n">
        <x:v>10</x:v>
      </x:c>
      <x:c r="H455" s="22" t="str">
        <x:v>M-LAG</x:v>
      </x:c>
      <x:c r="I455" s="22" t="str">
        <x:v>Maritime Response</x:v>
      </x:c>
      <x:c r="J455" s="22" t="str">
        <x:v>Littoral-access group</x:v>
      </x:c>
      <x:c r="K455" s="23" t="n">
        <x:v>8</x:v>
      </x:c>
      <x:c r="L455" s="23" t="n">
        <x:v>350</x:v>
      </x:c>
      <x:c r="M455" s="23" t="n">
        <x:v>0</x:v>
      </x:c>
      <x:c r="N455" s="20" t="n">
        <x:f>K455*L455</x:f>
        <x:v>2800</x:v>
      </x:c>
      <x:c r="O455" s="19" t="n">
        <x:v>8000</x:v>
      </x:c>
      <x:c r="P455" s="17" t="n">
        <x:v>0.35</x:v>
      </x:c>
      <x:c r="Q455" s="20" t="n">
        <x:f>K455*O455*P455</x:f>
        <x:v>22400</x:v>
      </x:c>
      <x:c r="R455" s="20" t="n">
        <x:f>Q455*(1-'01 Controls'!$E$6)</x:f>
        <x:v>16800</x:v>
      </x:c>
      <x:c r="S455" s="19" t="n">
        <x:v>120</x:v>
      </x:c>
      <x:c r="T455" s="20" t="n">
        <x:f>K455*S455</x:f>
        <x:v>960</x:v>
      </x:c>
      <x:c r="U455" s="18" t="n">
        <x:f>'01 Controls'!E41</x:f>
        <x:v>0.15</x:v>
      </x:c>
      <x:c r="V455" s="20" t="n">
        <x:f>R455*U455</x:f>
        <x:v>2520</x:v>
      </x:c>
      <x:c r="W455" s="18" t="n">
        <x:f>'01 Controls'!F41</x:f>
        <x:v>0.75</x:v>
      </x:c>
      <x:c r="X455" s="20" t="n">
        <x:f>R455*W455</x:f>
        <x:v>12600</x:v>
      </x:c>
      <x:c r="Y455" s="18" t="n">
        <x:f>'01 Controls'!G41</x:f>
        <x:v>0</x:v>
      </x:c>
      <x:c r="Z455" s="20" t="n">
        <x:f>R455*Y455</x:f>
        <x:v>0</x:v>
      </x:c>
      <x:c r="AA455" s="18" t="n">
        <x:f>'01 Controls'!H41</x:f>
        <x:v>0.1</x:v>
      </x:c>
      <x:c r="AB455" s="20" t="n">
        <x:f>R455*AA455</x:f>
        <x:v>1680</x:v>
      </x:c>
      <x:c r="AC455" s="20" t="n">
        <x:f>IF(H455="CM-HCG",K455*'01 Controls'!$E$24,0)</x:f>
        <x:v>0</x:v>
      </x:c>
      <x:c r="AD455" s="20" t="n">
        <x:f>IF(H455="CM-HCG",K455*'01 Controls'!$E$25,0)</x:f>
        <x:v>0</x:v>
      </x:c>
      <x:c r="AE455" s="20" t="n">
        <x:f>IF(H455="CM-HCG",K455*'01 Controls'!$E$26,0)</x:f>
        <x:v>0</x:v>
      </x:c>
      <x:c r="AF455" s="20" t="n">
        <x:f>IF(H455="CM-HCG",K455*'01 Controls'!$E$27,0)</x:f>
        <x:v>0</x:v>
      </x:c>
    </x:row>
    <x:row r="456">
      <x:c r="C456" s="22" t="str">
        <x:v>G2-M-IWG</x:v>
      </x:c>
      <x:c r="D456" s="22" t="n">
        <x:v>451</x:v>
      </x:c>
      <x:c r="E456" s="22" t="str">
        <x:v>G2</x:v>
      </x:c>
      <x:c r="F456" s="22" t="str">
        <x:v>Regional flood and displacement</x:v>
      </x:c>
      <x:c r="G456" s="22" t="n">
        <x:v>10</x:v>
      </x:c>
      <x:c r="H456" s="22" t="str">
        <x:v>M-IWG</x:v>
      </x:c>
      <x:c r="I456" s="22" t="str">
        <x:v>Maritime Response</x:v>
      </x:c>
      <x:c r="J456" s="22" t="str">
        <x:v>Inland-waterway group</x:v>
      </x:c>
      <x:c r="K456" s="23" t="n">
        <x:v>6</x:v>
      </x:c>
      <x:c r="L456" s="23" t="n">
        <x:v>250</x:v>
      </x:c>
      <x:c r="M456" s="23" t="n">
        <x:v>0</x:v>
      </x:c>
      <x:c r="N456" s="20" t="n">
        <x:f>K456*L456</x:f>
        <x:v>1500</x:v>
      </x:c>
      <x:c r="O456" s="19" t="n">
        <x:v>8000</x:v>
      </x:c>
      <x:c r="P456" s="17" t="n">
        <x:v>0.35</x:v>
      </x:c>
      <x:c r="Q456" s="20" t="n">
        <x:f>K456*O456*P456</x:f>
        <x:v>16800</x:v>
      </x:c>
      <x:c r="R456" s="20" t="n">
        <x:f>Q456*(1-'01 Controls'!$E$6)</x:f>
        <x:v>12600</x:v>
      </x:c>
      <x:c r="S456" s="19" t="n">
        <x:v>120</x:v>
      </x:c>
      <x:c r="T456" s="20" t="n">
        <x:f>K456*S456</x:f>
        <x:v>720</x:v>
      </x:c>
      <x:c r="U456" s="18" t="n">
        <x:f>'01 Controls'!E41</x:f>
        <x:v>0.15</x:v>
      </x:c>
      <x:c r="V456" s="20" t="n">
        <x:f>R456*U456</x:f>
        <x:v>1890</x:v>
      </x:c>
      <x:c r="W456" s="18" t="n">
        <x:f>'01 Controls'!F41</x:f>
        <x:v>0.75</x:v>
      </x:c>
      <x:c r="X456" s="20" t="n">
        <x:f>R456*W456</x:f>
        <x:v>9450</x:v>
      </x:c>
      <x:c r="Y456" s="18" t="n">
        <x:f>'01 Controls'!G41</x:f>
        <x:v>0</x:v>
      </x:c>
      <x:c r="Z456" s="20" t="n">
        <x:f>R456*Y456</x:f>
        <x:v>0</x:v>
      </x:c>
      <x:c r="AA456" s="18" t="n">
        <x:f>'01 Controls'!H41</x:f>
        <x:v>0.1</x:v>
      </x:c>
      <x:c r="AB456" s="20" t="n">
        <x:f>R456*AA456</x:f>
        <x:v>1260</x:v>
      </x:c>
      <x:c r="AC456" s="20" t="n">
        <x:f>IF(H456="CM-HCG",K456*'01 Controls'!$E$24,0)</x:f>
        <x:v>0</x:v>
      </x:c>
      <x:c r="AD456" s="20" t="n">
        <x:f>IF(H456="CM-HCG",K456*'01 Controls'!$E$25,0)</x:f>
        <x:v>0</x:v>
      </x:c>
      <x:c r="AE456" s="20" t="n">
        <x:f>IF(H456="CM-HCG",K456*'01 Controls'!$E$26,0)</x:f>
        <x:v>0</x:v>
      </x:c>
      <x:c r="AF456" s="20" t="n">
        <x:f>IF(H456="CM-HCG",K456*'01 Controls'!$E$27,0)</x:f>
        <x:v>0</x:v>
      </x:c>
    </x:row>
    <x:row r="457">
      <x:c r="C457" s="22" t="str">
        <x:v>G2-M-OSG</x:v>
      </x:c>
      <x:c r="D457" s="22" t="n">
        <x:v>452</x:v>
      </x:c>
      <x:c r="E457" s="22" t="str">
        <x:v>G2</x:v>
      </x:c>
      <x:c r="F457" s="22" t="str">
        <x:v>Regional flood and displacement</x:v>
      </x:c>
      <x:c r="G457" s="22" t="n">
        <x:v>10</x:v>
      </x:c>
      <x:c r="H457" s="22" t="str">
        <x:v>M-OSG</x:v>
      </x:c>
      <x:c r="I457" s="22" t="str">
        <x:v>Maritime Response</x:v>
      </x:c>
      <x:c r="J457" s="22" t="str">
        <x:v>Offshore-support group</x:v>
      </x:c>
      <x:c r="K457" s="23" t="n">
        <x:v>5</x:v>
      </x:c>
      <x:c r="L457" s="23" t="n">
        <x:v>700</x:v>
      </x:c>
      <x:c r="M457" s="23" t="n">
        <x:v>0</x:v>
      </x:c>
      <x:c r="N457" s="20" t="n">
        <x:f>K457*L457</x:f>
        <x:v>3500</x:v>
      </x:c>
      <x:c r="O457" s="19" t="n">
        <x:v>8000</x:v>
      </x:c>
      <x:c r="P457" s="17" t="n">
        <x:v>0.35</x:v>
      </x:c>
      <x:c r="Q457" s="20" t="n">
        <x:f>K457*O457*P457</x:f>
        <x:v>14000</x:v>
      </x:c>
      <x:c r="R457" s="20" t="n">
        <x:f>Q457*(1-'01 Controls'!$E$6)</x:f>
        <x:v>10500</x:v>
      </x:c>
      <x:c r="S457" s="19" t="n">
        <x:v>120</x:v>
      </x:c>
      <x:c r="T457" s="20" t="n">
        <x:f>K457*S457</x:f>
        <x:v>600</x:v>
      </x:c>
      <x:c r="U457" s="18" t="n">
        <x:f>'01 Controls'!E41</x:f>
        <x:v>0.15</x:v>
      </x:c>
      <x:c r="V457" s="20" t="n">
        <x:f>R457*U457</x:f>
        <x:v>1575</x:v>
      </x:c>
      <x:c r="W457" s="18" t="n">
        <x:f>'01 Controls'!F41</x:f>
        <x:v>0.75</x:v>
      </x:c>
      <x:c r="X457" s="20" t="n">
        <x:f>R457*W457</x:f>
        <x:v>7875</x:v>
      </x:c>
      <x:c r="Y457" s="18" t="n">
        <x:f>'01 Controls'!G41</x:f>
        <x:v>0</x:v>
      </x:c>
      <x:c r="Z457" s="20" t="n">
        <x:f>R457*Y457</x:f>
        <x:v>0</x:v>
      </x:c>
      <x:c r="AA457" s="18" t="n">
        <x:f>'01 Controls'!H41</x:f>
        <x:v>0.1</x:v>
      </x:c>
      <x:c r="AB457" s="20" t="n">
        <x:f>R457*AA457</x:f>
        <x:v>1050</x:v>
      </x:c>
      <x:c r="AC457" s="20" t="n">
        <x:f>IF(H457="CM-HCG",K457*'01 Controls'!$E$24,0)</x:f>
        <x:v>0</x:v>
      </x:c>
      <x:c r="AD457" s="20" t="n">
        <x:f>IF(H457="CM-HCG",K457*'01 Controls'!$E$25,0)</x:f>
        <x:v>0</x:v>
      </x:c>
      <x:c r="AE457" s="20" t="n">
        <x:f>IF(H457="CM-HCG",K457*'01 Controls'!$E$26,0)</x:f>
        <x:v>0</x:v>
      </x:c>
      <x:c r="AF457" s="20" t="n">
        <x:f>IF(H457="CM-HCG",K457*'01 Controls'!$E$27,0)</x:f>
        <x:v>0</x:v>
      </x:c>
    </x:row>
    <x:row r="458">
      <x:c r="C458" s="22" t="str">
        <x:v>G2-M-SSG</x:v>
      </x:c>
      <x:c r="D458" s="22" t="n">
        <x:v>453</x:v>
      </x:c>
      <x:c r="E458" s="22" t="str">
        <x:v>G2</x:v>
      </x:c>
      <x:c r="F458" s="22" t="str">
        <x:v>Regional flood and displacement</x:v>
      </x:c>
      <x:c r="G458" s="22" t="n">
        <x:v>10</x:v>
      </x:c>
      <x:c r="H458" s="22" t="str">
        <x:v>M-SSG</x:v>
      </x:c>
      <x:c r="I458" s="22" t="str">
        <x:v>Maritime Response</x:v>
      </x:c>
      <x:c r="J458" s="22" t="str">
        <x:v>Ocean sustainment group</x:v>
      </x:c>
      <x:c r="K458" s="23" t="n">
        <x:v>8</x:v>
      </x:c>
      <x:c r="L458" s="23" t="n">
        <x:v>650</x:v>
      </x:c>
      <x:c r="M458" s="23" t="n">
        <x:v>0</x:v>
      </x:c>
      <x:c r="N458" s="20" t="n">
        <x:f>K458*L458</x:f>
        <x:v>5200</x:v>
      </x:c>
      <x:c r="O458" s="19" t="n">
        <x:v>8000</x:v>
      </x:c>
      <x:c r="P458" s="17" t="n">
        <x:v>0.35</x:v>
      </x:c>
      <x:c r="Q458" s="20" t="n">
        <x:f>K458*O458*P458</x:f>
        <x:v>22400</x:v>
      </x:c>
      <x:c r="R458" s="20" t="n">
        <x:f>Q458*(1-'01 Controls'!$E$6)</x:f>
        <x:v>16800</x:v>
      </x:c>
      <x:c r="S458" s="19" t="n">
        <x:v>120</x:v>
      </x:c>
      <x:c r="T458" s="20" t="n">
        <x:f>K458*S458</x:f>
        <x:v>960</x:v>
      </x:c>
      <x:c r="U458" s="18" t="n">
        <x:f>'01 Controls'!E41</x:f>
        <x:v>0.15</x:v>
      </x:c>
      <x:c r="V458" s="20" t="n">
        <x:f>R458*U458</x:f>
        <x:v>2520</x:v>
      </x:c>
      <x:c r="W458" s="18" t="n">
        <x:f>'01 Controls'!F41</x:f>
        <x:v>0.75</x:v>
      </x:c>
      <x:c r="X458" s="20" t="n">
        <x:f>R458*W458</x:f>
        <x:v>12600</x:v>
      </x:c>
      <x:c r="Y458" s="18" t="n">
        <x:f>'01 Controls'!G41</x:f>
        <x:v>0</x:v>
      </x:c>
      <x:c r="Z458" s="20" t="n">
        <x:f>R458*Y458</x:f>
        <x:v>0</x:v>
      </x:c>
      <x:c r="AA458" s="18" t="n">
        <x:f>'01 Controls'!H41</x:f>
        <x:v>0.1</x:v>
      </x:c>
      <x:c r="AB458" s="20" t="n">
        <x:f>R458*AA458</x:f>
        <x:v>1680</x:v>
      </x:c>
      <x:c r="AC458" s="20" t="n">
        <x:f>IF(H458="CM-HCG",K458*'01 Controls'!$E$24,0)</x:f>
        <x:v>0</x:v>
      </x:c>
      <x:c r="AD458" s="20" t="n">
        <x:f>IF(H458="CM-HCG",K458*'01 Controls'!$E$25,0)</x:f>
        <x:v>0</x:v>
      </x:c>
      <x:c r="AE458" s="20" t="n">
        <x:f>IF(H458="CM-HCG",K458*'01 Controls'!$E$26,0)</x:f>
        <x:v>0</x:v>
      </x:c>
      <x:c r="AF458" s="20" t="n">
        <x:f>IF(H458="CM-HCG",K458*'01 Controls'!$E$27,0)</x:f>
        <x:v>0</x:v>
      </x:c>
    </x:row>
    <x:row r="459">
      <x:c r="C459" s="22" t="str">
        <x:v>G2-I-CUG</x:v>
      </x:c>
      <x:c r="D459" s="22" t="n">
        <x:v>454</x:v>
      </x:c>
      <x:c r="E459" s="22" t="str">
        <x:v>G2</x:v>
      </x:c>
      <x:c r="F459" s="22" t="str">
        <x:v>Regional flood and displacement</x:v>
      </x:c>
      <x:c r="G459" s="22" t="n">
        <x:v>10</x:v>
      </x:c>
      <x:c r="H459" s="22" t="str">
        <x:v>I-CUG</x:v>
      </x:c>
      <x:c r="I459" s="22" t="str">
        <x:v>Infrastructure Restoration</x:v>
      </x:c>
      <x:c r="J459" s="22" t="str">
        <x:v>Communications utility group</x:v>
      </x:c>
      <x:c r="K459" s="23" t="n">
        <x:v>8</x:v>
      </x:c>
      <x:c r="L459" s="23" t="n">
        <x:v>250</x:v>
      </x:c>
      <x:c r="M459" s="23" t="n">
        <x:v>0</x:v>
      </x:c>
      <x:c r="N459" s="20" t="n">
        <x:f>K459*L459</x:f>
        <x:v>2000</x:v>
      </x:c>
      <x:c r="O459" s="19" t="n">
        <x:v>12000</x:v>
      </x:c>
      <x:c r="P459" s="17" t="n">
        <x:v>0.4</x:v>
      </x:c>
      <x:c r="Q459" s="20" t="n">
        <x:f>K459*O459*P459</x:f>
        <x:v>38400</x:v>
      </x:c>
      <x:c r="R459" s="20" t="n">
        <x:f>Q459*(1-'01 Controls'!$E$6)</x:f>
        <x:v>28800</x:v>
      </x:c>
      <x:c r="S459" s="19" t="n">
        <x:v>110</x:v>
      </x:c>
      <x:c r="T459" s="20" t="n">
        <x:f>K459*S459</x:f>
        <x:v>880</x:v>
      </x:c>
      <x:c r="U459" s="18" t="n">
        <x:f>'01 Controls'!E41</x:f>
        <x:v>0.15</x:v>
      </x:c>
      <x:c r="V459" s="20" t="n">
        <x:f>R459*U459</x:f>
        <x:v>4320</x:v>
      </x:c>
      <x:c r="W459" s="18" t="n">
        <x:f>'01 Controls'!F41</x:f>
        <x:v>0.75</x:v>
      </x:c>
      <x:c r="X459" s="20" t="n">
        <x:f>R459*W459</x:f>
        <x:v>21600</x:v>
      </x:c>
      <x:c r="Y459" s="18" t="n">
        <x:f>'01 Controls'!G41</x:f>
        <x:v>0</x:v>
      </x:c>
      <x:c r="Z459" s="20" t="n">
        <x:f>R459*Y459</x:f>
        <x:v>0</x:v>
      </x:c>
      <x:c r="AA459" s="18" t="n">
        <x:f>'01 Controls'!H41</x:f>
        <x:v>0.1</x:v>
      </x:c>
      <x:c r="AB459" s="20" t="n">
        <x:f>R459*AA459</x:f>
        <x:v>2880</x:v>
      </x:c>
      <x:c r="AC459" s="20" t="n">
        <x:f>IF(H459="CM-HCG",K459*'01 Controls'!$E$24,0)</x:f>
        <x:v>0</x:v>
      </x:c>
      <x:c r="AD459" s="20" t="n">
        <x:f>IF(H459="CM-HCG",K459*'01 Controls'!$E$25,0)</x:f>
        <x:v>0</x:v>
      </x:c>
      <x:c r="AE459" s="20" t="n">
        <x:f>IF(H459="CM-HCG",K459*'01 Controls'!$E$26,0)</x:f>
        <x:v>0</x:v>
      </x:c>
      <x:c r="AF459" s="20" t="n">
        <x:f>IF(H459="CM-HCG",K459*'01 Controls'!$E$27,0)</x:f>
        <x:v>0</x:v>
      </x:c>
    </x:row>
    <x:row r="460">
      <x:c r="C460" s="22" t="str">
        <x:v>G2-I-TSG</x:v>
      </x:c>
      <x:c r="D460" s="22" t="n">
        <x:v>455</x:v>
      </x:c>
      <x:c r="E460" s="22" t="str">
        <x:v>G2</x:v>
      </x:c>
      <x:c r="F460" s="22" t="str">
        <x:v>Regional flood and displacement</x:v>
      </x:c>
      <x:c r="G460" s="22" t="n">
        <x:v>10</x:v>
      </x:c>
      <x:c r="H460" s="22" t="str">
        <x:v>I-TSG</x:v>
      </x:c>
      <x:c r="I460" s="22" t="str">
        <x:v>Infrastructure Restoration</x:v>
      </x:c>
      <x:c r="J460" s="22" t="str">
        <x:v>Thermal safety group</x:v>
      </x:c>
      <x:c r="K460" s="23" t="n">
        <x:v>5</x:v>
      </x:c>
      <x:c r="L460" s="23" t="n">
        <x:v>250</x:v>
      </x:c>
      <x:c r="M460" s="23" t="n">
        <x:v>0</x:v>
      </x:c>
      <x:c r="N460" s="20" t="n">
        <x:f>K460*L460</x:f>
        <x:v>1250</x:v>
      </x:c>
      <x:c r="O460" s="19" t="n">
        <x:v>12000</x:v>
      </x:c>
      <x:c r="P460" s="17" t="n">
        <x:v>0.4</x:v>
      </x:c>
      <x:c r="Q460" s="20" t="n">
        <x:f>K460*O460*P460</x:f>
        <x:v>24000</x:v>
      </x:c>
      <x:c r="R460" s="20" t="n">
        <x:f>Q460*(1-'01 Controls'!$E$6)</x:f>
        <x:v>18000</x:v>
      </x:c>
      <x:c r="S460" s="19" t="n">
        <x:v>110</x:v>
      </x:c>
      <x:c r="T460" s="20" t="n">
        <x:f>K460*S460</x:f>
        <x:v>550</x:v>
      </x:c>
      <x:c r="U460" s="18" t="n">
        <x:f>'01 Controls'!E41</x:f>
        <x:v>0.15</x:v>
      </x:c>
      <x:c r="V460" s="20" t="n">
        <x:f>R460*U460</x:f>
        <x:v>2700</x:v>
      </x:c>
      <x:c r="W460" s="18" t="n">
        <x:f>'01 Controls'!F41</x:f>
        <x:v>0.75</x:v>
      </x:c>
      <x:c r="X460" s="20" t="n">
        <x:f>R460*W460</x:f>
        <x:v>13500</x:v>
      </x:c>
      <x:c r="Y460" s="18" t="n">
        <x:f>'01 Controls'!G41</x:f>
        <x:v>0</x:v>
      </x:c>
      <x:c r="Z460" s="20" t="n">
        <x:f>R460*Y460</x:f>
        <x:v>0</x:v>
      </x:c>
      <x:c r="AA460" s="18" t="n">
        <x:f>'01 Controls'!H41</x:f>
        <x:v>0.1</x:v>
      </x:c>
      <x:c r="AB460" s="20" t="n">
        <x:f>R460*AA460</x:f>
        <x:v>1800</x:v>
      </x:c>
      <x:c r="AC460" s="20" t="n">
        <x:f>IF(H460="CM-HCG",K460*'01 Controls'!$E$24,0)</x:f>
        <x:v>0</x:v>
      </x:c>
      <x:c r="AD460" s="20" t="n">
        <x:f>IF(H460="CM-HCG",K460*'01 Controls'!$E$25,0)</x:f>
        <x:v>0</x:v>
      </x:c>
      <x:c r="AE460" s="20" t="n">
        <x:f>IF(H460="CM-HCG",K460*'01 Controls'!$E$26,0)</x:f>
        <x:v>0</x:v>
      </x:c>
      <x:c r="AF460" s="20" t="n">
        <x:f>IF(H460="CM-HCG",K460*'01 Controls'!$E$27,0)</x:f>
        <x:v>0</x:v>
      </x:c>
    </x:row>
    <x:row r="461">
      <x:c r="C461" s="22" t="str">
        <x:v>G2-I-URG</x:v>
      </x:c>
      <x:c r="D461" s="22" t="n">
        <x:v>456</x:v>
      </x:c>
      <x:c r="E461" s="22" t="str">
        <x:v>G2</x:v>
      </x:c>
      <x:c r="F461" s="22" t="str">
        <x:v>Regional flood and displacement</x:v>
      </x:c>
      <x:c r="G461" s="22" t="n">
        <x:v>10</x:v>
      </x:c>
      <x:c r="H461" s="22" t="str">
        <x:v>I-URG</x:v>
      </x:c>
      <x:c r="I461" s="22" t="str">
        <x:v>Infrastructure Restoration</x:v>
      </x:c>
      <x:c r="J461" s="22" t="str">
        <x:v>Utility reconstruction group</x:v>
      </x:c>
      <x:c r="K461" s="23" t="n">
        <x:v>8</x:v>
      </x:c>
      <x:c r="L461" s="23" t="n">
        <x:v>450</x:v>
      </x:c>
      <x:c r="M461" s="23" t="n">
        <x:v>0</x:v>
      </x:c>
      <x:c r="N461" s="20" t="n">
        <x:f>K461*L461</x:f>
        <x:v>3600</x:v>
      </x:c>
      <x:c r="O461" s="19" t="n">
        <x:v>12000</x:v>
      </x:c>
      <x:c r="P461" s="17" t="n">
        <x:v>0.4</x:v>
      </x:c>
      <x:c r="Q461" s="20" t="n">
        <x:f>K461*O461*P461</x:f>
        <x:v>38400</x:v>
      </x:c>
      <x:c r="R461" s="20" t="n">
        <x:f>Q461*(1-'01 Controls'!$E$6)</x:f>
        <x:v>28800</x:v>
      </x:c>
      <x:c r="S461" s="19" t="n">
        <x:v>110</x:v>
      </x:c>
      <x:c r="T461" s="20" t="n">
        <x:f>K461*S461</x:f>
        <x:v>880</x:v>
      </x:c>
      <x:c r="U461" s="18" t="n">
        <x:f>'01 Controls'!E41</x:f>
        <x:v>0.15</x:v>
      </x:c>
      <x:c r="V461" s="20" t="n">
        <x:f>R461*U461</x:f>
        <x:v>4320</x:v>
      </x:c>
      <x:c r="W461" s="18" t="n">
        <x:f>'01 Controls'!F41</x:f>
        <x:v>0.75</x:v>
      </x:c>
      <x:c r="X461" s="20" t="n">
        <x:f>R461*W461</x:f>
        <x:v>21600</x:v>
      </x:c>
      <x:c r="Y461" s="18" t="n">
        <x:f>'01 Controls'!G41</x:f>
        <x:v>0</x:v>
      </x:c>
      <x:c r="Z461" s="20" t="n">
        <x:f>R461*Y461</x:f>
        <x:v>0</x:v>
      </x:c>
      <x:c r="AA461" s="18" t="n">
        <x:f>'01 Controls'!H41</x:f>
        <x:v>0.1</x:v>
      </x:c>
      <x:c r="AB461" s="20" t="n">
        <x:f>R461*AA461</x:f>
        <x:v>2880</x:v>
      </x:c>
      <x:c r="AC461" s="20" t="n">
        <x:f>IF(H461="CM-HCG",K461*'01 Controls'!$E$24,0)</x:f>
        <x:v>0</x:v>
      </x:c>
      <x:c r="AD461" s="20" t="n">
        <x:f>IF(H461="CM-HCG",K461*'01 Controls'!$E$25,0)</x:f>
        <x:v>0</x:v>
      </x:c>
      <x:c r="AE461" s="20" t="n">
        <x:f>IF(H461="CM-HCG",K461*'01 Controls'!$E$26,0)</x:f>
        <x:v>0</x:v>
      </x:c>
      <x:c r="AF461" s="20" t="n">
        <x:f>IF(H461="CM-HCG",K461*'01 Controls'!$E$27,0)</x:f>
        <x:v>0</x:v>
      </x:c>
    </x:row>
    <x:row r="462">
      <x:c r="C462" s="22" t="str">
        <x:v>G2-H-CHC</x:v>
      </x:c>
      <x:c r="D462" s="22" t="n">
        <x:v>457</x:v>
      </x:c>
      <x:c r="E462" s="22" t="str">
        <x:v>G2</x:v>
      </x:c>
      <x:c r="F462" s="22" t="str">
        <x:v>Regional flood and displacement</x:v>
      </x:c>
      <x:c r="G462" s="22" t="n">
        <x:v>10</x:v>
      </x:c>
      <x:c r="H462" s="22" t="str">
        <x:v>H-CHC</x:v>
      </x:c>
      <x:c r="I462" s="22" t="str">
        <x:v>Health Protection</x:v>
      </x:c>
      <x:c r="J462" s="22" t="str">
        <x:v>Community health continuity group</x:v>
      </x:c>
      <x:c r="K462" s="23" t="n">
        <x:v>10</x:v>
      </x:c>
      <x:c r="L462" s="23" t="n">
        <x:v>500</x:v>
      </x:c>
      <x:c r="M462" s="23" t="n">
        <x:v>0</x:v>
      </x:c>
      <x:c r="N462" s="20" t="n">
        <x:f>K462*L462</x:f>
        <x:v>5000</x:v>
      </x:c>
      <x:c r="O462" s="19" t="n">
        <x:v>5000</x:v>
      </x:c>
      <x:c r="P462" s="17" t="n">
        <x:v>0.7</x:v>
      </x:c>
      <x:c r="Q462" s="20" t="n">
        <x:f>K462*O462*P462</x:f>
        <x:v>35000</x:v>
      </x:c>
      <x:c r="R462" s="20" t="n">
        <x:f>Q462*(1-'01 Controls'!$E$6)</x:f>
        <x:v>26250</x:v>
      </x:c>
      <x:c r="S462" s="19" t="n">
        <x:v>55</x:v>
      </x:c>
      <x:c r="T462" s="20" t="n">
        <x:f>K462*S462</x:f>
        <x:v>550</x:v>
      </x:c>
      <x:c r="U462" s="18" t="n">
        <x:f>'01 Controls'!E41</x:f>
        <x:v>0.15</x:v>
      </x:c>
      <x:c r="V462" s="20" t="n">
        <x:f>R462*U462</x:f>
        <x:v>3937.5</x:v>
      </x:c>
      <x:c r="W462" s="18" t="n">
        <x:f>'01 Controls'!F41</x:f>
        <x:v>0.75</x:v>
      </x:c>
      <x:c r="X462" s="20" t="n">
        <x:f>R462*W462</x:f>
        <x:v>19687.5</x:v>
      </x:c>
      <x:c r="Y462" s="18" t="n">
        <x:f>'01 Controls'!G41</x:f>
        <x:v>0</x:v>
      </x:c>
      <x:c r="Z462" s="20" t="n">
        <x:f>R462*Y462</x:f>
        <x:v>0</x:v>
      </x:c>
      <x:c r="AA462" s="18" t="n">
        <x:f>'01 Controls'!H41</x:f>
        <x:v>0.1</x:v>
      </x:c>
      <x:c r="AB462" s="20" t="n">
        <x:f>R462*AA462</x:f>
        <x:v>2625</x:v>
      </x:c>
      <x:c r="AC462" s="20" t="n">
        <x:f>IF(H462="CM-HCG",K462*'01 Controls'!$E$24,0)</x:f>
        <x:v>0</x:v>
      </x:c>
      <x:c r="AD462" s="20" t="n">
        <x:f>IF(H462="CM-HCG",K462*'01 Controls'!$E$25,0)</x:f>
        <x:v>0</x:v>
      </x:c>
      <x:c r="AE462" s="20" t="n">
        <x:f>IF(H462="CM-HCG",K462*'01 Controls'!$E$26,0)</x:f>
        <x:v>0</x:v>
      </x:c>
      <x:c r="AF462" s="20" t="n">
        <x:f>IF(H462="CM-HCG",K462*'01 Controls'!$E$27,0)</x:f>
        <x:v>0</x:v>
      </x:c>
    </x:row>
    <x:row r="463">
      <x:c r="C463" s="22" t="str">
        <x:v>G2-H-MAC</x:v>
      </x:c>
      <x:c r="D463" s="22" t="n">
        <x:v>458</x:v>
      </x:c>
      <x:c r="E463" s="22" t="str">
        <x:v>G2</x:v>
      </x:c>
      <x:c r="F463" s="22" t="str">
        <x:v>Regional flood and displacement</x:v>
      </x:c>
      <x:c r="G463" s="22" t="n">
        <x:v>10</x:v>
      </x:c>
      <x:c r="H463" s="22" t="str">
        <x:v>H-MAC</x:v>
      </x:c>
      <x:c r="I463" s="22" t="str">
        <x:v>Health Protection</x:v>
      </x:c>
      <x:c r="J463" s="22" t="str">
        <x:v>Mobile acute-care group</x:v>
      </x:c>
      <x:c r="K463" s="23" t="n">
        <x:v>6</x:v>
      </x:c>
      <x:c r="L463" s="23" t="n">
        <x:v>600</x:v>
      </x:c>
      <x:c r="M463" s="23" t="n">
        <x:v>0</x:v>
      </x:c>
      <x:c r="N463" s="20" t="n">
        <x:f>K463*L463</x:f>
        <x:v>3600</x:v>
      </x:c>
      <x:c r="O463" s="19" t="n">
        <x:v>5000</x:v>
      </x:c>
      <x:c r="P463" s="17" t="n">
        <x:v>0.7</x:v>
      </x:c>
      <x:c r="Q463" s="20" t="n">
        <x:f>K463*O463*P463</x:f>
        <x:v>21000</x:v>
      </x:c>
      <x:c r="R463" s="20" t="n">
        <x:f>Q463*(1-'01 Controls'!$E$6)</x:f>
        <x:v>15750</x:v>
      </x:c>
      <x:c r="S463" s="19" t="n">
        <x:v>55</x:v>
      </x:c>
      <x:c r="T463" s="20" t="n">
        <x:f>K463*S463</x:f>
        <x:v>330</x:v>
      </x:c>
      <x:c r="U463" s="18" t="n">
        <x:f>'01 Controls'!E41</x:f>
        <x:v>0.15</x:v>
      </x:c>
      <x:c r="V463" s="20" t="n">
        <x:f>R463*U463</x:f>
        <x:v>2362.5</x:v>
      </x:c>
      <x:c r="W463" s="18" t="n">
        <x:f>'01 Controls'!F41</x:f>
        <x:v>0.75</x:v>
      </x:c>
      <x:c r="X463" s="20" t="n">
        <x:f>R463*W463</x:f>
        <x:v>11812.5</x:v>
      </x:c>
      <x:c r="Y463" s="18" t="n">
        <x:f>'01 Controls'!G41</x:f>
        <x:v>0</x:v>
      </x:c>
      <x:c r="Z463" s="20" t="n">
        <x:f>R463*Y463</x:f>
        <x:v>0</x:v>
      </x:c>
      <x:c r="AA463" s="18" t="n">
        <x:f>'01 Controls'!H41</x:f>
        <x:v>0.1</x:v>
      </x:c>
      <x:c r="AB463" s="20" t="n">
        <x:f>R463*AA463</x:f>
        <x:v>1575</x:v>
      </x:c>
      <x:c r="AC463" s="20" t="n">
        <x:f>IF(H463="CM-HCG",K463*'01 Controls'!$E$24,0)</x:f>
        <x:v>0</x:v>
      </x:c>
      <x:c r="AD463" s="20" t="n">
        <x:f>IF(H463="CM-HCG",K463*'01 Controls'!$E$25,0)</x:f>
        <x:v>0</x:v>
      </x:c>
      <x:c r="AE463" s="20" t="n">
        <x:f>IF(H463="CM-HCG",K463*'01 Controls'!$E$26,0)</x:f>
        <x:v>0</x:v>
      </x:c>
      <x:c r="AF463" s="20" t="n">
        <x:f>IF(H463="CM-HCG",K463*'01 Controls'!$E$27,0)</x:f>
        <x:v>0</x:v>
      </x:c>
    </x:row>
    <x:row r="464">
      <x:c r="C464" s="22" t="str">
        <x:v>G2-H-PHC</x:v>
      </x:c>
      <x:c r="D464" s="22" t="n">
        <x:v>459</x:v>
      </x:c>
      <x:c r="E464" s="22" t="str">
        <x:v>G2</x:v>
      </x:c>
      <x:c r="F464" s="22" t="str">
        <x:v>Regional flood and displacement</x:v>
      </x:c>
      <x:c r="G464" s="22" t="n">
        <x:v>10</x:v>
      </x:c>
      <x:c r="H464" s="22" t="str">
        <x:v>H-PHC</x:v>
      </x:c>
      <x:c r="I464" s="22" t="str">
        <x:v>Health Protection</x:v>
      </x:c>
      <x:c r="J464" s="22" t="str">
        <x:v>Public-health control group</x:v>
      </x:c>
      <x:c r="K464" s="23" t="n">
        <x:v>6</x:v>
      </x:c>
      <x:c r="L464" s="23" t="n">
        <x:v>250</x:v>
      </x:c>
      <x:c r="M464" s="23" t="n">
        <x:v>0</x:v>
      </x:c>
      <x:c r="N464" s="20" t="n">
        <x:f>K464*L464</x:f>
        <x:v>1500</x:v>
      </x:c>
      <x:c r="O464" s="19" t="n">
        <x:v>5000</x:v>
      </x:c>
      <x:c r="P464" s="17" t="n">
        <x:v>0.7</x:v>
      </x:c>
      <x:c r="Q464" s="20" t="n">
        <x:f>K464*O464*P464</x:f>
        <x:v>21000</x:v>
      </x:c>
      <x:c r="R464" s="20" t="n">
        <x:f>Q464*(1-'01 Controls'!$E$6)</x:f>
        <x:v>15750</x:v>
      </x:c>
      <x:c r="S464" s="19" t="n">
        <x:v>55</x:v>
      </x:c>
      <x:c r="T464" s="20" t="n">
        <x:f>K464*S464</x:f>
        <x:v>330</x:v>
      </x:c>
      <x:c r="U464" s="18" t="n">
        <x:f>'01 Controls'!E41</x:f>
        <x:v>0.15</x:v>
      </x:c>
      <x:c r="V464" s="20" t="n">
        <x:f>R464*U464</x:f>
        <x:v>2362.5</x:v>
      </x:c>
      <x:c r="W464" s="18" t="n">
        <x:f>'01 Controls'!F41</x:f>
        <x:v>0.75</x:v>
      </x:c>
      <x:c r="X464" s="20" t="n">
        <x:f>R464*W464</x:f>
        <x:v>11812.5</x:v>
      </x:c>
      <x:c r="Y464" s="18" t="n">
        <x:f>'01 Controls'!G41</x:f>
        <x:v>0</x:v>
      </x:c>
      <x:c r="Z464" s="20" t="n">
        <x:f>R464*Y464</x:f>
        <x:v>0</x:v>
      </x:c>
      <x:c r="AA464" s="18" t="n">
        <x:f>'01 Controls'!H41</x:f>
        <x:v>0.1</x:v>
      </x:c>
      <x:c r="AB464" s="20" t="n">
        <x:f>R464*AA464</x:f>
        <x:v>1575</x:v>
      </x:c>
      <x:c r="AC464" s="20" t="n">
        <x:f>IF(H464="CM-HCG",K464*'01 Controls'!$E$24,0)</x:f>
        <x:v>0</x:v>
      </x:c>
      <x:c r="AD464" s="20" t="n">
        <x:f>IF(H464="CM-HCG",K464*'01 Controls'!$E$25,0)</x:f>
        <x:v>0</x:v>
      </x:c>
      <x:c r="AE464" s="20" t="n">
        <x:f>IF(H464="CM-HCG",K464*'01 Controls'!$E$26,0)</x:f>
        <x:v>0</x:v>
      </x:c>
      <x:c r="AF464" s="20" t="n">
        <x:f>IF(H464="CM-HCG",K464*'01 Controls'!$E$27,0)</x:f>
        <x:v>0</x:v>
      </x:c>
    </x:row>
    <x:row r="465">
      <x:c r="C465" s="22" t="str">
        <x:v>G2-H-HWR</x:v>
      </x:c>
      <x:c r="D465" s="22" t="n">
        <x:v>460</x:v>
      </x:c>
      <x:c r="E465" s="22" t="str">
        <x:v>G2</x:v>
      </x:c>
      <x:c r="F465" s="22" t="str">
        <x:v>Regional flood and displacement</x:v>
      </x:c>
      <x:c r="G465" s="22" t="n">
        <x:v>10</x:v>
      </x:c>
      <x:c r="H465" s="22" t="str">
        <x:v>H-HWR</x:v>
      </x:c>
      <x:c r="I465" s="22" t="str">
        <x:v>Health Protection</x:v>
      </x:c>
      <x:c r="J465" s="22" t="str">
        <x:v>Health workforce replacement group</x:v>
      </x:c>
      <x:c r="K465" s="23" t="n">
        <x:v>10</x:v>
      </x:c>
      <x:c r="L465" s="23" t="n">
        <x:v>550</x:v>
      </x:c>
      <x:c r="M465" s="23" t="n">
        <x:v>0</x:v>
      </x:c>
      <x:c r="N465" s="20" t="n">
        <x:f>K465*L465</x:f>
        <x:v>5500</x:v>
      </x:c>
      <x:c r="O465" s="19" t="n">
        <x:v>5000</x:v>
      </x:c>
      <x:c r="P465" s="17" t="n">
        <x:v>0.7</x:v>
      </x:c>
      <x:c r="Q465" s="20" t="n">
        <x:f>K465*O465*P465</x:f>
        <x:v>35000</x:v>
      </x:c>
      <x:c r="R465" s="20" t="n">
        <x:f>Q465*(1-'01 Controls'!$E$6)</x:f>
        <x:v>26250</x:v>
      </x:c>
      <x:c r="S465" s="19" t="n">
        <x:v>55</x:v>
      </x:c>
      <x:c r="T465" s="20" t="n">
        <x:f>K465*S465</x:f>
        <x:v>550</x:v>
      </x:c>
      <x:c r="U465" s="18" t="n">
        <x:f>'01 Controls'!E41</x:f>
        <x:v>0.15</x:v>
      </x:c>
      <x:c r="V465" s="20" t="n">
        <x:f>R465*U465</x:f>
        <x:v>3937.5</x:v>
      </x:c>
      <x:c r="W465" s="18" t="n">
        <x:f>'01 Controls'!F41</x:f>
        <x:v>0.75</x:v>
      </x:c>
      <x:c r="X465" s="20" t="n">
        <x:f>R465*W465</x:f>
        <x:v>19687.5</x:v>
      </x:c>
      <x:c r="Y465" s="18" t="n">
        <x:f>'01 Controls'!G41</x:f>
        <x:v>0</x:v>
      </x:c>
      <x:c r="Z465" s="20" t="n">
        <x:f>R465*Y465</x:f>
        <x:v>0</x:v>
      </x:c>
      <x:c r="AA465" s="18" t="n">
        <x:f>'01 Controls'!H41</x:f>
        <x:v>0.1</x:v>
      </x:c>
      <x:c r="AB465" s="20" t="n">
        <x:f>R465*AA465</x:f>
        <x:v>2625</x:v>
      </x:c>
      <x:c r="AC465" s="20" t="n">
        <x:f>IF(H465="CM-HCG",K465*'01 Controls'!$E$24,0)</x:f>
        <x:v>0</x:v>
      </x:c>
      <x:c r="AD465" s="20" t="n">
        <x:f>IF(H465="CM-HCG",K465*'01 Controls'!$E$25,0)</x:f>
        <x:v>0</x:v>
      </x:c>
      <x:c r="AE465" s="20" t="n">
        <x:f>IF(H465="CM-HCG",K465*'01 Controls'!$E$26,0)</x:f>
        <x:v>0</x:v>
      </x:c>
      <x:c r="AF465" s="20" t="n">
        <x:f>IF(H465="CM-HCG",K465*'01 Controls'!$E$27,0)</x:f>
        <x:v>0</x:v>
      </x:c>
    </x:row>
    <x:row r="466">
      <x:c r="C466" s="22" t="str">
        <x:v>G2-C-PSG</x:v>
      </x:c>
      <x:c r="D466" s="22" t="n">
        <x:v>461</x:v>
      </x:c>
      <x:c r="E466" s="22" t="str">
        <x:v>G2</x:v>
      </x:c>
      <x:c r="F466" s="22" t="str">
        <x:v>Regional flood and displacement</x:v>
      </x:c>
      <x:c r="G466" s="22" t="n">
        <x:v>10</x:v>
      </x:c>
      <x:c r="H466" s="22" t="str">
        <x:v>C-PSG</x:v>
      </x:c>
      <x:c r="I466" s="22" t="str">
        <x:v>Community Stabilization</x:v>
      </x:c>
      <x:c r="J466" s="22" t="str">
        <x:v>Population support group</x:v>
      </x:c>
      <x:c r="K466" s="23" t="n">
        <x:v>16</x:v>
      </x:c>
      <x:c r="L466" s="23" t="n">
        <x:v>450</x:v>
      </x:c>
      <x:c r="M466" s="23" t="n">
        <x:v>0</x:v>
      </x:c>
      <x:c r="N466" s="20" t="n">
        <x:f>K466*L466</x:f>
        <x:v>7200</x:v>
      </x:c>
      <x:c r="O466" s="19" t="n">
        <x:v>4500</x:v>
      </x:c>
      <x:c r="P466" s="17" t="n">
        <x:v>0.65</x:v>
      </x:c>
      <x:c r="Q466" s="20" t="n">
        <x:f>K466*O466*P466</x:f>
        <x:v>46800</x:v>
      </x:c>
      <x:c r="R466" s="20" t="n">
        <x:f>Q466*(1-'01 Controls'!$E$6)</x:f>
        <x:v>35100</x:v>
      </x:c>
      <x:c r="S466" s="19" t="n">
        <x:v>75</x:v>
      </x:c>
      <x:c r="T466" s="20" t="n">
        <x:f>K466*S466</x:f>
        <x:v>1200</x:v>
      </x:c>
      <x:c r="U466" s="18" t="n">
        <x:f>'01 Controls'!E41</x:f>
        <x:v>0.15</x:v>
      </x:c>
      <x:c r="V466" s="20" t="n">
        <x:f>R466*U466</x:f>
        <x:v>5265</x:v>
      </x:c>
      <x:c r="W466" s="18" t="n">
        <x:f>'01 Controls'!F41</x:f>
        <x:v>0.75</x:v>
      </x:c>
      <x:c r="X466" s="20" t="n">
        <x:f>R466*W466</x:f>
        <x:v>26325</x:v>
      </x:c>
      <x:c r="Y466" s="18" t="n">
        <x:f>'01 Controls'!G41</x:f>
        <x:v>0</x:v>
      </x:c>
      <x:c r="Z466" s="20" t="n">
        <x:f>R466*Y466</x:f>
        <x:v>0</x:v>
      </x:c>
      <x:c r="AA466" s="18" t="n">
        <x:f>'01 Controls'!H41</x:f>
        <x:v>0.1</x:v>
      </x:c>
      <x:c r="AB466" s="20" t="n">
        <x:f>R466*AA466</x:f>
        <x:v>3510</x:v>
      </x:c>
      <x:c r="AC466" s="20" t="n">
        <x:f>IF(H466="CM-HCG",K466*'01 Controls'!$E$24,0)</x:f>
        <x:v>0</x:v>
      </x:c>
      <x:c r="AD466" s="20" t="n">
        <x:f>IF(H466="CM-HCG",K466*'01 Controls'!$E$25,0)</x:f>
        <x:v>0</x:v>
      </x:c>
      <x:c r="AE466" s="20" t="n">
        <x:f>IF(H466="CM-HCG",K466*'01 Controls'!$E$26,0)</x:f>
        <x:v>0</x:v>
      </x:c>
      <x:c r="AF466" s="20" t="n">
        <x:f>IF(H466="CM-HCG",K466*'01 Controls'!$E$27,0)</x:f>
        <x:v>0</x:v>
      </x:c>
    </x:row>
    <x:row r="467">
      <x:c r="C467" s="22" t="str">
        <x:v>G2-C-EGG</x:v>
      </x:c>
      <x:c r="D467" s="22" t="n">
        <x:v>462</x:v>
      </x:c>
      <x:c r="E467" s="22" t="str">
        <x:v>G2</x:v>
      </x:c>
      <x:c r="F467" s="22" t="str">
        <x:v>Regional flood and displacement</x:v>
      </x:c>
      <x:c r="G467" s="22" t="n">
        <x:v>10</x:v>
      </x:c>
      <x:c r="H467" s="22" t="str">
        <x:v>C-EGG</x:v>
      </x:c>
      <x:c r="I467" s="22" t="str">
        <x:v>Community Stabilization</x:v>
      </x:c>
      <x:c r="J467" s="22" t="str">
        <x:v>Essential-goods group</x:v>
      </x:c>
      <x:c r="K467" s="23" t="n">
        <x:v>16</x:v>
      </x:c>
      <x:c r="L467" s="23" t="n">
        <x:v>350</x:v>
      </x:c>
      <x:c r="M467" s="23" t="n">
        <x:v>0</x:v>
      </x:c>
      <x:c r="N467" s="20" t="n">
        <x:f>K467*L467</x:f>
        <x:v>5600</x:v>
      </x:c>
      <x:c r="O467" s="19" t="n">
        <x:v>4500</x:v>
      </x:c>
      <x:c r="P467" s="17" t="n">
        <x:v>0.65</x:v>
      </x:c>
      <x:c r="Q467" s="20" t="n">
        <x:f>K467*O467*P467</x:f>
        <x:v>46800</x:v>
      </x:c>
      <x:c r="R467" s="20" t="n">
        <x:f>Q467*(1-'01 Controls'!$E$6)</x:f>
        <x:v>35100</x:v>
      </x:c>
      <x:c r="S467" s="19" t="n">
        <x:v>75</x:v>
      </x:c>
      <x:c r="T467" s="20" t="n">
        <x:f>K467*S467</x:f>
        <x:v>1200</x:v>
      </x:c>
      <x:c r="U467" s="18" t="n">
        <x:f>'01 Controls'!E41</x:f>
        <x:v>0.15</x:v>
      </x:c>
      <x:c r="V467" s="20" t="n">
        <x:f>R467*U467</x:f>
        <x:v>5265</x:v>
      </x:c>
      <x:c r="W467" s="18" t="n">
        <x:f>'01 Controls'!F41</x:f>
        <x:v>0.75</x:v>
      </x:c>
      <x:c r="X467" s="20" t="n">
        <x:f>R467*W467</x:f>
        <x:v>26325</x:v>
      </x:c>
      <x:c r="Y467" s="18" t="n">
        <x:f>'01 Controls'!G41</x:f>
        <x:v>0</x:v>
      </x:c>
      <x:c r="Z467" s="20" t="n">
        <x:f>R467*Y467</x:f>
        <x:v>0</x:v>
      </x:c>
      <x:c r="AA467" s="18" t="n">
        <x:f>'01 Controls'!H41</x:f>
        <x:v>0.1</x:v>
      </x:c>
      <x:c r="AB467" s="20" t="n">
        <x:f>R467*AA467</x:f>
        <x:v>3510</x:v>
      </x:c>
      <x:c r="AC467" s="20" t="n">
        <x:f>IF(H467="CM-HCG",K467*'01 Controls'!$E$24,0)</x:f>
        <x:v>0</x:v>
      </x:c>
      <x:c r="AD467" s="20" t="n">
        <x:f>IF(H467="CM-HCG",K467*'01 Controls'!$E$25,0)</x:f>
        <x:v>0</x:v>
      </x:c>
      <x:c r="AE467" s="20" t="n">
        <x:f>IF(H467="CM-HCG",K467*'01 Controls'!$E$26,0)</x:f>
        <x:v>0</x:v>
      </x:c>
      <x:c r="AF467" s="20" t="n">
        <x:f>IF(H467="CM-HCG",K467*'01 Controls'!$E$27,0)</x:f>
        <x:v>0</x:v>
      </x:c>
    </x:row>
    <x:row r="468">
      <x:c r="C468" s="22" t="str">
        <x:v>G2-C-CAG</x:v>
      </x:c>
      <x:c r="D468" s="22" t="n">
        <x:v>463</x:v>
      </x:c>
      <x:c r="E468" s="22" t="str">
        <x:v>G2</x:v>
      </x:c>
      <x:c r="F468" s="22" t="str">
        <x:v>Regional flood and displacement</x:v>
      </x:c>
      <x:c r="G468" s="22" t="n">
        <x:v>10</x:v>
      </x:c>
      <x:c r="H468" s="22" t="str">
        <x:v>C-CAG</x:v>
      </x:c>
      <x:c r="I468" s="22" t="str">
        <x:v>Community Stabilization</x:v>
      </x:c>
      <x:c r="J468" s="22" t="str">
        <x:v>Civil access group</x:v>
      </x:c>
      <x:c r="K468" s="23" t="n">
        <x:v>12</x:v>
      </x:c>
      <x:c r="L468" s="23" t="n">
        <x:v>180</x:v>
      </x:c>
      <x:c r="M468" s="23" t="n">
        <x:v>0</x:v>
      </x:c>
      <x:c r="N468" s="20" t="n">
        <x:f>K468*L468</x:f>
        <x:v>2160</x:v>
      </x:c>
      <x:c r="O468" s="19" t="n">
        <x:v>4500</x:v>
      </x:c>
      <x:c r="P468" s="17" t="n">
        <x:v>0.65</x:v>
      </x:c>
      <x:c r="Q468" s="20" t="n">
        <x:f>K468*O468*P468</x:f>
        <x:v>35100</x:v>
      </x:c>
      <x:c r="R468" s="20" t="n">
        <x:f>Q468*(1-'01 Controls'!$E$6)</x:f>
        <x:v>26325</x:v>
      </x:c>
      <x:c r="S468" s="19" t="n">
        <x:v>75</x:v>
      </x:c>
      <x:c r="T468" s="20" t="n">
        <x:f>K468*S468</x:f>
        <x:v>900</x:v>
      </x:c>
      <x:c r="U468" s="18" t="n">
        <x:f>'01 Controls'!E41</x:f>
        <x:v>0.15</x:v>
      </x:c>
      <x:c r="V468" s="20" t="n">
        <x:f>R468*U468</x:f>
        <x:v>3948.75</x:v>
      </x:c>
      <x:c r="W468" s="18" t="n">
        <x:f>'01 Controls'!F41</x:f>
        <x:v>0.75</x:v>
      </x:c>
      <x:c r="X468" s="20" t="n">
        <x:f>R468*W468</x:f>
        <x:v>19743.75</x:v>
      </x:c>
      <x:c r="Y468" s="18" t="n">
        <x:f>'01 Controls'!G41</x:f>
        <x:v>0</x:v>
      </x:c>
      <x:c r="Z468" s="20" t="n">
        <x:f>R468*Y468</x:f>
        <x:v>0</x:v>
      </x:c>
      <x:c r="AA468" s="18" t="n">
        <x:f>'01 Controls'!H41</x:f>
        <x:v>0.1</x:v>
      </x:c>
      <x:c r="AB468" s="20" t="n">
        <x:f>R468*AA468</x:f>
        <x:v>2632.5</x:v>
      </x:c>
      <x:c r="AC468" s="20" t="n">
        <x:f>IF(H468="CM-HCG",K468*'01 Controls'!$E$24,0)</x:f>
        <x:v>0</x:v>
      </x:c>
      <x:c r="AD468" s="20" t="n">
        <x:f>IF(H468="CM-HCG",K468*'01 Controls'!$E$25,0)</x:f>
        <x:v>0</x:v>
      </x:c>
      <x:c r="AE468" s="20" t="n">
        <x:f>IF(H468="CM-HCG",K468*'01 Controls'!$E$26,0)</x:f>
        <x:v>0</x:v>
      </x:c>
      <x:c r="AF468" s="20" t="n">
        <x:f>IF(H468="CM-HCG",K468*'01 Controls'!$E$27,0)</x:f>
        <x:v>0</x:v>
      </x:c>
    </x:row>
    <x:row r="469">
      <x:c r="C469" s="22" t="str">
        <x:v>G2-C-DTG</x:v>
      </x:c>
      <x:c r="D469" s="22" t="n">
        <x:v>464</x:v>
      </x:c>
      <x:c r="E469" s="22" t="str">
        <x:v>G2</x:v>
      </x:c>
      <x:c r="F469" s="22" t="str">
        <x:v>Regional flood and displacement</x:v>
      </x:c>
      <x:c r="G469" s="22" t="n">
        <x:v>10</x:v>
      </x:c>
      <x:c r="H469" s="22" t="str">
        <x:v>C-DTG</x:v>
      </x:c>
      <x:c r="I469" s="22" t="str">
        <x:v>Community Stabilization</x:v>
      </x:c>
      <x:c r="J469" s="22" t="str">
        <x:v>Displacement transition group</x:v>
      </x:c>
      <x:c r="K469" s="23" t="n">
        <x:v>14</x:v>
      </x:c>
      <x:c r="L469" s="23" t="n">
        <x:v>300</x:v>
      </x:c>
      <x:c r="M469" s="23" t="n">
        <x:v>0</x:v>
      </x:c>
      <x:c r="N469" s="20" t="n">
        <x:f>K469*L469</x:f>
        <x:v>4200</x:v>
      </x:c>
      <x:c r="O469" s="19" t="n">
        <x:v>4500</x:v>
      </x:c>
      <x:c r="P469" s="17" t="n">
        <x:v>0.65</x:v>
      </x:c>
      <x:c r="Q469" s="20" t="n">
        <x:f>K469*O469*P469</x:f>
        <x:v>40950</x:v>
      </x:c>
      <x:c r="R469" s="20" t="n">
        <x:f>Q469*(1-'01 Controls'!$E$6)</x:f>
        <x:v>30712.5</x:v>
      </x:c>
      <x:c r="S469" s="19" t="n">
        <x:v>75</x:v>
      </x:c>
      <x:c r="T469" s="20" t="n">
        <x:f>K469*S469</x:f>
        <x:v>1050</x:v>
      </x:c>
      <x:c r="U469" s="18" t="n">
        <x:f>'01 Controls'!E41</x:f>
        <x:v>0.15</x:v>
      </x:c>
      <x:c r="V469" s="20" t="n">
        <x:f>R469*U469</x:f>
        <x:v>4606.875</x:v>
      </x:c>
      <x:c r="W469" s="18" t="n">
        <x:f>'01 Controls'!F41</x:f>
        <x:v>0.75</x:v>
      </x:c>
      <x:c r="X469" s="20" t="n">
        <x:f>R469*W469</x:f>
        <x:v>23034.375</x:v>
      </x:c>
      <x:c r="Y469" s="18" t="n">
        <x:f>'01 Controls'!G41</x:f>
        <x:v>0</x:v>
      </x:c>
      <x:c r="Z469" s="20" t="n">
        <x:f>R469*Y469</x:f>
        <x:v>0</x:v>
      </x:c>
      <x:c r="AA469" s="18" t="n">
        <x:f>'01 Controls'!H41</x:f>
        <x:v>0.1</x:v>
      </x:c>
      <x:c r="AB469" s="20" t="n">
        <x:f>R469*AA469</x:f>
        <x:v>3071.25</x:v>
      </x:c>
      <x:c r="AC469" s="20" t="n">
        <x:f>IF(H469="CM-HCG",K469*'01 Controls'!$E$24,0)</x:f>
        <x:v>0</x:v>
      </x:c>
      <x:c r="AD469" s="20" t="n">
        <x:f>IF(H469="CM-HCG",K469*'01 Controls'!$E$25,0)</x:f>
        <x:v>0</x:v>
      </x:c>
      <x:c r="AE469" s="20" t="n">
        <x:f>IF(H469="CM-HCG",K469*'01 Controls'!$E$26,0)</x:f>
        <x:v>0</x:v>
      </x:c>
      <x:c r="AF469" s="20" t="n">
        <x:f>IF(H469="CM-HCG",K469*'01 Controls'!$E$27,0)</x:f>
        <x:v>0</x:v>
      </x:c>
    </x:row>
    <x:row r="470">
      <x:c r="C470" s="22" t="str">
        <x:v>G2-C-CIG</x:v>
      </x:c>
      <x:c r="D470" s="22" t="n">
        <x:v>465</x:v>
      </x:c>
      <x:c r="E470" s="22" t="str">
        <x:v>G2</x:v>
      </x:c>
      <x:c r="F470" s="22" t="str">
        <x:v>Regional flood and displacement</x:v>
      </x:c>
      <x:c r="G470" s="22" t="n">
        <x:v>10</x:v>
      </x:c>
      <x:c r="H470" s="22" t="str">
        <x:v>C-CIG</x:v>
      </x:c>
      <x:c r="I470" s="22" t="str">
        <x:v>Community Stabilization</x:v>
      </x:c>
      <x:c r="J470" s="22" t="str">
        <x:v>Community institutions group</x:v>
      </x:c>
      <x:c r="K470" s="23" t="n">
        <x:v>10</x:v>
      </x:c>
      <x:c r="L470" s="23" t="n">
        <x:v>250</x:v>
      </x:c>
      <x:c r="M470" s="23" t="n">
        <x:v>0</x:v>
      </x:c>
      <x:c r="N470" s="20" t="n">
        <x:f>K470*L470</x:f>
        <x:v>2500</x:v>
      </x:c>
      <x:c r="O470" s="19" t="n">
        <x:v>4500</x:v>
      </x:c>
      <x:c r="P470" s="17" t="n">
        <x:v>0.65</x:v>
      </x:c>
      <x:c r="Q470" s="20" t="n">
        <x:f>K470*O470*P470</x:f>
        <x:v>29250</x:v>
      </x:c>
      <x:c r="R470" s="20" t="n">
        <x:f>Q470*(1-'01 Controls'!$E$6)</x:f>
        <x:v>21937.5</x:v>
      </x:c>
      <x:c r="S470" s="19" t="n">
        <x:v>75</x:v>
      </x:c>
      <x:c r="T470" s="20" t="n">
        <x:f>K470*S470</x:f>
        <x:v>750</x:v>
      </x:c>
      <x:c r="U470" s="18" t="n">
        <x:f>'01 Controls'!E41</x:f>
        <x:v>0.15</x:v>
      </x:c>
      <x:c r="V470" s="20" t="n">
        <x:f>R470*U470</x:f>
        <x:v>3290.625</x:v>
      </x:c>
      <x:c r="W470" s="18" t="n">
        <x:f>'01 Controls'!F41</x:f>
        <x:v>0.75</x:v>
      </x:c>
      <x:c r="X470" s="20" t="n">
        <x:f>R470*W470</x:f>
        <x:v>16453.125</x:v>
      </x:c>
      <x:c r="Y470" s="18" t="n">
        <x:f>'01 Controls'!G41</x:f>
        <x:v>0</x:v>
      </x:c>
      <x:c r="Z470" s="20" t="n">
        <x:f>R470*Y470</x:f>
        <x:v>0</x:v>
      </x:c>
      <x:c r="AA470" s="18" t="n">
        <x:f>'01 Controls'!H41</x:f>
        <x:v>0.1</x:v>
      </x:c>
      <x:c r="AB470" s="20" t="n">
        <x:f>R470*AA470</x:f>
        <x:v>2193.75</x:v>
      </x:c>
      <x:c r="AC470" s="20" t="n">
        <x:f>IF(H470="CM-HCG",K470*'01 Controls'!$E$24,0)</x:f>
        <x:v>0</x:v>
      </x:c>
      <x:c r="AD470" s="20" t="n">
        <x:f>IF(H470="CM-HCG",K470*'01 Controls'!$E$25,0)</x:f>
        <x:v>0</x:v>
      </x:c>
      <x:c r="AE470" s="20" t="n">
        <x:f>IF(H470="CM-HCG",K470*'01 Controls'!$E$26,0)</x:f>
        <x:v>0</x:v>
      </x:c>
      <x:c r="AF470" s="20" t="n">
        <x:f>IF(H470="CM-HCG",K470*'01 Controls'!$E$27,0)</x:f>
        <x:v>0</x:v>
      </x:c>
    </x:row>
    <x:row r="471">
      <x:c r="C471" s="22" t="str">
        <x:v>G2-J-RIG</x:v>
      </x:c>
      <x:c r="D471" s="22" t="n">
        <x:v>466</x:v>
      </x:c>
      <x:c r="E471" s="22" t="str">
        <x:v>G2</x:v>
      </x:c>
      <x:c r="F471" s="22" t="str">
        <x:v>Regional flood and displacement</x:v>
      </x:c>
      <x:c r="G471" s="22" t="n">
        <x:v>10</x:v>
      </x:c>
      <x:c r="H471" s="22" t="str">
        <x:v>J-RIG</x:v>
      </x:c>
      <x:c r="I471" s="22" t="str">
        <x:v>Joint</x:v>
      </x:c>
      <x:c r="J471" s="22" t="str">
        <x:v>Resilience information group</x:v>
      </x:c>
      <x:c r="K471" s="23" t="n">
        <x:v>8</x:v>
      </x:c>
      <x:c r="L471" s="23" t="n">
        <x:v>420</x:v>
      </x:c>
      <x:c r="M471" s="23" t="n">
        <x:v>60</x:v>
      </x:c>
      <x:c r="N471" s="20" t="n">
        <x:f>K471*L471</x:f>
        <x:v>3360</x:v>
      </x:c>
      <x:c r="O471" s="19" t="n">
        <x:v>2800</x:v>
      </x:c>
      <x:c r="P471" s="17" t="n">
        <x:v>0.65</x:v>
      </x:c>
      <x:c r="Q471" s="20" t="n">
        <x:f>K471*O471*P471</x:f>
        <x:v>14560</x:v>
      </x:c>
      <x:c r="R471" s="20" t="n">
        <x:f>Q471*(1-'01 Controls'!$E$6)</x:f>
        <x:v>10920</x:v>
      </x:c>
      <x:c r="S471" s="19" t="n">
        <x:v>35</x:v>
      </x:c>
      <x:c r="T471" s="20" t="n">
        <x:f>K471*S471</x:f>
        <x:v>280</x:v>
      </x:c>
      <x:c r="U471" s="18" t="n">
        <x:f>'01 Controls'!E41</x:f>
        <x:v>0.15</x:v>
      </x:c>
      <x:c r="V471" s="20" t="n">
        <x:f>R471*U471</x:f>
        <x:v>1638</x:v>
      </x:c>
      <x:c r="W471" s="18" t="n">
        <x:f>'01 Controls'!F41</x:f>
        <x:v>0.75</x:v>
      </x:c>
      <x:c r="X471" s="20" t="n">
        <x:f>R471*W471</x:f>
        <x:v>8190</x:v>
      </x:c>
      <x:c r="Y471" s="18" t="n">
        <x:f>'01 Controls'!G41</x:f>
        <x:v>0</x:v>
      </x:c>
      <x:c r="Z471" s="20" t="n">
        <x:f>R471*Y471</x:f>
        <x:v>0</x:v>
      </x:c>
      <x:c r="AA471" s="18" t="n">
        <x:f>'01 Controls'!H41</x:f>
        <x:v>0.1</x:v>
      </x:c>
      <x:c r="AB471" s="20" t="n">
        <x:f>R471*AA471</x:f>
        <x:v>1092</x:v>
      </x:c>
      <x:c r="AC471" s="20" t="n">
        <x:f>IF(H471="CM-HCG",K471*'01 Controls'!$E$24,0)</x:f>
        <x:v>0</x:v>
      </x:c>
      <x:c r="AD471" s="20" t="n">
        <x:f>IF(H471="CM-HCG",K471*'01 Controls'!$E$25,0)</x:f>
        <x:v>0</x:v>
      </x:c>
      <x:c r="AE471" s="20" t="n">
        <x:f>IF(H471="CM-HCG",K471*'01 Controls'!$E$26,0)</x:f>
        <x:v>0</x:v>
      </x:c>
      <x:c r="AF471" s="20" t="n">
        <x:f>IF(H471="CM-HCG",K471*'01 Controls'!$E$27,0)</x:f>
        <x:v>0</x:v>
      </x:c>
    </x:row>
    <x:row r="472">
      <x:c r="C472" s="22" t="str">
        <x:v>G2-M-MPG</x:v>
      </x:c>
      <x:c r="D472" s="22" t="n">
        <x:v>467</x:v>
      </x:c>
      <x:c r="E472" s="22" t="str">
        <x:v>G2</x:v>
      </x:c>
      <x:c r="F472" s="22" t="str">
        <x:v>Regional flood and displacement</x:v>
      </x:c>
      <x:c r="G472" s="22" t="n">
        <x:v>10</x:v>
      </x:c>
      <x:c r="H472" s="22" t="str">
        <x:v>M-MPG</x:v>
      </x:c>
      <x:c r="I472" s="22" t="str">
        <x:v>Maritime Response</x:v>
      </x:c>
      <x:c r="J472" s="22" t="str">
        <x:v>Maritime production group</x:v>
      </x:c>
      <x:c r="K472" s="23" t="n">
        <x:v>4</x:v>
      </x:c>
      <x:c r="L472" s="23" t="n">
        <x:v>1100</x:v>
      </x:c>
      <x:c r="M472" s="23" t="n">
        <x:v>200</x:v>
      </x:c>
      <x:c r="N472" s="20" t="n">
        <x:f>K472*L472</x:f>
        <x:v>4400</x:v>
      </x:c>
      <x:c r="O472" s="19" t="n">
        <x:v>28000</x:v>
      </x:c>
      <x:c r="P472" s="17" t="n">
        <x:v>0.35</x:v>
      </x:c>
      <x:c r="Q472" s="20" t="n">
        <x:f>K472*O472*P472</x:f>
        <x:v>39200</x:v>
      </x:c>
      <x:c r="R472" s="20" t="n">
        <x:f>Q472*(1-'01 Controls'!$E$6)</x:f>
        <x:v>29400</x:v>
      </x:c>
      <x:c r="S472" s="19" t="n">
        <x:v>50</x:v>
      </x:c>
      <x:c r="T472" s="20" t="n">
        <x:f>K472*S472</x:f>
        <x:v>200</x:v>
      </x:c>
      <x:c r="U472" s="18" t="n">
        <x:f>'01 Controls'!E41</x:f>
        <x:v>0.15</x:v>
      </x:c>
      <x:c r="V472" s="20" t="n">
        <x:f>R472*U472</x:f>
        <x:v>4410</x:v>
      </x:c>
      <x:c r="W472" s="18" t="n">
        <x:f>'01 Controls'!F41</x:f>
        <x:v>0.75</x:v>
      </x:c>
      <x:c r="X472" s="20" t="n">
        <x:f>R472*W472</x:f>
        <x:v>22050</x:v>
      </x:c>
      <x:c r="Y472" s="18" t="n">
        <x:f>'01 Controls'!G41</x:f>
        <x:v>0</x:v>
      </x:c>
      <x:c r="Z472" s="20" t="n">
        <x:f>R472*Y472</x:f>
        <x:v>0</x:v>
      </x:c>
      <x:c r="AA472" s="18" t="n">
        <x:f>'01 Controls'!H41</x:f>
        <x:v>0.1</x:v>
      </x:c>
      <x:c r="AB472" s="20" t="n">
        <x:f>R472*AA472</x:f>
        <x:v>2940</x:v>
      </x:c>
      <x:c r="AC472" s="20" t="n">
        <x:f>IF(H472="CM-HCG",K472*'01 Controls'!$E$24,0)</x:f>
        <x:v>0</x:v>
      </x:c>
      <x:c r="AD472" s="20" t="n">
        <x:f>IF(H472="CM-HCG",K472*'01 Controls'!$E$25,0)</x:f>
        <x:v>0</x:v>
      </x:c>
      <x:c r="AE472" s="20" t="n">
        <x:f>IF(H472="CM-HCG",K472*'01 Controls'!$E$26,0)</x:f>
        <x:v>0</x:v>
      </x:c>
      <x:c r="AF472" s="20" t="n">
        <x:f>IF(H472="CM-HCG",K472*'01 Controls'!$E$27,0)</x:f>
        <x:v>0</x:v>
      </x:c>
    </x:row>
    <x:row r="473">
      <x:c r="C473" s="22" t="str">
        <x:v>G2-I-WRG</x:v>
      </x:c>
      <x:c r="D473" s="22" t="n">
        <x:v>468</x:v>
      </x:c>
      <x:c r="E473" s="22" t="str">
        <x:v>G2</x:v>
      </x:c>
      <x:c r="F473" s="22" t="str">
        <x:v>Regional flood and displacement</x:v>
      </x:c>
      <x:c r="G473" s="22" t="n">
        <x:v>10</x:v>
      </x:c>
      <x:c r="H473" s="22" t="str">
        <x:v>I-WRG</x:v>
      </x:c>
      <x:c r="I473" s="22" t="str">
        <x:v>Infrastructure Restoration</x:v>
      </x:c>
      <x:c r="J473" s="22" t="str">
        <x:v>Water restoration group</x:v>
      </x:c>
      <x:c r="K473" s="23" t="n">
        <x:v>7</x:v>
      </x:c>
      <x:c r="L473" s="23" t="n">
        <x:v>2720</x:v>
      </x:c>
      <x:c r="M473" s="23" t="n">
        <x:v>600</x:v>
      </x:c>
      <x:c r="N473" s="20" t="n">
        <x:f>K473*L473</x:f>
        <x:v>19040</x:v>
      </x:c>
      <x:c r="O473" s="19" t="n">
        <x:v>23516</x:v>
      </x:c>
      <x:c r="P473" s="17" t="n">
        <x:v>0.4</x:v>
      </x:c>
      <x:c r="Q473" s="20" t="n">
        <x:f>K473*O473*P473</x:f>
        <x:v>65844.8</x:v>
      </x:c>
      <x:c r="R473" s="20" t="n">
        <x:f>Q473*(1-'01 Controls'!$E$6)</x:f>
        <x:v>49383.600000000006</x:v>
      </x:c>
      <x:c r="S473" s="19" t="n">
        <x:v>65</x:v>
      </x:c>
      <x:c r="T473" s="20" t="n">
        <x:f>K473*S473</x:f>
        <x:v>455</x:v>
      </x:c>
      <x:c r="U473" s="18" t="n">
        <x:f>'01 Controls'!E41</x:f>
        <x:v>0.15</x:v>
      </x:c>
      <x:c r="V473" s="20" t="n">
        <x:f>R473*U473</x:f>
        <x:v>7407.540000000001</x:v>
      </x:c>
      <x:c r="W473" s="18" t="n">
        <x:f>'01 Controls'!F41</x:f>
        <x:v>0.75</x:v>
      </x:c>
      <x:c r="X473" s="20" t="n">
        <x:f>R473*W473</x:f>
        <x:v>37037.700000000004</x:v>
      </x:c>
      <x:c r="Y473" s="18" t="n">
        <x:f>'01 Controls'!G41</x:f>
        <x:v>0</x:v>
      </x:c>
      <x:c r="Z473" s="20" t="n">
        <x:f>R473*Y473</x:f>
        <x:v>0</x:v>
      </x:c>
      <x:c r="AA473" s="18" t="n">
        <x:f>'01 Controls'!H41</x:f>
        <x:v>0.1</x:v>
      </x:c>
      <x:c r="AB473" s="20" t="n">
        <x:f>R473*AA473</x:f>
        <x:v>4938.360000000001</x:v>
      </x:c>
      <x:c r="AC473" s="20" t="n">
        <x:f>IF(H473="CM-HCG",K473*'01 Controls'!$E$24,0)</x:f>
        <x:v>0</x:v>
      </x:c>
      <x:c r="AD473" s="20" t="n">
        <x:f>IF(H473="CM-HCG",K473*'01 Controls'!$E$25,0)</x:f>
        <x:v>0</x:v>
      </x:c>
      <x:c r="AE473" s="20" t="n">
        <x:f>IF(H473="CM-HCG",K473*'01 Controls'!$E$26,0)</x:f>
        <x:v>0</x:v>
      </x:c>
      <x:c r="AF473" s="20" t="n">
        <x:f>IF(H473="CM-HCG",K473*'01 Controls'!$E$27,0)</x:f>
        <x:v>0</x:v>
      </x:c>
    </x:row>
    <x:row r="474">
      <x:c r="C474" s="22" t="str">
        <x:v>G2-I-PRG</x:v>
      </x:c>
      <x:c r="D474" s="22" t="n">
        <x:v>469</x:v>
      </x:c>
      <x:c r="E474" s="22" t="str">
        <x:v>G2</x:v>
      </x:c>
      <x:c r="F474" s="22" t="str">
        <x:v>Regional flood and displacement</x:v>
      </x:c>
      <x:c r="G474" s="22" t="n">
        <x:v>10</x:v>
      </x:c>
      <x:c r="H474" s="22" t="str">
        <x:v>I-PRG</x:v>
      </x:c>
      <x:c r="I474" s="22" t="str">
        <x:v>Infrastructure Restoration</x:v>
      </x:c>
      <x:c r="J474" s="22" t="str">
        <x:v>Power restoration group</x:v>
      </x:c>
      <x:c r="K474" s="23" t="n">
        <x:v>7</x:v>
      </x:c>
      <x:c r="L474" s="23" t="n">
        <x:v>2796</x:v>
      </x:c>
      <x:c r="M474" s="23" t="n">
        <x:v>596</x:v>
      </x:c>
      <x:c r="N474" s="20" t="n">
        <x:f>K474*L474</x:f>
        <x:v>19572</x:v>
      </x:c>
      <x:c r="O474" s="19" t="n">
        <x:v>18332</x:v>
      </x:c>
      <x:c r="P474" s="17" t="n">
        <x:v>0.4</x:v>
      </x:c>
      <x:c r="Q474" s="20" t="n">
        <x:f>K474*O474*P474</x:f>
        <x:v>51329.600000000006</x:v>
      </x:c>
      <x:c r="R474" s="20" t="n">
        <x:f>Q474*(1-'01 Controls'!$E$6)</x:f>
        <x:v>38497.200000000004</x:v>
      </x:c>
      <x:c r="S474" s="19" t="n">
        <x:v>80</x:v>
      </x:c>
      <x:c r="T474" s="20" t="n">
        <x:f>K474*S474</x:f>
        <x:v>560</x:v>
      </x:c>
      <x:c r="U474" s="18" t="n">
        <x:f>'01 Controls'!E41</x:f>
        <x:v>0.15</x:v>
      </x:c>
      <x:c r="V474" s="20" t="n">
        <x:f>R474*U474</x:f>
        <x:v>5774.580000000001</x:v>
      </x:c>
      <x:c r="W474" s="18" t="n">
        <x:f>'01 Controls'!F41</x:f>
        <x:v>0.75</x:v>
      </x:c>
      <x:c r="X474" s="20" t="n">
        <x:f>R474*W474</x:f>
        <x:v>28872.9</x:v>
      </x:c>
      <x:c r="Y474" s="18" t="n">
        <x:f>'01 Controls'!G41</x:f>
        <x:v>0</x:v>
      </x:c>
      <x:c r="Z474" s="20" t="n">
        <x:f>R474*Y474</x:f>
        <x:v>0</x:v>
      </x:c>
      <x:c r="AA474" s="18" t="n">
        <x:f>'01 Controls'!H41</x:f>
        <x:v>0.1</x:v>
      </x:c>
      <x:c r="AB474" s="20" t="n">
        <x:f>R474*AA474</x:f>
        <x:v>3849.7200000000007</x:v>
      </x:c>
      <x:c r="AC474" s="20" t="n">
        <x:f>IF(H474="CM-HCG",K474*'01 Controls'!$E$24,0)</x:f>
        <x:v>0</x:v>
      </x:c>
      <x:c r="AD474" s="20" t="n">
        <x:f>IF(H474="CM-HCG",K474*'01 Controls'!$E$25,0)</x:f>
        <x:v>0</x:v>
      </x:c>
      <x:c r="AE474" s="20" t="n">
        <x:f>IF(H474="CM-HCG",K474*'01 Controls'!$E$26,0)</x:f>
        <x:v>0</x:v>
      </x:c>
      <x:c r="AF474" s="20" t="n">
        <x:f>IF(H474="CM-HCG",K474*'01 Controls'!$E$27,0)</x:f>
        <x:v>0</x:v>
      </x:c>
    </x:row>
    <x:row r="475">
      <x:c r="C475" s="22" t="str">
        <x:v>G2-I-GBG</x:v>
      </x:c>
      <x:c r="D475" s="22" t="n">
        <x:v>470</x:v>
      </x:c>
      <x:c r="E475" s="22" t="str">
        <x:v>G2</x:v>
      </x:c>
      <x:c r="F475" s="22" t="str">
        <x:v>Regional flood and displacement</x:v>
      </x:c>
      <x:c r="G475" s="22" t="n">
        <x:v>10</x:v>
      </x:c>
      <x:c r="H475" s="22" t="str">
        <x:v>I-GBG</x:v>
      </x:c>
      <x:c r="I475" s="22" t="str">
        <x:v>Infrastructure Restoration</x:v>
      </x:c>
      <x:c r="J475" s="22" t="str">
        <x:v>Grid bridge group</x:v>
      </x:c>
      <x:c r="K475" s="23" t="n">
        <x:v>5</x:v>
      </x:c>
      <x:c r="L475" s="23" t="n">
        <x:v>1800</x:v>
      </x:c>
      <x:c r="M475" s="23" t="n">
        <x:v>400</x:v>
      </x:c>
      <x:c r="N475" s="20" t="n">
        <x:f>K475*L475</x:f>
        <x:v>9000</x:v>
      </x:c>
      <x:c r="O475" s="19" t="n">
        <x:v>15000</x:v>
      </x:c>
      <x:c r="P475" s="17" t="n">
        <x:v>0.4</x:v>
      </x:c>
      <x:c r="Q475" s="20" t="n">
        <x:f>K475*O475*P475</x:f>
        <x:v>30000</x:v>
      </x:c>
      <x:c r="R475" s="20" t="n">
        <x:f>Q475*(1-'01 Controls'!$E$6)</x:f>
        <x:v>22500</x:v>
      </x:c>
      <x:c r="S475" s="19" t="n">
        <x:v>55</x:v>
      </x:c>
      <x:c r="T475" s="20" t="n">
        <x:f>K475*S475</x:f>
        <x:v>275</x:v>
      </x:c>
      <x:c r="U475" s="18" t="n">
        <x:f>'01 Controls'!E41</x:f>
        <x:v>0.15</x:v>
      </x:c>
      <x:c r="V475" s="20" t="n">
        <x:f>R475*U475</x:f>
        <x:v>3375</x:v>
      </x:c>
      <x:c r="W475" s="18" t="n">
        <x:f>'01 Controls'!F41</x:f>
        <x:v>0.75</x:v>
      </x:c>
      <x:c r="X475" s="20" t="n">
        <x:f>R475*W475</x:f>
        <x:v>16875</x:v>
      </x:c>
      <x:c r="Y475" s="18" t="n">
        <x:f>'01 Controls'!G41</x:f>
        <x:v>0</x:v>
      </x:c>
      <x:c r="Z475" s="20" t="n">
        <x:f>R475*Y475</x:f>
        <x:v>0</x:v>
      </x:c>
      <x:c r="AA475" s="18" t="n">
        <x:f>'01 Controls'!H41</x:f>
        <x:v>0.1</x:v>
      </x:c>
      <x:c r="AB475" s="20" t="n">
        <x:f>R475*AA475</x:f>
        <x:v>2250</x:v>
      </x:c>
      <x:c r="AC475" s="20" t="n">
        <x:f>IF(H475="CM-HCG",K475*'01 Controls'!$E$24,0)</x:f>
        <x:v>0</x:v>
      </x:c>
      <x:c r="AD475" s="20" t="n">
        <x:f>IF(H475="CM-HCG",K475*'01 Controls'!$E$25,0)</x:f>
        <x:v>0</x:v>
      </x:c>
      <x:c r="AE475" s="20" t="n">
        <x:f>IF(H475="CM-HCG",K475*'01 Controls'!$E$26,0)</x:f>
        <x:v>0</x:v>
      </x:c>
      <x:c r="AF475" s="20" t="n">
        <x:f>IF(H475="CM-HCG",K475*'01 Controls'!$E$27,0)</x:f>
        <x:v>0</x:v>
      </x:c>
    </x:row>
    <x:row r="476">
      <x:c r="C476" s="22" t="str">
        <x:v>G2-H-THC</x:v>
      </x:c>
      <x:c r="D476" s="22" t="n">
        <x:v>471</x:v>
      </x:c>
      <x:c r="E476" s="22" t="str">
        <x:v>G2</x:v>
      </x:c>
      <x:c r="F476" s="22" t="str">
        <x:v>Regional flood and displacement</x:v>
      </x:c>
      <x:c r="G476" s="22" t="n">
        <x:v>10</x:v>
      </x:c>
      <x:c r="H476" s="22" t="str">
        <x:v>H-THC</x:v>
      </x:c>
      <x:c r="I476" s="22" t="str">
        <x:v>Health Protection</x:v>
      </x:c>
      <x:c r="J476" s="22" t="str">
        <x:v>Theater hospital command</x:v>
      </x:c>
      <x:c r="K476" s="23" t="n">
        <x:v>4</x:v>
      </x:c>
      <x:c r="L476" s="23" t="n">
        <x:v>900</x:v>
      </x:c>
      <x:c r="M476" s="23" t="n">
        <x:v>0</x:v>
      </x:c>
      <x:c r="N476" s="20" t="n">
        <x:f>K476*L476</x:f>
        <x:v>3600</x:v>
      </x:c>
      <x:c r="O476" s="19" t="n">
        <x:v>3500</x:v>
      </x:c>
      <x:c r="P476" s="17" t="n">
        <x:v>0.7</x:v>
      </x:c>
      <x:c r="Q476" s="20" t="n">
        <x:f>K476*O476*P476</x:f>
        <x:v>9800</x:v>
      </x:c>
      <x:c r="R476" s="20" t="n">
        <x:f>Q476*(1-'01 Controls'!$E$6)</x:f>
        <x:v>7350</x:v>
      </x:c>
      <x:c r="S476" s="19" t="n">
        <x:v>30</x:v>
      </x:c>
      <x:c r="T476" s="20" t="n">
        <x:f>K476*S476</x:f>
        <x:v>120</x:v>
      </x:c>
      <x:c r="U476" s="18" t="n">
        <x:f>'01 Controls'!E41</x:f>
        <x:v>0.15</x:v>
      </x:c>
      <x:c r="V476" s="20" t="n">
        <x:f>R476*U476</x:f>
        <x:v>1102.5</x:v>
      </x:c>
      <x:c r="W476" s="18" t="n">
        <x:f>'01 Controls'!F41</x:f>
        <x:v>0.75</x:v>
      </x:c>
      <x:c r="X476" s="20" t="n">
        <x:f>R476*W476</x:f>
        <x:v>5512.5</x:v>
      </x:c>
      <x:c r="Y476" s="18" t="n">
        <x:f>'01 Controls'!G41</x:f>
        <x:v>0</x:v>
      </x:c>
      <x:c r="Z476" s="20" t="n">
        <x:f>R476*Y476</x:f>
        <x:v>0</x:v>
      </x:c>
      <x:c r="AA476" s="18" t="n">
        <x:f>'01 Controls'!H41</x:f>
        <x:v>0.1</x:v>
      </x:c>
      <x:c r="AB476" s="20" t="n">
        <x:f>R476*AA476</x:f>
        <x:v>735</x:v>
      </x:c>
      <x:c r="AC476" s="20" t="n">
        <x:f>IF(H476="CM-HCG",K476*'01 Controls'!$E$24,0)</x:f>
        <x:v>0</x:v>
      </x:c>
      <x:c r="AD476" s="20" t="n">
        <x:f>IF(H476="CM-HCG",K476*'01 Controls'!$E$25,0)</x:f>
        <x:v>0</x:v>
      </x:c>
      <x:c r="AE476" s="20" t="n">
        <x:f>IF(H476="CM-HCG",K476*'01 Controls'!$E$26,0)</x:f>
        <x:v>0</x:v>
      </x:c>
      <x:c r="AF476" s="20" t="n">
        <x:f>IF(H476="CM-HCG",K476*'01 Controls'!$E$27,0)</x:f>
        <x:v>0</x:v>
      </x:c>
    </x:row>
    <x:row r="477">
      <x:c r="C477" s="22" t="str">
        <x:v>G2-H-PMG</x:v>
      </x:c>
      <x:c r="D477" s="22" t="n">
        <x:v>472</x:v>
      </x:c>
      <x:c r="E477" s="22" t="str">
        <x:v>G2</x:v>
      </x:c>
      <x:c r="F477" s="22" t="str">
        <x:v>Regional flood and displacement</x:v>
      </x:c>
      <x:c r="G477" s="22" t="n">
        <x:v>10</x:v>
      </x:c>
      <x:c r="H477" s="22" t="str">
        <x:v>H-PMG</x:v>
      </x:c>
      <x:c r="I477" s="22" t="str">
        <x:v>Health Protection</x:v>
      </x:c>
      <x:c r="J477" s="22" t="str">
        <x:v>Patient movement group</x:v>
      </x:c>
      <x:c r="K477" s="23" t="n">
        <x:v>6</x:v>
      </x:c>
      <x:c r="L477" s="23" t="n">
        <x:v>650</x:v>
      </x:c>
      <x:c r="M477" s="23" t="n">
        <x:v>200</x:v>
      </x:c>
      <x:c r="N477" s="20" t="n">
        <x:f>K477*L477</x:f>
        <x:v>3900</x:v>
      </x:c>
      <x:c r="O477" s="19" t="n">
        <x:v>5500</x:v>
      </x:c>
      <x:c r="P477" s="17" t="n">
        <x:v>0.7</x:v>
      </x:c>
      <x:c r="Q477" s="20" t="n">
        <x:f>K477*O477*P477</x:f>
        <x:v>23100</x:v>
      </x:c>
      <x:c r="R477" s="20" t="n">
        <x:f>Q477*(1-'01 Controls'!$E$6)</x:f>
        <x:v>17325</x:v>
      </x:c>
      <x:c r="S477" s="19" t="n">
        <x:v>40</x:v>
      </x:c>
      <x:c r="T477" s="20" t="n">
        <x:f>K477*S477</x:f>
        <x:v>240</x:v>
      </x:c>
      <x:c r="U477" s="18" t="n">
        <x:f>'01 Controls'!E41</x:f>
        <x:v>0.15</x:v>
      </x:c>
      <x:c r="V477" s="20" t="n">
        <x:f>R477*U477</x:f>
        <x:v>2598.75</x:v>
      </x:c>
      <x:c r="W477" s="18" t="n">
        <x:f>'01 Controls'!F41</x:f>
        <x:v>0.75</x:v>
      </x:c>
      <x:c r="X477" s="20" t="n">
        <x:f>R477*W477</x:f>
        <x:v>12993.75</x:v>
      </x:c>
      <x:c r="Y477" s="18" t="n">
        <x:f>'01 Controls'!G41</x:f>
        <x:v>0</x:v>
      </x:c>
      <x:c r="Z477" s="20" t="n">
        <x:f>R477*Y477</x:f>
        <x:v>0</x:v>
      </x:c>
      <x:c r="AA477" s="18" t="n">
        <x:f>'01 Controls'!H41</x:f>
        <x:v>0.1</x:v>
      </x:c>
      <x:c r="AB477" s="20" t="n">
        <x:f>R477*AA477</x:f>
        <x:v>1732.5</x:v>
      </x:c>
      <x:c r="AC477" s="20" t="n">
        <x:f>IF(H477="CM-HCG",K477*'01 Controls'!$E$24,0)</x:f>
        <x:v>0</x:v>
      </x:c>
      <x:c r="AD477" s="20" t="n">
        <x:f>IF(H477="CM-HCG",K477*'01 Controls'!$E$25,0)</x:f>
        <x:v>0</x:v>
      </x:c>
      <x:c r="AE477" s="20" t="n">
        <x:f>IF(H477="CM-HCG",K477*'01 Controls'!$E$26,0)</x:f>
        <x:v>0</x:v>
      </x:c>
      <x:c r="AF477" s="20" t="n">
        <x:f>IF(H477="CM-HCG",K477*'01 Controls'!$E$27,0)</x:f>
        <x:v>0</x:v>
      </x:c>
    </x:row>
    <x:row r="478">
      <x:c r="C478" s="22" t="str">
        <x:v>G2-C-ERG</x:v>
      </x:c>
      <x:c r="D478" s="22" t="n">
        <x:v>473</x:v>
      </x:c>
      <x:c r="E478" s="22" t="str">
        <x:v>G2</x:v>
      </x:c>
      <x:c r="F478" s="22" t="str">
        <x:v>Regional flood and displacement</x:v>
      </x:c>
      <x:c r="G478" s="22" t="n">
        <x:v>10</x:v>
      </x:c>
      <x:c r="H478" s="22" t="str">
        <x:v>C-ERG</x:v>
      </x:c>
      <x:c r="I478" s="22" t="str">
        <x:v>Community Stabilization</x:v>
      </x:c>
      <x:c r="J478" s="22" t="str">
        <x:v>Economic restart group</x:v>
      </x:c>
      <x:c r="K478" s="23" t="n">
        <x:v>8</x:v>
      </x:c>
      <x:c r="L478" s="23" t="n">
        <x:v>350</x:v>
      </x:c>
      <x:c r="M478" s="23" t="n">
        <x:v>0</x:v>
      </x:c>
      <x:c r="N478" s="20" t="n">
        <x:f>K478*L478</x:f>
        <x:v>2800</x:v>
      </x:c>
      <x:c r="O478" s="19" t="n">
        <x:v>2500</x:v>
      </x:c>
      <x:c r="P478" s="17" t="n">
        <x:v>0.65</x:v>
      </x:c>
      <x:c r="Q478" s="20" t="n">
        <x:f>K478*O478*P478</x:f>
        <x:v>13000</x:v>
      </x:c>
      <x:c r="R478" s="20" t="n">
        <x:f>Q478*(1-'01 Controls'!$E$6)</x:f>
        <x:v>9750</x:v>
      </x:c>
      <x:c r="S478" s="19" t="n">
        <x:v>30</x:v>
      </x:c>
      <x:c r="T478" s="20" t="n">
        <x:f>K478*S478</x:f>
        <x:v>240</x:v>
      </x:c>
      <x:c r="U478" s="18" t="n">
        <x:f>'01 Controls'!E41</x:f>
        <x:v>0.15</x:v>
      </x:c>
      <x:c r="V478" s="20" t="n">
        <x:f>R478*U478</x:f>
        <x:v>1462.5</x:v>
      </x:c>
      <x:c r="W478" s="18" t="n">
        <x:f>'01 Controls'!F41</x:f>
        <x:v>0.75</x:v>
      </x:c>
      <x:c r="X478" s="20" t="n">
        <x:f>R478*W478</x:f>
        <x:v>7312.5</x:v>
      </x:c>
      <x:c r="Y478" s="18" t="n">
        <x:f>'01 Controls'!G41</x:f>
        <x:v>0</x:v>
      </x:c>
      <x:c r="Z478" s="20" t="n">
        <x:f>R478*Y478</x:f>
        <x:v>0</x:v>
      </x:c>
      <x:c r="AA478" s="18" t="n">
        <x:f>'01 Controls'!H41</x:f>
        <x:v>0.1</x:v>
      </x:c>
      <x:c r="AB478" s="20" t="n">
        <x:f>R478*AA478</x:f>
        <x:v>975</x:v>
      </x:c>
      <x:c r="AC478" s="20" t="n">
        <x:f>IF(H478="CM-HCG",K478*'01 Controls'!$E$24,0)</x:f>
        <x:v>0</x:v>
      </x:c>
      <x:c r="AD478" s="20" t="n">
        <x:f>IF(H478="CM-HCG",K478*'01 Controls'!$E$25,0)</x:f>
        <x:v>0</x:v>
      </x:c>
      <x:c r="AE478" s="20" t="n">
        <x:f>IF(H478="CM-HCG",K478*'01 Controls'!$E$26,0)</x:f>
        <x:v>0</x:v>
      </x:c>
      <x:c r="AF478" s="20" t="n">
        <x:f>IF(H478="CM-HCG",K478*'01 Controls'!$E$27,0)</x:f>
        <x:v>0</x:v>
      </x:c>
    </x:row>
    <x:row r="479">
      <x:c r="C479" s="22" t="str">
        <x:v>G2-CM-HCG</x:v>
      </x:c>
      <x:c r="D479" s="22" t="n">
        <x:v>474</x:v>
      </x:c>
      <x:c r="E479" s="22" t="str">
        <x:v>G2</x:v>
      </x:c>
      <x:c r="F479" s="22" t="str">
        <x:v>Regional flood and displacement</x:v>
      </x:c>
      <x:c r="G479" s="22" t="n">
        <x:v>10</x:v>
      </x:c>
      <x:c r="H479" s="22" t="str">
        <x:v>CM-HCG</x:v>
      </x:c>
      <x:c r="I479" s="22" t="str">
        <x:v>Civil Mobility and Continuity</x:v>
      </x:c>
      <x:c r="J479" s="22" t="str">
        <x:v>Household collection group</x:v>
      </x:c>
      <x:c r="K479" s="23" t="n">
        <x:v>10</x:v>
      </x:c>
      <x:c r="L479" s="23" t="n">
        <x:v>7587</x:v>
      </x:c>
      <x:c r="M479" s="23" t="n">
        <x:v>2000</x:v>
      </x:c>
      <x:c r="N479" s="20" t="n">
        <x:f>K479*L479</x:f>
        <x:v>75870</x:v>
      </x:c>
      <x:c r="O479" s="19" t="n">
        <x:v>6388</x:v>
      </x:c>
      <x:c r="P479" s="17" t="n">
        <x:v>0.7</x:v>
      </x:c>
      <x:c r="Q479" s="20" t="n">
        <x:f>K479*O479*P479</x:f>
        <x:v>44716</x:v>
      </x:c>
      <x:c r="R479" s="20" t="n">
        <x:f>Q479*(1-'01 Controls'!$E$6)</x:f>
        <x:v>33537</x:v>
      </x:c>
      <x:c r="S479" s="19" t="n">
        <x:v>45</x:v>
      </x:c>
      <x:c r="T479" s="20" t="n">
        <x:f>K479*S479</x:f>
        <x:v>450</x:v>
      </x:c>
      <x:c r="U479" s="18" t="n">
        <x:f>'01 Controls'!E41</x:f>
        <x:v>0.15</x:v>
      </x:c>
      <x:c r="V479" s="20" t="n">
        <x:f>R479*U479</x:f>
        <x:v>5030.55</x:v>
      </x:c>
      <x:c r="W479" s="18" t="n">
        <x:f>'01 Controls'!F41</x:f>
        <x:v>0.75</x:v>
      </x:c>
      <x:c r="X479" s="20" t="n">
        <x:f>R479*W479</x:f>
        <x:v>25152.75</x:v>
      </x:c>
      <x:c r="Y479" s="18" t="n">
        <x:f>'01 Controls'!G41</x:f>
        <x:v>0</x:v>
      </x:c>
      <x:c r="Z479" s="20" t="n">
        <x:f>R479*Y479</x:f>
        <x:v>0</x:v>
      </x:c>
      <x:c r="AA479" s="18" t="n">
        <x:f>'01 Controls'!H41</x:f>
        <x:v>0.1</x:v>
      </x:c>
      <x:c r="AB479" s="20" t="n">
        <x:f>R479*AA479</x:f>
        <x:v>3353.7000000000003</x:v>
      </x:c>
      <x:c r="AC479" s="20" t="n">
        <x:f>IF(H479="CM-HCG",K479*'01 Controls'!$E$24,0)</x:f>
        <x:v>340</x:v>
      </x:c>
      <x:c r="AD479" s="20" t="n">
        <x:f>IF(H479="CM-HCG",K479*'01 Controls'!$E$25,0)</x:f>
        <x:v>70</x:v>
      </x:c>
      <x:c r="AE479" s="20" t="n">
        <x:f>IF(H479="CM-HCG",K479*'01 Controls'!$E$26,0)</x:f>
        <x:v>100</x:v>
      </x:c>
      <x:c r="AF479" s="20" t="n">
        <x:f>IF(H479="CM-HCG",K479*'01 Controls'!$E$27,0)</x:f>
        <x:v>90</x:v>
      </x:c>
    </x:row>
    <x:row r="480">
      <x:c r="C480" s="22" t="str">
        <x:v>G2-CM-CTN</x:v>
      </x:c>
      <x:c r="D480" s="22" t="n">
        <x:v>475</x:v>
      </x:c>
      <x:c r="E480" s="22" t="str">
        <x:v>G2</x:v>
      </x:c>
      <x:c r="F480" s="22" t="str">
        <x:v>Regional flood and displacement</x:v>
      </x:c>
      <x:c r="G480" s="22" t="n">
        <x:v>10</x:v>
      </x:c>
      <x:c r="H480" s="22" t="str">
        <x:v>CM-CTN</x:v>
      </x:c>
      <x:c r="I480" s="22" t="str">
        <x:v>Civil Mobility and Continuity</x:v>
      </x:c>
      <x:c r="J480" s="22" t="str">
        <x:v>Continuity transfer-node group</x:v>
      </x:c>
      <x:c r="K480" s="23" t="n">
        <x:v>8</x:v>
      </x:c>
      <x:c r="L480" s="23" t="n">
        <x:v>2289</x:v>
      </x:c>
      <x:c r="M480" s="23" t="n">
        <x:v>489</x:v>
      </x:c>
      <x:c r="N480" s="20" t="n">
        <x:f>K480*L480</x:f>
        <x:v>18312</x:v>
      </x:c>
      <x:c r="O480" s="19" t="n">
        <x:v>4513</x:v>
      </x:c>
      <x:c r="P480" s="17" t="n">
        <x:v>0.7</x:v>
      </x:c>
      <x:c r="Q480" s="20" t="n">
        <x:f>K480*O480*P480</x:f>
        <x:v>25272.8</x:v>
      </x:c>
      <x:c r="R480" s="20" t="n">
        <x:f>Q480*(1-'01 Controls'!$E$6)</x:f>
        <x:v>18954.6</x:v>
      </x:c>
      <x:c r="S480" s="19" t="n">
        <x:v>35</x:v>
      </x:c>
      <x:c r="T480" s="20" t="n">
        <x:f>K480*S480</x:f>
        <x:v>280</x:v>
      </x:c>
      <x:c r="U480" s="18" t="n">
        <x:f>'01 Controls'!E41</x:f>
        <x:v>0.15</x:v>
      </x:c>
      <x:c r="V480" s="20" t="n">
        <x:f>R480*U480</x:f>
        <x:v>2843.1899999999996</x:v>
      </x:c>
      <x:c r="W480" s="18" t="n">
        <x:f>'01 Controls'!F41</x:f>
        <x:v>0.75</x:v>
      </x:c>
      <x:c r="X480" s="20" t="n">
        <x:f>R480*W480</x:f>
        <x:v>14215.949999999999</x:v>
      </x:c>
      <x:c r="Y480" s="18" t="n">
        <x:f>'01 Controls'!G41</x:f>
        <x:v>0</x:v>
      </x:c>
      <x:c r="Z480" s="20" t="n">
        <x:f>R480*Y480</x:f>
        <x:v>0</x:v>
      </x:c>
      <x:c r="AA480" s="18" t="n">
        <x:f>'01 Controls'!H41</x:f>
        <x:v>0.1</x:v>
      </x:c>
      <x:c r="AB480" s="20" t="n">
        <x:f>R480*AA480</x:f>
        <x:v>1895.46</x:v>
      </x:c>
      <x:c r="AC480" s="20" t="n">
        <x:f>IF(H480="CM-HCG",K480*'01 Controls'!$E$24,0)</x:f>
        <x:v>0</x:v>
      </x:c>
      <x:c r="AD480" s="20" t="n">
        <x:f>IF(H480="CM-HCG",K480*'01 Controls'!$E$25,0)</x:f>
        <x:v>0</x:v>
      </x:c>
      <x:c r="AE480" s="20" t="n">
        <x:f>IF(H480="CM-HCG",K480*'01 Controls'!$E$26,0)</x:f>
        <x:v>0</x:v>
      </x:c>
      <x:c r="AF480" s="20" t="n">
        <x:f>IF(H480="CM-HCG",K480*'01 Controls'!$E$27,0)</x:f>
        <x:v>0</x:v>
      </x:c>
    </x:row>
    <x:row r="481">
      <x:c r="C481" s="22" t="str">
        <x:v>G2-CM-RMG</x:v>
      </x:c>
      <x:c r="D481" s="22" t="n">
        <x:v>476</x:v>
      </x:c>
      <x:c r="E481" s="22" t="str">
        <x:v>G2</x:v>
      </x:c>
      <x:c r="F481" s="22" t="str">
        <x:v>Regional flood and displacement</x:v>
      </x:c>
      <x:c r="G481" s="22" t="n">
        <x:v>10</x:v>
      </x:c>
      <x:c r="H481" s="22" t="str">
        <x:v>CM-RMG</x:v>
      </x:c>
      <x:c r="I481" s="22" t="str">
        <x:v>Civil Mobility and Continuity</x:v>
      </x:c>
      <x:c r="J481" s="22" t="str">
        <x:v>Civil road-mobility group</x:v>
      </x:c>
      <x:c r="K481" s="23" t="n">
        <x:v>12</x:v>
      </x:c>
      <x:c r="L481" s="23" t="n">
        <x:v>900</x:v>
      </x:c>
      <x:c r="M481" s="23" t="n">
        <x:v>250</x:v>
      </x:c>
      <x:c r="N481" s="20" t="n">
        <x:f>K481*L481</x:f>
        <x:v>10800</x:v>
      </x:c>
      <x:c r="O481" s="19" t="n">
        <x:v>5000</x:v>
      </x:c>
      <x:c r="P481" s="17" t="n">
        <x:v>0.7</x:v>
      </x:c>
      <x:c r="Q481" s="20" t="n">
        <x:f>K481*O481*P481</x:f>
        <x:v>42000</x:v>
      </x:c>
      <x:c r="R481" s="20" t="n">
        <x:f>Q481*(1-'01 Controls'!$E$6)</x:f>
        <x:v>31500</x:v>
      </x:c>
      <x:c r="S481" s="19" t="n">
        <x:v>45</x:v>
      </x:c>
      <x:c r="T481" s="20" t="n">
        <x:f>K481*S481</x:f>
        <x:v>540</x:v>
      </x:c>
      <x:c r="U481" s="18" t="n">
        <x:f>'01 Controls'!E41</x:f>
        <x:v>0.15</x:v>
      </x:c>
      <x:c r="V481" s="20" t="n">
        <x:f>R481*U481</x:f>
        <x:v>4725</x:v>
      </x:c>
      <x:c r="W481" s="18" t="n">
        <x:f>'01 Controls'!F41</x:f>
        <x:v>0.75</x:v>
      </x:c>
      <x:c r="X481" s="20" t="n">
        <x:f>R481*W481</x:f>
        <x:v>23625</x:v>
      </x:c>
      <x:c r="Y481" s="18" t="n">
        <x:f>'01 Controls'!G41</x:f>
        <x:v>0</x:v>
      </x:c>
      <x:c r="Z481" s="20" t="n">
        <x:f>R481*Y481</x:f>
        <x:v>0</x:v>
      </x:c>
      <x:c r="AA481" s="18" t="n">
        <x:f>'01 Controls'!H41</x:f>
        <x:v>0.1</x:v>
      </x:c>
      <x:c r="AB481" s="20" t="n">
        <x:f>R481*AA481</x:f>
        <x:v>3150</x:v>
      </x:c>
      <x:c r="AC481" s="20" t="n">
        <x:f>IF(H481="CM-HCG",K481*'01 Controls'!$E$24,0)</x:f>
        <x:v>0</x:v>
      </x:c>
      <x:c r="AD481" s="20" t="n">
        <x:f>IF(H481="CM-HCG",K481*'01 Controls'!$E$25,0)</x:f>
        <x:v>0</x:v>
      </x:c>
      <x:c r="AE481" s="20" t="n">
        <x:f>IF(H481="CM-HCG",K481*'01 Controls'!$E$26,0)</x:f>
        <x:v>0</x:v>
      </x:c>
      <x:c r="AF481" s="20" t="n">
        <x:f>IF(H481="CM-HCG",K481*'01 Controls'!$E$27,0)</x:f>
        <x:v>0</x:v>
      </x:c>
    </x:row>
    <x:row r="482">
      <x:c r="C482" s="22" t="str">
        <x:v>G2-CM-RLG</x:v>
      </x:c>
      <x:c r="D482" s="22" t="n">
        <x:v>477</x:v>
      </x:c>
      <x:c r="E482" s="22" t="str">
        <x:v>G2</x:v>
      </x:c>
      <x:c r="F482" s="22" t="str">
        <x:v>Regional flood and displacement</x:v>
      </x:c>
      <x:c r="G482" s="22" t="n">
        <x:v>10</x:v>
      </x:c>
      <x:c r="H482" s="22" t="str">
        <x:v>CM-RLG</x:v>
      </x:c>
      <x:c r="I482" s="22" t="str">
        <x:v>Civil Mobility and Continuity</x:v>
      </x:c>
      <x:c r="J482" s="22" t="str">
        <x:v>Civil rail-mobility group</x:v>
      </x:c>
      <x:c r="K482" s="23" t="n">
        <x:v>5</x:v>
      </x:c>
      <x:c r="L482" s="23" t="n">
        <x:v>500</x:v>
      </x:c>
      <x:c r="M482" s="23" t="n">
        <x:v>100</x:v>
      </x:c>
      <x:c r="N482" s="20" t="n">
        <x:f>K482*L482</x:f>
        <x:v>2500</x:v>
      </x:c>
      <x:c r="O482" s="19" t="n">
        <x:v>8000</x:v>
      </x:c>
      <x:c r="P482" s="17" t="n">
        <x:v>0.6</x:v>
      </x:c>
      <x:c r="Q482" s="20" t="n">
        <x:f>K482*O482*P482</x:f>
        <x:v>24000</x:v>
      </x:c>
      <x:c r="R482" s="20" t="n">
        <x:f>Q482*(1-'01 Controls'!$E$6)</x:f>
        <x:v>18000</x:v>
      </x:c>
      <x:c r="S482" s="19" t="n">
        <x:v>40</x:v>
      </x:c>
      <x:c r="T482" s="20" t="n">
        <x:f>K482*S482</x:f>
        <x:v>200</x:v>
      </x:c>
      <x:c r="U482" s="18" t="n">
        <x:f>'01 Controls'!E41</x:f>
        <x:v>0.15</x:v>
      </x:c>
      <x:c r="V482" s="20" t="n">
        <x:f>R482*U482</x:f>
        <x:v>2700</x:v>
      </x:c>
      <x:c r="W482" s="18" t="n">
        <x:f>'01 Controls'!F41</x:f>
        <x:v>0.75</x:v>
      </x:c>
      <x:c r="X482" s="20" t="n">
        <x:f>R482*W482</x:f>
        <x:v>13500</x:v>
      </x:c>
      <x:c r="Y482" s="18" t="n">
        <x:f>'01 Controls'!G41</x:f>
        <x:v>0</x:v>
      </x:c>
      <x:c r="Z482" s="20" t="n">
        <x:f>R482*Y482</x:f>
        <x:v>0</x:v>
      </x:c>
      <x:c r="AA482" s="18" t="n">
        <x:f>'01 Controls'!H41</x:f>
        <x:v>0.1</x:v>
      </x:c>
      <x:c r="AB482" s="20" t="n">
        <x:f>R482*AA482</x:f>
        <x:v>1800</x:v>
      </x:c>
      <x:c r="AC482" s="20" t="n">
        <x:f>IF(H482="CM-HCG",K482*'01 Controls'!$E$24,0)</x:f>
        <x:v>0</x:v>
      </x:c>
      <x:c r="AD482" s="20" t="n">
        <x:f>IF(H482="CM-HCG",K482*'01 Controls'!$E$25,0)</x:f>
        <x:v>0</x:v>
      </x:c>
      <x:c r="AE482" s="20" t="n">
        <x:f>IF(H482="CM-HCG",K482*'01 Controls'!$E$26,0)</x:f>
        <x:v>0</x:v>
      </x:c>
      <x:c r="AF482" s="20" t="n">
        <x:f>IF(H482="CM-HCG",K482*'01 Controls'!$E$27,0)</x:f>
        <x:v>0</x:v>
      </x:c>
    </x:row>
    <x:row r="483">
      <x:c r="C483" s="22" t="str">
        <x:v>G2-CM-AMG</x:v>
      </x:c>
      <x:c r="D483" s="22" t="n">
        <x:v>478</x:v>
      </x:c>
      <x:c r="E483" s="22" t="str">
        <x:v>G2</x:v>
      </x:c>
      <x:c r="F483" s="22" t="str">
        <x:v>Regional flood and displacement</x:v>
      </x:c>
      <x:c r="G483" s="22" t="n">
        <x:v>10</x:v>
      </x:c>
      <x:c r="H483" s="22" t="str">
        <x:v>CM-AMG</x:v>
      </x:c>
      <x:c r="I483" s="22" t="str">
        <x:v>Civil Mobility and Continuity</x:v>
      </x:c>
      <x:c r="J483" s="22" t="str">
        <x:v>Civil air-mobility group</x:v>
      </x:c>
      <x:c r="K483" s="23" t="n">
        <x:v>5</x:v>
      </x:c>
      <x:c r="L483" s="23" t="n">
        <x:v>600</x:v>
      </x:c>
      <x:c r="M483" s="23" t="n">
        <x:v>200</x:v>
      </x:c>
      <x:c r="N483" s="20" t="n">
        <x:f>K483*L483</x:f>
        <x:v>3000</x:v>
      </x:c>
      <x:c r="O483" s="19" t="n">
        <x:v>6000</x:v>
      </x:c>
      <x:c r="P483" s="17" t="n">
        <x:v>0.75</x:v>
      </x:c>
      <x:c r="Q483" s="20" t="n">
        <x:f>K483*O483*P483</x:f>
        <x:v>22500</x:v>
      </x:c>
      <x:c r="R483" s="20" t="n">
        <x:f>Q483*(1-'01 Controls'!$E$6)</x:f>
        <x:v>16875</x:v>
      </x:c>
      <x:c r="S483" s="19" t="n">
        <x:v>55</x:v>
      </x:c>
      <x:c r="T483" s="20" t="n">
        <x:f>K483*S483</x:f>
        <x:v>275</x:v>
      </x:c>
      <x:c r="U483" s="18" t="n">
        <x:f>'01 Controls'!E41</x:f>
        <x:v>0.15</x:v>
      </x:c>
      <x:c r="V483" s="20" t="n">
        <x:f>R483*U483</x:f>
        <x:v>2531.25</x:v>
      </x:c>
      <x:c r="W483" s="18" t="n">
        <x:f>'01 Controls'!F41</x:f>
        <x:v>0.75</x:v>
      </x:c>
      <x:c r="X483" s="20" t="n">
        <x:f>R483*W483</x:f>
        <x:v>12656.25</x:v>
      </x:c>
      <x:c r="Y483" s="18" t="n">
        <x:f>'01 Controls'!G41</x:f>
        <x:v>0</x:v>
      </x:c>
      <x:c r="Z483" s="20" t="n">
        <x:f>R483*Y483</x:f>
        <x:v>0</x:v>
      </x:c>
      <x:c r="AA483" s="18" t="n">
        <x:f>'01 Controls'!H41</x:f>
        <x:v>0.1</x:v>
      </x:c>
      <x:c r="AB483" s="20" t="n">
        <x:f>R483*AA483</x:f>
        <x:v>1687.5</x:v>
      </x:c>
      <x:c r="AC483" s="20" t="n">
        <x:f>IF(H483="CM-HCG",K483*'01 Controls'!$E$24,0)</x:f>
        <x:v>0</x:v>
      </x:c>
      <x:c r="AD483" s="20" t="n">
        <x:f>IF(H483="CM-HCG",K483*'01 Controls'!$E$25,0)</x:f>
        <x:v>0</x:v>
      </x:c>
      <x:c r="AE483" s="20" t="n">
        <x:f>IF(H483="CM-HCG",K483*'01 Controls'!$E$26,0)</x:f>
        <x:v>0</x:v>
      </x:c>
      <x:c r="AF483" s="20" t="n">
        <x:f>IF(H483="CM-HCG",K483*'01 Controls'!$E$27,0)</x:f>
        <x:v>0</x:v>
      </x:c>
    </x:row>
    <x:row r="484">
      <x:c r="C484" s="22" t="str">
        <x:v>G2-CM-WMG</x:v>
      </x:c>
      <x:c r="D484" s="22" t="n">
        <x:v>479</x:v>
      </x:c>
      <x:c r="E484" s="22" t="str">
        <x:v>G2</x:v>
      </x:c>
      <x:c r="F484" s="22" t="str">
        <x:v>Regional flood and displacement</x:v>
      </x:c>
      <x:c r="G484" s="22" t="n">
        <x:v>10</x:v>
      </x:c>
      <x:c r="H484" s="22" t="str">
        <x:v>CM-WMG</x:v>
      </x:c>
      <x:c r="I484" s="22" t="str">
        <x:v>Civil Mobility and Continuity</x:v>
      </x:c>
      <x:c r="J484" s="22" t="str">
        <x:v>Civil water-mobility group</x:v>
      </x:c>
      <x:c r="K484" s="23" t="n">
        <x:v>6</x:v>
      </x:c>
      <x:c r="L484" s="23" t="n">
        <x:v>500</x:v>
      </x:c>
      <x:c r="M484" s="23" t="n">
        <x:v>100</x:v>
      </x:c>
      <x:c r="N484" s="20" t="n">
        <x:f>K484*L484</x:f>
        <x:v>3000</x:v>
      </x:c>
      <x:c r="O484" s="19" t="n">
        <x:v>9000</x:v>
      </x:c>
      <x:c r="P484" s="17" t="n">
        <x:v>0.5</x:v>
      </x:c>
      <x:c r="Q484" s="20" t="n">
        <x:f>K484*O484*P484</x:f>
        <x:v>27000</x:v>
      </x:c>
      <x:c r="R484" s="20" t="n">
        <x:f>Q484*(1-'01 Controls'!$E$6)</x:f>
        <x:v>20250</x:v>
      </x:c>
      <x:c r="S484" s="19" t="n">
        <x:v>50</x:v>
      </x:c>
      <x:c r="T484" s="20" t="n">
        <x:f>K484*S484</x:f>
        <x:v>300</x:v>
      </x:c>
      <x:c r="U484" s="18" t="n">
        <x:f>'01 Controls'!E41</x:f>
        <x:v>0.15</x:v>
      </x:c>
      <x:c r="V484" s="20" t="n">
        <x:f>R484*U484</x:f>
        <x:v>3037.5</x:v>
      </x:c>
      <x:c r="W484" s="18" t="n">
        <x:f>'01 Controls'!F41</x:f>
        <x:v>0.75</x:v>
      </x:c>
      <x:c r="X484" s="20" t="n">
        <x:f>R484*W484</x:f>
        <x:v>15187.5</x:v>
      </x:c>
      <x:c r="Y484" s="18" t="n">
        <x:f>'01 Controls'!G41</x:f>
        <x:v>0</x:v>
      </x:c>
      <x:c r="Z484" s="20" t="n">
        <x:f>R484*Y484</x:f>
        <x:v>0</x:v>
      </x:c>
      <x:c r="AA484" s="18" t="n">
        <x:f>'01 Controls'!H41</x:f>
        <x:v>0.1</x:v>
      </x:c>
      <x:c r="AB484" s="20" t="n">
        <x:f>R484*AA484</x:f>
        <x:v>2025</x:v>
      </x:c>
      <x:c r="AC484" s="20" t="n">
        <x:f>IF(H484="CM-HCG",K484*'01 Controls'!$E$24,0)</x:f>
        <x:v>0</x:v>
      </x:c>
      <x:c r="AD484" s="20" t="n">
        <x:f>IF(H484="CM-HCG",K484*'01 Controls'!$E$25,0)</x:f>
        <x:v>0</x:v>
      </x:c>
      <x:c r="AE484" s="20" t="n">
        <x:f>IF(H484="CM-HCG",K484*'01 Controls'!$E$26,0)</x:f>
        <x:v>0</x:v>
      </x:c>
      <x:c r="AF484" s="20" t="n">
        <x:f>IF(H484="CM-HCG",K484*'01 Controls'!$E$27,0)</x:f>
        <x:v>0</x:v>
      </x:c>
    </x:row>
    <x:row r="485">
      <x:c r="C485" s="22" t="str">
        <x:v>G2-CM-RDC</x:v>
      </x:c>
      <x:c r="D485" s="22" t="n">
        <x:v>480</x:v>
      </x:c>
      <x:c r="E485" s="22" t="str">
        <x:v>G2</x:v>
      </x:c>
      <x:c r="F485" s="22" t="str">
        <x:v>Regional flood and displacement</x:v>
      </x:c>
      <x:c r="G485" s="22" t="n">
        <x:v>10</x:v>
      </x:c>
      <x:c r="H485" s="22" t="str">
        <x:v>CM-RDC</x:v>
      </x:c>
      <x:c r="I485" s="22" t="str">
        <x:v>Civil Mobility and Continuity</x:v>
      </x:c>
      <x:c r="J485" s="22" t="str">
        <x:v>Return and durable-continuity group</x:v>
      </x:c>
      <x:c r="K485" s="23" t="n">
        <x:v>10</x:v>
      </x:c>
      <x:c r="L485" s="23" t="n">
        <x:v>450</x:v>
      </x:c>
      <x:c r="M485" s="23" t="n">
        <x:v>50</x:v>
      </x:c>
      <x:c r="N485" s="20" t="n">
        <x:f>K485*L485</x:f>
        <x:v>4500</x:v>
      </x:c>
      <x:c r="O485" s="19" t="n">
        <x:v>1800</x:v>
      </x:c>
      <x:c r="P485" s="17" t="n">
        <x:v>0.5</x:v>
      </x:c>
      <x:c r="Q485" s="20" t="n">
        <x:f>K485*O485*P485</x:f>
        <x:v>9000</x:v>
      </x:c>
      <x:c r="R485" s="20" t="n">
        <x:f>Q485*(1-'01 Controls'!$E$6)</x:f>
        <x:v>6750</x:v>
      </x:c>
      <x:c r="S485" s="19" t="n">
        <x:v>25</x:v>
      </x:c>
      <x:c r="T485" s="20" t="n">
        <x:f>K485*S485</x:f>
        <x:v>250</x:v>
      </x:c>
      <x:c r="U485" s="18" t="n">
        <x:f>'01 Controls'!E41</x:f>
        <x:v>0.15</x:v>
      </x:c>
      <x:c r="V485" s="20" t="n">
        <x:f>R485*U485</x:f>
        <x:v>1012.5</x:v>
      </x:c>
      <x:c r="W485" s="18" t="n">
        <x:f>'01 Controls'!F41</x:f>
        <x:v>0.75</x:v>
      </x:c>
      <x:c r="X485" s="20" t="n">
        <x:f>R485*W485</x:f>
        <x:v>5062.5</x:v>
      </x:c>
      <x:c r="Y485" s="18" t="n">
        <x:f>'01 Controls'!G41</x:f>
        <x:v>0</x:v>
      </x:c>
      <x:c r="Z485" s="20" t="n">
        <x:f>R485*Y485</x:f>
        <x:v>0</x:v>
      </x:c>
      <x:c r="AA485" s="18" t="n">
        <x:f>'01 Controls'!H41</x:f>
        <x:v>0.1</x:v>
      </x:c>
      <x:c r="AB485" s="20" t="n">
        <x:f>R485*AA485</x:f>
        <x:v>675</x:v>
      </x:c>
      <x:c r="AC485" s="20" t="n">
        <x:f>IF(H485="CM-HCG",K485*'01 Controls'!$E$24,0)</x:f>
        <x:v>0</x:v>
      </x:c>
      <x:c r="AD485" s="20" t="n">
        <x:f>IF(H485="CM-HCG",K485*'01 Controls'!$E$25,0)</x:f>
        <x:v>0</x:v>
      </x:c>
      <x:c r="AE485" s="20" t="n">
        <x:f>IF(H485="CM-HCG",K485*'01 Controls'!$E$26,0)</x:f>
        <x:v>0</x:v>
      </x:c>
      <x:c r="AF485" s="20" t="n">
        <x:f>IF(H485="CM-HCG",K485*'01 Controls'!$E$27,0)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db0085e1b9434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3" max="3" width="31" hidden="0" customWidth="1"/>
    <x:col min="4" max="4" width="23" hidden="0" customWidth="1"/>
    <x:col min="5" max="5" width="10" hidden="0" customWidth="1"/>
    <x:col min="6" max="6" width="9" hidden="0" customWidth="1"/>
    <x:col min="7" max="7" width="28" hidden="0" customWidth="1"/>
    <x:col min="8" max="8" width="14" hidden="0" customWidth="1"/>
    <x:col min="9" max="9" width="19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2" hidden="0" customWidth="1"/>
  </x:cols>
  <x:sheetData>
    <x:row r="2">
      <x:c r="C2" s="2" t="str">
        <x:v>Time-bounded reservation ledger</x:v>
      </x:c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</x:row>
    <x:row r="3">
      <x:c r="C3" s="3" t="str">
        <x:v>Claims are serialized only to prove conservation and denial. The order is not a public-priority recommendation; systemwide pool coverage is order-invariant.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C5" s="9" t="str">
        <x:v>Claim ID</x:v>
      </x:c>
      <x:c r="D5" s="9" t="str">
        <x:v>Pool ID</x:v>
      </x:c>
      <x:c r="E5" s="9" t="str">
        <x:v>Campaign</x:v>
      </x:c>
      <x:c r="F5" s="9" t="str">
        <x:v>Order</x:v>
      </x:c>
      <x:c r="G5" s="9" t="str">
        <x:v>Service</x:v>
      </x:c>
      <x:c r="H5" s="9" t="str">
        <x:v>Interval</x:v>
      </x:c>
      <x:c r="I5" s="9" t="str">
        <x:v>Unit</x:v>
      </x:c>
      <x:c r="J5" s="9" t="str">
        <x:v>Demand</x:v>
      </x:c>
      <x:c r="K5" s="9" t="str">
        <x:v>Pool capacity</x:v>
      </x:c>
      <x:c r="L5" s="9" t="str">
        <x:v>Opening capacity</x:v>
      </x:c>
      <x:c r="M5" s="9" t="str">
        <x:v>Granted</x:v>
      </x:c>
      <x:c r="N5" s="9" t="str">
        <x:v>Denied</x:v>
      </x:c>
      <x:c r="O5" s="9" t="str">
        <x:v>Closing capacity</x:v>
      </x:c>
      <x:c r="P5" s="9" t="str">
        <x:v>Coverage</x:v>
      </x:c>
      <x:c r="Q5" s="9" t="str">
        <x:v>Status</x:v>
      </x:c>
    </x:row>
    <x:row r="6">
      <x:c r="C6" s="11" t="str">
        <x:v>LIFT-AIR-H72-C1</x:v>
      </x:c>
      <x:c r="D6" s="11" t="str">
        <x:v>LIFT-AIR-H72</x:v>
      </x:c>
      <x:c r="E6" s="11" t="str">
        <x:v>C1</x:v>
      </x:c>
      <x:c r="F6" s="11" t="n">
        <x:v>1</x:v>
      </x:c>
      <x:c r="G6" s="11" t="str">
        <x:v>Strategic entry</x:v>
      </x:c>
      <x:c r="H6" s="11" t="str">
        <x:v>H0–72</x:v>
      </x:c>
      <x:c r="I6" s="11" t="str">
        <x:v>tonnes/72h</x:v>
      </x:c>
      <x:c r="J6" s="20" t="n">
        <x:f>SUMIFS('03 Demand Build'!$V$6:$V$485,'03 Demand Build'!$E$6:$E$485,E6)</x:f>
        <x:v>29190.255</x:v>
      </x:c>
      <x:c r="K6" s="20" t="n">
        <x:f>INDEX('02 Pool Register'!$I$6:$I$19,MATCH(D6,'02 Pool Register'!$C$6:$C$19,0))</x:f>
        <x:v>160881</x:v>
      </x:c>
      <x:c r="L6" s="20" t="n">
        <x:f>K6</x:f>
        <x:v>160881</x:v>
      </x:c>
      <x:c r="M6" s="20" t="n">
        <x:f>MIN(J6,L6)</x:f>
        <x:v>29190.255</x:v>
      </x:c>
      <x:c r="N6" s="20" t="n">
        <x:f>J6-M6</x:f>
        <x:v>0</x:v>
      </x:c>
      <x:c r="O6" s="20" t="n">
        <x:f>L6-M6</x:f>
        <x:v>131690.745</x:v>
      </x:c>
      <x:c r="P6" s="18" t="n">
        <x:f>IF(J6=0,1,M6/J6)</x:f>
        <x:v>1</x:v>
      </x:c>
      <x:c r="Q6" s="11" t="str">
        <x:f>IF(N6&lt;='01 Controls'!$E$23,"PASS","FAIL")</x:f>
        <x:v>PASS</x:v>
      </x:c>
    </x:row>
    <x:row r="7">
      <x:c r="C7" s="11" t="str">
        <x:v>LIFT-AIR-H72-C2</x:v>
      </x:c>
      <x:c r="D7" s="11" t="str">
        <x:v>LIFT-AIR-H72</x:v>
      </x:c>
      <x:c r="E7" s="11" t="str">
        <x:v>C2</x:v>
      </x:c>
      <x:c r="F7" s="11" t="n">
        <x:v>2</x:v>
      </x:c>
      <x:c r="G7" s="11" t="str">
        <x:v>Strategic entry</x:v>
      </x:c>
      <x:c r="H7" s="11" t="str">
        <x:v>H0–72</x:v>
      </x:c>
      <x:c r="I7" s="11" t="str">
        <x:v>tonnes/72h</x:v>
      </x:c>
      <x:c r="J7" s="20" t="n">
        <x:f>SUMIFS('03 Demand Build'!$V$6:$V$485,'03 Demand Build'!$E$6:$E$485,E7)</x:f>
        <x:v>38205.8475</x:v>
      </x:c>
      <x:c r="K7" s="20" t="n">
        <x:f>INDEX('02 Pool Register'!$I$6:$I$19,MATCH(D7,'02 Pool Register'!$C$6:$C$19,0))</x:f>
        <x:v>160881</x:v>
      </x:c>
      <x:c r="L7" s="20" t="n">
        <x:f>IF(D7=D6,O6,K7)</x:f>
        <x:v>131690.745</x:v>
      </x:c>
      <x:c r="M7" s="20" t="n">
        <x:f>MIN(J7,L7)</x:f>
        <x:v>38205.8475</x:v>
      </x:c>
      <x:c r="N7" s="20" t="n">
        <x:f>J7-M7</x:f>
        <x:v>0</x:v>
      </x:c>
      <x:c r="O7" s="20" t="n">
        <x:f>L7-M7</x:f>
        <x:v>93484.89749999999</x:v>
      </x:c>
      <x:c r="P7" s="18" t="n">
        <x:f>IF(J7=0,1,M7/J7)</x:f>
        <x:v>1</x:v>
      </x:c>
      <x:c r="Q7" s="11" t="str">
        <x:f>IF(N7&lt;='01 Controls'!$E$23,"PASS","FAIL")</x:f>
        <x:v>PASS</x:v>
      </x:c>
    </x:row>
    <x:row r="8">
      <x:c r="C8" s="11" t="str">
        <x:v>LIFT-AIR-H72-C3</x:v>
      </x:c>
      <x:c r="D8" s="11" t="str">
        <x:v>LIFT-AIR-H72</x:v>
      </x:c>
      <x:c r="E8" s="11" t="str">
        <x:v>C3</x:v>
      </x:c>
      <x:c r="F8" s="11" t="n">
        <x:v>3</x:v>
      </x:c>
      <x:c r="G8" s="11" t="str">
        <x:v>Strategic entry</x:v>
      </x:c>
      <x:c r="H8" s="11" t="str">
        <x:v>H0–72</x:v>
      </x:c>
      <x:c r="I8" s="11" t="str">
        <x:v>tonnes/72h</x:v>
      </x:c>
      <x:c r="J8" s="20" t="n">
        <x:f>SUMIFS('03 Demand Build'!$V$6:$V$485,'03 Demand Build'!$E$6:$E$485,E8)</x:f>
        <x:v>99942.6</x:v>
      </x:c>
      <x:c r="K8" s="20" t="n">
        <x:f>INDEX('02 Pool Register'!$I$6:$I$19,MATCH(D8,'02 Pool Register'!$C$6:$C$19,0))</x:f>
        <x:v>160881</x:v>
      </x:c>
      <x:c r="L8" s="20" t="n">
        <x:f>IF(D8=D7,O7,K8)</x:f>
        <x:v>93484.89749999999</x:v>
      </x:c>
      <x:c r="M8" s="20" t="n">
        <x:f>MIN(J8,L8)</x:f>
        <x:v>93484.89749999999</x:v>
      </x:c>
      <x:c r="N8" s="20" t="n">
        <x:f>J8-M8</x:f>
        <x:v>6457.702500000014</x:v>
      </x:c>
      <x:c r="O8" s="20" t="n">
        <x:f>L8-M8</x:f>
        <x:v>0</x:v>
      </x:c>
      <x:c r="P8" s="18" t="n">
        <x:f>IF(J8=0,1,M8/J8)</x:f>
        <x:v>0.9353858864988502</x:v>
      </x:c>
      <x:c r="Q8" s="11" t="str">
        <x:f>IF(N8&lt;='01 Controls'!$E$23,"PASS","FAIL")</x:f>
        <x:v>FAIL</x:v>
      </x:c>
    </x:row>
    <x:row r="9">
      <x:c r="C9" s="11" t="str">
        <x:v>LIFT-AIR-H72-M1</x:v>
      </x:c>
      <x:c r="D9" s="11" t="str">
        <x:v>LIFT-AIR-H72</x:v>
      </x:c>
      <x:c r="E9" s="11" t="str">
        <x:v>M1</x:v>
      </x:c>
      <x:c r="F9" s="11" t="n">
        <x:v>4</x:v>
      </x:c>
      <x:c r="G9" s="11" t="str">
        <x:v>Strategic entry</x:v>
      </x:c>
      <x:c r="H9" s="11" t="str">
        <x:v>H0–72</x:v>
      </x:c>
      <x:c r="I9" s="11" t="str">
        <x:v>tonnes/72h</x:v>
      </x:c>
      <x:c r="J9" s="20" t="n">
        <x:f>SUMIFS('03 Demand Build'!$V$6:$V$485,'03 Demand Build'!$E$6:$E$485,E9)</x:f>
        <x:v>36980.4975</x:v>
      </x:c>
      <x:c r="K9" s="20" t="n">
        <x:f>INDEX('02 Pool Register'!$I$6:$I$19,MATCH(D9,'02 Pool Register'!$C$6:$C$19,0))</x:f>
        <x:v>160881</x:v>
      </x:c>
      <x:c r="L9" s="20" t="n">
        <x:f>IF(D9=D8,O8,K9)</x:f>
        <x:v>0</x:v>
      </x:c>
      <x:c r="M9" s="20" t="n">
        <x:f>MIN(J9,L9)</x:f>
        <x:v>0</x:v>
      </x:c>
      <x:c r="N9" s="20" t="n">
        <x:f>J9-M9</x:f>
        <x:v>36980.4975</x:v>
      </x:c>
      <x:c r="O9" s="20" t="n">
        <x:f>L9-M9</x:f>
        <x:v>0</x:v>
      </x:c>
      <x:c r="P9" s="18" t="n">
        <x:f>IF(J9=0,1,M9/J9)</x:f>
        <x:v>0</x:v>
      </x:c>
      <x:c r="Q9" s="11" t="str">
        <x:f>IF(N9&lt;='01 Controls'!$E$23,"PASS","FAIL")</x:f>
        <x:v>FAIL</x:v>
      </x:c>
    </x:row>
    <x:row r="10">
      <x:c r="C10" s="11" t="str">
        <x:v>LIFT-AIR-H72-M2</x:v>
      </x:c>
      <x:c r="D10" s="11" t="str">
        <x:v>LIFT-AIR-H72</x:v>
      </x:c>
      <x:c r="E10" s="11" t="str">
        <x:v>M2</x:v>
      </x:c>
      <x:c r="F10" s="11" t="n">
        <x:v>5</x:v>
      </x:c>
      <x:c r="G10" s="11" t="str">
        <x:v>Strategic entry</x:v>
      </x:c>
      <x:c r="H10" s="11" t="str">
        <x:v>H0–72</x:v>
      </x:c>
      <x:c r="I10" s="11" t="str">
        <x:v>tonnes/72h</x:v>
      </x:c>
      <x:c r="J10" s="20" t="n">
        <x:f>SUMIFS('03 Demand Build'!$V$6:$V$485,'03 Demand Build'!$E$6:$E$485,E10)</x:f>
        <x:v>22915.147500000003</x:v>
      </x:c>
      <x:c r="K10" s="20" t="n">
        <x:f>INDEX('02 Pool Register'!$I$6:$I$19,MATCH(D10,'02 Pool Register'!$C$6:$C$19,0))</x:f>
        <x:v>160881</x:v>
      </x:c>
      <x:c r="L10" s="20" t="n">
        <x:f>IF(D10=D9,O9,K10)</x:f>
        <x:v>0</x:v>
      </x:c>
      <x:c r="M10" s="20" t="n">
        <x:f>MIN(J10,L10)</x:f>
        <x:v>0</x:v>
      </x:c>
      <x:c r="N10" s="20" t="n">
        <x:f>J10-M10</x:f>
        <x:v>22915.147500000003</x:v>
      </x:c>
      <x:c r="O10" s="20" t="n">
        <x:f>L10-M10</x:f>
        <x:v>0</x:v>
      </x:c>
      <x:c r="P10" s="18" t="n">
        <x:f>IF(J10=0,1,M10/J10)</x:f>
        <x:v>0</x:v>
      </x:c>
      <x:c r="Q10" s="11" t="str">
        <x:f>IF(N10&lt;='01 Controls'!$E$23,"PASS","FAIL")</x:f>
        <x:v>FAIL</x:v>
      </x:c>
    </x:row>
    <x:row r="11">
      <x:c r="C11" s="11" t="str">
        <x:v>LIFT-AIR-H72-M3</x:v>
      </x:c>
      <x:c r="D11" s="11" t="str">
        <x:v>LIFT-AIR-H72</x:v>
      </x:c>
      <x:c r="E11" s="11" t="str">
        <x:v>M3</x:v>
      </x:c>
      <x:c r="F11" s="11" t="n">
        <x:v>6</x:v>
      </x:c>
      <x:c r="G11" s="11" t="str">
        <x:v>Strategic entry</x:v>
      </x:c>
      <x:c r="H11" s="11" t="str">
        <x:v>H0–72</x:v>
      </x:c>
      <x:c r="I11" s="11" t="str">
        <x:v>tonnes/72h</x:v>
      </x:c>
      <x:c r="J11" s="20" t="n">
        <x:f>SUMIFS('03 Demand Build'!$V$6:$V$485,'03 Demand Build'!$E$6:$E$485,E11)</x:f>
        <x:v>26502.15</x:v>
      </x:c>
      <x:c r="K11" s="20" t="n">
        <x:f>INDEX('02 Pool Register'!$I$6:$I$19,MATCH(D11,'02 Pool Register'!$C$6:$C$19,0))</x:f>
        <x:v>160881</x:v>
      </x:c>
      <x:c r="L11" s="20" t="n">
        <x:f>IF(D11=D10,O10,K11)</x:f>
        <x:v>0</x:v>
      </x:c>
      <x:c r="M11" s="20" t="n">
        <x:f>MIN(J11,L11)</x:f>
        <x:v>0</x:v>
      </x:c>
      <x:c r="N11" s="20" t="n">
        <x:f>J11-M11</x:f>
        <x:v>26502.15</x:v>
      </x:c>
      <x:c r="O11" s="20" t="n">
        <x:f>L11-M11</x:f>
        <x:v>0</x:v>
      </x:c>
      <x:c r="P11" s="18" t="n">
        <x:f>IF(J11=0,1,M11/J11)</x:f>
        <x:v>0</x:v>
      </x:c>
      <x:c r="Q11" s="11" t="str">
        <x:f>IF(N11&lt;='01 Controls'!$E$23,"PASS","FAIL")</x:f>
        <x:v>FAIL</x:v>
      </x:c>
    </x:row>
    <x:row r="12">
      <x:c r="C12" s="11" t="str">
        <x:v>LIFT-AIR-H72-M4</x:v>
      </x:c>
      <x:c r="D12" s="11" t="str">
        <x:v>LIFT-AIR-H72</x:v>
      </x:c>
      <x:c r="E12" s="11" t="str">
        <x:v>M4</x:v>
      </x:c>
      <x:c r="F12" s="11" t="n">
        <x:v>7</x:v>
      </x:c>
      <x:c r="G12" s="11" t="str">
        <x:v>Strategic entry</x:v>
      </x:c>
      <x:c r="H12" s="11" t="str">
        <x:v>H0–72</x:v>
      </x:c>
      <x:c r="I12" s="11" t="str">
        <x:v>tonnes/72h</x:v>
      </x:c>
      <x:c r="J12" s="20" t="n">
        <x:f>SUMIFS('03 Demand Build'!$V$6:$V$485,'03 Demand Build'!$E$6:$E$485,E12)</x:f>
        <x:v>29142.76875</x:v>
      </x:c>
      <x:c r="K12" s="20" t="n">
        <x:f>INDEX('02 Pool Register'!$I$6:$I$19,MATCH(D12,'02 Pool Register'!$C$6:$C$19,0))</x:f>
        <x:v>160881</x:v>
      </x:c>
      <x:c r="L12" s="20" t="n">
        <x:f>IF(D12=D11,O11,K12)</x:f>
        <x:v>0</x:v>
      </x:c>
      <x:c r="M12" s="20" t="n">
        <x:f>MIN(J12,L12)</x:f>
        <x:v>0</x:v>
      </x:c>
      <x:c r="N12" s="20" t="n">
        <x:f>J12-M12</x:f>
        <x:v>29142.76875</x:v>
      </x:c>
      <x:c r="O12" s="20" t="n">
        <x:f>L12-M12</x:f>
        <x:v>0</x:v>
      </x:c>
      <x:c r="P12" s="18" t="n">
        <x:f>IF(J12=0,1,M12/J12)</x:f>
        <x:v>0</x:v>
      </x:c>
      <x:c r="Q12" s="11" t="str">
        <x:f>IF(N12&lt;='01 Controls'!$E$23,"PASS","FAIL")</x:f>
        <x:v>FAIL</x:v>
      </x:c>
    </x:row>
    <x:row r="13">
      <x:c r="C13" s="11" t="str">
        <x:v>LIFT-AIR-H72-M5</x:v>
      </x:c>
      <x:c r="D13" s="11" t="str">
        <x:v>LIFT-AIR-H72</x:v>
      </x:c>
      <x:c r="E13" s="11" t="str">
        <x:v>M5</x:v>
      </x:c>
      <x:c r="F13" s="11" t="n">
        <x:v>8</x:v>
      </x:c>
      <x:c r="G13" s="11" t="str">
        <x:v>Strategic entry</x:v>
      </x:c>
      <x:c r="H13" s="11" t="str">
        <x:v>H0–72</x:v>
      </x:c>
      <x:c r="I13" s="11" t="str">
        <x:v>tonnes/72h</x:v>
      </x:c>
      <x:c r="J13" s="20" t="n">
        <x:f>SUMIFS('03 Demand Build'!$V$6:$V$485,'03 Demand Build'!$E$6:$E$485,E13)</x:f>
        <x:v>27633.09</x:v>
      </x:c>
      <x:c r="K13" s="20" t="n">
        <x:f>INDEX('02 Pool Register'!$I$6:$I$19,MATCH(D13,'02 Pool Register'!$C$6:$C$19,0))</x:f>
        <x:v>160881</x:v>
      </x:c>
      <x:c r="L13" s="20" t="n">
        <x:f>IF(D13=D12,O12,K13)</x:f>
        <x:v>0</x:v>
      </x:c>
      <x:c r="M13" s="20" t="n">
        <x:f>MIN(J13,L13)</x:f>
        <x:v>0</x:v>
      </x:c>
      <x:c r="N13" s="20" t="n">
        <x:f>J13-M13</x:f>
        <x:v>27633.09</x:v>
      </x:c>
      <x:c r="O13" s="20" t="n">
        <x:f>L13-M13</x:f>
        <x:v>0</x:v>
      </x:c>
      <x:c r="P13" s="18" t="n">
        <x:f>IF(J13=0,1,M13/J13)</x:f>
        <x:v>0</x:v>
      </x:c>
      <x:c r="Q13" s="11" t="str">
        <x:f>IF(N13&lt;='01 Controls'!$E$23,"PASS","FAIL")</x:f>
        <x:v>FAIL</x:v>
      </x:c>
    </x:row>
    <x:row r="14">
      <x:c r="C14" s="11" t="str">
        <x:v>LIFT-AIR-H72-G1</x:v>
      </x:c>
      <x:c r="D14" s="11" t="str">
        <x:v>LIFT-AIR-H72</x:v>
      </x:c>
      <x:c r="E14" s="11" t="str">
        <x:v>G1</x:v>
      </x:c>
      <x:c r="F14" s="11" t="n">
        <x:v>9</x:v>
      </x:c>
      <x:c r="G14" s="11" t="str">
        <x:v>Strategic entry</x:v>
      </x:c>
      <x:c r="H14" s="11" t="str">
        <x:v>H0–72</x:v>
      </x:c>
      <x:c r="I14" s="11" t="str">
        <x:v>tonnes/72h</x:v>
      </x:c>
      <x:c r="J14" s="20" t="n">
        <x:f>SUMIFS('03 Demand Build'!$V$6:$V$485,'03 Demand Build'!$E$6:$E$485,E14)</x:f>
        <x:v>137947.77000000002</x:v>
      </x:c>
      <x:c r="K14" s="20" t="n">
        <x:f>INDEX('02 Pool Register'!$I$6:$I$19,MATCH(D14,'02 Pool Register'!$C$6:$C$19,0))</x:f>
        <x:v>160881</x:v>
      </x:c>
      <x:c r="L14" s="20" t="n">
        <x:f>IF(D14=D13,O13,K14)</x:f>
        <x:v>0</x:v>
      </x:c>
      <x:c r="M14" s="20" t="n">
        <x:f>MIN(J14,L14)</x:f>
        <x:v>0</x:v>
      </x:c>
      <x:c r="N14" s="20" t="n">
        <x:f>J14-M14</x:f>
        <x:v>137947.77000000002</x:v>
      </x:c>
      <x:c r="O14" s="20" t="n">
        <x:f>L14-M14</x:f>
        <x:v>0</x:v>
      </x:c>
      <x:c r="P14" s="18" t="n">
        <x:f>IF(J14=0,1,M14/J14)</x:f>
        <x:v>0</x:v>
      </x:c>
      <x:c r="Q14" s="11" t="str">
        <x:f>IF(N14&lt;='01 Controls'!$E$23,"PASS","FAIL")</x:f>
        <x:v>FAIL</x:v>
      </x:c>
    </x:row>
    <x:row r="15">
      <x:c r="C15" s="11" t="str">
        <x:v>LIFT-AIR-H72-G2</x:v>
      </x:c>
      <x:c r="D15" s="11" t="str">
        <x:v>LIFT-AIR-H72</x:v>
      </x:c>
      <x:c r="E15" s="11" t="str">
        <x:v>G2</x:v>
      </x:c>
      <x:c r="F15" s="11" t="n">
        <x:v>10</x:v>
      </x:c>
      <x:c r="G15" s="11" t="str">
        <x:v>Strategic entry</x:v>
      </x:c>
      <x:c r="H15" s="11" t="str">
        <x:v>H0–72</x:v>
      </x:c>
      <x:c r="I15" s="11" t="str">
        <x:v>tonnes/72h</x:v>
      </x:c>
      <x:c r="J15" s="20" t="n">
        <x:f>SUMIFS('03 Demand Build'!$V$6:$V$485,'03 Demand Build'!$E$6:$E$485,E15)</x:f>
        <x:v>137470.86000000002</x:v>
      </x:c>
      <x:c r="K15" s="20" t="n">
        <x:f>INDEX('02 Pool Register'!$I$6:$I$19,MATCH(D15,'02 Pool Register'!$C$6:$C$19,0))</x:f>
        <x:v>160881</x:v>
      </x:c>
      <x:c r="L15" s="20" t="n">
        <x:f>IF(D15=D14,O14,K15)</x:f>
        <x:v>0</x:v>
      </x:c>
      <x:c r="M15" s="20" t="n">
        <x:f>MIN(J15,L15)</x:f>
        <x:v>0</x:v>
      </x:c>
      <x:c r="N15" s="20" t="n">
        <x:f>J15-M15</x:f>
        <x:v>137470.86000000002</x:v>
      </x:c>
      <x:c r="O15" s="20" t="n">
        <x:f>L15-M15</x:f>
        <x:v>0</x:v>
      </x:c>
      <x:c r="P15" s="18" t="n">
        <x:f>IF(J15=0,1,M15/J15)</x:f>
        <x:v>0</x:v>
      </x:c>
      <x:c r="Q15" s="11" t="str">
        <x:f>IF(N15&lt;='01 Controls'!$E$23,"PASS","FAIL")</x:f>
        <x:v>FAIL</x:v>
      </x:c>
    </x:row>
    <x:row r="16">
      <x:c r="C16" s="11" t="str">
        <x:v>LIFT-OCEAN-H72-C1</x:v>
      </x:c>
      <x:c r="D16" s="11" t="str">
        <x:v>LIFT-OCEAN-H72</x:v>
      </x:c>
      <x:c r="E16" s="11" t="str">
        <x:v>C1</x:v>
      </x:c>
      <x:c r="F16" s="11" t="n">
        <x:v>1</x:v>
      </x:c>
      <x:c r="G16" s="11" t="str">
        <x:v>Strategic entry</x:v>
      </x:c>
      <x:c r="H16" s="11" t="str">
        <x:v>H0–72</x:v>
      </x:c>
      <x:c r="I16" s="11" t="str">
        <x:v>tonnes/72h</x:v>
      </x:c>
      <x:c r="J16" s="20" t="n">
        <x:f>SUMIFS('03 Demand Build'!$X$6:$X$485,'03 Demand Build'!$E$6:$E$485,E16)</x:f>
        <x:v>0</x:v>
      </x:c>
      <x:c r="K16" s="20" t="n">
        <x:f>INDEX('02 Pool Register'!$I$6:$I$19,MATCH(D16,'02 Pool Register'!$C$6:$C$19,0))</x:f>
        <x:v>596400</x:v>
      </x:c>
      <x:c r="L16" s="20" t="n">
        <x:f>K16</x:f>
        <x:v>596400</x:v>
      </x:c>
      <x:c r="M16" s="20" t="n">
        <x:f>MIN(J16,L16)</x:f>
        <x:v>0</x:v>
      </x:c>
      <x:c r="N16" s="20" t="n">
        <x:f>J16-M16</x:f>
        <x:v>0</x:v>
      </x:c>
      <x:c r="O16" s="20" t="n">
        <x:f>L16-M16</x:f>
        <x:v>596400</x:v>
      </x:c>
      <x:c r="P16" s="18" t="n">
        <x:f>IF(J16=0,1,M16/J16)</x:f>
        <x:v>1</x:v>
      </x:c>
      <x:c r="Q16" s="11" t="str">
        <x:f>IF(N16&lt;='01 Controls'!$E$23,"PASS","FAIL")</x:f>
        <x:v>PASS</x:v>
      </x:c>
    </x:row>
    <x:row r="17">
      <x:c r="C17" s="11" t="str">
        <x:v>LIFT-OCEAN-H72-C2</x:v>
      </x:c>
      <x:c r="D17" s="11" t="str">
        <x:v>LIFT-OCEAN-H72</x:v>
      </x:c>
      <x:c r="E17" s="11" t="str">
        <x:v>C2</x:v>
      </x:c>
      <x:c r="F17" s="11" t="n">
        <x:v>2</x:v>
      </x:c>
      <x:c r="G17" s="11" t="str">
        <x:v>Strategic entry</x:v>
      </x:c>
      <x:c r="H17" s="11" t="str">
        <x:v>H0–72</x:v>
      </x:c>
      <x:c r="I17" s="11" t="str">
        <x:v>tonnes/72h</x:v>
      </x:c>
      <x:c r="J17" s="20" t="n">
        <x:f>SUMIFS('03 Demand Build'!$X$6:$X$485,'03 Demand Build'!$E$6:$E$485,E17)</x:f>
        <x:v>152823.39</x:v>
      </x:c>
      <x:c r="K17" s="20" t="n">
        <x:f>INDEX('02 Pool Register'!$I$6:$I$19,MATCH(D17,'02 Pool Register'!$C$6:$C$19,0))</x:f>
        <x:v>596400</x:v>
      </x:c>
      <x:c r="L17" s="20" t="n">
        <x:f>IF(D17=D16,O16,K17)</x:f>
        <x:v>596400</x:v>
      </x:c>
      <x:c r="M17" s="20" t="n">
        <x:f>MIN(J17,L17)</x:f>
        <x:v>152823.39</x:v>
      </x:c>
      <x:c r="N17" s="20" t="n">
        <x:f>J17-M17</x:f>
        <x:v>0</x:v>
      </x:c>
      <x:c r="O17" s="20" t="n">
        <x:f>L17-M17</x:f>
        <x:v>443576.61</x:v>
      </x:c>
      <x:c r="P17" s="18" t="n">
        <x:f>IF(J17=0,1,M17/J17)</x:f>
        <x:v>1</x:v>
      </x:c>
      <x:c r="Q17" s="11" t="str">
        <x:f>IF(N17&lt;='01 Controls'!$E$23,"PASS","FAIL")</x:f>
        <x:v>PASS</x:v>
      </x:c>
    </x:row>
    <x:row r="18">
      <x:c r="C18" s="11" t="str">
        <x:v>LIFT-OCEAN-H72-C3</x:v>
      </x:c>
      <x:c r="D18" s="11" t="str">
        <x:v>LIFT-OCEAN-H72</x:v>
      </x:c>
      <x:c r="E18" s="11" t="str">
        <x:v>C3</x:v>
      </x:c>
      <x:c r="F18" s="11" t="n">
        <x:v>3</x:v>
      </x:c>
      <x:c r="G18" s="11" t="str">
        <x:v>Strategic entry</x:v>
      </x:c>
      <x:c r="H18" s="11" t="str">
        <x:v>H0–72</x:v>
      </x:c>
      <x:c r="I18" s="11" t="str">
        <x:v>tonnes/72h</x:v>
      </x:c>
      <x:c r="J18" s="20" t="n">
        <x:f>SUMIFS('03 Demand Build'!$X$6:$X$485,'03 Demand Build'!$E$6:$E$485,E18)</x:f>
        <x:v>349799.1</x:v>
      </x:c>
      <x:c r="K18" s="20" t="n">
        <x:f>INDEX('02 Pool Register'!$I$6:$I$19,MATCH(D18,'02 Pool Register'!$C$6:$C$19,0))</x:f>
        <x:v>596400</x:v>
      </x:c>
      <x:c r="L18" s="20" t="n">
        <x:f>IF(D18=D17,O17,K18)</x:f>
        <x:v>443576.61</x:v>
      </x:c>
      <x:c r="M18" s="20" t="n">
        <x:f>MIN(J18,L18)</x:f>
        <x:v>349799.1</x:v>
      </x:c>
      <x:c r="N18" s="20" t="n">
        <x:f>J18-M18</x:f>
        <x:v>0</x:v>
      </x:c>
      <x:c r="O18" s="20" t="n">
        <x:f>L18-M18</x:f>
        <x:v>93777.51000000001</x:v>
      </x:c>
      <x:c r="P18" s="18" t="n">
        <x:f>IF(J18=0,1,M18/J18)</x:f>
        <x:v>1</x:v>
      </x:c>
      <x:c r="Q18" s="11" t="str">
        <x:f>IF(N18&lt;='01 Controls'!$E$23,"PASS","FAIL")</x:f>
        <x:v>PASS</x:v>
      </x:c>
    </x:row>
    <x:row r="19">
      <x:c r="C19" s="11" t="str">
        <x:v>LIFT-OCEAN-H72-M1</x:v>
      </x:c>
      <x:c r="D19" s="11" t="str">
        <x:v>LIFT-OCEAN-H72</x:v>
      </x:c>
      <x:c r="E19" s="11" t="str">
        <x:v>M1</x:v>
      </x:c>
      <x:c r="F19" s="11" t="n">
        <x:v>4</x:v>
      </x:c>
      <x:c r="G19" s="11" t="str">
        <x:v>Strategic entry</x:v>
      </x:c>
      <x:c r="H19" s="11" t="str">
        <x:v>H0–72</x:v>
      </x:c>
      <x:c r="I19" s="11" t="str">
        <x:v>tonnes/72h</x:v>
      </x:c>
      <x:c r="J19" s="20" t="n">
        <x:f>SUMIFS('03 Demand Build'!$X$6:$X$485,'03 Demand Build'!$E$6:$E$485,E19)</x:f>
        <x:v>0</x:v>
      </x:c>
      <x:c r="K19" s="20" t="n">
        <x:f>INDEX('02 Pool Register'!$I$6:$I$19,MATCH(D19,'02 Pool Register'!$C$6:$C$19,0))</x:f>
        <x:v>596400</x:v>
      </x:c>
      <x:c r="L19" s="20" t="n">
        <x:f>IF(D19=D18,O18,K19)</x:f>
        <x:v>93777.51000000001</x:v>
      </x:c>
      <x:c r="M19" s="20" t="n">
        <x:f>MIN(J19,L19)</x:f>
        <x:v>0</x:v>
      </x:c>
      <x:c r="N19" s="20" t="n">
        <x:f>J19-M19</x:f>
        <x:v>0</x:v>
      </x:c>
      <x:c r="O19" s="20" t="n">
        <x:f>L19-M19</x:f>
        <x:v>93777.51000000001</x:v>
      </x:c>
      <x:c r="P19" s="18" t="n">
        <x:f>IF(J19=0,1,M19/J19)</x:f>
        <x:v>1</x:v>
      </x:c>
      <x:c r="Q19" s="11" t="str">
        <x:f>IF(N19&lt;='01 Controls'!$E$23,"PASS","FAIL")</x:f>
        <x:v>PASS</x:v>
      </x:c>
    </x:row>
    <x:row r="20">
      <x:c r="C20" s="11" t="str">
        <x:v>LIFT-OCEAN-H72-M2</x:v>
      </x:c>
      <x:c r="D20" s="11" t="str">
        <x:v>LIFT-OCEAN-H72</x:v>
      </x:c>
      <x:c r="E20" s="11" t="str">
        <x:v>M2</x:v>
      </x:c>
      <x:c r="F20" s="11" t="n">
        <x:v>5</x:v>
      </x:c>
      <x:c r="G20" s="11" t="str">
        <x:v>Strategic entry</x:v>
      </x:c>
      <x:c r="H20" s="11" t="str">
        <x:v>H0–72</x:v>
      </x:c>
      <x:c r="I20" s="11" t="str">
        <x:v>tonnes/72h</x:v>
      </x:c>
      <x:c r="J20" s="20" t="n">
        <x:f>SUMIFS('03 Demand Build'!$X$6:$X$485,'03 Demand Build'!$E$6:$E$485,E20)</x:f>
        <x:v>0</x:v>
      </x:c>
      <x:c r="K20" s="20" t="n">
        <x:f>INDEX('02 Pool Register'!$I$6:$I$19,MATCH(D20,'02 Pool Register'!$C$6:$C$19,0))</x:f>
        <x:v>596400</x:v>
      </x:c>
      <x:c r="L20" s="20" t="n">
        <x:f>IF(D20=D19,O19,K20)</x:f>
        <x:v>93777.51000000001</x:v>
      </x:c>
      <x:c r="M20" s="20" t="n">
        <x:f>MIN(J20,L20)</x:f>
        <x:v>0</x:v>
      </x:c>
      <x:c r="N20" s="20" t="n">
        <x:f>J20-M20</x:f>
        <x:v>0</x:v>
      </x:c>
      <x:c r="O20" s="20" t="n">
        <x:f>L20-M20</x:f>
        <x:v>93777.51000000001</x:v>
      </x:c>
      <x:c r="P20" s="18" t="n">
        <x:f>IF(J20=0,1,M20/J20)</x:f>
        <x:v>1</x:v>
      </x:c>
      <x:c r="Q20" s="11" t="str">
        <x:f>IF(N20&lt;='01 Controls'!$E$23,"PASS","FAIL")</x:f>
        <x:v>PASS</x:v>
      </x:c>
    </x:row>
    <x:row r="21">
      <x:c r="C21" s="11" t="str">
        <x:v>LIFT-OCEAN-H72-M3</x:v>
      </x:c>
      <x:c r="D21" s="11" t="str">
        <x:v>LIFT-OCEAN-H72</x:v>
      </x:c>
      <x:c r="E21" s="11" t="str">
        <x:v>M3</x:v>
      </x:c>
      <x:c r="F21" s="11" t="n">
        <x:v>6</x:v>
      </x:c>
      <x:c r="G21" s="11" t="str">
        <x:v>Strategic entry</x:v>
      </x:c>
      <x:c r="H21" s="11" t="str">
        <x:v>H0–72</x:v>
      </x:c>
      <x:c r="I21" s="11" t="str">
        <x:v>tonnes/72h</x:v>
      </x:c>
      <x:c r="J21" s="20" t="n">
        <x:f>SUMIFS('03 Demand Build'!$X$6:$X$485,'03 Demand Build'!$E$6:$E$485,E21)</x:f>
        <x:v>0</x:v>
      </x:c>
      <x:c r="K21" s="20" t="n">
        <x:f>INDEX('02 Pool Register'!$I$6:$I$19,MATCH(D21,'02 Pool Register'!$C$6:$C$19,0))</x:f>
        <x:v>596400</x:v>
      </x:c>
      <x:c r="L21" s="20" t="n">
        <x:f>IF(D21=D20,O20,K21)</x:f>
        <x:v>93777.51000000001</x:v>
      </x:c>
      <x:c r="M21" s="20" t="n">
        <x:f>MIN(J21,L21)</x:f>
        <x:v>0</x:v>
      </x:c>
      <x:c r="N21" s="20" t="n">
        <x:f>J21-M21</x:f>
        <x:v>0</x:v>
      </x:c>
      <x:c r="O21" s="20" t="n">
        <x:f>L21-M21</x:f>
        <x:v>93777.51000000001</x:v>
      </x:c>
      <x:c r="P21" s="18" t="n">
        <x:f>IF(J21=0,1,M21/J21)</x:f>
        <x:v>1</x:v>
      </x:c>
      <x:c r="Q21" s="11" t="str">
        <x:f>IF(N21&lt;='01 Controls'!$E$23,"PASS","FAIL")</x:f>
        <x:v>PASS</x:v>
      </x:c>
    </x:row>
    <x:row r="22">
      <x:c r="C22" s="11" t="str">
        <x:v>LIFT-OCEAN-H72-M4</x:v>
      </x:c>
      <x:c r="D22" s="11" t="str">
        <x:v>LIFT-OCEAN-H72</x:v>
      </x:c>
      <x:c r="E22" s="11" t="str">
        <x:v>M4</x:v>
      </x:c>
      <x:c r="F22" s="11" t="n">
        <x:v>7</x:v>
      </x:c>
      <x:c r="G22" s="11" t="str">
        <x:v>Strategic entry</x:v>
      </x:c>
      <x:c r="H22" s="11" t="str">
        <x:v>H0–72</x:v>
      </x:c>
      <x:c r="I22" s="11" t="str">
        <x:v>tonnes/72h</x:v>
      </x:c>
      <x:c r="J22" s="20" t="n">
        <x:f>SUMIFS('03 Demand Build'!$X$6:$X$485,'03 Demand Build'!$E$6:$E$485,E22)</x:f>
        <x:v>0</x:v>
      </x:c>
      <x:c r="K22" s="20" t="n">
        <x:f>INDEX('02 Pool Register'!$I$6:$I$19,MATCH(D22,'02 Pool Register'!$C$6:$C$19,0))</x:f>
        <x:v>596400</x:v>
      </x:c>
      <x:c r="L22" s="20" t="n">
        <x:f>IF(D22=D21,O21,K22)</x:f>
        <x:v>93777.51000000001</x:v>
      </x:c>
      <x:c r="M22" s="20" t="n">
        <x:f>MIN(J22,L22)</x:f>
        <x:v>0</x:v>
      </x:c>
      <x:c r="N22" s="20" t="n">
        <x:f>J22-M22</x:f>
        <x:v>0</x:v>
      </x:c>
      <x:c r="O22" s="20" t="n">
        <x:f>L22-M22</x:f>
        <x:v>93777.51000000001</x:v>
      </x:c>
      <x:c r="P22" s="18" t="n">
        <x:f>IF(J22=0,1,M22/J22)</x:f>
        <x:v>1</x:v>
      </x:c>
      <x:c r="Q22" s="11" t="str">
        <x:f>IF(N22&lt;='01 Controls'!$E$23,"PASS","FAIL")</x:f>
        <x:v>PASS</x:v>
      </x:c>
    </x:row>
    <x:row r="23">
      <x:c r="C23" s="11" t="str">
        <x:v>LIFT-OCEAN-H72-M5</x:v>
      </x:c>
      <x:c r="D23" s="11" t="str">
        <x:v>LIFT-OCEAN-H72</x:v>
      </x:c>
      <x:c r="E23" s="11" t="str">
        <x:v>M5</x:v>
      </x:c>
      <x:c r="F23" s="11" t="n">
        <x:v>8</x:v>
      </x:c>
      <x:c r="G23" s="11" t="str">
        <x:v>Strategic entry</x:v>
      </x:c>
      <x:c r="H23" s="11" t="str">
        <x:v>H0–72</x:v>
      </x:c>
      <x:c r="I23" s="11" t="str">
        <x:v>tonnes/72h</x:v>
      </x:c>
      <x:c r="J23" s="20" t="n">
        <x:f>SUMIFS('03 Demand Build'!$X$6:$X$485,'03 Demand Build'!$E$6:$E$485,E23)</x:f>
        <x:v>0</x:v>
      </x:c>
      <x:c r="K23" s="20" t="n">
        <x:f>INDEX('02 Pool Register'!$I$6:$I$19,MATCH(D23,'02 Pool Register'!$C$6:$C$19,0))</x:f>
        <x:v>596400</x:v>
      </x:c>
      <x:c r="L23" s="20" t="n">
        <x:f>IF(D23=D22,O22,K23)</x:f>
        <x:v>93777.51000000001</x:v>
      </x:c>
      <x:c r="M23" s="20" t="n">
        <x:f>MIN(J23,L23)</x:f>
        <x:v>0</x:v>
      </x:c>
      <x:c r="N23" s="20" t="n">
        <x:f>J23-M23</x:f>
        <x:v>0</x:v>
      </x:c>
      <x:c r="O23" s="20" t="n">
        <x:f>L23-M23</x:f>
        <x:v>93777.51000000001</x:v>
      </x:c>
      <x:c r="P23" s="18" t="n">
        <x:f>IF(J23=0,1,M23/J23)</x:f>
        <x:v>1</x:v>
      </x:c>
      <x:c r="Q23" s="11" t="str">
        <x:f>IF(N23&lt;='01 Controls'!$E$23,"PASS","FAIL")</x:f>
        <x:v>PASS</x:v>
      </x:c>
    </x:row>
    <x:row r="24">
      <x:c r="C24" s="11" t="str">
        <x:v>LIFT-OCEAN-H72-G1</x:v>
      </x:c>
      <x:c r="D24" s="11" t="str">
        <x:v>LIFT-OCEAN-H72</x:v>
      </x:c>
      <x:c r="E24" s="11" t="str">
        <x:v>G1</x:v>
      </x:c>
      <x:c r="F24" s="11" t="n">
        <x:v>9</x:v>
      </x:c>
      <x:c r="G24" s="11" t="str">
        <x:v>Strategic entry</x:v>
      </x:c>
      <x:c r="H24" s="11" t="str">
        <x:v>H0–72</x:v>
      </x:c>
      <x:c r="I24" s="11" t="str">
        <x:v>tonnes/72h</x:v>
      </x:c>
      <x:c r="J24" s="20" t="n">
        <x:f>SUMIFS('03 Demand Build'!$X$6:$X$485,'03 Demand Build'!$E$6:$E$485,E24)</x:f>
        <x:v>781704.03</x:v>
      </x:c>
      <x:c r="K24" s="20" t="n">
        <x:f>INDEX('02 Pool Register'!$I$6:$I$19,MATCH(D24,'02 Pool Register'!$C$6:$C$19,0))</x:f>
        <x:v>596400</x:v>
      </x:c>
      <x:c r="L24" s="20" t="n">
        <x:f>IF(D24=D23,O23,K24)</x:f>
        <x:v>93777.51000000001</x:v>
      </x:c>
      <x:c r="M24" s="20" t="n">
        <x:f>MIN(J24,L24)</x:f>
        <x:v>93777.51000000001</x:v>
      </x:c>
      <x:c r="N24" s="20" t="n">
        <x:f>J24-M24</x:f>
        <x:v>687926.52</x:v>
      </x:c>
      <x:c r="O24" s="20" t="n">
        <x:f>L24-M24</x:f>
        <x:v>0</x:v>
      </x:c>
      <x:c r="P24" s="18" t="n">
        <x:f>IF(J24=0,1,M24/J24)</x:f>
        <x:v>0.11996549384554152</x:v>
      </x:c>
      <x:c r="Q24" s="11" t="str">
        <x:f>IF(N24&lt;='01 Controls'!$E$23,"PASS","FAIL")</x:f>
        <x:v>FAIL</x:v>
      </x:c>
    </x:row>
    <x:row r="25">
      <x:c r="C25" s="11" t="str">
        <x:v>LIFT-OCEAN-H72-G2</x:v>
      </x:c>
      <x:c r="D25" s="11" t="str">
        <x:v>LIFT-OCEAN-H72</x:v>
      </x:c>
      <x:c r="E25" s="11" t="str">
        <x:v>G2</x:v>
      </x:c>
      <x:c r="F25" s="11" t="n">
        <x:v>10</x:v>
      </x:c>
      <x:c r="G25" s="11" t="str">
        <x:v>Strategic entry</x:v>
      </x:c>
      <x:c r="H25" s="11" t="str">
        <x:v>H0–72</x:v>
      </x:c>
      <x:c r="I25" s="11" t="str">
        <x:v>tonnes/72h</x:v>
      </x:c>
      <x:c r="J25" s="20" t="n">
        <x:f>SUMIFS('03 Demand Build'!$X$6:$X$485,'03 Demand Build'!$E$6:$E$485,E25)</x:f>
        <x:v>687354.2999999999</x:v>
      </x:c>
      <x:c r="K25" s="20" t="n">
        <x:f>INDEX('02 Pool Register'!$I$6:$I$19,MATCH(D25,'02 Pool Register'!$C$6:$C$19,0))</x:f>
        <x:v>596400</x:v>
      </x:c>
      <x:c r="L25" s="20" t="n">
        <x:f>IF(D25=D24,O24,K25)</x:f>
        <x:v>0</x:v>
      </x:c>
      <x:c r="M25" s="20" t="n">
        <x:f>MIN(J25,L25)</x:f>
        <x:v>0</x:v>
      </x:c>
      <x:c r="N25" s="20" t="n">
        <x:f>J25-M25</x:f>
        <x:v>687354.2999999999</x:v>
      </x:c>
      <x:c r="O25" s="20" t="n">
        <x:f>L25-M25</x:f>
        <x:v>0</x:v>
      </x:c>
      <x:c r="P25" s="18" t="n">
        <x:f>IF(J25=0,1,M25/J25)</x:f>
        <x:v>0</x:v>
      </x:c>
      <x:c r="Q25" s="11" t="str">
        <x:f>IF(N25&lt;='01 Controls'!$E$23,"PASS","FAIL")</x:f>
        <x:v>FAIL</x:v>
      </x:c>
    </x:row>
    <x:row r="26">
      <x:c r="C26" s="11" t="str">
        <x:v>LIFT-LAND-H72-C1</x:v>
      </x:c>
      <x:c r="D26" s="11" t="str">
        <x:v>LIFT-LAND-H72</x:v>
      </x:c>
      <x:c r="E26" s="11" t="str">
        <x:v>C1</x:v>
      </x:c>
      <x:c r="F26" s="11" t="n">
        <x:v>1</x:v>
      </x:c>
      <x:c r="G26" s="11" t="str">
        <x:v>Strategic entry</x:v>
      </x:c>
      <x:c r="H26" s="11" t="str">
        <x:v>H0–72</x:v>
      </x:c>
      <x:c r="I26" s="11" t="str">
        <x:v>tonnes/72h</x:v>
      </x:c>
      <x:c r="J26" s="20" t="n">
        <x:f>SUMIFS('03 Demand Build'!$Z$6:$Z$485,'03 Demand Build'!$E$6:$E$485,E26)</x:f>
        <x:v>525424.59</x:v>
      </x:c>
      <x:c r="K26" s="20" t="n">
        <x:f>INDEX('02 Pool Register'!$I$6:$I$19,MATCH(D26,'02 Pool Register'!$C$6:$C$19,0))</x:f>
        <x:v>1183200</x:v>
      </x:c>
      <x:c r="L26" s="20" t="n">
        <x:f>K26</x:f>
        <x:v>1183200</x:v>
      </x:c>
      <x:c r="M26" s="20" t="n">
        <x:f>MIN(J26,L26)</x:f>
        <x:v>525424.59</x:v>
      </x:c>
      <x:c r="N26" s="20" t="n">
        <x:f>J26-M26</x:f>
        <x:v>0</x:v>
      </x:c>
      <x:c r="O26" s="20" t="n">
        <x:f>L26-M26</x:f>
        <x:v>657775.41</x:v>
      </x:c>
      <x:c r="P26" s="18" t="n">
        <x:f>IF(J26=0,1,M26/J26)</x:f>
        <x:v>1</x:v>
      </x:c>
      <x:c r="Q26" s="11" t="str">
        <x:f>IF(N26&lt;='01 Controls'!$E$23,"PASS","FAIL")</x:f>
        <x:v>PASS</x:v>
      </x:c>
    </x:row>
    <x:row r="27">
      <x:c r="C27" s="11" t="str">
        <x:v>LIFT-LAND-H72-C2</x:v>
      </x:c>
      <x:c r="D27" s="11" t="str">
        <x:v>LIFT-LAND-H72</x:v>
      </x:c>
      <x:c r="E27" s="11" t="str">
        <x:v>C2</x:v>
      </x:c>
      <x:c r="F27" s="11" t="n">
        <x:v>2</x:v>
      </x:c>
      <x:c r="G27" s="11" t="str">
        <x:v>Strategic entry</x:v>
      </x:c>
      <x:c r="H27" s="11" t="str">
        <x:v>H0–72</x:v>
      </x:c>
      <x:c r="I27" s="11" t="str">
        <x:v>tonnes/72h</x:v>
      </x:c>
      <x:c r="J27" s="20" t="n">
        <x:f>SUMIFS('03 Demand Build'!$Z$6:$Z$485,'03 Demand Build'!$E$6:$E$485,E27)</x:f>
        <x:v>458470.17000000004</x:v>
      </x:c>
      <x:c r="K27" s="20" t="n">
        <x:f>INDEX('02 Pool Register'!$I$6:$I$19,MATCH(D27,'02 Pool Register'!$C$6:$C$19,0))</x:f>
        <x:v>1183200</x:v>
      </x:c>
      <x:c r="L27" s="20" t="n">
        <x:f>IF(D27=D26,O26,K27)</x:f>
        <x:v>657775.41</x:v>
      </x:c>
      <x:c r="M27" s="20" t="n">
        <x:f>MIN(J27,L27)</x:f>
        <x:v>458470.17000000004</x:v>
      </x:c>
      <x:c r="N27" s="20" t="n">
        <x:f>J27-M27</x:f>
        <x:v>0</x:v>
      </x:c>
      <x:c r="O27" s="20" t="n">
        <x:f>L27-M27</x:f>
        <x:v>199305.24</x:v>
      </x:c>
      <x:c r="P27" s="18" t="n">
        <x:f>IF(J27=0,1,M27/J27)</x:f>
        <x:v>1</x:v>
      </x:c>
      <x:c r="Q27" s="11" t="str">
        <x:f>IF(N27&lt;='01 Controls'!$E$23,"PASS","FAIL")</x:f>
        <x:v>PASS</x:v>
      </x:c>
    </x:row>
    <x:row r="28">
      <x:c r="C28" s="11" t="str">
        <x:v>LIFT-LAND-H72-C3</x:v>
      </x:c>
      <x:c r="D28" s="11" t="str">
        <x:v>LIFT-LAND-H72</x:v>
      </x:c>
      <x:c r="E28" s="11" t="str">
        <x:v>C3</x:v>
      </x:c>
      <x:c r="F28" s="11" t="n">
        <x:v>3</x:v>
      </x:c>
      <x:c r="G28" s="11" t="str">
        <x:v>Strategic entry</x:v>
      </x:c>
      <x:c r="H28" s="11" t="str">
        <x:v>H0–72</x:v>
      </x:c>
      <x:c r="I28" s="11" t="str">
        <x:v>tonnes/72h</x:v>
      </x:c>
      <x:c r="J28" s="20" t="n">
        <x:f>SUMIFS('03 Demand Build'!$Z$6:$Z$485,'03 Demand Build'!$E$6:$E$485,E28)</x:f>
        <x:v>499713</x:v>
      </x:c>
      <x:c r="K28" s="20" t="n">
        <x:f>INDEX('02 Pool Register'!$I$6:$I$19,MATCH(D28,'02 Pool Register'!$C$6:$C$19,0))</x:f>
        <x:v>1183200</x:v>
      </x:c>
      <x:c r="L28" s="20" t="n">
        <x:f>IF(D28=D27,O27,K28)</x:f>
        <x:v>199305.24</x:v>
      </x:c>
      <x:c r="M28" s="20" t="n">
        <x:f>MIN(J28,L28)</x:f>
        <x:v>199305.24</x:v>
      </x:c>
      <x:c r="N28" s="20" t="n">
        <x:f>J28-M28</x:f>
        <x:v>300407.76</x:v>
      </x:c>
      <x:c r="O28" s="20" t="n">
        <x:f>L28-M28</x:f>
        <x:v>0</x:v>
      </x:c>
      <x:c r="P28" s="18" t="n">
        <x:f>IF(J28=0,1,M28/J28)</x:f>
        <x:v>0.3988394138235347</x:v>
      </x:c>
      <x:c r="Q28" s="11" t="str">
        <x:f>IF(N28&lt;='01 Controls'!$E$23,"PASS","FAIL")</x:f>
        <x:v>FAIL</x:v>
      </x:c>
    </x:row>
    <x:row r="29">
      <x:c r="C29" s="11" t="str">
        <x:v>LIFT-LAND-H72-M1</x:v>
      </x:c>
      <x:c r="D29" s="11" t="str">
        <x:v>LIFT-LAND-H72</x:v>
      </x:c>
      <x:c r="E29" s="11" t="str">
        <x:v>M1</x:v>
      </x:c>
      <x:c r="F29" s="11" t="n">
        <x:v>4</x:v>
      </x:c>
      <x:c r="G29" s="11" t="str">
        <x:v>Strategic entry</x:v>
      </x:c>
      <x:c r="H29" s="11" t="str">
        <x:v>H0–72</x:v>
      </x:c>
      <x:c r="I29" s="11" t="str">
        <x:v>tonnes/72h</x:v>
      </x:c>
      <x:c r="J29" s="20" t="n">
        <x:f>SUMIFS('03 Demand Build'!$Z$6:$Z$485,'03 Demand Build'!$E$6:$E$485,E29)</x:f>
        <x:v>332824.4775</x:v>
      </x:c>
      <x:c r="K29" s="20" t="n">
        <x:f>INDEX('02 Pool Register'!$I$6:$I$19,MATCH(D29,'02 Pool Register'!$C$6:$C$19,0))</x:f>
        <x:v>1183200</x:v>
      </x:c>
      <x:c r="L29" s="20" t="n">
        <x:f>IF(D29=D28,O28,K29)</x:f>
        <x:v>0</x:v>
      </x:c>
      <x:c r="M29" s="20" t="n">
        <x:f>MIN(J29,L29)</x:f>
        <x:v>0</x:v>
      </x:c>
      <x:c r="N29" s="20" t="n">
        <x:f>J29-M29</x:f>
        <x:v>332824.4775</x:v>
      </x:c>
      <x:c r="O29" s="20" t="n">
        <x:f>L29-M29</x:f>
        <x:v>0</x:v>
      </x:c>
      <x:c r="P29" s="18" t="n">
        <x:f>IF(J29=0,1,M29/J29)</x:f>
        <x:v>0</x:v>
      </x:c>
      <x:c r="Q29" s="11" t="str">
        <x:f>IF(N29&lt;='01 Controls'!$E$23,"PASS","FAIL")</x:f>
        <x:v>FAIL</x:v>
      </x:c>
    </x:row>
    <x:row r="30">
      <x:c r="C30" s="11" t="str">
        <x:v>LIFT-LAND-H72-M2</x:v>
      </x:c>
      <x:c r="D30" s="11" t="str">
        <x:v>LIFT-LAND-H72</x:v>
      </x:c>
      <x:c r="E30" s="11" t="str">
        <x:v>M2</x:v>
      </x:c>
      <x:c r="F30" s="11" t="n">
        <x:v>5</x:v>
      </x:c>
      <x:c r="G30" s="11" t="str">
        <x:v>Strategic entry</x:v>
      </x:c>
      <x:c r="H30" s="11" t="str">
        <x:v>H0–72</x:v>
      </x:c>
      <x:c r="I30" s="11" t="str">
        <x:v>tonnes/72h</x:v>
      </x:c>
      <x:c r="J30" s="20" t="n">
        <x:f>SUMIFS('03 Demand Build'!$Z$6:$Z$485,'03 Demand Build'!$E$6:$E$485,E30)</x:f>
        <x:v>435387.80250000005</x:v>
      </x:c>
      <x:c r="K30" s="20" t="n">
        <x:f>INDEX('02 Pool Register'!$I$6:$I$19,MATCH(D30,'02 Pool Register'!$C$6:$C$19,0))</x:f>
        <x:v>1183200</x:v>
      </x:c>
      <x:c r="L30" s="20" t="n">
        <x:f>IF(D30=D29,O29,K30)</x:f>
        <x:v>0</x:v>
      </x:c>
      <x:c r="M30" s="20" t="n">
        <x:f>MIN(J30,L30)</x:f>
        <x:v>0</x:v>
      </x:c>
      <x:c r="N30" s="20" t="n">
        <x:f>J30-M30</x:f>
        <x:v>435387.80250000005</x:v>
      </x:c>
      <x:c r="O30" s="20" t="n">
        <x:f>L30-M30</x:f>
        <x:v>0</x:v>
      </x:c>
      <x:c r="P30" s="18" t="n">
        <x:f>IF(J30=0,1,M30/J30)</x:f>
        <x:v>0</x:v>
      </x:c>
      <x:c r="Q30" s="11" t="str">
        <x:f>IF(N30&lt;='01 Controls'!$E$23,"PASS","FAIL")</x:f>
        <x:v>FAIL</x:v>
      </x:c>
    </x:row>
    <x:row r="31">
      <x:c r="C31" s="11" t="str">
        <x:v>LIFT-LAND-H72-M3</x:v>
      </x:c>
      <x:c r="D31" s="11" t="str">
        <x:v>LIFT-LAND-H72</x:v>
      </x:c>
      <x:c r="E31" s="11" t="str">
        <x:v>M3</x:v>
      </x:c>
      <x:c r="F31" s="11" t="n">
        <x:v>6</x:v>
      </x:c>
      <x:c r="G31" s="11" t="str">
        <x:v>Strategic entry</x:v>
      </x:c>
      <x:c r="H31" s="11" t="str">
        <x:v>H0–72</x:v>
      </x:c>
      <x:c r="I31" s="11" t="str">
        <x:v>tonnes/72h</x:v>
      </x:c>
      <x:c r="J31" s="20" t="n">
        <x:f>SUMIFS('03 Demand Build'!$Z$6:$Z$485,'03 Demand Build'!$E$6:$E$485,E31)</x:f>
        <x:v>371030.1</x:v>
      </x:c>
      <x:c r="K31" s="20" t="n">
        <x:f>INDEX('02 Pool Register'!$I$6:$I$19,MATCH(D31,'02 Pool Register'!$C$6:$C$19,0))</x:f>
        <x:v>1183200</x:v>
      </x:c>
      <x:c r="L31" s="20" t="n">
        <x:f>IF(D31=D30,O30,K31)</x:f>
        <x:v>0</x:v>
      </x:c>
      <x:c r="M31" s="20" t="n">
        <x:f>MIN(J31,L31)</x:f>
        <x:v>0</x:v>
      </x:c>
      <x:c r="N31" s="20" t="n">
        <x:f>J31-M31</x:f>
        <x:v>371030.1</x:v>
      </x:c>
      <x:c r="O31" s="20" t="n">
        <x:f>L31-M31</x:f>
        <x:v>0</x:v>
      </x:c>
      <x:c r="P31" s="18" t="n">
        <x:f>IF(J31=0,1,M31/J31)</x:f>
        <x:v>0</x:v>
      </x:c>
      <x:c r="Q31" s="11" t="str">
        <x:f>IF(N31&lt;='01 Controls'!$E$23,"PASS","FAIL")</x:f>
        <x:v>FAIL</x:v>
      </x:c>
    </x:row>
    <x:row r="32">
      <x:c r="C32" s="11" t="str">
        <x:v>LIFT-LAND-H72-M4</x:v>
      </x:c>
      <x:c r="D32" s="11" t="str">
        <x:v>LIFT-LAND-H72</x:v>
      </x:c>
      <x:c r="E32" s="11" t="str">
        <x:v>M4</x:v>
      </x:c>
      <x:c r="F32" s="11" t="n">
        <x:v>7</x:v>
      </x:c>
      <x:c r="G32" s="11" t="str">
        <x:v>Strategic entry</x:v>
      </x:c>
      <x:c r="H32" s="11" t="str">
        <x:v>H0–72</x:v>
      </x:c>
      <x:c r="I32" s="11" t="str">
        <x:v>tonnes/72h</x:v>
      </x:c>
      <x:c r="J32" s="20" t="n">
        <x:f>SUMIFS('03 Demand Build'!$Z$6:$Z$485,'03 Demand Build'!$E$6:$E$485,E32)</x:f>
        <x:v>553712.60625</x:v>
      </x:c>
      <x:c r="K32" s="20" t="n">
        <x:f>INDEX('02 Pool Register'!$I$6:$I$19,MATCH(D32,'02 Pool Register'!$C$6:$C$19,0))</x:f>
        <x:v>1183200</x:v>
      </x:c>
      <x:c r="L32" s="20" t="n">
        <x:f>IF(D32=D31,O31,K32)</x:f>
        <x:v>0</x:v>
      </x:c>
      <x:c r="M32" s="20" t="n">
        <x:f>MIN(J32,L32)</x:f>
        <x:v>0</x:v>
      </x:c>
      <x:c r="N32" s="20" t="n">
        <x:f>J32-M32</x:f>
        <x:v>553712.60625</x:v>
      </x:c>
      <x:c r="O32" s="20" t="n">
        <x:f>L32-M32</x:f>
        <x:v>0</x:v>
      </x:c>
      <x:c r="P32" s="18" t="n">
        <x:f>IF(J32=0,1,M32/J32)</x:f>
        <x:v>0</x:v>
      </x:c>
      <x:c r="Q32" s="11" t="str">
        <x:f>IF(N32&lt;='01 Controls'!$E$23,"PASS","FAIL")</x:f>
        <x:v>FAIL</x:v>
      </x:c>
    </x:row>
    <x:row r="33">
      <x:c r="C33" s="11" t="str">
        <x:v>LIFT-LAND-H72-M5</x:v>
      </x:c>
      <x:c r="D33" s="11" t="str">
        <x:v>LIFT-LAND-H72</x:v>
      </x:c>
      <x:c r="E33" s="11" t="str">
        <x:v>M5</x:v>
      </x:c>
      <x:c r="F33" s="11" t="n">
        <x:v>8</x:v>
      </x:c>
      <x:c r="G33" s="11" t="str">
        <x:v>Strategic entry</x:v>
      </x:c>
      <x:c r="H33" s="11" t="str">
        <x:v>H0–72</x:v>
      </x:c>
      <x:c r="I33" s="11" t="str">
        <x:v>tonnes/72h</x:v>
      </x:c>
      <x:c r="J33" s="20" t="n">
        <x:f>SUMIFS('03 Demand Build'!$Z$6:$Z$485,'03 Demand Build'!$E$6:$E$485,E33)</x:f>
        <x:v>442129.44</x:v>
      </x:c>
      <x:c r="K33" s="20" t="n">
        <x:f>INDEX('02 Pool Register'!$I$6:$I$19,MATCH(D33,'02 Pool Register'!$C$6:$C$19,0))</x:f>
        <x:v>1183200</x:v>
      </x:c>
      <x:c r="L33" s="20" t="n">
        <x:f>IF(D33=D32,O32,K33)</x:f>
        <x:v>0</x:v>
      </x:c>
      <x:c r="M33" s="20" t="n">
        <x:f>MIN(J33,L33)</x:f>
        <x:v>0</x:v>
      </x:c>
      <x:c r="N33" s="20" t="n">
        <x:f>J33-M33</x:f>
        <x:v>442129.44</x:v>
      </x:c>
      <x:c r="O33" s="20" t="n">
        <x:f>L33-M33</x:f>
        <x:v>0</x:v>
      </x:c>
      <x:c r="P33" s="18" t="n">
        <x:f>IF(J33=0,1,M33/J33)</x:f>
        <x:v>0</x:v>
      </x:c>
      <x:c r="Q33" s="11" t="str">
        <x:f>IF(N33&lt;='01 Controls'!$E$23,"PASS","FAIL")</x:f>
        <x:v>FAIL</x:v>
      </x:c>
    </x:row>
    <x:row r="34">
      <x:c r="C34" s="11" t="str">
        <x:v>LIFT-LAND-H72-G1</x:v>
      </x:c>
      <x:c r="D34" s="11" t="str">
        <x:v>LIFT-LAND-H72</x:v>
      </x:c>
      <x:c r="E34" s="11" t="str">
        <x:v>G1</x:v>
      </x:c>
      <x:c r="F34" s="11" t="n">
        <x:v>9</x:v>
      </x:c>
      <x:c r="G34" s="11" t="str">
        <x:v>Strategic entry</x:v>
      </x:c>
      <x:c r="H34" s="11" t="str">
        <x:v>H0–72</x:v>
      </x:c>
      <x:c r="I34" s="11" t="str">
        <x:v>tonnes/72h</x:v>
      </x:c>
      <x:c r="J34" s="20" t="n">
        <x:f>SUMIFS('03 Demand Build'!$Z$6:$Z$485,'03 Demand Build'!$E$6:$E$485,E34)</x:f>
        <x:v>0</x:v>
      </x:c>
      <x:c r="K34" s="20" t="n">
        <x:f>INDEX('02 Pool Register'!$I$6:$I$19,MATCH(D34,'02 Pool Register'!$C$6:$C$19,0))</x:f>
        <x:v>1183200</x:v>
      </x:c>
      <x:c r="L34" s="20" t="n">
        <x:f>IF(D34=D33,O33,K34)</x:f>
        <x:v>0</x:v>
      </x:c>
      <x:c r="M34" s="20" t="n">
        <x:f>MIN(J34,L34)</x:f>
        <x:v>0</x:v>
      </x:c>
      <x:c r="N34" s="20" t="n">
        <x:f>J34-M34</x:f>
        <x:v>0</x:v>
      </x:c>
      <x:c r="O34" s="20" t="n">
        <x:f>L34-M34</x:f>
        <x:v>0</x:v>
      </x:c>
      <x:c r="P34" s="18" t="n">
        <x:f>IF(J34=0,1,M34/J34)</x:f>
        <x:v>1</x:v>
      </x:c>
      <x:c r="Q34" s="11" t="str">
        <x:f>IF(N34&lt;='01 Controls'!$E$23,"PASS","FAIL")</x:f>
        <x:v>PASS</x:v>
      </x:c>
    </x:row>
    <x:row r="35">
      <x:c r="C35" s="11" t="str">
        <x:v>LIFT-LAND-H72-G2</x:v>
      </x:c>
      <x:c r="D35" s="11" t="str">
        <x:v>LIFT-LAND-H72</x:v>
      </x:c>
      <x:c r="E35" s="11" t="str">
        <x:v>G2</x:v>
      </x:c>
      <x:c r="F35" s="11" t="n">
        <x:v>10</x:v>
      </x:c>
      <x:c r="G35" s="11" t="str">
        <x:v>Strategic entry</x:v>
      </x:c>
      <x:c r="H35" s="11" t="str">
        <x:v>H0–72</x:v>
      </x:c>
      <x:c r="I35" s="11" t="str">
        <x:v>tonnes/72h</x:v>
      </x:c>
      <x:c r="J35" s="20" t="n">
        <x:f>SUMIFS('03 Demand Build'!$Z$6:$Z$485,'03 Demand Build'!$E$6:$E$485,E35)</x:f>
        <x:v>0</x:v>
      </x:c>
      <x:c r="K35" s="20" t="n">
        <x:f>INDEX('02 Pool Register'!$I$6:$I$19,MATCH(D35,'02 Pool Register'!$C$6:$C$19,0))</x:f>
        <x:v>1183200</x:v>
      </x:c>
      <x:c r="L35" s="20" t="n">
        <x:f>IF(D35=D34,O34,K35)</x:f>
        <x:v>0</x:v>
      </x:c>
      <x:c r="M35" s="20" t="n">
        <x:f>MIN(J35,L35)</x:f>
        <x:v>0</x:v>
      </x:c>
      <x:c r="N35" s="20" t="n">
        <x:f>J35-M35</x:f>
        <x:v>0</x:v>
      </x:c>
      <x:c r="O35" s="20" t="n">
        <x:f>L35-M35</x:f>
        <x:v>0</x:v>
      </x:c>
      <x:c r="P35" s="18" t="n">
        <x:f>IF(J35=0,1,M35/J35)</x:f>
        <x:v>1</x:v>
      </x:c>
      <x:c r="Q35" s="11" t="str">
        <x:f>IF(N35&lt;='01 Controls'!$E$23,"PASS","FAIL")</x:f>
        <x:v>PASS</x:v>
      </x:c>
    </x:row>
    <x:row r="36">
      <x:c r="C36" s="11" t="str">
        <x:v>LIFT-INLAND-H72-C1</x:v>
      </x:c>
      <x:c r="D36" s="11" t="str">
        <x:v>LIFT-INLAND-H72</x:v>
      </x:c>
      <x:c r="E36" s="11" t="str">
        <x:v>C1</x:v>
      </x:c>
      <x:c r="F36" s="11" t="n">
        <x:v>1</x:v>
      </x:c>
      <x:c r="G36" s="11" t="str">
        <x:v>Strategic entry</x:v>
      </x:c>
      <x:c r="H36" s="11" t="str">
        <x:v>H0–72</x:v>
      </x:c>
      <x:c r="I36" s="11" t="str">
        <x:v>tonnes/72h</x:v>
      </x:c>
      <x:c r="J36" s="20" t="n">
        <x:f>SUMIFS('03 Demand Build'!$AB$6:$AB$485,'03 Demand Build'!$E$6:$E$485,E36)</x:f>
        <x:v>29190.255</x:v>
      </x:c>
      <x:c r="K36" s="20" t="n">
        <x:f>INDEX('02 Pool Register'!$I$6:$I$19,MATCH(D36,'02 Pool Register'!$C$6:$C$19,0))</x:f>
        <x:v>522450</x:v>
      </x:c>
      <x:c r="L36" s="20" t="n">
        <x:f>K36</x:f>
        <x:v>522450</x:v>
      </x:c>
      <x:c r="M36" s="20" t="n">
        <x:f>MIN(J36,L36)</x:f>
        <x:v>29190.255</x:v>
      </x:c>
      <x:c r="N36" s="20" t="n">
        <x:f>J36-M36</x:f>
        <x:v>0</x:v>
      </x:c>
      <x:c r="O36" s="20" t="n">
        <x:f>L36-M36</x:f>
        <x:v>493259.745</x:v>
      </x:c>
      <x:c r="P36" s="18" t="n">
        <x:f>IF(J36=0,1,M36/J36)</x:f>
        <x:v>1</x:v>
      </x:c>
      <x:c r="Q36" s="11" t="str">
        <x:f>IF(N36&lt;='01 Controls'!$E$23,"PASS","FAIL")</x:f>
        <x:v>PASS</x:v>
      </x:c>
    </x:row>
    <x:row r="37">
      <x:c r="C37" s="11" t="str">
        <x:v>LIFT-INLAND-H72-C2</x:v>
      </x:c>
      <x:c r="D37" s="11" t="str">
        <x:v>LIFT-INLAND-H72</x:v>
      </x:c>
      <x:c r="E37" s="11" t="str">
        <x:v>C2</x:v>
      </x:c>
      <x:c r="F37" s="11" t="n">
        <x:v>2</x:v>
      </x:c>
      <x:c r="G37" s="11" t="str">
        <x:v>Strategic entry</x:v>
      </x:c>
      <x:c r="H37" s="11" t="str">
        <x:v>H0–72</x:v>
      </x:c>
      <x:c r="I37" s="11" t="str">
        <x:v>tonnes/72h</x:v>
      </x:c>
      <x:c r="J37" s="20" t="n">
        <x:f>SUMIFS('03 Demand Build'!$AB$6:$AB$485,'03 Demand Build'!$E$6:$E$485,E37)</x:f>
        <x:v>114617.54250000001</x:v>
      </x:c>
      <x:c r="K37" s="20" t="n">
        <x:f>INDEX('02 Pool Register'!$I$6:$I$19,MATCH(D37,'02 Pool Register'!$C$6:$C$19,0))</x:f>
        <x:v>522450</x:v>
      </x:c>
      <x:c r="L37" s="20" t="n">
        <x:f>IF(D37=D36,O36,K37)</x:f>
        <x:v>493259.745</x:v>
      </x:c>
      <x:c r="M37" s="20" t="n">
        <x:f>MIN(J37,L37)</x:f>
        <x:v>114617.54250000001</x:v>
      </x:c>
      <x:c r="N37" s="20" t="n">
        <x:f>J37-M37</x:f>
        <x:v>0</x:v>
      </x:c>
      <x:c r="O37" s="20" t="n">
        <x:f>L37-M37</x:f>
        <x:v>378642.2025</x:v>
      </x:c>
      <x:c r="P37" s="18" t="n">
        <x:f>IF(J37=0,1,M37/J37)</x:f>
        <x:v>1</x:v>
      </x:c>
      <x:c r="Q37" s="11" t="str">
        <x:f>IF(N37&lt;='01 Controls'!$E$23,"PASS","FAIL")</x:f>
        <x:v>PASS</x:v>
      </x:c>
    </x:row>
    <x:row r="38">
      <x:c r="C38" s="11" t="str">
        <x:v>LIFT-INLAND-H72-C3</x:v>
      </x:c>
      <x:c r="D38" s="11" t="str">
        <x:v>LIFT-INLAND-H72</x:v>
      </x:c>
      <x:c r="E38" s="11" t="str">
        <x:v>C3</x:v>
      </x:c>
      <x:c r="F38" s="11" t="n">
        <x:v>3</x:v>
      </x:c>
      <x:c r="G38" s="11" t="str">
        <x:v>Strategic entry</x:v>
      </x:c>
      <x:c r="H38" s="11" t="str">
        <x:v>H0–72</x:v>
      </x:c>
      <x:c r="I38" s="11" t="str">
        <x:v>tonnes/72h</x:v>
      </x:c>
      <x:c r="J38" s="20" t="n">
        <x:f>SUMIFS('03 Demand Build'!$AB$6:$AB$485,'03 Demand Build'!$E$6:$E$485,E38)</x:f>
        <x:v>49971.3</x:v>
      </x:c>
      <x:c r="K38" s="20" t="n">
        <x:f>INDEX('02 Pool Register'!$I$6:$I$19,MATCH(D38,'02 Pool Register'!$C$6:$C$19,0))</x:f>
        <x:v>522450</x:v>
      </x:c>
      <x:c r="L38" s="20" t="n">
        <x:f>IF(D38=D37,O37,K38)</x:f>
        <x:v>378642.2025</x:v>
      </x:c>
      <x:c r="M38" s="20" t="n">
        <x:f>MIN(J38,L38)</x:f>
        <x:v>49971.3</x:v>
      </x:c>
      <x:c r="N38" s="20" t="n">
        <x:f>J38-M38</x:f>
        <x:v>0</x:v>
      </x:c>
      <x:c r="O38" s="20" t="n">
        <x:f>L38-M38</x:f>
        <x:v>328670.9025</x:v>
      </x:c>
      <x:c r="P38" s="18" t="n">
        <x:f>IF(J38=0,1,M38/J38)</x:f>
        <x:v>1</x:v>
      </x:c>
      <x:c r="Q38" s="11" t="str">
        <x:f>IF(N38&lt;='01 Controls'!$E$23,"PASS","FAIL")</x:f>
        <x:v>PASS</x:v>
      </x:c>
    </x:row>
    <x:row r="39">
      <x:c r="C39" s="11" t="str">
        <x:v>LIFT-INLAND-H72-M1</x:v>
      </x:c>
      <x:c r="D39" s="11" t="str">
        <x:v>LIFT-INLAND-H72</x:v>
      </x:c>
      <x:c r="E39" s="11" t="str">
        <x:v>M1</x:v>
      </x:c>
      <x:c r="F39" s="11" t="n">
        <x:v>4</x:v>
      </x:c>
      <x:c r="G39" s="11" t="str">
        <x:v>Strategic entry</x:v>
      </x:c>
      <x:c r="H39" s="11" t="str">
        <x:v>H0–72</x:v>
      </x:c>
      <x:c r="I39" s="11" t="str">
        <x:v>tonnes/72h</x:v>
      </x:c>
      <x:c r="J39" s="20" t="n">
        <x:f>SUMIFS('03 Demand Build'!$AB$6:$AB$485,'03 Demand Build'!$E$6:$E$485,E39)</x:f>
        <x:v>0</x:v>
      </x:c>
      <x:c r="K39" s="20" t="n">
        <x:f>INDEX('02 Pool Register'!$I$6:$I$19,MATCH(D39,'02 Pool Register'!$C$6:$C$19,0))</x:f>
        <x:v>522450</x:v>
      </x:c>
      <x:c r="L39" s="20" t="n">
        <x:f>IF(D39=D38,O38,K39)</x:f>
        <x:v>328670.9025</x:v>
      </x:c>
      <x:c r="M39" s="20" t="n">
        <x:f>MIN(J39,L39)</x:f>
        <x:v>0</x:v>
      </x:c>
      <x:c r="N39" s="20" t="n">
        <x:f>J39-M39</x:f>
        <x:v>0</x:v>
      </x:c>
      <x:c r="O39" s="20" t="n">
        <x:f>L39-M39</x:f>
        <x:v>328670.9025</x:v>
      </x:c>
      <x:c r="P39" s="18" t="n">
        <x:f>IF(J39=0,1,M39/J39)</x:f>
        <x:v>1</x:v>
      </x:c>
      <x:c r="Q39" s="11" t="str">
        <x:f>IF(N39&lt;='01 Controls'!$E$23,"PASS","FAIL")</x:f>
        <x:v>PASS</x:v>
      </x:c>
    </x:row>
    <x:row r="40">
      <x:c r="C40" s="11" t="str">
        <x:v>LIFT-INLAND-H72-M2</x:v>
      </x:c>
      <x:c r="D40" s="11" t="str">
        <x:v>LIFT-INLAND-H72</x:v>
      </x:c>
      <x:c r="E40" s="11" t="str">
        <x:v>M2</x:v>
      </x:c>
      <x:c r="F40" s="11" t="n">
        <x:v>5</x:v>
      </x:c>
      <x:c r="G40" s="11" t="str">
        <x:v>Strategic entry</x:v>
      </x:c>
      <x:c r="H40" s="11" t="str">
        <x:v>H0–72</x:v>
      </x:c>
      <x:c r="I40" s="11" t="str">
        <x:v>tonnes/72h</x:v>
      </x:c>
      <x:c r="J40" s="20" t="n">
        <x:f>SUMIFS('03 Demand Build'!$AB$6:$AB$485,'03 Demand Build'!$E$6:$E$485,E40)</x:f>
        <x:v>0</x:v>
      </x:c>
      <x:c r="K40" s="20" t="n">
        <x:f>INDEX('02 Pool Register'!$I$6:$I$19,MATCH(D40,'02 Pool Register'!$C$6:$C$19,0))</x:f>
        <x:v>522450</x:v>
      </x:c>
      <x:c r="L40" s="20" t="n">
        <x:f>IF(D40=D39,O39,K40)</x:f>
        <x:v>328670.9025</x:v>
      </x:c>
      <x:c r="M40" s="20" t="n">
        <x:f>MIN(J40,L40)</x:f>
        <x:v>0</x:v>
      </x:c>
      <x:c r="N40" s="20" t="n">
        <x:f>J40-M40</x:f>
        <x:v>0</x:v>
      </x:c>
      <x:c r="O40" s="20" t="n">
        <x:f>L40-M40</x:f>
        <x:v>328670.9025</x:v>
      </x:c>
      <x:c r="P40" s="18" t="n">
        <x:f>IF(J40=0,1,M40/J40)</x:f>
        <x:v>1</x:v>
      </x:c>
      <x:c r="Q40" s="11" t="str">
        <x:f>IF(N40&lt;='01 Controls'!$E$23,"PASS","FAIL")</x:f>
        <x:v>PASS</x:v>
      </x:c>
    </x:row>
    <x:row r="41">
      <x:c r="C41" s="11" t="str">
        <x:v>LIFT-INLAND-H72-M3</x:v>
      </x:c>
      <x:c r="D41" s="11" t="str">
        <x:v>LIFT-INLAND-H72</x:v>
      </x:c>
      <x:c r="E41" s="11" t="str">
        <x:v>M3</x:v>
      </x:c>
      <x:c r="F41" s="11" t="n">
        <x:v>6</x:v>
      </x:c>
      <x:c r="G41" s="11" t="str">
        <x:v>Strategic entry</x:v>
      </x:c>
      <x:c r="H41" s="11" t="str">
        <x:v>H0–72</x:v>
      </x:c>
      <x:c r="I41" s="11" t="str">
        <x:v>tonnes/72h</x:v>
      </x:c>
      <x:c r="J41" s="20" t="n">
        <x:f>SUMIFS('03 Demand Build'!$AB$6:$AB$485,'03 Demand Build'!$E$6:$E$485,E41)</x:f>
        <x:v>132510.75</x:v>
      </x:c>
      <x:c r="K41" s="20" t="n">
        <x:f>INDEX('02 Pool Register'!$I$6:$I$19,MATCH(D41,'02 Pool Register'!$C$6:$C$19,0))</x:f>
        <x:v>522450</x:v>
      </x:c>
      <x:c r="L41" s="20" t="n">
        <x:f>IF(D41=D40,O40,K41)</x:f>
        <x:v>328670.9025</x:v>
      </x:c>
      <x:c r="M41" s="20" t="n">
        <x:f>MIN(J41,L41)</x:f>
        <x:v>132510.75</x:v>
      </x:c>
      <x:c r="N41" s="20" t="n">
        <x:f>J41-M41</x:f>
        <x:v>0</x:v>
      </x:c>
      <x:c r="O41" s="20" t="n">
        <x:f>L41-M41</x:f>
        <x:v>196160.15250000003</x:v>
      </x:c>
      <x:c r="P41" s="18" t="n">
        <x:f>IF(J41=0,1,M41/J41)</x:f>
        <x:v>1</x:v>
      </x:c>
      <x:c r="Q41" s="11" t="str">
        <x:f>IF(N41&lt;='01 Controls'!$E$23,"PASS","FAIL")</x:f>
        <x:v>PASS</x:v>
      </x:c>
    </x:row>
    <x:row r="42">
      <x:c r="C42" s="11" t="str">
        <x:v>LIFT-INLAND-H72-M4</x:v>
      </x:c>
      <x:c r="D42" s="11" t="str">
        <x:v>LIFT-INLAND-H72</x:v>
      </x:c>
      <x:c r="E42" s="11" t="str">
        <x:v>M4</x:v>
      </x:c>
      <x:c r="F42" s="11" t="n">
        <x:v>7</x:v>
      </x:c>
      <x:c r="G42" s="11" t="str">
        <x:v>Strategic entry</x:v>
      </x:c>
      <x:c r="H42" s="11" t="str">
        <x:v>H0–72</x:v>
      </x:c>
      <x:c r="I42" s="11" t="str">
        <x:v>tonnes/72h</x:v>
      </x:c>
      <x:c r="J42" s="20" t="n">
        <x:f>SUMIFS('03 Demand Build'!$AB$6:$AB$485,'03 Demand Build'!$E$6:$E$485,E42)</x:f>
        <x:v>0</x:v>
      </x:c>
      <x:c r="K42" s="20" t="n">
        <x:f>INDEX('02 Pool Register'!$I$6:$I$19,MATCH(D42,'02 Pool Register'!$C$6:$C$19,0))</x:f>
        <x:v>522450</x:v>
      </x:c>
      <x:c r="L42" s="20" t="n">
        <x:f>IF(D42=D41,O41,K42)</x:f>
        <x:v>196160.15250000003</x:v>
      </x:c>
      <x:c r="M42" s="20" t="n">
        <x:f>MIN(J42,L42)</x:f>
        <x:v>0</x:v>
      </x:c>
      <x:c r="N42" s="20" t="n">
        <x:f>J42-M42</x:f>
        <x:v>0</x:v>
      </x:c>
      <x:c r="O42" s="20" t="n">
        <x:f>L42-M42</x:f>
        <x:v>196160.15250000003</x:v>
      </x:c>
      <x:c r="P42" s="18" t="n">
        <x:f>IF(J42=0,1,M42/J42)</x:f>
        <x:v>1</x:v>
      </x:c>
      <x:c r="Q42" s="11" t="str">
        <x:f>IF(N42&lt;='01 Controls'!$E$23,"PASS","FAIL")</x:f>
        <x:v>PASS</x:v>
      </x:c>
    </x:row>
    <x:row r="43">
      <x:c r="C43" s="11" t="str">
        <x:v>LIFT-INLAND-H72-M5</x:v>
      </x:c>
      <x:c r="D43" s="11" t="str">
        <x:v>LIFT-INLAND-H72</x:v>
      </x:c>
      <x:c r="E43" s="11" t="str">
        <x:v>M5</x:v>
      </x:c>
      <x:c r="F43" s="11" t="n">
        <x:v>8</x:v>
      </x:c>
      <x:c r="G43" s="11" t="str">
        <x:v>Strategic entry</x:v>
      </x:c>
      <x:c r="H43" s="11" t="str">
        <x:v>H0–72</x:v>
      </x:c>
      <x:c r="I43" s="11" t="str">
        <x:v>tonnes/72h</x:v>
      </x:c>
      <x:c r="J43" s="20" t="n">
        <x:f>SUMIFS('03 Demand Build'!$AB$6:$AB$485,'03 Demand Build'!$E$6:$E$485,E43)</x:f>
        <x:v>82899.26999999999</x:v>
      </x:c>
      <x:c r="K43" s="20" t="n">
        <x:f>INDEX('02 Pool Register'!$I$6:$I$19,MATCH(D43,'02 Pool Register'!$C$6:$C$19,0))</x:f>
        <x:v>522450</x:v>
      </x:c>
      <x:c r="L43" s="20" t="n">
        <x:f>IF(D43=D42,O42,K43)</x:f>
        <x:v>196160.15250000003</x:v>
      </x:c>
      <x:c r="M43" s="20" t="n">
        <x:f>MIN(J43,L43)</x:f>
        <x:v>82899.26999999999</x:v>
      </x:c>
      <x:c r="N43" s="20" t="n">
        <x:f>J43-M43</x:f>
        <x:v>0</x:v>
      </x:c>
      <x:c r="O43" s="20" t="n">
        <x:f>L43-M43</x:f>
        <x:v>113260.88250000004</x:v>
      </x:c>
      <x:c r="P43" s="18" t="n">
        <x:f>IF(J43=0,1,M43/J43)</x:f>
        <x:v>1</x:v>
      </x:c>
      <x:c r="Q43" s="11" t="str">
        <x:f>IF(N43&lt;='01 Controls'!$E$23,"PASS","FAIL")</x:f>
        <x:v>PASS</x:v>
      </x:c>
    </x:row>
    <x:row r="44">
      <x:c r="C44" s="11" t="str">
        <x:v>LIFT-INLAND-H72-G1</x:v>
      </x:c>
      <x:c r="D44" s="11" t="str">
        <x:v>LIFT-INLAND-H72</x:v>
      </x:c>
      <x:c r="E44" s="11" t="str">
        <x:v>G1</x:v>
      </x:c>
      <x:c r="F44" s="11" t="n">
        <x:v>9</x:v>
      </x:c>
      <x:c r="G44" s="11" t="str">
        <x:v>Strategic entry</x:v>
      </x:c>
      <x:c r="H44" s="11" t="str">
        <x:v>H0–72</x:v>
      </x:c>
      <x:c r="I44" s="11" t="str">
        <x:v>tonnes/72h</x:v>
      </x:c>
      <x:c r="J44" s="20" t="n">
        <x:f>SUMIFS('03 Demand Build'!$AB$6:$AB$485,'03 Demand Build'!$E$6:$E$485,E44)</x:f>
        <x:v>0</x:v>
      </x:c>
      <x:c r="K44" s="20" t="n">
        <x:f>INDEX('02 Pool Register'!$I$6:$I$19,MATCH(D44,'02 Pool Register'!$C$6:$C$19,0))</x:f>
        <x:v>522450</x:v>
      </x:c>
      <x:c r="L44" s="20" t="n">
        <x:f>IF(D44=D43,O43,K44)</x:f>
        <x:v>113260.88250000004</x:v>
      </x:c>
      <x:c r="M44" s="20" t="n">
        <x:f>MIN(J44,L44)</x:f>
        <x:v>0</x:v>
      </x:c>
      <x:c r="N44" s="20" t="n">
        <x:f>J44-M44</x:f>
        <x:v>0</x:v>
      </x:c>
      <x:c r="O44" s="20" t="n">
        <x:f>L44-M44</x:f>
        <x:v>113260.88250000004</x:v>
      </x:c>
      <x:c r="P44" s="18" t="n">
        <x:f>IF(J44=0,1,M44/J44)</x:f>
        <x:v>1</x:v>
      </x:c>
      <x:c r="Q44" s="11" t="str">
        <x:f>IF(N44&lt;='01 Controls'!$E$23,"PASS","FAIL")</x:f>
        <x:v>PASS</x:v>
      </x:c>
    </x:row>
    <x:row r="45">
      <x:c r="C45" s="11" t="str">
        <x:v>LIFT-INLAND-H72-G2</x:v>
      </x:c>
      <x:c r="D45" s="11" t="str">
        <x:v>LIFT-INLAND-H72</x:v>
      </x:c>
      <x:c r="E45" s="11" t="str">
        <x:v>G2</x:v>
      </x:c>
      <x:c r="F45" s="11" t="n">
        <x:v>10</x:v>
      </x:c>
      <x:c r="G45" s="11" t="str">
        <x:v>Strategic entry</x:v>
      </x:c>
      <x:c r="H45" s="11" t="str">
        <x:v>H0–72</x:v>
      </x:c>
      <x:c r="I45" s="11" t="str">
        <x:v>tonnes/72h</x:v>
      </x:c>
      <x:c r="J45" s="20" t="n">
        <x:f>SUMIFS('03 Demand Build'!$AB$6:$AB$485,'03 Demand Build'!$E$6:$E$485,E45)</x:f>
        <x:v>91647.24</x:v>
      </x:c>
      <x:c r="K45" s="20" t="n">
        <x:f>INDEX('02 Pool Register'!$I$6:$I$19,MATCH(D45,'02 Pool Register'!$C$6:$C$19,0))</x:f>
        <x:v>522450</x:v>
      </x:c>
      <x:c r="L45" s="20" t="n">
        <x:f>IF(D45=D44,O44,K45)</x:f>
        <x:v>113260.88250000004</x:v>
      </x:c>
      <x:c r="M45" s="20" t="n">
        <x:f>MIN(J45,L45)</x:f>
        <x:v>91647.24</x:v>
      </x:c>
      <x:c r="N45" s="20" t="n">
        <x:f>J45-M45</x:f>
        <x:v>0</x:v>
      </x:c>
      <x:c r="O45" s="20" t="n">
        <x:f>L45-M45</x:f>
        <x:v>21613.64250000003</x:v>
      </x:c>
      <x:c r="P45" s="18" t="n">
        <x:f>IF(J45=0,1,M45/J45)</x:f>
        <x:v>1</x:v>
      </x:c>
      <x:c r="Q45" s="11" t="str">
        <x:f>IF(N45&lt;='01 Controls'!$E$23,"PASS","FAIL")</x:f>
        <x:v>PASS</x:v>
      </x:c>
    </x:row>
    <x:row r="46">
      <x:c r="C46" s="11" t="str">
        <x:v>BASE-RESP-D7-C1</x:v>
      </x:c>
      <x:c r="D46" s="11" t="str">
        <x:v>BASE-RESP-D7</x:v>
      </x:c>
      <x:c r="E46" s="11" t="str">
        <x:v>C1</x:v>
      </x:c>
      <x:c r="F46" s="11" t="n">
        <x:v>1</x:v>
      </x:c>
      <x:c r="G46" s="11" t="str">
        <x:v>Responder reception</x:v>
      </x:c>
      <x:c r="H46" s="11" t="str">
        <x:v>H0–D7</x:v>
      </x:c>
      <x:c r="I46" s="11" t="str">
        <x:v>people</x:v>
      </x:c>
      <x:c r="J46" s="20" t="n">
        <x:f>SUMIFS('03 Demand Build'!$N$6:$N$485,'03 Demand Build'!$E$6:$E$485,E46)</x:f>
        <x:v>179896</x:v>
      </x:c>
      <x:c r="K46" s="20" t="n">
        <x:f>INDEX('02 Pool Register'!$I$6:$I$19,MATCH(D46,'02 Pool Register'!$C$6:$C$19,0))</x:f>
        <x:v>1482624</x:v>
      </x:c>
      <x:c r="L46" s="20" t="n">
        <x:f>K46</x:f>
        <x:v>1482624</x:v>
      </x:c>
      <x:c r="M46" s="20" t="n">
        <x:f>MIN(J46,L46)</x:f>
        <x:v>179896</x:v>
      </x:c>
      <x:c r="N46" s="20" t="n">
        <x:f>J46-M46</x:f>
        <x:v>0</x:v>
      </x:c>
      <x:c r="O46" s="20" t="n">
        <x:f>L46-M46</x:f>
        <x:v>1302728</x:v>
      </x:c>
      <x:c r="P46" s="18" t="n">
        <x:f>IF(J46=0,1,M46/J46)</x:f>
        <x:v>1</x:v>
      </x:c>
      <x:c r="Q46" s="11" t="str">
        <x:f>IF(N46&lt;='01 Controls'!$E$23,"PASS","FAIL")</x:f>
        <x:v>PASS</x:v>
      </x:c>
    </x:row>
    <x:row r="47">
      <x:c r="C47" s="11" t="str">
        <x:v>BASE-RESP-D7-C2</x:v>
      </x:c>
      <x:c r="D47" s="11" t="str">
        <x:v>BASE-RESP-D7</x:v>
      </x:c>
      <x:c r="E47" s="11" t="str">
        <x:v>C2</x:v>
      </x:c>
      <x:c r="F47" s="11" t="n">
        <x:v>2</x:v>
      </x:c>
      <x:c r="G47" s="11" t="str">
        <x:v>Responder reception</x:v>
      </x:c>
      <x:c r="H47" s="11" t="str">
        <x:v>H0–D7</x:v>
      </x:c>
      <x:c r="I47" s="11" t="str">
        <x:v>people</x:v>
      </x:c>
      <x:c r="J47" s="20" t="n">
        <x:f>SUMIFS('03 Demand Build'!$N$6:$N$485,'03 Demand Build'!$E$6:$E$485,E47)</x:f>
        <x:v>227796</x:v>
      </x:c>
      <x:c r="K47" s="20" t="n">
        <x:f>INDEX('02 Pool Register'!$I$6:$I$19,MATCH(D47,'02 Pool Register'!$C$6:$C$19,0))</x:f>
        <x:v>1482624</x:v>
      </x:c>
      <x:c r="L47" s="20" t="n">
        <x:f>IF(D47=D46,O46,K47)</x:f>
        <x:v>1302728</x:v>
      </x:c>
      <x:c r="M47" s="20" t="n">
        <x:f>MIN(J47,L47)</x:f>
        <x:v>227796</x:v>
      </x:c>
      <x:c r="N47" s="20" t="n">
        <x:f>J47-M47</x:f>
        <x:v>0</x:v>
      </x:c>
      <x:c r="O47" s="20" t="n">
        <x:f>L47-M47</x:f>
        <x:v>1074932</x:v>
      </x:c>
      <x:c r="P47" s="18" t="n">
        <x:f>IF(J47=0,1,M47/J47)</x:f>
        <x:v>1</x:v>
      </x:c>
      <x:c r="Q47" s="11" t="str">
        <x:f>IF(N47&lt;='01 Controls'!$E$23,"PASS","FAIL")</x:f>
        <x:v>PASS</x:v>
      </x:c>
    </x:row>
    <x:row r="48">
      <x:c r="C48" s="11" t="str">
        <x:v>BASE-RESP-D7-C3</x:v>
      </x:c>
      <x:c r="D48" s="11" t="str">
        <x:v>BASE-RESP-D7</x:v>
      </x:c>
      <x:c r="E48" s="11" t="str">
        <x:v>C3</x:v>
      </x:c>
      <x:c r="F48" s="11" t="n">
        <x:v>3</x:v>
      </x:c>
      <x:c r="G48" s="11" t="str">
        <x:v>Responder reception</x:v>
      </x:c>
      <x:c r="H48" s="11" t="str">
        <x:v>H0–D7</x:v>
      </x:c>
      <x:c r="I48" s="11" t="str">
        <x:v>people</x:v>
      </x:c>
      <x:c r="J48" s="20" t="n">
        <x:f>SUMIFS('03 Demand Build'!$N$6:$N$485,'03 Demand Build'!$E$6:$E$485,E48)</x:f>
        <x:v>300372</x:v>
      </x:c>
      <x:c r="K48" s="20" t="n">
        <x:f>INDEX('02 Pool Register'!$I$6:$I$19,MATCH(D48,'02 Pool Register'!$C$6:$C$19,0))</x:f>
        <x:v>1482624</x:v>
      </x:c>
      <x:c r="L48" s="20" t="n">
        <x:f>IF(D48=D47,O47,K48)</x:f>
        <x:v>1074932</x:v>
      </x:c>
      <x:c r="M48" s="20" t="n">
        <x:f>MIN(J48,L48)</x:f>
        <x:v>300372</x:v>
      </x:c>
      <x:c r="N48" s="20" t="n">
        <x:f>J48-M48</x:f>
        <x:v>0</x:v>
      </x:c>
      <x:c r="O48" s="20" t="n">
        <x:f>L48-M48</x:f>
        <x:v>774560</x:v>
      </x:c>
      <x:c r="P48" s="18" t="n">
        <x:f>IF(J48=0,1,M48/J48)</x:f>
        <x:v>1</x:v>
      </x:c>
      <x:c r="Q48" s="11" t="str">
        <x:f>IF(N48&lt;='01 Controls'!$E$23,"PASS","FAIL")</x:f>
        <x:v>PASS</x:v>
      </x:c>
    </x:row>
    <x:row r="49">
      <x:c r="C49" s="11" t="str">
        <x:v>BASE-RESP-D7-M1</x:v>
      </x:c>
      <x:c r="D49" s="11" t="str">
        <x:v>BASE-RESP-D7</x:v>
      </x:c>
      <x:c r="E49" s="11" t="str">
        <x:v>M1</x:v>
      </x:c>
      <x:c r="F49" s="11" t="n">
        <x:v>4</x:v>
      </x:c>
      <x:c r="G49" s="11" t="str">
        <x:v>Responder reception</x:v>
      </x:c>
      <x:c r="H49" s="11" t="str">
        <x:v>H0–D7</x:v>
      </x:c>
      <x:c r="I49" s="11" t="str">
        <x:v>people</x:v>
      </x:c>
      <x:c r="J49" s="20" t="n">
        <x:f>SUMIFS('03 Demand Build'!$N$6:$N$485,'03 Demand Build'!$E$6:$E$485,E49)</x:f>
        <x:v>101946</x:v>
      </x:c>
      <x:c r="K49" s="20" t="n">
        <x:f>INDEX('02 Pool Register'!$I$6:$I$19,MATCH(D49,'02 Pool Register'!$C$6:$C$19,0))</x:f>
        <x:v>1482624</x:v>
      </x:c>
      <x:c r="L49" s="20" t="n">
        <x:f>IF(D49=D48,O48,K49)</x:f>
        <x:v>774560</x:v>
      </x:c>
      <x:c r="M49" s="20" t="n">
        <x:f>MIN(J49,L49)</x:f>
        <x:v>101946</x:v>
      </x:c>
      <x:c r="N49" s="20" t="n">
        <x:f>J49-M49</x:f>
        <x:v>0</x:v>
      </x:c>
      <x:c r="O49" s="20" t="n">
        <x:f>L49-M49</x:f>
        <x:v>672614</x:v>
      </x:c>
      <x:c r="P49" s="18" t="n">
        <x:f>IF(J49=0,1,M49/J49)</x:f>
        <x:v>1</x:v>
      </x:c>
      <x:c r="Q49" s="11" t="str">
        <x:f>IF(N49&lt;='01 Controls'!$E$23,"PASS","FAIL")</x:f>
        <x:v>PASS</x:v>
      </x:c>
    </x:row>
    <x:row r="50">
      <x:c r="C50" s="11" t="str">
        <x:v>BASE-RESP-D7-M2</x:v>
      </x:c>
      <x:c r="D50" s="11" t="str">
        <x:v>BASE-RESP-D7</x:v>
      </x:c>
      <x:c r="E50" s="11" t="str">
        <x:v>M2</x:v>
      </x:c>
      <x:c r="F50" s="11" t="n">
        <x:v>5</x:v>
      </x:c>
      <x:c r="G50" s="11" t="str">
        <x:v>Responder reception</x:v>
      </x:c>
      <x:c r="H50" s="11" t="str">
        <x:v>H0–D7</x:v>
      </x:c>
      <x:c r="I50" s="11" t="str">
        <x:v>people</x:v>
      </x:c>
      <x:c r="J50" s="20" t="n">
        <x:f>SUMIFS('03 Demand Build'!$N$6:$N$485,'03 Demand Build'!$E$6:$E$485,E50)</x:f>
        <x:v>149334</x:v>
      </x:c>
      <x:c r="K50" s="20" t="n">
        <x:f>INDEX('02 Pool Register'!$I$6:$I$19,MATCH(D50,'02 Pool Register'!$C$6:$C$19,0))</x:f>
        <x:v>1482624</x:v>
      </x:c>
      <x:c r="L50" s="20" t="n">
        <x:f>IF(D50=D49,O49,K50)</x:f>
        <x:v>672614</x:v>
      </x:c>
      <x:c r="M50" s="20" t="n">
        <x:f>MIN(J50,L50)</x:f>
        <x:v>149334</x:v>
      </x:c>
      <x:c r="N50" s="20" t="n">
        <x:f>J50-M50</x:f>
        <x:v>0</x:v>
      </x:c>
      <x:c r="O50" s="20" t="n">
        <x:f>L50-M50</x:f>
        <x:v>523280</x:v>
      </x:c>
      <x:c r="P50" s="18" t="n">
        <x:f>IF(J50=0,1,M50/J50)</x:f>
        <x:v>1</x:v>
      </x:c>
      <x:c r="Q50" s="11" t="str">
        <x:f>IF(N50&lt;='01 Controls'!$E$23,"PASS","FAIL")</x:f>
        <x:v>PASS</x:v>
      </x:c>
    </x:row>
    <x:row r="51">
      <x:c r="C51" s="11" t="str">
        <x:v>BASE-RESP-D7-M3</x:v>
      </x:c>
      <x:c r="D51" s="11" t="str">
        <x:v>BASE-RESP-D7</x:v>
      </x:c>
      <x:c r="E51" s="11" t="str">
        <x:v>M3</x:v>
      </x:c>
      <x:c r="F51" s="11" t="n">
        <x:v>6</x:v>
      </x:c>
      <x:c r="G51" s="11" t="str">
        <x:v>Responder reception</x:v>
      </x:c>
      <x:c r="H51" s="11" t="str">
        <x:v>H0–D7</x:v>
      </x:c>
      <x:c r="I51" s="11" t="str">
        <x:v>people</x:v>
      </x:c>
      <x:c r="J51" s="20" t="n">
        <x:f>SUMIFS('03 Demand Build'!$N$6:$N$485,'03 Demand Build'!$E$6:$E$485,E51)</x:f>
        <x:v>153131</x:v>
      </x:c>
      <x:c r="K51" s="20" t="n">
        <x:f>INDEX('02 Pool Register'!$I$6:$I$19,MATCH(D51,'02 Pool Register'!$C$6:$C$19,0))</x:f>
        <x:v>1482624</x:v>
      </x:c>
      <x:c r="L51" s="20" t="n">
        <x:f>IF(D51=D50,O50,K51)</x:f>
        <x:v>523280</x:v>
      </x:c>
      <x:c r="M51" s="20" t="n">
        <x:f>MIN(J51,L51)</x:f>
        <x:v>153131</x:v>
      </x:c>
      <x:c r="N51" s="20" t="n">
        <x:f>J51-M51</x:f>
        <x:v>0</x:v>
      </x:c>
      <x:c r="O51" s="20" t="n">
        <x:f>L51-M51</x:f>
        <x:v>370149</x:v>
      </x:c>
      <x:c r="P51" s="18" t="n">
        <x:f>IF(J51=0,1,M51/J51)</x:f>
        <x:v>1</x:v>
      </x:c>
      <x:c r="Q51" s="11" t="str">
        <x:f>IF(N51&lt;='01 Controls'!$E$23,"PASS","FAIL")</x:f>
        <x:v>PASS</x:v>
      </x:c>
    </x:row>
    <x:row r="52">
      <x:c r="C52" s="11" t="str">
        <x:v>BASE-RESP-D7-M4</x:v>
      </x:c>
      <x:c r="D52" s="11" t="str">
        <x:v>BASE-RESP-D7</x:v>
      </x:c>
      <x:c r="E52" s="11" t="str">
        <x:v>M4</x:v>
      </x:c>
      <x:c r="F52" s="11" t="n">
        <x:v>7</x:v>
      </x:c>
      <x:c r="G52" s="11" t="str">
        <x:v>Responder reception</x:v>
      </x:c>
      <x:c r="H52" s="11" t="str">
        <x:v>H0–D7</x:v>
      </x:c>
      <x:c r="I52" s="11" t="str">
        <x:v>people</x:v>
      </x:c>
      <x:c r="J52" s="20" t="n">
        <x:f>SUMIFS('03 Demand Build'!$N$6:$N$485,'03 Demand Build'!$E$6:$E$485,E52)</x:f>
        <x:v>167431</x:v>
      </x:c>
      <x:c r="K52" s="20" t="n">
        <x:f>INDEX('02 Pool Register'!$I$6:$I$19,MATCH(D52,'02 Pool Register'!$C$6:$C$19,0))</x:f>
        <x:v>1482624</x:v>
      </x:c>
      <x:c r="L52" s="20" t="n">
        <x:f>IF(D52=D51,O51,K52)</x:f>
        <x:v>370149</x:v>
      </x:c>
      <x:c r="M52" s="20" t="n">
        <x:f>MIN(J52,L52)</x:f>
        <x:v>167431</x:v>
      </x:c>
      <x:c r="N52" s="20" t="n">
        <x:f>J52-M52</x:f>
        <x:v>0</x:v>
      </x:c>
      <x:c r="O52" s="20" t="n">
        <x:f>L52-M52</x:f>
        <x:v>202718</x:v>
      </x:c>
      <x:c r="P52" s="18" t="n">
        <x:f>IF(J52=0,1,M52/J52)</x:f>
        <x:v>1</x:v>
      </x:c>
      <x:c r="Q52" s="11" t="str">
        <x:f>IF(N52&lt;='01 Controls'!$E$23,"PASS","FAIL")</x:f>
        <x:v>PASS</x:v>
      </x:c>
    </x:row>
    <x:row r="53">
      <x:c r="C53" s="11" t="str">
        <x:v>BASE-RESP-D7-M5</x:v>
      </x:c>
      <x:c r="D53" s="11" t="str">
        <x:v>BASE-RESP-D7</x:v>
      </x:c>
      <x:c r="E53" s="11" t="str">
        <x:v>M5</x:v>
      </x:c>
      <x:c r="F53" s="11" t="n">
        <x:v>8</x:v>
      </x:c>
      <x:c r="G53" s="11" t="str">
        <x:v>Responder reception</x:v>
      </x:c>
      <x:c r="H53" s="11" t="str">
        <x:v>H0–D7</x:v>
      </x:c>
      <x:c r="I53" s="11" t="str">
        <x:v>people</x:v>
      </x:c>
      <x:c r="J53" s="20" t="n">
        <x:f>SUMIFS('03 Demand Build'!$N$6:$N$485,'03 Demand Build'!$E$6:$E$485,E53)</x:f>
        <x:v>168257</x:v>
      </x:c>
      <x:c r="K53" s="20" t="n">
        <x:f>INDEX('02 Pool Register'!$I$6:$I$19,MATCH(D53,'02 Pool Register'!$C$6:$C$19,0))</x:f>
        <x:v>1482624</x:v>
      </x:c>
      <x:c r="L53" s="20" t="n">
        <x:f>IF(D53=D52,O52,K53)</x:f>
        <x:v>202718</x:v>
      </x:c>
      <x:c r="M53" s="20" t="n">
        <x:f>MIN(J53,L53)</x:f>
        <x:v>168257</x:v>
      </x:c>
      <x:c r="N53" s="20" t="n">
        <x:f>J53-M53</x:f>
        <x:v>0</x:v>
      </x:c>
      <x:c r="O53" s="20" t="n">
        <x:f>L53-M53</x:f>
        <x:v>34461</x:v>
      </x:c>
      <x:c r="P53" s="18" t="n">
        <x:f>IF(J53=0,1,M53/J53)</x:f>
        <x:v>1</x:v>
      </x:c>
      <x:c r="Q53" s="11" t="str">
        <x:f>IF(N53&lt;='01 Controls'!$E$23,"PASS","FAIL")</x:f>
        <x:v>PASS</x:v>
      </x:c>
    </x:row>
    <x:row r="54">
      <x:c r="C54" s="11" t="str">
        <x:v>BASE-RESP-D7-G1</x:v>
      </x:c>
      <x:c r="D54" s="11" t="str">
        <x:v>BASE-RESP-D7</x:v>
      </x:c>
      <x:c r="E54" s="11" t="str">
        <x:v>G1</x:v>
      </x:c>
      <x:c r="F54" s="11" t="n">
        <x:v>9</x:v>
      </x:c>
      <x:c r="G54" s="11" t="str">
        <x:v>Responder reception</x:v>
      </x:c>
      <x:c r="H54" s="11" t="str">
        <x:v>H0–D7</x:v>
      </x:c>
      <x:c r="I54" s="11" t="str">
        <x:v>people</x:v>
      </x:c>
      <x:c r="J54" s="20" t="n">
        <x:f>SUMIFS('03 Demand Build'!$N$6:$N$485,'03 Demand Build'!$E$6:$E$485,E54)</x:f>
        <x:v>284300</x:v>
      </x:c>
      <x:c r="K54" s="20" t="n">
        <x:f>INDEX('02 Pool Register'!$I$6:$I$19,MATCH(D54,'02 Pool Register'!$C$6:$C$19,0))</x:f>
        <x:v>1482624</x:v>
      </x:c>
      <x:c r="L54" s="20" t="n">
        <x:f>IF(D54=D53,O53,K54)</x:f>
        <x:v>34461</x:v>
      </x:c>
      <x:c r="M54" s="20" t="n">
        <x:f>MIN(J54,L54)</x:f>
        <x:v>34461</x:v>
      </x:c>
      <x:c r="N54" s="20" t="n">
        <x:f>J54-M54</x:f>
        <x:v>249839</x:v>
      </x:c>
      <x:c r="O54" s="20" t="n">
        <x:f>L54-M54</x:f>
        <x:v>0</x:v>
      </x:c>
      <x:c r="P54" s="18" t="n">
        <x:f>IF(J54=0,1,M54/J54)</x:f>
        <x:v>0.12121350685895181</x:v>
      </x:c>
      <x:c r="Q54" s="11" t="str">
        <x:f>IF(N54&lt;='01 Controls'!$E$23,"PASS","FAIL")</x:f>
        <x:v>FAIL</x:v>
      </x:c>
    </x:row>
    <x:row r="55">
      <x:c r="C55" s="11" t="str">
        <x:v>BASE-RESP-D7-G2</x:v>
      </x:c>
      <x:c r="D55" s="11" t="str">
        <x:v>BASE-RESP-D7</x:v>
      </x:c>
      <x:c r="E55" s="11" t="str">
        <x:v>G2</x:v>
      </x:c>
      <x:c r="F55" s="11" t="n">
        <x:v>10</x:v>
      </x:c>
      <x:c r="G55" s="11" t="str">
        <x:v>Responder reception</x:v>
      </x:c>
      <x:c r="H55" s="11" t="str">
        <x:v>H0–D7</x:v>
      </x:c>
      <x:c r="I55" s="11" t="str">
        <x:v>people</x:v>
      </x:c>
      <x:c r="J55" s="20" t="n">
        <x:f>SUMIFS('03 Demand Build'!$N$6:$N$485,'03 Demand Build'!$E$6:$E$485,E55)</x:f>
        <x:v>278944</x:v>
      </x:c>
      <x:c r="K55" s="20" t="n">
        <x:f>INDEX('02 Pool Register'!$I$6:$I$19,MATCH(D55,'02 Pool Register'!$C$6:$C$19,0))</x:f>
        <x:v>1482624</x:v>
      </x:c>
      <x:c r="L55" s="20" t="n">
        <x:f>IF(D55=D54,O54,K55)</x:f>
        <x:v>0</x:v>
      </x:c>
      <x:c r="M55" s="20" t="n">
        <x:f>MIN(J55,L55)</x:f>
        <x:v>0</x:v>
      </x:c>
      <x:c r="N55" s="20" t="n">
        <x:f>J55-M55</x:f>
        <x:v>278944</x:v>
      </x:c>
      <x:c r="O55" s="20" t="n">
        <x:f>L55-M55</x:f>
        <x:v>0</x:v>
      </x:c>
      <x:c r="P55" s="18" t="n">
        <x:f>IF(J55=0,1,M55/J55)</x:f>
        <x:v>0</x:v>
      </x:c>
      <x:c r="Q55" s="11" t="str">
        <x:f>IF(N55&lt;='01 Controls'!$E$23,"PASS","FAIL")</x:f>
        <x:v>FAIL</x:v>
      </x:c>
    </x:row>
    <x:row r="56">
      <x:c r="C56" s="11" t="str">
        <x:v>SUSTAIN-DAY-C1</x:v>
      </x:c>
      <x:c r="D56" s="11" t="str">
        <x:v>SUSTAIN-DAY</x:v>
      </x:c>
      <x:c r="E56" s="11" t="str">
        <x:v>C1</x:v>
      </x:c>
      <x:c r="F56" s="11" t="n">
        <x:v>1</x:v>
      </x:c>
      <x:c r="G56" s="11" t="str">
        <x:v>Force sustainment</x:v>
      </x:c>
      <x:c r="H56" s="11" t="str">
        <x:v>D1–7</x:v>
      </x:c>
      <x:c r="I56" s="11" t="str">
        <x:v>tonnes/day</x:v>
      </x:c>
      <x:c r="J56" s="20" t="n">
        <x:f>SUMIFS('03 Demand Build'!$T$6:$T$485,'03 Demand Build'!$E$6:$E$485,E56)</x:f>
        <x:v>14340</x:v>
      </x:c>
      <x:c r="K56" s="20" t="n">
        <x:f>INDEX('02 Pool Register'!$I$6:$I$19,MATCH(D56,'02 Pool Register'!$C$6:$C$19,0))</x:f>
        <x:v>501227.99999999994</x:v>
      </x:c>
      <x:c r="L56" s="20" t="n">
        <x:f>K56</x:f>
        <x:v>501227.99999999994</x:v>
      </x:c>
      <x:c r="M56" s="20" t="n">
        <x:f>MIN(J56,L56)</x:f>
        <x:v>14340</x:v>
      </x:c>
      <x:c r="N56" s="20" t="n">
        <x:f>J56-M56</x:f>
        <x:v>0</x:v>
      </x:c>
      <x:c r="O56" s="20" t="n">
        <x:f>L56-M56</x:f>
        <x:v>486887.99999999994</x:v>
      </x:c>
      <x:c r="P56" s="18" t="n">
        <x:f>IF(J56=0,1,M56/J56)</x:f>
        <x:v>1</x:v>
      </x:c>
      <x:c r="Q56" s="11" t="str">
        <x:f>IF(N56&lt;='01 Controls'!$E$23,"PASS","FAIL")</x:f>
        <x:v>PASS</x:v>
      </x:c>
    </x:row>
    <x:row r="57">
      <x:c r="C57" s="11" t="str">
        <x:v>SUSTAIN-DAY-C2</x:v>
      </x:c>
      <x:c r="D57" s="11" t="str">
        <x:v>SUSTAIN-DAY</x:v>
      </x:c>
      <x:c r="E57" s="11" t="str">
        <x:v>C2</x:v>
      </x:c>
      <x:c r="F57" s="11" t="n">
        <x:v>2</x:v>
      </x:c>
      <x:c r="G57" s="11" t="str">
        <x:v>Force sustainment</x:v>
      </x:c>
      <x:c r="H57" s="11" t="str">
        <x:v>D1–7</x:v>
      </x:c>
      <x:c r="I57" s="11" t="str">
        <x:v>tonnes/day</x:v>
      </x:c>
      <x:c r="J57" s="20" t="n">
        <x:f>SUMIFS('03 Demand Build'!$T$6:$T$485,'03 Demand Build'!$E$6:$E$485,E57)</x:f>
        <x:v>20175</x:v>
      </x:c>
      <x:c r="K57" s="20" t="n">
        <x:f>INDEX('02 Pool Register'!$I$6:$I$19,MATCH(D57,'02 Pool Register'!$C$6:$C$19,0))</x:f>
        <x:v>501227.99999999994</x:v>
      </x:c>
      <x:c r="L57" s="20" t="n">
        <x:f>IF(D57=D56,O56,K57)</x:f>
        <x:v>486887.99999999994</x:v>
      </x:c>
      <x:c r="M57" s="20" t="n">
        <x:f>MIN(J57,L57)</x:f>
        <x:v>20175</x:v>
      </x:c>
      <x:c r="N57" s="20" t="n">
        <x:f>J57-M57</x:f>
        <x:v>0</x:v>
      </x:c>
      <x:c r="O57" s="20" t="n">
        <x:f>L57-M57</x:f>
        <x:v>466712.99999999994</x:v>
      </x:c>
      <x:c r="P57" s="18" t="n">
        <x:f>IF(J57=0,1,M57/J57)</x:f>
        <x:v>1</x:v>
      </x:c>
      <x:c r="Q57" s="11" t="str">
        <x:f>IF(N57&lt;='01 Controls'!$E$23,"PASS","FAIL")</x:f>
        <x:v>PASS</x:v>
      </x:c>
    </x:row>
    <x:row r="58">
      <x:c r="C58" s="11" t="str">
        <x:v>SUSTAIN-DAY-C3</x:v>
      </x:c>
      <x:c r="D58" s="11" t="str">
        <x:v>SUSTAIN-DAY</x:v>
      </x:c>
      <x:c r="E58" s="11" t="str">
        <x:v>C3</x:v>
      </x:c>
      <x:c r="F58" s="11" t="n">
        <x:v>3</x:v>
      </x:c>
      <x:c r="G58" s="11" t="str">
        <x:v>Force sustainment</x:v>
      </x:c>
      <x:c r="H58" s="11" t="str">
        <x:v>D1–7</x:v>
      </x:c>
      <x:c r="I58" s="11" t="str">
        <x:v>tonnes/day</x:v>
      </x:c>
      <x:c r="J58" s="20" t="n">
        <x:f>SUMIFS('03 Demand Build'!$T$6:$T$485,'03 Demand Build'!$E$6:$E$485,E58)</x:f>
        <x:v>26260</x:v>
      </x:c>
      <x:c r="K58" s="20" t="n">
        <x:f>INDEX('02 Pool Register'!$I$6:$I$19,MATCH(D58,'02 Pool Register'!$C$6:$C$19,0))</x:f>
        <x:v>501227.99999999994</x:v>
      </x:c>
      <x:c r="L58" s="20" t="n">
        <x:f>IF(D58=D57,O57,K58)</x:f>
        <x:v>466712.99999999994</x:v>
      </x:c>
      <x:c r="M58" s="20" t="n">
        <x:f>MIN(J58,L58)</x:f>
        <x:v>26260</x:v>
      </x:c>
      <x:c r="N58" s="20" t="n">
        <x:f>J58-M58</x:f>
        <x:v>0</x:v>
      </x:c>
      <x:c r="O58" s="20" t="n">
        <x:f>L58-M58</x:f>
        <x:v>440452.99999999994</x:v>
      </x:c>
      <x:c r="P58" s="18" t="n">
        <x:f>IF(J58=0,1,M58/J58)</x:f>
        <x:v>1</x:v>
      </x:c>
      <x:c r="Q58" s="11" t="str">
        <x:f>IF(N58&lt;='01 Controls'!$E$23,"PASS","FAIL")</x:f>
        <x:v>PASS</x:v>
      </x:c>
    </x:row>
    <x:row r="59">
      <x:c r="C59" s="11" t="str">
        <x:v>SUSTAIN-DAY-M1</x:v>
      </x:c>
      <x:c r="D59" s="11" t="str">
        <x:v>SUSTAIN-DAY</x:v>
      </x:c>
      <x:c r="E59" s="11" t="str">
        <x:v>M1</x:v>
      </x:c>
      <x:c r="F59" s="11" t="n">
        <x:v>4</x:v>
      </x:c>
      <x:c r="G59" s="11" t="str">
        <x:v>Force sustainment</x:v>
      </x:c>
      <x:c r="H59" s="11" t="str">
        <x:v>D1–7</x:v>
      </x:c>
      <x:c r="I59" s="11" t="str">
        <x:v>tonnes/day</x:v>
      </x:c>
      <x:c r="J59" s="20" t="n">
        <x:f>SUMIFS('03 Demand Build'!$T$6:$T$485,'03 Demand Build'!$E$6:$E$485,E59)</x:f>
        <x:v>9780</x:v>
      </x:c>
      <x:c r="K59" s="20" t="n">
        <x:f>INDEX('02 Pool Register'!$I$6:$I$19,MATCH(D59,'02 Pool Register'!$C$6:$C$19,0))</x:f>
        <x:v>501227.99999999994</x:v>
      </x:c>
      <x:c r="L59" s="20" t="n">
        <x:f>IF(D59=D58,O58,K59)</x:f>
        <x:v>440452.99999999994</x:v>
      </x:c>
      <x:c r="M59" s="20" t="n">
        <x:f>MIN(J59,L59)</x:f>
        <x:v>9780</x:v>
      </x:c>
      <x:c r="N59" s="20" t="n">
        <x:f>J59-M59</x:f>
        <x:v>0</x:v>
      </x:c>
      <x:c r="O59" s="20" t="n">
        <x:f>L59-M59</x:f>
        <x:v>430672.99999999994</x:v>
      </x:c>
      <x:c r="P59" s="18" t="n">
        <x:f>IF(J59=0,1,M59/J59)</x:f>
        <x:v>1</x:v>
      </x:c>
      <x:c r="Q59" s="11" t="str">
        <x:f>IF(N59&lt;='01 Controls'!$E$23,"PASS","FAIL")</x:f>
        <x:v>PASS</x:v>
      </x:c>
    </x:row>
    <x:row r="60">
      <x:c r="C60" s="11" t="str">
        <x:v>SUSTAIN-DAY-M2</x:v>
      </x:c>
      <x:c r="D60" s="11" t="str">
        <x:v>SUSTAIN-DAY</x:v>
      </x:c>
      <x:c r="E60" s="11" t="str">
        <x:v>M2</x:v>
      </x:c>
      <x:c r="F60" s="11" t="n">
        <x:v>5</x:v>
      </x:c>
      <x:c r="G60" s="11" t="str">
        <x:v>Force sustainment</x:v>
      </x:c>
      <x:c r="H60" s="11" t="str">
        <x:v>D1–7</x:v>
      </x:c>
      <x:c r="I60" s="11" t="str">
        <x:v>tonnes/day</x:v>
      </x:c>
      <x:c r="J60" s="20" t="n">
        <x:f>SUMIFS('03 Demand Build'!$T$6:$T$485,'03 Demand Build'!$E$6:$E$485,E60)</x:f>
        <x:v>11085</x:v>
      </x:c>
      <x:c r="K60" s="20" t="n">
        <x:f>INDEX('02 Pool Register'!$I$6:$I$19,MATCH(D60,'02 Pool Register'!$C$6:$C$19,0))</x:f>
        <x:v>501227.99999999994</x:v>
      </x:c>
      <x:c r="L60" s="20" t="n">
        <x:f>IF(D60=D59,O59,K60)</x:f>
        <x:v>430672.99999999994</x:v>
      </x:c>
      <x:c r="M60" s="20" t="n">
        <x:f>MIN(J60,L60)</x:f>
        <x:v>11085</x:v>
      </x:c>
      <x:c r="N60" s="20" t="n">
        <x:f>J60-M60</x:f>
        <x:v>0</x:v>
      </x:c>
      <x:c r="O60" s="20" t="n">
        <x:f>L60-M60</x:f>
        <x:v>419587.99999999994</x:v>
      </x:c>
      <x:c r="P60" s="18" t="n">
        <x:f>IF(J60=0,1,M60/J60)</x:f>
        <x:v>1</x:v>
      </x:c>
      <x:c r="Q60" s="11" t="str">
        <x:f>IF(N60&lt;='01 Controls'!$E$23,"PASS","FAIL")</x:f>
        <x:v>PASS</x:v>
      </x:c>
    </x:row>
    <x:row r="61">
      <x:c r="C61" s="11" t="str">
        <x:v>SUSTAIN-DAY-M3</x:v>
      </x:c>
      <x:c r="D61" s="11" t="str">
        <x:v>SUSTAIN-DAY</x:v>
      </x:c>
      <x:c r="E61" s="11" t="str">
        <x:v>M3</x:v>
      </x:c>
      <x:c r="F61" s="11" t="n">
        <x:v>6</x:v>
      </x:c>
      <x:c r="G61" s="11" t="str">
        <x:v>Force sustainment</x:v>
      </x:c>
      <x:c r="H61" s="11" t="str">
        <x:v>D1–7</x:v>
      </x:c>
      <x:c r="I61" s="11" t="str">
        <x:v>tonnes/day</x:v>
      </x:c>
      <x:c r="J61" s="20" t="n">
        <x:f>SUMIFS('03 Demand Build'!$T$6:$T$485,'03 Demand Build'!$E$6:$E$485,E61)</x:f>
        <x:v>14065</x:v>
      </x:c>
      <x:c r="K61" s="20" t="n">
        <x:f>INDEX('02 Pool Register'!$I$6:$I$19,MATCH(D61,'02 Pool Register'!$C$6:$C$19,0))</x:f>
        <x:v>501227.99999999994</x:v>
      </x:c>
      <x:c r="L61" s="20" t="n">
        <x:f>IF(D61=D60,O60,K61)</x:f>
        <x:v>419587.99999999994</x:v>
      </x:c>
      <x:c r="M61" s="20" t="n">
        <x:f>MIN(J61,L61)</x:f>
        <x:v>14065</x:v>
      </x:c>
      <x:c r="N61" s="20" t="n">
        <x:f>J61-M61</x:f>
        <x:v>0</x:v>
      </x:c>
      <x:c r="O61" s="20" t="n">
        <x:f>L61-M61</x:f>
        <x:v>405522.99999999994</x:v>
      </x:c>
      <x:c r="P61" s="18" t="n">
        <x:f>IF(J61=0,1,M61/J61)</x:f>
        <x:v>1</x:v>
      </x:c>
      <x:c r="Q61" s="11" t="str">
        <x:f>IF(N61&lt;='01 Controls'!$E$23,"PASS","FAIL")</x:f>
        <x:v>PASS</x:v>
      </x:c>
    </x:row>
    <x:row r="62">
      <x:c r="C62" s="11" t="str">
        <x:v>SUSTAIN-DAY-M4</x:v>
      </x:c>
      <x:c r="D62" s="11" t="str">
        <x:v>SUSTAIN-DAY</x:v>
      </x:c>
      <x:c r="E62" s="11" t="str">
        <x:v>M4</x:v>
      </x:c>
      <x:c r="F62" s="11" t="n">
        <x:v>7</x:v>
      </x:c>
      <x:c r="G62" s="11" t="str">
        <x:v>Force sustainment</x:v>
      </x:c>
      <x:c r="H62" s="11" t="str">
        <x:v>D1–7</x:v>
      </x:c>
      <x:c r="I62" s="11" t="str">
        <x:v>tonnes/day</x:v>
      </x:c>
      <x:c r="J62" s="20" t="n">
        <x:f>SUMIFS('03 Demand Build'!$T$6:$T$485,'03 Demand Build'!$E$6:$E$485,E62)</x:f>
        <x:v>15575</x:v>
      </x:c>
      <x:c r="K62" s="20" t="n">
        <x:f>INDEX('02 Pool Register'!$I$6:$I$19,MATCH(D62,'02 Pool Register'!$C$6:$C$19,0))</x:f>
        <x:v>501227.99999999994</x:v>
      </x:c>
      <x:c r="L62" s="20" t="n">
        <x:f>IF(D62=D61,O61,K62)</x:f>
        <x:v>405522.99999999994</x:v>
      </x:c>
      <x:c r="M62" s="20" t="n">
        <x:f>MIN(J62,L62)</x:f>
        <x:v>15575</x:v>
      </x:c>
      <x:c r="N62" s="20" t="n">
        <x:f>J62-M62</x:f>
        <x:v>0</x:v>
      </x:c>
      <x:c r="O62" s="20" t="n">
        <x:f>L62-M62</x:f>
        <x:v>389947.99999999994</x:v>
      </x:c>
      <x:c r="P62" s="18" t="n">
        <x:f>IF(J62=0,1,M62/J62)</x:f>
        <x:v>1</x:v>
      </x:c>
      <x:c r="Q62" s="11" t="str">
        <x:f>IF(N62&lt;='01 Controls'!$E$23,"PASS","FAIL")</x:f>
        <x:v>PASS</x:v>
      </x:c>
    </x:row>
    <x:row r="63">
      <x:c r="C63" s="11" t="str">
        <x:v>SUSTAIN-DAY-M5</x:v>
      </x:c>
      <x:c r="D63" s="11" t="str">
        <x:v>SUSTAIN-DAY</x:v>
      </x:c>
      <x:c r="E63" s="11" t="str">
        <x:v>M5</x:v>
      </x:c>
      <x:c r="F63" s="11" t="n">
        <x:v>8</x:v>
      </x:c>
      <x:c r="G63" s="11" t="str">
        <x:v>Force sustainment</x:v>
      </x:c>
      <x:c r="H63" s="11" t="str">
        <x:v>D1–7</x:v>
      </x:c>
      <x:c r="I63" s="11" t="str">
        <x:v>tonnes/day</x:v>
      </x:c>
      <x:c r="J63" s="20" t="n">
        <x:f>SUMIFS('03 Demand Build'!$T$6:$T$485,'03 Demand Build'!$E$6:$E$485,E63)</x:f>
        <x:v>13825</x:v>
      </x:c>
      <x:c r="K63" s="20" t="n">
        <x:f>INDEX('02 Pool Register'!$I$6:$I$19,MATCH(D63,'02 Pool Register'!$C$6:$C$19,0))</x:f>
        <x:v>501227.99999999994</x:v>
      </x:c>
      <x:c r="L63" s="20" t="n">
        <x:f>IF(D63=D62,O62,K63)</x:f>
        <x:v>389947.99999999994</x:v>
      </x:c>
      <x:c r="M63" s="20" t="n">
        <x:f>MIN(J63,L63)</x:f>
        <x:v>13825</x:v>
      </x:c>
      <x:c r="N63" s="20" t="n">
        <x:f>J63-M63</x:f>
        <x:v>0</x:v>
      </x:c>
      <x:c r="O63" s="20" t="n">
        <x:f>L63-M63</x:f>
        <x:v>376122.99999999994</x:v>
      </x:c>
      <x:c r="P63" s="18" t="n">
        <x:f>IF(J63=0,1,M63/J63)</x:f>
        <x:v>1</x:v>
      </x:c>
      <x:c r="Q63" s="11" t="str">
        <x:f>IF(N63&lt;='01 Controls'!$E$23,"PASS","FAIL")</x:f>
        <x:v>PASS</x:v>
      </x:c>
    </x:row>
    <x:row r="64">
      <x:c r="C64" s="11" t="str">
        <x:v>SUSTAIN-DAY-G1</x:v>
      </x:c>
      <x:c r="D64" s="11" t="str">
        <x:v>SUSTAIN-DAY</x:v>
      </x:c>
      <x:c r="E64" s="11" t="str">
        <x:v>G1</x:v>
      </x:c>
      <x:c r="F64" s="11" t="n">
        <x:v>9</x:v>
      </x:c>
      <x:c r="G64" s="11" t="str">
        <x:v>Force sustainment</x:v>
      </x:c>
      <x:c r="H64" s="11" t="str">
        <x:v>D1–7</x:v>
      </x:c>
      <x:c r="I64" s="11" t="str">
        <x:v>tonnes/day</x:v>
      </x:c>
      <x:c r="J64" s="20" t="n">
        <x:f>SUMIFS('03 Demand Build'!$T$6:$T$485,'03 Demand Build'!$E$6:$E$485,E64)</x:f>
        <x:v>24145</x:v>
      </x:c>
      <x:c r="K64" s="20" t="n">
        <x:f>INDEX('02 Pool Register'!$I$6:$I$19,MATCH(D64,'02 Pool Register'!$C$6:$C$19,0))</x:f>
        <x:v>501227.99999999994</x:v>
      </x:c>
      <x:c r="L64" s="20" t="n">
        <x:f>IF(D64=D63,O63,K64)</x:f>
        <x:v>376122.99999999994</x:v>
      </x:c>
      <x:c r="M64" s="20" t="n">
        <x:f>MIN(J64,L64)</x:f>
        <x:v>24145</x:v>
      </x:c>
      <x:c r="N64" s="20" t="n">
        <x:f>J64-M64</x:f>
        <x:v>0</x:v>
      </x:c>
      <x:c r="O64" s="20" t="n">
        <x:f>L64-M64</x:f>
        <x:v>351977.99999999994</x:v>
      </x:c>
      <x:c r="P64" s="18" t="n">
        <x:f>IF(J64=0,1,M64/J64)</x:f>
        <x:v>1</x:v>
      </x:c>
      <x:c r="Q64" s="11" t="str">
        <x:f>IF(N64&lt;='01 Controls'!$E$23,"PASS","FAIL")</x:f>
        <x:v>PASS</x:v>
      </x:c>
    </x:row>
    <x:row r="65">
      <x:c r="C65" s="11" t="str">
        <x:v>SUSTAIN-DAY-G2</x:v>
      </x:c>
      <x:c r="D65" s="11" t="str">
        <x:v>SUSTAIN-DAY</x:v>
      </x:c>
      <x:c r="E65" s="11" t="str">
        <x:v>G2</x:v>
      </x:c>
      <x:c r="F65" s="11" t="n">
        <x:v>10</x:v>
      </x:c>
      <x:c r="G65" s="11" t="str">
        <x:v>Force sustainment</x:v>
      </x:c>
      <x:c r="H65" s="11" t="str">
        <x:v>D1–7</x:v>
      </x:c>
      <x:c r="I65" s="11" t="str">
        <x:v>tonnes/day</x:v>
      </x:c>
      <x:c r="J65" s="20" t="n">
        <x:f>SUMIFS('03 Demand Build'!$T$6:$T$485,'03 Demand Build'!$E$6:$E$485,E65)</x:f>
        <x:v>24645</x:v>
      </x:c>
      <x:c r="K65" s="20" t="n">
        <x:f>INDEX('02 Pool Register'!$I$6:$I$19,MATCH(D65,'02 Pool Register'!$C$6:$C$19,0))</x:f>
        <x:v>501227.99999999994</x:v>
      </x:c>
      <x:c r="L65" s="20" t="n">
        <x:f>IF(D65=D64,O64,K65)</x:f>
        <x:v>351977.99999999994</x:v>
      </x:c>
      <x:c r="M65" s="20" t="n">
        <x:f>MIN(J65,L65)</x:f>
        <x:v>24645</x:v>
      </x:c>
      <x:c r="N65" s="20" t="n">
        <x:f>J65-M65</x:f>
        <x:v>0</x:v>
      </x:c>
      <x:c r="O65" s="20" t="n">
        <x:f>L65-M65</x:f>
        <x:v>327332.99999999994</x:v>
      </x:c>
      <x:c r="P65" s="18" t="n">
        <x:f>IF(J65=0,1,M65/J65)</x:f>
        <x:v>1</x:v>
      </x:c>
      <x:c r="Q65" s="11" t="str">
        <x:f>IF(N65&lt;='01 Controls'!$E$23,"PASS","FAIL")</x:f>
        <x:v>PASS</x:v>
      </x:c>
    </x:row>
    <x:row r="66">
      <x:c r="C66" s="11" t="str">
        <x:v>HCG-DISTRICT-D7-C1</x:v>
      </x:c>
      <x:c r="D66" s="11" t="str">
        <x:v>HCG-DISTRICT-D7</x:v>
      </x:c>
      <x:c r="E66" s="11" t="str">
        <x:v>C1</x:v>
      </x:c>
      <x:c r="F66" s="11" t="n">
        <x:v>1</x:v>
      </x:c>
      <x:c r="G66" s="11" t="str">
        <x:v>Prepared district service</x:v>
      </x:c>
      <x:c r="H66" s="11" t="str">
        <x:v>H0–D7</x:v>
      </x:c>
      <x:c r="I66" s="11" t="str">
        <x:v>packages</x:v>
      </x:c>
      <x:c r="J66" s="20" t="n">
        <x:f>SUMIFS('03 Demand Build'!$AC$6:$AC$485,'03 Demand Build'!$E$6:$E$485,E66)</x:f>
        <x:v>204</x:v>
      </x:c>
      <x:c r="K66" s="20" t="n">
        <x:f>INDEX('02 Pool Register'!$I$6:$I$19,MATCH(D66,'02 Pool Register'!$C$6:$C$19,0))</x:f>
        <x:v>2815.5</x:v>
      </x:c>
      <x:c r="L66" s="20" t="n">
        <x:f>K66</x:f>
        <x:v>2815.5</x:v>
      </x:c>
      <x:c r="M66" s="20" t="n">
        <x:f>MIN(J66,L66)</x:f>
        <x:v>204</x:v>
      </x:c>
      <x:c r="N66" s="20" t="n">
        <x:f>J66-M66</x:f>
        <x:v>0</x:v>
      </x:c>
      <x:c r="O66" s="20" t="n">
        <x:f>L66-M66</x:f>
        <x:v>2611.5</x:v>
      </x:c>
      <x:c r="P66" s="18" t="n">
        <x:f>IF(J66=0,1,M66/J66)</x:f>
        <x:v>1</x:v>
      </x:c>
      <x:c r="Q66" s="11" t="str">
        <x:f>IF(N66&lt;='01 Controls'!$E$23,"PASS","FAIL")</x:f>
        <x:v>PASS</x:v>
      </x:c>
    </x:row>
    <x:row r="67">
      <x:c r="C67" s="11" t="str">
        <x:v>HCG-DISTRICT-D7-C2</x:v>
      </x:c>
      <x:c r="D67" s="11" t="str">
        <x:v>HCG-DISTRICT-D7</x:v>
      </x:c>
      <x:c r="E67" s="11" t="str">
        <x:v>C2</x:v>
      </x:c>
      <x:c r="F67" s="11" t="n">
        <x:v>2</x:v>
      </x:c>
      <x:c r="G67" s="11" t="str">
        <x:v>Prepared district service</x:v>
      </x:c>
      <x:c r="H67" s="11" t="str">
        <x:v>H0–D7</x:v>
      </x:c>
      <x:c r="I67" s="11" t="str">
        <x:v>packages</x:v>
      </x:c>
      <x:c r="J67" s="20" t="n">
        <x:f>SUMIFS('03 Demand Build'!$AC$6:$AC$485,'03 Demand Build'!$E$6:$E$485,E67)</x:f>
        <x:v>272</x:v>
      </x:c>
      <x:c r="K67" s="20" t="n">
        <x:f>INDEX('02 Pool Register'!$I$6:$I$19,MATCH(D67,'02 Pool Register'!$C$6:$C$19,0))</x:f>
        <x:v>2815.5</x:v>
      </x:c>
      <x:c r="L67" s="20" t="n">
        <x:f>IF(D67=D66,O66,K67)</x:f>
        <x:v>2611.5</x:v>
      </x:c>
      <x:c r="M67" s="20" t="n">
        <x:f>MIN(J67,L67)</x:f>
        <x:v>272</x:v>
      </x:c>
      <x:c r="N67" s="20" t="n">
        <x:f>J67-M67</x:f>
        <x:v>0</x:v>
      </x:c>
      <x:c r="O67" s="20" t="n">
        <x:f>L67-M67</x:f>
        <x:v>2339.5</x:v>
      </x:c>
      <x:c r="P67" s="18" t="n">
        <x:f>IF(J67=0,1,M67/J67)</x:f>
        <x:v>1</x:v>
      </x:c>
      <x:c r="Q67" s="11" t="str">
        <x:f>IF(N67&lt;='01 Controls'!$E$23,"PASS","FAIL")</x:f>
        <x:v>PASS</x:v>
      </x:c>
    </x:row>
    <x:row r="68">
      <x:c r="C68" s="11" t="str">
        <x:v>HCG-DISTRICT-D7-C3</x:v>
      </x:c>
      <x:c r="D68" s="11" t="str">
        <x:v>HCG-DISTRICT-D7</x:v>
      </x:c>
      <x:c r="E68" s="11" t="str">
        <x:v>C3</x:v>
      </x:c>
      <x:c r="F68" s="11" t="n">
        <x:v>3</x:v>
      </x:c>
      <x:c r="G68" s="11" t="str">
        <x:v>Prepared district service</x:v>
      </x:c>
      <x:c r="H68" s="11" t="str">
        <x:v>H0–D7</x:v>
      </x:c>
      <x:c r="I68" s="11" t="str">
        <x:v>packages</x:v>
      </x:c>
      <x:c r="J68" s="20" t="n">
        <x:f>SUMIFS('03 Demand Build'!$AC$6:$AC$485,'03 Demand Build'!$E$6:$E$485,E68)</x:f>
        <x:v>340</x:v>
      </x:c>
      <x:c r="K68" s="20" t="n">
        <x:f>INDEX('02 Pool Register'!$I$6:$I$19,MATCH(D68,'02 Pool Register'!$C$6:$C$19,0))</x:f>
        <x:v>2815.5</x:v>
      </x:c>
      <x:c r="L68" s="20" t="n">
        <x:f>IF(D68=D67,O67,K68)</x:f>
        <x:v>2339.5</x:v>
      </x:c>
      <x:c r="M68" s="20" t="n">
        <x:f>MIN(J68,L68)</x:f>
        <x:v>340</x:v>
      </x:c>
      <x:c r="N68" s="20" t="n">
        <x:f>J68-M68</x:f>
        <x:v>0</x:v>
      </x:c>
      <x:c r="O68" s="20" t="n">
        <x:f>L68-M68</x:f>
        <x:v>1999.5</x:v>
      </x:c>
      <x:c r="P68" s="18" t="n">
        <x:f>IF(J68=0,1,M68/J68)</x:f>
        <x:v>1</x:v>
      </x:c>
      <x:c r="Q68" s="11" t="str">
        <x:f>IF(N68&lt;='01 Controls'!$E$23,"PASS","FAIL")</x:f>
        <x:v>PASS</x:v>
      </x:c>
    </x:row>
    <x:row r="69">
      <x:c r="C69" s="11" t="str">
        <x:v>HCG-DISTRICT-D7-M1</x:v>
      </x:c>
      <x:c r="D69" s="11" t="str">
        <x:v>HCG-DISTRICT-D7</x:v>
      </x:c>
      <x:c r="E69" s="11" t="str">
        <x:v>M1</x:v>
      </x:c>
      <x:c r="F69" s="11" t="n">
        <x:v>4</x:v>
      </x:c>
      <x:c r="G69" s="11" t="str">
        <x:v>Prepared district service</x:v>
      </x:c>
      <x:c r="H69" s="11" t="str">
        <x:v>H0–D7</x:v>
      </x:c>
      <x:c r="I69" s="11" t="str">
        <x:v>packages</x:v>
      </x:c>
      <x:c r="J69" s="20" t="n">
        <x:f>SUMIFS('03 Demand Build'!$AC$6:$AC$485,'03 Demand Build'!$E$6:$E$485,E69)</x:f>
        <x:v>102</x:v>
      </x:c>
      <x:c r="K69" s="20" t="n">
        <x:f>INDEX('02 Pool Register'!$I$6:$I$19,MATCH(D69,'02 Pool Register'!$C$6:$C$19,0))</x:f>
        <x:v>2815.5</x:v>
      </x:c>
      <x:c r="L69" s="20" t="n">
        <x:f>IF(D69=D68,O68,K69)</x:f>
        <x:v>1999.5</x:v>
      </x:c>
      <x:c r="M69" s="20" t="n">
        <x:f>MIN(J69,L69)</x:f>
        <x:v>102</x:v>
      </x:c>
      <x:c r="N69" s="20" t="n">
        <x:f>J69-M69</x:f>
        <x:v>0</x:v>
      </x:c>
      <x:c r="O69" s="20" t="n">
        <x:f>L69-M69</x:f>
        <x:v>1897.5</x:v>
      </x:c>
      <x:c r="P69" s="18" t="n">
        <x:f>IF(J69=0,1,M69/J69)</x:f>
        <x:v>1</x:v>
      </x:c>
      <x:c r="Q69" s="11" t="str">
        <x:f>IF(N69&lt;='01 Controls'!$E$23,"PASS","FAIL")</x:f>
        <x:v>PASS</x:v>
      </x:c>
    </x:row>
    <x:row r="70">
      <x:c r="C70" s="11" t="str">
        <x:v>HCG-DISTRICT-D7-M2</x:v>
      </x:c>
      <x:c r="D70" s="11" t="str">
        <x:v>HCG-DISTRICT-D7</x:v>
      </x:c>
      <x:c r="E70" s="11" t="str">
        <x:v>M2</x:v>
      </x:c>
      <x:c r="F70" s="11" t="n">
        <x:v>5</x:v>
      </x:c>
      <x:c r="G70" s="11" t="str">
        <x:v>Prepared district service</x:v>
      </x:c>
      <x:c r="H70" s="11" t="str">
        <x:v>H0–D7</x:v>
      </x:c>
      <x:c r="I70" s="11" t="str">
        <x:v>packages</x:v>
      </x:c>
      <x:c r="J70" s="20" t="n">
        <x:f>SUMIFS('03 Demand Build'!$AC$6:$AC$485,'03 Demand Build'!$E$6:$E$485,E70)</x:f>
        <x:v>204</x:v>
      </x:c>
      <x:c r="K70" s="20" t="n">
        <x:f>INDEX('02 Pool Register'!$I$6:$I$19,MATCH(D70,'02 Pool Register'!$C$6:$C$19,0))</x:f>
        <x:v>2815.5</x:v>
      </x:c>
      <x:c r="L70" s="20" t="n">
        <x:f>IF(D70=D69,O69,K70)</x:f>
        <x:v>1897.5</x:v>
      </x:c>
      <x:c r="M70" s="20" t="n">
        <x:f>MIN(J70,L70)</x:f>
        <x:v>204</x:v>
      </x:c>
      <x:c r="N70" s="20" t="n">
        <x:f>J70-M70</x:f>
        <x:v>0</x:v>
      </x:c>
      <x:c r="O70" s="20" t="n">
        <x:f>L70-M70</x:f>
        <x:v>1693.5</x:v>
      </x:c>
      <x:c r="P70" s="18" t="n">
        <x:f>IF(J70=0,1,M70/J70)</x:f>
        <x:v>1</x:v>
      </x:c>
      <x:c r="Q70" s="11" t="str">
        <x:f>IF(N70&lt;='01 Controls'!$E$23,"PASS","FAIL")</x:f>
        <x:v>PASS</x:v>
      </x:c>
    </x:row>
    <x:row r="71">
      <x:c r="C71" s="11" t="str">
        <x:v>HCG-DISTRICT-D7-M3</x:v>
      </x:c>
      <x:c r="D71" s="11" t="str">
        <x:v>HCG-DISTRICT-D7</x:v>
      </x:c>
      <x:c r="E71" s="11" t="str">
        <x:v>M3</x:v>
      </x:c>
      <x:c r="F71" s="11" t="n">
        <x:v>6</x:v>
      </x:c>
      <x:c r="G71" s="11" t="str">
        <x:v>Prepared district service</x:v>
      </x:c>
      <x:c r="H71" s="11" t="str">
        <x:v>H0–D7</x:v>
      </x:c>
      <x:c r="I71" s="11" t="str">
        <x:v>packages</x:v>
      </x:c>
      <x:c r="J71" s="20" t="n">
        <x:f>SUMIFS('03 Demand Build'!$AC$6:$AC$485,'03 Demand Build'!$E$6:$E$485,E71)</x:f>
        <x:v>170</x:v>
      </x:c>
      <x:c r="K71" s="20" t="n">
        <x:f>INDEX('02 Pool Register'!$I$6:$I$19,MATCH(D71,'02 Pool Register'!$C$6:$C$19,0))</x:f>
        <x:v>2815.5</x:v>
      </x:c>
      <x:c r="L71" s="20" t="n">
        <x:f>IF(D71=D70,O70,K71)</x:f>
        <x:v>1693.5</x:v>
      </x:c>
      <x:c r="M71" s="20" t="n">
        <x:f>MIN(J71,L71)</x:f>
        <x:v>170</x:v>
      </x:c>
      <x:c r="N71" s="20" t="n">
        <x:f>J71-M71</x:f>
        <x:v>0</x:v>
      </x:c>
      <x:c r="O71" s="20" t="n">
        <x:f>L71-M71</x:f>
        <x:v>1523.5</x:v>
      </x:c>
      <x:c r="P71" s="18" t="n">
        <x:f>IF(J71=0,1,M71/J71)</x:f>
        <x:v>1</x:v>
      </x:c>
      <x:c r="Q71" s="11" t="str">
        <x:f>IF(N71&lt;='01 Controls'!$E$23,"PASS","FAIL")</x:f>
        <x:v>PASS</x:v>
      </x:c>
    </x:row>
    <x:row r="72">
      <x:c r="C72" s="11" t="str">
        <x:v>HCG-DISTRICT-D7-M4</x:v>
      </x:c>
      <x:c r="D72" s="11" t="str">
        <x:v>HCG-DISTRICT-D7</x:v>
      </x:c>
      <x:c r="E72" s="11" t="str">
        <x:v>M4</x:v>
      </x:c>
      <x:c r="F72" s="11" t="n">
        <x:v>7</x:v>
      </x:c>
      <x:c r="G72" s="11" t="str">
        <x:v>Prepared district service</x:v>
      </x:c>
      <x:c r="H72" s="11" t="str">
        <x:v>H0–D7</x:v>
      </x:c>
      <x:c r="I72" s="11" t="str">
        <x:v>packages</x:v>
      </x:c>
      <x:c r="J72" s="20" t="n">
        <x:f>SUMIFS('03 Demand Build'!$AC$6:$AC$485,'03 Demand Build'!$E$6:$E$485,E72)</x:f>
        <x:v>204</x:v>
      </x:c>
      <x:c r="K72" s="20" t="n">
        <x:f>INDEX('02 Pool Register'!$I$6:$I$19,MATCH(D72,'02 Pool Register'!$C$6:$C$19,0))</x:f>
        <x:v>2815.5</x:v>
      </x:c>
      <x:c r="L72" s="20" t="n">
        <x:f>IF(D72=D71,O71,K72)</x:f>
        <x:v>1523.5</x:v>
      </x:c>
      <x:c r="M72" s="20" t="n">
        <x:f>MIN(J72,L72)</x:f>
        <x:v>204</x:v>
      </x:c>
      <x:c r="N72" s="20" t="n">
        <x:f>J72-M72</x:f>
        <x:v>0</x:v>
      </x:c>
      <x:c r="O72" s="20" t="n">
        <x:f>L72-M72</x:f>
        <x:v>1319.5</x:v>
      </x:c>
      <x:c r="P72" s="18" t="n">
        <x:f>IF(J72=0,1,M72/J72)</x:f>
        <x:v>1</x:v>
      </x:c>
      <x:c r="Q72" s="11" t="str">
        <x:f>IF(N72&lt;='01 Controls'!$E$23,"PASS","FAIL")</x:f>
        <x:v>PASS</x:v>
      </x:c>
    </x:row>
    <x:row r="73">
      <x:c r="C73" s="11" t="str">
        <x:v>HCG-DISTRICT-D7-M5</x:v>
      </x:c>
      <x:c r="D73" s="11" t="str">
        <x:v>HCG-DISTRICT-D7</x:v>
      </x:c>
      <x:c r="E73" s="11" t="str">
        <x:v>M5</x:v>
      </x:c>
      <x:c r="F73" s="11" t="n">
        <x:v>8</x:v>
      </x:c>
      <x:c r="G73" s="11" t="str">
        <x:v>Prepared district service</x:v>
      </x:c>
      <x:c r="H73" s="11" t="str">
        <x:v>H0–D7</x:v>
      </x:c>
      <x:c r="I73" s="11" t="str">
        <x:v>packages</x:v>
      </x:c>
      <x:c r="J73" s="20" t="n">
        <x:f>SUMIFS('03 Demand Build'!$AC$6:$AC$485,'03 Demand Build'!$E$6:$E$485,E73)</x:f>
        <x:v>170</x:v>
      </x:c>
      <x:c r="K73" s="20" t="n">
        <x:f>INDEX('02 Pool Register'!$I$6:$I$19,MATCH(D73,'02 Pool Register'!$C$6:$C$19,0))</x:f>
        <x:v>2815.5</x:v>
      </x:c>
      <x:c r="L73" s="20" t="n">
        <x:f>IF(D73=D72,O72,K73)</x:f>
        <x:v>1319.5</x:v>
      </x:c>
      <x:c r="M73" s="20" t="n">
        <x:f>MIN(J73,L73)</x:f>
        <x:v>170</x:v>
      </x:c>
      <x:c r="N73" s="20" t="n">
        <x:f>J73-M73</x:f>
        <x:v>0</x:v>
      </x:c>
      <x:c r="O73" s="20" t="n">
        <x:f>L73-M73</x:f>
        <x:v>1149.5</x:v>
      </x:c>
      <x:c r="P73" s="18" t="n">
        <x:f>IF(J73=0,1,M73/J73)</x:f>
        <x:v>1</x:v>
      </x:c>
      <x:c r="Q73" s="11" t="str">
        <x:f>IF(N73&lt;='01 Controls'!$E$23,"PASS","FAIL")</x:f>
        <x:v>PASS</x:v>
      </x:c>
    </x:row>
    <x:row r="74">
      <x:c r="C74" s="11" t="str">
        <x:v>HCG-DISTRICT-D7-G1</x:v>
      </x:c>
      <x:c r="D74" s="11" t="str">
        <x:v>HCG-DISTRICT-D7</x:v>
      </x:c>
      <x:c r="E74" s="11" t="str">
        <x:v>G1</x:v>
      </x:c>
      <x:c r="F74" s="11" t="n">
        <x:v>9</x:v>
      </x:c>
      <x:c r="G74" s="11" t="str">
        <x:v>Prepared district service</x:v>
      </x:c>
      <x:c r="H74" s="11" t="str">
        <x:v>H0–D7</x:v>
      </x:c>
      <x:c r="I74" s="11" t="str">
        <x:v>packages</x:v>
      </x:c>
      <x:c r="J74" s="20" t="n">
        <x:f>SUMIFS('03 Demand Build'!$AC$6:$AC$485,'03 Demand Build'!$E$6:$E$485,E74)</x:f>
        <x:v>340</x:v>
      </x:c>
      <x:c r="K74" s="20" t="n">
        <x:f>INDEX('02 Pool Register'!$I$6:$I$19,MATCH(D74,'02 Pool Register'!$C$6:$C$19,0))</x:f>
        <x:v>2815.5</x:v>
      </x:c>
      <x:c r="L74" s="20" t="n">
        <x:f>IF(D74=D73,O73,K74)</x:f>
        <x:v>1149.5</x:v>
      </x:c>
      <x:c r="M74" s="20" t="n">
        <x:f>MIN(J74,L74)</x:f>
        <x:v>340</x:v>
      </x:c>
      <x:c r="N74" s="20" t="n">
        <x:f>J74-M74</x:f>
        <x:v>0</x:v>
      </x:c>
      <x:c r="O74" s="20" t="n">
        <x:f>L74-M74</x:f>
        <x:v>809.5</x:v>
      </x:c>
      <x:c r="P74" s="18" t="n">
        <x:f>IF(J74=0,1,M74/J74)</x:f>
        <x:v>1</x:v>
      </x:c>
      <x:c r="Q74" s="11" t="str">
        <x:f>IF(N74&lt;='01 Controls'!$E$23,"PASS","FAIL")</x:f>
        <x:v>PASS</x:v>
      </x:c>
    </x:row>
    <x:row r="75">
      <x:c r="C75" s="11" t="str">
        <x:v>HCG-DISTRICT-D7-G2</x:v>
      </x:c>
      <x:c r="D75" s="11" t="str">
        <x:v>HCG-DISTRICT-D7</x:v>
      </x:c>
      <x:c r="E75" s="11" t="str">
        <x:v>G2</x:v>
      </x:c>
      <x:c r="F75" s="11" t="n">
        <x:v>10</x:v>
      </x:c>
      <x:c r="G75" s="11" t="str">
        <x:v>Prepared district service</x:v>
      </x:c>
      <x:c r="H75" s="11" t="str">
        <x:v>H0–D7</x:v>
      </x:c>
      <x:c r="I75" s="11" t="str">
        <x:v>packages</x:v>
      </x:c>
      <x:c r="J75" s="20" t="n">
        <x:f>SUMIFS('03 Demand Build'!$AC$6:$AC$485,'03 Demand Build'!$E$6:$E$485,E75)</x:f>
        <x:v>340</x:v>
      </x:c>
      <x:c r="K75" s="20" t="n">
        <x:f>INDEX('02 Pool Register'!$I$6:$I$19,MATCH(D75,'02 Pool Register'!$C$6:$C$19,0))</x:f>
        <x:v>2815.5</x:v>
      </x:c>
      <x:c r="L75" s="20" t="n">
        <x:f>IF(D75=D74,O74,K75)</x:f>
        <x:v>809.5</x:v>
      </x:c>
      <x:c r="M75" s="20" t="n">
        <x:f>MIN(J75,L75)</x:f>
        <x:v>340</x:v>
      </x:c>
      <x:c r="N75" s="20" t="n">
        <x:f>J75-M75</x:f>
        <x:v>0</x:v>
      </x:c>
      <x:c r="O75" s="20" t="n">
        <x:f>L75-M75</x:f>
        <x:v>469.5</x:v>
      </x:c>
      <x:c r="P75" s="18" t="n">
        <x:f>IF(J75=0,1,M75/J75)</x:f>
        <x:v>1</x:v>
      </x:c>
      <x:c r="Q75" s="11" t="str">
        <x:f>IF(N75&lt;='01 Controls'!$E$23,"PASS","FAIL")</x:f>
        <x:v>PASS</x:v>
      </x:c>
    </x:row>
    <x:row r="76">
      <x:c r="C76" s="11" t="str">
        <x:v>HCG-ROUTE-H48-C1</x:v>
      </x:c>
      <x:c r="D76" s="11" t="str">
        <x:v>HCG-ROUTE-H48</x:v>
      </x:c>
      <x:c r="E76" s="11" t="str">
        <x:v>C1</x:v>
      </x:c>
      <x:c r="F76" s="11" t="n">
        <x:v>1</x:v>
      </x:c>
      <x:c r="G76" s="11" t="str">
        <x:v>Local route release</x:v>
      </x:c>
      <x:c r="H76" s="11" t="str">
        <x:v>H0–48</x:v>
      </x:c>
      <x:c r="I76" s="11" t="str">
        <x:v>detachments</x:v>
      </x:c>
      <x:c r="J76" s="20" t="n">
        <x:f>SUMIFS('03 Demand Build'!$AD$6:$AD$485,'03 Demand Build'!$E$6:$E$485,E76)</x:f>
        <x:v>42</x:v>
      </x:c>
      <x:c r="K76" s="20" t="n">
        <x:f>INDEX('02 Pool Register'!$I$6:$I$19,MATCH(D76,'02 Pool Register'!$C$6:$C$19,0))</x:f>
        <x:v>579.5999999999999</x:v>
      </x:c>
      <x:c r="L76" s="20" t="n">
        <x:f>K76</x:f>
        <x:v>579.5999999999999</x:v>
      </x:c>
      <x:c r="M76" s="20" t="n">
        <x:f>MIN(J76,L76)</x:f>
        <x:v>42</x:v>
      </x:c>
      <x:c r="N76" s="20" t="n">
        <x:f>J76-M76</x:f>
        <x:v>0</x:v>
      </x:c>
      <x:c r="O76" s="20" t="n">
        <x:f>L76-M76</x:f>
        <x:v>537.5999999999999</x:v>
      </x:c>
      <x:c r="P76" s="18" t="n">
        <x:f>IF(J76=0,1,M76/J76)</x:f>
        <x:v>1</x:v>
      </x:c>
      <x:c r="Q76" s="11" t="str">
        <x:f>IF(N76&lt;='01 Controls'!$E$23,"PASS","FAIL")</x:f>
        <x:v>PASS</x:v>
      </x:c>
    </x:row>
    <x:row r="77">
      <x:c r="C77" s="11" t="str">
        <x:v>HCG-ROUTE-H48-C2</x:v>
      </x:c>
      <x:c r="D77" s="11" t="str">
        <x:v>HCG-ROUTE-H48</x:v>
      </x:c>
      <x:c r="E77" s="11" t="str">
        <x:v>C2</x:v>
      </x:c>
      <x:c r="F77" s="11" t="n">
        <x:v>2</x:v>
      </x:c>
      <x:c r="G77" s="11" t="str">
        <x:v>Local route release</x:v>
      </x:c>
      <x:c r="H77" s="11" t="str">
        <x:v>H0–48</x:v>
      </x:c>
      <x:c r="I77" s="11" t="str">
        <x:v>detachments</x:v>
      </x:c>
      <x:c r="J77" s="20" t="n">
        <x:f>SUMIFS('03 Demand Build'!$AD$6:$AD$485,'03 Demand Build'!$E$6:$E$485,E77)</x:f>
        <x:v>56</x:v>
      </x:c>
      <x:c r="K77" s="20" t="n">
        <x:f>INDEX('02 Pool Register'!$I$6:$I$19,MATCH(D77,'02 Pool Register'!$C$6:$C$19,0))</x:f>
        <x:v>579.5999999999999</x:v>
      </x:c>
      <x:c r="L77" s="20" t="n">
        <x:f>IF(D77=D76,O76,K77)</x:f>
        <x:v>537.5999999999999</x:v>
      </x:c>
      <x:c r="M77" s="20" t="n">
        <x:f>MIN(J77,L77)</x:f>
        <x:v>56</x:v>
      </x:c>
      <x:c r="N77" s="20" t="n">
        <x:f>J77-M77</x:f>
        <x:v>0</x:v>
      </x:c>
      <x:c r="O77" s="20" t="n">
        <x:f>L77-M77</x:f>
        <x:v>481.5999999999999</x:v>
      </x:c>
      <x:c r="P77" s="18" t="n">
        <x:f>IF(J77=0,1,M77/J77)</x:f>
        <x:v>1</x:v>
      </x:c>
      <x:c r="Q77" s="11" t="str">
        <x:f>IF(N77&lt;='01 Controls'!$E$23,"PASS","FAIL")</x:f>
        <x:v>PASS</x:v>
      </x:c>
    </x:row>
    <x:row r="78">
      <x:c r="C78" s="11" t="str">
        <x:v>HCG-ROUTE-H48-C3</x:v>
      </x:c>
      <x:c r="D78" s="11" t="str">
        <x:v>HCG-ROUTE-H48</x:v>
      </x:c>
      <x:c r="E78" s="11" t="str">
        <x:v>C3</x:v>
      </x:c>
      <x:c r="F78" s="11" t="n">
        <x:v>3</x:v>
      </x:c>
      <x:c r="G78" s="11" t="str">
        <x:v>Local route release</x:v>
      </x:c>
      <x:c r="H78" s="11" t="str">
        <x:v>H0–48</x:v>
      </x:c>
      <x:c r="I78" s="11" t="str">
        <x:v>detachments</x:v>
      </x:c>
      <x:c r="J78" s="20" t="n">
        <x:f>SUMIFS('03 Demand Build'!$AD$6:$AD$485,'03 Demand Build'!$E$6:$E$485,E78)</x:f>
        <x:v>70</x:v>
      </x:c>
      <x:c r="K78" s="20" t="n">
        <x:f>INDEX('02 Pool Register'!$I$6:$I$19,MATCH(D78,'02 Pool Register'!$C$6:$C$19,0))</x:f>
        <x:v>579.5999999999999</x:v>
      </x:c>
      <x:c r="L78" s="20" t="n">
        <x:f>IF(D78=D77,O77,K78)</x:f>
        <x:v>481.5999999999999</x:v>
      </x:c>
      <x:c r="M78" s="20" t="n">
        <x:f>MIN(J78,L78)</x:f>
        <x:v>70</x:v>
      </x:c>
      <x:c r="N78" s="20" t="n">
        <x:f>J78-M78</x:f>
        <x:v>0</x:v>
      </x:c>
      <x:c r="O78" s="20" t="n">
        <x:f>L78-M78</x:f>
        <x:v>411.5999999999999</x:v>
      </x:c>
      <x:c r="P78" s="18" t="n">
        <x:f>IF(J78=0,1,M78/J78)</x:f>
        <x:v>1</x:v>
      </x:c>
      <x:c r="Q78" s="11" t="str">
        <x:f>IF(N78&lt;='01 Controls'!$E$23,"PASS","FAIL")</x:f>
        <x:v>PASS</x:v>
      </x:c>
    </x:row>
    <x:row r="79">
      <x:c r="C79" s="11" t="str">
        <x:v>HCG-ROUTE-H48-M1</x:v>
      </x:c>
      <x:c r="D79" s="11" t="str">
        <x:v>HCG-ROUTE-H48</x:v>
      </x:c>
      <x:c r="E79" s="11" t="str">
        <x:v>M1</x:v>
      </x:c>
      <x:c r="F79" s="11" t="n">
        <x:v>4</x:v>
      </x:c>
      <x:c r="G79" s="11" t="str">
        <x:v>Local route release</x:v>
      </x:c>
      <x:c r="H79" s="11" t="str">
        <x:v>H0–48</x:v>
      </x:c>
      <x:c r="I79" s="11" t="str">
        <x:v>detachments</x:v>
      </x:c>
      <x:c r="J79" s="20" t="n">
        <x:f>SUMIFS('03 Demand Build'!$AD$6:$AD$485,'03 Demand Build'!$E$6:$E$485,E79)</x:f>
        <x:v>21</x:v>
      </x:c>
      <x:c r="K79" s="20" t="n">
        <x:f>INDEX('02 Pool Register'!$I$6:$I$19,MATCH(D79,'02 Pool Register'!$C$6:$C$19,0))</x:f>
        <x:v>579.5999999999999</x:v>
      </x:c>
      <x:c r="L79" s="20" t="n">
        <x:f>IF(D79=D78,O78,K79)</x:f>
        <x:v>411.5999999999999</x:v>
      </x:c>
      <x:c r="M79" s="20" t="n">
        <x:f>MIN(J79,L79)</x:f>
        <x:v>21</x:v>
      </x:c>
      <x:c r="N79" s="20" t="n">
        <x:f>J79-M79</x:f>
        <x:v>0</x:v>
      </x:c>
      <x:c r="O79" s="20" t="n">
        <x:f>L79-M79</x:f>
        <x:v>390.5999999999999</x:v>
      </x:c>
      <x:c r="P79" s="18" t="n">
        <x:f>IF(J79=0,1,M79/J79)</x:f>
        <x:v>1</x:v>
      </x:c>
      <x:c r="Q79" s="11" t="str">
        <x:f>IF(N79&lt;='01 Controls'!$E$23,"PASS","FAIL")</x:f>
        <x:v>PASS</x:v>
      </x:c>
    </x:row>
    <x:row r="80">
      <x:c r="C80" s="11" t="str">
        <x:v>HCG-ROUTE-H48-M2</x:v>
      </x:c>
      <x:c r="D80" s="11" t="str">
        <x:v>HCG-ROUTE-H48</x:v>
      </x:c>
      <x:c r="E80" s="11" t="str">
        <x:v>M2</x:v>
      </x:c>
      <x:c r="F80" s="11" t="n">
        <x:v>5</x:v>
      </x:c>
      <x:c r="G80" s="11" t="str">
        <x:v>Local route release</x:v>
      </x:c>
      <x:c r="H80" s="11" t="str">
        <x:v>H0–48</x:v>
      </x:c>
      <x:c r="I80" s="11" t="str">
        <x:v>detachments</x:v>
      </x:c>
      <x:c r="J80" s="20" t="n">
        <x:f>SUMIFS('03 Demand Build'!$AD$6:$AD$485,'03 Demand Build'!$E$6:$E$485,E80)</x:f>
        <x:v>42</x:v>
      </x:c>
      <x:c r="K80" s="20" t="n">
        <x:f>INDEX('02 Pool Register'!$I$6:$I$19,MATCH(D80,'02 Pool Register'!$C$6:$C$19,0))</x:f>
        <x:v>579.5999999999999</x:v>
      </x:c>
      <x:c r="L80" s="20" t="n">
        <x:f>IF(D80=D79,O79,K80)</x:f>
        <x:v>390.5999999999999</x:v>
      </x:c>
      <x:c r="M80" s="20" t="n">
        <x:f>MIN(J80,L80)</x:f>
        <x:v>42</x:v>
      </x:c>
      <x:c r="N80" s="20" t="n">
        <x:f>J80-M80</x:f>
        <x:v>0</x:v>
      </x:c>
      <x:c r="O80" s="20" t="n">
        <x:f>L80-M80</x:f>
        <x:v>348.5999999999999</x:v>
      </x:c>
      <x:c r="P80" s="18" t="n">
        <x:f>IF(J80=0,1,M80/J80)</x:f>
        <x:v>1</x:v>
      </x:c>
      <x:c r="Q80" s="11" t="str">
        <x:f>IF(N80&lt;='01 Controls'!$E$23,"PASS","FAIL")</x:f>
        <x:v>PASS</x:v>
      </x:c>
    </x:row>
    <x:row r="81">
      <x:c r="C81" s="11" t="str">
        <x:v>HCG-ROUTE-H48-M3</x:v>
      </x:c>
      <x:c r="D81" s="11" t="str">
        <x:v>HCG-ROUTE-H48</x:v>
      </x:c>
      <x:c r="E81" s="11" t="str">
        <x:v>M3</x:v>
      </x:c>
      <x:c r="F81" s="11" t="n">
        <x:v>6</x:v>
      </x:c>
      <x:c r="G81" s="11" t="str">
        <x:v>Local route release</x:v>
      </x:c>
      <x:c r="H81" s="11" t="str">
        <x:v>H0–48</x:v>
      </x:c>
      <x:c r="I81" s="11" t="str">
        <x:v>detachments</x:v>
      </x:c>
      <x:c r="J81" s="20" t="n">
        <x:f>SUMIFS('03 Demand Build'!$AD$6:$AD$485,'03 Demand Build'!$E$6:$E$485,E81)</x:f>
        <x:v>35</x:v>
      </x:c>
      <x:c r="K81" s="20" t="n">
        <x:f>INDEX('02 Pool Register'!$I$6:$I$19,MATCH(D81,'02 Pool Register'!$C$6:$C$19,0))</x:f>
        <x:v>579.5999999999999</x:v>
      </x:c>
      <x:c r="L81" s="20" t="n">
        <x:f>IF(D81=D80,O80,K81)</x:f>
        <x:v>348.5999999999999</x:v>
      </x:c>
      <x:c r="M81" s="20" t="n">
        <x:f>MIN(J81,L81)</x:f>
        <x:v>35</x:v>
      </x:c>
      <x:c r="N81" s="20" t="n">
        <x:f>J81-M81</x:f>
        <x:v>0</x:v>
      </x:c>
      <x:c r="O81" s="20" t="n">
        <x:f>L81-M81</x:f>
        <x:v>313.5999999999999</x:v>
      </x:c>
      <x:c r="P81" s="18" t="n">
        <x:f>IF(J81=0,1,M81/J81)</x:f>
        <x:v>1</x:v>
      </x:c>
      <x:c r="Q81" s="11" t="str">
        <x:f>IF(N81&lt;='01 Controls'!$E$23,"PASS","FAIL")</x:f>
        <x:v>PASS</x:v>
      </x:c>
    </x:row>
    <x:row r="82">
      <x:c r="C82" s="11" t="str">
        <x:v>HCG-ROUTE-H48-M4</x:v>
      </x:c>
      <x:c r="D82" s="11" t="str">
        <x:v>HCG-ROUTE-H48</x:v>
      </x:c>
      <x:c r="E82" s="11" t="str">
        <x:v>M4</x:v>
      </x:c>
      <x:c r="F82" s="11" t="n">
        <x:v>7</x:v>
      </x:c>
      <x:c r="G82" s="11" t="str">
        <x:v>Local route release</x:v>
      </x:c>
      <x:c r="H82" s="11" t="str">
        <x:v>H0–48</x:v>
      </x:c>
      <x:c r="I82" s="11" t="str">
        <x:v>detachments</x:v>
      </x:c>
      <x:c r="J82" s="20" t="n">
        <x:f>SUMIFS('03 Demand Build'!$AD$6:$AD$485,'03 Demand Build'!$E$6:$E$485,E82)</x:f>
        <x:v>42</x:v>
      </x:c>
      <x:c r="K82" s="20" t="n">
        <x:f>INDEX('02 Pool Register'!$I$6:$I$19,MATCH(D82,'02 Pool Register'!$C$6:$C$19,0))</x:f>
        <x:v>579.5999999999999</x:v>
      </x:c>
      <x:c r="L82" s="20" t="n">
        <x:f>IF(D82=D81,O81,K82)</x:f>
        <x:v>313.5999999999999</x:v>
      </x:c>
      <x:c r="M82" s="20" t="n">
        <x:f>MIN(J82,L82)</x:f>
        <x:v>42</x:v>
      </x:c>
      <x:c r="N82" s="20" t="n">
        <x:f>J82-M82</x:f>
        <x:v>0</x:v>
      </x:c>
      <x:c r="O82" s="20" t="n">
        <x:f>L82-M82</x:f>
        <x:v>271.5999999999999</x:v>
      </x:c>
      <x:c r="P82" s="18" t="n">
        <x:f>IF(J82=0,1,M82/J82)</x:f>
        <x:v>1</x:v>
      </x:c>
      <x:c r="Q82" s="11" t="str">
        <x:f>IF(N82&lt;='01 Controls'!$E$23,"PASS","FAIL")</x:f>
        <x:v>PASS</x:v>
      </x:c>
    </x:row>
    <x:row r="83">
      <x:c r="C83" s="11" t="str">
        <x:v>HCG-ROUTE-H48-M5</x:v>
      </x:c>
      <x:c r="D83" s="11" t="str">
        <x:v>HCG-ROUTE-H48</x:v>
      </x:c>
      <x:c r="E83" s="11" t="str">
        <x:v>M5</x:v>
      </x:c>
      <x:c r="F83" s="11" t="n">
        <x:v>8</x:v>
      </x:c>
      <x:c r="G83" s="11" t="str">
        <x:v>Local route release</x:v>
      </x:c>
      <x:c r="H83" s="11" t="str">
        <x:v>H0–48</x:v>
      </x:c>
      <x:c r="I83" s="11" t="str">
        <x:v>detachments</x:v>
      </x:c>
      <x:c r="J83" s="20" t="n">
        <x:f>SUMIFS('03 Demand Build'!$AD$6:$AD$485,'03 Demand Build'!$E$6:$E$485,E83)</x:f>
        <x:v>35</x:v>
      </x:c>
      <x:c r="K83" s="20" t="n">
        <x:f>INDEX('02 Pool Register'!$I$6:$I$19,MATCH(D83,'02 Pool Register'!$C$6:$C$19,0))</x:f>
        <x:v>579.5999999999999</x:v>
      </x:c>
      <x:c r="L83" s="20" t="n">
        <x:f>IF(D83=D82,O82,K83)</x:f>
        <x:v>271.5999999999999</x:v>
      </x:c>
      <x:c r="M83" s="20" t="n">
        <x:f>MIN(J83,L83)</x:f>
        <x:v>35</x:v>
      </x:c>
      <x:c r="N83" s="20" t="n">
        <x:f>J83-M83</x:f>
        <x:v>0</x:v>
      </x:c>
      <x:c r="O83" s="20" t="n">
        <x:f>L83-M83</x:f>
        <x:v>236.5999999999999</x:v>
      </x:c>
      <x:c r="P83" s="18" t="n">
        <x:f>IF(J83=0,1,M83/J83)</x:f>
        <x:v>1</x:v>
      </x:c>
      <x:c r="Q83" s="11" t="str">
        <x:f>IF(N83&lt;='01 Controls'!$E$23,"PASS","FAIL")</x:f>
        <x:v>PASS</x:v>
      </x:c>
    </x:row>
    <x:row r="84">
      <x:c r="C84" s="11" t="str">
        <x:v>HCG-ROUTE-H48-G1</x:v>
      </x:c>
      <x:c r="D84" s="11" t="str">
        <x:v>HCG-ROUTE-H48</x:v>
      </x:c>
      <x:c r="E84" s="11" t="str">
        <x:v>G1</x:v>
      </x:c>
      <x:c r="F84" s="11" t="n">
        <x:v>9</x:v>
      </x:c>
      <x:c r="G84" s="11" t="str">
        <x:v>Local route release</x:v>
      </x:c>
      <x:c r="H84" s="11" t="str">
        <x:v>H0–48</x:v>
      </x:c>
      <x:c r="I84" s="11" t="str">
        <x:v>detachments</x:v>
      </x:c>
      <x:c r="J84" s="20" t="n">
        <x:f>SUMIFS('03 Demand Build'!$AD$6:$AD$485,'03 Demand Build'!$E$6:$E$485,E84)</x:f>
        <x:v>70</x:v>
      </x:c>
      <x:c r="K84" s="20" t="n">
        <x:f>INDEX('02 Pool Register'!$I$6:$I$19,MATCH(D84,'02 Pool Register'!$C$6:$C$19,0))</x:f>
        <x:v>579.5999999999999</x:v>
      </x:c>
      <x:c r="L84" s="20" t="n">
        <x:f>IF(D84=D83,O83,K84)</x:f>
        <x:v>236.5999999999999</x:v>
      </x:c>
      <x:c r="M84" s="20" t="n">
        <x:f>MIN(J84,L84)</x:f>
        <x:v>70</x:v>
      </x:c>
      <x:c r="N84" s="20" t="n">
        <x:f>J84-M84</x:f>
        <x:v>0</x:v>
      </x:c>
      <x:c r="O84" s="20" t="n">
        <x:f>L84-M84</x:f>
        <x:v>166.5999999999999</x:v>
      </x:c>
      <x:c r="P84" s="18" t="n">
        <x:f>IF(J84=0,1,M84/J84)</x:f>
        <x:v>1</x:v>
      </x:c>
      <x:c r="Q84" s="11" t="str">
        <x:f>IF(N84&lt;='01 Controls'!$E$23,"PASS","FAIL")</x:f>
        <x:v>PASS</x:v>
      </x:c>
    </x:row>
    <x:row r="85">
      <x:c r="C85" s="11" t="str">
        <x:v>HCG-ROUTE-H48-G2</x:v>
      </x:c>
      <x:c r="D85" s="11" t="str">
        <x:v>HCG-ROUTE-H48</x:v>
      </x:c>
      <x:c r="E85" s="11" t="str">
        <x:v>G2</x:v>
      </x:c>
      <x:c r="F85" s="11" t="n">
        <x:v>10</x:v>
      </x:c>
      <x:c r="G85" s="11" t="str">
        <x:v>Local route release</x:v>
      </x:c>
      <x:c r="H85" s="11" t="str">
        <x:v>H0–48</x:v>
      </x:c>
      <x:c r="I85" s="11" t="str">
        <x:v>detachments</x:v>
      </x:c>
      <x:c r="J85" s="20" t="n">
        <x:f>SUMIFS('03 Demand Build'!$AD$6:$AD$485,'03 Demand Build'!$E$6:$E$485,E85)</x:f>
        <x:v>70</x:v>
      </x:c>
      <x:c r="K85" s="20" t="n">
        <x:f>INDEX('02 Pool Register'!$I$6:$I$19,MATCH(D85,'02 Pool Register'!$C$6:$C$19,0))</x:f>
        <x:v>579.5999999999999</x:v>
      </x:c>
      <x:c r="L85" s="20" t="n">
        <x:f>IF(D85=D84,O84,K85)</x:f>
        <x:v>166.5999999999999</x:v>
      </x:c>
      <x:c r="M85" s="20" t="n">
        <x:f>MIN(J85,L85)</x:f>
        <x:v>70</x:v>
      </x:c>
      <x:c r="N85" s="20" t="n">
        <x:f>J85-M85</x:f>
        <x:v>0</x:v>
      </x:c>
      <x:c r="O85" s="20" t="n">
        <x:f>L85-M85</x:f>
        <x:v>96.59999999999991</x:v>
      </x:c>
      <x:c r="P85" s="18" t="n">
        <x:f>IF(J85=0,1,M85/J85)</x:f>
        <x:v>1</x:v>
      </x:c>
      <x:c r="Q85" s="11" t="str">
        <x:f>IF(N85&lt;='01 Controls'!$E$23,"PASS","FAIL")</x:f>
        <x:v>PASS</x:v>
      </x:c>
    </x:row>
    <x:row r="86">
      <x:c r="C86" s="11" t="str">
        <x:v>HCG-POWER-H72-C1</x:v>
      </x:c>
      <x:c r="D86" s="11" t="str">
        <x:v>HCG-POWER-H72</x:v>
      </x:c>
      <x:c r="E86" s="11" t="str">
        <x:v>C1</x:v>
      </x:c>
      <x:c r="F86" s="11" t="n">
        <x:v>1</x:v>
      </x:c>
      <x:c r="G86" s="11" t="str">
        <x:v>Local power</x:v>
      </x:c>
      <x:c r="H86" s="11" t="str">
        <x:v>H0–72</x:v>
      </x:c>
      <x:c r="I86" s="11" t="str">
        <x:v>blocks</x:v>
      </x:c>
      <x:c r="J86" s="20" t="n">
        <x:f>SUMIFS('03 Demand Build'!$AE$6:$AE$485,'03 Demand Build'!$E$6:$E$485,E86)</x:f>
        <x:v>60</x:v>
      </x:c>
      <x:c r="K86" s="20" t="n">
        <x:f>INDEX('02 Pool Register'!$I$6:$I$19,MATCH(D86,'02 Pool Register'!$C$6:$C$19,0))</x:f>
        <x:v>828.0999999999999</x:v>
      </x:c>
      <x:c r="L86" s="20" t="n">
        <x:f>K86</x:f>
        <x:v>828.0999999999999</x:v>
      </x:c>
      <x:c r="M86" s="20" t="n">
        <x:f>MIN(J86,L86)</x:f>
        <x:v>60</x:v>
      </x:c>
      <x:c r="N86" s="20" t="n">
        <x:f>J86-M86</x:f>
        <x:v>0</x:v>
      </x:c>
      <x:c r="O86" s="20" t="n">
        <x:f>L86-M86</x:f>
        <x:v>768.0999999999999</x:v>
      </x:c>
      <x:c r="P86" s="18" t="n">
        <x:f>IF(J86=0,1,M86/J86)</x:f>
        <x:v>1</x:v>
      </x:c>
      <x:c r="Q86" s="11" t="str">
        <x:f>IF(N86&lt;='01 Controls'!$E$23,"PASS","FAIL")</x:f>
        <x:v>PASS</x:v>
      </x:c>
    </x:row>
    <x:row r="87">
      <x:c r="C87" s="11" t="str">
        <x:v>HCG-POWER-H72-C2</x:v>
      </x:c>
      <x:c r="D87" s="11" t="str">
        <x:v>HCG-POWER-H72</x:v>
      </x:c>
      <x:c r="E87" s="11" t="str">
        <x:v>C2</x:v>
      </x:c>
      <x:c r="F87" s="11" t="n">
        <x:v>2</x:v>
      </x:c>
      <x:c r="G87" s="11" t="str">
        <x:v>Local power</x:v>
      </x:c>
      <x:c r="H87" s="11" t="str">
        <x:v>H0–72</x:v>
      </x:c>
      <x:c r="I87" s="11" t="str">
        <x:v>blocks</x:v>
      </x:c>
      <x:c r="J87" s="20" t="n">
        <x:f>SUMIFS('03 Demand Build'!$AE$6:$AE$485,'03 Demand Build'!$E$6:$E$485,E87)</x:f>
        <x:v>80</x:v>
      </x:c>
      <x:c r="K87" s="20" t="n">
        <x:f>INDEX('02 Pool Register'!$I$6:$I$19,MATCH(D87,'02 Pool Register'!$C$6:$C$19,0))</x:f>
        <x:v>828.0999999999999</x:v>
      </x:c>
      <x:c r="L87" s="20" t="n">
        <x:f>IF(D87=D86,O86,K87)</x:f>
        <x:v>768.0999999999999</x:v>
      </x:c>
      <x:c r="M87" s="20" t="n">
        <x:f>MIN(J87,L87)</x:f>
        <x:v>80</x:v>
      </x:c>
      <x:c r="N87" s="20" t="n">
        <x:f>J87-M87</x:f>
        <x:v>0</x:v>
      </x:c>
      <x:c r="O87" s="20" t="n">
        <x:f>L87-M87</x:f>
        <x:v>688.0999999999999</x:v>
      </x:c>
      <x:c r="P87" s="18" t="n">
        <x:f>IF(J87=0,1,M87/J87)</x:f>
        <x:v>1</x:v>
      </x:c>
      <x:c r="Q87" s="11" t="str">
        <x:f>IF(N87&lt;='01 Controls'!$E$23,"PASS","FAIL")</x:f>
        <x:v>PASS</x:v>
      </x:c>
    </x:row>
    <x:row r="88">
      <x:c r="C88" s="11" t="str">
        <x:v>HCG-POWER-H72-C3</x:v>
      </x:c>
      <x:c r="D88" s="11" t="str">
        <x:v>HCG-POWER-H72</x:v>
      </x:c>
      <x:c r="E88" s="11" t="str">
        <x:v>C3</x:v>
      </x:c>
      <x:c r="F88" s="11" t="n">
        <x:v>3</x:v>
      </x:c>
      <x:c r="G88" s="11" t="str">
        <x:v>Local power</x:v>
      </x:c>
      <x:c r="H88" s="11" t="str">
        <x:v>H0–72</x:v>
      </x:c>
      <x:c r="I88" s="11" t="str">
        <x:v>blocks</x:v>
      </x:c>
      <x:c r="J88" s="20" t="n">
        <x:f>SUMIFS('03 Demand Build'!$AE$6:$AE$485,'03 Demand Build'!$E$6:$E$485,E88)</x:f>
        <x:v>100</x:v>
      </x:c>
      <x:c r="K88" s="20" t="n">
        <x:f>INDEX('02 Pool Register'!$I$6:$I$19,MATCH(D88,'02 Pool Register'!$C$6:$C$19,0))</x:f>
        <x:v>828.0999999999999</x:v>
      </x:c>
      <x:c r="L88" s="20" t="n">
        <x:f>IF(D88=D87,O87,K88)</x:f>
        <x:v>688.0999999999999</x:v>
      </x:c>
      <x:c r="M88" s="20" t="n">
        <x:f>MIN(J88,L88)</x:f>
        <x:v>100</x:v>
      </x:c>
      <x:c r="N88" s="20" t="n">
        <x:f>J88-M88</x:f>
        <x:v>0</x:v>
      </x:c>
      <x:c r="O88" s="20" t="n">
        <x:f>L88-M88</x:f>
        <x:v>588.0999999999999</x:v>
      </x:c>
      <x:c r="P88" s="18" t="n">
        <x:f>IF(J88=0,1,M88/J88)</x:f>
        <x:v>1</x:v>
      </x:c>
      <x:c r="Q88" s="11" t="str">
        <x:f>IF(N88&lt;='01 Controls'!$E$23,"PASS","FAIL")</x:f>
        <x:v>PASS</x:v>
      </x:c>
    </x:row>
    <x:row r="89">
      <x:c r="C89" s="11" t="str">
        <x:v>HCG-POWER-H72-M1</x:v>
      </x:c>
      <x:c r="D89" s="11" t="str">
        <x:v>HCG-POWER-H72</x:v>
      </x:c>
      <x:c r="E89" s="11" t="str">
        <x:v>M1</x:v>
      </x:c>
      <x:c r="F89" s="11" t="n">
        <x:v>4</x:v>
      </x:c>
      <x:c r="G89" s="11" t="str">
        <x:v>Local power</x:v>
      </x:c>
      <x:c r="H89" s="11" t="str">
        <x:v>H0–72</x:v>
      </x:c>
      <x:c r="I89" s="11" t="str">
        <x:v>blocks</x:v>
      </x:c>
      <x:c r="J89" s="20" t="n">
        <x:f>SUMIFS('03 Demand Build'!$AE$6:$AE$485,'03 Demand Build'!$E$6:$E$485,E89)</x:f>
        <x:v>30</x:v>
      </x:c>
      <x:c r="K89" s="20" t="n">
        <x:f>INDEX('02 Pool Register'!$I$6:$I$19,MATCH(D89,'02 Pool Register'!$C$6:$C$19,0))</x:f>
        <x:v>828.0999999999999</x:v>
      </x:c>
      <x:c r="L89" s="20" t="n">
        <x:f>IF(D89=D88,O88,K89)</x:f>
        <x:v>588.0999999999999</x:v>
      </x:c>
      <x:c r="M89" s="20" t="n">
        <x:f>MIN(J89,L89)</x:f>
        <x:v>30</x:v>
      </x:c>
      <x:c r="N89" s="20" t="n">
        <x:f>J89-M89</x:f>
        <x:v>0</x:v>
      </x:c>
      <x:c r="O89" s="20" t="n">
        <x:f>L89-M89</x:f>
        <x:v>558.0999999999999</x:v>
      </x:c>
      <x:c r="P89" s="18" t="n">
        <x:f>IF(J89=0,1,M89/J89)</x:f>
        <x:v>1</x:v>
      </x:c>
      <x:c r="Q89" s="11" t="str">
        <x:f>IF(N89&lt;='01 Controls'!$E$23,"PASS","FAIL")</x:f>
        <x:v>PASS</x:v>
      </x:c>
    </x:row>
    <x:row r="90">
      <x:c r="C90" s="11" t="str">
        <x:v>HCG-POWER-H72-M2</x:v>
      </x:c>
      <x:c r="D90" s="11" t="str">
        <x:v>HCG-POWER-H72</x:v>
      </x:c>
      <x:c r="E90" s="11" t="str">
        <x:v>M2</x:v>
      </x:c>
      <x:c r="F90" s="11" t="n">
        <x:v>5</x:v>
      </x:c>
      <x:c r="G90" s="11" t="str">
        <x:v>Local power</x:v>
      </x:c>
      <x:c r="H90" s="11" t="str">
        <x:v>H0–72</x:v>
      </x:c>
      <x:c r="I90" s="11" t="str">
        <x:v>blocks</x:v>
      </x:c>
      <x:c r="J90" s="20" t="n">
        <x:f>SUMIFS('03 Demand Build'!$AE$6:$AE$485,'03 Demand Build'!$E$6:$E$485,E90)</x:f>
        <x:v>60</x:v>
      </x:c>
      <x:c r="K90" s="20" t="n">
        <x:f>INDEX('02 Pool Register'!$I$6:$I$19,MATCH(D90,'02 Pool Register'!$C$6:$C$19,0))</x:f>
        <x:v>828.0999999999999</x:v>
      </x:c>
      <x:c r="L90" s="20" t="n">
        <x:f>IF(D90=D89,O89,K90)</x:f>
        <x:v>558.0999999999999</x:v>
      </x:c>
      <x:c r="M90" s="20" t="n">
        <x:f>MIN(J90,L90)</x:f>
        <x:v>60</x:v>
      </x:c>
      <x:c r="N90" s="20" t="n">
        <x:f>J90-M90</x:f>
        <x:v>0</x:v>
      </x:c>
      <x:c r="O90" s="20" t="n">
        <x:f>L90-M90</x:f>
        <x:v>498.0999999999999</x:v>
      </x:c>
      <x:c r="P90" s="18" t="n">
        <x:f>IF(J90=0,1,M90/J90)</x:f>
        <x:v>1</x:v>
      </x:c>
      <x:c r="Q90" s="11" t="str">
        <x:f>IF(N90&lt;='01 Controls'!$E$23,"PASS","FAIL")</x:f>
        <x:v>PASS</x:v>
      </x:c>
    </x:row>
    <x:row r="91">
      <x:c r="C91" s="11" t="str">
        <x:v>HCG-POWER-H72-M3</x:v>
      </x:c>
      <x:c r="D91" s="11" t="str">
        <x:v>HCG-POWER-H72</x:v>
      </x:c>
      <x:c r="E91" s="11" t="str">
        <x:v>M3</x:v>
      </x:c>
      <x:c r="F91" s="11" t="n">
        <x:v>6</x:v>
      </x:c>
      <x:c r="G91" s="11" t="str">
        <x:v>Local power</x:v>
      </x:c>
      <x:c r="H91" s="11" t="str">
        <x:v>H0–72</x:v>
      </x:c>
      <x:c r="I91" s="11" t="str">
        <x:v>blocks</x:v>
      </x:c>
      <x:c r="J91" s="20" t="n">
        <x:f>SUMIFS('03 Demand Build'!$AE$6:$AE$485,'03 Demand Build'!$E$6:$E$485,E91)</x:f>
        <x:v>50</x:v>
      </x:c>
      <x:c r="K91" s="20" t="n">
        <x:f>INDEX('02 Pool Register'!$I$6:$I$19,MATCH(D91,'02 Pool Register'!$C$6:$C$19,0))</x:f>
        <x:v>828.0999999999999</x:v>
      </x:c>
      <x:c r="L91" s="20" t="n">
        <x:f>IF(D91=D90,O90,K91)</x:f>
        <x:v>498.0999999999999</x:v>
      </x:c>
      <x:c r="M91" s="20" t="n">
        <x:f>MIN(J91,L91)</x:f>
        <x:v>50</x:v>
      </x:c>
      <x:c r="N91" s="20" t="n">
        <x:f>J91-M91</x:f>
        <x:v>0</x:v>
      </x:c>
      <x:c r="O91" s="20" t="n">
        <x:f>L91-M91</x:f>
        <x:v>448.0999999999999</x:v>
      </x:c>
      <x:c r="P91" s="18" t="n">
        <x:f>IF(J91=0,1,M91/J91)</x:f>
        <x:v>1</x:v>
      </x:c>
      <x:c r="Q91" s="11" t="str">
        <x:f>IF(N91&lt;='01 Controls'!$E$23,"PASS","FAIL")</x:f>
        <x:v>PASS</x:v>
      </x:c>
    </x:row>
    <x:row r="92">
      <x:c r="C92" s="11" t="str">
        <x:v>HCG-POWER-H72-M4</x:v>
      </x:c>
      <x:c r="D92" s="11" t="str">
        <x:v>HCG-POWER-H72</x:v>
      </x:c>
      <x:c r="E92" s="11" t="str">
        <x:v>M4</x:v>
      </x:c>
      <x:c r="F92" s="11" t="n">
        <x:v>7</x:v>
      </x:c>
      <x:c r="G92" s="11" t="str">
        <x:v>Local power</x:v>
      </x:c>
      <x:c r="H92" s="11" t="str">
        <x:v>H0–72</x:v>
      </x:c>
      <x:c r="I92" s="11" t="str">
        <x:v>blocks</x:v>
      </x:c>
      <x:c r="J92" s="20" t="n">
        <x:f>SUMIFS('03 Demand Build'!$AE$6:$AE$485,'03 Demand Build'!$E$6:$E$485,E92)</x:f>
        <x:v>60</x:v>
      </x:c>
      <x:c r="K92" s="20" t="n">
        <x:f>INDEX('02 Pool Register'!$I$6:$I$19,MATCH(D92,'02 Pool Register'!$C$6:$C$19,0))</x:f>
        <x:v>828.0999999999999</x:v>
      </x:c>
      <x:c r="L92" s="20" t="n">
        <x:f>IF(D92=D91,O91,K92)</x:f>
        <x:v>448.0999999999999</x:v>
      </x:c>
      <x:c r="M92" s="20" t="n">
        <x:f>MIN(J92,L92)</x:f>
        <x:v>60</x:v>
      </x:c>
      <x:c r="N92" s="20" t="n">
        <x:f>J92-M92</x:f>
        <x:v>0</x:v>
      </x:c>
      <x:c r="O92" s="20" t="n">
        <x:f>L92-M92</x:f>
        <x:v>388.0999999999999</x:v>
      </x:c>
      <x:c r="P92" s="18" t="n">
        <x:f>IF(J92=0,1,M92/J92)</x:f>
        <x:v>1</x:v>
      </x:c>
      <x:c r="Q92" s="11" t="str">
        <x:f>IF(N92&lt;='01 Controls'!$E$23,"PASS","FAIL")</x:f>
        <x:v>PASS</x:v>
      </x:c>
    </x:row>
    <x:row r="93">
      <x:c r="C93" s="11" t="str">
        <x:v>HCG-POWER-H72-M5</x:v>
      </x:c>
      <x:c r="D93" s="11" t="str">
        <x:v>HCG-POWER-H72</x:v>
      </x:c>
      <x:c r="E93" s="11" t="str">
        <x:v>M5</x:v>
      </x:c>
      <x:c r="F93" s="11" t="n">
        <x:v>8</x:v>
      </x:c>
      <x:c r="G93" s="11" t="str">
        <x:v>Local power</x:v>
      </x:c>
      <x:c r="H93" s="11" t="str">
        <x:v>H0–72</x:v>
      </x:c>
      <x:c r="I93" s="11" t="str">
        <x:v>blocks</x:v>
      </x:c>
      <x:c r="J93" s="20" t="n">
        <x:f>SUMIFS('03 Demand Build'!$AE$6:$AE$485,'03 Demand Build'!$E$6:$E$485,E93)</x:f>
        <x:v>50</x:v>
      </x:c>
      <x:c r="K93" s="20" t="n">
        <x:f>INDEX('02 Pool Register'!$I$6:$I$19,MATCH(D93,'02 Pool Register'!$C$6:$C$19,0))</x:f>
        <x:v>828.0999999999999</x:v>
      </x:c>
      <x:c r="L93" s="20" t="n">
        <x:f>IF(D93=D92,O92,K93)</x:f>
        <x:v>388.0999999999999</x:v>
      </x:c>
      <x:c r="M93" s="20" t="n">
        <x:f>MIN(J93,L93)</x:f>
        <x:v>50</x:v>
      </x:c>
      <x:c r="N93" s="20" t="n">
        <x:f>J93-M93</x:f>
        <x:v>0</x:v>
      </x:c>
      <x:c r="O93" s="20" t="n">
        <x:f>L93-M93</x:f>
        <x:v>338.0999999999999</x:v>
      </x:c>
      <x:c r="P93" s="18" t="n">
        <x:f>IF(J93=0,1,M93/J93)</x:f>
        <x:v>1</x:v>
      </x:c>
      <x:c r="Q93" s="11" t="str">
        <x:f>IF(N93&lt;='01 Controls'!$E$23,"PASS","FAIL")</x:f>
        <x:v>PASS</x:v>
      </x:c>
    </x:row>
    <x:row r="94">
      <x:c r="C94" s="11" t="str">
        <x:v>HCG-POWER-H72-G1</x:v>
      </x:c>
      <x:c r="D94" s="11" t="str">
        <x:v>HCG-POWER-H72</x:v>
      </x:c>
      <x:c r="E94" s="11" t="str">
        <x:v>G1</x:v>
      </x:c>
      <x:c r="F94" s="11" t="n">
        <x:v>9</x:v>
      </x:c>
      <x:c r="G94" s="11" t="str">
        <x:v>Local power</x:v>
      </x:c>
      <x:c r="H94" s="11" t="str">
        <x:v>H0–72</x:v>
      </x:c>
      <x:c r="I94" s="11" t="str">
        <x:v>blocks</x:v>
      </x:c>
      <x:c r="J94" s="20" t="n">
        <x:f>SUMIFS('03 Demand Build'!$AE$6:$AE$485,'03 Demand Build'!$E$6:$E$485,E94)</x:f>
        <x:v>100</x:v>
      </x:c>
      <x:c r="K94" s="20" t="n">
        <x:f>INDEX('02 Pool Register'!$I$6:$I$19,MATCH(D94,'02 Pool Register'!$C$6:$C$19,0))</x:f>
        <x:v>828.0999999999999</x:v>
      </x:c>
      <x:c r="L94" s="20" t="n">
        <x:f>IF(D94=D93,O93,K94)</x:f>
        <x:v>338.0999999999999</x:v>
      </x:c>
      <x:c r="M94" s="20" t="n">
        <x:f>MIN(J94,L94)</x:f>
        <x:v>100</x:v>
      </x:c>
      <x:c r="N94" s="20" t="n">
        <x:f>J94-M94</x:f>
        <x:v>0</x:v>
      </x:c>
      <x:c r="O94" s="20" t="n">
        <x:f>L94-M94</x:f>
        <x:v>238.0999999999999</x:v>
      </x:c>
      <x:c r="P94" s="18" t="n">
        <x:f>IF(J94=0,1,M94/J94)</x:f>
        <x:v>1</x:v>
      </x:c>
      <x:c r="Q94" s="11" t="str">
        <x:f>IF(N94&lt;='01 Controls'!$E$23,"PASS","FAIL")</x:f>
        <x:v>PASS</x:v>
      </x:c>
    </x:row>
    <x:row r="95">
      <x:c r="C95" s="11" t="str">
        <x:v>HCG-POWER-H72-G2</x:v>
      </x:c>
      <x:c r="D95" s="11" t="str">
        <x:v>HCG-POWER-H72</x:v>
      </x:c>
      <x:c r="E95" s="11" t="str">
        <x:v>G2</x:v>
      </x:c>
      <x:c r="F95" s="11" t="n">
        <x:v>10</x:v>
      </x:c>
      <x:c r="G95" s="11" t="str">
        <x:v>Local power</x:v>
      </x:c>
      <x:c r="H95" s="11" t="str">
        <x:v>H0–72</x:v>
      </x:c>
      <x:c r="I95" s="11" t="str">
        <x:v>blocks</x:v>
      </x:c>
      <x:c r="J95" s="20" t="n">
        <x:f>SUMIFS('03 Demand Build'!$AE$6:$AE$485,'03 Demand Build'!$E$6:$E$485,E95)</x:f>
        <x:v>100</x:v>
      </x:c>
      <x:c r="K95" s="20" t="n">
        <x:f>INDEX('02 Pool Register'!$I$6:$I$19,MATCH(D95,'02 Pool Register'!$C$6:$C$19,0))</x:f>
        <x:v>828.0999999999999</x:v>
      </x:c>
      <x:c r="L95" s="20" t="n">
        <x:f>IF(D95=D94,O94,K95)</x:f>
        <x:v>238.0999999999999</x:v>
      </x:c>
      <x:c r="M95" s="20" t="n">
        <x:f>MIN(J95,L95)</x:f>
        <x:v>100</x:v>
      </x:c>
      <x:c r="N95" s="20" t="n">
        <x:f>J95-M95</x:f>
        <x:v>0</x:v>
      </x:c>
      <x:c r="O95" s="20" t="n">
        <x:f>L95-M95</x:f>
        <x:v>138.0999999999999</x:v>
      </x:c>
      <x:c r="P95" s="18" t="n">
        <x:f>IF(J95=0,1,M95/J95)</x:f>
        <x:v>1</x:v>
      </x:c>
      <x:c r="Q95" s="11" t="str">
        <x:f>IF(N95&lt;='01 Controls'!$E$23,"PASS","FAIL")</x:f>
        <x:v>PASS</x:v>
      </x:c>
    </x:row>
    <x:row r="96">
      <x:c r="C96" s="11" t="str">
        <x:v>HCG-WATER-H72-C1</x:v>
      </x:c>
      <x:c r="D96" s="11" t="str">
        <x:v>HCG-WATER-H72</x:v>
      </x:c>
      <x:c r="E96" s="11" t="str">
        <x:v>C1</x:v>
      </x:c>
      <x:c r="F96" s="11" t="n">
        <x:v>1</x:v>
      </x:c>
      <x:c r="G96" s="11" t="str">
        <x:v>Local water</x:v>
      </x:c>
      <x:c r="H96" s="11" t="str">
        <x:v>H0–72</x:v>
      </x:c>
      <x:c r="I96" s="11" t="str">
        <x:v>islands</x:v>
      </x:c>
      <x:c r="J96" s="20" t="n">
        <x:f>SUMIFS('03 Demand Build'!$AF$6:$AF$485,'03 Demand Build'!$E$6:$E$485,E96)</x:f>
        <x:v>54</x:v>
      </x:c>
      <x:c r="K96" s="20" t="n">
        <x:f>INDEX('02 Pool Register'!$I$6:$I$19,MATCH(D96,'02 Pool Register'!$C$6:$C$19,0))</x:f>
        <x:v>745.5</x:v>
      </x:c>
      <x:c r="L96" s="20" t="n">
        <x:f>K96</x:f>
        <x:v>745.5</x:v>
      </x:c>
      <x:c r="M96" s="20" t="n">
        <x:f>MIN(J96,L96)</x:f>
        <x:v>54</x:v>
      </x:c>
      <x:c r="N96" s="20" t="n">
        <x:f>J96-M96</x:f>
        <x:v>0</x:v>
      </x:c>
      <x:c r="O96" s="20" t="n">
        <x:f>L96-M96</x:f>
        <x:v>691.5</x:v>
      </x:c>
      <x:c r="P96" s="18" t="n">
        <x:f>IF(J96=0,1,M96/J96)</x:f>
        <x:v>1</x:v>
      </x:c>
      <x:c r="Q96" s="11" t="str">
        <x:f>IF(N96&lt;='01 Controls'!$E$23,"PASS","FAIL")</x:f>
        <x:v>PASS</x:v>
      </x:c>
    </x:row>
    <x:row r="97">
      <x:c r="C97" s="11" t="str">
        <x:v>HCG-WATER-H72-C2</x:v>
      </x:c>
      <x:c r="D97" s="11" t="str">
        <x:v>HCG-WATER-H72</x:v>
      </x:c>
      <x:c r="E97" s="11" t="str">
        <x:v>C2</x:v>
      </x:c>
      <x:c r="F97" s="11" t="n">
        <x:v>2</x:v>
      </x:c>
      <x:c r="G97" s="11" t="str">
        <x:v>Local water</x:v>
      </x:c>
      <x:c r="H97" s="11" t="str">
        <x:v>H0–72</x:v>
      </x:c>
      <x:c r="I97" s="11" t="str">
        <x:v>islands</x:v>
      </x:c>
      <x:c r="J97" s="20" t="n">
        <x:f>SUMIFS('03 Demand Build'!$AF$6:$AF$485,'03 Demand Build'!$E$6:$E$485,E97)</x:f>
        <x:v>72</x:v>
      </x:c>
      <x:c r="K97" s="20" t="n">
        <x:f>INDEX('02 Pool Register'!$I$6:$I$19,MATCH(D97,'02 Pool Register'!$C$6:$C$19,0))</x:f>
        <x:v>745.5</x:v>
      </x:c>
      <x:c r="L97" s="20" t="n">
        <x:f>IF(D97=D96,O96,K97)</x:f>
        <x:v>691.5</x:v>
      </x:c>
      <x:c r="M97" s="20" t="n">
        <x:f>MIN(J97,L97)</x:f>
        <x:v>72</x:v>
      </x:c>
      <x:c r="N97" s="20" t="n">
        <x:f>J97-M97</x:f>
        <x:v>0</x:v>
      </x:c>
      <x:c r="O97" s="20" t="n">
        <x:f>L97-M97</x:f>
        <x:v>619.5</x:v>
      </x:c>
      <x:c r="P97" s="18" t="n">
        <x:f>IF(J97=0,1,M97/J97)</x:f>
        <x:v>1</x:v>
      </x:c>
      <x:c r="Q97" s="11" t="str">
        <x:f>IF(N97&lt;='01 Controls'!$E$23,"PASS","FAIL")</x:f>
        <x:v>PASS</x:v>
      </x:c>
    </x:row>
    <x:row r="98">
      <x:c r="C98" s="11" t="str">
        <x:v>HCG-WATER-H72-C3</x:v>
      </x:c>
      <x:c r="D98" s="11" t="str">
        <x:v>HCG-WATER-H72</x:v>
      </x:c>
      <x:c r="E98" s="11" t="str">
        <x:v>C3</x:v>
      </x:c>
      <x:c r="F98" s="11" t="n">
        <x:v>3</x:v>
      </x:c>
      <x:c r="G98" s="11" t="str">
        <x:v>Local water</x:v>
      </x:c>
      <x:c r="H98" s="11" t="str">
        <x:v>H0–72</x:v>
      </x:c>
      <x:c r="I98" s="11" t="str">
        <x:v>islands</x:v>
      </x:c>
      <x:c r="J98" s="20" t="n">
        <x:f>SUMIFS('03 Demand Build'!$AF$6:$AF$485,'03 Demand Build'!$E$6:$E$485,E98)</x:f>
        <x:v>90</x:v>
      </x:c>
      <x:c r="K98" s="20" t="n">
        <x:f>INDEX('02 Pool Register'!$I$6:$I$19,MATCH(D98,'02 Pool Register'!$C$6:$C$19,0))</x:f>
        <x:v>745.5</x:v>
      </x:c>
      <x:c r="L98" s="20" t="n">
        <x:f>IF(D98=D97,O97,K98)</x:f>
        <x:v>619.5</x:v>
      </x:c>
      <x:c r="M98" s="20" t="n">
        <x:f>MIN(J98,L98)</x:f>
        <x:v>90</x:v>
      </x:c>
      <x:c r="N98" s="20" t="n">
        <x:f>J98-M98</x:f>
        <x:v>0</x:v>
      </x:c>
      <x:c r="O98" s="20" t="n">
        <x:f>L98-M98</x:f>
        <x:v>529.5</x:v>
      </x:c>
      <x:c r="P98" s="18" t="n">
        <x:f>IF(J98=0,1,M98/J98)</x:f>
        <x:v>1</x:v>
      </x:c>
      <x:c r="Q98" s="11" t="str">
        <x:f>IF(N98&lt;='01 Controls'!$E$23,"PASS","FAIL")</x:f>
        <x:v>PASS</x:v>
      </x:c>
    </x:row>
    <x:row r="99">
      <x:c r="C99" s="11" t="str">
        <x:v>HCG-WATER-H72-M1</x:v>
      </x:c>
      <x:c r="D99" s="11" t="str">
        <x:v>HCG-WATER-H72</x:v>
      </x:c>
      <x:c r="E99" s="11" t="str">
        <x:v>M1</x:v>
      </x:c>
      <x:c r="F99" s="11" t="n">
        <x:v>4</x:v>
      </x:c>
      <x:c r="G99" s="11" t="str">
        <x:v>Local water</x:v>
      </x:c>
      <x:c r="H99" s="11" t="str">
        <x:v>H0–72</x:v>
      </x:c>
      <x:c r="I99" s="11" t="str">
        <x:v>islands</x:v>
      </x:c>
      <x:c r="J99" s="20" t="n">
        <x:f>SUMIFS('03 Demand Build'!$AF$6:$AF$485,'03 Demand Build'!$E$6:$E$485,E99)</x:f>
        <x:v>27</x:v>
      </x:c>
      <x:c r="K99" s="20" t="n">
        <x:f>INDEX('02 Pool Register'!$I$6:$I$19,MATCH(D99,'02 Pool Register'!$C$6:$C$19,0))</x:f>
        <x:v>745.5</x:v>
      </x:c>
      <x:c r="L99" s="20" t="n">
        <x:f>IF(D99=D98,O98,K99)</x:f>
        <x:v>529.5</x:v>
      </x:c>
      <x:c r="M99" s="20" t="n">
        <x:f>MIN(J99,L99)</x:f>
        <x:v>27</x:v>
      </x:c>
      <x:c r="N99" s="20" t="n">
        <x:f>J99-M99</x:f>
        <x:v>0</x:v>
      </x:c>
      <x:c r="O99" s="20" t="n">
        <x:f>L99-M99</x:f>
        <x:v>502.5</x:v>
      </x:c>
      <x:c r="P99" s="18" t="n">
        <x:f>IF(J99=0,1,M99/J99)</x:f>
        <x:v>1</x:v>
      </x:c>
      <x:c r="Q99" s="11" t="str">
        <x:f>IF(N99&lt;='01 Controls'!$E$23,"PASS","FAIL")</x:f>
        <x:v>PASS</x:v>
      </x:c>
    </x:row>
    <x:row r="100">
      <x:c r="C100" s="11" t="str">
        <x:v>HCG-WATER-H72-M2</x:v>
      </x:c>
      <x:c r="D100" s="11" t="str">
        <x:v>HCG-WATER-H72</x:v>
      </x:c>
      <x:c r="E100" s="11" t="str">
        <x:v>M2</x:v>
      </x:c>
      <x:c r="F100" s="11" t="n">
        <x:v>5</x:v>
      </x:c>
      <x:c r="G100" s="11" t="str">
        <x:v>Local water</x:v>
      </x:c>
      <x:c r="H100" s="11" t="str">
        <x:v>H0–72</x:v>
      </x:c>
      <x:c r="I100" s="11" t="str">
        <x:v>islands</x:v>
      </x:c>
      <x:c r="J100" s="20" t="n">
        <x:f>SUMIFS('03 Demand Build'!$AF$6:$AF$485,'03 Demand Build'!$E$6:$E$485,E100)</x:f>
        <x:v>54</x:v>
      </x:c>
      <x:c r="K100" s="20" t="n">
        <x:f>INDEX('02 Pool Register'!$I$6:$I$19,MATCH(D100,'02 Pool Register'!$C$6:$C$19,0))</x:f>
        <x:v>745.5</x:v>
      </x:c>
      <x:c r="L100" s="20" t="n">
        <x:f>IF(D100=D99,O99,K100)</x:f>
        <x:v>502.5</x:v>
      </x:c>
      <x:c r="M100" s="20" t="n">
        <x:f>MIN(J100,L100)</x:f>
        <x:v>54</x:v>
      </x:c>
      <x:c r="N100" s="20" t="n">
        <x:f>J100-M100</x:f>
        <x:v>0</x:v>
      </x:c>
      <x:c r="O100" s="20" t="n">
        <x:f>L100-M100</x:f>
        <x:v>448.5</x:v>
      </x:c>
      <x:c r="P100" s="18" t="n">
        <x:f>IF(J100=0,1,M100/J100)</x:f>
        <x:v>1</x:v>
      </x:c>
      <x:c r="Q100" s="11" t="str">
        <x:f>IF(N100&lt;='01 Controls'!$E$23,"PASS","FAIL")</x:f>
        <x:v>PASS</x:v>
      </x:c>
    </x:row>
    <x:row r="101">
      <x:c r="C101" s="11" t="str">
        <x:v>HCG-WATER-H72-M3</x:v>
      </x:c>
      <x:c r="D101" s="11" t="str">
        <x:v>HCG-WATER-H72</x:v>
      </x:c>
      <x:c r="E101" s="11" t="str">
        <x:v>M3</x:v>
      </x:c>
      <x:c r="F101" s="11" t="n">
        <x:v>6</x:v>
      </x:c>
      <x:c r="G101" s="11" t="str">
        <x:v>Local water</x:v>
      </x:c>
      <x:c r="H101" s="11" t="str">
        <x:v>H0–72</x:v>
      </x:c>
      <x:c r="I101" s="11" t="str">
        <x:v>islands</x:v>
      </x:c>
      <x:c r="J101" s="20" t="n">
        <x:f>SUMIFS('03 Demand Build'!$AF$6:$AF$485,'03 Demand Build'!$E$6:$E$485,E101)</x:f>
        <x:v>45</x:v>
      </x:c>
      <x:c r="K101" s="20" t="n">
        <x:f>INDEX('02 Pool Register'!$I$6:$I$19,MATCH(D101,'02 Pool Register'!$C$6:$C$19,0))</x:f>
        <x:v>745.5</x:v>
      </x:c>
      <x:c r="L101" s="20" t="n">
        <x:f>IF(D101=D100,O100,K101)</x:f>
        <x:v>448.5</x:v>
      </x:c>
      <x:c r="M101" s="20" t="n">
        <x:f>MIN(J101,L101)</x:f>
        <x:v>45</x:v>
      </x:c>
      <x:c r="N101" s="20" t="n">
        <x:f>J101-M101</x:f>
        <x:v>0</x:v>
      </x:c>
      <x:c r="O101" s="20" t="n">
        <x:f>L101-M101</x:f>
        <x:v>403.5</x:v>
      </x:c>
      <x:c r="P101" s="18" t="n">
        <x:f>IF(J101=0,1,M101/J101)</x:f>
        <x:v>1</x:v>
      </x:c>
      <x:c r="Q101" s="11" t="str">
        <x:f>IF(N101&lt;='01 Controls'!$E$23,"PASS","FAIL")</x:f>
        <x:v>PASS</x:v>
      </x:c>
    </x:row>
    <x:row r="102">
      <x:c r="C102" s="11" t="str">
        <x:v>HCG-WATER-H72-M4</x:v>
      </x:c>
      <x:c r="D102" s="11" t="str">
        <x:v>HCG-WATER-H72</x:v>
      </x:c>
      <x:c r="E102" s="11" t="str">
        <x:v>M4</x:v>
      </x:c>
      <x:c r="F102" s="11" t="n">
        <x:v>7</x:v>
      </x:c>
      <x:c r="G102" s="11" t="str">
        <x:v>Local water</x:v>
      </x:c>
      <x:c r="H102" s="11" t="str">
        <x:v>H0–72</x:v>
      </x:c>
      <x:c r="I102" s="11" t="str">
        <x:v>islands</x:v>
      </x:c>
      <x:c r="J102" s="20" t="n">
        <x:f>SUMIFS('03 Demand Build'!$AF$6:$AF$485,'03 Demand Build'!$E$6:$E$485,E102)</x:f>
        <x:v>54</x:v>
      </x:c>
      <x:c r="K102" s="20" t="n">
        <x:f>INDEX('02 Pool Register'!$I$6:$I$19,MATCH(D102,'02 Pool Register'!$C$6:$C$19,0))</x:f>
        <x:v>745.5</x:v>
      </x:c>
      <x:c r="L102" s="20" t="n">
        <x:f>IF(D102=D101,O101,K102)</x:f>
        <x:v>403.5</x:v>
      </x:c>
      <x:c r="M102" s="20" t="n">
        <x:f>MIN(J102,L102)</x:f>
        <x:v>54</x:v>
      </x:c>
      <x:c r="N102" s="20" t="n">
        <x:f>J102-M102</x:f>
        <x:v>0</x:v>
      </x:c>
      <x:c r="O102" s="20" t="n">
        <x:f>L102-M102</x:f>
        <x:v>349.5</x:v>
      </x:c>
      <x:c r="P102" s="18" t="n">
        <x:f>IF(J102=0,1,M102/J102)</x:f>
        <x:v>1</x:v>
      </x:c>
      <x:c r="Q102" s="11" t="str">
        <x:f>IF(N102&lt;='01 Controls'!$E$23,"PASS","FAIL")</x:f>
        <x:v>PASS</x:v>
      </x:c>
    </x:row>
    <x:row r="103">
      <x:c r="C103" s="11" t="str">
        <x:v>HCG-WATER-H72-M5</x:v>
      </x:c>
      <x:c r="D103" s="11" t="str">
        <x:v>HCG-WATER-H72</x:v>
      </x:c>
      <x:c r="E103" s="11" t="str">
        <x:v>M5</x:v>
      </x:c>
      <x:c r="F103" s="11" t="n">
        <x:v>8</x:v>
      </x:c>
      <x:c r="G103" s="11" t="str">
        <x:v>Local water</x:v>
      </x:c>
      <x:c r="H103" s="11" t="str">
        <x:v>H0–72</x:v>
      </x:c>
      <x:c r="I103" s="11" t="str">
        <x:v>islands</x:v>
      </x:c>
      <x:c r="J103" s="20" t="n">
        <x:f>SUMIFS('03 Demand Build'!$AF$6:$AF$485,'03 Demand Build'!$E$6:$E$485,E103)</x:f>
        <x:v>45</x:v>
      </x:c>
      <x:c r="K103" s="20" t="n">
        <x:f>INDEX('02 Pool Register'!$I$6:$I$19,MATCH(D103,'02 Pool Register'!$C$6:$C$19,0))</x:f>
        <x:v>745.5</x:v>
      </x:c>
      <x:c r="L103" s="20" t="n">
        <x:f>IF(D103=D102,O102,K103)</x:f>
        <x:v>349.5</x:v>
      </x:c>
      <x:c r="M103" s="20" t="n">
        <x:f>MIN(J103,L103)</x:f>
        <x:v>45</x:v>
      </x:c>
      <x:c r="N103" s="20" t="n">
        <x:f>J103-M103</x:f>
        <x:v>0</x:v>
      </x:c>
      <x:c r="O103" s="20" t="n">
        <x:f>L103-M103</x:f>
        <x:v>304.5</x:v>
      </x:c>
      <x:c r="P103" s="18" t="n">
        <x:f>IF(J103=0,1,M103/J103)</x:f>
        <x:v>1</x:v>
      </x:c>
      <x:c r="Q103" s="11" t="str">
        <x:f>IF(N103&lt;='01 Controls'!$E$23,"PASS","FAIL")</x:f>
        <x:v>PASS</x:v>
      </x:c>
    </x:row>
    <x:row r="104">
      <x:c r="C104" s="11" t="str">
        <x:v>HCG-WATER-H72-G1</x:v>
      </x:c>
      <x:c r="D104" s="11" t="str">
        <x:v>HCG-WATER-H72</x:v>
      </x:c>
      <x:c r="E104" s="11" t="str">
        <x:v>G1</x:v>
      </x:c>
      <x:c r="F104" s="11" t="n">
        <x:v>9</x:v>
      </x:c>
      <x:c r="G104" s="11" t="str">
        <x:v>Local water</x:v>
      </x:c>
      <x:c r="H104" s="11" t="str">
        <x:v>H0–72</x:v>
      </x:c>
      <x:c r="I104" s="11" t="str">
        <x:v>islands</x:v>
      </x:c>
      <x:c r="J104" s="20" t="n">
        <x:f>SUMIFS('03 Demand Build'!$AF$6:$AF$485,'03 Demand Build'!$E$6:$E$485,E104)</x:f>
        <x:v>90</x:v>
      </x:c>
      <x:c r="K104" s="20" t="n">
        <x:f>INDEX('02 Pool Register'!$I$6:$I$19,MATCH(D104,'02 Pool Register'!$C$6:$C$19,0))</x:f>
        <x:v>745.5</x:v>
      </x:c>
      <x:c r="L104" s="20" t="n">
        <x:f>IF(D104=D103,O103,K104)</x:f>
        <x:v>304.5</x:v>
      </x:c>
      <x:c r="M104" s="20" t="n">
        <x:f>MIN(J104,L104)</x:f>
        <x:v>90</x:v>
      </x:c>
      <x:c r="N104" s="20" t="n">
        <x:f>J104-M104</x:f>
        <x:v>0</x:v>
      </x:c>
      <x:c r="O104" s="20" t="n">
        <x:f>L104-M104</x:f>
        <x:v>214.5</x:v>
      </x:c>
      <x:c r="P104" s="18" t="n">
        <x:f>IF(J104=0,1,M104/J104)</x:f>
        <x:v>1</x:v>
      </x:c>
      <x:c r="Q104" s="11" t="str">
        <x:f>IF(N104&lt;='01 Controls'!$E$23,"PASS","FAIL")</x:f>
        <x:v>PASS</x:v>
      </x:c>
    </x:row>
    <x:row r="105">
      <x:c r="C105" s="11" t="str">
        <x:v>HCG-WATER-H72-G2</x:v>
      </x:c>
      <x:c r="D105" s="11" t="str">
        <x:v>HCG-WATER-H72</x:v>
      </x:c>
      <x:c r="E105" s="11" t="str">
        <x:v>G2</x:v>
      </x:c>
      <x:c r="F105" s="11" t="n">
        <x:v>10</x:v>
      </x:c>
      <x:c r="G105" s="11" t="str">
        <x:v>Local water</x:v>
      </x:c>
      <x:c r="H105" s="11" t="str">
        <x:v>H0–72</x:v>
      </x:c>
      <x:c r="I105" s="11" t="str">
        <x:v>islands</x:v>
      </x:c>
      <x:c r="J105" s="20" t="n">
        <x:f>SUMIFS('03 Demand Build'!$AF$6:$AF$485,'03 Demand Build'!$E$6:$E$485,E105)</x:f>
        <x:v>90</x:v>
      </x:c>
      <x:c r="K105" s="20" t="n">
        <x:f>INDEX('02 Pool Register'!$I$6:$I$19,MATCH(D105,'02 Pool Register'!$C$6:$C$19,0))</x:f>
        <x:v>745.5</x:v>
      </x:c>
      <x:c r="L105" s="20" t="n">
        <x:f>IF(D105=D104,O104,K105)</x:f>
        <x:v>214.5</x:v>
      </x:c>
      <x:c r="M105" s="20" t="n">
        <x:f>MIN(J105,L105)</x:f>
        <x:v>90</x:v>
      </x:c>
      <x:c r="N105" s="20" t="n">
        <x:f>J105-M105</x:f>
        <x:v>0</x:v>
      </x:c>
      <x:c r="O105" s="20" t="n">
        <x:f>L105-M105</x:f>
        <x:v>124.5</x:v>
      </x:c>
      <x:c r="P105" s="18" t="n">
        <x:f>IF(J105=0,1,M105/J105)</x:f>
        <x:v>1</x:v>
      </x:c>
      <x:c r="Q105" s="11" t="str">
        <x:f>IF(N105&lt;='01 Controls'!$E$23,"PASS","FAIL")</x:f>
        <x:v>PASS</x:v>
      </x:c>
    </x:row>
  </x:sheetData>
  <x:conditionalFormatting sqref="Q6:Q105">
    <x:cfRule type="containsText" dxfId="12" priority="1" operator="containsText" text="FAIL"/>
    <x:cfRule type="containsText" dxfId="13" priority="2" operator="containsText" text="UNALLOCATED"/>
    <x:cfRule type="containsText" dxfId="14" priority="3" operator="containsText" text="OPEN"/>
    <x:cfRule type="containsText" dxfId="15" priority="4" operator="containsText" text="BLOCKED"/>
    <x:cfRule type="containsText" dxfId="16" priority="5" operator="containsText" text="PASS"/>
    <x:cfRule type="containsText" dxfId="17" priority="6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6fec5274e28f456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0" hidden="0" customWidth="1"/>
    <x:col min="4" max="4" width="31" hidden="0" customWidth="1"/>
    <x:col min="5" max="5" width="18" hidden="0" customWidth="1"/>
    <x:col min="6" max="6" width="14" hidden="0" customWidth="1"/>
    <x:col min="7" max="7" width="18" hidden="0" customWidth="1"/>
    <x:col min="8" max="8" width="14" hidden="0" customWidth="1"/>
    <x:col min="9" max="9" width="20" hidden="0" customWidth="1"/>
    <x:col min="10" max="10" width="15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20" hidden="0" customWidth="1"/>
    <x:col min="16" max="16" width="13" hidden="0" customWidth="1"/>
    <x:col min="17" max="17" width="12" hidden="0" customWidth="1"/>
  </x:cols>
  <x:sheetData>
    <x:row r="2">
      <x:c r="C2" s="2" t="str">
        <x:v>Campaign claim consequences</x:v>
      </x:c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</x:row>
    <x:row r="3">
      <x:c r="C3" s="3" t="str">
        <x:v>Campaign results show where the declared serialization denies service. The national shortage is real; the identity of the denied campaign depends on lawful priority policy.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C5" s="9" t="str">
        <x:v>Campaign</x:v>
      </x:c>
      <x:c r="D5" s="9" t="str">
        <x:v>Campaign name</x:v>
      </x:c>
      <x:c r="E5" s="9" t="str">
        <x:v>Gross responders</x:v>
      </x:c>
      <x:c r="F5" s="9" t="str">
        <x:v>Base coverage</x:v>
      </x:c>
      <x:c r="G5" s="9" t="str">
        <x:v>Early lift t</x:v>
      </x:c>
      <x:c r="H5" s="9" t="str">
        <x:v>Lift coverage</x:v>
      </x:c>
      <x:c r="I5" s="9" t="str">
        <x:v>Sustainment t/day</x:v>
      </x:c>
      <x:c r="J5" s="9" t="str">
        <x:v>Sustain coverage</x:v>
      </x:c>
      <x:c r="K5" s="9" t="str">
        <x:v>District coverage</x:v>
      </x:c>
      <x:c r="L5" s="9" t="str">
        <x:v>Route coverage</x:v>
      </x:c>
      <x:c r="M5" s="9" t="str">
        <x:v>Power coverage</x:v>
      </x:c>
      <x:c r="N5" s="9" t="str">
        <x:v>Water coverage</x:v>
      </x:c>
      <x:c r="O5" s="9" t="str">
        <x:v>Minimum serialized coverage</x:v>
      </x:c>
      <x:c r="P5" s="9" t="str">
        <x:v>Failed pools</x:v>
      </x:c>
      <x:c r="Q5" s="9" t="str">
        <x:v>Status</x:v>
      </x:c>
    </x:row>
    <x:row r="6">
      <x:c r="C6" s="11" t="str">
        <x:v>C1</x:v>
      </x:c>
      <x:c r="D6" s="11" t="str">
        <x:v>Grid failure</x:v>
      </x:c>
      <x:c r="E6" s="24" t="n">
        <x:f>SUMIFS('03 Demand Build'!$N$6:$N$485,'03 Demand Build'!$E$6:$E$485,C6)</x:f>
        <x:v>179896</x:v>
      </x:c>
      <x:c r="F6" s="18" t="n">
        <x:f>SUMIFS('04 Allocation Ledger'!$M$6:$M$105,'04 Allocation Ledger'!$D$6:$D$105,"BASE-RESP-D7",'04 Allocation Ledger'!$E$6:$E$105,C6)/SUMIFS('04 Allocation Ledger'!$J$6:$J$105,'04 Allocation Ledger'!$D$6:$D$105,"BASE-RESP-D7",'04 Allocation Ledger'!$E$6:$E$105,C6)</x:f>
        <x:v>1</x:v>
      </x:c>
      <x:c r="G6" s="24" t="n">
        <x:f>SUMIFS('03 Demand Build'!$R$6:$R$485,'03 Demand Build'!$E$6:$E$485,C6)</x:f>
        <x:v>583805.1</x:v>
      </x:c>
      <x:c r="H6" s="18" t="n">
        <x:f>(SUMIFS('04 Allocation Ledger'!$M$6:$M$105,'04 Allocation Ledger'!$E$6:$E$105,C6,'04 Allocation Ledger'!$D$6:$D$105,"LIFT-AIR-H72")+SUMIFS('04 Allocation Ledger'!$M$6:$M$105,'04 Allocation Ledger'!$E$6:$E$105,C6,'04 Allocation Ledger'!$D$6:$D$105,"LIFT-OCEAN-H72")+SUMIFS('04 Allocation Ledger'!$M$6:$M$105,'04 Allocation Ledger'!$E$6:$E$105,C6,'04 Allocation Ledger'!$D$6:$D$105,"LIFT-LAND-H72")+SUMIFS('04 Allocation Ledger'!$M$6:$M$105,'04 Allocation Ledger'!$E$6:$E$105,C6,'04 Allocation Ledger'!$D$6:$D$105,"LIFT-INLAND-H72"))/G6</x:f>
        <x:v>1</x:v>
      </x:c>
      <x:c r="I6" s="24" t="n">
        <x:f>SUMIFS('03 Demand Build'!$T$6:$T$485,'03 Demand Build'!$E$6:$E$485,C6)</x:f>
        <x:v>14340</x:v>
      </x:c>
      <x:c r="J6" s="18" t="n">
        <x:f>SUMIFS('04 Allocation Ledger'!$M$6:$M$105,'04 Allocation Ledger'!$D$6:$D$105,"SUSTAIN-DAY",'04 Allocation Ledger'!$E$6:$E$105,C6)/SUMIFS('04 Allocation Ledger'!$J$6:$J$105,'04 Allocation Ledger'!$D$6:$D$105,"SUSTAIN-DAY",'04 Allocation Ledger'!$E$6:$E$105,C6)</x:f>
        <x:v>1</x:v>
      </x:c>
      <x:c r="K6" s="18" t="n">
        <x:f>SUMIFS('04 Allocation Ledger'!$M$6:$M$105,'04 Allocation Ledger'!$D$6:$D$105,"HCG-DISTRICT-D7",'04 Allocation Ledger'!$E$6:$E$105,C6)/SUMIFS('04 Allocation Ledger'!$J$6:$J$105,'04 Allocation Ledger'!$D$6:$D$105,"HCG-DISTRICT-D7",'04 Allocation Ledger'!$E$6:$E$105,C6)</x:f>
        <x:v>1</x:v>
      </x:c>
      <x:c r="L6" s="18" t="n">
        <x:f>SUMIFS('04 Allocation Ledger'!$M$6:$M$105,'04 Allocation Ledger'!$D$6:$D$105,"HCG-ROUTE-H48",'04 Allocation Ledger'!$E$6:$E$105,C6)/SUMIFS('04 Allocation Ledger'!$J$6:$J$105,'04 Allocation Ledger'!$D$6:$D$105,"HCG-ROUTE-H48",'04 Allocation Ledger'!$E$6:$E$105,C6)</x:f>
        <x:v>1</x:v>
      </x:c>
      <x:c r="M6" s="18" t="n">
        <x:f>SUMIFS('04 Allocation Ledger'!$M$6:$M$105,'04 Allocation Ledger'!$D$6:$D$105,"HCG-POWER-H72",'04 Allocation Ledger'!$E$6:$E$105,C6)/SUMIFS('04 Allocation Ledger'!$J$6:$J$105,'04 Allocation Ledger'!$D$6:$D$105,"HCG-POWER-H72",'04 Allocation Ledger'!$E$6:$E$105,C6)</x:f>
        <x:v>1</x:v>
      </x:c>
      <x:c r="N6" s="18" t="n">
        <x:f>SUMIFS('04 Allocation Ledger'!$M$6:$M$105,'04 Allocation Ledger'!$D$6:$D$105,"HCG-WATER-H72",'04 Allocation Ledger'!$E$6:$E$105,C6)/SUMIFS('04 Allocation Ledger'!$J$6:$J$105,'04 Allocation Ledger'!$D$6:$D$105,"HCG-WATER-H72",'04 Allocation Ledger'!$E$6:$E$105,C6)</x:f>
        <x:v>1</x:v>
      </x:c>
      <x:c r="O6" s="18" t="n">
        <x:f>MIN(F6,H6,J6:N6)</x:f>
        <x:v>1</x:v>
      </x:c>
      <x:c r="P6" s="21" t="n">
        <x:f>COUNTIFS('04 Allocation Ledger'!$E$6:$E$105,C6,'04 Allocation Ledger'!$Q$6:$Q$105,"FAIL")</x:f>
        <x:v>0</x:v>
      </x:c>
      <x:c r="Q6" s="21" t="str">
        <x:f>IF(P6=0,"PASS","FAIL")</x:f>
        <x:v>PASS</x:v>
      </x:c>
    </x:row>
    <x:row r="7">
      <x:c r="C7" s="11" t="str">
        <x:v>C2</x:v>
      </x:c>
      <x:c r="D7" s="11" t="str">
        <x:v>Gulf–Atlantic hurricane</x:v>
      </x:c>
      <x:c r="E7" s="24" t="n">
        <x:f>SUMIFS('03 Demand Build'!$N$6:$N$485,'03 Demand Build'!$E$6:$E$485,C7)</x:f>
        <x:v>227796</x:v>
      </x:c>
      <x:c r="F7" s="18" t="n">
        <x:f>SUMIFS('04 Allocation Ledger'!$M$6:$M$105,'04 Allocation Ledger'!$D$6:$D$105,"BASE-RESP-D7",'04 Allocation Ledger'!$E$6:$E$105,C7)/SUMIFS('04 Allocation Ledger'!$J$6:$J$105,'04 Allocation Ledger'!$D$6:$D$105,"BASE-RESP-D7",'04 Allocation Ledger'!$E$6:$E$105,C7)</x:f>
        <x:v>1</x:v>
      </x:c>
      <x:c r="G7" s="24" t="n">
        <x:f>SUMIFS('03 Demand Build'!$R$6:$R$485,'03 Demand Build'!$E$6:$E$485,C7)</x:f>
        <x:v>764116.95</x:v>
      </x:c>
      <x:c r="H7" s="18" t="n">
        <x:f>(SUMIFS('04 Allocation Ledger'!$M$6:$M$105,'04 Allocation Ledger'!$E$6:$E$105,C7,'04 Allocation Ledger'!$D$6:$D$105,"LIFT-AIR-H72")+SUMIFS('04 Allocation Ledger'!$M$6:$M$105,'04 Allocation Ledger'!$E$6:$E$105,C7,'04 Allocation Ledger'!$D$6:$D$105,"LIFT-OCEAN-H72")+SUMIFS('04 Allocation Ledger'!$M$6:$M$105,'04 Allocation Ledger'!$E$6:$E$105,C7,'04 Allocation Ledger'!$D$6:$D$105,"LIFT-LAND-H72")+SUMIFS('04 Allocation Ledger'!$M$6:$M$105,'04 Allocation Ledger'!$E$6:$E$105,C7,'04 Allocation Ledger'!$D$6:$D$105,"LIFT-INLAND-H72"))/G7</x:f>
        <x:v>1.0000000000000002</x:v>
      </x:c>
      <x:c r="I7" s="24" t="n">
        <x:f>SUMIFS('03 Demand Build'!$T$6:$T$485,'03 Demand Build'!$E$6:$E$485,C7)</x:f>
        <x:v>20175</x:v>
      </x:c>
      <x:c r="J7" s="18" t="n">
        <x:f>SUMIFS('04 Allocation Ledger'!$M$6:$M$105,'04 Allocation Ledger'!$D$6:$D$105,"SUSTAIN-DAY",'04 Allocation Ledger'!$E$6:$E$105,C7)/SUMIFS('04 Allocation Ledger'!$J$6:$J$105,'04 Allocation Ledger'!$D$6:$D$105,"SUSTAIN-DAY",'04 Allocation Ledger'!$E$6:$E$105,C7)</x:f>
        <x:v>1</x:v>
      </x:c>
      <x:c r="K7" s="18" t="n">
        <x:f>SUMIFS('04 Allocation Ledger'!$M$6:$M$105,'04 Allocation Ledger'!$D$6:$D$105,"HCG-DISTRICT-D7",'04 Allocation Ledger'!$E$6:$E$105,C7)/SUMIFS('04 Allocation Ledger'!$J$6:$J$105,'04 Allocation Ledger'!$D$6:$D$105,"HCG-DISTRICT-D7",'04 Allocation Ledger'!$E$6:$E$105,C7)</x:f>
        <x:v>1</x:v>
      </x:c>
      <x:c r="L7" s="18" t="n">
        <x:f>SUMIFS('04 Allocation Ledger'!$M$6:$M$105,'04 Allocation Ledger'!$D$6:$D$105,"HCG-ROUTE-H48",'04 Allocation Ledger'!$E$6:$E$105,C7)/SUMIFS('04 Allocation Ledger'!$J$6:$J$105,'04 Allocation Ledger'!$D$6:$D$105,"HCG-ROUTE-H48",'04 Allocation Ledger'!$E$6:$E$105,C7)</x:f>
        <x:v>1</x:v>
      </x:c>
      <x:c r="M7" s="18" t="n">
        <x:f>SUMIFS('04 Allocation Ledger'!$M$6:$M$105,'04 Allocation Ledger'!$D$6:$D$105,"HCG-POWER-H72",'04 Allocation Ledger'!$E$6:$E$105,C7)/SUMIFS('04 Allocation Ledger'!$J$6:$J$105,'04 Allocation Ledger'!$D$6:$D$105,"HCG-POWER-H72",'04 Allocation Ledger'!$E$6:$E$105,C7)</x:f>
        <x:v>1</x:v>
      </x:c>
      <x:c r="N7" s="18" t="n">
        <x:f>SUMIFS('04 Allocation Ledger'!$M$6:$M$105,'04 Allocation Ledger'!$D$6:$D$105,"HCG-WATER-H72",'04 Allocation Ledger'!$E$6:$E$105,C7)/SUMIFS('04 Allocation Ledger'!$J$6:$J$105,'04 Allocation Ledger'!$D$6:$D$105,"HCG-WATER-H72",'04 Allocation Ledger'!$E$6:$E$105,C7)</x:f>
        <x:v>1</x:v>
      </x:c>
      <x:c r="O7" s="18" t="n">
        <x:f>MIN(F7,H7,J7:N7)</x:f>
        <x:v>1</x:v>
      </x:c>
      <x:c r="P7" s="21" t="n">
        <x:f>COUNTIFS('04 Allocation Ledger'!$E$6:$E$105,C7,'04 Allocation Ledger'!$Q$6:$Q$105,"FAIL")</x:f>
        <x:v>0</x:v>
      </x:c>
      <x:c r="Q7" s="21" t="str">
        <x:f>IF(P7=0,"PASS","FAIL")</x:f>
        <x:v>PASS</x:v>
      </x:c>
    </x:row>
    <x:row r="8">
      <x:c r="C8" s="11" t="str">
        <x:v>C3</x:v>
      </x:c>
      <x:c r="D8" s="11" t="str">
        <x:v>Cascadia earthquake</x:v>
      </x:c>
      <x:c r="E8" s="24" t="n">
        <x:f>SUMIFS('03 Demand Build'!$N$6:$N$485,'03 Demand Build'!$E$6:$E$485,C8)</x:f>
        <x:v>300372</x:v>
      </x:c>
      <x:c r="F8" s="18" t="n">
        <x:f>SUMIFS('04 Allocation Ledger'!$M$6:$M$105,'04 Allocation Ledger'!$D$6:$D$105,"BASE-RESP-D7",'04 Allocation Ledger'!$E$6:$E$105,C8)/SUMIFS('04 Allocation Ledger'!$J$6:$J$105,'04 Allocation Ledger'!$D$6:$D$105,"BASE-RESP-D7",'04 Allocation Ledger'!$E$6:$E$105,C8)</x:f>
        <x:v>1</x:v>
      </x:c>
      <x:c r="G8" s="24" t="n">
        <x:f>SUMIFS('03 Demand Build'!$R$6:$R$485,'03 Demand Build'!$E$6:$E$485,C8)</x:f>
        <x:v>999426</x:v>
      </x:c>
      <x:c r="H8" s="18" t="n">
        <x:f>(SUMIFS('04 Allocation Ledger'!$M$6:$M$105,'04 Allocation Ledger'!$E$6:$E$105,C8,'04 Allocation Ledger'!$D$6:$D$105,"LIFT-AIR-H72")+SUMIFS('04 Allocation Ledger'!$M$6:$M$105,'04 Allocation Ledger'!$E$6:$E$105,C8,'04 Allocation Ledger'!$D$6:$D$105,"LIFT-OCEAN-H72")+SUMIFS('04 Allocation Ledger'!$M$6:$M$105,'04 Allocation Ledger'!$E$6:$E$105,C8,'04 Allocation Ledger'!$D$6:$D$105,"LIFT-LAND-H72")+SUMIFS('04 Allocation Ledger'!$M$6:$M$105,'04 Allocation Ledger'!$E$6:$E$105,C8,'04 Allocation Ledger'!$D$6:$D$105,"LIFT-INLAND-H72"))/G8</x:f>
        <x:v>0.6929582955616523</x:v>
      </x:c>
      <x:c r="I8" s="24" t="n">
        <x:f>SUMIFS('03 Demand Build'!$T$6:$T$485,'03 Demand Build'!$E$6:$E$485,C8)</x:f>
        <x:v>26260</x:v>
      </x:c>
      <x:c r="J8" s="18" t="n">
        <x:f>SUMIFS('04 Allocation Ledger'!$M$6:$M$105,'04 Allocation Ledger'!$D$6:$D$105,"SUSTAIN-DAY",'04 Allocation Ledger'!$E$6:$E$105,C8)/SUMIFS('04 Allocation Ledger'!$J$6:$J$105,'04 Allocation Ledger'!$D$6:$D$105,"SUSTAIN-DAY",'04 Allocation Ledger'!$E$6:$E$105,C8)</x:f>
        <x:v>1</x:v>
      </x:c>
      <x:c r="K8" s="18" t="n">
        <x:f>SUMIFS('04 Allocation Ledger'!$M$6:$M$105,'04 Allocation Ledger'!$D$6:$D$105,"HCG-DISTRICT-D7",'04 Allocation Ledger'!$E$6:$E$105,C8)/SUMIFS('04 Allocation Ledger'!$J$6:$J$105,'04 Allocation Ledger'!$D$6:$D$105,"HCG-DISTRICT-D7",'04 Allocation Ledger'!$E$6:$E$105,C8)</x:f>
        <x:v>1</x:v>
      </x:c>
      <x:c r="L8" s="18" t="n">
        <x:f>SUMIFS('04 Allocation Ledger'!$M$6:$M$105,'04 Allocation Ledger'!$D$6:$D$105,"HCG-ROUTE-H48",'04 Allocation Ledger'!$E$6:$E$105,C8)/SUMIFS('04 Allocation Ledger'!$J$6:$J$105,'04 Allocation Ledger'!$D$6:$D$105,"HCG-ROUTE-H48",'04 Allocation Ledger'!$E$6:$E$105,C8)</x:f>
        <x:v>1</x:v>
      </x:c>
      <x:c r="M8" s="18" t="n">
        <x:f>SUMIFS('04 Allocation Ledger'!$M$6:$M$105,'04 Allocation Ledger'!$D$6:$D$105,"HCG-POWER-H72",'04 Allocation Ledger'!$E$6:$E$105,C8)/SUMIFS('04 Allocation Ledger'!$J$6:$J$105,'04 Allocation Ledger'!$D$6:$D$105,"HCG-POWER-H72",'04 Allocation Ledger'!$E$6:$E$105,C8)</x:f>
        <x:v>1</x:v>
      </x:c>
      <x:c r="N8" s="18" t="n">
        <x:f>SUMIFS('04 Allocation Ledger'!$M$6:$M$105,'04 Allocation Ledger'!$D$6:$D$105,"HCG-WATER-H72",'04 Allocation Ledger'!$E$6:$E$105,C8)/SUMIFS('04 Allocation Ledger'!$J$6:$J$105,'04 Allocation Ledger'!$D$6:$D$105,"HCG-WATER-H72",'04 Allocation Ledger'!$E$6:$E$105,C8)</x:f>
        <x:v>1</x:v>
      </x:c>
      <x:c r="O8" s="18" t="n">
        <x:f>MIN(F8,H8,J8:N8)</x:f>
        <x:v>0.6929582955616523</x:v>
      </x:c>
      <x:c r="P8" s="21" t="n">
        <x:f>COUNTIFS('04 Allocation Ledger'!$E$6:$E$105,C8,'04 Allocation Ledger'!$Q$6:$Q$105,"FAIL")</x:f>
        <x:v>2</x:v>
      </x:c>
      <x:c r="Q8" s="21" t="str">
        <x:f>IF(P8=0,"PASS","FAIL")</x:f>
        <x:v>FAIL</x:v>
      </x:c>
    </x:row>
    <x:row r="9">
      <x:c r="C9" s="11" t="str">
        <x:v>M1</x:v>
      </x:c>
      <x:c r="D9" s="11" t="str">
        <x:v>Western fire and heat</x:v>
      </x:c>
      <x:c r="E9" s="24" t="n">
        <x:f>SUMIFS('03 Demand Build'!$N$6:$N$485,'03 Demand Build'!$E$6:$E$485,C9)</x:f>
        <x:v>101946</x:v>
      </x:c>
      <x:c r="F9" s="18" t="n">
        <x:f>SUMIFS('04 Allocation Ledger'!$M$6:$M$105,'04 Allocation Ledger'!$D$6:$D$105,"BASE-RESP-D7",'04 Allocation Ledger'!$E$6:$E$105,C9)/SUMIFS('04 Allocation Ledger'!$J$6:$J$105,'04 Allocation Ledger'!$D$6:$D$105,"BASE-RESP-D7",'04 Allocation Ledger'!$E$6:$E$105,C9)</x:f>
        <x:v>1</x:v>
      </x:c>
      <x:c r="G9" s="24" t="n">
        <x:f>SUMIFS('03 Demand Build'!$R$6:$R$485,'03 Demand Build'!$E$6:$E$485,C9)</x:f>
        <x:v>369804.9749999999</x:v>
      </x:c>
      <x:c r="H9" s="18" t="n">
        <x:f>(SUMIFS('04 Allocation Ledger'!$M$6:$M$105,'04 Allocation Ledger'!$E$6:$E$105,C9,'04 Allocation Ledger'!$D$6:$D$105,"LIFT-AIR-H72")+SUMIFS('04 Allocation Ledger'!$M$6:$M$105,'04 Allocation Ledger'!$E$6:$E$105,C9,'04 Allocation Ledger'!$D$6:$D$105,"LIFT-OCEAN-H72")+SUMIFS('04 Allocation Ledger'!$M$6:$M$105,'04 Allocation Ledger'!$E$6:$E$105,C9,'04 Allocation Ledger'!$D$6:$D$105,"LIFT-LAND-H72")+SUMIFS('04 Allocation Ledger'!$M$6:$M$105,'04 Allocation Ledger'!$E$6:$E$105,C9,'04 Allocation Ledger'!$D$6:$D$105,"LIFT-INLAND-H72"))/G9</x:f>
        <x:v>0</x:v>
      </x:c>
      <x:c r="I9" s="24" t="n">
        <x:f>SUMIFS('03 Demand Build'!$T$6:$T$485,'03 Demand Build'!$E$6:$E$485,C9)</x:f>
        <x:v>9780</x:v>
      </x:c>
      <x:c r="J9" s="18" t="n">
        <x:f>SUMIFS('04 Allocation Ledger'!$M$6:$M$105,'04 Allocation Ledger'!$D$6:$D$105,"SUSTAIN-DAY",'04 Allocation Ledger'!$E$6:$E$105,C9)/SUMIFS('04 Allocation Ledger'!$J$6:$J$105,'04 Allocation Ledger'!$D$6:$D$105,"SUSTAIN-DAY",'04 Allocation Ledger'!$E$6:$E$105,C9)</x:f>
        <x:v>1</x:v>
      </x:c>
      <x:c r="K9" s="18" t="n">
        <x:f>SUMIFS('04 Allocation Ledger'!$M$6:$M$105,'04 Allocation Ledger'!$D$6:$D$105,"HCG-DISTRICT-D7",'04 Allocation Ledger'!$E$6:$E$105,C9)/SUMIFS('04 Allocation Ledger'!$J$6:$J$105,'04 Allocation Ledger'!$D$6:$D$105,"HCG-DISTRICT-D7",'04 Allocation Ledger'!$E$6:$E$105,C9)</x:f>
        <x:v>1</x:v>
      </x:c>
      <x:c r="L9" s="18" t="n">
        <x:f>SUMIFS('04 Allocation Ledger'!$M$6:$M$105,'04 Allocation Ledger'!$D$6:$D$105,"HCG-ROUTE-H48",'04 Allocation Ledger'!$E$6:$E$105,C9)/SUMIFS('04 Allocation Ledger'!$J$6:$J$105,'04 Allocation Ledger'!$D$6:$D$105,"HCG-ROUTE-H48",'04 Allocation Ledger'!$E$6:$E$105,C9)</x:f>
        <x:v>1</x:v>
      </x:c>
      <x:c r="M9" s="18" t="n">
        <x:f>SUMIFS('04 Allocation Ledger'!$M$6:$M$105,'04 Allocation Ledger'!$D$6:$D$105,"HCG-POWER-H72",'04 Allocation Ledger'!$E$6:$E$105,C9)/SUMIFS('04 Allocation Ledger'!$J$6:$J$105,'04 Allocation Ledger'!$D$6:$D$105,"HCG-POWER-H72",'04 Allocation Ledger'!$E$6:$E$105,C9)</x:f>
        <x:v>1</x:v>
      </x:c>
      <x:c r="N9" s="18" t="n">
        <x:f>SUMIFS('04 Allocation Ledger'!$M$6:$M$105,'04 Allocation Ledger'!$D$6:$D$105,"HCG-WATER-H72",'04 Allocation Ledger'!$E$6:$E$105,C9)/SUMIFS('04 Allocation Ledger'!$J$6:$J$105,'04 Allocation Ledger'!$D$6:$D$105,"HCG-WATER-H72",'04 Allocation Ledger'!$E$6:$E$105,C9)</x:f>
        <x:v>1</x:v>
      </x:c>
      <x:c r="O9" s="18" t="n">
        <x:f>MIN(F9,H9,J9:N9)</x:f>
        <x:v>0</x:v>
      </x:c>
      <x:c r="P9" s="21" t="n">
        <x:f>COUNTIFS('04 Allocation Ledger'!$E$6:$E$105,C9,'04 Allocation Ledger'!$Q$6:$Q$105,"FAIL")</x:f>
        <x:v>2</x:v>
      </x:c>
      <x:c r="Q9" s="21" t="str">
        <x:f>IF(P9=0,"PASS","FAIL")</x:f>
        <x:v>FAIL</x:v>
      </x:c>
    </x:row>
    <x:row r="10">
      <x:c r="C10" s="11" t="str">
        <x:v>M2</x:v>
      </x:c>
      <x:c r="D10" s="11" t="str">
        <x:v>Urban heat</x:v>
      </x:c>
      <x:c r="E10" s="24" t="n">
        <x:f>SUMIFS('03 Demand Build'!$N$6:$N$485,'03 Demand Build'!$E$6:$E$485,C10)</x:f>
        <x:v>149334</x:v>
      </x:c>
      <x:c r="F10" s="18" t="n">
        <x:f>SUMIFS('04 Allocation Ledger'!$M$6:$M$105,'04 Allocation Ledger'!$D$6:$D$105,"BASE-RESP-D7",'04 Allocation Ledger'!$E$6:$E$105,C10)/SUMIFS('04 Allocation Ledger'!$J$6:$J$105,'04 Allocation Ledger'!$D$6:$D$105,"BASE-RESP-D7",'04 Allocation Ledger'!$E$6:$E$105,C10)</x:f>
        <x:v>1</x:v>
      </x:c>
      <x:c r="G10" s="24" t="n">
        <x:f>SUMIFS('03 Demand Build'!$R$6:$R$485,'03 Demand Build'!$E$6:$E$485,C10)</x:f>
        <x:v>458302.94999999995</x:v>
      </x:c>
      <x:c r="H10" s="18" t="n">
        <x:f>(SUMIFS('04 Allocation Ledger'!$M$6:$M$105,'04 Allocation Ledger'!$E$6:$E$105,C10,'04 Allocation Ledger'!$D$6:$D$105,"LIFT-AIR-H72")+SUMIFS('04 Allocation Ledger'!$M$6:$M$105,'04 Allocation Ledger'!$E$6:$E$105,C10,'04 Allocation Ledger'!$D$6:$D$105,"LIFT-OCEAN-H72")+SUMIFS('04 Allocation Ledger'!$M$6:$M$105,'04 Allocation Ledger'!$E$6:$E$105,C10,'04 Allocation Ledger'!$D$6:$D$105,"LIFT-LAND-H72")+SUMIFS('04 Allocation Ledger'!$M$6:$M$105,'04 Allocation Ledger'!$E$6:$E$105,C10,'04 Allocation Ledger'!$D$6:$D$105,"LIFT-INLAND-H72"))/G10</x:f>
        <x:v>0</x:v>
      </x:c>
      <x:c r="I10" s="24" t="n">
        <x:f>SUMIFS('03 Demand Build'!$T$6:$T$485,'03 Demand Build'!$E$6:$E$485,C10)</x:f>
        <x:v>11085</x:v>
      </x:c>
      <x:c r="J10" s="18" t="n">
        <x:f>SUMIFS('04 Allocation Ledger'!$M$6:$M$105,'04 Allocation Ledger'!$D$6:$D$105,"SUSTAIN-DAY",'04 Allocation Ledger'!$E$6:$E$105,C10)/SUMIFS('04 Allocation Ledger'!$J$6:$J$105,'04 Allocation Ledger'!$D$6:$D$105,"SUSTAIN-DAY",'04 Allocation Ledger'!$E$6:$E$105,C10)</x:f>
        <x:v>1</x:v>
      </x:c>
      <x:c r="K10" s="18" t="n">
        <x:f>SUMIFS('04 Allocation Ledger'!$M$6:$M$105,'04 Allocation Ledger'!$D$6:$D$105,"HCG-DISTRICT-D7",'04 Allocation Ledger'!$E$6:$E$105,C10)/SUMIFS('04 Allocation Ledger'!$J$6:$J$105,'04 Allocation Ledger'!$D$6:$D$105,"HCG-DISTRICT-D7",'04 Allocation Ledger'!$E$6:$E$105,C10)</x:f>
        <x:v>1</x:v>
      </x:c>
      <x:c r="L10" s="18" t="n">
        <x:f>SUMIFS('04 Allocation Ledger'!$M$6:$M$105,'04 Allocation Ledger'!$D$6:$D$105,"HCG-ROUTE-H48",'04 Allocation Ledger'!$E$6:$E$105,C10)/SUMIFS('04 Allocation Ledger'!$J$6:$J$105,'04 Allocation Ledger'!$D$6:$D$105,"HCG-ROUTE-H48",'04 Allocation Ledger'!$E$6:$E$105,C10)</x:f>
        <x:v>1</x:v>
      </x:c>
      <x:c r="M10" s="18" t="n">
        <x:f>SUMIFS('04 Allocation Ledger'!$M$6:$M$105,'04 Allocation Ledger'!$D$6:$D$105,"HCG-POWER-H72",'04 Allocation Ledger'!$E$6:$E$105,C10)/SUMIFS('04 Allocation Ledger'!$J$6:$J$105,'04 Allocation Ledger'!$D$6:$D$105,"HCG-POWER-H72",'04 Allocation Ledger'!$E$6:$E$105,C10)</x:f>
        <x:v>1</x:v>
      </x:c>
      <x:c r="N10" s="18" t="n">
        <x:f>SUMIFS('04 Allocation Ledger'!$M$6:$M$105,'04 Allocation Ledger'!$D$6:$D$105,"HCG-WATER-H72",'04 Allocation Ledger'!$E$6:$E$105,C10)/SUMIFS('04 Allocation Ledger'!$J$6:$J$105,'04 Allocation Ledger'!$D$6:$D$105,"HCG-WATER-H72",'04 Allocation Ledger'!$E$6:$E$105,C10)</x:f>
        <x:v>1</x:v>
      </x:c>
      <x:c r="O10" s="18" t="n">
        <x:f>MIN(F10,H10,J10:N10)</x:f>
        <x:v>0</x:v>
      </x:c>
      <x:c r="P10" s="21" t="n">
        <x:f>COUNTIFS('04 Allocation Ledger'!$E$6:$E$105,C10,'04 Allocation Ledger'!$Q$6:$Q$105,"FAIL")</x:f>
        <x:v>2</x:v>
      </x:c>
      <x:c r="Q10" s="21" t="str">
        <x:f>IF(P10=0,"PASS","FAIL")</x:f>
        <x:v>FAIL</x:v>
      </x:c>
    </x:row>
    <x:row r="11">
      <x:c r="C11" s="11" t="str">
        <x:v>M3</x:v>
      </x:c>
      <x:c r="D11" s="11" t="str">
        <x:v>Inland flood</x:v>
      </x:c>
      <x:c r="E11" s="24" t="n">
        <x:f>SUMIFS('03 Demand Build'!$N$6:$N$485,'03 Demand Build'!$E$6:$E$485,C11)</x:f>
        <x:v>153131</x:v>
      </x:c>
      <x:c r="F11" s="18" t="n">
        <x:f>SUMIFS('04 Allocation Ledger'!$M$6:$M$105,'04 Allocation Ledger'!$D$6:$D$105,"BASE-RESP-D7",'04 Allocation Ledger'!$E$6:$E$105,C11)/SUMIFS('04 Allocation Ledger'!$J$6:$J$105,'04 Allocation Ledger'!$D$6:$D$105,"BASE-RESP-D7",'04 Allocation Ledger'!$E$6:$E$105,C11)</x:f>
        <x:v>1</x:v>
      </x:c>
      <x:c r="G11" s="24" t="n">
        <x:f>SUMIFS('03 Demand Build'!$R$6:$R$485,'03 Demand Build'!$E$6:$E$485,C11)</x:f>
        <x:v>530043</x:v>
      </x:c>
      <x:c r="H11" s="18" t="n">
        <x:f>(SUMIFS('04 Allocation Ledger'!$M$6:$M$105,'04 Allocation Ledger'!$E$6:$E$105,C11,'04 Allocation Ledger'!$D$6:$D$105,"LIFT-AIR-H72")+SUMIFS('04 Allocation Ledger'!$M$6:$M$105,'04 Allocation Ledger'!$E$6:$E$105,C11,'04 Allocation Ledger'!$D$6:$D$105,"LIFT-OCEAN-H72")+SUMIFS('04 Allocation Ledger'!$M$6:$M$105,'04 Allocation Ledger'!$E$6:$E$105,C11,'04 Allocation Ledger'!$D$6:$D$105,"LIFT-LAND-H72")+SUMIFS('04 Allocation Ledger'!$M$6:$M$105,'04 Allocation Ledger'!$E$6:$E$105,C11,'04 Allocation Ledger'!$D$6:$D$105,"LIFT-INLAND-H72"))/G11</x:f>
        <x:v>0.25</x:v>
      </x:c>
      <x:c r="I11" s="24" t="n">
        <x:f>SUMIFS('03 Demand Build'!$T$6:$T$485,'03 Demand Build'!$E$6:$E$485,C11)</x:f>
        <x:v>14065</x:v>
      </x:c>
      <x:c r="J11" s="18" t="n">
        <x:f>SUMIFS('04 Allocation Ledger'!$M$6:$M$105,'04 Allocation Ledger'!$D$6:$D$105,"SUSTAIN-DAY",'04 Allocation Ledger'!$E$6:$E$105,C11)/SUMIFS('04 Allocation Ledger'!$J$6:$J$105,'04 Allocation Ledger'!$D$6:$D$105,"SUSTAIN-DAY",'04 Allocation Ledger'!$E$6:$E$105,C11)</x:f>
        <x:v>1</x:v>
      </x:c>
      <x:c r="K11" s="18" t="n">
        <x:f>SUMIFS('04 Allocation Ledger'!$M$6:$M$105,'04 Allocation Ledger'!$D$6:$D$105,"HCG-DISTRICT-D7",'04 Allocation Ledger'!$E$6:$E$105,C11)/SUMIFS('04 Allocation Ledger'!$J$6:$J$105,'04 Allocation Ledger'!$D$6:$D$105,"HCG-DISTRICT-D7",'04 Allocation Ledger'!$E$6:$E$105,C11)</x:f>
        <x:v>1</x:v>
      </x:c>
      <x:c r="L11" s="18" t="n">
        <x:f>SUMIFS('04 Allocation Ledger'!$M$6:$M$105,'04 Allocation Ledger'!$D$6:$D$105,"HCG-ROUTE-H48",'04 Allocation Ledger'!$E$6:$E$105,C11)/SUMIFS('04 Allocation Ledger'!$J$6:$J$105,'04 Allocation Ledger'!$D$6:$D$105,"HCG-ROUTE-H48",'04 Allocation Ledger'!$E$6:$E$105,C11)</x:f>
        <x:v>1</x:v>
      </x:c>
      <x:c r="M11" s="18" t="n">
        <x:f>SUMIFS('04 Allocation Ledger'!$M$6:$M$105,'04 Allocation Ledger'!$D$6:$D$105,"HCG-POWER-H72",'04 Allocation Ledger'!$E$6:$E$105,C11)/SUMIFS('04 Allocation Ledger'!$J$6:$J$105,'04 Allocation Ledger'!$D$6:$D$105,"HCG-POWER-H72",'04 Allocation Ledger'!$E$6:$E$105,C11)</x:f>
        <x:v>1</x:v>
      </x:c>
      <x:c r="N11" s="18" t="n">
        <x:f>SUMIFS('04 Allocation Ledger'!$M$6:$M$105,'04 Allocation Ledger'!$D$6:$D$105,"HCG-WATER-H72",'04 Allocation Ledger'!$E$6:$E$105,C11)/SUMIFS('04 Allocation Ledger'!$J$6:$J$105,'04 Allocation Ledger'!$D$6:$D$105,"HCG-WATER-H72",'04 Allocation Ledger'!$E$6:$E$105,C11)</x:f>
        <x:v>1</x:v>
      </x:c>
      <x:c r="O11" s="18" t="n">
        <x:f>MIN(F11,H11,J11:N11)</x:f>
        <x:v>0.25</x:v>
      </x:c>
      <x:c r="P11" s="21" t="n">
        <x:f>COUNTIFS('04 Allocation Ledger'!$E$6:$E$105,C11,'04 Allocation Ledger'!$Q$6:$Q$105,"FAIL")</x:f>
        <x:v>2</x:v>
      </x:c>
      <x:c r="Q11" s="21" t="str">
        <x:f>IF(P11=0,"PASS","FAIL")</x:f>
        <x:v>FAIL</x:v>
      </x:c>
    </x:row>
    <x:row r="12">
      <x:c r="C12" s="11" t="str">
        <x:v>M4</x:v>
      </x:c>
      <x:c r="D12" s="11" t="str">
        <x:v>Tornado sequence</x:v>
      </x:c>
      <x:c r="E12" s="24" t="n">
        <x:f>SUMIFS('03 Demand Build'!$N$6:$N$485,'03 Demand Build'!$E$6:$E$485,C12)</x:f>
        <x:v>167431</x:v>
      </x:c>
      <x:c r="F12" s="18" t="n">
        <x:f>SUMIFS('04 Allocation Ledger'!$M$6:$M$105,'04 Allocation Ledger'!$D$6:$D$105,"BASE-RESP-D7",'04 Allocation Ledger'!$E$6:$E$105,C12)/SUMIFS('04 Allocation Ledger'!$J$6:$J$105,'04 Allocation Ledger'!$D$6:$D$105,"BASE-RESP-D7",'04 Allocation Ledger'!$E$6:$E$105,C12)</x:f>
        <x:v>1</x:v>
      </x:c>
      <x:c r="G12" s="24" t="n">
        <x:f>SUMIFS('03 Demand Build'!$R$6:$R$485,'03 Demand Build'!$E$6:$E$485,C12)</x:f>
        <x:v>582855.375</x:v>
      </x:c>
      <x:c r="H12" s="18" t="n">
        <x:f>(SUMIFS('04 Allocation Ledger'!$M$6:$M$105,'04 Allocation Ledger'!$E$6:$E$105,C12,'04 Allocation Ledger'!$D$6:$D$105,"LIFT-AIR-H72")+SUMIFS('04 Allocation Ledger'!$M$6:$M$105,'04 Allocation Ledger'!$E$6:$E$105,C12,'04 Allocation Ledger'!$D$6:$D$105,"LIFT-OCEAN-H72")+SUMIFS('04 Allocation Ledger'!$M$6:$M$105,'04 Allocation Ledger'!$E$6:$E$105,C12,'04 Allocation Ledger'!$D$6:$D$105,"LIFT-LAND-H72")+SUMIFS('04 Allocation Ledger'!$M$6:$M$105,'04 Allocation Ledger'!$E$6:$E$105,C12,'04 Allocation Ledger'!$D$6:$D$105,"LIFT-INLAND-H72"))/G12</x:f>
        <x:v>0</x:v>
      </x:c>
      <x:c r="I12" s="24" t="n">
        <x:f>SUMIFS('03 Demand Build'!$T$6:$T$485,'03 Demand Build'!$E$6:$E$485,C12)</x:f>
        <x:v>15575</x:v>
      </x:c>
      <x:c r="J12" s="18" t="n">
        <x:f>SUMIFS('04 Allocation Ledger'!$M$6:$M$105,'04 Allocation Ledger'!$D$6:$D$105,"SUSTAIN-DAY",'04 Allocation Ledger'!$E$6:$E$105,C12)/SUMIFS('04 Allocation Ledger'!$J$6:$J$105,'04 Allocation Ledger'!$D$6:$D$105,"SUSTAIN-DAY",'04 Allocation Ledger'!$E$6:$E$105,C12)</x:f>
        <x:v>1</x:v>
      </x:c>
      <x:c r="K12" s="18" t="n">
        <x:f>SUMIFS('04 Allocation Ledger'!$M$6:$M$105,'04 Allocation Ledger'!$D$6:$D$105,"HCG-DISTRICT-D7",'04 Allocation Ledger'!$E$6:$E$105,C12)/SUMIFS('04 Allocation Ledger'!$J$6:$J$105,'04 Allocation Ledger'!$D$6:$D$105,"HCG-DISTRICT-D7",'04 Allocation Ledger'!$E$6:$E$105,C12)</x:f>
        <x:v>1</x:v>
      </x:c>
      <x:c r="L12" s="18" t="n">
        <x:f>SUMIFS('04 Allocation Ledger'!$M$6:$M$105,'04 Allocation Ledger'!$D$6:$D$105,"HCG-ROUTE-H48",'04 Allocation Ledger'!$E$6:$E$105,C12)/SUMIFS('04 Allocation Ledger'!$J$6:$J$105,'04 Allocation Ledger'!$D$6:$D$105,"HCG-ROUTE-H48",'04 Allocation Ledger'!$E$6:$E$105,C12)</x:f>
        <x:v>1</x:v>
      </x:c>
      <x:c r="M12" s="18" t="n">
        <x:f>SUMIFS('04 Allocation Ledger'!$M$6:$M$105,'04 Allocation Ledger'!$D$6:$D$105,"HCG-POWER-H72",'04 Allocation Ledger'!$E$6:$E$105,C12)/SUMIFS('04 Allocation Ledger'!$J$6:$J$105,'04 Allocation Ledger'!$D$6:$D$105,"HCG-POWER-H72",'04 Allocation Ledger'!$E$6:$E$105,C12)</x:f>
        <x:v>1</x:v>
      </x:c>
      <x:c r="N12" s="18" t="n">
        <x:f>SUMIFS('04 Allocation Ledger'!$M$6:$M$105,'04 Allocation Ledger'!$D$6:$D$105,"HCG-WATER-H72",'04 Allocation Ledger'!$E$6:$E$105,C12)/SUMIFS('04 Allocation Ledger'!$J$6:$J$105,'04 Allocation Ledger'!$D$6:$D$105,"HCG-WATER-H72",'04 Allocation Ledger'!$E$6:$E$105,C12)</x:f>
        <x:v>1</x:v>
      </x:c>
      <x:c r="O12" s="18" t="n">
        <x:f>MIN(F12,H12,J12:N12)</x:f>
        <x:v>0</x:v>
      </x:c>
      <x:c r="P12" s="21" t="n">
        <x:f>COUNTIFS('04 Allocation Ledger'!$E$6:$E$105,C12,'04 Allocation Ledger'!$Q$6:$Q$105,"FAIL")</x:f>
        <x:v>2</x:v>
      </x:c>
      <x:c r="Q12" s="21" t="str">
        <x:f>IF(P12=0,"PASS","FAIL")</x:f>
        <x:v>FAIL</x:v>
      </x:c>
    </x:row>
    <x:row r="13">
      <x:c r="C13" s="11" t="str">
        <x:v>M5</x:v>
      </x:c>
      <x:c r="D13" s="11" t="str">
        <x:v>Drought and water</x:v>
      </x:c>
      <x:c r="E13" s="24" t="n">
        <x:f>SUMIFS('03 Demand Build'!$N$6:$N$485,'03 Demand Build'!$E$6:$E$485,C13)</x:f>
        <x:v>168257</x:v>
      </x:c>
      <x:c r="F13" s="18" t="n">
        <x:f>SUMIFS('04 Allocation Ledger'!$M$6:$M$105,'04 Allocation Ledger'!$D$6:$D$105,"BASE-RESP-D7",'04 Allocation Ledger'!$E$6:$E$105,C13)/SUMIFS('04 Allocation Ledger'!$J$6:$J$105,'04 Allocation Ledger'!$D$6:$D$105,"BASE-RESP-D7",'04 Allocation Ledger'!$E$6:$E$105,C13)</x:f>
        <x:v>1</x:v>
      </x:c>
      <x:c r="G13" s="24" t="n">
        <x:f>SUMIFS('03 Demand Build'!$R$6:$R$485,'03 Demand Build'!$E$6:$E$485,C13)</x:f>
        <x:v>552661.8</x:v>
      </x:c>
      <x:c r="H13" s="18" t="n">
        <x:f>(SUMIFS('04 Allocation Ledger'!$M$6:$M$105,'04 Allocation Ledger'!$E$6:$E$105,C13,'04 Allocation Ledger'!$D$6:$D$105,"LIFT-AIR-H72")+SUMIFS('04 Allocation Ledger'!$M$6:$M$105,'04 Allocation Ledger'!$E$6:$E$105,C13,'04 Allocation Ledger'!$D$6:$D$105,"LIFT-OCEAN-H72")+SUMIFS('04 Allocation Ledger'!$M$6:$M$105,'04 Allocation Ledger'!$E$6:$E$105,C13,'04 Allocation Ledger'!$D$6:$D$105,"LIFT-LAND-H72")+SUMIFS('04 Allocation Ledger'!$M$6:$M$105,'04 Allocation Ledger'!$E$6:$E$105,C13,'04 Allocation Ledger'!$D$6:$D$105,"LIFT-INLAND-H72"))/G13</x:f>
        <x:v>0.14999999999999997</x:v>
      </x:c>
      <x:c r="I13" s="24" t="n">
        <x:f>SUMIFS('03 Demand Build'!$T$6:$T$485,'03 Demand Build'!$E$6:$E$485,C13)</x:f>
        <x:v>13825</x:v>
      </x:c>
      <x:c r="J13" s="18" t="n">
        <x:f>SUMIFS('04 Allocation Ledger'!$M$6:$M$105,'04 Allocation Ledger'!$D$6:$D$105,"SUSTAIN-DAY",'04 Allocation Ledger'!$E$6:$E$105,C13)/SUMIFS('04 Allocation Ledger'!$J$6:$J$105,'04 Allocation Ledger'!$D$6:$D$105,"SUSTAIN-DAY",'04 Allocation Ledger'!$E$6:$E$105,C13)</x:f>
        <x:v>1</x:v>
      </x:c>
      <x:c r="K13" s="18" t="n">
        <x:f>SUMIFS('04 Allocation Ledger'!$M$6:$M$105,'04 Allocation Ledger'!$D$6:$D$105,"HCG-DISTRICT-D7",'04 Allocation Ledger'!$E$6:$E$105,C13)/SUMIFS('04 Allocation Ledger'!$J$6:$J$105,'04 Allocation Ledger'!$D$6:$D$105,"HCG-DISTRICT-D7",'04 Allocation Ledger'!$E$6:$E$105,C13)</x:f>
        <x:v>1</x:v>
      </x:c>
      <x:c r="L13" s="18" t="n">
        <x:f>SUMIFS('04 Allocation Ledger'!$M$6:$M$105,'04 Allocation Ledger'!$D$6:$D$105,"HCG-ROUTE-H48",'04 Allocation Ledger'!$E$6:$E$105,C13)/SUMIFS('04 Allocation Ledger'!$J$6:$J$105,'04 Allocation Ledger'!$D$6:$D$105,"HCG-ROUTE-H48",'04 Allocation Ledger'!$E$6:$E$105,C13)</x:f>
        <x:v>1</x:v>
      </x:c>
      <x:c r="M13" s="18" t="n">
        <x:f>SUMIFS('04 Allocation Ledger'!$M$6:$M$105,'04 Allocation Ledger'!$D$6:$D$105,"HCG-POWER-H72",'04 Allocation Ledger'!$E$6:$E$105,C13)/SUMIFS('04 Allocation Ledger'!$J$6:$J$105,'04 Allocation Ledger'!$D$6:$D$105,"HCG-POWER-H72",'04 Allocation Ledger'!$E$6:$E$105,C13)</x:f>
        <x:v>1</x:v>
      </x:c>
      <x:c r="N13" s="18" t="n">
        <x:f>SUMIFS('04 Allocation Ledger'!$M$6:$M$105,'04 Allocation Ledger'!$D$6:$D$105,"HCG-WATER-H72",'04 Allocation Ledger'!$E$6:$E$105,C13)/SUMIFS('04 Allocation Ledger'!$J$6:$J$105,'04 Allocation Ledger'!$D$6:$D$105,"HCG-WATER-H72",'04 Allocation Ledger'!$E$6:$E$105,C13)</x:f>
        <x:v>1</x:v>
      </x:c>
      <x:c r="O13" s="18" t="n">
        <x:f>MIN(F13,H13,J13:N13)</x:f>
        <x:v>0.14999999999999997</x:v>
      </x:c>
      <x:c r="P13" s="21" t="n">
        <x:f>COUNTIFS('04 Allocation Ledger'!$E$6:$E$105,C13,'04 Allocation Ledger'!$Q$6:$Q$105,"FAIL")</x:f>
        <x:v>2</x:v>
      </x:c>
      <x:c r="Q13" s="21" t="str">
        <x:f>IF(P13=0,"PASS","FAIL")</x:f>
        <x:v>FAIL</x:v>
      </x:c>
    </x:row>
    <x:row r="14">
      <x:c r="C14" s="11" t="str">
        <x:v>G1</x:v>
      </x:c>
      <x:c r="D14" s="11" t="str">
        <x:v>Allied megacity earthquake</x:v>
      </x:c>
      <x:c r="E14" s="24" t="n">
        <x:f>SUMIFS('03 Demand Build'!$N$6:$N$485,'03 Demand Build'!$E$6:$E$485,C14)</x:f>
        <x:v>284300</x:v>
      </x:c>
      <x:c r="F14" s="18" t="n">
        <x:f>SUMIFS('04 Allocation Ledger'!$M$6:$M$105,'04 Allocation Ledger'!$D$6:$D$105,"BASE-RESP-D7",'04 Allocation Ledger'!$E$6:$E$105,C14)/SUMIFS('04 Allocation Ledger'!$J$6:$J$105,'04 Allocation Ledger'!$D$6:$D$105,"BASE-RESP-D7",'04 Allocation Ledger'!$E$6:$E$105,C14)</x:f>
        <x:v>0.12121350685895181</x:v>
      </x:c>
      <x:c r="G14" s="24" t="n">
        <x:f>SUMIFS('03 Demand Build'!$R$6:$R$485,'03 Demand Build'!$E$6:$E$485,C14)</x:f>
        <x:v>919651.8</x:v>
      </x:c>
      <x:c r="H14" s="18" t="n">
        <x:f>(SUMIFS('04 Allocation Ledger'!$M$6:$M$105,'04 Allocation Ledger'!$E$6:$E$105,C14,'04 Allocation Ledger'!$D$6:$D$105,"LIFT-AIR-H72")+SUMIFS('04 Allocation Ledger'!$M$6:$M$105,'04 Allocation Ledger'!$E$6:$E$105,C14,'04 Allocation Ledger'!$D$6:$D$105,"LIFT-OCEAN-H72")+SUMIFS('04 Allocation Ledger'!$M$6:$M$105,'04 Allocation Ledger'!$E$6:$E$105,C14,'04 Allocation Ledger'!$D$6:$D$105,"LIFT-LAND-H72")+SUMIFS('04 Allocation Ledger'!$M$6:$M$105,'04 Allocation Ledger'!$E$6:$E$105,C14,'04 Allocation Ledger'!$D$6:$D$105,"LIFT-INLAND-H72"))/G14</x:f>
        <x:v>0.10197066976871029</x:v>
      </x:c>
      <x:c r="I14" s="24" t="n">
        <x:f>SUMIFS('03 Demand Build'!$T$6:$T$485,'03 Demand Build'!$E$6:$E$485,C14)</x:f>
        <x:v>24145</x:v>
      </x:c>
      <x:c r="J14" s="18" t="n">
        <x:f>SUMIFS('04 Allocation Ledger'!$M$6:$M$105,'04 Allocation Ledger'!$D$6:$D$105,"SUSTAIN-DAY",'04 Allocation Ledger'!$E$6:$E$105,C14)/SUMIFS('04 Allocation Ledger'!$J$6:$J$105,'04 Allocation Ledger'!$D$6:$D$105,"SUSTAIN-DAY",'04 Allocation Ledger'!$E$6:$E$105,C14)</x:f>
        <x:v>1</x:v>
      </x:c>
      <x:c r="K14" s="18" t="n">
        <x:f>SUMIFS('04 Allocation Ledger'!$M$6:$M$105,'04 Allocation Ledger'!$D$6:$D$105,"HCG-DISTRICT-D7",'04 Allocation Ledger'!$E$6:$E$105,C14)/SUMIFS('04 Allocation Ledger'!$J$6:$J$105,'04 Allocation Ledger'!$D$6:$D$105,"HCG-DISTRICT-D7",'04 Allocation Ledger'!$E$6:$E$105,C14)</x:f>
        <x:v>1</x:v>
      </x:c>
      <x:c r="L14" s="18" t="n">
        <x:f>SUMIFS('04 Allocation Ledger'!$M$6:$M$105,'04 Allocation Ledger'!$D$6:$D$105,"HCG-ROUTE-H48",'04 Allocation Ledger'!$E$6:$E$105,C14)/SUMIFS('04 Allocation Ledger'!$J$6:$J$105,'04 Allocation Ledger'!$D$6:$D$105,"HCG-ROUTE-H48",'04 Allocation Ledger'!$E$6:$E$105,C14)</x:f>
        <x:v>1</x:v>
      </x:c>
      <x:c r="M14" s="18" t="n">
        <x:f>SUMIFS('04 Allocation Ledger'!$M$6:$M$105,'04 Allocation Ledger'!$D$6:$D$105,"HCG-POWER-H72",'04 Allocation Ledger'!$E$6:$E$105,C14)/SUMIFS('04 Allocation Ledger'!$J$6:$J$105,'04 Allocation Ledger'!$D$6:$D$105,"HCG-POWER-H72",'04 Allocation Ledger'!$E$6:$E$105,C14)</x:f>
        <x:v>1</x:v>
      </x:c>
      <x:c r="N14" s="18" t="n">
        <x:f>SUMIFS('04 Allocation Ledger'!$M$6:$M$105,'04 Allocation Ledger'!$D$6:$D$105,"HCG-WATER-H72",'04 Allocation Ledger'!$E$6:$E$105,C14)/SUMIFS('04 Allocation Ledger'!$J$6:$J$105,'04 Allocation Ledger'!$D$6:$D$105,"HCG-WATER-H72",'04 Allocation Ledger'!$E$6:$E$105,C14)</x:f>
        <x:v>1</x:v>
      </x:c>
      <x:c r="O14" s="18" t="n">
        <x:f>MIN(F14,H14,J14:N14)</x:f>
        <x:v>0.10197066976871029</x:v>
      </x:c>
      <x:c r="P14" s="21" t="n">
        <x:f>COUNTIFS('04 Allocation Ledger'!$E$6:$E$105,C14,'04 Allocation Ledger'!$Q$6:$Q$105,"FAIL")</x:f>
        <x:v>3</x:v>
      </x:c>
      <x:c r="Q14" s="21" t="str">
        <x:f>IF(P14=0,"PASS","FAIL")</x:f>
        <x:v>FAIL</x:v>
      </x:c>
    </x:row>
    <x:row r="15">
      <x:c r="C15" s="11" t="str">
        <x:v>G2</x:v>
      </x:c>
      <x:c r="D15" s="11" t="str">
        <x:v>Regional flood and displacement</x:v>
      </x:c>
      <x:c r="E15" s="24" t="n">
        <x:f>SUMIFS('03 Demand Build'!$N$6:$N$485,'03 Demand Build'!$E$6:$E$485,C15)</x:f>
        <x:v>278944</x:v>
      </x:c>
      <x:c r="F15" s="18" t="n">
        <x:f>SUMIFS('04 Allocation Ledger'!$M$6:$M$105,'04 Allocation Ledger'!$D$6:$D$105,"BASE-RESP-D7",'04 Allocation Ledger'!$E$6:$E$105,C15)/SUMIFS('04 Allocation Ledger'!$J$6:$J$105,'04 Allocation Ledger'!$D$6:$D$105,"BASE-RESP-D7",'04 Allocation Ledger'!$E$6:$E$105,C15)</x:f>
        <x:v>0</x:v>
      </x:c>
      <x:c r="G15" s="24" t="n">
        <x:f>SUMIFS('03 Demand Build'!$R$6:$R$485,'03 Demand Build'!$E$6:$E$485,C15)</x:f>
        <x:v>916472.3999999999</x:v>
      </x:c>
      <x:c r="H15" s="18" t="n">
        <x:f>(SUMIFS('04 Allocation Ledger'!$M$6:$M$105,'04 Allocation Ledger'!$E$6:$E$105,C15,'04 Allocation Ledger'!$D$6:$D$105,"LIFT-AIR-H72")+SUMIFS('04 Allocation Ledger'!$M$6:$M$105,'04 Allocation Ledger'!$E$6:$E$105,C15,'04 Allocation Ledger'!$D$6:$D$105,"LIFT-OCEAN-H72")+SUMIFS('04 Allocation Ledger'!$M$6:$M$105,'04 Allocation Ledger'!$E$6:$E$105,C15,'04 Allocation Ledger'!$D$6:$D$105,"LIFT-LAND-H72")+SUMIFS('04 Allocation Ledger'!$M$6:$M$105,'04 Allocation Ledger'!$E$6:$E$105,C15,'04 Allocation Ledger'!$D$6:$D$105,"LIFT-INLAND-H72"))/G15</x:f>
        <x:v>0.10000000000000002</x:v>
      </x:c>
      <x:c r="I15" s="24" t="n">
        <x:f>SUMIFS('03 Demand Build'!$T$6:$T$485,'03 Demand Build'!$E$6:$E$485,C15)</x:f>
        <x:v>24645</x:v>
      </x:c>
      <x:c r="J15" s="18" t="n">
        <x:f>SUMIFS('04 Allocation Ledger'!$M$6:$M$105,'04 Allocation Ledger'!$D$6:$D$105,"SUSTAIN-DAY",'04 Allocation Ledger'!$E$6:$E$105,C15)/SUMIFS('04 Allocation Ledger'!$J$6:$J$105,'04 Allocation Ledger'!$D$6:$D$105,"SUSTAIN-DAY",'04 Allocation Ledger'!$E$6:$E$105,C15)</x:f>
        <x:v>1</x:v>
      </x:c>
      <x:c r="K15" s="18" t="n">
        <x:f>SUMIFS('04 Allocation Ledger'!$M$6:$M$105,'04 Allocation Ledger'!$D$6:$D$105,"HCG-DISTRICT-D7",'04 Allocation Ledger'!$E$6:$E$105,C15)/SUMIFS('04 Allocation Ledger'!$J$6:$J$105,'04 Allocation Ledger'!$D$6:$D$105,"HCG-DISTRICT-D7",'04 Allocation Ledger'!$E$6:$E$105,C15)</x:f>
        <x:v>1</x:v>
      </x:c>
      <x:c r="L15" s="18" t="n">
        <x:f>SUMIFS('04 Allocation Ledger'!$M$6:$M$105,'04 Allocation Ledger'!$D$6:$D$105,"HCG-ROUTE-H48",'04 Allocation Ledger'!$E$6:$E$105,C15)/SUMIFS('04 Allocation Ledger'!$J$6:$J$105,'04 Allocation Ledger'!$D$6:$D$105,"HCG-ROUTE-H48",'04 Allocation Ledger'!$E$6:$E$105,C15)</x:f>
        <x:v>1</x:v>
      </x:c>
      <x:c r="M15" s="18" t="n">
        <x:f>SUMIFS('04 Allocation Ledger'!$M$6:$M$105,'04 Allocation Ledger'!$D$6:$D$105,"HCG-POWER-H72",'04 Allocation Ledger'!$E$6:$E$105,C15)/SUMIFS('04 Allocation Ledger'!$J$6:$J$105,'04 Allocation Ledger'!$D$6:$D$105,"HCG-POWER-H72",'04 Allocation Ledger'!$E$6:$E$105,C15)</x:f>
        <x:v>1</x:v>
      </x:c>
      <x:c r="N15" s="18" t="n">
        <x:f>SUMIFS('04 Allocation Ledger'!$M$6:$M$105,'04 Allocation Ledger'!$D$6:$D$105,"HCG-WATER-H72",'04 Allocation Ledger'!$E$6:$E$105,C15)/SUMIFS('04 Allocation Ledger'!$J$6:$J$105,'04 Allocation Ledger'!$D$6:$D$105,"HCG-WATER-H72",'04 Allocation Ledger'!$E$6:$E$105,C15)</x:f>
        <x:v>1</x:v>
      </x:c>
      <x:c r="O15" s="18" t="n">
        <x:f>MIN(F15,H15,J15:N15)</x:f>
        <x:v>0</x:v>
      </x:c>
      <x:c r="P15" s="21" t="n">
        <x:f>COUNTIFS('04 Allocation Ledger'!$E$6:$E$105,C15,'04 Allocation Ledger'!$Q$6:$Q$105,"FAIL")</x:f>
        <x:v>3</x:v>
      </x:c>
      <x:c r="Q15" s="21" t="str">
        <x:f>IF(P15=0,"PASS","FAIL")</x:f>
        <x:v>FAIL</x:v>
      </x:c>
    </x:row>
  </x:sheetData>
  <x:conditionalFormatting sqref="Q6:Q15">
    <x:cfRule type="containsText" dxfId="18" priority="1" operator="containsText" text="FAIL"/>
    <x:cfRule type="containsText" dxfId="19" priority="2" operator="containsText" text="UNALLOCATED"/>
    <x:cfRule type="containsText" dxfId="20" priority="3" operator="containsText" text="OPEN"/>
    <x:cfRule type="containsText" dxfId="21" priority="4" operator="containsText" text="BLOCKED"/>
    <x:cfRule type="containsText" dxfId="22" priority="5" operator="containsText" text="PASS"/>
    <x:cfRule type="containsText" dxfId="23" priority="6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7efdffea2bcb405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0" hidden="0" customWidth="1"/>
    <x:col min="4" max="4" width="32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9" hidden="0" customWidth="1"/>
    <x:col min="10" max="10" width="21" hidden="0" customWidth="1"/>
    <x:col min="11" max="11" width="18" hidden="0" customWidth="1"/>
    <x:col min="12" max="12" width="17" hidden="0" customWidth="1"/>
    <x:col min="13" max="13" width="16" hidden="0" customWidth="1"/>
    <x:col min="14" max="14" width="18" hidden="0" customWidth="1"/>
    <x:col min="15" max="15" width="14" hidden="0" customWidth="1"/>
    <x:col min="16" max="16" width="17" hidden="0" customWidth="1"/>
  </x:cols>
  <x:sheetData>
    <x:row r="2">
      <x:c r="C2" s="2" t="str">
        <x:v>Shared workforce and capital credit control</x:v>
      </x:c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</x:row>
    <x:row r="3">
      <x:c r="C3" s="3" t="str">
        <x:v>A credit needs a named source pool and a non-conflicting allocation. Fiscal coverage does not establish operational readiness.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</x:row>
    <x:row r="5">
      <x:c r="C5" s="9" t="str">
        <x:v>Workforce source pool</x:v>
      </x:c>
      <x:c r="D5" s="9" t="str">
        <x:v>Affiliated capacity</x:v>
      </x:c>
      <x:c r="E5" s="9" t="str">
        <x:v>Authority</x:v>
      </x:c>
      <x:c r="F5" s="9" t="str">
        <x:v>Evidence state</x:v>
      </x:c>
      <x:c r="G5" s="47"/>
      <x:c r="H5" s="47"/>
      <x:c r="I5" s="47"/>
      <x:c r="J5" s="48"/>
      <x:c r="K5" s="48"/>
      <x:c r="L5" s="48"/>
      <x:c r="M5" s="48"/>
      <x:c r="N5" s="48"/>
      <x:c r="O5" s="48"/>
      <x:c r="P5" s="48"/>
    </x:row>
    <x:row r="6" ht="30" customHeight="1">
      <x:c r="C6" s="11" t="str">
        <x:v>WF-NUPS</x:v>
      </x:c>
      <x:c r="D6" s="25" t="n">
        <x:f>'01 Controls'!$E$15</x:f>
        <x:v>198197.55</x:v>
      </x:c>
      <x:c r="E6" s="15" t="str">
        <x:v>Pass 58 NUPS</x:v>
      </x:c>
      <x:c r="F6" s="15" t="str">
        <x:v>R2 PLANNING</x:v>
      </x:c>
      <x:c r="G6" s="47"/>
      <x:c r="H6" s="47"/>
      <x:c r="I6" s="47"/>
      <x:c r="J6" s="48"/>
      <x:c r="K6" s="48"/>
      <x:c r="L6" s="48"/>
      <x:c r="M6" s="48"/>
      <x:c r="N6" s="48"/>
      <x:c r="O6" s="48"/>
      <x:c r="P6" s="48"/>
    </x:row>
    <x:row r="7" ht="30" customHeight="1">
      <x:c r="C7" s="11" t="str">
        <x:v>WF-INFO</x:v>
      </x:c>
      <x:c r="D7" s="25" t="n">
        <x:v>0</x:v>
      </x:c>
      <x:c r="E7" s="15" t="str">
        <x:v>No common pool</x:v>
      </x:c>
      <x:c r="F7" s="15" t="str">
        <x:v>UNMAPPED</x:v>
      </x:c>
      <x:c r="G7" s="47"/>
      <x:c r="H7" s="47"/>
      <x:c r="I7" s="47"/>
      <x:c r="J7" s="48"/>
      <x:c r="K7" s="48"/>
      <x:c r="L7" s="48"/>
      <x:c r="M7" s="48"/>
      <x:c r="N7" s="48"/>
      <x:c r="O7" s="48"/>
      <x:c r="P7" s="48"/>
    </x:row>
    <x:row r="8" ht="30" customHeight="1">
      <x:c r="C8" s="11" t="str">
        <x:v>WF-PATIENT-MOB</x:v>
      </x:c>
      <x:c r="D8" s="25" t="n">
        <x:v>0</x:v>
      </x:c>
      <x:c r="E8" s="15" t="str">
        <x:v>No common pool</x:v>
      </x:c>
      <x:c r="F8" s="15" t="str">
        <x:v>UNMAPPED</x:v>
      </x:c>
      <x:c r="G8" s="47"/>
      <x:c r="H8" s="47"/>
      <x:c r="I8" s="47"/>
      <x:c r="J8" s="48"/>
      <x:c r="K8" s="48"/>
      <x:c r="L8" s="48"/>
      <x:c r="M8" s="48"/>
      <x:c r="N8" s="48"/>
      <x:c r="O8" s="48"/>
      <x:c r="P8" s="48"/>
    </x:row>
    <x:row r="9" ht="30" customHeight="1">
      <x:c r="C9" s="11" t="str">
        <x:v>WF-PREPARED-SITE</x:v>
      </x:c>
      <x:c r="D9" s="25" t="n">
        <x:v>0</x:v>
      </x:c>
      <x:c r="E9" s="15" t="str">
        <x:v>No common pool</x:v>
      </x:c>
      <x:c r="F9" s="15" t="str">
        <x:v>UNMAPPED</x:v>
      </x:c>
      <x:c r="G9" s="47"/>
      <x:c r="H9" s="47"/>
      <x:c r="I9" s="47"/>
      <x:c r="J9" s="48"/>
      <x:c r="K9" s="48"/>
      <x:c r="L9" s="48"/>
      <x:c r="M9" s="48"/>
      <x:c r="N9" s="48"/>
      <x:c r="O9" s="48"/>
      <x:c r="P9" s="48"/>
    </x:row>
    <x:row r="10" ht="30" customHeight="1">
      <x:c r="C10" s="11" t="str">
        <x:v>WF-ROAD</x:v>
      </x:c>
      <x:c r="D10" s="25" t="n">
        <x:v>0</x:v>
      </x:c>
      <x:c r="E10" s="15" t="str">
        <x:v>No common pool</x:v>
      </x:c>
      <x:c r="F10" s="15" t="str">
        <x:v>UNMAPPED</x:v>
      </x:c>
      <x:c r="G10" s="47"/>
      <x:c r="H10" s="47"/>
      <x:c r="I10" s="47"/>
      <x:c r="J10" s="48"/>
      <x:c r="K10" s="48"/>
      <x:c r="L10" s="48"/>
      <x:c r="M10" s="48"/>
      <x:c r="N10" s="48"/>
      <x:c r="O10" s="48"/>
      <x:c r="P10" s="48"/>
    </x:row>
    <x:row r="11" ht="30" customHeight="1">
      <x:c r="C11" s="11" t="str">
        <x:v>WF-RAIL</x:v>
      </x:c>
      <x:c r="D11" s="25" t="n">
        <x:v>0</x:v>
      </x:c>
      <x:c r="E11" s="15" t="str">
        <x:v>No common pool</x:v>
      </x:c>
      <x:c r="F11" s="15" t="str">
        <x:v>UNMAPPED</x:v>
      </x:c>
      <x:c r="G11" s="47"/>
      <x:c r="H11" s="47"/>
      <x:c r="I11" s="47"/>
      <x:c r="J11" s="48"/>
      <x:c r="K11" s="48"/>
      <x:c r="L11" s="48"/>
      <x:c r="M11" s="48"/>
      <x:c r="N11" s="48"/>
      <x:c r="O11" s="48"/>
      <x:c r="P11" s="48"/>
    </x:row>
    <x:row r="12" ht="30" customHeight="1">
      <x:c r="C12" s="11" t="str">
        <x:v>WF-AIR</x:v>
      </x:c>
      <x:c r="D12" s="25" t="n">
        <x:v>0</x:v>
      </x:c>
      <x:c r="E12" s="15" t="str">
        <x:v>No common pool</x:v>
      </x:c>
      <x:c r="F12" s="15" t="str">
        <x:v>UNMAPPED</x:v>
      </x:c>
      <x:c r="G12" s="47"/>
      <x:c r="H12" s="47"/>
      <x:c r="I12" s="47"/>
      <x:c r="J12" s="48"/>
      <x:c r="K12" s="48"/>
      <x:c r="L12" s="48"/>
      <x:c r="M12" s="48"/>
      <x:c r="N12" s="48"/>
      <x:c r="O12" s="48"/>
      <x:c r="P12" s="48"/>
    </x:row>
    <x:row r="13" ht="30" customHeight="1">
      <x:c r="C13" s="11" t="str">
        <x:v>WF-WATER</x:v>
      </x:c>
      <x:c r="D13" s="25" t="n">
        <x:v>0</x:v>
      </x:c>
      <x:c r="E13" s="15" t="str">
        <x:v>No common pool</x:v>
      </x:c>
      <x:c r="F13" s="15" t="str">
        <x:v>UNMAPPED</x:v>
      </x:c>
      <x:c r="G13" s="47"/>
      <x:c r="H13" s="47"/>
      <x:c r="I13" s="47"/>
      <x:c r="J13" s="48"/>
      <x:c r="K13" s="48"/>
      <x:c r="L13" s="48"/>
      <x:c r="M13" s="48"/>
      <x:c r="N13" s="48"/>
      <x:c r="O13" s="48"/>
      <x:c r="P13" s="48"/>
    </x:row>
    <x:row r="14" ht="30" customHeight="1">
      <x:c r="C14" s="11" t="str">
        <x:v>WF-RETURN</x:v>
      </x:c>
      <x:c r="D14" s="25" t="n">
        <x:v>0</x:v>
      </x:c>
      <x:c r="E14" s="15" t="str">
        <x:v>No common pool</x:v>
      </x:c>
      <x:c r="F14" s="15" t="str">
        <x:v>UNMAPPED</x:v>
      </x:c>
      <x:c r="G14" s="47"/>
      <x:c r="H14" s="47"/>
      <x:c r="I14" s="47"/>
      <x:c r="J14" s="48"/>
      <x:c r="K14" s="48"/>
      <x:c r="L14" s="48"/>
      <x:c r="M14" s="48"/>
      <x:c r="N14" s="48"/>
      <x:c r="O14" s="48"/>
      <x:c r="P14" s="48"/>
    </x:row>
    <x:row r="15" ht="30" customHeight="1">
      <x:c r="C15" s="11" t="str">
        <x:v>WF-HCG-EXT</x:v>
      </x:c>
      <x:c r="D15" s="25" t="n">
        <x:v>0</x:v>
      </x:c>
      <x:c r="E15" s="15" t="str">
        <x:v>No common pool</x:v>
      </x:c>
      <x:c r="F15" s="15" t="str">
        <x:v>UNMAPPED</x:v>
      </x:c>
      <x:c r="G15" s="47"/>
      <x:c r="H15" s="47"/>
      <x:c r="I15" s="47"/>
      <x:c r="J15" s="48"/>
      <x:c r="K15" s="48"/>
      <x:c r="L15" s="48"/>
      <x:c r="M15" s="48"/>
      <x:c r="N15" s="48"/>
      <x:c r="O15" s="48"/>
      <x:c r="P15" s="48"/>
    </x:row>
    <x:row r="16">
      <x:c r="C16" s="47"/>
      <x:c r="D16" s="47"/>
      <x:c r="E16" s="47"/>
      <x:c r="F16" s="47"/>
      <x:c r="G16" s="47"/>
      <x:c r="H16" s="47"/>
      <x:c r="I16" s="47"/>
      <x:c r="J16" s="48"/>
      <x:c r="K16" s="48"/>
      <x:c r="L16" s="48"/>
      <x:c r="M16" s="48"/>
      <x:c r="N16" s="48"/>
      <x:c r="O16" s="48"/>
      <x:c r="P16" s="48"/>
    </x:row>
    <x:row r="17">
      <x:c r="C17" s="47"/>
      <x:c r="D17" s="47"/>
      <x:c r="E17" s="47"/>
      <x:c r="F17" s="47"/>
      <x:c r="G17" s="47"/>
      <x:c r="H17" s="47"/>
      <x:c r="I17" s="47"/>
      <x:c r="J17" s="48"/>
      <x:c r="K17" s="48"/>
      <x:c r="L17" s="48"/>
      <x:c r="M17" s="48"/>
      <x:c r="N17" s="48"/>
      <x:c r="O17" s="48"/>
      <x:c r="P17" s="48"/>
    </x:row>
    <x:row r="18">
      <x:c r="C18" s="47"/>
      <x:c r="D18" s="47"/>
      <x:c r="E18" s="47"/>
      <x:c r="F18" s="47"/>
      <x:c r="G18" s="47"/>
      <x:c r="H18" s="47"/>
      <x:c r="I18" s="47"/>
      <x:c r="J18" s="48"/>
      <x:c r="K18" s="48"/>
      <x:c r="L18" s="48"/>
      <x:c r="M18" s="48"/>
      <x:c r="N18" s="48"/>
      <x:c r="O18" s="48"/>
      <x:c r="P18" s="48"/>
    </x:row>
    <x:row r="19">
      <x:c r="C19" s="9" t="str">
        <x:v>Claimant</x:v>
      </x:c>
      <x:c r="D19" s="9" t="str">
        <x:v>Claim type</x:v>
      </x:c>
      <x:c r="E19" s="9" t="str">
        <x:v>Inventory</x:v>
      </x:c>
      <x:c r="F19" s="9" t="str">
        <x:v>Shared people / unit</x:v>
      </x:c>
      <x:c r="G19" s="9" t="str">
        <x:v>Crew sets</x:v>
      </x:c>
      <x:c r="H19" s="9" t="str">
        <x:v>Affiliated claim</x:v>
      </x:c>
      <x:c r="I19" s="9" t="str">
        <x:v>Simultaneous on-duty</x:v>
      </x:c>
      <x:c r="J19" s="9" t="str">
        <x:v>Source pool</x:v>
      </x:c>
      <x:c r="K19" s="9" t="str">
        <x:v>Source capacity</x:v>
      </x:c>
      <x:c r="L19" s="9" t="str">
        <x:v>Opening</x:v>
      </x:c>
      <x:c r="M19" s="9" t="str">
        <x:v>Granted</x:v>
      </x:c>
      <x:c r="N19" s="9" t="str">
        <x:v>Unallocated</x:v>
      </x:c>
      <x:c r="O19" s="9" t="str">
        <x:v>Coverage</x:v>
      </x:c>
      <x:c r="P19" s="9" t="str">
        <x:v>Status</x:v>
      </x:c>
    </x:row>
    <x:row r="20" ht="26" customHeight="1">
      <x:c r="C20" s="11" t="str">
        <x:v>CM-HCG</x:v>
      </x:c>
      <x:c r="D20" s="11" t="str">
        <x:v>Superseded Pass 58 credit</x:v>
      </x:c>
      <x:c r="E20" s="19" t="n">
        <x:v>128</x:v>
      </x:c>
      <x:c r="F20" s="19" t="n">
        <x:v>2000</x:v>
      </x:c>
      <x:c r="G20" s="19" t="n">
        <x:v>3.4</x:v>
      </x:c>
      <x:c r="H20" s="19" t="n">
        <x:v>870400</x:v>
      </x:c>
      <x:c r="I20" s="19" t="n">
        <x:v>138000</x:v>
      </x:c>
      <x:c r="J20" s="30" t="str">
        <x:v>SUPERSEDED</x:v>
      </x:c>
      <x:c r="K20" s="30" t="n">
        <x:v>0</x:v>
      </x:c>
      <x:c r="L20" s="31" t="n">
        <x:v>0</x:v>
      </x:c>
      <x:c r="M20" s="31" t="n">
        <x:v>0</x:v>
      </x:c>
      <x:c r="N20" s="31" t="n">
        <x:v>0</x:v>
      </x:c>
      <x:c r="O20" s="32" t="str">
        <x:v>n.a.</x:v>
      </x:c>
      <x:c r="P20" s="33" t="str">
        <x:v>SUPERSEDED</x:v>
      </x:c>
    </x:row>
    <x:row r="21" ht="26" customHeight="1">
      <x:c r="C21" s="11" t="str">
        <x:v>CM-AMG</x:v>
      </x:c>
      <x:c r="D21" s="11" t="str">
        <x:v>Pass 58 shared-person credit</x:v>
      </x:c>
      <x:c r="E21" s="19" t="n">
        <x:v>58</x:v>
      </x:c>
      <x:c r="F21" s="19" t="n">
        <x:v>200</x:v>
      </x:c>
      <x:c r="G21" s="19" t="n">
        <x:v>3</x:v>
      </x:c>
      <x:c r="H21" s="19" t="n">
        <x:v>34800</x:v>
      </x:c>
      <x:c r="I21" s="19" t="n">
        <x:v>6200</x:v>
      </x:c>
      <x:c r="J21" s="30" t="str">
        <x:v>WF-AIR</x:v>
      </x:c>
      <x:c r="K21" s="30" t="n">
        <x:f>INDEX($D$6:$D$15,MATCH(J21,$C$6:$C$15,0))</x:f>
        <x:v>0</x:v>
      </x:c>
      <x:c r="L21" s="31" t="n">
        <x:f>K21</x:f>
        <x:v>0</x:v>
      </x:c>
      <x:c r="M21" s="31" t="n">
        <x:f>MIN(H21,L21)</x:f>
        <x:v>0</x:v>
      </x:c>
      <x:c r="N21" s="31" t="n">
        <x:f>H21-M21</x:f>
        <x:v>34800</x:v>
      </x:c>
      <x:c r="O21" s="32" t="n">
        <x:f>IF(H21=0,1,M21/H21)</x:f>
        <x:v>0</x:v>
      </x:c>
      <x:c r="P21" s="33" t="str">
        <x:f>IF(N21&lt;='01 Controls'!$E$23,"PASS","UNALLOCATED")</x:f>
        <x:v>UNALLOCATED</x:v>
      </x:c>
    </x:row>
    <x:row r="22" ht="26" customHeight="1">
      <x:c r="C22" s="11" t="str">
        <x:v>HCG-EXT</x:v>
      </x:c>
      <x:c r="D22" s="11" t="str">
        <x:v>Pass 59 external-service obligation</x:v>
      </x:c>
      <x:c r="E22" s="19" t="n">
        <x:v>1</x:v>
      </x:c>
      <x:c r="F22" s="19" t="n">
        <x:v>2510.358000000001</x:v>
      </x:c>
      <x:c r="G22" s="19" t="n">
        <x:v>2.5</x:v>
      </x:c>
      <x:c r="H22" s="19" t="n">
        <x:v>519644.10600000015</x:v>
      </x:c>
      <x:c r="I22" s="19" t="n">
        <x:v>207857.64240000007</x:v>
      </x:c>
      <x:c r="J22" s="30" t="str">
        <x:v>WF-HCG-EXT</x:v>
      </x:c>
      <x:c r="K22" s="30" t="n">
        <x:f>INDEX($D$6:$D$15,MATCH(J22,$C$6:$C$15,0))</x:f>
        <x:v>0</x:v>
      </x:c>
      <x:c r="L22" s="31" t="n">
        <x:f>K22</x:f>
        <x:v>0</x:v>
      </x:c>
      <x:c r="M22" s="31" t="n">
        <x:f>MIN(H22,L22)</x:f>
        <x:v>0</x:v>
      </x:c>
      <x:c r="N22" s="31" t="n">
        <x:f>H22-M22</x:f>
        <x:v>519644.10600000015</x:v>
      </x:c>
      <x:c r="O22" s="32" t="n">
        <x:f>IF(H22=0,1,M22/H22)</x:f>
        <x:v>0</x:v>
      </x:c>
      <x:c r="P22" s="33" t="str">
        <x:f>IF(N22&lt;='01 Controls'!$E$23,"PASS","UNALLOCATED")</x:f>
        <x:v>UNALLOCATED</x:v>
      </x:c>
    </x:row>
    <x:row r="23" ht="26" customHeight="1">
      <x:c r="C23" s="11" t="str">
        <x:v>J-RIG</x:v>
      </x:c>
      <x:c r="D23" s="11" t="str">
        <x:v>Pass 58 shared-person credit</x:v>
      </x:c>
      <x:c r="E23" s="19" t="n">
        <x:v>91</x:v>
      </x:c>
      <x:c r="F23" s="19" t="n">
        <x:v>60</x:v>
      </x:c>
      <x:c r="G23" s="19" t="n">
        <x:v>2.5</x:v>
      </x:c>
      <x:c r="H23" s="19" t="n">
        <x:v>13650</x:v>
      </x:c>
      <x:c r="I23" s="19" t="n">
        <x:v>3540</x:v>
      </x:c>
      <x:c r="J23" s="30" t="str">
        <x:v>WF-INFO</x:v>
      </x:c>
      <x:c r="K23" s="30" t="n">
        <x:f>INDEX($D$6:$D$15,MATCH(J23,$C$6:$C$15,0))</x:f>
        <x:v>0</x:v>
      </x:c>
      <x:c r="L23" s="31" t="n">
        <x:f>K23</x:f>
        <x:v>0</x:v>
      </x:c>
      <x:c r="M23" s="31" t="n">
        <x:f>MIN(H23,L23)</x:f>
        <x:v>0</x:v>
      </x:c>
      <x:c r="N23" s="31" t="n">
        <x:f>H23-M23</x:f>
        <x:v>13650</x:v>
      </x:c>
      <x:c r="O23" s="32" t="n">
        <x:f>IF(H23=0,1,M23/H23)</x:f>
        <x:v>0</x:v>
      </x:c>
      <x:c r="P23" s="33" t="str">
        <x:f>IF(N23&lt;='01 Controls'!$E$23,"PASS","UNALLOCATED")</x:f>
        <x:v>UNALLOCATED</x:v>
      </x:c>
    </x:row>
    <x:row r="24" ht="26" customHeight="1">
      <x:c r="C24" s="11" t="str">
        <x:v>I-GBG</x:v>
      </x:c>
      <x:c r="D24" s="11" t="str">
        <x:v>Pass 58 shared-person credit</x:v>
      </x:c>
      <x:c r="E24" s="19" t="n">
        <x:v>83</x:v>
      </x:c>
      <x:c r="F24" s="19" t="n">
        <x:v>400</x:v>
      </x:c>
      <x:c r="G24" s="19" t="n">
        <x:v>3</x:v>
      </x:c>
      <x:c r="H24" s="19" t="n">
        <x:v>99600</x:v>
      </x:c>
      <x:c r="I24" s="19" t="n">
        <x:v>19200</x:v>
      </x:c>
      <x:c r="J24" s="30" t="str">
        <x:v>WF-NUPS</x:v>
      </x:c>
      <x:c r="K24" s="30" t="n">
        <x:f>INDEX($D$6:$D$15,MATCH(J24,$C$6:$C$15,0))</x:f>
        <x:v>198197.55</x:v>
      </x:c>
      <x:c r="L24" s="31" t="n">
        <x:f>K24</x:f>
        <x:v>198197.55</x:v>
      </x:c>
      <x:c r="M24" s="31" t="n">
        <x:f>MIN(H24,L24)</x:f>
        <x:v>99600</x:v>
      </x:c>
      <x:c r="N24" s="31" t="n">
        <x:f>H24-M24</x:f>
        <x:v>0</x:v>
      </x:c>
      <x:c r="O24" s="32" t="n">
        <x:f>IF(H24=0,1,M24/H24)</x:f>
        <x:v>1</x:v>
      </x:c>
      <x:c r="P24" s="33" t="str">
        <x:f>IF(N24&lt;='01 Controls'!$E$23,"PASS","UNALLOCATED")</x:f>
        <x:v>PASS</x:v>
      </x:c>
    </x:row>
    <x:row r="25" ht="26" customHeight="1">
      <x:c r="C25" s="11" t="str">
        <x:v>I-PRG</x:v>
      </x:c>
      <x:c r="D25" s="11" t="str">
        <x:v>Pass 58 shared-person credit</x:v>
      </x:c>
      <x:c r="E25" s="19" t="n">
        <x:v>108</x:v>
      </x:c>
      <x:c r="F25" s="19" t="n">
        <x:v>596</x:v>
      </x:c>
      <x:c r="G25" s="19" t="n">
        <x:v>3</x:v>
      </x:c>
      <x:c r="H25" s="19" t="n">
        <x:v>193104</x:v>
      </x:c>
      <x:c r="I25" s="19" t="n">
        <x:v>37548</x:v>
      </x:c>
      <x:c r="J25" s="30" t="str">
        <x:v>WF-NUPS</x:v>
      </x:c>
      <x:c r="K25" s="30" t="n">
        <x:f>INDEX($D$6:$D$15,MATCH(J25,$C$6:$C$15,0))</x:f>
        <x:v>198197.55</x:v>
      </x:c>
      <x:c r="L25" s="31" t="n">
        <x:f>L24-M24</x:f>
        <x:v>98597.54999999999</x:v>
      </x:c>
      <x:c r="M25" s="31" t="n">
        <x:f>MIN(H25,L25)</x:f>
        <x:v>98597.54999999999</x:v>
      </x:c>
      <x:c r="N25" s="31" t="n">
        <x:f>H25-M25</x:f>
        <x:v>94506.45000000001</x:v>
      </x:c>
      <x:c r="O25" s="32" t="n">
        <x:f>IF(H25=0,1,M25/H25)</x:f>
        <x:v>0.5105929965200099</x:v>
      </x:c>
      <x:c r="P25" s="33" t="str">
        <x:f>IF(N25&lt;='01 Controls'!$E$23,"PASS","UNALLOCATED")</x:f>
        <x:v>UNALLOCATED</x:v>
      </x:c>
    </x:row>
    <x:row r="26" ht="26" customHeight="1">
      <x:c r="C26" s="11" t="str">
        <x:v>I-WRG</x:v>
      </x:c>
      <x:c r="D26" s="11" t="str">
        <x:v>Pass 58 shared-person credit</x:v>
      </x:c>
      <x:c r="E26" s="19" t="n">
        <x:v>93</x:v>
      </x:c>
      <x:c r="F26" s="19" t="n">
        <x:v>600</x:v>
      </x:c>
      <x:c r="G26" s="19" t="n">
        <x:v>3</x:v>
      </x:c>
      <x:c r="H26" s="19" t="n">
        <x:v>167400</x:v>
      </x:c>
      <x:c r="I26" s="19" t="n">
        <x:v>32400</x:v>
      </x:c>
      <x:c r="J26" s="30" t="str">
        <x:v>WF-NUPS</x:v>
      </x:c>
      <x:c r="K26" s="30" t="n">
        <x:f>INDEX($D$6:$D$15,MATCH(J26,$C$6:$C$15,0))</x:f>
        <x:v>198197.55</x:v>
      </x:c>
      <x:c r="L26" s="31" t="n">
        <x:f>L25-M25</x:f>
        <x:v>0</x:v>
      </x:c>
      <x:c r="M26" s="31" t="n">
        <x:f>MIN(H26,L26)</x:f>
        <x:v>0</x:v>
      </x:c>
      <x:c r="N26" s="31" t="n">
        <x:f>H26-M26</x:f>
        <x:v>167400</x:v>
      </x:c>
      <x:c r="O26" s="32" t="n">
        <x:f>IF(H26=0,1,M26/H26)</x:f>
        <x:v>0</x:v>
      </x:c>
      <x:c r="P26" s="33" t="str">
        <x:f>IF(N26&lt;='01 Controls'!$E$23,"PASS","UNALLOCATED")</x:f>
        <x:v>UNALLOCATED</x:v>
      </x:c>
    </x:row>
    <x:row r="27" ht="26" customHeight="1">
      <x:c r="C27" s="11" t="str">
        <x:v>M-MPG</x:v>
      </x:c>
      <x:c r="D27" s="11" t="str">
        <x:v>Pass 58 shared-person credit</x:v>
      </x:c>
      <x:c r="E27" s="19" t="n">
        <x:v>52</x:v>
      </x:c>
      <x:c r="F27" s="19" t="n">
        <x:v>200</x:v>
      </x:c>
      <x:c r="G27" s="19" t="n">
        <x:v>3</x:v>
      </x:c>
      <x:c r="H27" s="19" t="n">
        <x:v>31200</x:v>
      </x:c>
      <x:c r="I27" s="19" t="n">
        <x:v>5600</x:v>
      </x:c>
      <x:c r="J27" s="30" t="str">
        <x:v>WF-NUPS</x:v>
      </x:c>
      <x:c r="K27" s="30" t="n">
        <x:f>INDEX($D$6:$D$15,MATCH(J27,$C$6:$C$15,0))</x:f>
        <x:v>198197.55</x:v>
      </x:c>
      <x:c r="L27" s="31" t="n">
        <x:f>L26-M26</x:f>
        <x:v>0</x:v>
      </x:c>
      <x:c r="M27" s="31" t="n">
        <x:f>MIN(H27,L27)</x:f>
        <x:v>0</x:v>
      </x:c>
      <x:c r="N27" s="31" t="n">
        <x:f>H27-M27</x:f>
        <x:v>31200</x:v>
      </x:c>
      <x:c r="O27" s="32" t="n">
        <x:f>IF(H27=0,1,M27/H27)</x:f>
        <x:v>0</x:v>
      </x:c>
      <x:c r="P27" s="33" t="str">
        <x:f>IF(N27&lt;='01 Controls'!$E$23,"PASS","UNALLOCATED")</x:f>
        <x:v>UNALLOCATED</x:v>
      </x:c>
    </x:row>
    <x:row r="28" ht="26" customHeight="1">
      <x:c r="C28" s="11" t="str">
        <x:v>H-PMG</x:v>
      </x:c>
      <x:c r="D28" s="11" t="str">
        <x:v>Pass 58 shared-person credit</x:v>
      </x:c>
      <x:c r="E28" s="19" t="n">
        <x:v>91</x:v>
      </x:c>
      <x:c r="F28" s="19" t="n">
        <x:v>200</x:v>
      </x:c>
      <x:c r="G28" s="19" t="n">
        <x:v>3.4</x:v>
      </x:c>
      <x:c r="H28" s="19" t="n">
        <x:v>61880</x:v>
      </x:c>
      <x:c r="I28" s="19" t="n">
        <x:v>9800</x:v>
      </x:c>
      <x:c r="J28" s="30" t="str">
        <x:v>WF-PATIENT-MOB</x:v>
      </x:c>
      <x:c r="K28" s="30" t="n">
        <x:f>INDEX($D$6:$D$15,MATCH(J28,$C$6:$C$15,0))</x:f>
        <x:v>0</x:v>
      </x:c>
      <x:c r="L28" s="31" t="n">
        <x:f>K28</x:f>
        <x:v>0</x:v>
      </x:c>
      <x:c r="M28" s="31" t="n">
        <x:f>MIN(H28,L28)</x:f>
        <x:v>0</x:v>
      </x:c>
      <x:c r="N28" s="31" t="n">
        <x:f>H28-M28</x:f>
        <x:v>61880</x:v>
      </x:c>
      <x:c r="O28" s="32" t="n">
        <x:f>IF(H28=0,1,M28/H28)</x:f>
        <x:v>0</x:v>
      </x:c>
      <x:c r="P28" s="33" t="str">
        <x:f>IF(N28&lt;='01 Controls'!$E$23,"PASS","UNALLOCATED")</x:f>
        <x:v>UNALLOCATED</x:v>
      </x:c>
    </x:row>
    <x:row r="29" ht="26" customHeight="1">
      <x:c r="C29" s="11" t="str">
        <x:v>CM-CTN</x:v>
      </x:c>
      <x:c r="D29" s="11" t="str">
        <x:v>Pass 58 shared-person credit</x:v>
      </x:c>
      <x:c r="E29" s="19" t="n">
        <x:v>100</x:v>
      </x:c>
      <x:c r="F29" s="19" t="n">
        <x:v>489</x:v>
      </x:c>
      <x:c r="G29" s="19" t="n">
        <x:v>3</x:v>
      </x:c>
      <x:c r="H29" s="19" t="n">
        <x:v>146700</x:v>
      </x:c>
      <x:c r="I29" s="19" t="n">
        <x:v>26406</x:v>
      </x:c>
      <x:c r="J29" s="30" t="str">
        <x:v>WF-PREPARED-SITE</x:v>
      </x:c>
      <x:c r="K29" s="30" t="n">
        <x:f>INDEX($D$6:$D$15,MATCH(J29,$C$6:$C$15,0))</x:f>
        <x:v>0</x:v>
      </x:c>
      <x:c r="L29" s="31" t="n">
        <x:f>K29</x:f>
        <x:v>0</x:v>
      </x:c>
      <x:c r="M29" s="31" t="n">
        <x:f>MIN(H29,L29)</x:f>
        <x:v>0</x:v>
      </x:c>
      <x:c r="N29" s="31" t="n">
        <x:f>H29-M29</x:f>
        <x:v>146700</x:v>
      </x:c>
      <x:c r="O29" s="32" t="n">
        <x:f>IF(H29=0,1,M29/H29)</x:f>
        <x:v>0</x:v>
      </x:c>
      <x:c r="P29" s="33" t="str">
        <x:f>IF(N29&lt;='01 Controls'!$E$23,"PASS","UNALLOCATED")</x:f>
        <x:v>UNALLOCATED</x:v>
      </x:c>
    </x:row>
    <x:row r="30" ht="26" customHeight="1">
      <x:c r="C30" s="11" t="str">
        <x:v>CM-RLG</x:v>
      </x:c>
      <x:c r="D30" s="11" t="str">
        <x:v>Pass 58 shared-person credit</x:v>
      </x:c>
      <x:c r="E30" s="19" t="n">
        <x:v>60</x:v>
      </x:c>
      <x:c r="F30" s="19" t="n">
        <x:v>100</x:v>
      </x:c>
      <x:c r="G30" s="19" t="n">
        <x:v>3</x:v>
      </x:c>
      <x:c r="H30" s="19" t="n">
        <x:v>18000</x:v>
      </x:c>
      <x:c r="I30" s="19" t="n">
        <x:v>3200</x:v>
      </x:c>
      <x:c r="J30" s="30" t="str">
        <x:v>WF-RAIL</x:v>
      </x:c>
      <x:c r="K30" s="30" t="n">
        <x:f>INDEX($D$6:$D$15,MATCH(J30,$C$6:$C$15,0))</x:f>
        <x:v>0</x:v>
      </x:c>
      <x:c r="L30" s="31" t="n">
        <x:f>K30</x:f>
        <x:v>0</x:v>
      </x:c>
      <x:c r="M30" s="31" t="n">
        <x:f>MIN(H30,L30)</x:f>
        <x:v>0</x:v>
      </x:c>
      <x:c r="N30" s="31" t="n">
        <x:f>H30-M30</x:f>
        <x:v>18000</x:v>
      </x:c>
      <x:c r="O30" s="32" t="n">
        <x:f>IF(H30=0,1,M30/H30)</x:f>
        <x:v>0</x:v>
      </x:c>
      <x:c r="P30" s="33" t="str">
        <x:f>IF(N30&lt;='01 Controls'!$E$23,"PASS","UNALLOCATED")</x:f>
        <x:v>UNALLOCATED</x:v>
      </x:c>
    </x:row>
    <x:row r="31" ht="26" customHeight="1">
      <x:c r="C31" s="11" t="str">
        <x:v>CM-RDC</x:v>
      </x:c>
      <x:c r="D31" s="11" t="str">
        <x:v>Pass 58 shared-person credit</x:v>
      </x:c>
      <x:c r="E31" s="19" t="n">
        <x:v>93</x:v>
      </x:c>
      <x:c r="F31" s="19" t="n">
        <x:v>50</x:v>
      </x:c>
      <x:c r="G31" s="19" t="n">
        <x:v>2.5</x:v>
      </x:c>
      <x:c r="H31" s="19" t="n">
        <x:v>11625</x:v>
      </x:c>
      <x:c r="I31" s="19" t="n">
        <x:v>2900</x:v>
      </x:c>
      <x:c r="J31" s="30" t="str">
        <x:v>WF-RETURN</x:v>
      </x:c>
      <x:c r="K31" s="30" t="n">
        <x:f>INDEX($D$6:$D$15,MATCH(J31,$C$6:$C$15,0))</x:f>
        <x:v>0</x:v>
      </x:c>
      <x:c r="L31" s="31" t="n">
        <x:f>K31</x:f>
        <x:v>0</x:v>
      </x:c>
      <x:c r="M31" s="31" t="n">
        <x:f>MIN(H31,L31)</x:f>
        <x:v>0</x:v>
      </x:c>
      <x:c r="N31" s="31" t="n">
        <x:f>H31-M31</x:f>
        <x:v>11625</x:v>
      </x:c>
      <x:c r="O31" s="32" t="n">
        <x:f>IF(H31=0,1,M31/H31)</x:f>
        <x:v>0</x:v>
      </x:c>
      <x:c r="P31" s="33" t="str">
        <x:f>IF(N31&lt;='01 Controls'!$E$23,"PASS","UNALLOCATED")</x:f>
        <x:v>UNALLOCATED</x:v>
      </x:c>
    </x:row>
    <x:row r="32" ht="26" customHeight="1">
      <x:c r="C32" s="11" t="str">
        <x:v>CM-RMG</x:v>
      </x:c>
      <x:c r="D32" s="11" t="str">
        <x:v>Pass 58 shared-person credit</x:v>
      </x:c>
      <x:c r="E32" s="19" t="n">
        <x:v>159</x:v>
      </x:c>
      <x:c r="F32" s="19" t="n">
        <x:v>250</x:v>
      </x:c>
      <x:c r="G32" s="19" t="n">
        <x:v>3</x:v>
      </x:c>
      <x:c r="H32" s="19" t="n">
        <x:v>119250</x:v>
      </x:c>
      <x:c r="I32" s="19" t="n">
        <x:v>21500</x:v>
      </x:c>
      <x:c r="J32" s="30" t="str">
        <x:v>WF-ROAD</x:v>
      </x:c>
      <x:c r="K32" s="30" t="n">
        <x:f>INDEX($D$6:$D$15,MATCH(J32,$C$6:$C$15,0))</x:f>
        <x:v>0</x:v>
      </x:c>
      <x:c r="L32" s="31" t="n">
        <x:f>K32</x:f>
        <x:v>0</x:v>
      </x:c>
      <x:c r="M32" s="31" t="n">
        <x:f>MIN(H32,L32)</x:f>
        <x:v>0</x:v>
      </x:c>
      <x:c r="N32" s="31" t="n">
        <x:f>H32-M32</x:f>
        <x:v>119250</x:v>
      </x:c>
      <x:c r="O32" s="32" t="n">
        <x:f>IF(H32=0,1,M32/H32)</x:f>
        <x:v>0</x:v>
      </x:c>
      <x:c r="P32" s="33" t="str">
        <x:f>IF(N32&lt;='01 Controls'!$E$23,"PASS","UNALLOCATED")</x:f>
        <x:v>UNALLOCATED</x:v>
      </x:c>
    </x:row>
    <x:row r="33" ht="26" customHeight="1">
      <x:c r="C33" s="11" t="str">
        <x:v>CM-WMG</x:v>
      </x:c>
      <x:c r="D33" s="11" t="str">
        <x:v>Pass 58 shared-person credit</x:v>
      </x:c>
      <x:c r="E33" s="19" t="n">
        <x:v>60</x:v>
      </x:c>
      <x:c r="F33" s="19" t="n">
        <x:v>100</x:v>
      </x:c>
      <x:c r="G33" s="19" t="n">
        <x:v>3</x:v>
      </x:c>
      <x:c r="H33" s="19" t="n">
        <x:v>18000</x:v>
      </x:c>
      <x:c r="I33" s="19" t="n">
        <x:v>3200</x:v>
      </x:c>
      <x:c r="J33" s="30" t="str">
        <x:v>WF-WATER</x:v>
      </x:c>
      <x:c r="K33" s="30" t="n">
        <x:f>INDEX($D$6:$D$15,MATCH(J33,$C$6:$C$15,0))</x:f>
        <x:v>0</x:v>
      </x:c>
      <x:c r="L33" s="31" t="n">
        <x:f>K33</x:f>
        <x:v>0</x:v>
      </x:c>
      <x:c r="M33" s="31" t="n">
        <x:f>MIN(H33,L33)</x:f>
        <x:v>0</x:v>
      </x:c>
      <x:c r="N33" s="31" t="n">
        <x:f>H33-M33</x:f>
        <x:v>18000</x:v>
      </x:c>
      <x:c r="O33" s="32" t="n">
        <x:f>IF(H33=0,1,M33/H33)</x:f>
        <x:v>0</x:v>
      </x:c>
      <x:c r="P33" s="33" t="str">
        <x:f>IF(N33&lt;='01 Controls'!$E$23,"PASS","UNALLOCATED")</x:f>
        <x:v>UNALLOCATED</x:v>
      </x:c>
    </x:row>
    <x:row r="34"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</x:row>
    <x:row r="35"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</x:row>
    <x:row r="36"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</x:row>
    <x:row r="37">
      <x:c r="C37" s="9" t="str">
        <x:v>Capital source pool</x:v>
      </x:c>
      <x:c r="D37" s="9" t="str">
        <x:v>Accounting ceiling $B</x:v>
      </x:c>
      <x:c r="E37" s="9" t="str">
        <x:v>Authority</x:v>
      </x:c>
      <x:c r="F37" s="9" t="str">
        <x:v>Evidence state</x:v>
      </x:c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</x:row>
    <x:row r="38" ht="30" customHeight="1">
      <x:c r="C38" s="11" t="str">
        <x:v>CAP-NUPS</x:v>
      </x:c>
      <x:c r="D38" s="26" t="n">
        <x:v>1698</x:v>
      </x:c>
      <x:c r="E38" s="15" t="str">
        <x:v>Pass 58 NUPS</x:v>
      </x:c>
      <x:c r="F38" s="15" t="str">
        <x:v>R2 CEILING</x:v>
      </x:c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</x:row>
    <x:row r="39" ht="30" customHeight="1">
      <x:c r="C39" s="11" t="str">
        <x:v>CAP-INFO</x:v>
      </x:c>
      <x:c r="D39" s="26" t="n">
        <x:v>400</x:v>
      </x:c>
      <x:c r="E39" s="15" t="str">
        <x:v>Pass 58 INFO</x:v>
      </x:c>
      <x:c r="F39" s="15" t="str">
        <x:v>R2 CEILING</x:v>
      </x:c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</x:row>
    <x:row r="40" ht="30" customHeight="1">
      <x:c r="C40" s="11" t="str">
        <x:v>CAP-BASE</x:v>
      </x:c>
      <x:c r="D40" s="26" t="n">
        <x:v>650</x:v>
      </x:c>
      <x:c r="E40" s="15" t="str">
        <x:v>Pass 58 BASE</x:v>
      </x:c>
      <x:c r="F40" s="15" t="str">
        <x:v>R2 CEILING</x:v>
      </x:c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</x:row>
    <x:row r="41" ht="30" customHeight="1">
      <x:c r="C41" s="11" t="str">
        <x:v>CAP-AIR-CARRIER</x:v>
      </x:c>
      <x:c r="D41" s="26" t="n">
        <x:v>464</x:v>
      </x:c>
      <x:c r="E41" s="15" t="str">
        <x:v>Provider capital</x:v>
      </x:c>
      <x:c r="F41" s="15" t="str">
        <x:v>R2 CEILING</x:v>
      </x:c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</x:row>
    <x:row r="42" ht="30" customHeight="1">
      <x:c r="C42" s="11" t="str">
        <x:v>CAP-ROAD-CARRIER</x:v>
      </x:c>
      <x:c r="D42" s="26" t="n">
        <x:v>324</x:v>
      </x:c>
      <x:c r="E42" s="15" t="str">
        <x:v>Provider capital</x:v>
      </x:c>
      <x:c r="F42" s="15" t="str">
        <x:v>R2 CEILING</x:v>
      </x:c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</x:row>
    <x:row r="43" ht="30" customHeight="1">
      <x:c r="C43" s="11" t="str">
        <x:v>CAP-RAIL-CARRIER</x:v>
      </x:c>
      <x:c r="D43" s="26" t="n">
        <x:v>0</x:v>
      </x:c>
      <x:c r="E43" s="15" t="str">
        <x:v>No source</x:v>
      </x:c>
      <x:c r="F43" s="15" t="str">
        <x:v>UNMAPPED</x:v>
      </x:c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</x:row>
    <x:row r="44" ht="30" customHeight="1">
      <x:c r="C44" s="11" t="str">
        <x:v>CAP-WATER-CARRIER</x:v>
      </x:c>
      <x:c r="D44" s="26" t="n">
        <x:v>639</x:v>
      </x:c>
      <x:c r="E44" s="15" t="str">
        <x:v>Provider capital</x:v>
      </x:c>
      <x:c r="F44" s="15" t="str">
        <x:v>R2 CEILING</x:v>
      </x:c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</x:row>
    <x:row r="45"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</x:row>
    <x:row r="46"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</x:row>
    <x:row r="47">
      <x:c r="C47" s="9" t="str">
        <x:v>Claimant</x:v>
      </x:c>
      <x:c r="D47" s="9" t="str">
        <x:v>Inventory</x:v>
      </x:c>
      <x:c r="E47" s="9" t="str">
        <x:v>Shared capital / unit $B</x:v>
      </x:c>
      <x:c r="F47" s="9" t="str">
        <x:v>National credit $B</x:v>
      </x:c>
      <x:c r="G47" s="9" t="str">
        <x:v>Source pool</x:v>
      </x:c>
      <x:c r="H47" s="9" t="str">
        <x:v>Source ceiling $B</x:v>
      </x:c>
      <x:c r="I47" s="9" t="str">
        <x:v>Opening $B</x:v>
      </x:c>
      <x:c r="J47" s="9" t="str">
        <x:v>Granted $B</x:v>
      </x:c>
      <x:c r="K47" s="9" t="str">
        <x:v>Unallocated $B</x:v>
      </x:c>
      <x:c r="L47" s="9" t="str">
        <x:v>Coverage</x:v>
      </x:c>
      <x:c r="M47" s="9" t="str">
        <x:v>Status</x:v>
      </x:c>
      <x:c r="N47" s="9" t="str">
        <x:v>Boundary</x:v>
      </x:c>
      <x:c r="O47" s="47"/>
      <x:c r="P47" s="47"/>
    </x:row>
    <x:row r="48" ht="34" customHeight="1">
      <x:c r="C48" s="11" t="str">
        <x:v>CM-AMG</x:v>
      </x:c>
      <x:c r="D48" s="11" t="n">
        <x:v>58</x:v>
      </x:c>
      <x:c r="E48" s="27" t="n">
        <x:v>5</x:v>
      </x:c>
      <x:c r="F48" s="27" t="n">
        <x:v>290</x:v>
      </x:c>
      <x:c r="G48" s="27" t="str">
        <x:v>CAP-AIR-CARRIER</x:v>
      </x:c>
      <x:c r="H48" s="27" t="n">
        <x:f>INDEX($D$38:$D$44,MATCH(G48,$C$38:$C$44,0))</x:f>
        <x:v>464</x:v>
      </x:c>
      <x:c r="I48" s="28" t="n">
        <x:f>H48</x:f>
        <x:v>464</x:v>
      </x:c>
      <x:c r="J48" s="28" t="n">
        <x:f>MIN(F48,I48)</x:f>
        <x:v>290</x:v>
      </x:c>
      <x:c r="K48" s="28" t="n">
        <x:f>F48-J48</x:f>
        <x:v>0</x:v>
      </x:c>
      <x:c r="L48" s="18" t="n">
        <x:f>IF(F48=0,1,J48/F48)</x:f>
        <x:v>1</x:v>
      </x:c>
      <x:c r="M48" s="21" t="str">
        <x:f>IF(K48&lt;='01 Controls'!$E$23,"PASS","UNALLOCATED")</x:f>
        <x:v>PASS</x:v>
      </x:c>
      <x:c r="N48" s="15" t="str">
        <x:v>Ceiling only; item allocation open.</x:v>
      </x:c>
      <x:c r="O48" s="47"/>
      <x:c r="P48" s="47"/>
    </x:row>
    <x:row r="49" ht="34" customHeight="1">
      <x:c r="C49" s="11" t="str">
        <x:v>H-PMG</x:v>
      </x:c>
      <x:c r="D49" s="11" t="n">
        <x:v>91</x:v>
      </x:c>
      <x:c r="E49" s="27" t="n">
        <x:v>1.5</x:v>
      </x:c>
      <x:c r="F49" s="27" t="n">
        <x:v>136.5</x:v>
      </x:c>
      <x:c r="G49" s="27" t="str">
        <x:v>CAP-AIR-CARRIER</x:v>
      </x:c>
      <x:c r="H49" s="27" t="n">
        <x:f>INDEX($D$38:$D$44,MATCH(G49,$C$38:$C$44,0))</x:f>
        <x:v>464</x:v>
      </x:c>
      <x:c r="I49" s="28" t="n">
        <x:f>I48-J48</x:f>
        <x:v>174</x:v>
      </x:c>
      <x:c r="J49" s="28" t="n">
        <x:f>MIN(F49,I49)</x:f>
        <x:v>136.5</x:v>
      </x:c>
      <x:c r="K49" s="28" t="n">
        <x:f>F49-J49</x:f>
        <x:v>0</x:v>
      </x:c>
      <x:c r="L49" s="18" t="n">
        <x:f>IF(F49=0,1,J49/F49)</x:f>
        <x:v>1</x:v>
      </x:c>
      <x:c r="M49" s="21" t="str">
        <x:f>IF(K49&lt;='01 Controls'!$E$23,"PASS","UNALLOCATED")</x:f>
        <x:v>PASS</x:v>
      </x:c>
      <x:c r="N49" s="15" t="str">
        <x:v>Ceiling only; item allocation open.</x:v>
      </x:c>
      <x:c r="O49" s="47"/>
      <x:c r="P49" s="47"/>
    </x:row>
    <x:row r="50" ht="34" customHeight="1">
      <x:c r="C50" s="11" t="str">
        <x:v>CM-CTN</x:v>
      </x:c>
      <x:c r="D50" s="11" t="n">
        <x:v>100</x:v>
      </x:c>
      <x:c r="E50" s="27" t="n">
        <x:v>1</x:v>
      </x:c>
      <x:c r="F50" s="27" t="n">
        <x:v>100</x:v>
      </x:c>
      <x:c r="G50" s="27" t="str">
        <x:v>CAP-BASE</x:v>
      </x:c>
      <x:c r="H50" s="27" t="n">
        <x:f>INDEX($D$38:$D$44,MATCH(G50,$C$38:$C$44,0))</x:f>
        <x:v>650</x:v>
      </x:c>
      <x:c r="I50" s="28" t="n">
        <x:f>H50</x:f>
        <x:v>650</x:v>
      </x:c>
      <x:c r="J50" s="28" t="n">
        <x:f>MIN(F50,I50)</x:f>
        <x:v>100</x:v>
      </x:c>
      <x:c r="K50" s="28" t="n">
        <x:f>F50-J50</x:f>
        <x:v>0</x:v>
      </x:c>
      <x:c r="L50" s="18" t="n">
        <x:f>IF(F50=0,1,J50/F50)</x:f>
        <x:v>1</x:v>
      </x:c>
      <x:c r="M50" s="21" t="str">
        <x:f>IF(K50&lt;='01 Controls'!$E$23,"PASS","UNALLOCATED")</x:f>
        <x:v>PASS</x:v>
      </x:c>
      <x:c r="N50" s="15" t="str">
        <x:v>Ceiling only; item allocation open.</x:v>
      </x:c>
      <x:c r="O50" s="47"/>
      <x:c r="P50" s="47"/>
    </x:row>
    <x:row r="51" ht="34" customHeight="1">
      <x:c r="C51" s="11" t="str">
        <x:v>CM-RDC</x:v>
      </x:c>
      <x:c r="D51" s="11" t="n">
        <x:v>93</x:v>
      </x:c>
      <x:c r="E51" s="27" t="n">
        <x:v>0.1</x:v>
      </x:c>
      <x:c r="F51" s="27" t="n">
        <x:v>9.3</x:v>
      </x:c>
      <x:c r="G51" s="27" t="str">
        <x:v>CAP-INFO</x:v>
      </x:c>
      <x:c r="H51" s="27" t="n">
        <x:f>INDEX($D$38:$D$44,MATCH(G51,$C$38:$C$44,0))</x:f>
        <x:v>400</x:v>
      </x:c>
      <x:c r="I51" s="28" t="n">
        <x:f>H51</x:f>
        <x:v>400</x:v>
      </x:c>
      <x:c r="J51" s="28" t="n">
        <x:f>MIN(F51,I51)</x:f>
        <x:v>9.3</x:v>
      </x:c>
      <x:c r="K51" s="28" t="n">
        <x:f>F51-J51</x:f>
        <x:v>0</x:v>
      </x:c>
      <x:c r="L51" s="18" t="n">
        <x:f>IF(F51=0,1,J51/F51)</x:f>
        <x:v>1</x:v>
      </x:c>
      <x:c r="M51" s="21" t="str">
        <x:f>IF(K51&lt;='01 Controls'!$E$23,"PASS","UNALLOCATED")</x:f>
        <x:v>PASS</x:v>
      </x:c>
      <x:c r="N51" s="15" t="str">
        <x:v>Ceiling only; item allocation open.</x:v>
      </x:c>
      <x:c r="O51" s="47"/>
      <x:c r="P51" s="47"/>
    </x:row>
    <x:row r="52" ht="34" customHeight="1">
      <x:c r="C52" s="11" t="str">
        <x:v>J-RIG</x:v>
      </x:c>
      <x:c r="D52" s="11" t="n">
        <x:v>91</x:v>
      </x:c>
      <x:c r="E52" s="27" t="n">
        <x:v>0.3</x:v>
      </x:c>
      <x:c r="F52" s="27" t="n">
        <x:v>27.3</x:v>
      </x:c>
      <x:c r="G52" s="27" t="str">
        <x:v>CAP-INFO</x:v>
      </x:c>
      <x:c r="H52" s="27" t="n">
        <x:f>INDEX($D$38:$D$44,MATCH(G52,$C$38:$C$44,0))</x:f>
        <x:v>400</x:v>
      </x:c>
      <x:c r="I52" s="28" t="n">
        <x:f>I51-J51</x:f>
        <x:v>390.7</x:v>
      </x:c>
      <x:c r="J52" s="28" t="n">
        <x:f>MIN(F52,I52)</x:f>
        <x:v>27.3</x:v>
      </x:c>
      <x:c r="K52" s="28" t="n">
        <x:f>F52-J52</x:f>
        <x:v>0</x:v>
      </x:c>
      <x:c r="L52" s="18" t="n">
        <x:f>IF(F52=0,1,J52/F52)</x:f>
        <x:v>1</x:v>
      </x:c>
      <x:c r="M52" s="21" t="str">
        <x:f>IF(K52&lt;='01 Controls'!$E$23,"PASS","UNALLOCATED")</x:f>
        <x:v>PASS</x:v>
      </x:c>
      <x:c r="N52" s="15" t="str">
        <x:v>Ceiling only; item allocation open.</x:v>
      </x:c>
      <x:c r="O52" s="47"/>
      <x:c r="P52" s="47"/>
    </x:row>
    <x:row r="53" ht="34" customHeight="1">
      <x:c r="C53" s="11" t="str">
        <x:v>I-GBG</x:v>
      </x:c>
      <x:c r="D53" s="11" t="n">
        <x:v>83</x:v>
      </x:c>
      <x:c r="E53" s="27" t="n">
        <x:v>1.5</x:v>
      </x:c>
      <x:c r="F53" s="27" t="n">
        <x:v>124.5</x:v>
      </x:c>
      <x:c r="G53" s="27" t="str">
        <x:v>CAP-NUPS</x:v>
      </x:c>
      <x:c r="H53" s="27" t="n">
        <x:f>INDEX($D$38:$D$44,MATCH(G53,$C$38:$C$44,0))</x:f>
        <x:v>1698</x:v>
      </x:c>
      <x:c r="I53" s="28" t="n">
        <x:f>H53</x:f>
        <x:v>1698</x:v>
      </x:c>
      <x:c r="J53" s="28" t="n">
        <x:f>MIN(F53,I53)</x:f>
        <x:v>124.5</x:v>
      </x:c>
      <x:c r="K53" s="28" t="n">
        <x:f>F53-J53</x:f>
        <x:v>0</x:v>
      </x:c>
      <x:c r="L53" s="18" t="n">
        <x:f>IF(F53=0,1,J53/F53)</x:f>
        <x:v>1</x:v>
      </x:c>
      <x:c r="M53" s="21" t="str">
        <x:f>IF(K53&lt;='01 Controls'!$E$23,"PASS","UNALLOCATED")</x:f>
        <x:v>PASS</x:v>
      </x:c>
      <x:c r="N53" s="15" t="str">
        <x:v>Ceiling only; item allocation open.</x:v>
      </x:c>
      <x:c r="O53" s="47"/>
      <x:c r="P53" s="47"/>
    </x:row>
    <x:row r="54" ht="34" customHeight="1">
      <x:c r="C54" s="11" t="str">
        <x:v>I-PRG</x:v>
      </x:c>
      <x:c r="D54" s="11" t="n">
        <x:v>108</x:v>
      </x:c>
      <x:c r="E54" s="27" t="n">
        <x:v>3</x:v>
      </x:c>
      <x:c r="F54" s="27" t="n">
        <x:v>324</x:v>
      </x:c>
      <x:c r="G54" s="27" t="str">
        <x:v>CAP-NUPS</x:v>
      </x:c>
      <x:c r="H54" s="27" t="n">
        <x:f>INDEX($D$38:$D$44,MATCH(G54,$C$38:$C$44,0))</x:f>
        <x:v>1698</x:v>
      </x:c>
      <x:c r="I54" s="28" t="n">
        <x:f>I53-J53</x:f>
        <x:v>1573.5</x:v>
      </x:c>
      <x:c r="J54" s="28" t="n">
        <x:f>MIN(F54,I54)</x:f>
        <x:v>324</x:v>
      </x:c>
      <x:c r="K54" s="28" t="n">
        <x:f>F54-J54</x:f>
        <x:v>0</x:v>
      </x:c>
      <x:c r="L54" s="18" t="n">
        <x:f>IF(F54=0,1,J54/F54)</x:f>
        <x:v>1</x:v>
      </x:c>
      <x:c r="M54" s="21" t="str">
        <x:f>IF(K54&lt;='01 Controls'!$E$23,"PASS","UNALLOCATED")</x:f>
        <x:v>PASS</x:v>
      </x:c>
      <x:c r="N54" s="15" t="str">
        <x:v>Ceiling only; item allocation open.</x:v>
      </x:c>
      <x:c r="O54" s="47"/>
      <x:c r="P54" s="47"/>
    </x:row>
    <x:row r="55" ht="34" customHeight="1">
      <x:c r="C55" s="11" t="str">
        <x:v>I-WRG</x:v>
      </x:c>
      <x:c r="D55" s="11" t="n">
        <x:v>93</x:v>
      </x:c>
      <x:c r="E55" s="27" t="n">
        <x:v>2.5</x:v>
      </x:c>
      <x:c r="F55" s="27" t="n">
        <x:v>232.5</x:v>
      </x:c>
      <x:c r="G55" s="27" t="str">
        <x:v>CAP-NUPS</x:v>
      </x:c>
      <x:c r="H55" s="27" t="n">
        <x:f>INDEX($D$38:$D$44,MATCH(G55,$C$38:$C$44,0))</x:f>
        <x:v>1698</x:v>
      </x:c>
      <x:c r="I55" s="28" t="n">
        <x:f>I54-J54</x:f>
        <x:v>1249.5</x:v>
      </x:c>
      <x:c r="J55" s="28" t="n">
        <x:f>MIN(F55,I55)</x:f>
        <x:v>232.5</x:v>
      </x:c>
      <x:c r="K55" s="28" t="n">
        <x:f>F55-J55</x:f>
        <x:v>0</x:v>
      </x:c>
      <x:c r="L55" s="18" t="n">
        <x:f>IF(F55=0,1,J55/F55)</x:f>
        <x:v>1</x:v>
      </x:c>
      <x:c r="M55" s="21" t="str">
        <x:f>IF(K55&lt;='01 Controls'!$E$23,"PASS","UNALLOCATED")</x:f>
        <x:v>PASS</x:v>
      </x:c>
      <x:c r="N55" s="15" t="str">
        <x:v>Ceiling only; item allocation open.</x:v>
      </x:c>
      <x:c r="O55" s="47"/>
      <x:c r="P55" s="47"/>
    </x:row>
    <x:row r="56" ht="34" customHeight="1">
      <x:c r="C56" s="11" t="str">
        <x:v>M-MPG</x:v>
      </x:c>
      <x:c r="D56" s="11" t="n">
        <x:v>52</x:v>
      </x:c>
      <x:c r="E56" s="27" t="n">
        <x:v>5.5</x:v>
      </x:c>
      <x:c r="F56" s="27" t="n">
        <x:v>286</x:v>
      </x:c>
      <x:c r="G56" s="27" t="str">
        <x:v>CAP-NUPS</x:v>
      </x:c>
      <x:c r="H56" s="27" t="n">
        <x:f>INDEX($D$38:$D$44,MATCH(G56,$C$38:$C$44,0))</x:f>
        <x:v>1698</x:v>
      </x:c>
      <x:c r="I56" s="28" t="n">
        <x:f>I55-J55</x:f>
        <x:v>1017</x:v>
      </x:c>
      <x:c r="J56" s="28" t="n">
        <x:f>MIN(F56,I56)</x:f>
        <x:v>286</x:v>
      </x:c>
      <x:c r="K56" s="28" t="n">
        <x:f>F56-J56</x:f>
        <x:v>0</x:v>
      </x:c>
      <x:c r="L56" s="18" t="n">
        <x:f>IF(F56=0,1,J56/F56)</x:f>
        <x:v>1</x:v>
      </x:c>
      <x:c r="M56" s="21" t="str">
        <x:f>IF(K56&lt;='01 Controls'!$E$23,"PASS","UNALLOCATED")</x:f>
        <x:v>PASS</x:v>
      </x:c>
      <x:c r="N56" s="15" t="str">
        <x:v>Ceiling only; item allocation open.</x:v>
      </x:c>
      <x:c r="O56" s="47"/>
      <x:c r="P56" s="47"/>
    </x:row>
    <x:row r="57" ht="34" customHeight="1">
      <x:c r="C57" s="11" t="str">
        <x:v>CM-RLG</x:v>
      </x:c>
      <x:c r="D57" s="11" t="n">
        <x:v>60</x:v>
      </x:c>
      <x:c r="E57" s="27" t="n">
        <x:v>4</x:v>
      </x:c>
      <x:c r="F57" s="27" t="n">
        <x:v>240</x:v>
      </x:c>
      <x:c r="G57" s="27" t="str">
        <x:v>CAP-RAIL-CARRIER</x:v>
      </x:c>
      <x:c r="H57" s="27" t="n">
        <x:f>INDEX($D$38:$D$44,MATCH(G57,$C$38:$C$44,0))</x:f>
        <x:v>0</x:v>
      </x:c>
      <x:c r="I57" s="28" t="n">
        <x:f>H57</x:f>
        <x:v>0</x:v>
      </x:c>
      <x:c r="J57" s="28" t="n">
        <x:f>MIN(F57,I57)</x:f>
        <x:v>0</x:v>
      </x:c>
      <x:c r="K57" s="28" t="n">
        <x:f>F57-J57</x:f>
        <x:v>240</x:v>
      </x:c>
      <x:c r="L57" s="18" t="n">
        <x:f>IF(F57=0,1,J57/F57)</x:f>
        <x:v>0</x:v>
      </x:c>
      <x:c r="M57" s="21" t="str">
        <x:f>IF(K57&lt;='01 Controls'!$E$23,"PASS","UNALLOCATED")</x:f>
        <x:v>UNALLOCATED</x:v>
      </x:c>
      <x:c r="N57" s="15" t="str">
        <x:v>No counted rail-stock owner.</x:v>
      </x:c>
      <x:c r="O57" s="47"/>
      <x:c r="P57" s="47"/>
    </x:row>
    <x:row r="58" ht="34" customHeight="1">
      <x:c r="C58" s="11" t="str">
        <x:v>CM-RMG</x:v>
      </x:c>
      <x:c r="D58" s="11" t="n">
        <x:v>159</x:v>
      </x:c>
      <x:c r="E58" s="27" t="n">
        <x:v>2</x:v>
      </x:c>
      <x:c r="F58" s="27" t="n">
        <x:v>318</x:v>
      </x:c>
      <x:c r="G58" s="27" t="str">
        <x:v>CAP-ROAD-CARRIER</x:v>
      </x:c>
      <x:c r="H58" s="27" t="n">
        <x:f>INDEX($D$38:$D$44,MATCH(G58,$C$38:$C$44,0))</x:f>
        <x:v>324</x:v>
      </x:c>
      <x:c r="I58" s="28" t="n">
        <x:f>H58</x:f>
        <x:v>324</x:v>
      </x:c>
      <x:c r="J58" s="28" t="n">
        <x:f>MIN(F58,I58)</x:f>
        <x:v>318</x:v>
      </x:c>
      <x:c r="K58" s="28" t="n">
        <x:f>F58-J58</x:f>
        <x:v>0</x:v>
      </x:c>
      <x:c r="L58" s="18" t="n">
        <x:f>IF(F58=0,1,J58/F58)</x:f>
        <x:v>1</x:v>
      </x:c>
      <x:c r="M58" s="21" t="str">
        <x:f>IF(K58&lt;='01 Controls'!$E$23,"PASS","UNALLOCATED")</x:f>
        <x:v>PASS</x:v>
      </x:c>
      <x:c r="N58" s="15" t="str">
        <x:v>Ceiling only; item allocation open.</x:v>
      </x:c>
      <x:c r="O58" s="47"/>
      <x:c r="P58" s="47"/>
    </x:row>
    <x:row r="59" ht="34" customHeight="1">
      <x:c r="C59" s="11" t="str">
        <x:v>CM-WMG</x:v>
      </x:c>
      <x:c r="D59" s="11" t="n">
        <x:v>60</x:v>
      </x:c>
      <x:c r="E59" s="27" t="n">
        <x:v>3</x:v>
      </x:c>
      <x:c r="F59" s="27" t="n">
        <x:v>180</x:v>
      </x:c>
      <x:c r="G59" s="27" t="str">
        <x:v>CAP-WATER-CARRIER</x:v>
      </x:c>
      <x:c r="H59" s="27" t="n">
        <x:f>INDEX($D$38:$D$44,MATCH(G59,$C$38:$C$44,0))</x:f>
        <x:v>639</x:v>
      </x:c>
      <x:c r="I59" s="28" t="n">
        <x:f>H59</x:f>
        <x:v>639</x:v>
      </x:c>
      <x:c r="J59" s="28" t="n">
        <x:f>MIN(F59,I59)</x:f>
        <x:v>180</x:v>
      </x:c>
      <x:c r="K59" s="28" t="n">
        <x:f>F59-J59</x:f>
        <x:v>0</x:v>
      </x:c>
      <x:c r="L59" s="18" t="n">
        <x:f>IF(F59=0,1,J59/F59)</x:f>
        <x:v>1</x:v>
      </x:c>
      <x:c r="M59" s="21" t="str">
        <x:f>IF(K59&lt;='01 Controls'!$E$23,"PASS","UNALLOCATED")</x:f>
        <x:v>PASS</x:v>
      </x:c>
      <x:c r="N59" s="15" t="str">
        <x:v>Ceiling only; item allocation open.</x:v>
      </x:c>
      <x:c r="O59" s="47"/>
      <x:c r="P59" s="47"/>
    </x:row>
  </x:sheetData>
  <x:conditionalFormatting sqref="F6:F15">
    <x:cfRule type="containsText" dxfId="24" priority="1" operator="containsText" text="FAIL"/>
    <x:cfRule type="containsText" dxfId="25" priority="2" operator="containsText" text="UNALLOCATED"/>
    <x:cfRule type="containsText" dxfId="26" priority="3" operator="containsText" text="OPEN"/>
    <x:cfRule type="containsText" dxfId="27" priority="4" operator="containsText" text="BLOCKED"/>
    <x:cfRule type="containsText" dxfId="28" priority="5" operator="containsText" text="PASS"/>
    <x:cfRule type="containsText" dxfId="29" priority="6" operator="containsText" text="SUPERSEDED"/>
  </x:conditionalFormatting>
  <x:conditionalFormatting sqref="P20:P33">
    <x:cfRule type="containsText" dxfId="30" priority="7" operator="containsText" text="FAIL"/>
    <x:cfRule type="containsText" dxfId="31" priority="8" operator="containsText" text="UNALLOCATED"/>
    <x:cfRule type="containsText" dxfId="32" priority="9" operator="containsText" text="OPEN"/>
    <x:cfRule type="containsText" dxfId="33" priority="10" operator="containsText" text="BLOCKED"/>
    <x:cfRule type="containsText" dxfId="34" priority="11" operator="containsText" text="PASS"/>
    <x:cfRule type="containsText" dxfId="35" priority="12" operator="containsText" text="SUPERSEDED"/>
  </x:conditionalFormatting>
  <x:conditionalFormatting sqref="F38:F44">
    <x:cfRule type="containsText" dxfId="36" priority="13" operator="containsText" text="FAIL"/>
    <x:cfRule type="containsText" dxfId="37" priority="14" operator="containsText" text="UNALLOCATED"/>
    <x:cfRule type="containsText" dxfId="38" priority="15" operator="containsText" text="OPEN"/>
    <x:cfRule type="containsText" dxfId="39" priority="16" operator="containsText" text="BLOCKED"/>
    <x:cfRule type="containsText" dxfId="40" priority="17" operator="containsText" text="PASS"/>
    <x:cfRule type="containsText" dxfId="41" priority="18" operator="containsText" text="SUPERSEDED"/>
  </x:conditionalFormatting>
  <x:conditionalFormatting sqref="M48:M59">
    <x:cfRule type="containsText" dxfId="42" priority="19" operator="containsText" text="FAIL"/>
    <x:cfRule type="containsText" dxfId="43" priority="20" operator="containsText" text="UNALLOCATED"/>
    <x:cfRule type="containsText" dxfId="44" priority="21" operator="containsText" text="OPEN"/>
    <x:cfRule type="containsText" dxfId="45" priority="22" operator="containsText" text="BLOCKED"/>
    <x:cfRule type="containsText" dxfId="46" priority="23" operator="containsText" text="PASS"/>
    <x:cfRule type="containsText" dxfId="47" priority="24" operator="containsText" text="SUPERSED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1" hidden="0" customWidth="1"/>
    <x:col min="4" max="4" width="44" hidden="0" customWidth="1"/>
    <x:col min="5" max="5" width="78" hidden="0" customWidth="1"/>
    <x:col min="6" max="6" width="16" hidden="0" customWidth="1"/>
    <x:col min="7" max="7" width="18" hidden="0" customWidth="1"/>
  </x:cols>
  <x:sheetData>
    <x:row r="2">
      <x:c r="C2" s="2" t="str">
        <x:v>Internal authorities and evidence gates</x:v>
      </x:c>
      <x:c r="D2" s="46"/>
      <x:c r="E2" s="46"/>
      <x:c r="F2" s="46"/>
      <x:c r="G2" s="46"/>
      <x:c r="H2" s="46"/>
    </x:row>
    <x:row r="3">
      <x:c r="C3" s="3" t="str">
        <x:v>Repository sources preserve lineage. Every numerical output remains a design-study result pending the gates below.</x:v>
      </x:c>
      <x:c r="D3" s="3"/>
      <x:c r="E3" s="3"/>
      <x:c r="F3" s="3"/>
      <x:c r="G3" s="3"/>
      <x:c r="H3" s="3"/>
    </x:row>
    <x:row r="4">
      <x:c r="C4" s="47"/>
      <x:c r="D4" s="47"/>
      <x:c r="E4" s="47"/>
      <x:c r="F4" s="47"/>
      <x:c r="G4" s="47"/>
      <x:c r="H4" s="47"/>
    </x:row>
    <x:row r="5">
      <x:c r="C5" s="9" t="str">
        <x:v>ID</x:v>
      </x:c>
      <x:c r="D5" s="9" t="str">
        <x:v>Repository authority</x:v>
      </x:c>
      <x:c r="E5" s="9" t="str">
        <x:v>Use</x:v>
      </x:c>
      <x:c r="F5" s="47"/>
      <x:c r="G5" s="47"/>
      <x:c r="H5" s="47"/>
    </x:row>
    <x:row r="6" ht="34" customHeight="1">
      <x:c r="C6" s="11" t="str">
        <x:v>S01</x:v>
      </x:c>
      <x:c r="D6" s="15" t="str">
        <x:v>models/force/generation/canonical-force-allocation-model.xlsx</x:v>
      </x:c>
      <x:c r="E6" s="15" t="str">
        <x:v>48 families, ten campaigns, inventory, gross/net people, mass, supply and Pass 58 headlines</x:v>
      </x:c>
      <x:c r="F6" s="47"/>
      <x:c r="G6" s="47"/>
      <x:c r="H6" s="47"/>
    </x:row>
    <x:row r="7" ht="34" customHeight="1">
      <x:c r="C7" s="11" t="str">
        <x:v>S02</x:v>
      </x:c>
      <x:c r="D7" s="15" t="str">
        <x:v>research/force/generation/canonical-force-allocation-and-fiscal-reconciliation.md</x:v>
      </x:c>
      <x:c r="E7" s="15" t="str">
        <x:v>Interpretive and accounting boundary</x:v>
      </x:c>
      <x:c r="F7" s="47"/>
      <x:c r="G7" s="47"/>
      <x:c r="H7" s="47"/>
    </x:row>
    <x:row r="8" ht="34" customHeight="1">
      <x:c r="C8" s="11" t="str">
        <x:v>S03</x:v>
      </x:c>
      <x:c r="D8" s="15" t="str">
        <x:v>models/force/generation/household-collection-group-model.xlsx</x:v>
      </x:c>
      <x:c r="E8" s="15" t="str">
        <x:v>HCG external contracts, inventory and workforce screen</x:v>
      </x:c>
      <x:c r="F8" s="47"/>
      <x:c r="G8" s="47"/>
      <x:c r="H8" s="47"/>
    </x:row>
    <x:row r="9" ht="34" customHeight="1">
      <x:c r="C9" s="11" t="str">
        <x:v>S04</x:v>
      </x:c>
      <x:c r="D9" s="15" t="str">
        <x:v>research/force/generation/household-collection-group-formation-design.md</x:v>
      </x:c>
      <x:c r="E9" s="15" t="str">
        <x:v>Origin-formation and complete-system boundary</x:v>
      </x:c>
      <x:c r="F9" s="47"/>
      <x:c r="G9" s="47"/>
      <x:c r="H9" s="47"/>
    </x:row>
    <x:row r="10" ht="34" customHeight="1">
      <x:c r="C10" s="11" t="str">
        <x:v>S05</x:v>
      </x:c>
      <x:c r="D10" s="15" t="str">
        <x:v>research/force/force-architecture.md</x:v>
      </x:c>
      <x:c r="E10" s="15" t="str">
        <x:v>Readiness, allocation, authority and force-generation doctrine</x:v>
      </x:c>
      <x:c r="F10" s="47"/>
      <x:c r="G10" s="47"/>
      <x:c r="H10" s="47"/>
    </x:row>
    <x:row r="11" ht="34" customHeight="1">
      <x:c r="C11" s="11" t="str">
        <x:v>S06</x:v>
      </x:c>
      <x:c r="D11" s="15" t="str">
        <x:v>research/force/projection/joint-deployment-and-distribution-enterprise.md</x:v>
      </x:c>
      <x:c r="E11" s="15" t="str">
        <x:v>Inherited throughput, reception and sustainment lineage</x:v>
      </x:c>
      <x:c r="F11" s="47"/>
      <x:c r="G11" s="47"/>
      <x:c r="H11" s="47"/>
    </x:row>
    <x:row r="12">
      <x:c r="C12" s="47"/>
      <x:c r="D12" s="47"/>
      <x:c r="E12" s="47"/>
      <x:c r="F12" s="47"/>
      <x:c r="G12" s="47"/>
      <x:c r="H12" s="47"/>
    </x:row>
    <x:row r="13">
      <x:c r="C13" s="47"/>
      <x:c r="D13" s="47"/>
      <x:c r="E13" s="47"/>
      <x:c r="F13" s="47"/>
      <x:c r="G13" s="47"/>
      <x:c r="H13" s="47"/>
    </x:row>
    <x:row r="14">
      <x:c r="C14" s="47"/>
      <x:c r="D14" s="47"/>
      <x:c r="E14" s="47"/>
      <x:c r="F14" s="47"/>
      <x:c r="G14" s="47"/>
      <x:c r="H14" s="47"/>
    </x:row>
    <x:row r="15">
      <x:c r="C15" s="47"/>
      <x:c r="D15" s="47"/>
      <x:c r="E15" s="47"/>
      <x:c r="F15" s="47"/>
      <x:c r="G15" s="47"/>
      <x:c r="H15" s="47"/>
    </x:row>
    <x:row r="16">
      <x:c r="C16" s="9" t="str">
        <x:v>Gate</x:v>
      </x:c>
      <x:c r="D16" s="9" t="str">
        <x:v>Question</x:v>
      </x:c>
      <x:c r="E16" s="9" t="str">
        <x:v>Admission evidence</x:v>
      </x:c>
      <x:c r="F16" s="9" t="str">
        <x:v>State</x:v>
      </x:c>
      <x:c r="G16" s="9" t="str">
        <x:v>Blocks rendering</x:v>
      </x:c>
      <x:c r="H16" s="47"/>
    </x:row>
    <x:row r="17">
      <x:c r="C17" s="11" t="str">
        <x:v>G01</x:v>
      </x:c>
      <x:c r="D17" s="11" t="str">
        <x:v>Capacity identity</x:v>
      </x:c>
      <x:c r="E17" s="15" t="str">
        <x:v>Every credited asset or governed pool has configuration-controlled identity and quantity</x:v>
      </x:c>
      <x:c r="F17" s="34" t="str">
        <x:v>OPEN</x:v>
      </x:c>
      <x:c r="G17" s="34" t="str">
        <x:v>YES</x:v>
      </x:c>
      <x:c r="H17" s="47"/>
    </x:row>
    <x:row r="18">
      <x:c r="C18" s="11" t="str">
        <x:v>G02</x:v>
      </x:c>
      <x:c r="D18" s="11" t="str">
        <x:v>Space and time</x:v>
      </x:c>
      <x:c r="E18" s="15" t="str">
        <x:v>Home location, route, setup, interval and claim overlap are evidenced</x:v>
      </x:c>
      <x:c r="F18" s="34" t="str">
        <x:v>OPEN</x:v>
      </x:c>
      <x:c r="G18" s="34" t="str">
        <x:v>YES</x:v>
      </x:c>
      <x:c r="H18" s="47"/>
    </x:row>
    <x:row r="19">
      <x:c r="C19" s="11" t="str">
        <x:v>G03</x:v>
      </x:c>
      <x:c r="D19" s="11" t="str">
        <x:v>Output conversion</x:v>
      </x:c>
      <x:c r="E19" s="15" t="str">
        <x:v>Physical service rates replace dollar and formation-equivalent proxies</x:v>
      </x:c>
      <x:c r="F19" s="34" t="str">
        <x:v>OPEN</x:v>
      </x:c>
      <x:c r="G19" s="34" t="str">
        <x:v>YES</x:v>
      </x:c>
      <x:c r="H19" s="47"/>
    </x:row>
    <x:row r="20">
      <x:c r="C20" s="11" t="str">
        <x:v>G04</x:v>
      </x:c>
      <x:c r="D20" s="11" t="str">
        <x:v>Mode compatibility</x:v>
      </x:c>
      <x:c r="E20" s="15" t="str">
        <x:v>Cargo dimensions, handling, self-deployment and route eligibility close by item</x:v>
      </x:c>
      <x:c r="F20" s="34" t="str">
        <x:v>OPEN</x:v>
      </x:c>
      <x:c r="G20" s="34" t="str">
        <x:v>YES</x:v>
      </x:c>
      <x:c r="H20" s="47"/>
    </x:row>
    <x:row r="21">
      <x:c r="C21" s="11" t="str">
        <x:v>G05</x:v>
      </x:c>
      <x:c r="D21" s="11" t="str">
        <x:v>Correlated readiness</x:v>
      </x:c>
      <x:c r="E21" s="15" t="str">
        <x:v>Common bases, suppliers, crews, routes, data and hazards enter one joint state</x:v>
      </x:c>
      <x:c r="F21" s="34" t="str">
        <x:v>OPEN</x:v>
      </x:c>
      <x:c r="G21" s="34" t="str">
        <x:v>YES</x:v>
      </x:c>
      <x:c r="H21" s="47"/>
    </x:row>
    <x:row r="22">
      <x:c r="C22" s="11" t="str">
        <x:v>G06</x:v>
      </x:c>
      <x:c r="D22" s="11" t="str">
        <x:v>Authority and release</x:v>
      </x:c>
      <x:c r="E22" s="15" t="str">
        <x:v>Civil priority, operational allocation and technical release remain distinct and executable</x:v>
      </x:c>
      <x:c r="F22" s="34" t="str">
        <x:v>OPEN</x:v>
      </x:c>
      <x:c r="G22" s="34" t="str">
        <x:v>YES</x:v>
      </x:c>
      <x:c r="H22" s="47"/>
    </x:row>
    <x:row r="23">
      <x:c r="C23" s="11" t="str">
        <x:v>G07</x:v>
      </x:c>
      <x:c r="D23" s="11" t="str">
        <x:v>Workforce identity</x:v>
      </x:c>
      <x:c r="E23" s="15" t="str">
        <x:v>Each shared occupation has a roster, qualification, employer release and conflict rule</x:v>
      </x:c>
      <x:c r="F23" s="34" t="str">
        <x:v>OPEN</x:v>
      </x:c>
      <x:c r="G23" s="34" t="str">
        <x:v>YES</x:v>
      </x:c>
      <x:c r="H23" s="47"/>
    </x:row>
    <x:row r="24">
      <x:c r="C24" s="11" t="str">
        <x:v>G08</x:v>
      </x:c>
      <x:c r="D24" s="11" t="str">
        <x:v>Capital ownership</x:v>
      </x:c>
      <x:c r="E24" s="15" t="str">
        <x:v>Each credit maps to one item-level work-breakdown owner and excludes duplicate procurement</x:v>
      </x:c>
      <x:c r="F24" s="34" t="str">
        <x:v>OPEN</x:v>
      </x:c>
      <x:c r="G24" s="34" t="str">
        <x:v>YES</x:v>
      </x:c>
      <x:c r="H24" s="47"/>
    </x:row>
    <x:row r="25">
      <x:c r="C25" s="11" t="str">
        <x:v>G09</x:v>
      </x:c>
      <x:c r="D25" s="11" t="str">
        <x:v>Reservation policy</x:v>
      </x:c>
      <x:c r="E25" s="15" t="str">
        <x:v>Guarantee floors, priority classes, appeals and equity effects are preregistered</x:v>
      </x:c>
      <x:c r="F25" s="34" t="str">
        <x:v>OPEN</x:v>
      </x:c>
      <x:c r="G25" s="34" t="str">
        <x:v>YES</x:v>
      </x:c>
      <x:c r="H25" s="47"/>
    </x:row>
    <x:row r="26">
      <x:c r="C26" s="11" t="str">
        <x:v>G10</x:v>
      </x:c>
      <x:c r="D26" s="11" t="str">
        <x:v>Disconnected continuity</x:v>
      </x:c>
      <x:c r="E26" s="15" t="str">
        <x:v>Reservation and denial records operate without commercial network or cloud</x:v>
      </x:c>
      <x:c r="F26" s="34" t="str">
        <x:v>OPEN</x:v>
      </x:c>
      <x:c r="G26" s="34" t="str">
        <x:v>YES</x:v>
      </x:c>
      <x:c r="H26" s="47"/>
    </x:row>
    <x:row r="27">
      <x:c r="C27" s="11" t="str">
        <x:v>G11</x:v>
      </x:c>
      <x:c r="D27" s="11" t="str">
        <x:v>Independent cost</x:v>
      </x:c>
      <x:c r="E27" s="15" t="str">
        <x:v>Reference classes, schedule, learning, escalation and uncertainty replace planning ceilings</x:v>
      </x:c>
      <x:c r="F27" s="34" t="str">
        <x:v>OPEN</x:v>
      </x:c>
      <x:c r="G27" s="34" t="str">
        <x:v>YES</x:v>
      </x:c>
      <x:c r="H27" s="47"/>
    </x:row>
    <x:row r="28">
      <x:c r="C28" s="11" t="str">
        <x:v>G12</x:v>
      </x:c>
      <x:c r="D28" s="11" t="str">
        <x:v>Full mission</x:v>
      </x:c>
      <x:c r="E28" s="15" t="str">
        <x:v>Two concurrent campaigns and a follow-on mission close under observed capacity states</x:v>
      </x:c>
      <x:c r="F28" s="34" t="str">
        <x:v>OPEN</x:v>
      </x:c>
      <x:c r="G28" s="34" t="str">
        <x:v>YES</x:v>
      </x:c>
      <x:c r="H28" s="47"/>
    </x:row>
  </x:sheetData>
  <x:conditionalFormatting sqref="F17:G28">
    <x:cfRule type="containsText" dxfId="48" priority="1" operator="containsText" text="FAIL"/>
    <x:cfRule type="containsText" dxfId="49" priority="2" operator="containsText" text="UNALLOCATED"/>
    <x:cfRule type="containsText" dxfId="50" priority="3" operator="containsText" text="OPEN"/>
    <x:cfRule type="containsText" dxfId="51" priority="4" operator="containsText" text="BLOCKED"/>
    <x:cfRule type="containsText" dxfId="52" priority="5" operator="containsText" text="PASS"/>
    <x:cfRule type="containsText" dxfId="53" priority="6" operator="containsText" text="SUPERSEDED"/>
  </x:conditionalFormatting>
  <x:pageMargins left="0.7" right="0.7" top="0.75" bottom="0.75" header="0.3" footer="0.3"/>
  <x:tableParts count="2">
    <x:tablePart xmlns:r="http://schemas.openxmlformats.org/officeDocument/2006/relationships" r:id="Rd18cfc0ae3ca41d8"/>
    <x:tablePart xmlns:r="http://schemas.openxmlformats.org/officeDocument/2006/relationships" r:id="Ra82267eaf9ad46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9" hidden="0" customWidth="1"/>
    <x:col min="4" max="4" width="18" hidden="0" customWidth="1"/>
    <x:col min="5" max="5" width="20" hidden="0" customWidth="1"/>
    <x:col min="6" max="6" width="16" hidden="0" customWidth="1"/>
    <x:col min="7" max="7" width="18" hidden="0" customWidth="1"/>
  </x:cols>
  <x:sheetData>
    <x:row r="2">
      <x:c r="C2" s="2" t="str">
        <x:v>Model integrity</x:v>
      </x:c>
      <x:c r="D2" s="46"/>
      <x:c r="E2" s="46"/>
      <x:c r="F2" s="46"/>
      <x:c r="G2" s="46"/>
    </x:row>
    <x:row r="3">
      <x:c r="C3" s="3" t="str">
        <x:v>Terminal checks test formulas, conservation and source lineage. PASS does not admit a pool or readiness claim.</x:v>
      </x:c>
      <x:c r="D3" s="3"/>
      <x:c r="E3" s="3"/>
      <x:c r="F3" s="3"/>
      <x:c r="G3" s="3"/>
    </x:row>
    <x:row r="4">
      <x:c r="C4" s="47"/>
      <x:c r="D4" s="47"/>
      <x:c r="E4" s="47"/>
      <x:c r="F4" s="47"/>
      <x:c r="G4" s="47"/>
    </x:row>
    <x:row r="5">
      <x:c r="C5" s="9" t="str">
        <x:v>Check</x:v>
      </x:c>
      <x:c r="D5" s="9" t="str">
        <x:v>Expected</x:v>
      </x:c>
      <x:c r="E5" s="9" t="str">
        <x:v>Actual</x:v>
      </x:c>
      <x:c r="F5" s="9" t="str">
        <x:v>Status</x:v>
      </x:c>
      <x:c r="G5" s="47"/>
    </x:row>
    <x:row r="6">
      <x:c r="C6" s="11" t="str">
        <x:v>Canonical family rows</x:v>
      </x:c>
      <x:c r="D6" s="35" t="n">
        <x:v>48</x:v>
      </x:c>
      <x:c r="E6" s="36" t="n">
        <x:f>COUNTA('03 Demand Build'!H6:H53)</x:f>
        <x:v>48</x:v>
      </x:c>
      <x:c r="F6" s="21" t="str">
        <x:f>IF(ABS(E6-D6)&lt;=0.01,"PASS","FAIL")</x:f>
        <x:v>PASS</x:v>
      </x:c>
      <x:c r="G6" s="47"/>
    </x:row>
    <x:row r="7">
      <x:c r="C7" s="11" t="str">
        <x:v>Campaigns</x:v>
      </x:c>
      <x:c r="D7" s="35" t="n">
        <x:v>10</x:v>
      </x:c>
      <x:c r="E7" s="36" t="n">
        <x:f>COUNTA('01 Controls'!C32:C41)</x:f>
        <x:v>10</x:v>
      </x:c>
      <x:c r="F7" s="21" t="str">
        <x:f>IF(ABS(E7-D7)&lt;=0.01,"PASS","FAIL")</x:f>
        <x:v>PASS</x:v>
      </x:c>
      <x:c r="G7" s="47"/>
    </x:row>
    <x:row r="8">
      <x:c r="C8" s="11" t="str">
        <x:v>Formation-campaign records</x:v>
      </x:c>
      <x:c r="D8" s="35" t="n">
        <x:v>480</x:v>
      </x:c>
      <x:c r="E8" s="36" t="n">
        <x:f>COUNTA('03 Demand Build'!C6:C485)</x:f>
        <x:v>480</x:v>
      </x:c>
      <x:c r="F8" s="21" t="str">
        <x:f>IF(ABS(E8-D8)&lt;=0.01,"PASS","FAIL")</x:f>
        <x:v>PASS</x:v>
      </x:c>
      <x:c r="G8" s="47"/>
    </x:row>
    <x:row r="9">
      <x:c r="C9" s="11" t="str">
        <x:v>Quantified operational pools</x:v>
      </x:c>
      <x:c r="D9" s="35" t="n">
        <x:v>10</x:v>
      </x:c>
      <x:c r="E9" s="36" t="n">
        <x:f>COUNTA('02 Pool Register'!C6:C15)</x:f>
        <x:v>10</x:v>
      </x:c>
      <x:c r="F9" s="21" t="str">
        <x:f>IF(ABS(E9-D9)&lt;=0.01,"PASS","FAIL")</x:f>
        <x:v>PASS</x:v>
      </x:c>
      <x:c r="G9" s="47"/>
    </x:row>
    <x:row r="10">
      <x:c r="C10" s="11" t="str">
        <x:v>Allocation claims</x:v>
      </x:c>
      <x:c r="D10" s="35" t="n">
        <x:v>100</x:v>
      </x:c>
      <x:c r="E10" s="36" t="n">
        <x:f>COUNTA('04 Allocation Ledger'!C6:C105)</x:f>
        <x:v>100</x:v>
      </x:c>
      <x:c r="F10" s="21" t="str">
        <x:f>IF(ABS(E10-D10)&lt;=0.01,"PASS","FAIL")</x:f>
        <x:v>PASS</x:v>
      </x:c>
      <x:c r="G10" s="47"/>
    </x:row>
    <x:row r="11">
      <x:c r="C11" s="11" t="str">
        <x:v>Mode-share rows equal 100%</x:v>
      </x:c>
      <x:c r="D11" s="35" t="n">
        <x:v>10</x:v>
      </x:c>
      <x:c r="E11" s="36" t="n">
        <x:f>COUNTIFS('01 Controls'!I32:I41,"&gt;=0.999999",'01 Controls'!I32:I41,"&lt;=1.000001")</x:f>
        <x:v>10</x:v>
      </x:c>
      <x:c r="F11" s="21" t="str">
        <x:f>IF(ABS(E11-D11)&lt;=0.01,"PASS","FAIL")</x:f>
        <x:v>PASS</x:v>
      </x:c>
      <x:c r="G11" s="47"/>
    </x:row>
    <x:row r="12">
      <x:c r="C12" s="11" t="str">
        <x:v>Gross responder claim</x:v>
      </x:c>
      <x:c r="D12" s="35" t="n">
        <x:v>2011407</x:v>
      </x:c>
      <x:c r="E12" s="36" t="n">
        <x:f>SUM('03 Demand Build'!N6:N485)</x:f>
        <x:v>2011407</x:v>
      </x:c>
      <x:c r="F12" s="21" t="str">
        <x:f>IF(ABS(E12-D12)&lt;=0.01,"PASS","FAIL")</x:f>
        <x:v>PASS</x:v>
      </x:c>
      <x:c r="G12" s="47"/>
    </x:row>
    <x:row r="13">
      <x:c r="C13" s="11" t="str">
        <x:v>Early mass after preposition</x:v>
      </x:c>
      <x:c r="D13" s="35" t="n">
        <x:v>6677140.35</x:v>
      </x:c>
      <x:c r="E13" s="36" t="n">
        <x:f>SUM('03 Demand Build'!R6:R485)</x:f>
        <x:v>6677140.35</x:v>
      </x:c>
      <x:c r="F13" s="21" t="str">
        <x:f>IF(ABS(E13-D13)&lt;=0.01,"PASS","FAIL")</x:f>
        <x:v>PASS</x:v>
      </x:c>
      <x:c r="G13" s="47"/>
    </x:row>
    <x:row r="14">
      <x:c r="C14" s="11" t="str">
        <x:v>Daily force sustainment claim</x:v>
      </x:c>
      <x:c r="D14" s="35" t="n">
        <x:v>173895</x:v>
      </x:c>
      <x:c r="E14" s="36" t="n">
        <x:f>SUM('03 Demand Build'!T6:T485)</x:f>
        <x:v>173895</x:v>
      </x:c>
      <x:c r="F14" s="21" t="str">
        <x:f>IF(ABS(E14-D14)&lt;=0.01,"PASS","FAIL")</x:f>
        <x:v>PASS</x:v>
      </x:c>
      <x:c r="G14" s="47"/>
    </x:row>
    <x:row r="15">
      <x:c r="C15" s="11" t="str">
        <x:v>Allocation conservation</x:v>
      </x:c>
      <x:c r="D15" s="35" t="n">
        <x:v>0</x:v>
      </x:c>
      <x:c r="E15" s="36" t="n">
        <x:f>SUM('04 Allocation Ledger'!J6:J105)-SUM('04 Allocation Ledger'!M6:M105)-SUM('04 Allocation Ledger'!N6:N105)</x:f>
        <x:v>-9.313225746154785e-10</x:v>
      </x:c>
      <x:c r="F15" s="21" t="str">
        <x:f>IF(ABS(E15-D15)&lt;=0.01,"PASS","FAIL")</x:f>
        <x:v>PASS</x:v>
      </x:c>
      <x:c r="G15" s="47"/>
    </x:row>
    <x:row r="16">
      <x:c r="C16" s="11" t="str">
        <x:v>No negative closing pool</x:v>
      </x:c>
      <x:c r="D16" s="35" t="n">
        <x:v>100</x:v>
      </x:c>
      <x:c r="E16" s="36" t="n">
        <x:f>COUNTIFS('04 Allocation Ledger'!O6:O105,"&gt;=-0.000001")</x:f>
        <x:v>100</x:v>
      </x:c>
      <x:c r="F16" s="21" t="str">
        <x:f>IF(ABS(E16-D16)&lt;=0.01,"PASS","FAIL")</x:f>
        <x:v>PASS</x:v>
      </x:c>
      <x:c r="G16" s="47"/>
    </x:row>
    <x:row r="17">
      <x:c r="C17" s="11" t="str">
        <x:v>No negative denied claim</x:v>
      </x:c>
      <x:c r="D17" s="35" t="n">
        <x:v>100</x:v>
      </x:c>
      <x:c r="E17" s="36" t="n">
        <x:f>COUNTIFS('04 Allocation Ledger'!N6:N105,"&gt;=-0.000001")</x:f>
        <x:v>100</x:v>
      </x:c>
      <x:c r="F17" s="21" t="str">
        <x:f>IF(ABS(E17-D17)&lt;=0.01,"PASS","FAIL")</x:f>
        <x:v>PASS</x:v>
      </x:c>
      <x:c r="G17" s="47"/>
    </x:row>
    <x:row r="18">
      <x:c r="C18" s="11" t="str">
        <x:v>HCG district claims</x:v>
      </x:c>
      <x:c r="D18" s="35" t="n">
        <x:v>2346</x:v>
      </x:c>
      <x:c r="E18" s="36" t="n">
        <x:f>SUM('03 Demand Build'!AC6:AC485)</x:f>
        <x:v>2346</x:v>
      </x:c>
      <x:c r="F18" s="21" t="str">
        <x:f>IF(ABS(E18-D18)&lt;=0.01,"PASS","FAIL")</x:f>
        <x:v>PASS</x:v>
      </x:c>
      <x:c r="G18" s="47"/>
    </x:row>
    <x:row r="19">
      <x:c r="C19" s="11" t="str">
        <x:v>HCG route claims</x:v>
      </x:c>
      <x:c r="D19" s="35" t="n">
        <x:v>483</x:v>
      </x:c>
      <x:c r="E19" s="36" t="n">
        <x:f>SUM('03 Demand Build'!AD6:AD485)</x:f>
        <x:v>483</x:v>
      </x:c>
      <x:c r="F19" s="21" t="str">
        <x:f>IF(ABS(E19-D19)&lt;=0.01,"PASS","FAIL")</x:f>
        <x:v>PASS</x:v>
      </x:c>
      <x:c r="G19" s="47"/>
    </x:row>
    <x:row r="20">
      <x:c r="C20" s="11" t="str">
        <x:v>HCG power claims</x:v>
      </x:c>
      <x:c r="D20" s="35" t="n">
        <x:v>690</x:v>
      </x:c>
      <x:c r="E20" s="36" t="n">
        <x:f>SUM('03 Demand Build'!AE6:AE485)</x:f>
        <x:v>690</x:v>
      </x:c>
      <x:c r="F20" s="21" t="str">
        <x:f>IF(ABS(E20-D20)&lt;=0.01,"PASS","FAIL")</x:f>
        <x:v>PASS</x:v>
      </x:c>
      <x:c r="G20" s="47"/>
    </x:row>
    <x:row r="21">
      <x:c r="C21" s="11" t="str">
        <x:v>HCG water claims</x:v>
      </x:c>
      <x:c r="D21" s="35" t="n">
        <x:v>621</x:v>
      </x:c>
      <x:c r="E21" s="36" t="n">
        <x:f>SUM('03 Demand Build'!AF6:AF485)</x:f>
        <x:v>621</x:v>
      </x:c>
      <x:c r="F21" s="21" t="str">
        <x:f>IF(ABS(E21-D21)&lt;=0.01,"PASS","FAIL")</x:f>
        <x:v>PASS</x:v>
      </x:c>
      <x:c r="G21" s="47"/>
    </x:row>
    <x:row r="22">
      <x:c r="C22" s="11" t="str">
        <x:v>Pass 58 capital credits $B</x:v>
      </x:c>
      <x:c r="D22" s="35" t="n">
        <x:v>2268.1</x:v>
      </x:c>
      <x:c r="E22" s="36" t="n">
        <x:f>SUM('06 Credit Control'!F48:F59)</x:f>
        <x:v>2268.1</x:v>
      </x:c>
      <x:c r="F22" s="21" t="str">
        <x:f>IF(ABS(E22-D22)&lt;=0.01,"PASS","FAIL")</x:f>
        <x:v>PASS</x:v>
      </x:c>
      <x:c r="G22" s="47"/>
    </x:row>
    <x:row r="23">
      <x:c r="C23" s="11" t="str">
        <x:v>No-source rail capital $B</x:v>
      </x:c>
      <x:c r="D23" s="35" t="n">
        <x:v>240</x:v>
      </x:c>
      <x:c r="E23" s="36" t="n">
        <x:f>SUM('06 Credit Control'!K48:K59)</x:f>
        <x:v>240</x:v>
      </x:c>
      <x:c r="F23" s="21" t="str">
        <x:f>IF(ABS(E23-D23)&lt;=0.01,"PASS","FAIL")</x:f>
        <x:v>PASS</x:v>
      </x:c>
      <x:c r="G23" s="47"/>
    </x:row>
    <x:row r="24">
      <x:c r="C24" s="11" t="str">
        <x:v>Active non-HCG workforce credits</x:v>
      </x:c>
      <x:c r="D24" s="35" t="n">
        <x:v>915209</x:v>
      </x:c>
      <x:c r="E24" s="36" t="n">
        <x:f>SUMIFS('06 Credit Control'!H20:H33,'06 Credit Control'!D20:D33,"Pass 58 shared-person credit")</x:f>
        <x:v>915209</x:v>
      </x:c>
      <x:c r="F24" s="21" t="str">
        <x:f>IF(ABS(E24-D24)&lt;=0.01,"PASS","FAIL")</x:f>
        <x:v>PASS</x:v>
      </x:c>
      <x:c r="G24" s="47"/>
    </x:row>
    <x:row r="25">
      <x:c r="C25" s="11" t="str">
        <x:v>Quantified workforce granted</x:v>
      </x:c>
      <x:c r="D25" s="35" t="n">
        <x:v>198197.55</x:v>
      </x:c>
      <x:c r="E25" s="36" t="n">
        <x:f>SUM('06 Credit Control'!M20:M33)</x:f>
        <x:v>198197.55</x:v>
      </x:c>
      <x:c r="F25" s="21" t="str">
        <x:f>IF(ABS(E25-D25)&lt;=0.01,"PASS","FAIL")</x:f>
        <x:v>PASS</x:v>
      </x:c>
      <x:c r="G25" s="47"/>
    </x:row>
    <x:row r="26">
      <x:c r="C26" s="11" t="str">
        <x:v>Double-claim denial</x:v>
      </x:c>
      <x:c r="D26" s="35" t="n">
        <x:v>0</x:v>
      </x:c>
      <x:c r="E26" s="36" t="n">
        <x:f>MIN(1,1-MIN(1,1))</x:f>
        <x:v>0</x:v>
      </x:c>
      <x:c r="F26" s="21" t="str">
        <x:f>IF(ABS(E26-D26)&lt;=0.01,"PASS","FAIL")</x:f>
        <x:v>PASS</x:v>
      </x:c>
      <x:c r="G26" s="47"/>
    </x:row>
    <x:row r="27">
      <x:c r="C27" s="47"/>
      <x:c r="D27" s="47"/>
      <x:c r="E27" s="47"/>
      <x:c r="F27" s="47"/>
      <x:c r="G27" s="47"/>
    </x:row>
    <x:row r="28">
      <x:c r="C28" s="47"/>
      <x:c r="D28" s="47"/>
      <x:c r="E28" s="47"/>
      <x:c r="F28" s="47"/>
      <x:c r="G28" s="47"/>
    </x:row>
    <x:row r="29">
      <x:c r="C29" s="47"/>
      <x:c r="D29" s="47"/>
      <x:c r="E29" s="47"/>
      <x:c r="F29" s="47"/>
      <x:c r="G29" s="47"/>
    </x:row>
    <x:row r="30">
      <x:c r="C30" s="47"/>
      <x:c r="D30" s="47"/>
      <x:c r="E30" s="47"/>
      <x:c r="F30" s="47"/>
      <x:c r="G30" s="47"/>
    </x:row>
    <x:row r="31">
      <x:c r="C31" s="9" t="str">
        <x:v>Double-claim unit test</x:v>
      </x:c>
      <x:c r="D31" s="9" t="str">
        <x:v>Capacity</x:v>
      </x:c>
      <x:c r="E31" s="9" t="str">
        <x:v>First claim granted</x:v>
      </x:c>
      <x:c r="F31" s="9" t="str">
        <x:v>Second claim granted</x:v>
      </x:c>
      <x:c r="G31" s="9" t="str">
        <x:v>Result</x:v>
      </x:c>
    </x:row>
    <x:row r="32">
      <x:c r="C32" s="11" t="str">
        <x:v>One indivisible unit, two overlapping claims of one unit</x:v>
      </x:c>
      <x:c r="D32" s="11" t="n">
        <x:v>1</x:v>
      </x:c>
      <x:c r="E32" s="21" t="n">
        <x:f>MIN(1,D32)</x:f>
        <x:v>1</x:v>
      </x:c>
      <x:c r="F32" s="21" t="n">
        <x:f>MIN(1,D32-E32)</x:f>
        <x:v>0</x:v>
      </x:c>
      <x:c r="G32" s="21" t="str">
        <x:f>IF(AND(E32=1,F32=0),"PASS","FAIL")</x:f>
        <x:v>PASS</x:v>
      </x:c>
    </x:row>
  </x:sheetData>
  <x:conditionalFormatting sqref="F6:F26">
    <x:cfRule type="containsText" dxfId="54" priority="1" operator="containsText" text="FAIL"/>
    <x:cfRule type="containsText" dxfId="55" priority="2" operator="containsText" text="UNALLOCATED"/>
    <x:cfRule type="containsText" dxfId="56" priority="3" operator="containsText" text="OPEN"/>
    <x:cfRule type="containsText" dxfId="57" priority="4" operator="containsText" text="BLOCKED"/>
    <x:cfRule type="containsText" dxfId="58" priority="5" operator="containsText" text="PASS"/>
    <x:cfRule type="containsText" dxfId="59" priority="6" operator="containsText" text="SUPERSEDED"/>
  </x:conditionalFormatting>
  <x:conditionalFormatting sqref="G32:G32">
    <x:cfRule type="containsText" dxfId="60" priority="7" operator="containsText" text="FAIL"/>
    <x:cfRule type="containsText" dxfId="61" priority="8" operator="containsText" text="UNALLOCATED"/>
    <x:cfRule type="containsText" dxfId="62" priority="9" operator="containsText" text="OPEN"/>
    <x:cfRule type="containsText" dxfId="63" priority="10" operator="containsText" text="BLOCKED"/>
    <x:cfRule type="containsText" dxfId="64" priority="11" operator="containsText" text="PASS"/>
    <x:cfRule type="containsText" dxfId="65" priority="12" operator="containsText" text="SUPERSEDED"/>
  </x:conditionalFormatting>
  <x:pageMargins left="0.7" right="0.7" top="0.75" bottom="0.75" header="0.3" footer="0.3"/>
</x:worksheet>
</file>