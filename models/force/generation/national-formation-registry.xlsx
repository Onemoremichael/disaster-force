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worksheets/sheet8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2652b0f9264d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 Summary" sheetId="1" r:id="Rbc49e896fa794371"/>
    <x:sheet xmlns:r="http://schemas.openxmlformats.org/officeDocument/2006/relationships" name="01 Registry" sheetId="2" r:id="Ra43745a32bbe4b3a"/>
    <x:sheet xmlns:r="http://schemas.openxmlformats.org/officeDocument/2006/relationships" name="02 Contract Detail" sheetId="3" r:id="R31e734190b6d462f"/>
    <x:sheet xmlns:r="http://schemas.openxmlformats.org/officeDocument/2006/relationships" name="03 Dependency Map" sheetId="4" r:id="R29dc95fce8984224"/>
    <x:sheet xmlns:r="http://schemas.openxmlformats.org/officeDocument/2006/relationships" name="04 Technology Pull" sheetId="5" r:id="R3bfb67df723c4158"/>
    <x:sheet xmlns:r="http://schemas.openxmlformats.org/officeDocument/2006/relationships" name="05 Portfolio Gaps" sheetId="6" r:id="R7c5caf5d696d4b40"/>
    <x:sheet xmlns:r="http://schemas.openxmlformats.org/officeDocument/2006/relationships" name="06 Sources" sheetId="7" r:id="R64089f6d8c234e69"/>
    <x:sheet xmlns:r="http://schemas.openxmlformats.org/officeDocument/2006/relationships" name="07 Integrity" sheetId="8" r:id="R0264d6bc172e44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%"/>
    <x:numFmt numFmtId="202" formatCode="0.00"/>
  </x:numFmts>
  <x:fonts count="7">
    <x:font>
      <x:sz val="11"/>
      <x:name val="Carlito"/>
    </x:font>
    <x:font>
      <x:b/>
      <x:sz val="15"/>
      <x:color rgb="FF17212B"/>
      <x:name val="Arial"/>
    </x:font>
    <x:font>
      <x:i/>
      <x:sz val="10"/>
      <x:color rgb="FF5C6873"/>
      <x:name val="Arial"/>
    </x:font>
    <x:font>
      <x:b/>
      <x:sz val="10"/>
      <x:color rgb="FFFFFFFF"/>
      <x:name val="Arial"/>
    </x:font>
    <x:font>
      <x:sz val="10"/>
      <x:color rgb="FF17212B"/>
      <x:name val="Arial"/>
    </x:font>
    <x:font>
      <x:b/>
      <x:sz val="10"/>
      <x:color rgb="FF17212B"/>
      <x:name val="Arial"/>
    </x:font>
    <x:font>
      <x:b/>
      <x:sz val="14"/>
      <x:color rgb="FF17324D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CEAF5"/>
      </x:patternFill>
    </x:fill>
    <x:fill>
      <x:patternFill patternType="solid">
        <x:fgColor rgb="FFE5F1E8"/>
      </x:patternFill>
    </x:fill>
    <x:fill>
      <x:patternFill patternType="solid">
        <x:fgColor rgb="FFFFF1CC"/>
      </x:patternFill>
    </x:fill>
    <x:fill>
      <x:patternFill patternType="solid">
        <x:fgColor rgb="FFF8DDDD"/>
      </x:patternFill>
    </x:fill>
  </x:fills>
  <x:borders count="4">
    <x:border/>
    <x:border>
      <x:bottom style="medium">
        <x:color rgb="FF17324D"/>
      </x:bottom>
    </x:border>
    <x:border>
      <x:bottom style="medium">
        <x:color rgb="FFFFFFFF"/>
      </x:bottom>
    </x:border>
    <x:border>
      <x:bottom style="thin">
        <x:color rgb="FFCBD5DF"/>
      </x:bottom>
    </x:border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top"/>
    </x:xf>
    <x:xf numFmtId="200" fontId="4" fillId="0" borderId="0" xfId="0" applyNumberFormat="1" applyFont="1" applyFill="1" applyBorder="1" applyAlignment="1">
      <x:alignment vertical="top"/>
    </x:xf>
    <x:xf numFmtId="201" fontId="4" fillId="0" borderId="0" xfId="0" applyNumberFormat="1" applyFont="1" applyFill="1" applyBorder="1" applyAlignment="1">
      <x:alignment vertical="top"/>
    </x:xf>
    <x:xf numFmtId="0" fontId="4" fillId="0" borderId="3" xfId="0" applyNumberFormat="1" applyFont="1" applyFill="1" applyBorder="1" applyAlignment="1">
      <x:alignment vertical="top"/>
    </x:xf>
    <x:xf numFmtId="200" fontId="4" fillId="0" borderId="3" xfId="0" applyNumberFormat="1" applyFont="1" applyFill="1" applyBorder="1" applyAlignment="1">
      <x:alignment vertical="top"/>
    </x:xf>
    <x:xf numFmtId="201" fontId="4" fillId="0" borderId="3" xfId="0" applyNumberFormat="1" applyFont="1" applyFill="1" applyBorder="1" applyAlignment="1">
      <x:alignment vertical="top"/>
    </x:xf>
    <x:xf numFmtId="0" fontId="4" fillId="3" borderId="0" xfId="0" applyNumberFormat="1" applyFont="1" applyFill="1" applyBorder="1" applyAlignment="1">
      <x:alignment vertical="top"/>
    </x:xf>
    <x:xf numFmtId="0" fontId="4" fillId="3" borderId="3" xfId="0" applyNumberFormat="1" applyFont="1" applyFill="1" applyBorder="1" applyAlignment="1">
      <x:alignment vertical="top"/>
    </x:xf>
    <x:xf numFmtId="200" fontId="4" fillId="4" borderId="0" xfId="0" applyNumberFormat="1" applyFont="1" applyFill="1" applyBorder="1" applyAlignment="1">
      <x:alignment vertical="top"/>
    </x:xf>
    <x:xf numFmtId="201" fontId="4" fillId="4" borderId="0" xfId="0" applyNumberFormat="1" applyFont="1" applyFill="1" applyBorder="1" applyAlignment="1">
      <x:alignment vertical="top"/>
    </x:xf>
    <x:xf numFmtId="0" fontId="4" fillId="4" borderId="0" xfId="0" applyNumberFormat="1" applyFont="1" applyFill="1" applyBorder="1" applyAlignment="1">
      <x:alignment vertical="top"/>
    </x:xf>
    <x:xf numFmtId="200" fontId="4" fillId="4" borderId="3" xfId="0" applyNumberFormat="1" applyFont="1" applyFill="1" applyBorder="1" applyAlignment="1">
      <x:alignment vertical="top"/>
    </x:xf>
    <x:xf numFmtId="201" fontId="4" fillId="4" borderId="3" xfId="0" applyNumberFormat="1" applyFont="1" applyFill="1" applyBorder="1" applyAlignment="1">
      <x:alignment vertical="top"/>
    </x:xf>
    <x:xf numFmtId="0" fontId="4" fillId="4" borderId="3" xfId="0" applyNumberFormat="1" applyFont="1" applyFill="1" applyBorder="1" applyAlignment="1">
      <x:alignment vertical="top"/>
    </x:xf>
    <x:xf numFmtId="0" fontId="4" fillId="5" borderId="0" xfId="0" applyNumberFormat="1" applyFont="1" applyFill="1" applyBorder="1" applyAlignment="1">
      <x:alignment vertical="top"/>
    </x:xf>
    <x:xf numFmtId="0" fontId="4" fillId="5" borderId="3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vertical="top" wrapText="1"/>
    </x:xf>
    <x:xf numFmtId="200" fontId="4" fillId="4" borderId="0" xfId="0" applyNumberFormat="1" applyFont="1" applyFill="1" applyBorder="1" applyAlignment="1">
      <x:alignment vertical="top" wrapText="1"/>
    </x:xf>
    <x:xf numFmtId="201" fontId="4" fillId="4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200" fontId="4" fillId="4" borderId="3" xfId="0" applyNumberFormat="1" applyFont="1" applyFill="1" applyBorder="1" applyAlignment="1">
      <x:alignment vertical="top" wrapText="1"/>
    </x:xf>
    <x:xf numFmtId="201" fontId="4" fillId="4" borderId="3" xfId="0" applyNumberFormat="1" applyFont="1" applyFill="1" applyBorder="1" applyAlignment="1">
      <x:alignment vertical="top" wrapText="1"/>
    </x:xf>
    <x:xf numFmtId="0" fontId="4" fillId="4" borderId="3" xfId="0" applyNumberFormat="1" applyFont="1" applyFill="1" applyBorder="1" applyAlignment="1">
      <x:alignment vertical="top" wrapText="1"/>
    </x:xf>
    <x:xf numFmtId="0" fontId="4" fillId="5" borderId="3" xfId="0" applyNumberFormat="1" applyFont="1" applyFill="1" applyBorder="1" applyAlignment="1">
      <x:alignment vertical="top" wrapText="1"/>
    </x:xf>
    <x:xf numFmtId="200" fontId="4" fillId="5" borderId="0" xfId="0" applyNumberFormat="1" applyFont="1" applyFill="1" applyBorder="1" applyAlignment="1">
      <x:alignment vertical="top"/>
    </x:xf>
    <x:xf numFmtId="0" fontId="4" fillId="6" borderId="0" xfId="0" applyNumberFormat="1" applyFont="1" applyFill="1" applyBorder="1" applyAlignment="1">
      <x:alignment vertical="top"/>
    </x:xf>
    <x:xf numFmtId="0" fontId="4" fillId="6" borderId="0" xfId="0" applyNumberFormat="1" applyFont="1" applyFill="1" applyBorder="1" applyAlignment="1">
      <x:alignment vertical="top" wrapText="1"/>
    </x:xf>
    <x:xf numFmtId="202" fontId="4" fillId="0" borderId="0" xfId="0" applyNumberFormat="1" applyFont="1" applyFill="1" applyBorder="1" applyAlignment="1">
      <x:alignment vertical="top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horizontal="center"/>
    </x:xf>
    <x:xf numFmtId="0" fontId="5" fillId="3" borderId="3" xfId="0" applyNumberFormat="1" applyFont="1" applyFill="1" applyBorder="1"/>
    <x:xf numFmtId="0" fontId="6" fillId="4" borderId="3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1E6338"/>
      </x:font>
      <x:fill>
        <x:patternFill patternType="solid">
          <x:bgColor rgb="FFE5F1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70c6c34a2a4da7" /><Relationship Type="http://schemas.openxmlformats.org/officeDocument/2006/relationships/theme" Target="/xl/theme/theme1.xml" Id="R555c5055fbad48d9" /><Relationship Type="http://schemas.openxmlformats.org/officeDocument/2006/relationships/sharedStrings" Target="/xl/sharedStrings.xml" Id="R3555369528ef445d" /><Relationship Type="http://schemas.openxmlformats.org/officeDocument/2006/relationships/worksheet" Target="/xl/worksheets/sheet1.xml" Id="Rbc49e896fa794371" /><Relationship Type="http://schemas.openxmlformats.org/officeDocument/2006/relationships/worksheet" Target="/xl/worksheets/sheet2.xml" Id="Ra43745a32bbe4b3a" /><Relationship Type="http://schemas.openxmlformats.org/officeDocument/2006/relationships/worksheet" Target="/xl/worksheets/sheet3.xml" Id="R31e734190b6d462f" /><Relationship Type="http://schemas.openxmlformats.org/officeDocument/2006/relationships/worksheet" Target="/xl/worksheets/sheet4.xml" Id="R29dc95fce8984224" /><Relationship Type="http://schemas.openxmlformats.org/officeDocument/2006/relationships/worksheet" Target="/xl/worksheets/sheet5.xml" Id="R3bfb67df723c4158" /><Relationship Type="http://schemas.openxmlformats.org/officeDocument/2006/relationships/worksheet" Target="/xl/worksheets/sheet6.xml" Id="R7c5caf5d696d4b40" /><Relationship Type="http://schemas.openxmlformats.org/officeDocument/2006/relationships/worksheet" Target="/xl/worksheets/sheet7.xml" Id="R64089f6d8c234e69" /><Relationship Type="http://schemas.openxmlformats.org/officeDocument/2006/relationships/worksheet" Target="/xl/worksheets/sheet8.xml" Id="R0264d6bc172e446d" /></Relationships>
</file>

<file path=xl/tables/table1.xml><?xml version="1.0" encoding="utf-8"?>
<x:table xmlns:x="http://schemas.openxmlformats.org/spreadsheetml/2006/main" id="1" name="FormationRegistryTable" displayName="FormationRegistryTable" ref="A5:W54" headerRowCount="1" totalsRowCount="0" totalsRowShown="0">
  <x:tableColumns count="23">
    <x:tableColumn id="1" name="Formation ID"/>
    <x:tableColumn id="2" name="Record type"/>
    <x:tableColumn id="3" name="Formation family"/>
    <x:tableColumn id="4" name="Generating service"/>
    <x:tableColumn id="5" name="Primary civilian effect"/>
    <x:tableColumn id="6" name="Echelon"/>
    <x:tableColumn id="7" name="Operational responsibility"/>
    <x:tableColumn id="8" name="Pass 23 OOB status"/>
    <x:tableColumn id="9" name="Lineage / mapping"/>
    <x:tableColumn id="10" name="Maturity"/>
    <x:tableColumn id="11" name="Quantitative authority"/>
    <x:tableColumn id="12" name="Formation / configuration authority"/>
    <x:tableColumn id="13" name="Contract fields present"/>
    <x:tableColumn id="14" name="Contract score"/>
    <x:tableColumn id="15" name="Completeness"/>
    <x:tableColumn id="16" name="R3-grade fields"/>
    <x:tableColumn id="17" name="Configuration eligible"/>
    <x:tableColumn id="18" name="Highest binding gap"/>
    <x:tableColumn id="19" name="Next admissible evidence"/>
    <x:tableColumn id="20" name="Rendering"/>
    <x:tableColumn id="21" name="Primary dependency"/>
    <x:tableColumn id="22" name="Technology mission thread"/>
    <x:tableColumn id="23" name="Boundary 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ntractDetailTable" displayName="ContractDetailTable" ref="A5:P54" headerRowCount="1" totalsRowCount="0" totalsRowShown="0">
  <x:tableColumns count="16">
    <x:tableColumn id="1" name="Formation ID"/>
    <x:tableColumn id="2" name="Formation family"/>
    <x:tableColumn id="3" name="Population / function"/>
    <x:tableColumn id="4" name="Safe-use effect"/>
    <x:tableColumn id="5" name="Time bands"/>
    <x:tableColumn id="6" name="Damage envelope"/>
    <x:tableColumn id="7" name="Organic package"/>
    <x:tableColumn id="8" name="Dependencies"/>
    <x:tableColumn id="9" name="Movement / reception"/>
    <x:tableColumn id="10" name="Sustainment / waste"/>
    <x:tableColumn id="11" name="Authorities / transfer"/>
    <x:tableColumn id="12" name="Regeneration"/>
    <x:tableColumn id="13" name="Score"/>
    <x:tableColumn id="14" name="Completeness"/>
    <x:tableColumn id="15" name="Primary gap"/>
    <x:tableColumn id="16" name="Scoring boundary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ependencyMapTable" displayName="DependencyMapTable" ref="A5:I54" headerRowCount="1" totalsRowCount="0" totalsRowShown="0">
  <x:tableColumns count="9">
    <x:tableColumn id="1" name="Formation ID"/>
    <x:tableColumn id="2" name="Formation family"/>
    <x:tableColumn id="3" name="Receives from"/>
    <x:tableColumn id="4" name="Supports"/>
    <x:tableColumn id="5" name="Dominant common mode"/>
    <x:tableColumn id="6" name="Evidence state"/>
    <x:tableColumn id="7" name="Next dependency test"/>
    <x:tableColumn id="8" name="Generating service"/>
    <x:tableColumn id="9" name="Primary effec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echnologyPullTable" displayName="TechnologyPullTable" ref="A5:H11" headerRowCount="1" totalsRowCount="0" totalsRowShown="0">
  <x:tableColumns count="8">
    <x:tableColumn id="1" name="Mission thread"/>
    <x:tableColumn id="2" name="Registered formations"/>
    <x:tableColumn id="3" name="Binding coefficient"/>
    <x:tableColumn id="4" name="Candidate technology competitions"/>
    <x:tableColumn id="5" name="Disqualifying evidence requirement"/>
    <x:tableColumn id="6" name="Acquisition object"/>
    <x:tableColumn id="7" name="R3 formations"/>
    <x:tableColumn id="8" name="Rendering unlock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erviceGapTable" displayName="ServiceGapTable" ref="A5:F13" headerRowCount="1" totalsRowCount="0" totalsRowShown="0">
  <x:tableColumns count="6">
    <x:tableColumn id="1" name="Generating service"/>
    <x:tableColumn id="2" name="Canonical families"/>
    <x:tableColumn id="3" name="Pass 23 quantified"/>
    <x:tableColumn id="4" name="Mean completeness"/>
    <x:tableColumn id="5" name="R2+ proxies"/>
    <x:tableColumn id="6" name="R3 formatio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EffectGapTable" displayName="EffectGapTable" ref="A17:F26" headerRowCount="1" totalsRowCount="0" totalsRowShown="0">
  <x:tableColumns count="6">
    <x:tableColumn id="1" name="Civilian effect"/>
    <x:tableColumn id="2" name="Canonical families"/>
    <x:tableColumn id="3" name="Pass 23 quantified"/>
    <x:tableColumn id="4" name="Mean completeness"/>
    <x:tableColumn id="5" name="R2+ proxies"/>
    <x:tableColumn id="6" name="R3 formation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ContractFieldGapTable" displayName="ContractFieldGapTable" ref="H5:K15" headerRowCount="1" totalsRowCount="0" totalsRowShown="0">
  <x:tableColumns count="4">
    <x:tableColumn id="1" name="Contract field"/>
    <x:tableColumn id="2" name="Absent records"/>
    <x:tableColumn id="3" name="R3-grade records"/>
    <x:tableColumn id="4" name="Mean scor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SourceAuthorityTable" displayName="SourceAuthorityTable" ref="A5:E20" headerRowCount="1" totalsRowCount="0" totalsRowShown="0">
  <x:tableColumns count="5">
    <x:tableColumn id="1" name="Source ID"/>
    <x:tableColumn id="2" name="Repository path"/>
    <x:tableColumn id="3" name="Authority role"/>
    <x:tableColumn id="4" name="Scope used here"/>
    <x:tableColumn id="5" name="Boundary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IntegrityTable" displayName="IntegrityTable" ref="A5:D19" headerRowCount="1" totalsRowCount="0" totalsRowShown="0">
  <x:tableColumns count="4">
    <x:tableColumn id="1" name="Check"/>
    <x:tableColumn id="2" name="Expected"/>
    <x:tableColumn id="3" name="Actual"/>
    <x:tableColumn id="4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0c1be6536154a8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ab23a538f5848a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ce5195b6675403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4c218f637c24ea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766aa964e064ad3" /><Relationship Type="http://schemas.openxmlformats.org/officeDocument/2006/relationships/table" Target="/xl/tables/table6.xml" Id="R8ac449c64f334db6" /><Relationship Type="http://schemas.openxmlformats.org/officeDocument/2006/relationships/table" Target="/xl/tables/table7.xml" Id="R71564b1f4f61424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8.xml" Id="Rae7ebfc1694e4fd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9.xml" Id="R2986ed292b544120" /></Relationships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1" max="1" width="34" hidden="0" customWidth="1"/>
    <x:col min="2" max="2" width="16" hidden="0" customWidth="1"/>
    <x:col min="4" max="4" width="66" hidden="0" customWidth="1"/>
    <x:col min="5" max="5" width="35" hidden="0" customWidth="1"/>
    <x:col min="6" max="6" width="33" hidden="0" customWidth="1"/>
    <x:col min="7" max="7" width="16" hidden="0" customWidth="1"/>
    <x:col min="8" max="8" width="58" hidden="0" customWidth="1"/>
    <x:col min="9" max="9" width="44" hidden="0" customWidth="1"/>
  </x:cols>
  <x:sheetData>
    <x:row r="2">
      <x:c r="A2" s="2" t="str">
        <x:v>National Formation Registry — Decision View</x:v>
      </x:c>
      <x:c r="B2" s="1"/>
      <x:c r="C2" s="1"/>
      <x:c r="D2" s="1"/>
      <x:c r="E2" s="1"/>
      <x:c r="F2" s="1"/>
      <x:c r="G2" s="1"/>
      <x:c r="H2" s="1"/>
    </x:row>
    <x:row r="3">
      <x:c r="A3" s="3" t="str">
        <x:v>Pass 57: reconcile the canonical force design with the current quantitative order of battle and expose what must be configured next.</x:v>
      </x:c>
      <x:c r="B3" s="3"/>
      <x:c r="C3" s="3"/>
      <x:c r="D3" s="3"/>
      <x:c r="E3" s="3"/>
      <x:c r="F3" s="3"/>
      <x:c r="G3" s="3"/>
      <x:c r="H3" s="3"/>
    </x:row>
    <x:row r="5">
      <x:c r="A5" s="42" t="str">
        <x:v>Canonical families</x:v>
      </x:c>
      <x:c r="B5" s="45" t="n">
        <x:f>COUNTIF('01 Registry'!$B$6:$B$54,"Canonical family")</x:f>
        <x:v>48</x:v>
      </x:c>
      <x:c r="D5" s="9" t="str">
        <x:v>Authoritative judgment</x:v>
      </x:c>
      <x:c r="E5" s="9" t="str">
        <x:v>Finding</x:v>
      </x:c>
      <x:c r="F5" s="9" t="str">
        <x:v>Consequence</x:v>
      </x:c>
      <x:c r="G5" s="9" t="str">
        <x:v>Decision</x:v>
      </x:c>
      <x:c r="H5" s="9" t="str">
        <x:v>Evidence boundary</x:v>
      </x:c>
    </x:row>
    <x:row r="6" ht="80" customHeight="1">
      <x:c r="A6" s="42" t="str">
        <x:v>Pass 23 quantified records</x:v>
      </x:c>
      <x:c r="B6" s="45" t="n">
        <x:f>COUNTIF('01 Registry'!$H$6:$H$54,"Quantified")</x:f>
        <x:v>34</x:v>
      </x:c>
      <x:c r="D6" s="27" t="str">
        <x:v>The architecture is larger than the quantitative inventory.</x:v>
      </x:c>
      <x:c r="E6" s="27" t="str">
        <x:v>48 canonical families now exist; 15 lack a distinct Pass 23 line.</x:v>
      </x:c>
      <x:c r="F6" s="27" t="str">
        <x:v>The current $12.049T / 3.95M screen cannot yet allocate the mature design without hidden substitution.</x:v>
      </x:c>
      <x:c r="G6" s="27" t="str">
        <x:v>Rebuild the campaign matrix around canonical families.</x:v>
      </x:c>
      <x:c r="H6" s="27" t="str">
        <x:v>Counts are architecture reconciliation, not force validation.</x:v>
      </x:c>
    </x:row>
    <x:row r="7" ht="80" customHeight="1">
      <x:c r="A7" s="42" t="str">
        <x:v>Canonical families not quantified</x:v>
      </x:c>
      <x:c r="B7" s="45" t="n">
        <x:f>COUNTIFS('01 Registry'!$B$6:$B$54,"Canonical family",'01 Registry'!$H$6:$H$54,"Not quantified")</x:f>
        <x:v>15</x:v>
      </x:c>
      <x:c r="D7" s="27" t="str">
        <x:v>I-UPG is a lineage record, not a mature unit.</x:v>
      </x:c>
      <x:c r="E7" s="27" t="str">
        <x:v>Pass 23 aggregates water, power and grid bridge inside one line.</x:v>
      </x:c>
      <x:c r="F7" s="27" t="str">
        <x:v>Leaving it intact double-counts or obscures three different technical and industrial systems.</x:v>
      </x:c>
      <x:c r="G7" s="27" t="str">
        <x:v>Retire I-UPG only after child-line demand, component and WBS reconciliation.</x:v>
      </x:c>
      <x:c r="H7" s="27" t="str">
        <x:v>No financial total changes in this workbook.</x:v>
      </x:c>
    </x:row>
    <x:row r="8" ht="80" customHeight="1">
      <x:c r="A8" s="42" t="str">
        <x:v>R2+ configuration proxies</x:v>
      </x:c>
      <x:c r="B8" s="45" t="n">
        <x:f>COUNTIF('01 Registry'!$J$6:$J$54,"R2+")</x:f>
        <x:v>8</x:v>
      </x:c>
      <x:c r="D8" s="27" t="str">
        <x:v>Configuration evidence is sparse and proxy-based.</x:v>
      </x:c>
      <x:c r="E8" s="27" t="str">
        <x:v>R2+ work concentrates in water, power, flood, fire, population support, neighborhood access, transfer nodes and maritime production.</x:v>
      </x:c>
      <x:c r="F8" s="27" t="str">
        <x:v>Most families remain complete-thread hypotheses with no itemized table of organization.</x:v>
      </x:c>
      <x:c r="G8" s="27" t="str">
        <x:v>Configure one heavy, mobility, care, community and theater-support formation next.</x:v>
      </x:c>
      <x:c r="H8" s="27" t="str">
        <x:v>A proxy does not certify the parent formation.</x:v>
      </x:c>
    </x:row>
    <x:row r="9" ht="80" customHeight="1">
      <x:c r="A9" s="42" t="str">
        <x:v>R3 formations</x:v>
      </x:c>
      <x:c r="B9" s="45" t="n">
        <x:f>COUNTIF('01 Registry'!$J$6:$J$54,"R3")</x:f>
        <x:v>0</x:v>
      </x:c>
      <x:c r="D9" s="27" t="str">
        <x:v>No family has earned R3.</x:v>
      </x:c>
      <x:c r="E9" s="27" t="str">
        <x:v>Every record retains at least one unclosed contract field or field-performance gate.</x:v>
      </x:c>
      <x:c r="F9" s="27" t="str">
        <x:v>Vehicles and facilities still lack a mature organizational and evidence basis for rendering.</x:v>
      </x:c>
      <x:c r="G9" s="27" t="str">
        <x:v>Keep renderings blocked and fund rival mechanisms through full-mission trials.</x:v>
      </x:c>
      <x:c r="H9" s="27" t="str">
        <x:v>Workbook scores are evidence triage, not acceptance.</x:v>
      </x:c>
    </x:row>
    <x:row r="10">
      <x:c r="A10" s="46" t="str">
        <x:v>Rendering unlocked</x:v>
      </x:c>
      <x:c r="B10" s="47" t="n">
        <x:f>COUNTIF('01 Registry'!$T$6:$T$54,"UNLOCKED")</x:f>
        <x:v>0</x:v>
      </x:c>
    </x:row>
    <x:row r="14" ht="32" customHeight="1">
      <x:c r="A14" s="9" t="str">
        <x:v>Maturity</x:v>
      </x:c>
      <x:c r="B14" s="9" t="str">
        <x:v>Registry records</x:v>
      </x:c>
      <x:c r="C14" s="9" t="str">
        <x:v>Canonical records</x:v>
      </x:c>
      <x:c r="D14" s="9" t="str">
        <x:v>Meaning</x:v>
      </x:c>
      <x:c r="F14" s="9" t="str">
        <x:v>Reconciliation</x:v>
      </x:c>
      <x:c r="G14" s="9" t="str">
        <x:v>Value</x:v>
      </x:c>
      <x:c r="H14" s="9" t="str">
        <x:v>Interpretation</x:v>
      </x:c>
    </x:row>
    <x:row r="15" ht="32" customHeight="1">
      <x:c r="A15" s="11" t="str">
        <x:v>R1</x:v>
      </x:c>
      <x:c r="B15" s="21" t="n">
        <x:f>COUNTIF('01 Registry'!$J$6:$J$54,A15)</x:f>
        <x:v>1</x:v>
      </x:c>
      <x:c r="C15" s="21" t="n">
        <x:f>COUNTIFS('01 Registry'!$J$6:$J$54,A15,'01 Registry'!$B$6:$B$54,"Canonical family")</x:f>
        <x:v>1</x:v>
      </x:c>
      <x:c r="D15" s="27" t="str">
        <x:v>Functional concept</x:v>
      </x:c>
      <x:c r="F15" s="11" t="str">
        <x:v>Canonical families in Pass 23</x:v>
      </x:c>
      <x:c r="G15" s="21" t="n">
        <x:f>COUNTIFS('01 Registry'!$B$6:$B$54,"Canonical family",'01 Registry'!$H$6:$H$54,"Quantified")</x:f>
        <x:v>33</x:v>
      </x:c>
      <x:c r="H15" s="27" t="str">
        <x:v>Distinct canonical families with an existing quantitative line</x:v>
      </x:c>
    </x:row>
    <x:row r="16" ht="32" customHeight="1">
      <x:c r="A16" s="11" t="str">
        <x:v>R1/R2</x:v>
      </x:c>
      <x:c r="B16" s="21" t="n">
        <x:f>COUNTIF('01 Registry'!$J$6:$J$54,A16)</x:f>
        <x:v>38</x:v>
      </x:c>
      <x:c r="C16" s="21" t="n">
        <x:f>COUNTIFS('01 Registry'!$J$6:$J$54,A16,'01 Registry'!$B$6:$B$54,"Canonical family")</x:f>
        <x:v>37</x:v>
      </x:c>
      <x:c r="D16" s="27" t="str">
        <x:v>Bounded architecture with provisional arithmetic or institutional design</x:v>
      </x:c>
      <x:c r="F16" s="11" t="str">
        <x:v>Legacy aggregates</x:v>
      </x:c>
      <x:c r="G16" s="21" t="n">
        <x:f>COUNTIF('01 Registry'!$B$6:$B$54,"Legacy aggregate")</x:f>
        <x:v>1</x:v>
      </x:c>
      <x:c r="H16" s="27" t="str">
        <x:v>Retained for lineage; not part of canonical family count</x:v>
      </x:c>
    </x:row>
    <x:row r="17" ht="32" customHeight="1">
      <x:c r="A17" s="11" t="str">
        <x:v>R2</x:v>
      </x:c>
      <x:c r="B17" s="21" t="n">
        <x:f>COUNTIF('01 Registry'!$J$6:$J$54,A17)</x:f>
        <x:v>2</x:v>
      </x:c>
      <x:c r="C17" s="21" t="n">
        <x:f>COUNTIFS('01 Registry'!$J$6:$J$54,A17,'01 Registry'!$B$6:$B$54,"Canonical family")</x:f>
        <x:v>2</x:v>
      </x:c>
      <x:c r="D17" s="27" t="str">
        <x:v>System architecture or deterministic closure beyond a label</x:v>
      </x:c>
      <x:c r="F17" s="11" t="str">
        <x:v>Average contract completeness</x:v>
      </x:c>
      <x:c r="G17" s="20" t="n">
        <x:f>AVERAGEIF('01 Registry'!$B$6:$B$54,"Canonical family",'01 Registry'!$O$6:$O$54)</x:f>
        <x:v>0.5166666666666665</x:v>
      </x:c>
      <x:c r="H17" s="27" t="str">
        <x:v>Presence/configuration screen across ten required fields</x:v>
      </x:c>
    </x:row>
    <x:row r="18" ht="32" customHeight="1">
      <x:c r="A18" s="11" t="str">
        <x:v>R2+</x:v>
      </x:c>
      <x:c r="B18" s="21" t="n">
        <x:f>COUNTIF('01 Registry'!$J$6:$J$54,A18)</x:f>
        <x:v>8</x:v>
      </x:c>
      <x:c r="C18" s="21" t="n">
        <x:f>COUNTIFS('01 Registry'!$J$6:$J$54,A18,'01 Registry'!$B$6:$B$54,"Canonical family")</x:f>
        <x:v>8</x:v>
      </x:c>
      <x:c r="D18" s="27" t="str">
        <x:v>Configuration-level proxy with major evidence gates still open</x:v>
      </x:c>
      <x:c r="F18" s="11" t="str">
        <x:v>Fully configured records</x:v>
      </x:c>
      <x:c r="G18" s="21" t="n">
        <x:f>COUNTIF('01 Registry'!$Q$6:$Q$54,"YES")</x:f>
        <x:v>0</x:v>
      </x:c>
      <x:c r="H18" s="27" t="str">
        <x:v>Necessary ten-field threshold; still would require independent trials</x:v>
      </x:c>
    </x:row>
    <x:row r="19" ht="32" customHeight="1">
      <x:c r="A19" s="11" t="str">
        <x:v>R3</x:v>
      </x:c>
      <x:c r="B19" s="21" t="n">
        <x:f>COUNTIF('01 Registry'!$J$6:$J$54,A19)</x:f>
        <x:v>0</x:v>
      </x:c>
      <x:c r="C19" s="21" t="n">
        <x:f>COUNTIFS('01 Registry'!$J$6:$J$54,A19,'01 Registry'!$B$6:$B$54,"Canonical family")</x:f>
        <x:v>0</x:v>
      </x:c>
      <x:c r="D19" s="27" t="str">
        <x:v>Representative full-system/formation evidence admitted</x:v>
      </x:c>
      <x:c r="F19" s="11" t="str">
        <x:v>Pass 23 scale boundary</x:v>
      </x:c>
      <x:c r="G19" s="21" t="str">
        <x:v>HELD</x:v>
      </x:c>
      <x:c r="H19" s="27" t="str">
        <x:v>$12.049T capital and 3.95M affiliated billets remain unchanged until model reconciliation</x:v>
      </x:c>
    </x:row>
    <x:row r="23" ht="42" customHeight="1">
      <x:c r="A23" s="49" t="str">
        <x:v>How to use this workbook</x:v>
      </x:c>
      <x:c r="B23" s="49" t="str">
        <x:v>1</x:v>
      </x:c>
      <x:c r="C23" s="49" t="str">
        <x:v>Read the decision view</x:v>
      </x:c>
      <x:c r="D23" s="49" t="str">
        <x:v>2</x:v>
      </x:c>
      <x:c r="E23" s="49" t="str">
        <x:v>Inspect formation records</x:v>
      </x:c>
      <x:c r="F23" s="49" t="str">
        <x:v>3</x:v>
      </x:c>
      <x:c r="G23" s="49" t="str">
        <x:v>Challenge scores and dependencies</x:v>
      </x:c>
      <x:c r="H23" s="49" t="str">
        <x:v>4</x:v>
      </x:c>
      <x:c r="I23" s="49" t="str">
        <x:v>Use the resulting gaps to commission configurations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3" hidden="0" customWidth="1"/>
    <x:col min="2" max="2" width="16" hidden="0" customWidth="1"/>
    <x:col min="3" max="3" width="29" hidden="0" customWidth="1"/>
    <x:col min="4" max="4" width="25" hidden="0" customWidth="1"/>
    <x:col min="5" max="5" width="34" hidden="0" customWidth="1"/>
    <x:col min="6" max="6" width="19" hidden="0" customWidth="1"/>
    <x:col min="7" max="7" width="42" hidden="0" customWidth="1"/>
    <x:col min="8" max="8" width="18" hidden="0" customWidth="1"/>
    <x:col min="9" max="9" width="34" hidden="0" customWidth="1"/>
    <x:col min="10" max="10" width="10" hidden="0" customWidth="1"/>
    <x:col min="11" max="11" width="42" hidden="0" customWidth="1"/>
    <x:col min="12" max="12" width="46" hidden="0" customWidth="1"/>
    <x:col min="13" max="13" width="12" hidden="0" customWidth="1"/>
    <x:col min="14" max="14" width="11" hidden="0" customWidth="1"/>
    <x:col min="15" max="15" width="12" hidden="0" customWidth="1"/>
    <x:col min="16" max="16" width="11" hidden="0" customWidth="1"/>
    <x:col min="17" max="17" width="15" hidden="0" customWidth="1"/>
    <x:col min="18" max="18" width="36" hidden="0" customWidth="1"/>
    <x:col min="19" max="19" width="45" hidden="0" customWidth="1"/>
    <x:col min="20" max="20" width="12" hidden="0" customWidth="1"/>
    <x:col min="21" max="21" width="38" hidden="0" customWidth="1"/>
    <x:col min="22" max="22" width="31" hidden="0" customWidth="1"/>
    <x:col min="23" max="23" width="45" hidden="0" customWidth="1"/>
  </x:cols>
  <x:sheetData>
    <x:row r="2">
      <x:c r="A2" s="2" t="str">
        <x:v>National Formation Registry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</x:row>
    <x:row r="3">
      <x:c r="A3" s="3" t="str">
        <x:v>Current architecture hypotheses, quantitative lineage, configuration maturity and next admissible evidence. Scores do not certify capability.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  <x:c r="W3" s="3"/>
    </x:row>
    <x:row r="5" ht="40" customHeight="1">
      <x:c r="A5" s="9" t="str">
        <x:v>Formation ID</x:v>
      </x:c>
      <x:c r="B5" s="9" t="str">
        <x:v>Record type</x:v>
      </x:c>
      <x:c r="C5" s="9" t="str">
        <x:v>Formation family</x:v>
      </x:c>
      <x:c r="D5" s="9" t="str">
        <x:v>Generating service</x:v>
      </x:c>
      <x:c r="E5" s="9" t="str">
        <x:v>Primary civilian effect</x:v>
      </x:c>
      <x:c r="F5" s="9" t="str">
        <x:v>Echelon</x:v>
      </x:c>
      <x:c r="G5" s="9" t="str">
        <x:v>Operational responsibility</x:v>
      </x:c>
      <x:c r="H5" s="9" t="str">
        <x:v>Pass 23 OOB status</x:v>
      </x:c>
      <x:c r="I5" s="9" t="str">
        <x:v>Lineage / mapping</x:v>
      </x:c>
      <x:c r="J5" s="9" t="str">
        <x:v>Maturity</x:v>
      </x:c>
      <x:c r="K5" s="9" t="str">
        <x:v>Quantitative authority</x:v>
      </x:c>
      <x:c r="L5" s="9" t="str">
        <x:v>Formation / configuration authority</x:v>
      </x:c>
      <x:c r="M5" s="9" t="str">
        <x:v>Contract fields present</x:v>
      </x:c>
      <x:c r="N5" s="9" t="str">
        <x:v>Contract score</x:v>
      </x:c>
      <x:c r="O5" s="9" t="str">
        <x:v>Completeness</x:v>
      </x:c>
      <x:c r="P5" s="9" t="str">
        <x:v>R3-grade fields</x:v>
      </x:c>
      <x:c r="Q5" s="9" t="str">
        <x:v>Configuration eligible</x:v>
      </x:c>
      <x:c r="R5" s="9" t="str">
        <x:v>Highest binding gap</x:v>
      </x:c>
      <x:c r="S5" s="9" t="str">
        <x:v>Next admissible evidence</x:v>
      </x:c>
      <x:c r="T5" s="9" t="str">
        <x:v>Rendering</x:v>
      </x:c>
      <x:c r="U5" s="9" t="str">
        <x:v>Primary dependency</x:v>
      </x:c>
      <x:c r="V5" s="9" t="str">
        <x:v>Technology mission thread</x:v>
      </x:c>
      <x:c r="W5" s="9" t="str">
        <x:v>Boundary note</x:v>
      </x:c>
    </x:row>
    <x:row r="6" ht="45" customHeight="1">
      <x:c r="A6" s="17" t="str">
        <x:v>J-CIE</x:v>
      </x:c>
      <x:c r="B6" s="17" t="str">
        <x:v>Canonical family</x:v>
      </x:c>
      <x:c r="C6" s="11" t="str">
        <x:v>Civil integration and effects group</x:v>
      </x:c>
      <x:c r="D6" s="11" t="str">
        <x:v>Joint</x:v>
      </x:c>
      <x:c r="E6" s="11" t="str">
        <x:v>Civil coordination, safety and public information</x:v>
      </x:c>
      <x:c r="F6" s="11" t="str">
        <x:v>Response group</x:v>
      </x:c>
      <x:c r="G6" s="27" t="str">
        <x:v>Turns lawful civil priorities into measurable campaign objectives.</x:v>
      </x:c>
      <x:c r="H6" s="27" t="str">
        <x:v>Quantified</x:v>
      </x:c>
      <x:c r="I6" s="27" t="str">
        <x:v>—</x:v>
      </x:c>
      <x:c r="J6" s="27" t="str">
        <x:v>R1/R2</x:v>
      </x:c>
      <x:c r="K6" s="27" t="str">
        <x:v>models/force/generation/joint-force-allocation-model.xlsx</x:v>
      </x:c>
      <x:c r="L6" s="27" t="str">
        <x:v>research/force/generation/mature-force-design.md</x:v>
      </x:c>
      <x:c r="M6" s="28" t="n">
        <x:f>COUNTIF('02 Contract Detail'!C6:L6,"&gt;0")</x:f>
        <x:v>9</x:v>
      </x:c>
      <x:c r="N6" s="28" t="n">
        <x:f>SUM('02 Contract Detail'!C6:L6)</x:f>
        <x:v>9</x:v>
      </x:c>
      <x:c r="O6" s="29" t="n">
        <x:f>N6/20</x:f>
        <x:v>0.45</x:v>
      </x:c>
      <x:c r="P6" s="28" t="n">
        <x:f>COUNTIF('02 Contract Detail'!C6:L6,2)</x:f>
        <x:v>0</x:v>
      </x:c>
      <x:c r="Q6" s="30" t="str">
        <x:f>IF(P6=10,"YES","NO")</x:f>
        <x:v>NO</x:v>
      </x:c>
      <x:c r="R6" s="31" t="str">
        <x:v>Complete configuration</x:v>
      </x:c>
      <x:c r="S6" s="31" t="str">
        <x:v>Item-level people, equipment, movement and sustainment manifest</x:v>
      </x:c>
      <x:c r="T6" s="31" t="str">
        <x:v>BLOCKED</x:v>
      </x:c>
      <x:c r="U6" s="27" t="str">
        <x:v>Civil authority, rights authority and degraded information</x:v>
      </x:c>
      <x:c r="V6" s="27" t="str">
        <x:v>Reach occupied civil terrain</x:v>
      </x:c>
      <x:c r="W6" s="27" t="str">
        <x:v>Family is an architectural hypothesis, not a certified table of organization.</x:v>
      </x:c>
    </x:row>
    <x:row r="7" ht="45" customHeight="1">
      <x:c r="A7" s="17" t="str">
        <x:v>J-TOC</x:v>
      </x:c>
      <x:c r="B7" s="17" t="str">
        <x:v>Canonical family</x:v>
      </x:c>
      <x:c r="C7" s="11" t="str">
        <x:v>Theater-opening command</x:v>
      </x:c>
      <x:c r="D7" s="11" t="str">
        <x:v>Joint</x:v>
      </x:c>
      <x:c r="E7" s="11" t="str">
        <x:v>Mobility, access and distribution</x:v>
      </x:c>
      <x:c r="F7" s="11" t="str">
        <x:v>Response group</x:v>
      </x:c>
      <x:c r="G7" s="27" t="str">
        <x:v>Opens reception, staging, onward movement and independent responder bases.</x:v>
      </x:c>
      <x:c r="H7" s="27" t="str">
        <x:v>Quantified</x:v>
      </x:c>
      <x:c r="I7" s="27" t="str">
        <x:v>—</x:v>
      </x:c>
      <x:c r="J7" s="27" t="str">
        <x:v>R2</x:v>
      </x:c>
      <x:c r="K7" s="27" t="str">
        <x:v>models/force/generation/joint-force-allocation-model.xlsx</x:v>
      </x:c>
      <x:c r="L7" s="27" t="str">
        <x:v>research/force/projection/joint-deployment-and-distribution-enterprise.md</x:v>
      </x:c>
      <x:c r="M7" s="28" t="n">
        <x:f>COUNTIF('02 Contract Detail'!C7:L7,"&gt;0")</x:f>
        <x:v>10</x:v>
      </x:c>
      <x:c r="N7" s="28" t="n">
        <x:f>SUM('02 Contract Detail'!C7:L7)</x:f>
        <x:v>10</x:v>
      </x:c>
      <x:c r="O7" s="29" t="n">
        <x:f>N7/20</x:f>
        <x:v>0.5</x:v>
      </x:c>
      <x:c r="P7" s="28" t="n">
        <x:f>COUNTIF('02 Contract Detail'!C7:L7,2)</x:f>
        <x:v>0</x:v>
      </x:c>
      <x:c r="Q7" s="30" t="str">
        <x:f>IF(P7=10,"YES","NO")</x:f>
        <x:v>NO</x:v>
      </x:c>
      <x:c r="R7" s="31" t="str">
        <x:v>Named node and path configurations</x:v>
      </x:c>
      <x:c r="S7" s="31" t="str">
        <x:v>Asset-level damaged-node, queue, base and onward-flow trial</x:v>
      </x:c>
      <x:c r="T7" s="31" t="str">
        <x:v>BLOCKED</x:v>
      </x:c>
      <x:c r="U7" s="27" t="str">
        <x:v>Strategic movement and prepared receiving capacity</x:v>
      </x:c>
      <x:c r="V7" s="27" t="str">
        <x:v>Enter a broken theater</x:v>
      </x:c>
      <x:c r="W7" s="27" t="str">
        <x:v>Family is an architectural hypothesis, not a certified table of organization.</x:v>
      </x:c>
    </x:row>
    <x:row r="8" ht="45" customHeight="1">
      <x:c r="A8" s="17" t="str">
        <x:v>J-TSC</x:v>
      </x:c>
      <x:c r="B8" s="17" t="str">
        <x:v>Canonical family</x:v>
      </x:c>
      <x:c r="C8" s="11" t="str">
        <x:v>Theater sustainment command</x:v>
      </x:c>
      <x:c r="D8" s="11" t="str">
        <x:v>Joint</x:v>
      </x:c>
      <x:c r="E8" s="11" t="str">
        <x:v>Mobility, access and distribution</x:v>
      </x:c>
      <x:c r="F8" s="11" t="str">
        <x:v>Response group</x:v>
      </x:c>
      <x:c r="G8" s="27" t="str">
        <x:v>Sustains every deployed formation and manages reverse flow.</x:v>
      </x:c>
      <x:c r="H8" s="27" t="str">
        <x:v>Quantified</x:v>
      </x:c>
      <x:c r="I8" s="27" t="str">
        <x:v>—</x:v>
      </x:c>
      <x:c r="J8" s="27" t="str">
        <x:v>R1/R2</x:v>
      </x:c>
      <x:c r="K8" s="27" t="str">
        <x:v>models/force/generation/joint-force-allocation-model.xlsx</x:v>
      </x:c>
      <x:c r="L8" s="27" t="str">
        <x:v>research/force/projection/joint-deployment-and-distribution-enterprise.md</x:v>
      </x:c>
      <x:c r="M8" s="28" t="n">
        <x:f>COUNTIF('02 Contract Detail'!C8:L8,"&gt;0")</x:f>
        <x:v>9</x:v>
      </x:c>
      <x:c r="N8" s="28" t="n">
        <x:f>SUM('02 Contract Detail'!C8:L8)</x:f>
        <x:v>9</x:v>
      </x:c>
      <x:c r="O8" s="29" t="n">
        <x:f>N8/20</x:f>
        <x:v>0.45</x:v>
      </x:c>
      <x:c r="P8" s="28" t="n">
        <x:f>COUNTIF('02 Contract Detail'!C8:L8,2)</x:f>
        <x:v>0</x:v>
      </x:c>
      <x:c r="Q8" s="30" t="str">
        <x:f>IF(P8=10,"YES","NO")</x:f>
        <x:v>NO</x:v>
      </x:c>
      <x:c r="R8" s="31" t="str">
        <x:v>Commodity and reverse-flow closure</x:v>
      </x:c>
      <x:c r="S8" s="31" t="str">
        <x:v>Itemized 90-day supply, repair, waste and retrograde model</x:v>
      </x:c>
      <x:c r="T8" s="31" t="str">
        <x:v>BLOCKED</x:v>
      </x:c>
      <x:c r="U8" s="27" t="str">
        <x:v>Strategic movement and prepared receiving capacity</x:v>
      </x:c>
      <x:c r="V8" s="27" t="str">
        <x:v>Sustain, transfer and regenerate</x:v>
      </x:c>
      <x:c r="W8" s="27" t="str">
        <x:v>Family is an architectural hypothesis, not a certified table of organization.</x:v>
      </x:c>
    </x:row>
    <x:row r="9" ht="45" customHeight="1">
      <x:c r="A9" s="17" t="str">
        <x:v>J-RIG</x:v>
      </x:c>
      <x:c r="B9" s="17" t="str">
        <x:v>Canonical family</x:v>
      </x:c>
      <x:c r="C9" s="11" t="str">
        <x:v>Resilience information group</x:v>
      </x:c>
      <x:c r="D9" s="11" t="str">
        <x:v>Joint</x:v>
      </x:c>
      <x:c r="E9" s="11" t="str">
        <x:v>Communications, computation and public-service access</x:v>
      </x:c>
      <x:c r="F9" s="11" t="str">
        <x:v>Response group</x:v>
      </x:c>
      <x:c r="G9" s="27" t="str">
        <x:v>Maintains the shared civil, infrastructure and readiness picture under degraded communications.</x:v>
      </x:c>
      <x:c r="H9" s="27" t="str">
        <x:v>Not quantified</x:v>
      </x:c>
      <x:c r="I9" s="27" t="str">
        <x:v>—</x:v>
      </x:c>
      <x:c r="J9" s="27" t="str">
        <x:v>R1/R2</x:v>
      </x:c>
      <x:c r="K9" s="27" t="str">
        <x:v>—</x:v>
      </x:c>
      <x:c r="L9" s="27" t="str">
        <x:v>research/force/generation/mature-force-design.md</x:v>
      </x:c>
      <x:c r="M9" s="28" t="n">
        <x:f>COUNTIF('02 Contract Detail'!C9:L9,"&gt;0")</x:f>
        <x:v>10</x:v>
      </x:c>
      <x:c r="N9" s="28" t="n">
        <x:f>SUM('02 Contract Detail'!C9:L9)</x:f>
        <x:v>10</x:v>
      </x:c>
      <x:c r="O9" s="29" t="n">
        <x:f>N9/20</x:f>
        <x:v>0.5</x:v>
      </x:c>
      <x:c r="P9" s="28" t="n">
        <x:f>COUNTIF('02 Contract Detail'!C9:L9,2)</x:f>
        <x:v>0</x:v>
      </x:c>
      <x:c r="Q9" s="30" t="str">
        <x:f>IF(P9=10,"YES","NO")</x:f>
        <x:v>NO</x:v>
      </x:c>
      <x:c r="R9" s="31" t="str">
        <x:v>Configuration-controlled degraded data plane</x:v>
      </x:c>
      <x:c r="S9" s="31" t="str">
        <x:v>Disconnected multi-service command trial with public-data release</x:v>
      </x:c>
      <x:c r="T9" s="31" t="str">
        <x:v>BLOCKED</x:v>
      </x:c>
      <x:c r="U9" s="27" t="str">
        <x:v>Strategic movement and prepared receiving capacity</x:v>
      </x:c>
      <x:c r="V9" s="27" t="str">
        <x:v>Reach occupied civil terrain</x:v>
      </x:c>
      <x:c r="W9" s="27" t="str">
        <x:v>Family is an architectural hypothesis, not a certified table of organization.</x:v>
      </x:c>
    </x:row>
    <x:row r="10" ht="45" customHeight="1">
      <x:c r="A10" s="17" t="str">
        <x:v>J-RRG</x:v>
      </x:c>
      <x:c r="B10" s="17" t="str">
        <x:v>Canonical family</x:v>
      </x:c>
      <x:c r="C10" s="11" t="str">
        <x:v>Replacement and reconstitution group</x:v>
      </x:c>
      <x:c r="D10" s="11" t="str">
        <x:v>Joint</x:v>
      </x:c>
      <x:c r="E10" s="11" t="str">
        <x:v>Housing, public works and economic continuity</x:v>
      </x:c>
      <x:c r="F10" s="11" t="str">
        <x:v>Response group</x:v>
      </x:c>
      <x:c r="G10" s="27" t="str">
        <x:v>Restores people, equipment, stocks and certification after commitment.</x:v>
      </x:c>
      <x:c r="H10" s="27" t="str">
        <x:v>Quantified</x:v>
      </x:c>
      <x:c r="I10" s="27" t="str">
        <x:v>—</x:v>
      </x:c>
      <x:c r="J10" s="27" t="str">
        <x:v>R1/R2</x:v>
      </x:c>
      <x:c r="K10" s="27" t="str">
        <x:v>models/force/generation/joint-force-allocation-model.xlsx</x:v>
      </x:c>
      <x:c r="L10" s="27" t="str">
        <x:v>research/force/generation/mature-force-design.md</x:v>
      </x:c>
      <x:c r="M10" s="28" t="n">
        <x:f>COUNTIF('02 Contract Detail'!C10:L10,"&gt;0")</x:f>
        <x:v>9</x:v>
      </x:c>
      <x:c r="N10" s="28" t="n">
        <x:f>SUM('02 Contract Detail'!C10:L10)</x:f>
        <x:v>9</x:v>
      </x:c>
      <x:c r="O10" s="29" t="n">
        <x:f>N10/20</x:f>
        <x:v>0.45</x:v>
      </x:c>
      <x:c r="P10" s="28" t="n">
        <x:f>COUNTIF('02 Contract Detail'!C10:L10,2)</x:f>
        <x:v>0</x:v>
      </x:c>
      <x:c r="Q10" s="30" t="str">
        <x:f>IF(P10=10,"YES","NO")</x:f>
        <x:v>NO</x:v>
      </x:c>
      <x:c r="R10" s="31" t="str">
        <x:v>Regeneration standard and throughput</x:v>
      </x:c>
      <x:c r="S10" s="31" t="str">
        <x:v>Full maintenance-cycle and crew-rotation reconstitution trial</x:v>
      </x:c>
      <x:c r="T10" s="31" t="str">
        <x:v>BLOCKED</x:v>
      </x:c>
      <x:c r="U10" s="27" t="str">
        <x:v>Strategic movement and prepared receiving capacity</x:v>
      </x:c>
      <x:c r="V10" s="27" t="str">
        <x:v>Sustain, transfer and regenerate</x:v>
      </x:c>
      <x:c r="W10" s="27" t="str">
        <x:v>Family is an architectural hypothesis, not a certified table of organization.</x:v>
      </x:c>
    </x:row>
    <x:row r="11" ht="45" customHeight="1">
      <x:c r="A11" s="17" t="str">
        <x:v>J-TDG</x:v>
      </x:c>
      <x:c r="B11" s="17" t="str">
        <x:v>Canonical family</x:v>
      </x:c>
      <x:c r="C11" s="11" t="str">
        <x:v>Transfer and demobilization group</x:v>
      </x:c>
      <x:c r="D11" s="11" t="str">
        <x:v>Joint</x:v>
      </x:c>
      <x:c r="E11" s="11" t="str">
        <x:v>Civil coordination, safety and public information</x:v>
      </x:c>
      <x:c r="F11" s="11" t="str">
        <x:v>Response group</x:v>
      </x:c>
      <x:c r="G11" s="27" t="str">
        <x:v>Transfers service without creating a second collapse and closes the campaign lawfully.</x:v>
      </x:c>
      <x:c r="H11" s="27" t="str">
        <x:v>Quantified</x:v>
      </x:c>
      <x:c r="I11" s="27" t="str">
        <x:v>—</x:v>
      </x:c>
      <x:c r="J11" s="27" t="str">
        <x:v>R1/R2</x:v>
      </x:c>
      <x:c r="K11" s="27" t="str">
        <x:v>models/force/generation/joint-force-allocation-model.xlsx</x:v>
      </x:c>
      <x:c r="L11" s="27" t="str">
        <x:v>research/force/generation/mature-force-design.md</x:v>
      </x:c>
      <x:c r="M11" s="28" t="n">
        <x:f>COUNTIF('02 Contract Detail'!C11:L11,"&gt;0")</x:f>
        <x:v>9</x:v>
      </x:c>
      <x:c r="N11" s="28" t="n">
        <x:f>SUM('02 Contract Detail'!C11:L11)</x:f>
        <x:v>9</x:v>
      </x:c>
      <x:c r="O11" s="29" t="n">
        <x:f>N11/20</x:f>
        <x:v>0.45</x:v>
      </x:c>
      <x:c r="P11" s="28" t="n">
        <x:f>COUNTIF('02 Contract Detail'!C11:L11,2)</x:f>
        <x:v>0</x:v>
      </x:c>
      <x:c r="Q11" s="30" t="str">
        <x:f>IF(P11=10,"YES","NO")</x:f>
        <x:v>NO</x:v>
      </x:c>
      <x:c r="R11" s="31" t="str">
        <x:v>Civil acceptance and transfer evidence</x:v>
      </x:c>
      <x:c r="S11" s="31" t="str">
        <x:v>Exercise a failed transfer, remediation and independent release decision</x:v>
      </x:c>
      <x:c r="T11" s="31" t="str">
        <x:v>BLOCKED</x:v>
      </x:c>
      <x:c r="U11" s="27" t="str">
        <x:v>Strategic movement and prepared receiving capacity</x:v>
      </x:c>
      <x:c r="V11" s="27" t="str">
        <x:v>Sustain, transfer and regenerate</x:v>
      </x:c>
      <x:c r="W11" s="27" t="str">
        <x:v>Family is an architectural hypothesis, not a certified table of organization.</x:v>
      </x:c>
    </x:row>
    <x:row r="12" ht="45" customHeight="1">
      <x:c r="A12" s="17" t="str">
        <x:v>L-ROG</x:v>
      </x:c>
      <x:c r="B12" s="17" t="str">
        <x:v>Canonical family</x:v>
      </x:c>
      <x:c r="C12" s="11" t="str">
        <x:v>Access and route-opening group</x:v>
      </x:c>
      <x:c r="D12" s="11" t="str">
        <x:v>Land Engineering</x:v>
      </x:c>
      <x:c r="E12" s="11" t="str">
        <x:v>Mobility, access and distribution</x:v>
      </x:c>
      <x:c r="F12" s="11" t="str">
        <x:v>Response group</x:v>
      </x:c>
      <x:c r="G12" s="27" t="str">
        <x:v>Surveys, clears, bridges and maintains bounded movement routes.</x:v>
      </x:c>
      <x:c r="H12" s="27" t="str">
        <x:v>Quantified</x:v>
      </x:c>
      <x:c r="I12" s="27" t="str">
        <x:v>—</x:v>
      </x:c>
      <x:c r="J12" s="27" t="str">
        <x:v>R1/R2</x:v>
      </x:c>
      <x:c r="K12" s="27" t="str">
        <x:v>models/force/generation/joint-force-allocation-model.xlsx</x:v>
      </x:c>
      <x:c r="L12" s="27" t="str">
        <x:v>research/force/generation/mature-force-design.md</x:v>
      </x:c>
      <x:c r="M12" s="28" t="n">
        <x:f>COUNTIF('02 Contract Detail'!C12:L12,"&gt;0")</x:f>
        <x:v>9</x:v>
      </x:c>
      <x:c r="N12" s="28" t="n">
        <x:f>SUM('02 Contract Detail'!C12:L12)</x:f>
        <x:v>9</x:v>
      </x:c>
      <x:c r="O12" s="29" t="n">
        <x:f>N12/20</x:f>
        <x:v>0.45</x:v>
      </x:c>
      <x:c r="P12" s="28" t="n">
        <x:f>COUNTIF('02 Contract Detail'!C12:L12,2)</x:f>
        <x:v>0</x:v>
      </x:c>
      <x:c r="Q12" s="30" t="str">
        <x:f>IF(P12=10,"YES","NO")</x:f>
        <x:v>NO</x:v>
      </x:c>
      <x:c r="R12" s="31" t="str">
        <x:v>Complete configuration</x:v>
      </x:c>
      <x:c r="S12" s="31" t="str">
        <x:v>Item-level people, equipment, movement and sustainment manifest</x:v>
      </x:c>
      <x:c r="T12" s="31" t="str">
        <x:v>BLOCKED</x:v>
      </x:c>
      <x:c r="U12" s="27" t="str">
        <x:v>Hazard intelligence, rights-of-entry, fuel and route receivers</x:v>
      </x:c>
      <x:c r="V12" s="27" t="str">
        <x:v>Enter a broken theater</x:v>
      </x:c>
      <x:c r="W12" s="27" t="str">
        <x:v>Family is an architectural hypothesis, not a certified table of organization.</x:v>
      </x:c>
    </x:row>
    <x:row r="13" ht="45" customHeight="1">
      <x:c r="A13" s="17" t="str">
        <x:v>L-HCG</x:v>
      </x:c>
      <x:c r="B13" s="17" t="str">
        <x:v>Canonical family</x:v>
      </x:c>
      <x:c r="C13" s="11" t="str">
        <x:v>Flood and hydraulic-control group</x:v>
      </x:c>
      <x:c r="D13" s="11" t="str">
        <x:v>Land Engineering</x:v>
      </x:c>
      <x:c r="E13" s="11" t="str">
        <x:v>Hazard and environmental control</x:v>
      </x:c>
      <x:c r="F13" s="11" t="str">
        <x:v>Response group</x:v>
      </x:c>
      <x:c r="G13" s="27" t="str">
        <x:v>Controls floodwater, drainage, breach and dewatering as one hydraulic system.</x:v>
      </x:c>
      <x:c r="H13" s="27" t="str">
        <x:v>Quantified</x:v>
      </x:c>
      <x:c r="I13" s="27" t="str">
        <x:v>—</x:v>
      </x:c>
      <x:c r="J13" s="27" t="str">
        <x:v>R2+</x:v>
      </x:c>
      <x:c r="K13" s="27" t="str">
        <x:v>models/force/generation/joint-force-allocation-model.xlsx</x:v>
      </x:c>
      <x:c r="L13" s="27" t="str">
        <x:v>research/systems/flood/configuration-model.md</x:v>
      </x:c>
      <x:c r="M13" s="28" t="n">
        <x:f>COUNTIF('02 Contract Detail'!C13:L13,"&gt;0")</x:f>
        <x:v>10</x:v>
      </x:c>
      <x:c r="N13" s="28" t="n">
        <x:f>SUM('02 Contract Detail'!C13:L13)</x:f>
        <x:v>16</x:v>
      </x:c>
      <x:c r="O13" s="29" t="n">
        <x:f>N13/20</x:f>
        <x:v>0.8</x:v>
      </x:c>
      <x:c r="P13" s="28" t="n">
        <x:f>COUNTIF('02 Contract Detail'!C13:L13,2)</x:f>
        <x:v>6</x:v>
      </x:c>
      <x:c r="Q13" s="30" t="str">
        <x:f>IF(P13=10,"YES","NO")</x:f>
        <x:v>NO</x:v>
      </x:c>
      <x:c r="R13" s="31" t="str">
        <x:v>Full-curve field performance and campaign covariance</x:v>
      </x:c>
      <x:c r="S13" s="31" t="str">
        <x:v>Execute HCG-100 calibrated hydrograph and full-mission test campaign</x:v>
      </x:c>
      <x:c r="T13" s="31" t="str">
        <x:v>BLOCKED</x:v>
      </x:c>
      <x:c r="U13" s="27" t="str">
        <x:v>Strategic movement and prepared receiving capacity</x:v>
      </x:c>
      <x:c r="V13" s="27" t="str">
        <x:v>Control an active hazard</x:v>
      </x:c>
      <x:c r="W13" s="27" t="str">
        <x:v>Family is an architectural hypothesis, not a certified table of organization.</x:v>
      </x:c>
    </x:row>
    <x:row r="14" ht="45" customHeight="1">
      <x:c r="A14" s="17" t="str">
        <x:v>L-DMG</x:v>
      </x:c>
      <x:c r="B14" s="17" t="str">
        <x:v>Canonical family</x:v>
      </x:c>
      <x:c r="C14" s="11" t="str">
        <x:v>Debris and materials group</x:v>
      </x:c>
      <x:c r="D14" s="11" t="str">
        <x:v>Land Engineering</x:v>
      </x:c>
      <x:c r="E14" s="11" t="str">
        <x:v>Hazard and environmental control</x:v>
      </x:c>
      <x:c r="F14" s="11" t="str">
        <x:v>Response group</x:v>
      </x:c>
      <x:c r="G14" s="27" t="str">
        <x:v>Characterizes, clears, processes and lawfully disposes of disaster materials.</x:v>
      </x:c>
      <x:c r="H14" s="27" t="str">
        <x:v>Quantified</x:v>
      </x:c>
      <x:c r="I14" s="27" t="str">
        <x:v>—</x:v>
      </x:c>
      <x:c r="J14" s="27" t="str">
        <x:v>R1/R2</x:v>
      </x:c>
      <x:c r="K14" s="27" t="str">
        <x:v>models/force/generation/joint-force-allocation-model.xlsx</x:v>
      </x:c>
      <x:c r="L14" s="27" t="str">
        <x:v>research/force/generation/mature-force-design.md</x:v>
      </x:c>
      <x:c r="M14" s="28" t="n">
        <x:f>COUNTIF('02 Contract Detail'!C14:L14,"&gt;0")</x:f>
        <x:v>9</x:v>
      </x:c>
      <x:c r="N14" s="28" t="n">
        <x:f>SUM('02 Contract Detail'!C14:L14)</x:f>
        <x:v>9</x:v>
      </x:c>
      <x:c r="O14" s="29" t="n">
        <x:f>N14/20</x:f>
        <x:v>0.45</x:v>
      </x:c>
      <x:c r="P14" s="28" t="n">
        <x:f>COUNTIF('02 Contract Detail'!C14:L14,2)</x:f>
        <x:v>0</x:v>
      </x:c>
      <x:c r="Q14" s="30" t="str">
        <x:f>IF(P14=10,"YES","NO")</x:f>
        <x:v>NO</x:v>
      </x:c>
      <x:c r="R14" s="31" t="str">
        <x:v>Material-stream and disposal configuration</x:v>
      </x:c>
      <x:c r="S14" s="31" t="str">
        <x:v>Representative contaminated debris throughput and residual trial</x:v>
      </x:c>
      <x:c r="T14" s="31" t="str">
        <x:v>BLOCKED</x:v>
      </x:c>
      <x:c r="U14" s="27" t="str">
        <x:v>Strategic movement and prepared receiving capacity</x:v>
      </x:c>
      <x:c r="V14" s="27" t="str">
        <x:v>Control an active hazard</x:v>
      </x:c>
      <x:c r="W14" s="27" t="str">
        <x:v>Family is an architectural hypothesis, not a certified table of organization.</x:v>
      </x:c>
    </x:row>
    <x:row r="15" ht="45" customHeight="1">
      <x:c r="A15" s="17" t="str">
        <x:v>L-TWG</x:v>
      </x:c>
      <x:c r="B15" s="17" t="str">
        <x:v>Canonical family</x:v>
      </x:c>
      <x:c r="C15" s="11" t="str">
        <x:v>Temporary works and crossing group</x:v>
      </x:c>
      <x:c r="D15" s="11" t="str">
        <x:v>Land Engineering</x:v>
      </x:c>
      <x:c r="E15" s="11" t="str">
        <x:v>Housing, public works and economic continuity</x:v>
      </x:c>
      <x:c r="F15" s="11" t="str">
        <x:v>Response group</x:v>
      </x:c>
      <x:c r="G15" s="27" t="str">
        <x:v>Creates certified crossings, shoring and temporary public works.</x:v>
      </x:c>
      <x:c r="H15" s="27" t="str">
        <x:v>Quantified</x:v>
      </x:c>
      <x:c r="I15" s="27" t="str">
        <x:v>—</x:v>
      </x:c>
      <x:c r="J15" s="27" t="str">
        <x:v>R1/R2</x:v>
      </x:c>
      <x:c r="K15" s="27" t="str">
        <x:v>models/force/generation/joint-force-allocation-model.xlsx</x:v>
      </x:c>
      <x:c r="L15" s="27" t="str">
        <x:v>research/force/generation/mature-force-design.md</x:v>
      </x:c>
      <x:c r="M15" s="28" t="n">
        <x:f>COUNTIF('02 Contract Detail'!C15:L15,"&gt;0")</x:f>
        <x:v>9</x:v>
      </x:c>
      <x:c r="N15" s="28" t="n">
        <x:f>SUM('02 Contract Detail'!C15:L15)</x:f>
        <x:v>9</x:v>
      </x:c>
      <x:c r="O15" s="29" t="n">
        <x:f>N15/20</x:f>
        <x:v>0.45</x:v>
      </x:c>
      <x:c r="P15" s="28" t="n">
        <x:f>COUNTIF('02 Contract Detail'!C15:L15,2)</x:f>
        <x:v>0</x:v>
      </x:c>
      <x:c r="Q15" s="30" t="str">
        <x:f>IF(P15=10,"YES","NO")</x:f>
        <x:v>NO</x:v>
      </x:c>
      <x:c r="R15" s="31" t="str">
        <x:v>Reference design library and erection rates</x:v>
      </x:c>
      <x:c r="S15" s="31" t="str">
        <x:v>Load-tested crossing and public-facility configuration manifests</x:v>
      </x:c>
      <x:c r="T15" s="31" t="str">
        <x:v>BLOCKED</x:v>
      </x:c>
      <x:c r="U15" s="27" t="str">
        <x:v>Strategic movement and prepared receiving capacity</x:v>
      </x:c>
      <x:c r="V15" s="27" t="str">
        <x:v>Enter a broken theater</x:v>
      </x:c>
      <x:c r="W15" s="27" t="str">
        <x:v>Family is an architectural hypothesis, not a certified table of organization.</x:v>
      </x:c>
    </x:row>
    <x:row r="16" ht="45" customHeight="1">
      <x:c r="A16" s="17" t="str">
        <x:v>L-GFG</x:v>
      </x:c>
      <x:c r="B16" s="17" t="str">
        <x:v>Canonical family</x:v>
      </x:c>
      <x:c r="C16" s="11" t="str">
        <x:v>Ground fire and landscape group</x:v>
      </x:c>
      <x:c r="D16" s="11" t="str">
        <x:v>Land Engineering</x:v>
      </x:c>
      <x:c r="E16" s="11" t="str">
        <x:v>Hazard and environmental control</x:v>
      </x:c>
      <x:c r="F16" s="11" t="str">
        <x:v>Response group</x:v>
      </x:c>
      <x:c r="G16" s="27" t="str">
        <x:v>Closes the ground thread for fire containment, structure defense, hold and repair.</x:v>
      </x:c>
      <x:c r="H16" s="27" t="str">
        <x:v>Quantified</x:v>
      </x:c>
      <x:c r="I16" s="27" t="str">
        <x:v>—</x:v>
      </x:c>
      <x:c r="J16" s="27" t="str">
        <x:v>R2+</x:v>
      </x:c>
      <x:c r="K16" s="27" t="str">
        <x:v>models/force/generation/joint-force-allocation-model.xlsx</x:v>
      </x:c>
      <x:c r="L16" s="27" t="str">
        <x:v>research/systems/fire/configuration-model.md</x:v>
      </x:c>
      <x:c r="M16" s="28" t="n">
        <x:f>COUNTIF('02 Contract Detail'!C16:L16,"&gt;0")</x:f>
        <x:v>10</x:v>
      </x:c>
      <x:c r="N16" s="28" t="n">
        <x:f>SUM('02 Contract Detail'!C16:L16)</x:f>
        <x:v>16</x:v>
      </x:c>
      <x:c r="O16" s="29" t="n">
        <x:f>N16/20</x:f>
        <x:v>0.8</x:v>
      </x:c>
      <x:c r="P16" s="28" t="n">
        <x:f>COUNTIF('02 Contract Detail'!C16:L16,2)</x:f>
        <x:v>6</x:v>
      </x:c>
      <x:c r="Q16" s="30" t="str">
        <x:f>IF(P16=10,"YES","NO")</x:f>
        <x:v>NO</x:v>
      </x:c>
      <x:c r="R16" s="31" t="str">
        <x:v>Empirical fire-growth, line-productivity and hold evidence</x:v>
      </x:c>
      <x:c r="S16" s="31" t="str">
        <x:v>Run mixed air-ground IFCG trials across representative fuel and weather cases</x:v>
      </x:c>
      <x:c r="T16" s="31" t="str">
        <x:v>BLOCKED</x:v>
      </x:c>
      <x:c r="U16" s="27" t="str">
        <x:v>Strategic movement and prepared receiving capacity</x:v>
      </x:c>
      <x:c r="V16" s="27" t="str">
        <x:v>Control an active hazard</x:v>
      </x:c>
      <x:c r="W16" s="27" t="str">
        <x:v>Family is an architectural hypothesis, not a certified table of organization.</x:v>
      </x:c>
    </x:row>
    <x:row r="17" ht="45" customHeight="1">
      <x:c r="A17" s="17" t="str">
        <x:v>A-SMW</x:v>
      </x:c>
      <x:c r="B17" s="17" t="str">
        <x:v>Canonical family</x:v>
      </x:c>
      <x:c r="C17" s="11" t="str">
        <x:v>Strategic mobility wing</x:v>
      </x:c>
      <x:c r="D17" s="11" t="str">
        <x:v>Air Response</x:v>
      </x:c>
      <x:c r="E17" s="11" t="str">
        <x:v>Mobility, access and distribution</x:v>
      </x:c>
      <x:c r="F17" s="11" t="str">
        <x:v>Response group</x:v>
      </x:c>
      <x:c r="G17" s="27" t="str">
        <x:v>Moves complete urgent formations across continental and intercontinental distance.</x:v>
      </x:c>
      <x:c r="H17" s="27" t="str">
        <x:v>Quantified</x:v>
      </x:c>
      <x:c r="I17" s="27" t="str">
        <x:v>—</x:v>
      </x:c>
      <x:c r="J17" s="27" t="str">
        <x:v>R1/R2</x:v>
      </x:c>
      <x:c r="K17" s="27" t="str">
        <x:v>models/force/generation/joint-force-allocation-model.xlsx</x:v>
      </x:c>
      <x:c r="L17" s="27" t="str">
        <x:v>research/force/generation/mature-force-design.md</x:v>
      </x:c>
      <x:c r="M17" s="28" t="n">
        <x:f>COUNTIF('02 Contract Detail'!C17:L17,"&gt;0")</x:f>
        <x:v>9</x:v>
      </x:c>
      <x:c r="N17" s="28" t="n">
        <x:f>SUM('02 Contract Detail'!C17:L17)</x:f>
        <x:v>9</x:v>
      </x:c>
      <x:c r="O17" s="29" t="n">
        <x:f>N17/20</x:f>
        <x:v>0.45</x:v>
      </x:c>
      <x:c r="P17" s="28" t="n">
        <x:f>COUNTIF('02 Contract Detail'!C17:L17,2)</x:f>
        <x:v>0</x:v>
      </x:c>
      <x:c r="Q17" s="30" t="str">
        <x:f>IF(P17=10,"YES","NO")</x:f>
        <x:v>NO</x:v>
      </x:c>
      <x:c r="R17" s="31" t="str">
        <x:v>Purpose-built fleet and network configuration</x:v>
      </x:c>
      <x:c r="S17" s="31" t="str">
        <x:v>Item-level load, cycle, runway, fuel and maintenance model</x:v>
      </x:c>
      <x:c r="T17" s="31" t="str">
        <x:v>BLOCKED</x:v>
      </x:c>
      <x:c r="U17" s="27" t="str">
        <x:v>Strategic movement and prepared receiving capacity</x:v>
      </x:c>
      <x:c r="V17" s="27" t="str">
        <x:v>Enter a broken theater</x:v>
      </x:c>
      <x:c r="W17" s="27" t="str">
        <x:v>Family is an architectural hypothesis, not a certified table of organization.</x:v>
      </x:c>
    </x:row>
    <x:row r="18" ht="45" customHeight="1">
      <x:c r="A18" s="17" t="str">
        <x:v>A-AAG</x:v>
      </x:c>
      <x:c r="B18" s="17" t="str">
        <x:v>Canonical family</x:v>
      </x:c>
      <x:c r="C18" s="11" t="str">
        <x:v>Austere air-access group</x:v>
      </x:c>
      <x:c r="D18" s="11" t="str">
        <x:v>Air Response</x:v>
      </x:c>
      <x:c r="E18" s="11" t="str">
        <x:v>Mobility, access and distribution</x:v>
      </x:c>
      <x:c r="F18" s="11" t="str">
        <x:v>Response group</x:v>
      </x:c>
      <x:c r="G18" s="27" t="str">
        <x:v>Creates safe aircraft movements and handling at damaged or improvised airfields.</x:v>
      </x:c>
      <x:c r="H18" s="27" t="str">
        <x:v>Quantified</x:v>
      </x:c>
      <x:c r="I18" s="27" t="str">
        <x:v>—</x:v>
      </x:c>
      <x:c r="J18" s="27" t="str">
        <x:v>R1/R2</x:v>
      </x:c>
      <x:c r="K18" s="27" t="str">
        <x:v>models/force/generation/joint-force-allocation-model.xlsx</x:v>
      </x:c>
      <x:c r="L18" s="27" t="str">
        <x:v>research/force/projection/joint-deployment-and-distribution-enterprise.md</x:v>
      </x:c>
      <x:c r="M18" s="28" t="n">
        <x:f>COUNTIF('02 Contract Detail'!C18:L18,"&gt;0")</x:f>
        <x:v>9</x:v>
      </x:c>
      <x:c r="N18" s="28" t="n">
        <x:f>SUM('02 Contract Detail'!C18:L18)</x:f>
        <x:v>9</x:v>
      </x:c>
      <x:c r="O18" s="29" t="n">
        <x:f>N18/20</x:f>
        <x:v>0.45</x:v>
      </x:c>
      <x:c r="P18" s="28" t="n">
        <x:f>COUNTIF('02 Contract Detail'!C18:L18,2)</x:f>
        <x:v>0</x:v>
      </x:c>
      <x:c r="Q18" s="30" t="str">
        <x:f>IF(P18=10,"YES","NO")</x:f>
        <x:v>NO</x:v>
      </x:c>
      <x:c r="R18" s="31" t="str">
        <x:v>Airfield damage and operating-base configuration</x:v>
      </x:c>
      <x:c r="S18" s="31" t="str">
        <x:v>Seeded-loss austere-airfield opening and seven-day sustainment trial</x:v>
      </x:c>
      <x:c r="T18" s="31" t="str">
        <x:v>BLOCKED</x:v>
      </x:c>
      <x:c r="U18" s="27" t="str">
        <x:v>Strategic movement and prepared receiving capacity</x:v>
      </x:c>
      <x:c r="V18" s="27" t="str">
        <x:v>Enter a broken theater</x:v>
      </x:c>
      <x:c r="W18" s="27" t="str">
        <x:v>Family is an architectural hypothesis, not a certified table of organization.</x:v>
      </x:c>
    </x:row>
    <x:row r="19" ht="45" customHeight="1">
      <x:c r="A19" s="17" t="str">
        <x:v>A-AHW</x:v>
      </x:c>
      <x:c r="B19" s="17" t="str">
        <x:v>Canonical family</x:v>
      </x:c>
      <x:c r="C19" s="11" t="str">
        <x:v>Aerial hazard-control wing</x:v>
      </x:c>
      <x:c r="D19" s="11" t="str">
        <x:v>Air Response</x:v>
      </x:c>
      <x:c r="E19" s="11" t="str">
        <x:v>Hazard and environmental control</x:v>
      </x:c>
      <x:c r="F19" s="11" t="str">
        <x:v>Response group</x:v>
      </x:c>
      <x:c r="G19" s="27" t="str">
        <x:v>Senses, attacks and measures hazardous processes over operational cycles.</x:v>
      </x:c>
      <x:c r="H19" s="27" t="str">
        <x:v>Quantified</x:v>
      </x:c>
      <x:c r="I19" s="27" t="str">
        <x:v>—</x:v>
      </x:c>
      <x:c r="J19" s="27" t="str">
        <x:v>R1/R2</x:v>
      </x:c>
      <x:c r="K19" s="27" t="str">
        <x:v>models/force/generation/joint-force-allocation-model.xlsx</x:v>
      </x:c>
      <x:c r="L19" s="27" t="str">
        <x:v>research/systems/fire/configuration-model.md</x:v>
      </x:c>
      <x:c r="M19" s="28" t="n">
        <x:f>COUNTIF('02 Contract Detail'!C19:L19,"&gt;0")</x:f>
        <x:v>9</x:v>
      </x:c>
      <x:c r="N19" s="28" t="n">
        <x:f>SUM('02 Contract Detail'!C19:L19)</x:f>
        <x:v>9</x:v>
      </x:c>
      <x:c r="O19" s="29" t="n">
        <x:f>N19/20</x:f>
        <x:v>0.45</x:v>
      </x:c>
      <x:c r="P19" s="28" t="n">
        <x:f>COUNTIF('02 Contract Detail'!C19:L19,2)</x:f>
        <x:v>0</x:v>
      </x:c>
      <x:c r="Q19" s="30" t="str">
        <x:f>IF(P19=10,"YES","NO")</x:f>
        <x:v>NO</x:v>
      </x:c>
      <x:c r="R19" s="31" t="str">
        <x:v>Aircraft/base/airspace integrated performance</x:v>
      </x:c>
      <x:c r="S19" s="31" t="str">
        <x:v>Competing purpose-built aviation cohorts in mixed-airspace trials</x:v>
      </x:c>
      <x:c r="T19" s="31" t="str">
        <x:v>BLOCKED</x:v>
      </x:c>
      <x:c r="U19" s="27" t="str">
        <x:v>Strategic movement and prepared receiving capacity</x:v>
      </x:c>
      <x:c r="V19" s="27" t="str">
        <x:v>Control an active hazard</x:v>
      </x:c>
      <x:c r="W19" s="27" t="str">
        <x:v>Family is an architectural hypothesis, not a certified table of organization.</x:v>
      </x:c>
    </x:row>
    <x:row r="20" ht="45" customHeight="1">
      <x:c r="A20" s="17" t="str">
        <x:v>A-TDG</x:v>
      </x:c>
      <x:c r="B20" s="17" t="str">
        <x:v>Canonical family</x:v>
      </x:c>
      <x:c r="C20" s="11" t="str">
        <x:v>Tactical distribution group</x:v>
      </x:c>
      <x:c r="D20" s="11" t="str">
        <x:v>Air Response</x:v>
      </x:c>
      <x:c r="E20" s="11" t="str">
        <x:v>Mobility, access and distribution</x:v>
      </x:c>
      <x:c r="F20" s="11" t="str">
        <x:v>Response group</x:v>
      </x:c>
      <x:c r="G20" s="27" t="str">
        <x:v>Moves priority people and materiel from hubs to points of need.</x:v>
      </x:c>
      <x:c r="H20" s="27" t="str">
        <x:v>Quantified</x:v>
      </x:c>
      <x:c r="I20" s="27" t="str">
        <x:v>—</x:v>
      </x:c>
      <x:c r="J20" s="27" t="str">
        <x:v>R1/R2</x:v>
      </x:c>
      <x:c r="K20" s="27" t="str">
        <x:v>models/force/generation/joint-force-allocation-model.xlsx</x:v>
      </x:c>
      <x:c r="L20" s="27" t="str">
        <x:v>research/force/generation/mature-force-design.md</x:v>
      </x:c>
      <x:c r="M20" s="28" t="n">
        <x:f>COUNTIF('02 Contract Detail'!C20:L20,"&gt;0")</x:f>
        <x:v>9</x:v>
      </x:c>
      <x:c r="N20" s="28" t="n">
        <x:f>SUM('02 Contract Detail'!C20:L20)</x:f>
        <x:v>9</x:v>
      </x:c>
      <x:c r="O20" s="29" t="n">
        <x:f>N20/20</x:f>
        <x:v>0.45</x:v>
      </x:c>
      <x:c r="P20" s="28" t="n">
        <x:f>COUNTIF('02 Contract Detail'!C20:L20,2)</x:f>
        <x:v>0</x:v>
      </x:c>
      <x:c r="Q20" s="30" t="str">
        <x:f>IF(P20=10,"YES","NO")</x:f>
        <x:v>NO</x:v>
      </x:c>
      <x:c r="R20" s="31" t="str">
        <x:v>Hub-to-use network and fleet configuration</x:v>
      </x:c>
      <x:c r="S20" s="31" t="str">
        <x:v>Discrete route, landing-zone, queue and return-cycle trial</x:v>
      </x:c>
      <x:c r="T20" s="31" t="str">
        <x:v>BLOCKED</x:v>
      </x:c>
      <x:c r="U20" s="27" t="str">
        <x:v>Strategic movement and prepared receiving capacity</x:v>
      </x:c>
      <x:c r="V20" s="27" t="str">
        <x:v>Enter a broken theater</x:v>
      </x:c>
      <x:c r="W20" s="27" t="str">
        <x:v>Family is an architectural hypothesis, not a certified table of organization.</x:v>
      </x:c>
    </x:row>
    <x:row r="21" ht="45" customHeight="1">
      <x:c r="A21" s="17" t="str">
        <x:v>A-SRG</x:v>
      </x:c>
      <x:c r="B21" s="17" t="str">
        <x:v>Canonical family</x:v>
      </x:c>
      <x:c r="C21" s="11" t="str">
        <x:v>Air sensing and relay group</x:v>
      </x:c>
      <x:c r="D21" s="11" t="str">
        <x:v>Air Response</x:v>
      </x:c>
      <x:c r="E21" s="11" t="str">
        <x:v>Communications, computation and public-service access</x:v>
      </x:c>
      <x:c r="F21" s="11" t="str">
        <x:v>Response group</x:v>
      </x:c>
      <x:c r="G21" s="27" t="str">
        <x:v>Provides persistent decision-quality sensing, relay and dissemination.</x:v>
      </x:c>
      <x:c r="H21" s="27" t="str">
        <x:v>Quantified</x:v>
      </x:c>
      <x:c r="I21" s="27" t="str">
        <x:v>—</x:v>
      </x:c>
      <x:c r="J21" s="27" t="str">
        <x:v>R1/R2</x:v>
      </x:c>
      <x:c r="K21" s="27" t="str">
        <x:v>models/force/generation/joint-force-allocation-model.xlsx</x:v>
      </x:c>
      <x:c r="L21" s="27" t="str">
        <x:v>research/force/generation/mature-force-design.md</x:v>
      </x:c>
      <x:c r="M21" s="28" t="n">
        <x:f>COUNTIF('02 Contract Detail'!C21:L21,"&gt;0")</x:f>
        <x:v>9</x:v>
      </x:c>
      <x:c r="N21" s="28" t="n">
        <x:f>SUM('02 Contract Detail'!C21:L21)</x:f>
        <x:v>9</x:v>
      </x:c>
      <x:c r="O21" s="29" t="n">
        <x:f>N21/20</x:f>
        <x:v>0.45</x:v>
      </x:c>
      <x:c r="P21" s="28" t="n">
        <x:f>COUNTIF('02 Contract Detail'!C21:L21,2)</x:f>
        <x:v>0</x:v>
      </x:c>
      <x:c r="Q21" s="30" t="str">
        <x:f>IF(P21=10,"YES","NO")</x:f>
        <x:v>NO</x:v>
      </x:c>
      <x:c r="R21" s="31" t="str">
        <x:v>Decision-latency and degraded-link evidence</x:v>
      </x:c>
      <x:c r="S21" s="31" t="str">
        <x:v>Multi-week denied-link sensing and public-interface trial</x:v>
      </x:c>
      <x:c r="T21" s="31" t="str">
        <x:v>BLOCKED</x:v>
      </x:c>
      <x:c r="U21" s="27" t="str">
        <x:v>Strategic movement and prepared receiving capacity</x:v>
      </x:c>
      <x:c r="V21" s="27" t="str">
        <x:v>Reach occupied civil terrain</x:v>
      </x:c>
      <x:c r="W21" s="27" t="str">
        <x:v>Family is an architectural hypothesis, not a certified table of organization.</x:v>
      </x:c>
    </x:row>
    <x:row r="22" ht="45" customHeight="1">
      <x:c r="A22" s="17" t="str">
        <x:v>A-AMG</x:v>
      </x:c>
      <x:c r="B22" s="17" t="str">
        <x:v>Canonical family</x:v>
      </x:c>
      <x:c r="C22" s="11" t="str">
        <x:v>Aeromedical movement group</x:v>
      </x:c>
      <x:c r="D22" s="11" t="str">
        <x:v>Air Response</x:v>
      </x:c>
      <x:c r="E22" s="11" t="str">
        <x:v>Health and medical continuity</x:v>
      </x:c>
      <x:c r="F22" s="11" t="str">
        <x:v>Response group</x:v>
      </x:c>
      <x:c r="G22" s="27" t="str">
        <x:v>Moves regulated patients with continuous acuity-appropriate care.</x:v>
      </x:c>
      <x:c r="H22" s="27" t="str">
        <x:v>Quantified</x:v>
      </x:c>
      <x:c r="I22" s="27" t="str">
        <x:v>—</x:v>
      </x:c>
      <x:c r="J22" s="27" t="str">
        <x:v>R1/R2</x:v>
      </x:c>
      <x:c r="K22" s="27" t="str">
        <x:v>models/force/generation/joint-force-allocation-model.xlsx</x:v>
      </x:c>
      <x:c r="L22" s="27" t="str">
        <x:v>research/force/generation/mature-force-design.md</x:v>
      </x:c>
      <x:c r="M22" s="28" t="n">
        <x:f>COUNTIF('02 Contract Detail'!C22:L22,"&gt;0")</x:f>
        <x:v>9</x:v>
      </x:c>
      <x:c r="N22" s="28" t="n">
        <x:f>SUM('02 Contract Detail'!C22:L22)</x:f>
        <x:v>9</x:v>
      </x:c>
      <x:c r="O22" s="29" t="n">
        <x:f>N22/20</x:f>
        <x:v>0.45</x:v>
      </x:c>
      <x:c r="P22" s="28" t="n">
        <x:f>COUNTIF('02 Contract Detail'!C22:L22,2)</x:f>
        <x:v>0</x:v>
      </x:c>
      <x:c r="Q22" s="30" t="str">
        <x:f>IF(P22=10,"YES","NO")</x:f>
        <x:v>NO</x:v>
      </x:c>
      <x:c r="R22" s="31" t="str">
        <x:v>Complete patient pathway and receiving proof</x:v>
      </x:c>
      <x:c r="S22" s="31" t="str">
        <x:v>Patient regulation, en-route care and destination admission trial</x:v>
      </x:c>
      <x:c r="T22" s="31" t="str">
        <x:v>BLOCKED</x:v>
      </x:c>
      <x:c r="U22" s="27" t="str">
        <x:v>Strategic movement and prepared receiving capacity</x:v>
      </x:c>
      <x:c r="V22" s="27" t="str">
        <x:v>Preserve care and human continuity</x:v>
      </x:c>
      <x:c r="W22" s="27" t="str">
        <x:v>Family is an architectural hypothesis, not a certified table of organization.</x:v>
      </x:c>
    </x:row>
    <x:row r="23" ht="45" customHeight="1">
      <x:c r="A23" s="17" t="str">
        <x:v>M-POG</x:v>
      </x:c>
      <x:c r="B23" s="17" t="str">
        <x:v>Canonical family</x:v>
      </x:c>
      <x:c r="C23" s="11" t="str">
        <x:v>Port-opening group</x:v>
      </x:c>
      <x:c r="D23" s="11" t="str">
        <x:v>Maritime Response</x:v>
      </x:c>
      <x:c r="E23" s="11" t="str">
        <x:v>Mobility, access and distribution</x:v>
      </x:c>
      <x:c r="F23" s="11" t="str">
        <x:v>Response group</x:v>
      </x:c>
      <x:c r="G23" s="27" t="str">
        <x:v>Restores a safe channel, berth and cargo-handling throughput.</x:v>
      </x:c>
      <x:c r="H23" s="27" t="str">
        <x:v>Quantified</x:v>
      </x:c>
      <x:c r="I23" s="27" t="str">
        <x:v>—</x:v>
      </x:c>
      <x:c r="J23" s="27" t="str">
        <x:v>R1/R2</x:v>
      </x:c>
      <x:c r="K23" s="27" t="str">
        <x:v>models/force/generation/joint-force-allocation-model.xlsx</x:v>
      </x:c>
      <x:c r="L23" s="27" t="str">
        <x:v>research/force/projection/joint-deployment-and-distribution-enterprise.md</x:v>
      </x:c>
      <x:c r="M23" s="28" t="n">
        <x:f>COUNTIF('02 Contract Detail'!C23:L23,"&gt;0")</x:f>
        <x:v>9</x:v>
      </x:c>
      <x:c r="N23" s="28" t="n">
        <x:f>SUM('02 Contract Detail'!C23:L23)</x:f>
        <x:v>9</x:v>
      </x:c>
      <x:c r="O23" s="29" t="n">
        <x:f>N23/20</x:f>
        <x:v>0.45</x:v>
      </x:c>
      <x:c r="P23" s="28" t="n">
        <x:f>COUNTIF('02 Contract Detail'!C23:L23,2)</x:f>
        <x:v>0</x:v>
      </x:c>
      <x:c r="Q23" s="30" t="str">
        <x:f>IF(P23=10,"YES","NO")</x:f>
        <x:v>NO</x:v>
      </x:c>
      <x:c r="R23" s="31" t="str">
        <x:v>Damaged-port configuration and queue evidence</x:v>
      </x:c>
      <x:c r="S23" s="31" t="str">
        <x:v>No-pier, damaged-quay and alternate-node full-mission trial</x:v>
      </x:c>
      <x:c r="T23" s="31" t="str">
        <x:v>BLOCKED</x:v>
      </x:c>
      <x:c r="U23" s="27" t="str">
        <x:v>Strategic movement and prepared receiving capacity</x:v>
      </x:c>
      <x:c r="V23" s="27" t="str">
        <x:v>Enter a broken theater</x:v>
      </x:c>
      <x:c r="W23" s="27" t="str">
        <x:v>Family is an architectural hypothesis, not a certified table of organization.</x:v>
      </x:c>
    </x:row>
    <x:row r="24" ht="45" customHeight="1">
      <x:c r="A24" s="17" t="str">
        <x:v>M-LAG</x:v>
      </x:c>
      <x:c r="B24" s="17" t="str">
        <x:v>Canonical family</x:v>
      </x:c>
      <x:c r="C24" s="11" t="str">
        <x:v>Littoral-access group</x:v>
      </x:c>
      <x:c r="D24" s="11" t="str">
        <x:v>Maritime Response</x:v>
      </x:c>
      <x:c r="E24" s="11" t="str">
        <x:v>Mobility, access and distribution</x:v>
      </x:c>
      <x:c r="F24" s="11" t="str">
        <x:v>Response group</x:v>
      </x:c>
      <x:c r="G24" s="27" t="str">
        <x:v>Crosses the shallow-water and damaged-shore seam without a working port.</x:v>
      </x:c>
      <x:c r="H24" s="27" t="str">
        <x:v>Quantified</x:v>
      </x:c>
      <x:c r="I24" s="27" t="str">
        <x:v>—</x:v>
      </x:c>
      <x:c r="J24" s="27" t="str">
        <x:v>R1/R2</x:v>
      </x:c>
      <x:c r="K24" s="27" t="str">
        <x:v>models/force/generation/joint-force-allocation-model.xlsx</x:v>
      </x:c>
      <x:c r="L24" s="27" t="str">
        <x:v>research/force/generation/mature-force-design.md</x:v>
      </x:c>
      <x:c r="M24" s="28" t="n">
        <x:f>COUNTIF('02 Contract Detail'!C24:L24,"&gt;0")</x:f>
        <x:v>9</x:v>
      </x:c>
      <x:c r="N24" s="28" t="n">
        <x:f>SUM('02 Contract Detail'!C24:L24)</x:f>
        <x:v>9</x:v>
      </x:c>
      <x:c r="O24" s="29" t="n">
        <x:f>N24/20</x:f>
        <x:v>0.45</x:v>
      </x:c>
      <x:c r="P24" s="28" t="n">
        <x:f>COUNTIF('02 Contract Detail'!C24:L24,2)</x:f>
        <x:v>0</x:v>
      </x:c>
      <x:c r="Q24" s="30" t="str">
        <x:f>IF(P24=10,"YES","NO")</x:f>
        <x:v>NO</x:v>
      </x:c>
      <x:c r="R24" s="31" t="str">
        <x:v>Connector family and sea-state evidence</x:v>
      </x:c>
      <x:c r="S24" s="31" t="str">
        <x:v>Competing connector, beach and damaged-quay operating trials</x:v>
      </x:c>
      <x:c r="T24" s="31" t="str">
        <x:v>BLOCKED</x:v>
      </x:c>
      <x:c r="U24" s="27" t="str">
        <x:v>Strategic movement and prepared receiving capacity</x:v>
      </x:c>
      <x:c r="V24" s="27" t="str">
        <x:v>Enter a broken theater</x:v>
      </x:c>
      <x:c r="W24" s="27" t="str">
        <x:v>Family is an architectural hypothesis, not a certified table of organization.</x:v>
      </x:c>
    </x:row>
    <x:row r="25" ht="45" customHeight="1">
      <x:c r="A25" s="17" t="str">
        <x:v>M-IWG</x:v>
      </x:c>
      <x:c r="B25" s="17" t="str">
        <x:v>Canonical family</x:v>
      </x:c>
      <x:c r="C25" s="11" t="str">
        <x:v>Inland-waterway group</x:v>
      </x:c>
      <x:c r="D25" s="11" t="str">
        <x:v>Maritime Response</x:v>
      </x:c>
      <x:c r="E25" s="11" t="str">
        <x:v>Mobility, access and distribution</x:v>
      </x:c>
      <x:c r="F25" s="11" t="str">
        <x:v>Response group</x:v>
      </x:c>
      <x:c r="G25" s="27" t="str">
        <x:v>Uses rivers and lakes for access, ferry, distribution and mobile basing.</x:v>
      </x:c>
      <x:c r="H25" s="27" t="str">
        <x:v>Quantified</x:v>
      </x:c>
      <x:c r="I25" s="27" t="str">
        <x:v>—</x:v>
      </x:c>
      <x:c r="J25" s="27" t="str">
        <x:v>R1/R2</x:v>
      </x:c>
      <x:c r="K25" s="27" t="str">
        <x:v>models/force/generation/joint-force-allocation-model.xlsx</x:v>
      </x:c>
      <x:c r="L25" s="27" t="str">
        <x:v>research/force/generation/mature-force-design.md</x:v>
      </x:c>
      <x:c r="M25" s="28" t="n">
        <x:f>COUNTIF('02 Contract Detail'!C25:L25,"&gt;0")</x:f>
        <x:v>9</x:v>
      </x:c>
      <x:c r="N25" s="28" t="n">
        <x:f>SUM('02 Contract Detail'!C25:L25)</x:f>
        <x:v>9</x:v>
      </x:c>
      <x:c r="O25" s="29" t="n">
        <x:f>N25/20</x:f>
        <x:v>0.45</x:v>
      </x:c>
      <x:c r="P25" s="28" t="n">
        <x:f>COUNTIF('02 Contract Detail'!C25:L25,2)</x:f>
        <x:v>0</x:v>
      </x:c>
      <x:c r="Q25" s="30" t="str">
        <x:f>IF(P25=10,"YES","NO")</x:f>
        <x:v>NO</x:v>
      </x:c>
      <x:c r="R25" s="31" t="str">
        <x:v>River/lake fleet and seasonal network proof</x:v>
      </x:c>
      <x:c r="S25" s="31" t="str">
        <x:v>Representative debris, current, depth and landing-node trial</x:v>
      </x:c>
      <x:c r="T25" s="31" t="str">
        <x:v>BLOCKED</x:v>
      </x:c>
      <x:c r="U25" s="27" t="str">
        <x:v>Strategic movement and prepared receiving capacity</x:v>
      </x:c>
      <x:c r="V25" s="27" t="str">
        <x:v>Enter a broken theater</x:v>
      </x:c>
      <x:c r="W25" s="27" t="str">
        <x:v>Family is an architectural hypothesis, not a certified table of organization.</x:v>
      </x:c>
    </x:row>
    <x:row r="26" ht="45" customHeight="1">
      <x:c r="A26" s="17" t="str">
        <x:v>M-OSG</x:v>
      </x:c>
      <x:c r="B26" s="17" t="str">
        <x:v>Canonical family</x:v>
      </x:c>
      <x:c r="C26" s="11" t="str">
        <x:v>Offshore-support group</x:v>
      </x:c>
      <x:c r="D26" s="11" t="str">
        <x:v>Maritime Response</x:v>
      </x:c>
      <x:c r="E26" s="11" t="str">
        <x:v>Housing, public works and economic continuity</x:v>
      </x:c>
      <x:c r="F26" s="11" t="str">
        <x:v>Response group</x:v>
      </x:c>
      <x:c r="G26" s="27" t="str">
        <x:v>Provides workshops, stocks, utilities and crew recovery without burdening shore systems.</x:v>
      </x:c>
      <x:c r="H26" s="27" t="str">
        <x:v>Quantified</x:v>
      </x:c>
      <x:c r="I26" s="27" t="str">
        <x:v>—</x:v>
      </x:c>
      <x:c r="J26" s="27" t="str">
        <x:v>R1/R2</x:v>
      </x:c>
      <x:c r="K26" s="27" t="str">
        <x:v>models/force/generation/joint-force-allocation-model.xlsx</x:v>
      </x:c>
      <x:c r="L26" s="27" t="str">
        <x:v>research/force/generation/mature-force-design.md</x:v>
      </x:c>
      <x:c r="M26" s="28" t="n">
        <x:f>COUNTIF('02 Contract Detail'!C26:L26,"&gt;0")</x:f>
        <x:v>9</x:v>
      </x:c>
      <x:c r="N26" s="28" t="n">
        <x:f>SUM('02 Contract Detail'!C26:L26)</x:f>
        <x:v>9</x:v>
      </x:c>
      <x:c r="O26" s="29" t="n">
        <x:f>N26/20</x:f>
        <x:v>0.45</x:v>
      </x:c>
      <x:c r="P26" s="28" t="n">
        <x:f>COUNTIF('02 Contract Detail'!C26:L26,2)</x:f>
        <x:v>0</x:v>
      </x:c>
      <x:c r="Q26" s="30" t="str">
        <x:f>IF(P26=10,"YES","NO")</x:f>
        <x:v>NO</x:v>
      </x:c>
      <x:c r="R26" s="31" t="str">
        <x:v>Afloat-base configuration and shore interface</x:v>
      </x:c>
      <x:c r="S26" s="31" t="str">
        <x:v>Thirty-day zero-host-utility support trial with repair and waste closure</x:v>
      </x:c>
      <x:c r="T26" s="31" t="str">
        <x:v>BLOCKED</x:v>
      </x:c>
      <x:c r="U26" s="27" t="str">
        <x:v>Strategic movement and prepared receiving capacity</x:v>
      </x:c>
      <x:c r="V26" s="27" t="str">
        <x:v>Sustain, transfer and regenerate</x:v>
      </x:c>
      <x:c r="W26" s="27" t="str">
        <x:v>Family is an architectural hypothesis, not a certified table of organization.</x:v>
      </x:c>
    </x:row>
    <x:row r="27" ht="45" customHeight="1">
      <x:c r="A27" s="17" t="str">
        <x:v>M-MPG</x:v>
      </x:c>
      <x:c r="B27" s="17" t="str">
        <x:v>Canonical family</x:v>
      </x:c>
      <x:c r="C27" s="11" t="str">
        <x:v>Maritime production group</x:v>
      </x:c>
      <x:c r="D27" s="11" t="str">
        <x:v>Maritime Response</x:v>
      </x:c>
      <x:c r="E27" s="11" t="str">
        <x:v>Water, sanitation and hygiene</x:v>
      </x:c>
      <x:c r="F27" s="11" t="str">
        <x:v>Response group</x:v>
      </x:c>
      <x:c r="G27" s="27" t="str">
        <x:v>Produces water, power, oxygen, cold-chain or care service offshore and transfers it ashore.</x:v>
      </x:c>
      <x:c r="H27" s="27" t="str">
        <x:v>Not quantified</x:v>
      </x:c>
      <x:c r="I27" s="27" t="str">
        <x:v>—</x:v>
      </x:c>
      <x:c r="J27" s="27" t="str">
        <x:v>R2+</x:v>
      </x:c>
      <x:c r="K27" s="27" t="str">
        <x:v>—</x:v>
      </x:c>
      <x:c r="L27" s="27" t="str">
        <x:v>research/systems/water/nuclear-water-energy-system.md</x:v>
      </x:c>
      <x:c r="M27" s="28" t="n">
        <x:f>COUNTIF('02 Contract Detail'!C27:L27,"&gt;0")</x:f>
        <x:v>10</x:v>
      </x:c>
      <x:c r="N27" s="28" t="n">
        <x:f>SUM('02 Contract Detail'!C27:L27)</x:f>
        <x:v>16</x:v>
      </x:c>
      <x:c r="O27" s="29" t="n">
        <x:f>N27/20</x:f>
        <x:v>0.8</x:v>
      </x:c>
      <x:c r="P27" s="28" t="n">
        <x:f>COUNTIF('02 Contract Detail'!C27:L27,2)</x:f>
        <x:v>6</x:v>
      </x:c>
      <x:c r="Q27" s="30" t="str">
        <x:f>IF(P27=10,"YES","NO")</x:f>
        <x:v>NO</x:v>
      </x:c>
      <x:c r="R27" s="31" t="str">
        <x:v>Receiving node, marine/nuclear safety and shore corridor</x:v>
      </x:c>
      <x:c r="S27" s="31" t="str">
        <x:v>Surveyed prepared-node demonstration with full concentrate and grid-transfer closure</x:v>
      </x:c>
      <x:c r="T27" s="31" t="str">
        <x:v>BLOCKED</x:v>
      </x:c>
      <x:c r="U27" s="27" t="str">
        <x:v>Strategic movement and prepared receiving capacity</x:v>
      </x:c>
      <x:c r="V27" s="27" t="str">
        <x:v>Produce and distribute lifelines</x:v>
      </x:c>
      <x:c r="W27" s="27" t="str">
        <x:v>Family is an architectural hypothesis, not a certified table of organization.</x:v>
      </x:c>
    </x:row>
    <x:row r="28" ht="45" customHeight="1">
      <x:c r="A28" s="17" t="str">
        <x:v>M-SSG</x:v>
      </x:c>
      <x:c r="B28" s="17" t="str">
        <x:v>Canonical family</x:v>
      </x:c>
      <x:c r="C28" s="11" t="str">
        <x:v>Ocean sustainment group</x:v>
      </x:c>
      <x:c r="D28" s="11" t="str">
        <x:v>Maritime Response</x:v>
      </x:c>
      <x:c r="E28" s="11" t="str">
        <x:v>Mobility, access and distribution</x:v>
      </x:c>
      <x:c r="F28" s="11" t="str">
        <x:v>Response group</x:v>
      </x:c>
      <x:c r="G28" s="27" t="str">
        <x:v>Delivers campaign mass, replenishment, repair and retrograde across ocean distance.</x:v>
      </x:c>
      <x:c r="H28" s="27" t="str">
        <x:v>Quantified</x:v>
      </x:c>
      <x:c r="I28" s="27" t="str">
        <x:v>—</x:v>
      </x:c>
      <x:c r="J28" s="27" t="str">
        <x:v>R1/R2</x:v>
      </x:c>
      <x:c r="K28" s="27" t="str">
        <x:v>models/force/generation/joint-force-allocation-model.xlsx</x:v>
      </x:c>
      <x:c r="L28" s="27" t="str">
        <x:v>research/force/generation/mature-force-design.md</x:v>
      </x:c>
      <x:c r="M28" s="28" t="n">
        <x:f>COUNTIF('02 Contract Detail'!C28:L28,"&gt;0")</x:f>
        <x:v>9</x:v>
      </x:c>
      <x:c r="N28" s="28" t="n">
        <x:f>SUM('02 Contract Detail'!C28:L28)</x:f>
        <x:v>9</x:v>
      </x:c>
      <x:c r="O28" s="29" t="n">
        <x:f>N28/20</x:f>
        <x:v>0.45</x:v>
      </x:c>
      <x:c r="P28" s="28" t="n">
        <x:f>COUNTIF('02 Contract Detail'!C28:L28,2)</x:f>
        <x:v>0</x:v>
      </x:c>
      <x:c r="Q28" s="30" t="str">
        <x:f>IF(P28=10,"YES","NO")</x:f>
        <x:v>NO</x:v>
      </x:c>
      <x:c r="R28" s="31" t="str">
        <x:v>Hull-cycle and port-network configuration</x:v>
      </x:c>
      <x:c r="S28" s="31" t="str">
        <x:v>Itemized sealift, transfer, replenishment and retrograde simulation</x:v>
      </x:c>
      <x:c r="T28" s="31" t="str">
        <x:v>BLOCKED</x:v>
      </x:c>
      <x:c r="U28" s="27" t="str">
        <x:v>Strategic movement and prepared receiving capacity</x:v>
      </x:c>
      <x:c r="V28" s="27" t="str">
        <x:v>Sustain, transfer and regenerate</x:v>
      </x:c>
      <x:c r="W28" s="27" t="str">
        <x:v>Family is an architectural hypothesis, not a certified table of organization.</x:v>
      </x:c>
    </x:row>
    <x:row r="29" ht="45" customHeight="1">
      <x:c r="A29" s="17" t="str">
        <x:v>I-WRG</x:v>
      </x:c>
      <x:c r="B29" s="17" t="str">
        <x:v>Canonical family</x:v>
      </x:c>
      <x:c r="C29" s="11" t="str">
        <x:v>Water restoration group</x:v>
      </x:c>
      <x:c r="D29" s="11" t="str">
        <x:v>Infrastructure Restoration</x:v>
      </x:c>
      <x:c r="E29" s="11" t="str">
        <x:v>Water, sanitation and hygiene</x:v>
      </x:c>
      <x:c r="F29" s="11" t="str">
        <x:v>Response group</x:v>
      </x:c>
      <x:c r="G29" s="27" t="str">
        <x:v>Delivers compliant water at use and manages wastewater and residuals.</x:v>
      </x:c>
      <x:c r="H29" s="27" t="str">
        <x:v>Not quantified</x:v>
      </x:c>
      <x:c r="I29" s="27" t="str">
        <x:v>Child of legacy I-UPG quantitative aggregate</x:v>
      </x:c>
      <x:c r="J29" s="27" t="str">
        <x:v>R2+</x:v>
      </x:c>
      <x:c r="K29" s="27" t="str">
        <x:v>—</x:v>
      </x:c>
      <x:c r="L29" s="27" t="str">
        <x:v>research/systems/water/configuration-model.md</x:v>
      </x:c>
      <x:c r="M29" s="28" t="n">
        <x:f>COUNTIF('02 Contract Detail'!C29:L29,"&gt;0")</x:f>
        <x:v>10</x:v>
      </x:c>
      <x:c r="N29" s="28" t="n">
        <x:f>SUM('02 Contract Detail'!C29:L29)</x:f>
        <x:v>16</x:v>
      </x:c>
      <x:c r="O29" s="29" t="n">
        <x:f>N29/20</x:f>
        <x:v>0.8</x:v>
      </x:c>
      <x:c r="P29" s="28" t="n">
        <x:f>COUNTIF('02 Contract Detail'!C29:L29,2)</x:f>
        <x:v>6</x:v>
      </x:c>
      <x:c r="Q29" s="30" t="str">
        <x:f>IF(P29=10,"YES","NO")</x:f>
        <x:v>NO</x:v>
      </x:c>
      <x:c r="R29" s="31" t="str">
        <x:v>Surveyed hydraulics, hardware guarantees and field reliability</x:v>
      </x:c>
      <x:c r="S29" s="31" t="str">
        <x:v>WRG-50 installation, transient, endurance and transfer demonstration</x:v>
      </x:c>
      <x:c r="T29" s="31" t="str">
        <x:v>BLOCKED</x:v>
      </x:c>
      <x:c r="U29" s="27" t="str">
        <x:v>Strategic movement and prepared receiving capacity</x:v>
      </x:c>
      <x:c r="V29" s="27" t="str">
        <x:v>Produce and distribute lifelines</x:v>
      </x:c>
      <x:c r="W29" s="27" t="str">
        <x:v>Family is an architectural hypothesis, not a certified table of organization.</x:v>
      </x:c>
    </x:row>
    <x:row r="30" ht="45" customHeight="1">
      <x:c r="A30" s="17" t="str">
        <x:v>I-PRG</x:v>
      </x:c>
      <x:c r="B30" s="17" t="str">
        <x:v>Canonical family</x:v>
      </x:c>
      <x:c r="C30" s="11" t="str">
        <x:v>Power restoration group</x:v>
      </x:c>
      <x:c r="D30" s="11" t="str">
        <x:v>Infrastructure Restoration</x:v>
      </x:c>
      <x:c r="E30" s="11" t="str">
        <x:v>Energy and thermal continuity</x:v>
      </x:c>
      <x:c r="F30" s="11" t="str">
        <x:v>Response group</x:v>
      </x:c>
      <x:c r="G30" s="27" t="str">
        <x:v>Creates safe utility islands and grid bridges for critical loads.</x:v>
      </x:c>
      <x:c r="H30" s="27" t="str">
        <x:v>Not quantified</x:v>
      </x:c>
      <x:c r="I30" s="27" t="str">
        <x:v>Child of legacy I-UPG quantitative aggregate</x:v>
      </x:c>
      <x:c r="J30" s="27" t="str">
        <x:v>R2+</x:v>
      </x:c>
      <x:c r="K30" s="27" t="str">
        <x:v>—</x:v>
      </x:c>
      <x:c r="L30" s="27" t="str">
        <x:v>research/systems/power/configuration-model.md</x:v>
      </x:c>
      <x:c r="M30" s="28" t="n">
        <x:f>COUNTIF('02 Contract Detail'!C30:L30,"&gt;0")</x:f>
        <x:v>10</x:v>
      </x:c>
      <x:c r="N30" s="28" t="n">
        <x:f>SUM('02 Contract Detail'!C30:L30)</x:f>
        <x:v>16</x:v>
      </x:c>
      <x:c r="O30" s="29" t="n">
        <x:f>N30/20</x:f>
        <x:v>0.8</x:v>
      </x:c>
      <x:c r="P30" s="28" t="n">
        <x:f>COUNTIF('02 Contract Detail'!C30:L30,2)</x:f>
        <x:v>6</x:v>
      </x:c>
      <x:c r="Q30" s="30" t="str">
        <x:f>IF(P30=10,"YES","NO")</x:f>
        <x:v>NO</x:v>
      </x:c>
      <x:c r="R30" s="31" t="str">
        <x:v>Solved one-line, protection and field construction evidence</x:v>
      </x:c>
      <x:c r="S30" s="31" t="str">
        <x:v>PRG-100 energization, islanding, fault and endurance demonstration</x:v>
      </x:c>
      <x:c r="T30" s="31" t="str">
        <x:v>BLOCKED</x:v>
      </x:c>
      <x:c r="U30" s="27" t="str">
        <x:v>Strategic movement and prepared receiving capacity</x:v>
      </x:c>
      <x:c r="V30" s="27" t="str">
        <x:v>Produce and distribute lifelines</x:v>
      </x:c>
      <x:c r="W30" s="27" t="str">
        <x:v>Family is an architectural hypothesis, not a certified table of organization.</x:v>
      </x:c>
    </x:row>
    <x:row r="31" ht="45" customHeight="1">
      <x:c r="A31" s="17" t="str">
        <x:v>I-GBG</x:v>
      </x:c>
      <x:c r="B31" s="17" t="str">
        <x:v>Canonical family</x:v>
      </x:c>
      <x:c r="C31" s="11" t="str">
        <x:v>Grid bridge group</x:v>
      </x:c>
      <x:c r="D31" s="11" t="str">
        <x:v>Infrastructure Restoration</x:v>
      </x:c>
      <x:c r="E31" s="11" t="str">
        <x:v>Energy and thermal continuity</x:v>
      </x:c>
      <x:c r="F31" s="11" t="str">
        <x:v>Response group</x:v>
      </x:c>
      <x:c r="G31" s="27" t="str">
        <x:v>Bypasses failed substations and reconnects stable transmission or distribution capacity.</x:v>
      </x:c>
      <x:c r="H31" s="27" t="str">
        <x:v>Not quantified</x:v>
      </x:c>
      <x:c r="I31" s="27" t="str">
        <x:v>Child of legacy I-UPG quantitative aggregate</x:v>
      </x:c>
      <x:c r="J31" s="27" t="str">
        <x:v>R2</x:v>
      </x:c>
      <x:c r="K31" s="27" t="str">
        <x:v>—</x:v>
      </x:c>
      <x:c r="L31" s="27" t="str">
        <x:v>research/systems/power/configuration-model.md</x:v>
      </x:c>
      <x:c r="M31" s="28" t="n">
        <x:f>COUNTIF('02 Contract Detail'!C31:L31,"&gt;0")</x:f>
        <x:v>10</x:v>
      </x:c>
      <x:c r="N31" s="28" t="n">
        <x:f>SUM('02 Contract Detail'!C31:L31)</x:f>
        <x:v>10</x:v>
      </x:c>
      <x:c r="O31" s="29" t="n">
        <x:f>N31/20</x:f>
        <x:v>0.5</x:v>
      </x:c>
      <x:c r="P31" s="28" t="n">
        <x:f>COUNTIF('02 Contract Detail'!C31:L31,2)</x:f>
        <x:v>0</x:v>
      </x:c>
      <x:c r="Q31" s="30" t="str">
        <x:f>IF(P31=10,"YES","NO")</x:f>
        <x:v>NO</x:v>
      </x:c>
      <x:c r="R31" s="31" t="str">
        <x:v>Reference substation-bypass configuration</x:v>
      </x:c>
      <x:c r="S31" s="31" t="str">
        <x:v>Protection-coordinated grid-bridge prototype and utility acceptance trial</x:v>
      </x:c>
      <x:c r="T31" s="31" t="str">
        <x:v>BLOCKED</x:v>
      </x:c>
      <x:c r="U31" s="27" t="str">
        <x:v>Strategic movement and prepared receiving capacity</x:v>
      </x:c>
      <x:c r="V31" s="27" t="str">
        <x:v>Produce and distribute lifelines</x:v>
      </x:c>
      <x:c r="W31" s="27" t="str">
        <x:v>Family is an architectural hypothesis, not a certified table of organization.</x:v>
      </x:c>
    </x:row>
    <x:row r="32" ht="45" customHeight="1">
      <x:c r="A32" s="17" t="str">
        <x:v>I-TSG</x:v>
      </x:c>
      <x:c r="B32" s="17" t="str">
        <x:v>Canonical family</x:v>
      </x:c>
      <x:c r="C32" s="11" t="str">
        <x:v>Thermal safety group</x:v>
      </x:c>
      <x:c r="D32" s="11" t="str">
        <x:v>Infrastructure Restoration</x:v>
      </x:c>
      <x:c r="E32" s="11" t="str">
        <x:v>Energy and thermal continuity</x:v>
      </x:c>
      <x:c r="F32" s="11" t="str">
        <x:v>Response group</x:v>
      </x:c>
      <x:c r="G32" s="27" t="str">
        <x:v>Protects people-hours inside safe heat or cold envelopes.</x:v>
      </x:c>
      <x:c r="H32" s="27" t="str">
        <x:v>Quantified</x:v>
      </x:c>
      <x:c r="I32" s="27" t="str">
        <x:v>—</x:v>
      </x:c>
      <x:c r="J32" s="27" t="str">
        <x:v>R1/R2</x:v>
      </x:c>
      <x:c r="K32" s="27" t="str">
        <x:v>models/force/generation/joint-force-allocation-model.xlsx</x:v>
      </x:c>
      <x:c r="L32" s="27" t="str">
        <x:v>research/force/generation/mature-force-design.md</x:v>
      </x:c>
      <x:c r="M32" s="28" t="n">
        <x:f>COUNTIF('02 Contract Detail'!C32:L32,"&gt;0")</x:f>
        <x:v>9</x:v>
      </x:c>
      <x:c r="N32" s="28" t="n">
        <x:f>SUM('02 Contract Detail'!C32:L32)</x:f>
        <x:v>9</x:v>
      </x:c>
      <x:c r="O32" s="29" t="n">
        <x:f>N32/20</x:f>
        <x:v>0.45</x:v>
      </x:c>
      <x:c r="P32" s="28" t="n">
        <x:f>COUNTIF('02 Contract Detail'!C32:L32,2)</x:f>
        <x:v>0</x:v>
      </x:c>
      <x:c r="Q32" s="30" t="str">
        <x:f>IF(P32=10,"YES","NO")</x:f>
        <x:v>NO</x:v>
      </x:c>
      <x:c r="R32" s="31" t="str">
        <x:v>Building archetype and thermal-service configuration</x:v>
      </x:c>
      <x:c r="S32" s="31" t="str">
        <x:v>Occupied heat/cold trial with power, ventilation and accessibility closure</x:v>
      </x:c>
      <x:c r="T32" s="31" t="str">
        <x:v>BLOCKED</x:v>
      </x:c>
      <x:c r="U32" s="27" t="str">
        <x:v>Strategic movement and prepared receiving capacity</x:v>
      </x:c>
      <x:c r="V32" s="27" t="str">
        <x:v>Produce and distribute lifelines</x:v>
      </x:c>
      <x:c r="W32" s="27" t="str">
        <x:v>Family is an architectural hypothesis, not a certified table of organization.</x:v>
      </x:c>
    </x:row>
    <x:row r="33" ht="45" customHeight="1">
      <x:c r="A33" s="17" t="str">
        <x:v>I-CUG</x:v>
      </x:c>
      <x:c r="B33" s="17" t="str">
        <x:v>Canonical family</x:v>
      </x:c>
      <x:c r="C33" s="11" t="str">
        <x:v>Communications utility group</x:v>
      </x:c>
      <x:c r="D33" s="11" t="str">
        <x:v>Infrastructure Restoration</x:v>
      </x:c>
      <x:c r="E33" s="11" t="str">
        <x:v>Communications, computation and public-service access</x:v>
      </x:c>
      <x:c r="F33" s="11" t="str">
        <x:v>Response group</x:v>
      </x:c>
      <x:c r="G33" s="27" t="str">
        <x:v>Restores public and responder connectivity as a utility service.</x:v>
      </x:c>
      <x:c r="H33" s="27" t="str">
        <x:v>Quantified</x:v>
      </x:c>
      <x:c r="I33" s="27" t="str">
        <x:v>—</x:v>
      </x:c>
      <x:c r="J33" s="27" t="str">
        <x:v>R1/R2</x:v>
      </x:c>
      <x:c r="K33" s="27" t="str">
        <x:v>models/force/generation/joint-force-allocation-model.xlsx</x:v>
      </x:c>
      <x:c r="L33" s="27" t="str">
        <x:v>research/force/generation/mature-force-design.md</x:v>
      </x:c>
      <x:c r="M33" s="28" t="n">
        <x:f>COUNTIF('02 Contract Detail'!C33:L33,"&gt;0")</x:f>
        <x:v>9</x:v>
      </x:c>
      <x:c r="N33" s="28" t="n">
        <x:f>SUM('02 Contract Detail'!C33:L33)</x:f>
        <x:v>9</x:v>
      </x:c>
      <x:c r="O33" s="29" t="n">
        <x:f>N33/20</x:f>
        <x:v>0.45</x:v>
      </x:c>
      <x:c r="P33" s="28" t="n">
        <x:f>COUNTIF('02 Contract Detail'!C33:L33,2)</x:f>
        <x:v>0</x:v>
      </x:c>
      <x:c r="Q33" s="30" t="str">
        <x:f>IF(P33=10,"YES","NO")</x:f>
        <x:v>NO</x:v>
      </x:c>
      <x:c r="R33" s="31" t="str">
        <x:v>Backhaul-to-user degraded-mode configuration</x:v>
      </x:c>
      <x:c r="S33" s="31" t="str">
        <x:v>Disconnected multi-provider service and transfer trial</x:v>
      </x:c>
      <x:c r="T33" s="31" t="str">
        <x:v>BLOCKED</x:v>
      </x:c>
      <x:c r="U33" s="27" t="str">
        <x:v>Strategic movement and prepared receiving capacity</x:v>
      </x:c>
      <x:c r="V33" s="27" t="str">
        <x:v>Reach occupied civil terrain</x:v>
      </x:c>
      <x:c r="W33" s="27" t="str">
        <x:v>Family is an architectural hypothesis, not a certified table of organization.</x:v>
      </x:c>
    </x:row>
    <x:row r="34" ht="45" customHeight="1">
      <x:c r="A34" s="17" t="str">
        <x:v>I-URG</x:v>
      </x:c>
      <x:c r="B34" s="17" t="str">
        <x:v>Canonical family</x:v>
      </x:c>
      <x:c r="C34" s="11" t="str">
        <x:v>Utility reconstruction group</x:v>
      </x:c>
      <x:c r="D34" s="11" t="str">
        <x:v>Infrastructure Restoration</x:v>
      </x:c>
      <x:c r="E34" s="11" t="str">
        <x:v>Housing, public works and economic continuity</x:v>
      </x:c>
      <x:c r="F34" s="11" t="str">
        <x:v>Response group</x:v>
      </x:c>
      <x:c r="G34" s="27" t="str">
        <x:v>Accelerates durable repair and transfer of fixed lifeline networks.</x:v>
      </x:c>
      <x:c r="H34" s="27" t="str">
        <x:v>Quantified</x:v>
      </x:c>
      <x:c r="I34" s="27" t="str">
        <x:v>—</x:v>
      </x:c>
      <x:c r="J34" s="27" t="str">
        <x:v>R1/R2</x:v>
      </x:c>
      <x:c r="K34" s="27" t="str">
        <x:v>models/force/generation/joint-force-allocation-model.xlsx</x:v>
      </x:c>
      <x:c r="L34" s="27" t="str">
        <x:v>research/force/generation/mature-force-design.md</x:v>
      </x:c>
      <x:c r="M34" s="28" t="n">
        <x:f>COUNTIF('02 Contract Detail'!C34:L34,"&gt;0")</x:f>
        <x:v>9</x:v>
      </x:c>
      <x:c r="N34" s="28" t="n">
        <x:f>SUM('02 Contract Detail'!C34:L34)</x:f>
        <x:v>9</x:v>
      </x:c>
      <x:c r="O34" s="29" t="n">
        <x:f>N34/20</x:f>
        <x:v>0.45</x:v>
      </x:c>
      <x:c r="P34" s="28" t="n">
        <x:f>COUNTIF('02 Contract Detail'!C34:L34,2)</x:f>
        <x:v>0</x:v>
      </x:c>
      <x:c r="Q34" s="30" t="str">
        <x:f>IF(P34=10,"YES","NO")</x:f>
        <x:v>NO</x:v>
      </x:c>
      <x:c r="R34" s="31" t="str">
        <x:v>Multisystem repair sequencing and acceptance</x:v>
      </x:c>
      <x:c r="S34" s="31" t="str">
        <x:v>Joint water-power-comms reconstruction trial under scarce labor</x:v>
      </x:c>
      <x:c r="T34" s="31" t="str">
        <x:v>BLOCKED</x:v>
      </x:c>
      <x:c r="U34" s="27" t="str">
        <x:v>Strategic movement and prepared receiving capacity</x:v>
      </x:c>
      <x:c r="V34" s="27" t="str">
        <x:v>Sustain, transfer and regenerate</x:v>
      </x:c>
      <x:c r="W34" s="27" t="str">
        <x:v>Family is an architectural hypothesis, not a certified table of organization.</x:v>
      </x:c>
    </x:row>
    <x:row r="35" ht="45" customHeight="1">
      <x:c r="A35" s="17" t="str">
        <x:v>I-UPG</x:v>
      </x:c>
      <x:c r="B35" s="17" t="str">
        <x:v>Legacy aggregate</x:v>
      </x:c>
      <x:c r="C35" s="11" t="str">
        <x:v>Utility projection group</x:v>
      </x:c>
      <x:c r="D35" s="11" t="str">
        <x:v>Infrastructure Restoration</x:v>
      </x:c>
      <x:c r="E35" s="11" t="str">
        <x:v>Energy and thermal continuity</x:v>
      </x:c>
      <x:c r="F35" s="11" t="str">
        <x:v>Response group</x:v>
      </x:c>
      <x:c r="G35" s="27" t="str">
        <x:v>Legacy aggregate used by Pass 23 for combined water, power and grid allocation.</x:v>
      </x:c>
      <x:c r="H35" s="27" t="str">
        <x:v>Quantified</x:v>
      </x:c>
      <x:c r="I35" s="27" t="str">
        <x:v>Retire after I-WRG, I-PRG and I-GBG quantitative reconciliation</x:v>
      </x:c>
      <x:c r="J35" s="27" t="str">
        <x:v>R1/R2</x:v>
      </x:c>
      <x:c r="K35" s="27" t="str">
        <x:v>models/force/generation/joint-force-allocation-model.xlsx</x:v>
      </x:c>
      <x:c r="L35" s="27" t="str">
        <x:v>research/force/generation/joint-force-allocation-and-order-of-battle.md</x:v>
      </x:c>
      <x:c r="M35" s="28" t="n">
        <x:f>COUNTIF('02 Contract Detail'!C35:L35,"&gt;0")</x:f>
        <x:v>6</x:v>
      </x:c>
      <x:c r="N35" s="28" t="n">
        <x:f>SUM('02 Contract Detail'!C35:L35)</x:f>
        <x:v>6</x:v>
      </x:c>
      <x:c r="O35" s="29" t="n">
        <x:f>N35/20</x:f>
        <x:v>0.3</x:v>
      </x:c>
      <x:c r="P35" s="28" t="n">
        <x:f>COUNTIF('02 Contract Detail'!C35:L35,2)</x:f>
        <x:v>0</x:v>
      </x:c>
      <x:c r="Q35" s="30" t="str">
        <x:f>IF(P35=10,"YES","NO")</x:f>
        <x:v>NO</x:v>
      </x:c>
      <x:c r="R35" s="31" t="str">
        <x:v>Disaggregation without double count</x:v>
      </x:c>
      <x:c r="S35" s="31" t="str">
        <x:v>Rebuild campaign matrix and WBS around three canonical child families</x:v>
      </x:c>
      <x:c r="T35" s="31" t="str">
        <x:v>BLOCKED</x:v>
      </x:c>
      <x:c r="U35" s="27" t="str">
        <x:v>Strategic movement and prepared receiving capacity</x:v>
      </x:c>
      <x:c r="V35" s="27" t="str">
        <x:v>Produce and distribute lifelines</x:v>
      </x:c>
      <x:c r="W35" s="27" t="str">
        <x:v>Retained solely to preserve quantitative lineage; not a canonical formation family.</x:v>
      </x:c>
    </x:row>
    <x:row r="36" ht="45" customHeight="1">
      <x:c r="A36" s="17" t="str">
        <x:v>H-CHC</x:v>
      </x:c>
      <x:c r="B36" s="17" t="str">
        <x:v>Canonical family</x:v>
      </x:c>
      <x:c r="C36" s="11" t="str">
        <x:v>Community health continuity group</x:v>
      </x:c>
      <x:c r="D36" s="11" t="str">
        <x:v>Health Protection</x:v>
      </x:c>
      <x:c r="E36" s="11" t="str">
        <x:v>Health and medical continuity</x:v>
      </x:c>
      <x:c r="F36" s="11" t="str">
        <x:v>Response group</x:v>
      </x:c>
      <x:c r="G36" s="27" t="str">
        <x:v>Preserves primary, chronic, pharmacy, behavioral and home-health continuity.</x:v>
      </x:c>
      <x:c r="H36" s="27" t="str">
        <x:v>Quantified</x:v>
      </x:c>
      <x:c r="I36" s="27" t="str">
        <x:v>—</x:v>
      </x:c>
      <x:c r="J36" s="27" t="str">
        <x:v>R1/R2</x:v>
      </x:c>
      <x:c r="K36" s="27" t="str">
        <x:v>models/force/generation/joint-force-allocation-model.xlsx</x:v>
      </x:c>
      <x:c r="L36" s="27" t="str">
        <x:v>research/force/generation/mature-force-design.md</x:v>
      </x:c>
      <x:c r="M36" s="28" t="n">
        <x:f>COUNTIF('02 Contract Detail'!C36:L36,"&gt;0")</x:f>
        <x:v>9</x:v>
      </x:c>
      <x:c r="N36" s="28" t="n">
        <x:f>SUM('02 Contract Detail'!C36:L36)</x:f>
        <x:v>9</x:v>
      </x:c>
      <x:c r="O36" s="29" t="n">
        <x:f>N36/20</x:f>
        <x:v>0.45</x:v>
      </x:c>
      <x:c r="P36" s="28" t="n">
        <x:f>COUNTIF('02 Contract Detail'!C36:L36,2)</x:f>
        <x:v>0</x:v>
      </x:c>
      <x:c r="Q36" s="30" t="str">
        <x:f>IF(P36=10,"YES","NO")</x:f>
        <x:v>NO</x:v>
      </x:c>
      <x:c r="R36" s="31" t="str">
        <x:v>Patient cohort, fixed-facility and workforce configuration</x:v>
      </x:c>
      <x:c r="S36" s="31" t="str">
        <x:v>Seven-day continuity trial across dialysis, pharmacy and home-health cohorts</x:v>
      </x:c>
      <x:c r="T36" s="31" t="str">
        <x:v>BLOCKED</x:v>
      </x:c>
      <x:c r="U36" s="27" t="str">
        <x:v>Strategic movement and prepared receiving capacity</x:v>
      </x:c>
      <x:c r="V36" s="27" t="str">
        <x:v>Preserve care and human continuity</x:v>
      </x:c>
      <x:c r="W36" s="27" t="str">
        <x:v>Family is an architectural hypothesis, not a certified table of organization.</x:v>
      </x:c>
    </x:row>
    <x:row r="37" ht="45" customHeight="1">
      <x:c r="A37" s="17" t="str">
        <x:v>H-MAC</x:v>
      </x:c>
      <x:c r="B37" s="17" t="str">
        <x:v>Canonical family</x:v>
      </x:c>
      <x:c r="C37" s="11" t="str">
        <x:v>Mobile acute-care group</x:v>
      </x:c>
      <x:c r="D37" s="11" t="str">
        <x:v>Health Protection</x:v>
      </x:c>
      <x:c r="E37" s="11" t="str">
        <x:v>Health and medical continuity</x:v>
      </x:c>
      <x:c r="F37" s="11" t="str">
        <x:v>Response group</x:v>
      </x:c>
      <x:c r="G37" s="27" t="str">
        <x:v>Creates staffed emergency, surgery, critical-care and diagnostic pathways.</x:v>
      </x:c>
      <x:c r="H37" s="27" t="str">
        <x:v>Quantified</x:v>
      </x:c>
      <x:c r="I37" s="27" t="str">
        <x:v>—</x:v>
      </x:c>
      <x:c r="J37" s="27" t="str">
        <x:v>R1/R2</x:v>
      </x:c>
      <x:c r="K37" s="27" t="str">
        <x:v>models/force/generation/joint-force-allocation-model.xlsx</x:v>
      </x:c>
      <x:c r="L37" s="27" t="str">
        <x:v>research/force/generation/mature-force-design.md</x:v>
      </x:c>
      <x:c r="M37" s="28" t="n">
        <x:f>COUNTIF('02 Contract Detail'!C37:L37,"&gt;0")</x:f>
        <x:v>9</x:v>
      </x:c>
      <x:c r="N37" s="28" t="n">
        <x:f>SUM('02 Contract Detail'!C37:L37)</x:f>
        <x:v>9</x:v>
      </x:c>
      <x:c r="O37" s="29" t="n">
        <x:f>N37/20</x:f>
        <x:v>0.45</x:v>
      </x:c>
      <x:c r="P37" s="28" t="n">
        <x:f>COUNTIF('02 Contract Detail'!C37:L37,2)</x:f>
        <x:v>0</x:v>
      </x:c>
      <x:c r="Q37" s="30" t="str">
        <x:f>IF(P37=10,"YES","NO")</x:f>
        <x:v>NO</x:v>
      </x:c>
      <x:c r="R37" s="31" t="str">
        <x:v>Acuity-specific clinical configuration</x:v>
      </x:c>
      <x:c r="S37" s="31" t="str">
        <x:v>Occupied hospital-system trial with oxygen, sterile supply, waste and discharge</x:v>
      </x:c>
      <x:c r="T37" s="31" t="str">
        <x:v>BLOCKED</x:v>
      </x:c>
      <x:c r="U37" s="27" t="str">
        <x:v>Strategic movement and prepared receiving capacity</x:v>
      </x:c>
      <x:c r="V37" s="27" t="str">
        <x:v>Preserve care and human continuity</x:v>
      </x:c>
      <x:c r="W37" s="27" t="str">
        <x:v>Family is an architectural hypothesis, not a certified table of organization.</x:v>
      </x:c>
    </x:row>
    <x:row r="38" ht="45" customHeight="1">
      <x:c r="A38" s="17" t="str">
        <x:v>H-THC</x:v>
      </x:c>
      <x:c r="B38" s="17" t="str">
        <x:v>Canonical family</x:v>
      </x:c>
      <x:c r="C38" s="11" t="str">
        <x:v>Theater hospital command</x:v>
      </x:c>
      <x:c r="D38" s="11" t="str">
        <x:v>Health Protection</x:v>
      </x:c>
      <x:c r="E38" s="11" t="str">
        <x:v>Health and medical continuity</x:v>
      </x:c>
      <x:c r="F38" s="11" t="str">
        <x:v>Response group</x:v>
      </x:c>
      <x:c r="G38" s="27" t="str">
        <x:v>Regulates several acute-care groups and complete regional referral pathways.</x:v>
      </x:c>
      <x:c r="H38" s="27" t="str">
        <x:v>Not quantified</x:v>
      </x:c>
      <x:c r="I38" s="27" t="str">
        <x:v>—</x:v>
      </x:c>
      <x:c r="J38" s="27" t="str">
        <x:v>R1/R2</x:v>
      </x:c>
      <x:c r="K38" s="27" t="str">
        <x:v>—</x:v>
      </x:c>
      <x:c r="L38" s="27" t="str">
        <x:v>research/force/generation/mature-force-design.md</x:v>
      </x:c>
      <x:c r="M38" s="28" t="n">
        <x:f>COUNTIF('02 Contract Detail'!C38:L38,"&gt;0")</x:f>
        <x:v>10</x:v>
      </x:c>
      <x:c r="N38" s="28" t="n">
        <x:f>SUM('02 Contract Detail'!C38:L38)</x:f>
        <x:v>10</x:v>
      </x:c>
      <x:c r="O38" s="29" t="n">
        <x:f>N38/20</x:f>
        <x:v>0.5</x:v>
      </x:c>
      <x:c r="P38" s="28" t="n">
        <x:f>COUNTIF('02 Contract Detail'!C38:L38,2)</x:f>
        <x:v>0</x:v>
      </x:c>
      <x:c r="Q38" s="30" t="str">
        <x:f>IF(P38=10,"YES","NO")</x:f>
        <x:v>NO</x:v>
      </x:c>
      <x:c r="R38" s="31" t="str">
        <x:v>Regional patient-flow and specialty-network configuration</x:v>
      </x:c>
      <x:c r="S38" s="31" t="str">
        <x:v>Multi-hospital decompression exercise with scarce specialty allocation</x:v>
      </x:c>
      <x:c r="T38" s="31" t="str">
        <x:v>BLOCKED</x:v>
      </x:c>
      <x:c r="U38" s="27" t="str">
        <x:v>Strategic movement and prepared receiving capacity</x:v>
      </x:c>
      <x:c r="V38" s="27" t="str">
        <x:v>Preserve care and human continuity</x:v>
      </x:c>
      <x:c r="W38" s="27" t="str">
        <x:v>Family is an architectural hypothesis, not a certified table of organization.</x:v>
      </x:c>
    </x:row>
    <x:row r="39" ht="45" customHeight="1">
      <x:c r="A39" s="17" t="str">
        <x:v>H-PHC</x:v>
      </x:c>
      <x:c r="B39" s="17" t="str">
        <x:v>Canonical family</x:v>
      </x:c>
      <x:c r="C39" s="11" t="str">
        <x:v>Public-health control group</x:v>
      </x:c>
      <x:c r="D39" s="11" t="str">
        <x:v>Health Protection</x:v>
      </x:c>
      <x:c r="E39" s="11" t="str">
        <x:v>Health and medical continuity</x:v>
      </x:c>
      <x:c r="F39" s="11" t="str">
        <x:v>Response group</x:v>
      </x:c>
      <x:c r="G39" s="27" t="str">
        <x:v>Detects and controls population health and environmental risks.</x:v>
      </x:c>
      <x:c r="H39" s="27" t="str">
        <x:v>Quantified</x:v>
      </x:c>
      <x:c r="I39" s="27" t="str">
        <x:v>—</x:v>
      </x:c>
      <x:c r="J39" s="27" t="str">
        <x:v>R1/R2</x:v>
      </x:c>
      <x:c r="K39" s="27" t="str">
        <x:v>models/force/generation/joint-force-allocation-model.xlsx</x:v>
      </x:c>
      <x:c r="L39" s="27" t="str">
        <x:v>research/force/generation/mature-force-design.md</x:v>
      </x:c>
      <x:c r="M39" s="28" t="n">
        <x:f>COUNTIF('02 Contract Detail'!C39:L39,"&gt;0")</x:f>
        <x:v>9</x:v>
      </x:c>
      <x:c r="N39" s="28" t="n">
        <x:f>SUM('02 Contract Detail'!C39:L39)</x:f>
        <x:v>9</x:v>
      </x:c>
      <x:c r="O39" s="29" t="n">
        <x:f>N39/20</x:f>
        <x:v>0.45</x:v>
      </x:c>
      <x:c r="P39" s="28" t="n">
        <x:f>COUNTIF('02 Contract Detail'!C39:L39,2)</x:f>
        <x:v>0</x:v>
      </x:c>
      <x:c r="Q39" s="30" t="str">
        <x:f>IF(P39=10,"YES","NO")</x:f>
        <x:v>NO</x:v>
      </x:c>
      <x:c r="R39" s="31" t="str">
        <x:v>Surveillance-to-intervention configuration</x:v>
      </x:c>
      <x:c r="S39" s="31" t="str">
        <x:v>Field laboratory, environmental health and intervention-latency trial</x:v>
      </x:c>
      <x:c r="T39" s="31" t="str">
        <x:v>BLOCKED</x:v>
      </x:c>
      <x:c r="U39" s="27" t="str">
        <x:v>Strategic movement and prepared receiving capacity</x:v>
      </x:c>
      <x:c r="V39" s="27" t="str">
        <x:v>Preserve care and human continuity</x:v>
      </x:c>
      <x:c r="W39" s="27" t="str">
        <x:v>Family is an architectural hypothesis, not a certified table of organization.</x:v>
      </x:c>
    </x:row>
    <x:row r="40" ht="45" customHeight="1">
      <x:c r="A40" s="17" t="str">
        <x:v>H-PMG</x:v>
      </x:c>
      <x:c r="B40" s="17" t="str">
        <x:v>Canonical family</x:v>
      </x:c>
      <x:c r="C40" s="11" t="str">
        <x:v>Patient movement group</x:v>
      </x:c>
      <x:c r="D40" s="11" t="str">
        <x:v>Health Protection</x:v>
      </x:c>
      <x:c r="E40" s="11" t="str">
        <x:v>Health and medical continuity</x:v>
      </x:c>
      <x:c r="F40" s="11" t="str">
        <x:v>Response group</x:v>
      </x:c>
      <x:c r="G40" s="27" t="str">
        <x:v>Regulates and moves patients through accessible ground, air and maritime networks.</x:v>
      </x:c>
      <x:c r="H40" s="27" t="str">
        <x:v>Not quantified</x:v>
      </x:c>
      <x:c r="I40" s="27" t="str">
        <x:v>—</x:v>
      </x:c>
      <x:c r="J40" s="27" t="str">
        <x:v>R1/R2</x:v>
      </x:c>
      <x:c r="K40" s="27" t="str">
        <x:v>—</x:v>
      </x:c>
      <x:c r="L40" s="27" t="str">
        <x:v>research/force/mobility/national-civil-mobility-and-continuity-force.md</x:v>
      </x:c>
      <x:c r="M40" s="28" t="n">
        <x:f>COUNTIF('02 Contract Detail'!C40:L40,"&gt;0")</x:f>
        <x:v>10</x:v>
      </x:c>
      <x:c r="N40" s="28" t="n">
        <x:f>SUM('02 Contract Detail'!C40:L40)</x:f>
        <x:v>10</x:v>
      </x:c>
      <x:c r="O40" s="29" t="n">
        <x:f>N40/20</x:f>
        <x:v>0.5</x:v>
      </x:c>
      <x:c r="P40" s="28" t="n">
        <x:f>COUNTIF('02 Contract Detail'!C40:L40,2)</x:f>
        <x:v>0</x:v>
      </x:c>
      <x:c r="Q40" s="30" t="str">
        <x:f>IF(P40=10,"YES","NO")</x:f>
        <x:v>NO</x:v>
      </x:c>
      <x:c r="R40" s="31" t="str">
        <x:v>Cross-modal patient custody and receiver evidence</x:v>
      </x:c>
      <x:c r="S40" s="31" t="str">
        <x:v>End-to-end patient movement trial from damaged origin to definitive care</x:v>
      </x:c>
      <x:c r="T40" s="31" t="str">
        <x:v>BLOCKED</x:v>
      </x:c>
      <x:c r="U40" s="27" t="str">
        <x:v>Strategic movement and prepared receiving capacity</x:v>
      </x:c>
      <x:c r="V40" s="27" t="str">
        <x:v>Preserve care and human continuity</x:v>
      </x:c>
      <x:c r="W40" s="27" t="str">
        <x:v>Family is an architectural hypothesis, not a certified table of organization.</x:v>
      </x:c>
    </x:row>
    <x:row r="41" ht="45" customHeight="1">
      <x:c r="A41" s="17" t="str">
        <x:v>H-HWR</x:v>
      </x:c>
      <x:c r="B41" s="17" t="str">
        <x:v>Canonical family</x:v>
      </x:c>
      <x:c r="C41" s="11" t="str">
        <x:v>Health workforce replacement group</x:v>
      </x:c>
      <x:c r="D41" s="11" t="str">
        <x:v>Health Protection</x:v>
      </x:c>
      <x:c r="E41" s="11" t="str">
        <x:v>Health and medical continuity</x:v>
      </x:c>
      <x:c r="F41" s="11" t="str">
        <x:v>Response group</x:v>
      </x:c>
      <x:c r="G41" s="27" t="str">
        <x:v>Supplies credentialed shifts without hollowing unaffected systems.</x:v>
      </x:c>
      <x:c r="H41" s="27" t="str">
        <x:v>Quantified</x:v>
      </x:c>
      <x:c r="I41" s="27" t="str">
        <x:v>—</x:v>
      </x:c>
      <x:c r="J41" s="27" t="str">
        <x:v>R1/R2</x:v>
      </x:c>
      <x:c r="K41" s="27" t="str">
        <x:v>models/force/generation/joint-force-allocation-model.xlsx</x:v>
      </x:c>
      <x:c r="L41" s="27" t="str">
        <x:v>research/force/generation/mature-force-design.md</x:v>
      </x:c>
      <x:c r="M41" s="28" t="n">
        <x:f>COUNTIF('02 Contract Detail'!C41:L41,"&gt;0")</x:f>
        <x:v>9</x:v>
      </x:c>
      <x:c r="N41" s="28" t="n">
        <x:f>SUM('02 Contract Detail'!C41:L41)</x:f>
        <x:v>9</x:v>
      </x:c>
      <x:c r="O41" s="29" t="n">
        <x:f>N41/20</x:f>
        <x:v>0.45</x:v>
      </x:c>
      <x:c r="P41" s="28" t="n">
        <x:f>COUNTIF('02 Contract Detail'!C41:L41,2)</x:f>
        <x:v>0</x:v>
      </x:c>
      <x:c r="Q41" s="30" t="str">
        <x:f>IF(P41=10,"YES","NO")</x:f>
        <x:v>NO</x:v>
      </x:c>
      <x:c r="R41" s="31" t="str">
        <x:v>Occupation supply and mobilization proof</x:v>
      </x:c>
      <x:c r="S41" s="31" t="str">
        <x:v>Credential, employer-release, fatigue and multi-region replacement trial</x:v>
      </x:c>
      <x:c r="T41" s="31" t="str">
        <x:v>BLOCKED</x:v>
      </x:c>
      <x:c r="U41" s="27" t="str">
        <x:v>Strategic movement and prepared receiving capacity</x:v>
      </x:c>
      <x:c r="V41" s="27" t="str">
        <x:v>Preserve care and human continuity</x:v>
      </x:c>
      <x:c r="W41" s="27" t="str">
        <x:v>Family is an architectural hypothesis, not a certified table of organization.</x:v>
      </x:c>
    </x:row>
    <x:row r="42" ht="45" customHeight="1">
      <x:c r="A42" s="17" t="str">
        <x:v>C-PSG</x:v>
      </x:c>
      <x:c r="B42" s="17" t="str">
        <x:v>Canonical family</x:v>
      </x:c>
      <x:c r="C42" s="11" t="str">
        <x:v>Population support group</x:v>
      </x:c>
      <x:c r="D42" s="11" t="str">
        <x:v>Community Stabilization</x:v>
      </x:c>
      <x:c r="E42" s="11" t="str">
        <x:v>Food, shelter and essential-goods continuity</x:v>
      </x:c>
      <x:c r="F42" s="11" t="str">
        <x:v>Response group</x:v>
      </x:c>
      <x:c r="G42" s="27" t="str">
        <x:v>Provides accessible shelter, feeding, sanitation, safeguarding and durable exit.</x:v>
      </x:c>
      <x:c r="H42" s="27" t="str">
        <x:v>Quantified</x:v>
      </x:c>
      <x:c r="I42" s="27" t="str">
        <x:v>—</x:v>
      </x:c>
      <x:c r="J42" s="27" t="str">
        <x:v>R2+</x:v>
      </x:c>
      <x:c r="K42" s="27" t="str">
        <x:v>models/force/generation/joint-force-allocation-model.xlsx</x:v>
      </x:c>
      <x:c r="L42" s="27" t="str">
        <x:v>research/systems/population-continuity/configuration-model.md</x:v>
      </x:c>
      <x:c r="M42" s="28" t="n">
        <x:f>COUNTIF('02 Contract Detail'!C42:L42,"&gt;0")</x:f>
        <x:v>10</x:v>
      </x:c>
      <x:c r="N42" s="28" t="n">
        <x:f>SUM('02 Contract Detail'!C42:L42)</x:f>
        <x:v>16</x:v>
      </x:c>
      <x:c r="O42" s="29" t="n">
        <x:f>N42/20</x:f>
        <x:v>0.8</x:v>
      </x:c>
      <x:c r="P42" s="28" t="n">
        <x:f>COUNTIF('02 Contract Detail'!C42:L42,2)</x:f>
        <x:v>6</x:v>
      </x:c>
      <x:c r="Q42" s="30" t="str">
        <x:f>IF(P42=10,"YES","NO")</x:f>
        <x:v>NO</x:v>
      </x:c>
      <x:c r="R42" s="31" t="str">
        <x:v>Occupied district and multi-week service evidence</x:v>
      </x:c>
      <x:c r="S42" s="31" t="str">
        <x:v>PCC-D1 occupied environmental, workforce, nutrition and transfer trials</x:v>
      </x:c>
      <x:c r="T42" s="31" t="str">
        <x:v>BLOCKED</x:v>
      </x:c>
      <x:c r="U42" s="27" t="str">
        <x:v>Strategic movement and prepared receiving capacity</x:v>
      </x:c>
      <x:c r="V42" s="27" t="str">
        <x:v>Preserve care and human continuity</x:v>
      </x:c>
      <x:c r="W42" s="27" t="str">
        <x:v>Family is an architectural hypothesis, not a certified table of organization.</x:v>
      </x:c>
    </x:row>
    <x:row r="43" ht="45" customHeight="1">
      <x:c r="A43" s="17" t="str">
        <x:v>C-EGG</x:v>
      </x:c>
      <x:c r="B43" s="17" t="str">
        <x:v>Canonical family</x:v>
      </x:c>
      <x:c r="C43" s="11" t="str">
        <x:v>Essential-goods group</x:v>
      </x:c>
      <x:c r="D43" s="11" t="str">
        <x:v>Community Stabilization</x:v>
      </x:c>
      <x:c r="E43" s="11" t="str">
        <x:v>Food, shelter and essential-goods continuity</x:v>
      </x:c>
      <x:c r="F43" s="11" t="str">
        <x:v>Response group</x:v>
      </x:c>
      <x:c r="G43" s="27" t="str">
        <x:v>Delivers a defined household basket through cold-chain and reverse logistics.</x:v>
      </x:c>
      <x:c r="H43" s="27" t="str">
        <x:v>Quantified</x:v>
      </x:c>
      <x:c r="I43" s="27" t="str">
        <x:v>—</x:v>
      </x:c>
      <x:c r="J43" s="27" t="str">
        <x:v>R1/R2</x:v>
      </x:c>
      <x:c r="K43" s="27" t="str">
        <x:v>models/force/generation/joint-force-allocation-model.xlsx</x:v>
      </x:c>
      <x:c r="L43" s="27" t="str">
        <x:v>research/force/generation/mature-force-design.md</x:v>
      </x:c>
      <x:c r="M43" s="28" t="n">
        <x:f>COUNTIF('02 Contract Detail'!C43:L43,"&gt;0")</x:f>
        <x:v>9</x:v>
      </x:c>
      <x:c r="N43" s="28" t="n">
        <x:f>SUM('02 Contract Detail'!C43:L43)</x:f>
        <x:v>9</x:v>
      </x:c>
      <x:c r="O43" s="29" t="n">
        <x:f>N43/20</x:f>
        <x:v>0.45</x:v>
      </x:c>
      <x:c r="P43" s="28" t="n">
        <x:f>COUNTIF('02 Contract Detail'!C43:L43,2)</x:f>
        <x:v>0</x:v>
      </x:c>
      <x:c r="Q43" s="30" t="str">
        <x:f>IF(P43=10,"YES","NO")</x:f>
        <x:v>NO</x:v>
      </x:c>
      <x:c r="R43" s="31" t="str">
        <x:v>Household basket, distribution and return-flow configuration</x:v>
      </x:c>
      <x:c r="S43" s="31" t="str">
        <x:v>Seven-day multi-node household delivery trial with inaccessible cohorts</x:v>
      </x:c>
      <x:c r="T43" s="31" t="str">
        <x:v>BLOCKED</x:v>
      </x:c>
      <x:c r="U43" s="27" t="str">
        <x:v>Strategic movement and prepared receiving capacity</x:v>
      </x:c>
      <x:c r="V43" s="27" t="str">
        <x:v>Preserve care and human continuity</x:v>
      </x:c>
      <x:c r="W43" s="27" t="str">
        <x:v>Family is an architectural hypothesis, not a certified table of organization.</x:v>
      </x:c>
    </x:row>
    <x:row r="44" ht="45" customHeight="1">
      <x:c r="A44" s="17" t="str">
        <x:v>C-CAG</x:v>
      </x:c>
      <x:c r="B44" s="17" t="str">
        <x:v>Canonical family</x:v>
      </x:c>
      <x:c r="C44" s="11" t="str">
        <x:v>Civil access group</x:v>
      </x:c>
      <x:c r="D44" s="11" t="str">
        <x:v>Community Stabilization</x:v>
      </x:c>
      <x:c r="E44" s="11" t="str">
        <x:v>Civil coordination, safety and public information</x:v>
      </x:c>
      <x:c r="F44" s="11" t="str">
        <x:v>Response group</x:v>
      </x:c>
      <x:c r="G44" s="27" t="str">
        <x:v>Makes warnings, identity, benefits and public service usable and accessible.</x:v>
      </x:c>
      <x:c r="H44" s="27" t="str">
        <x:v>Quantified</x:v>
      </x:c>
      <x:c r="I44" s="27" t="str">
        <x:v>—</x:v>
      </x:c>
      <x:c r="J44" s="27" t="str">
        <x:v>R1/R2</x:v>
      </x:c>
      <x:c r="K44" s="27" t="str">
        <x:v>models/force/generation/joint-force-allocation-model.xlsx</x:v>
      </x:c>
      <x:c r="L44" s="27" t="str">
        <x:v>research/force/generation/mature-force-design.md</x:v>
      </x:c>
      <x:c r="M44" s="28" t="n">
        <x:f>COUNTIF('02 Contract Detail'!C44:L44,"&gt;0")</x:f>
        <x:v>9</x:v>
      </x:c>
      <x:c r="N44" s="28" t="n">
        <x:f>SUM('02 Contract Detail'!C44:L44)</x:f>
        <x:v>9</x:v>
      </x:c>
      <x:c r="O44" s="29" t="n">
        <x:f>N44/20</x:f>
        <x:v>0.45</x:v>
      </x:c>
      <x:c r="P44" s="28" t="n">
        <x:f>COUNTIF('02 Contract Detail'!C44:L44,2)</x:f>
        <x:v>0</x:v>
      </x:c>
      <x:c r="Q44" s="30" t="str">
        <x:f>IF(P44=10,"YES","NO")</x:f>
        <x:v>NO</x:v>
      </x:c>
      <x:c r="R44" s="31" t="str">
        <x:v>Disconnected public-service interface</x:v>
      </x:c>
      <x:c r="S44" s="31" t="str">
        <x:v>Rights-audited multilingual identity and benefits continuity trial</x:v>
      </x:c>
      <x:c r="T44" s="31" t="str">
        <x:v>BLOCKED</x:v>
      </x:c>
      <x:c r="U44" s="27" t="str">
        <x:v>Strategic movement and prepared receiving capacity</x:v>
      </x:c>
      <x:c r="V44" s="27" t="str">
        <x:v>Reach occupied civil terrain</x:v>
      </x:c>
      <x:c r="W44" s="27" t="str">
        <x:v>Family is an architectural hypothesis, not a certified table of organization.</x:v>
      </x:c>
    </x:row>
    <x:row r="45" ht="45" customHeight="1">
      <x:c r="A45" s="17" t="str">
        <x:v>C-DTG</x:v>
      </x:c>
      <x:c r="B45" s="17" t="str">
        <x:v>Canonical family</x:v>
      </x:c>
      <x:c r="C45" s="11" t="str">
        <x:v>Displacement transition group</x:v>
      </x:c>
      <x:c r="D45" s="11" t="str">
        <x:v>Community Stabilization</x:v>
      </x:c>
      <x:c r="E45" s="11" t="str">
        <x:v>Food, shelter and essential-goods continuity</x:v>
      </x:c>
      <x:c r="F45" s="11" t="str">
        <x:v>Response group</x:v>
      </x:c>
      <x:c r="G45" s="27" t="str">
        <x:v>Moves households from emergency support to lawful durable continuity.</x:v>
      </x:c>
      <x:c r="H45" s="27" t="str">
        <x:v>Quantified</x:v>
      </x:c>
      <x:c r="I45" s="27" t="str">
        <x:v>—</x:v>
      </x:c>
      <x:c r="J45" s="27" t="str">
        <x:v>R1/R2</x:v>
      </x:c>
      <x:c r="K45" s="27" t="str">
        <x:v>models/force/generation/joint-force-allocation-model.xlsx</x:v>
      </x:c>
      <x:c r="L45" s="27" t="str">
        <x:v>research/force/generation/mature-force-design.md</x:v>
      </x:c>
      <x:c r="M45" s="28" t="n">
        <x:f>COUNTIF('02 Contract Detail'!C45:L45,"&gt;0")</x:f>
        <x:v>9</x:v>
      </x:c>
      <x:c r="N45" s="28" t="n">
        <x:f>SUM('02 Contract Detail'!C45:L45)</x:f>
        <x:v>9</x:v>
      </x:c>
      <x:c r="O45" s="29" t="n">
        <x:f>N45/20</x:f>
        <x:v>0.45</x:v>
      </x:c>
      <x:c r="P45" s="28" t="n">
        <x:f>COUNTIF('02 Contract Detail'!C45:L45,2)</x:f>
        <x:v>0</x:v>
      </x:c>
      <x:c r="Q45" s="30" t="str">
        <x:f>IF(P45=10,"YES","NO")</x:f>
        <x:v>NO</x:v>
      </x:c>
      <x:c r="R45" s="31" t="str">
        <x:v>Housing pathway and return evidence</x:v>
      </x:c>
      <x:c r="S45" s="31" t="str">
        <x:v>Longitudinal shelter-exit, school, transport and benefit-continuity trial</x:v>
      </x:c>
      <x:c r="T45" s="31" t="str">
        <x:v>BLOCKED</x:v>
      </x:c>
      <x:c r="U45" s="27" t="str">
        <x:v>Strategic movement and prepared receiving capacity</x:v>
      </x:c>
      <x:c r="V45" s="27" t="str">
        <x:v>Preserve care and human continuity</x:v>
      </x:c>
      <x:c r="W45" s="27" t="str">
        <x:v>Family is an architectural hypothesis, not a certified table of organization.</x:v>
      </x:c>
    </x:row>
    <x:row r="46" ht="45" customHeight="1">
      <x:c r="A46" s="17" t="str">
        <x:v>C-CIG</x:v>
      </x:c>
      <x:c r="B46" s="17" t="str">
        <x:v>Canonical family</x:v>
      </x:c>
      <x:c r="C46" s="11" t="str">
        <x:v>Community institutions group</x:v>
      </x:c>
      <x:c r="D46" s="11" t="str">
        <x:v>Community Stabilization</x:v>
      </x:c>
      <x:c r="E46" s="11" t="str">
        <x:v>Housing, public works and economic continuity</x:v>
      </x:c>
      <x:c r="F46" s="11" t="str">
        <x:v>Response group</x:v>
      </x:c>
      <x:c r="G46" s="27" t="str">
        <x:v>Restores locally governed schools, clinics, courts, administration and commerce.</x:v>
      </x:c>
      <x:c r="H46" s="27" t="str">
        <x:v>Quantified</x:v>
      </x:c>
      <x:c r="I46" s="27" t="str">
        <x:v>—</x:v>
      </x:c>
      <x:c r="J46" s="27" t="str">
        <x:v>R1/R2</x:v>
      </x:c>
      <x:c r="K46" s="27" t="str">
        <x:v>models/force/generation/joint-force-allocation-model.xlsx</x:v>
      </x:c>
      <x:c r="L46" s="27" t="str">
        <x:v>research/force/generation/mature-force-design.md</x:v>
      </x:c>
      <x:c r="M46" s="28" t="n">
        <x:f>COUNTIF('02 Contract Detail'!C46:L46,"&gt;0")</x:f>
        <x:v>9</x:v>
      </x:c>
      <x:c r="N46" s="28" t="n">
        <x:f>SUM('02 Contract Detail'!C46:L46)</x:f>
        <x:v>9</x:v>
      </x:c>
      <x:c r="O46" s="29" t="n">
        <x:f>N46/20</x:f>
        <x:v>0.45</x:v>
      </x:c>
      <x:c r="P46" s="28" t="n">
        <x:f>COUNTIF('02 Contract Detail'!C46:L46,2)</x:f>
        <x:v>0</x:v>
      </x:c>
      <x:c r="Q46" s="30" t="str">
        <x:f>IF(P46=10,"YES","NO")</x:f>
        <x:v>NO</x:v>
      </x:c>
      <x:c r="R46" s="31" t="str">
        <x:v>Institution-continuity package and transfer</x:v>
      </x:c>
      <x:c r="S46" s="31" t="str">
        <x:v>Multi-institution continuity-site and local-acceptance exercise</x:v>
      </x:c>
      <x:c r="T46" s="31" t="str">
        <x:v>BLOCKED</x:v>
      </x:c>
      <x:c r="U46" s="27" t="str">
        <x:v>Strategic movement and prepared receiving capacity</x:v>
      </x:c>
      <x:c r="V46" s="27" t="str">
        <x:v>Sustain, transfer and regenerate</x:v>
      </x:c>
      <x:c r="W46" s="27" t="str">
        <x:v>Family is an architectural hypothesis, not a certified table of organization.</x:v>
      </x:c>
    </x:row>
    <x:row r="47" ht="45" customHeight="1">
      <x:c r="A47" s="17" t="str">
        <x:v>C-ERG</x:v>
      </x:c>
      <x:c r="B47" s="17" t="str">
        <x:v>Canonical family</x:v>
      </x:c>
      <x:c r="C47" s="11" t="str">
        <x:v>Economic restart group</x:v>
      </x:c>
      <x:c r="D47" s="11" t="str">
        <x:v>Community Stabilization</x:v>
      </x:c>
      <x:c r="E47" s="11" t="str">
        <x:v>Housing, public works and economic continuity</x:v>
      </x:c>
      <x:c r="F47" s="11" t="str">
        <x:v>Response group</x:v>
      </x:c>
      <x:c r="G47" s="27" t="str">
        <x:v>Restores local market, payment, contractor and supply-channel operation.</x:v>
      </x:c>
      <x:c r="H47" s="27" t="str">
        <x:v>Not quantified</x:v>
      </x:c>
      <x:c r="I47" s="27" t="str">
        <x:v>—</x:v>
      </x:c>
      <x:c r="J47" s="27" t="str">
        <x:v>R1</x:v>
      </x:c>
      <x:c r="K47" s="27" t="str">
        <x:v>—</x:v>
      </x:c>
      <x:c r="L47" s="27" t="str">
        <x:v>research/force/generation/mature-force-design.md</x:v>
      </x:c>
      <x:c r="M47" s="28" t="n">
        <x:f>COUNTIF('02 Contract Detail'!C47:L47,"&gt;0")</x:f>
        <x:v>7</x:v>
      </x:c>
      <x:c r="N47" s="28" t="n">
        <x:f>SUM('02 Contract Detail'!C47:L47)</x:f>
        <x:v>7</x:v>
      </x:c>
      <x:c r="O47" s="29" t="n">
        <x:f>N47/20</x:f>
        <x:v>0.35</x:v>
      </x:c>
      <x:c r="P47" s="28" t="n">
        <x:f>COUNTIF('02 Contract Detail'!C47:L47,2)</x:f>
        <x:v>0</x:v>
      </x:c>
      <x:c r="Q47" s="30" t="str">
        <x:f>IF(P47=10,"YES","NO")</x:f>
        <x:v>NO</x:v>
      </x:c>
      <x:c r="R47" s="31" t="str">
        <x:v>Measurable market-restart service contract</x:v>
      </x:c>
      <x:c r="S47" s="31" t="str">
        <x:v>District business-network, payment and logistics restoration trial</x:v>
      </x:c>
      <x:c r="T47" s="31" t="str">
        <x:v>BLOCKED</x:v>
      </x:c>
      <x:c r="U47" s="27" t="str">
        <x:v>Strategic movement and prepared receiving capacity</x:v>
      </x:c>
      <x:c r="V47" s="27" t="str">
        <x:v>Sustain, transfer and regenerate</x:v>
      </x:c>
      <x:c r="W47" s="27" t="str">
        <x:v>Family is an architectural hypothesis, not a certified table of organization.</x:v>
      </x:c>
    </x:row>
    <x:row r="48" ht="45" customHeight="1">
      <x:c r="A48" s="17" t="str">
        <x:v>CM-HCG</x:v>
      </x:c>
      <x:c r="B48" s="17" t="str">
        <x:v>Canonical family</x:v>
      </x:c>
      <x:c r="C48" s="11" t="str">
        <x:v>Household collection group</x:v>
      </x:c>
      <x:c r="D48" s="11" t="str">
        <x:v>Civil Mobility and Continuity</x:v>
      </x:c>
      <x:c r="E48" s="11" t="str">
        <x:v>Mobility, access and distribution</x:v>
      </x:c>
      <x:c r="F48" s="11" t="str">
        <x:v>Response group</x:v>
      </x:c>
      <x:c r="G48" s="27" t="str">
        <x:v>Reaches true household origins and completes accessible pickup without breaking care or custody.</x:v>
      </x:c>
      <x:c r="H48" s="27" t="str">
        <x:v>Not quantified</x:v>
      </x:c>
      <x:c r="I48" s="27" t="str">
        <x:v>—</x:v>
      </x:c>
      <x:c r="J48" s="27" t="str">
        <x:v>R2+</x:v>
      </x:c>
      <x:c r="K48" s="27" t="str">
        <x:v>—</x:v>
      </x:c>
      <x:c r="L48" s="27" t="str">
        <x:v>research/force/mobility/neighborhood-continuity-and-access-cell.md</x:v>
      </x:c>
      <x:c r="M48" s="28" t="n">
        <x:f>COUNTIF('02 Contract Detail'!C48:L48,"&gt;0")</x:f>
        <x:v>10</x:v>
      </x:c>
      <x:c r="N48" s="28" t="n">
        <x:f>SUM('02 Contract Detail'!C48:L48)</x:f>
        <x:v>16</x:v>
      </x:c>
      <x:c r="O48" s="29" t="n">
        <x:f>N48/20</x:f>
        <x:v>0.8</x:v>
      </x:c>
      <x:c r="P48" s="28" t="n">
        <x:f>COUNTIF('02 Contract Detail'!C48:L48,2)</x:f>
        <x:v>6</x:v>
      </x:c>
      <x:c r="Q48" s="30" t="str">
        <x:f>IF(P48=10,"YES","NO")</x:f>
        <x:v>NO</x:v>
      </x:c>
      <x:c r="R48" s="31" t="str">
        <x:v>Disconnected household contact and building release</x:v>
      </x:c>
      <x:c r="S48" s="31" t="str">
        <x:v>NCAC-35 168-hour preregistered metropolitan replication</x:v>
      </x:c>
      <x:c r="T48" s="31" t="str">
        <x:v>BLOCKED</x:v>
      </x:c>
      <x:c r="U48" s="27" t="str">
        <x:v>Building access, protected local service, receiver and civil records</x:v>
      </x:c>
      <x:c r="V48" s="27" t="str">
        <x:v>Reach occupied civil terrain</x:v>
      </x:c>
      <x:c r="W48" s="27" t="str">
        <x:v>Family is an architectural hypothesis, not a certified table of organization.</x:v>
      </x:c>
    </x:row>
    <x:row r="49" ht="45" customHeight="1">
      <x:c r="A49" s="17" t="str">
        <x:v>CM-CTN</x:v>
      </x:c>
      <x:c r="B49" s="17" t="str">
        <x:v>Canonical family</x:v>
      </x:c>
      <x:c r="C49" s="11" t="str">
        <x:v>Continuity transfer-node group</x:v>
      </x:c>
      <x:c r="D49" s="11" t="str">
        <x:v>Civil Mobility and Continuity</x:v>
      </x:c>
      <x:c r="E49" s="11" t="str">
        <x:v>Mobility, access and distribution</x:v>
      </x:c>
      <x:c r="F49" s="11" t="str">
        <x:v>Response group</x:v>
      </x:c>
      <x:c r="G49" s="27" t="str">
        <x:v>Receives, regulates, protects and releases people across transport modes.</x:v>
      </x:c>
      <x:c r="H49" s="27" t="str">
        <x:v>Not quantified</x:v>
      </x:c>
      <x:c r="I49" s="27" t="str">
        <x:v>—</x:v>
      </x:c>
      <x:c r="J49" s="27" t="str">
        <x:v>R2+</x:v>
      </x:c>
      <x:c r="K49" s="27" t="str">
        <x:v>—</x:v>
      </x:c>
      <x:c r="L49" s="27" t="str">
        <x:v>research/force/mobility/national-civil-mobility-and-continuity-force.md</x:v>
      </x:c>
      <x:c r="M49" s="28" t="n">
        <x:f>COUNTIF('02 Contract Detail'!C49:L49,"&gt;0")</x:f>
        <x:v>10</x:v>
      </x:c>
      <x:c r="N49" s="28" t="n">
        <x:f>SUM('02 Contract Detail'!C49:L49)</x:f>
        <x:v>16</x:v>
      </x:c>
      <x:c r="O49" s="29" t="n">
        <x:f>N49/20</x:f>
        <x:v>0.8</x:v>
      </x:c>
      <x:c r="P49" s="28" t="n">
        <x:f>COUNTIF('02 Contract Detail'!C49:L49,2)</x:f>
        <x:v>6</x:v>
      </x:c>
      <x:c r="Q49" s="30" t="str">
        <x:f>IF(P49=10,"YES","NO")</x:f>
        <x:v>NO</x:v>
      </x:c>
      <x:c r="R49" s="31" t="str">
        <x:v>Prepared/mobile/expeditionary split and queue evidence</x:v>
      </x:c>
      <x:c r="S49" s="31" t="str">
        <x:v>CTN-10 seven-day occupied queue, utility, custody and release trial</x:v>
      </x:c>
      <x:c r="T49" s="31" t="str">
        <x:v>BLOCKED</x:v>
      </x:c>
      <x:c r="U49" s="27" t="str">
        <x:v>Strategic movement and prepared receiving capacity</x:v>
      </x:c>
      <x:c r="V49" s="27" t="str">
        <x:v>Preserve care and human continuity</x:v>
      </x:c>
      <x:c r="W49" s="27" t="str">
        <x:v>Family is an architectural hypothesis, not a certified table of organization.</x:v>
      </x:c>
    </x:row>
    <x:row r="50" ht="45" customHeight="1">
      <x:c r="A50" s="17" t="str">
        <x:v>CM-RMG</x:v>
      </x:c>
      <x:c r="B50" s="17" t="str">
        <x:v>Canonical family</x:v>
      </x:c>
      <x:c r="C50" s="11" t="str">
        <x:v>Civil road-mobility group</x:v>
      </x:c>
      <x:c r="D50" s="11" t="str">
        <x:v>Civil Mobility and Continuity</x:v>
      </x:c>
      <x:c r="E50" s="11" t="str">
        <x:v>Mobility, access and distribution</x:v>
      </x:c>
      <x:c r="F50" s="11" t="str">
        <x:v>Response group</x:v>
      </x:c>
      <x:c r="G50" s="27" t="str">
        <x:v>Completes accessible road journeys to verified receivers.</x:v>
      </x:c>
      <x:c r="H50" s="27" t="str">
        <x:v>Not quantified</x:v>
      </x:c>
      <x:c r="I50" s="27" t="str">
        <x:v>—</x:v>
      </x:c>
      <x:c r="J50" s="27" t="str">
        <x:v>R1/R2</x:v>
      </x:c>
      <x:c r="K50" s="27" t="str">
        <x:v>—</x:v>
      </x:c>
      <x:c r="L50" s="27" t="str">
        <x:v>research/force/mobility/national-civil-mobility-and-continuity-force.md</x:v>
      </x:c>
      <x:c r="M50" s="28" t="n">
        <x:f>COUNTIF('02 Contract Detail'!C50:L50,"&gt;0")</x:f>
        <x:v>10</x:v>
      </x:c>
      <x:c r="N50" s="28" t="n">
        <x:f>SUM('02 Contract Detail'!C50:L50)</x:f>
        <x:v>10</x:v>
      </x:c>
      <x:c r="O50" s="29" t="n">
        <x:f>N50/20</x:f>
        <x:v>0.5</x:v>
      </x:c>
      <x:c r="P50" s="28" t="n">
        <x:f>COUNTIF('02 Contract Detail'!C50:L50,2)</x:f>
        <x:v>0</x:v>
      </x:c>
      <x:c r="Q50" s="30" t="str">
        <x:f>IF(P50=10,"YES","NO")</x:f>
        <x:v>NO</x:v>
      </x:c>
      <x:c r="R50" s="31" t="str">
        <x:v>Purpose-built fleet and origin-to-admission evidence</x:v>
      </x:c>
      <x:c r="S50" s="31" t="str">
        <x:v>Road fleet, staging, accessibility and receiver admission trial</x:v>
      </x:c>
      <x:c r="T50" s="31" t="str">
        <x:v>BLOCKED</x:v>
      </x:c>
      <x:c r="U50" s="27" t="str">
        <x:v>Strategic movement and prepared receiving capacity</x:v>
      </x:c>
      <x:c r="V50" s="27" t="str">
        <x:v>Preserve care and human continuity</x:v>
      </x:c>
      <x:c r="W50" s="27" t="str">
        <x:v>Family is an architectural hypothesis, not a certified table of organization.</x:v>
      </x:c>
    </x:row>
    <x:row r="51" ht="45" customHeight="1">
      <x:c r="A51" s="17" t="str">
        <x:v>CM-RLG</x:v>
      </x:c>
      <x:c r="B51" s="17" t="str">
        <x:v>Canonical family</x:v>
      </x:c>
      <x:c r="C51" s="11" t="str">
        <x:v>Civil rail-mobility group</x:v>
      </x:c>
      <x:c r="D51" s="11" t="str">
        <x:v>Civil Mobility and Continuity</x:v>
      </x:c>
      <x:c r="E51" s="11" t="str">
        <x:v>Mobility, access and distribution</x:v>
      </x:c>
      <x:c r="F51" s="11" t="str">
        <x:v>Response group</x:v>
      </x:c>
      <x:c r="G51" s="27" t="str">
        <x:v>Completes accessible rail journeys with onboard continuity and destination admission.</x:v>
      </x:c>
      <x:c r="H51" s="27" t="str">
        <x:v>Not quantified</x:v>
      </x:c>
      <x:c r="I51" s="27" t="str">
        <x:v>—</x:v>
      </x:c>
      <x:c r="J51" s="27" t="str">
        <x:v>R1/R2</x:v>
      </x:c>
      <x:c r="K51" s="27" t="str">
        <x:v>—</x:v>
      </x:c>
      <x:c r="L51" s="27" t="str">
        <x:v>research/force/mobility/national-civil-mobility-and-continuity-force.md</x:v>
      </x:c>
      <x:c r="M51" s="28" t="n">
        <x:f>COUNTIF('02 Contract Detail'!C51:L51,"&gt;0")</x:f>
        <x:v>10</x:v>
      </x:c>
      <x:c r="N51" s="28" t="n">
        <x:f>SUM('02 Contract Detail'!C51:L51)</x:f>
        <x:v>10</x:v>
      </x:c>
      <x:c r="O51" s="29" t="n">
        <x:f>N51/20</x:f>
        <x:v>0.5</x:v>
      </x:c>
      <x:c r="P51" s="28" t="n">
        <x:f>COUNTIF('02 Contract Detail'!C51:L51,2)</x:f>
        <x:v>0</x:v>
      </x:c>
      <x:c r="Q51" s="30" t="str">
        <x:f>IF(P51=10,"YES","NO")</x:f>
        <x:v>NO</x:v>
      </x:c>
      <x:c r="R51" s="31" t="str">
        <x:v>Trainset, station and destination configuration</x:v>
      </x:c>
      <x:c r="S51" s="31" t="str">
        <x:v>Accessible rail loading, onboard care, receiver and return-cycle trial</x:v>
      </x:c>
      <x:c r="T51" s="31" t="str">
        <x:v>BLOCKED</x:v>
      </x:c>
      <x:c r="U51" s="27" t="str">
        <x:v>Strategic movement and prepared receiving capacity</x:v>
      </x:c>
      <x:c r="V51" s="27" t="str">
        <x:v>Preserve care and human continuity</x:v>
      </x:c>
      <x:c r="W51" s="27" t="str">
        <x:v>Family is an architectural hypothesis, not a certified table of organization.</x:v>
      </x:c>
    </x:row>
    <x:row r="52" ht="45" customHeight="1">
      <x:c r="A52" s="17" t="str">
        <x:v>CM-AMG</x:v>
      </x:c>
      <x:c r="B52" s="17" t="str">
        <x:v>Canonical family</x:v>
      </x:c>
      <x:c r="C52" s="11" t="str">
        <x:v>Civil air-mobility group</x:v>
      </x:c>
      <x:c r="D52" s="11" t="str">
        <x:v>Civil Mobility and Continuity</x:v>
      </x:c>
      <x:c r="E52" s="11" t="str">
        <x:v>Mobility, access and distribution</x:v>
      </x:c>
      <x:c r="F52" s="11" t="str">
        <x:v>Response group</x:v>
      </x:c>
      <x:c r="G52" s="27" t="str">
        <x:v>Completes austere accessible air journeys with clinical and device continuity.</x:v>
      </x:c>
      <x:c r="H52" s="27" t="str">
        <x:v>Not quantified</x:v>
      </x:c>
      <x:c r="I52" s="27" t="str">
        <x:v>—</x:v>
      </x:c>
      <x:c r="J52" s="27" t="str">
        <x:v>R1/R2</x:v>
      </x:c>
      <x:c r="K52" s="27" t="str">
        <x:v>—</x:v>
      </x:c>
      <x:c r="L52" s="27" t="str">
        <x:v>research/force/mobility/national-civil-mobility-and-continuity-force.md</x:v>
      </x:c>
      <x:c r="M52" s="28" t="n">
        <x:f>COUNTIF('02 Contract Detail'!C52:L52,"&gt;0")</x:f>
        <x:v>10</x:v>
      </x:c>
      <x:c r="N52" s="28" t="n">
        <x:f>SUM('02 Contract Detail'!C52:L52)</x:f>
        <x:v>10</x:v>
      </x:c>
      <x:c r="O52" s="29" t="n">
        <x:f>N52/20</x:f>
        <x:v>0.5</x:v>
      </x:c>
      <x:c r="P52" s="28" t="n">
        <x:f>COUNTIF('02 Contract Detail'!C52:L52,2)</x:f>
        <x:v>0</x:v>
      </x:c>
      <x:c r="Q52" s="30" t="str">
        <x:f>IF(P52=10,"YES","NO")</x:f>
        <x:v>NO</x:v>
      </x:c>
      <x:c r="R52" s="31" t="str">
        <x:v>Passenger air-system configuration</x:v>
      </x:c>
      <x:c r="S52" s="31" t="str">
        <x:v>Austere boarding, custody, onboard care and destination transfer trial</x:v>
      </x:c>
      <x:c r="T52" s="31" t="str">
        <x:v>BLOCKED</x:v>
      </x:c>
      <x:c r="U52" s="27" t="str">
        <x:v>Strategic movement and prepared receiving capacity</x:v>
      </x:c>
      <x:c r="V52" s="27" t="str">
        <x:v>Preserve care and human continuity</x:v>
      </x:c>
      <x:c r="W52" s="27" t="str">
        <x:v>Family is an architectural hypothesis, not a certified table of organization.</x:v>
      </x:c>
    </x:row>
    <x:row r="53" ht="45" customHeight="1">
      <x:c r="A53" s="17" t="str">
        <x:v>CM-WMG</x:v>
      </x:c>
      <x:c r="B53" s="17" t="str">
        <x:v>Canonical family</x:v>
      </x:c>
      <x:c r="C53" s="11" t="str">
        <x:v>Civil water-mobility group</x:v>
      </x:c>
      <x:c r="D53" s="11" t="str">
        <x:v>Civil Mobility and Continuity</x:v>
      </x:c>
      <x:c r="E53" s="11" t="str">
        <x:v>Mobility, access and distribution</x:v>
      </x:c>
      <x:c r="F53" s="11" t="str">
        <x:v>Response group</x:v>
      </x:c>
      <x:c r="G53" s="27" t="str">
        <x:v>Completes shallow, coastal and ocean passenger continuity across damaged shores.</x:v>
      </x:c>
      <x:c r="H53" s="27" t="str">
        <x:v>Not quantified</x:v>
      </x:c>
      <x:c r="I53" s="27" t="str">
        <x:v>—</x:v>
      </x:c>
      <x:c r="J53" s="27" t="str">
        <x:v>R1/R2</x:v>
      </x:c>
      <x:c r="K53" s="27" t="str">
        <x:v>—</x:v>
      </x:c>
      <x:c r="L53" s="27" t="str">
        <x:v>research/force/mobility/national-civil-mobility-and-continuity-force.md</x:v>
      </x:c>
      <x:c r="M53" s="28" t="n">
        <x:f>COUNTIF('02 Contract Detail'!C53:L53,"&gt;0")</x:f>
        <x:v>10</x:v>
      </x:c>
      <x:c r="N53" s="28" t="n">
        <x:f>SUM('02 Contract Detail'!C53:L53)</x:f>
        <x:v>10</x:v>
      </x:c>
      <x:c r="O53" s="29" t="n">
        <x:f>N53/20</x:f>
        <x:v>0.5</x:v>
      </x:c>
      <x:c r="P53" s="28" t="n">
        <x:f>COUNTIF('02 Contract Detail'!C53:L53,2)</x:f>
        <x:v>0</x:v>
      </x:c>
      <x:c r="Q53" s="30" t="str">
        <x:f>IF(P53=10,"YES","NO")</x:f>
        <x:v>NO</x:v>
      </x:c>
      <x:c r="R53" s="31" t="str">
        <x:v>Passenger vessel and no-pier transfer configuration</x:v>
      </x:c>
      <x:c r="S53" s="31" t="str">
        <x:v>Accessible embarkation, sea-state, onboard care and landing trial</x:v>
      </x:c>
      <x:c r="T53" s="31" t="str">
        <x:v>BLOCKED</x:v>
      </x:c>
      <x:c r="U53" s="27" t="str">
        <x:v>Strategic movement and prepared receiving capacity</x:v>
      </x:c>
      <x:c r="V53" s="27" t="str">
        <x:v>Preserve care and human continuity</x:v>
      </x:c>
      <x:c r="W53" s="27" t="str">
        <x:v>Family is an architectural hypothesis, not a certified table of organization.</x:v>
      </x:c>
    </x:row>
    <x:row r="54" ht="45" customHeight="1">
      <x:c r="A54" s="18" t="str">
        <x:v>CM-RDC</x:v>
      </x:c>
      <x:c r="B54" s="18" t="str">
        <x:v>Canonical family</x:v>
      </x:c>
      <x:c r="C54" s="14" t="str">
        <x:v>Return and durable-continuity group</x:v>
      </x:c>
      <x:c r="D54" s="14" t="str">
        <x:v>Civil Mobility and Continuity</x:v>
      </x:c>
      <x:c r="E54" s="14" t="str">
        <x:v>Food, shelter and essential-goods continuity</x:v>
      </x:c>
      <x:c r="F54" s="14" t="str">
        <x:v>Response group</x:v>
      </x:c>
      <x:c r="G54" s="32" t="str">
        <x:v>Completes lawful return or durable settlement without renewed displacement.</x:v>
      </x:c>
      <x:c r="H54" s="32" t="str">
        <x:v>Not quantified</x:v>
      </x:c>
      <x:c r="I54" s="32" t="str">
        <x:v>—</x:v>
      </x:c>
      <x:c r="J54" s="32" t="str">
        <x:v>R1/R2</x:v>
      </x:c>
      <x:c r="K54" s="32" t="str">
        <x:v>—</x:v>
      </x:c>
      <x:c r="L54" s="32" t="str">
        <x:v>research/force/mobility/national-civil-mobility-and-continuity-force.md</x:v>
      </x:c>
      <x:c r="M54" s="33" t="n">
        <x:f>COUNTIF('02 Contract Detail'!C54:L54,"&gt;0")</x:f>
        <x:v>10</x:v>
      </x:c>
      <x:c r="N54" s="33" t="n">
        <x:f>SUM('02 Contract Detail'!C54:L54)</x:f>
        <x:v>10</x:v>
      </x:c>
      <x:c r="O54" s="34" t="n">
        <x:f>N54/20</x:f>
        <x:v>0.5</x:v>
      </x:c>
      <x:c r="P54" s="33" t="n">
        <x:f>COUNTIF('02 Contract Detail'!C54:L54,2)</x:f>
        <x:v>0</x:v>
      </x:c>
      <x:c r="Q54" s="35" t="str">
        <x:f>IF(P54=10,"YES","NO")</x:f>
        <x:v>NO</x:v>
      </x:c>
      <x:c r="R54" s="36" t="str">
        <x:v>Return authority, origin release and longitudinal outcome evidence</x:v>
      </x:c>
      <x:c r="S54" s="36" t="str">
        <x:v>Exercise funded return and durable settlement across contested origin conditions</x:v>
      </x:c>
      <x:c r="T54" s="36" t="str">
        <x:v>BLOCKED</x:v>
      </x:c>
      <x:c r="U54" s="32" t="str">
        <x:v>Strategic movement and prepared receiving capacity</x:v>
      </x:c>
      <x:c r="V54" s="32" t="str">
        <x:v>Sustain, transfer and regenerate</x:v>
      </x:c>
      <x:c r="W54" s="32" t="str">
        <x:v>Family is an architectural hypothesis, not a certified table of organization.</x:v>
      </x:c>
    </x:row>
  </x:sheetData>
  <x:conditionalFormatting sqref="O6:O54">
    <x:cfRule type="colorScale" priority="1">
      <x:colorScale>
        <x:cfvo type="min"/>
        <x:cfvo type="percentile" val="50"/>
        <x:cfvo type="max"/>
        <x:color rgb="FFF3B8B8"/>
        <x:color rgb="FFFFF0B8"/>
        <x:color rgb="FFB9DDBF"/>
      </x:colorScale>
    </x:cfRule>
  </x:conditionalFormatting>
  <x:conditionalFormatting sqref="T6:T54">
    <x:cfRule type="containsText" dxfId="0" priority="2" operator="containsText" text="BLOCKED"/>
  </x:conditionalFormatting>
  <x:pageMargins left="0.7" right="0.7" top="0.75" bottom="0.75" header="0.3" footer="0.3"/>
  <x:tableParts count="1">
    <x:tablePart xmlns:r="http://schemas.openxmlformats.org/officeDocument/2006/relationships" r:id="Ra0c1be6536154a84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3" hidden="0" customWidth="1"/>
    <x:col min="2" max="2" width="31" hidden="0" customWidth="1"/>
    <x:col min="3" max="3" width="13" hidden="0" customWidth="1"/>
    <x:col min="4" max="4" width="13" hidden="0" customWidth="1"/>
    <x:col min="5" max="5" width="12" hidden="0" customWidth="1"/>
    <x:col min="6" max="6" width="13" hidden="0" customWidth="1"/>
    <x:col min="7" max="7" width="13" hidden="0" customWidth="1"/>
    <x:col min="8" max="8" width="13" hidden="0" customWidth="1"/>
    <x:col min="9" max="9" width="15" hidden="0" customWidth="1"/>
    <x:col min="10" max="10" width="15" hidden="0" customWidth="1"/>
    <x:col min="11" max="11" width="15" hidden="0" customWidth="1"/>
    <x:col min="12" max="12" width="13" hidden="0" customWidth="1"/>
    <x:col min="13" max="13" width="9" hidden="0" customWidth="1"/>
    <x:col min="14" max="14" width="12" hidden="0" customWidth="1"/>
    <x:col min="15" max="15" width="38" hidden="0" customWidth="1"/>
    <x:col min="16" max="16" width="52" hidden="0" customWidth="1"/>
  </x:cols>
  <x:sheetData>
    <x:row r="2">
      <x:c r="A2" s="2" t="str">
        <x:v>Formation Service-Contract Detail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</x:row>
    <x:row r="3">
      <x:c r="A3" s="3" t="str">
        <x:v>Score: 0 absent; 1 bounded architectural or analytical claim; 2 configuration-level record. Twenty points is necessary, not sufficient, for R3.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</x:row>
    <x:row r="5" ht="38" customHeight="1">
      <x:c r="A5" s="9" t="str">
        <x:v>Formation ID</x:v>
      </x:c>
      <x:c r="B5" s="9" t="str">
        <x:v>Formation family</x:v>
      </x:c>
      <x:c r="C5" s="9" t="str">
        <x:v>Population / function</x:v>
      </x:c>
      <x:c r="D5" s="9" t="str">
        <x:v>Safe-use effect</x:v>
      </x:c>
      <x:c r="E5" s="9" t="str">
        <x:v>Time bands</x:v>
      </x:c>
      <x:c r="F5" s="9" t="str">
        <x:v>Damage envelope</x:v>
      </x:c>
      <x:c r="G5" s="9" t="str">
        <x:v>Organic package</x:v>
      </x:c>
      <x:c r="H5" s="9" t="str">
        <x:v>Dependencies</x:v>
      </x:c>
      <x:c r="I5" s="9" t="str">
        <x:v>Movement / reception</x:v>
      </x:c>
      <x:c r="J5" s="9" t="str">
        <x:v>Sustainment / waste</x:v>
      </x:c>
      <x:c r="K5" s="9" t="str">
        <x:v>Authorities / transfer</x:v>
      </x:c>
      <x:c r="L5" s="9" t="str">
        <x:v>Regeneration</x:v>
      </x:c>
      <x:c r="M5" s="9" t="str">
        <x:v>Score</x:v>
      </x:c>
      <x:c r="N5" s="9" t="str">
        <x:v>Completeness</x:v>
      </x:c>
      <x:c r="O5" s="9" t="str">
        <x:v>Primary gap</x:v>
      </x:c>
      <x:c r="P5" s="9" t="str">
        <x:v>Scoring boundary</x:v>
      </x:c>
    </x:row>
    <x:row r="6" ht="38" customHeight="1">
      <x:c r="A6" s="11" t="str">
        <x:v>J-CIE</x:v>
      </x:c>
      <x:c r="B6" s="11" t="str">
        <x:v>Civil integration and effects group</x:v>
      </x:c>
      <x:c r="C6" s="37" t="n">
        <x:v>1</x:v>
      </x:c>
      <x:c r="D6" s="37" t="n">
        <x:v>1</x:v>
      </x:c>
      <x:c r="E6" s="37" t="n">
        <x:v>1</x:v>
      </x:c>
      <x:c r="F6" s="37" t="n">
        <x:v>0</x:v>
      </x:c>
      <x:c r="G6" s="37" t="n">
        <x:v>1</x:v>
      </x:c>
      <x:c r="H6" s="37" t="n">
        <x:v>1</x:v>
      </x:c>
      <x:c r="I6" s="37" t="n">
        <x:v>1</x:v>
      </x:c>
      <x:c r="J6" s="37" t="n">
        <x:v>1</x:v>
      </x:c>
      <x:c r="K6" s="37" t="n">
        <x:v>1</x:v>
      </x:c>
      <x:c r="L6" s="37" t="n">
        <x:v>1</x:v>
      </x:c>
      <x:c r="M6" s="19" t="n">
        <x:f>SUM(C6:L6)</x:f>
        <x:v>9</x:v>
      </x:c>
      <x:c r="N6" s="20" t="n">
        <x:f>M6/20</x:f>
        <x:v>0.45</x:v>
      </x:c>
      <x:c r="O6" s="27" t="str">
        <x:v>Complete configuration</x:v>
      </x:c>
      <x:c r="P6" s="27" t="str">
        <x:v>A 2 records configuration detail in the cited paper; it does not mean independently verified field performance.</x:v>
      </x:c>
    </x:row>
    <x:row r="7" ht="38" customHeight="1">
      <x:c r="A7" s="11" t="str">
        <x:v>J-TOC</x:v>
      </x:c>
      <x:c r="B7" s="11" t="str">
        <x:v>Theater-opening command</x:v>
      </x:c>
      <x:c r="C7" s="37" t="n">
        <x:v>1</x:v>
      </x:c>
      <x:c r="D7" s="37" t="n">
        <x:v>1</x:v>
      </x:c>
      <x:c r="E7" s="37" t="n">
        <x:v>1</x:v>
      </x:c>
      <x:c r="F7" s="37" t="n">
        <x:v>1</x:v>
      </x:c>
      <x:c r="G7" s="37" t="n">
        <x:v>1</x:v>
      </x:c>
      <x:c r="H7" s="37" t="n">
        <x:v>1</x:v>
      </x:c>
      <x:c r="I7" s="37" t="n">
        <x:v>1</x:v>
      </x:c>
      <x:c r="J7" s="37" t="n">
        <x:v>1</x:v>
      </x:c>
      <x:c r="K7" s="37" t="n">
        <x:v>1</x:v>
      </x:c>
      <x:c r="L7" s="37" t="n">
        <x:v>1</x:v>
      </x:c>
      <x:c r="M7" s="19" t="n">
        <x:f>SUM(C7:L7)</x:f>
        <x:v>10</x:v>
      </x:c>
      <x:c r="N7" s="20" t="n">
        <x:f>M7/20</x:f>
        <x:v>0.5</x:v>
      </x:c>
      <x:c r="O7" s="27" t="str">
        <x:v>Named node and path configurations</x:v>
      </x:c>
      <x:c r="P7" s="27" t="str">
        <x:v>A 2 records configuration detail in the cited paper; it does not mean independently verified field performance.</x:v>
      </x:c>
    </x:row>
    <x:row r="8" ht="38" customHeight="1">
      <x:c r="A8" s="11" t="str">
        <x:v>J-TSC</x:v>
      </x:c>
      <x:c r="B8" s="11" t="str">
        <x:v>Theater sustainment command</x:v>
      </x:c>
      <x:c r="C8" s="37" t="n">
        <x:v>1</x:v>
      </x:c>
      <x:c r="D8" s="37" t="n">
        <x:v>1</x:v>
      </x:c>
      <x:c r="E8" s="37" t="n">
        <x:v>1</x:v>
      </x:c>
      <x:c r="F8" s="37" t="n">
        <x:v>0</x:v>
      </x:c>
      <x:c r="G8" s="37" t="n">
        <x:v>1</x:v>
      </x:c>
      <x:c r="H8" s="37" t="n">
        <x:v>1</x:v>
      </x:c>
      <x:c r="I8" s="37" t="n">
        <x:v>1</x:v>
      </x:c>
      <x:c r="J8" s="37" t="n">
        <x:v>1</x:v>
      </x:c>
      <x:c r="K8" s="37" t="n">
        <x:v>1</x:v>
      </x:c>
      <x:c r="L8" s="37" t="n">
        <x:v>1</x:v>
      </x:c>
      <x:c r="M8" s="19" t="n">
        <x:f>SUM(C8:L8)</x:f>
        <x:v>9</x:v>
      </x:c>
      <x:c r="N8" s="20" t="n">
        <x:f>M8/20</x:f>
        <x:v>0.45</x:v>
      </x:c>
      <x:c r="O8" s="27" t="str">
        <x:v>Commodity and reverse-flow closure</x:v>
      </x:c>
      <x:c r="P8" s="27" t="str">
        <x:v>A 2 records configuration detail in the cited paper; it does not mean independently verified field performance.</x:v>
      </x:c>
    </x:row>
    <x:row r="9" ht="38" customHeight="1">
      <x:c r="A9" s="11" t="str">
        <x:v>J-RIG</x:v>
      </x:c>
      <x:c r="B9" s="11" t="str">
        <x:v>Resilience information group</x:v>
      </x:c>
      <x:c r="C9" s="37" t="n">
        <x:v>1</x:v>
      </x:c>
      <x:c r="D9" s="37" t="n">
        <x:v>1</x:v>
      </x:c>
      <x:c r="E9" s="37" t="n">
        <x:v>1</x:v>
      </x:c>
      <x:c r="F9" s="37" t="n">
        <x:v>1</x:v>
      </x:c>
      <x:c r="G9" s="37" t="n">
        <x:v>1</x:v>
      </x:c>
      <x:c r="H9" s="37" t="n">
        <x:v>1</x:v>
      </x:c>
      <x:c r="I9" s="37" t="n">
        <x:v>1</x:v>
      </x:c>
      <x:c r="J9" s="37" t="n">
        <x:v>1</x:v>
      </x:c>
      <x:c r="K9" s="37" t="n">
        <x:v>1</x:v>
      </x:c>
      <x:c r="L9" s="37" t="n">
        <x:v>1</x:v>
      </x:c>
      <x:c r="M9" s="19" t="n">
        <x:f>SUM(C9:L9)</x:f>
        <x:v>10</x:v>
      </x:c>
      <x:c r="N9" s="20" t="n">
        <x:f>M9/20</x:f>
        <x:v>0.5</x:v>
      </x:c>
      <x:c r="O9" s="27" t="str">
        <x:v>Configuration-controlled degraded data plane</x:v>
      </x:c>
      <x:c r="P9" s="27" t="str">
        <x:v>A 2 records configuration detail in the cited paper; it does not mean independently verified field performance.</x:v>
      </x:c>
    </x:row>
    <x:row r="10" ht="38" customHeight="1">
      <x:c r="A10" s="11" t="str">
        <x:v>J-RRG</x:v>
      </x:c>
      <x:c r="B10" s="11" t="str">
        <x:v>Replacement and reconstitution group</x:v>
      </x:c>
      <x:c r="C10" s="37" t="n">
        <x:v>1</x:v>
      </x:c>
      <x:c r="D10" s="37" t="n">
        <x:v>1</x:v>
      </x:c>
      <x:c r="E10" s="37" t="n">
        <x:v>1</x:v>
      </x:c>
      <x:c r="F10" s="37" t="n">
        <x:v>0</x:v>
      </x:c>
      <x:c r="G10" s="37" t="n">
        <x:v>1</x:v>
      </x:c>
      <x:c r="H10" s="37" t="n">
        <x:v>1</x:v>
      </x:c>
      <x:c r="I10" s="37" t="n">
        <x:v>1</x:v>
      </x:c>
      <x:c r="J10" s="37" t="n">
        <x:v>1</x:v>
      </x:c>
      <x:c r="K10" s="37" t="n">
        <x:v>1</x:v>
      </x:c>
      <x:c r="L10" s="37" t="n">
        <x:v>1</x:v>
      </x:c>
      <x:c r="M10" s="19" t="n">
        <x:f>SUM(C10:L10)</x:f>
        <x:v>9</x:v>
      </x:c>
      <x:c r="N10" s="20" t="n">
        <x:f>M10/20</x:f>
        <x:v>0.45</x:v>
      </x:c>
      <x:c r="O10" s="27" t="str">
        <x:v>Regeneration standard and throughput</x:v>
      </x:c>
      <x:c r="P10" s="27" t="str">
        <x:v>A 2 records configuration detail in the cited paper; it does not mean independently verified field performance.</x:v>
      </x:c>
    </x:row>
    <x:row r="11" ht="38" customHeight="1">
      <x:c r="A11" s="11" t="str">
        <x:v>J-TDG</x:v>
      </x:c>
      <x:c r="B11" s="11" t="str">
        <x:v>Transfer and demobilization group</x:v>
      </x:c>
      <x:c r="C11" s="37" t="n">
        <x:v>1</x:v>
      </x:c>
      <x:c r="D11" s="37" t="n">
        <x:v>1</x:v>
      </x:c>
      <x:c r="E11" s="37" t="n">
        <x:v>1</x:v>
      </x:c>
      <x:c r="F11" s="37" t="n">
        <x:v>0</x:v>
      </x:c>
      <x:c r="G11" s="37" t="n">
        <x:v>1</x:v>
      </x:c>
      <x:c r="H11" s="37" t="n">
        <x:v>1</x:v>
      </x:c>
      <x:c r="I11" s="37" t="n">
        <x:v>1</x:v>
      </x:c>
      <x:c r="J11" s="37" t="n">
        <x:v>1</x:v>
      </x:c>
      <x:c r="K11" s="37" t="n">
        <x:v>1</x:v>
      </x:c>
      <x:c r="L11" s="37" t="n">
        <x:v>1</x:v>
      </x:c>
      <x:c r="M11" s="19" t="n">
        <x:f>SUM(C11:L11)</x:f>
        <x:v>9</x:v>
      </x:c>
      <x:c r="N11" s="20" t="n">
        <x:f>M11/20</x:f>
        <x:v>0.45</x:v>
      </x:c>
      <x:c r="O11" s="27" t="str">
        <x:v>Civil acceptance and transfer evidence</x:v>
      </x:c>
      <x:c r="P11" s="27" t="str">
        <x:v>A 2 records configuration detail in the cited paper; it does not mean independently verified field performance.</x:v>
      </x:c>
    </x:row>
    <x:row r="12" ht="38" customHeight="1">
      <x:c r="A12" s="11" t="str">
        <x:v>L-ROG</x:v>
      </x:c>
      <x:c r="B12" s="11" t="str">
        <x:v>Access and route-opening group</x:v>
      </x:c>
      <x:c r="C12" s="37" t="n">
        <x:v>1</x:v>
      </x:c>
      <x:c r="D12" s="37" t="n">
        <x:v>1</x:v>
      </x:c>
      <x:c r="E12" s="37" t="n">
        <x:v>1</x:v>
      </x:c>
      <x:c r="F12" s="37" t="n">
        <x:v>0</x:v>
      </x:c>
      <x:c r="G12" s="37" t="n">
        <x:v>1</x:v>
      </x:c>
      <x:c r="H12" s="37" t="n">
        <x:v>1</x:v>
      </x:c>
      <x:c r="I12" s="37" t="n">
        <x:v>1</x:v>
      </x:c>
      <x:c r="J12" s="37" t="n">
        <x:v>1</x:v>
      </x:c>
      <x:c r="K12" s="37" t="n">
        <x:v>1</x:v>
      </x:c>
      <x:c r="L12" s="37" t="n">
        <x:v>1</x:v>
      </x:c>
      <x:c r="M12" s="19" t="n">
        <x:f>SUM(C12:L12)</x:f>
        <x:v>9</x:v>
      </x:c>
      <x:c r="N12" s="20" t="n">
        <x:f>M12/20</x:f>
        <x:v>0.45</x:v>
      </x:c>
      <x:c r="O12" s="27" t="str">
        <x:v>Complete configuration</x:v>
      </x:c>
      <x:c r="P12" s="27" t="str">
        <x:v>A 2 records configuration detail in the cited paper; it does not mean independently verified field performance.</x:v>
      </x:c>
    </x:row>
    <x:row r="13" ht="38" customHeight="1">
      <x:c r="A13" s="11" t="str">
        <x:v>L-HCG</x:v>
      </x:c>
      <x:c r="B13" s="11" t="str">
        <x:v>Flood and hydraulic-control group</x:v>
      </x:c>
      <x:c r="C13" s="37" t="n">
        <x:v>2</x:v>
      </x:c>
      <x:c r="D13" s="37" t="n">
        <x:v>2</x:v>
      </x:c>
      <x:c r="E13" s="37" t="n">
        <x:v>2</x:v>
      </x:c>
      <x:c r="F13" s="37" t="n">
        <x:v>2</x:v>
      </x:c>
      <x:c r="G13" s="37" t="n">
        <x:v>2</x:v>
      </x:c>
      <x:c r="H13" s="37" t="n">
        <x:v>1</x:v>
      </x:c>
      <x:c r="I13" s="37" t="n">
        <x:v>2</x:v>
      </x:c>
      <x:c r="J13" s="37" t="n">
        <x:v>1</x:v>
      </x:c>
      <x:c r="K13" s="37" t="n">
        <x:v>1</x:v>
      </x:c>
      <x:c r="L13" s="37" t="n">
        <x:v>1</x:v>
      </x:c>
      <x:c r="M13" s="19" t="n">
        <x:f>SUM(C13:L13)</x:f>
        <x:v>16</x:v>
      </x:c>
      <x:c r="N13" s="20" t="n">
        <x:f>M13/20</x:f>
        <x:v>0.8</x:v>
      </x:c>
      <x:c r="O13" s="27" t="str">
        <x:v>Full-curve field performance and campaign covariance</x:v>
      </x:c>
      <x:c r="P13" s="27" t="str">
        <x:v>A 2 records configuration detail in the cited paper; it does not mean independently verified field performance.</x:v>
      </x:c>
    </x:row>
    <x:row r="14" ht="38" customHeight="1">
      <x:c r="A14" s="11" t="str">
        <x:v>L-DMG</x:v>
      </x:c>
      <x:c r="B14" s="11" t="str">
        <x:v>Debris and materials group</x:v>
      </x:c>
      <x:c r="C14" s="37" t="n">
        <x:v>1</x:v>
      </x:c>
      <x:c r="D14" s="37" t="n">
        <x:v>1</x:v>
      </x:c>
      <x:c r="E14" s="37" t="n">
        <x:v>1</x:v>
      </x:c>
      <x:c r="F14" s="37" t="n">
        <x:v>0</x:v>
      </x:c>
      <x:c r="G14" s="37" t="n">
        <x:v>1</x:v>
      </x:c>
      <x:c r="H14" s="37" t="n">
        <x:v>1</x:v>
      </x:c>
      <x:c r="I14" s="37" t="n">
        <x:v>1</x:v>
      </x:c>
      <x:c r="J14" s="37" t="n">
        <x:v>1</x:v>
      </x:c>
      <x:c r="K14" s="37" t="n">
        <x:v>1</x:v>
      </x:c>
      <x:c r="L14" s="37" t="n">
        <x:v>1</x:v>
      </x:c>
      <x:c r="M14" s="19" t="n">
        <x:f>SUM(C14:L14)</x:f>
        <x:v>9</x:v>
      </x:c>
      <x:c r="N14" s="20" t="n">
        <x:f>M14/20</x:f>
        <x:v>0.45</x:v>
      </x:c>
      <x:c r="O14" s="27" t="str">
        <x:v>Material-stream and disposal configuration</x:v>
      </x:c>
      <x:c r="P14" s="27" t="str">
        <x:v>A 2 records configuration detail in the cited paper; it does not mean independently verified field performance.</x:v>
      </x:c>
    </x:row>
    <x:row r="15" ht="38" customHeight="1">
      <x:c r="A15" s="11" t="str">
        <x:v>L-TWG</x:v>
      </x:c>
      <x:c r="B15" s="11" t="str">
        <x:v>Temporary works and crossing group</x:v>
      </x:c>
      <x:c r="C15" s="37" t="n">
        <x:v>1</x:v>
      </x:c>
      <x:c r="D15" s="37" t="n">
        <x:v>1</x:v>
      </x:c>
      <x:c r="E15" s="37" t="n">
        <x:v>1</x:v>
      </x:c>
      <x:c r="F15" s="37" t="n">
        <x:v>0</x:v>
      </x:c>
      <x:c r="G15" s="37" t="n">
        <x:v>1</x:v>
      </x:c>
      <x:c r="H15" s="37" t="n">
        <x:v>1</x:v>
      </x:c>
      <x:c r="I15" s="37" t="n">
        <x:v>1</x:v>
      </x:c>
      <x:c r="J15" s="37" t="n">
        <x:v>1</x:v>
      </x:c>
      <x:c r="K15" s="37" t="n">
        <x:v>1</x:v>
      </x:c>
      <x:c r="L15" s="37" t="n">
        <x:v>1</x:v>
      </x:c>
      <x:c r="M15" s="19" t="n">
        <x:f>SUM(C15:L15)</x:f>
        <x:v>9</x:v>
      </x:c>
      <x:c r="N15" s="20" t="n">
        <x:f>M15/20</x:f>
        <x:v>0.45</x:v>
      </x:c>
      <x:c r="O15" s="27" t="str">
        <x:v>Reference design library and erection rates</x:v>
      </x:c>
      <x:c r="P15" s="27" t="str">
        <x:v>A 2 records configuration detail in the cited paper; it does not mean independently verified field performance.</x:v>
      </x:c>
    </x:row>
    <x:row r="16" ht="38" customHeight="1">
      <x:c r="A16" s="11" t="str">
        <x:v>L-GFG</x:v>
      </x:c>
      <x:c r="B16" s="11" t="str">
        <x:v>Ground fire and landscape group</x:v>
      </x:c>
      <x:c r="C16" s="37" t="n">
        <x:v>2</x:v>
      </x:c>
      <x:c r="D16" s="37" t="n">
        <x:v>2</x:v>
      </x:c>
      <x:c r="E16" s="37" t="n">
        <x:v>2</x:v>
      </x:c>
      <x:c r="F16" s="37" t="n">
        <x:v>2</x:v>
      </x:c>
      <x:c r="G16" s="37" t="n">
        <x:v>2</x:v>
      </x:c>
      <x:c r="H16" s="37" t="n">
        <x:v>1</x:v>
      </x:c>
      <x:c r="I16" s="37" t="n">
        <x:v>2</x:v>
      </x:c>
      <x:c r="J16" s="37" t="n">
        <x:v>1</x:v>
      </x:c>
      <x:c r="K16" s="37" t="n">
        <x:v>1</x:v>
      </x:c>
      <x:c r="L16" s="37" t="n">
        <x:v>1</x:v>
      </x:c>
      <x:c r="M16" s="19" t="n">
        <x:f>SUM(C16:L16)</x:f>
        <x:v>16</x:v>
      </x:c>
      <x:c r="N16" s="20" t="n">
        <x:f>M16/20</x:f>
        <x:v>0.8</x:v>
      </x:c>
      <x:c r="O16" s="27" t="str">
        <x:v>Empirical fire-growth, line-productivity and hold evidence</x:v>
      </x:c>
      <x:c r="P16" s="27" t="str">
        <x:v>A 2 records configuration detail in the cited paper; it does not mean independently verified field performance.</x:v>
      </x:c>
    </x:row>
    <x:row r="17" ht="38" customHeight="1">
      <x:c r="A17" s="11" t="str">
        <x:v>A-SMW</x:v>
      </x:c>
      <x:c r="B17" s="11" t="str">
        <x:v>Strategic mobility wing</x:v>
      </x:c>
      <x:c r="C17" s="37" t="n">
        <x:v>1</x:v>
      </x:c>
      <x:c r="D17" s="37" t="n">
        <x:v>1</x:v>
      </x:c>
      <x:c r="E17" s="37" t="n">
        <x:v>1</x:v>
      </x:c>
      <x:c r="F17" s="37" t="n">
        <x:v>0</x:v>
      </x:c>
      <x:c r="G17" s="37" t="n">
        <x:v>1</x:v>
      </x:c>
      <x:c r="H17" s="37" t="n">
        <x:v>1</x:v>
      </x:c>
      <x:c r="I17" s="37" t="n">
        <x:v>1</x:v>
      </x:c>
      <x:c r="J17" s="37" t="n">
        <x:v>1</x:v>
      </x:c>
      <x:c r="K17" s="37" t="n">
        <x:v>1</x:v>
      </x:c>
      <x:c r="L17" s="37" t="n">
        <x:v>1</x:v>
      </x:c>
      <x:c r="M17" s="19" t="n">
        <x:f>SUM(C17:L17)</x:f>
        <x:v>9</x:v>
      </x:c>
      <x:c r="N17" s="20" t="n">
        <x:f>M17/20</x:f>
        <x:v>0.45</x:v>
      </x:c>
      <x:c r="O17" s="27" t="str">
        <x:v>Purpose-built fleet and network configuration</x:v>
      </x:c>
      <x:c r="P17" s="27" t="str">
        <x:v>A 2 records configuration detail in the cited paper; it does not mean independently verified field performance.</x:v>
      </x:c>
    </x:row>
    <x:row r="18" ht="38" customHeight="1">
      <x:c r="A18" s="11" t="str">
        <x:v>A-AAG</x:v>
      </x:c>
      <x:c r="B18" s="11" t="str">
        <x:v>Austere air-access group</x:v>
      </x:c>
      <x:c r="C18" s="37" t="n">
        <x:v>1</x:v>
      </x:c>
      <x:c r="D18" s="37" t="n">
        <x:v>1</x:v>
      </x:c>
      <x:c r="E18" s="37" t="n">
        <x:v>1</x:v>
      </x:c>
      <x:c r="F18" s="37" t="n">
        <x:v>0</x:v>
      </x:c>
      <x:c r="G18" s="37" t="n">
        <x:v>1</x:v>
      </x:c>
      <x:c r="H18" s="37" t="n">
        <x:v>1</x:v>
      </x:c>
      <x:c r="I18" s="37" t="n">
        <x:v>1</x:v>
      </x:c>
      <x:c r="J18" s="37" t="n">
        <x:v>1</x:v>
      </x:c>
      <x:c r="K18" s="37" t="n">
        <x:v>1</x:v>
      </x:c>
      <x:c r="L18" s="37" t="n">
        <x:v>1</x:v>
      </x:c>
      <x:c r="M18" s="19" t="n">
        <x:f>SUM(C18:L18)</x:f>
        <x:v>9</x:v>
      </x:c>
      <x:c r="N18" s="20" t="n">
        <x:f>M18/20</x:f>
        <x:v>0.45</x:v>
      </x:c>
      <x:c r="O18" s="27" t="str">
        <x:v>Airfield damage and operating-base configuration</x:v>
      </x:c>
      <x:c r="P18" s="27" t="str">
        <x:v>A 2 records configuration detail in the cited paper; it does not mean independently verified field performance.</x:v>
      </x:c>
    </x:row>
    <x:row r="19" ht="38" customHeight="1">
      <x:c r="A19" s="11" t="str">
        <x:v>A-AHW</x:v>
      </x:c>
      <x:c r="B19" s="11" t="str">
        <x:v>Aerial hazard-control wing</x:v>
      </x:c>
      <x:c r="C19" s="37" t="n">
        <x:v>1</x:v>
      </x:c>
      <x:c r="D19" s="37" t="n">
        <x:v>1</x:v>
      </x:c>
      <x:c r="E19" s="37" t="n">
        <x:v>1</x:v>
      </x:c>
      <x:c r="F19" s="37" t="n">
        <x:v>0</x:v>
      </x:c>
      <x:c r="G19" s="37" t="n">
        <x:v>1</x:v>
      </x:c>
      <x:c r="H19" s="37" t="n">
        <x:v>1</x:v>
      </x:c>
      <x:c r="I19" s="37" t="n">
        <x:v>1</x:v>
      </x:c>
      <x:c r="J19" s="37" t="n">
        <x:v>1</x:v>
      </x:c>
      <x:c r="K19" s="37" t="n">
        <x:v>1</x:v>
      </x:c>
      <x:c r="L19" s="37" t="n">
        <x:v>1</x:v>
      </x:c>
      <x:c r="M19" s="19" t="n">
        <x:f>SUM(C19:L19)</x:f>
        <x:v>9</x:v>
      </x:c>
      <x:c r="N19" s="20" t="n">
        <x:f>M19/20</x:f>
        <x:v>0.45</x:v>
      </x:c>
      <x:c r="O19" s="27" t="str">
        <x:v>Aircraft/base/airspace integrated performance</x:v>
      </x:c>
      <x:c r="P19" s="27" t="str">
        <x:v>A 2 records configuration detail in the cited paper; it does not mean independently verified field performance.</x:v>
      </x:c>
    </x:row>
    <x:row r="20" ht="38" customHeight="1">
      <x:c r="A20" s="11" t="str">
        <x:v>A-TDG</x:v>
      </x:c>
      <x:c r="B20" s="11" t="str">
        <x:v>Tactical distribution group</x:v>
      </x:c>
      <x:c r="C20" s="37" t="n">
        <x:v>1</x:v>
      </x:c>
      <x:c r="D20" s="37" t="n">
        <x:v>1</x:v>
      </x:c>
      <x:c r="E20" s="37" t="n">
        <x:v>1</x:v>
      </x:c>
      <x:c r="F20" s="37" t="n">
        <x:v>0</x:v>
      </x:c>
      <x:c r="G20" s="37" t="n">
        <x:v>1</x:v>
      </x:c>
      <x:c r="H20" s="37" t="n">
        <x:v>1</x:v>
      </x:c>
      <x:c r="I20" s="37" t="n">
        <x:v>1</x:v>
      </x:c>
      <x:c r="J20" s="37" t="n">
        <x:v>1</x:v>
      </x:c>
      <x:c r="K20" s="37" t="n">
        <x:v>1</x:v>
      </x:c>
      <x:c r="L20" s="37" t="n">
        <x:v>1</x:v>
      </x:c>
      <x:c r="M20" s="19" t="n">
        <x:f>SUM(C20:L20)</x:f>
        <x:v>9</x:v>
      </x:c>
      <x:c r="N20" s="20" t="n">
        <x:f>M20/20</x:f>
        <x:v>0.45</x:v>
      </x:c>
      <x:c r="O20" s="27" t="str">
        <x:v>Hub-to-use network and fleet configuration</x:v>
      </x:c>
      <x:c r="P20" s="27" t="str">
        <x:v>A 2 records configuration detail in the cited paper; it does not mean independently verified field performance.</x:v>
      </x:c>
    </x:row>
    <x:row r="21" ht="38" customHeight="1">
      <x:c r="A21" s="11" t="str">
        <x:v>A-SRG</x:v>
      </x:c>
      <x:c r="B21" s="11" t="str">
        <x:v>Air sensing and relay group</x:v>
      </x:c>
      <x:c r="C21" s="37" t="n">
        <x:v>1</x:v>
      </x:c>
      <x:c r="D21" s="37" t="n">
        <x:v>1</x:v>
      </x:c>
      <x:c r="E21" s="37" t="n">
        <x:v>1</x:v>
      </x:c>
      <x:c r="F21" s="37" t="n">
        <x:v>0</x:v>
      </x:c>
      <x:c r="G21" s="37" t="n">
        <x:v>1</x:v>
      </x:c>
      <x:c r="H21" s="37" t="n">
        <x:v>1</x:v>
      </x:c>
      <x:c r="I21" s="37" t="n">
        <x:v>1</x:v>
      </x:c>
      <x:c r="J21" s="37" t="n">
        <x:v>1</x:v>
      </x:c>
      <x:c r="K21" s="37" t="n">
        <x:v>1</x:v>
      </x:c>
      <x:c r="L21" s="37" t="n">
        <x:v>1</x:v>
      </x:c>
      <x:c r="M21" s="19" t="n">
        <x:f>SUM(C21:L21)</x:f>
        <x:v>9</x:v>
      </x:c>
      <x:c r="N21" s="20" t="n">
        <x:f>M21/20</x:f>
        <x:v>0.45</x:v>
      </x:c>
      <x:c r="O21" s="27" t="str">
        <x:v>Decision-latency and degraded-link evidence</x:v>
      </x:c>
      <x:c r="P21" s="27" t="str">
        <x:v>A 2 records configuration detail in the cited paper; it does not mean independently verified field performance.</x:v>
      </x:c>
    </x:row>
    <x:row r="22" ht="38" customHeight="1">
      <x:c r="A22" s="11" t="str">
        <x:v>A-AMG</x:v>
      </x:c>
      <x:c r="B22" s="11" t="str">
        <x:v>Aeromedical movement group</x:v>
      </x:c>
      <x:c r="C22" s="37" t="n">
        <x:v>1</x:v>
      </x:c>
      <x:c r="D22" s="37" t="n">
        <x:v>1</x:v>
      </x:c>
      <x:c r="E22" s="37" t="n">
        <x:v>1</x:v>
      </x:c>
      <x:c r="F22" s="37" t="n">
        <x:v>0</x:v>
      </x:c>
      <x:c r="G22" s="37" t="n">
        <x:v>1</x:v>
      </x:c>
      <x:c r="H22" s="37" t="n">
        <x:v>1</x:v>
      </x:c>
      <x:c r="I22" s="37" t="n">
        <x:v>1</x:v>
      </x:c>
      <x:c r="J22" s="37" t="n">
        <x:v>1</x:v>
      </x:c>
      <x:c r="K22" s="37" t="n">
        <x:v>1</x:v>
      </x:c>
      <x:c r="L22" s="37" t="n">
        <x:v>1</x:v>
      </x:c>
      <x:c r="M22" s="19" t="n">
        <x:f>SUM(C22:L22)</x:f>
        <x:v>9</x:v>
      </x:c>
      <x:c r="N22" s="20" t="n">
        <x:f>M22/20</x:f>
        <x:v>0.45</x:v>
      </x:c>
      <x:c r="O22" s="27" t="str">
        <x:v>Complete patient pathway and receiving proof</x:v>
      </x:c>
      <x:c r="P22" s="27" t="str">
        <x:v>A 2 records configuration detail in the cited paper; it does not mean independently verified field performance.</x:v>
      </x:c>
    </x:row>
    <x:row r="23" ht="38" customHeight="1">
      <x:c r="A23" s="11" t="str">
        <x:v>M-POG</x:v>
      </x:c>
      <x:c r="B23" s="11" t="str">
        <x:v>Port-opening group</x:v>
      </x:c>
      <x:c r="C23" s="37" t="n">
        <x:v>1</x:v>
      </x:c>
      <x:c r="D23" s="37" t="n">
        <x:v>1</x:v>
      </x:c>
      <x:c r="E23" s="37" t="n">
        <x:v>1</x:v>
      </x:c>
      <x:c r="F23" s="37" t="n">
        <x:v>0</x:v>
      </x:c>
      <x:c r="G23" s="37" t="n">
        <x:v>1</x:v>
      </x:c>
      <x:c r="H23" s="37" t="n">
        <x:v>1</x:v>
      </x:c>
      <x:c r="I23" s="37" t="n">
        <x:v>1</x:v>
      </x:c>
      <x:c r="J23" s="37" t="n">
        <x:v>1</x:v>
      </x:c>
      <x:c r="K23" s="37" t="n">
        <x:v>1</x:v>
      </x:c>
      <x:c r="L23" s="37" t="n">
        <x:v>1</x:v>
      </x:c>
      <x:c r="M23" s="19" t="n">
        <x:f>SUM(C23:L23)</x:f>
        <x:v>9</x:v>
      </x:c>
      <x:c r="N23" s="20" t="n">
        <x:f>M23/20</x:f>
        <x:v>0.45</x:v>
      </x:c>
      <x:c r="O23" s="27" t="str">
        <x:v>Damaged-port configuration and queue evidence</x:v>
      </x:c>
      <x:c r="P23" s="27" t="str">
        <x:v>A 2 records configuration detail in the cited paper; it does not mean independently verified field performance.</x:v>
      </x:c>
    </x:row>
    <x:row r="24" ht="38" customHeight="1">
      <x:c r="A24" s="11" t="str">
        <x:v>M-LAG</x:v>
      </x:c>
      <x:c r="B24" s="11" t="str">
        <x:v>Littoral-access group</x:v>
      </x:c>
      <x:c r="C24" s="37" t="n">
        <x:v>1</x:v>
      </x:c>
      <x:c r="D24" s="37" t="n">
        <x:v>1</x:v>
      </x:c>
      <x:c r="E24" s="37" t="n">
        <x:v>1</x:v>
      </x:c>
      <x:c r="F24" s="37" t="n">
        <x:v>0</x:v>
      </x:c>
      <x:c r="G24" s="37" t="n">
        <x:v>1</x:v>
      </x:c>
      <x:c r="H24" s="37" t="n">
        <x:v>1</x:v>
      </x:c>
      <x:c r="I24" s="37" t="n">
        <x:v>1</x:v>
      </x:c>
      <x:c r="J24" s="37" t="n">
        <x:v>1</x:v>
      </x:c>
      <x:c r="K24" s="37" t="n">
        <x:v>1</x:v>
      </x:c>
      <x:c r="L24" s="37" t="n">
        <x:v>1</x:v>
      </x:c>
      <x:c r="M24" s="19" t="n">
        <x:f>SUM(C24:L24)</x:f>
        <x:v>9</x:v>
      </x:c>
      <x:c r="N24" s="20" t="n">
        <x:f>M24/20</x:f>
        <x:v>0.45</x:v>
      </x:c>
      <x:c r="O24" s="27" t="str">
        <x:v>Connector family and sea-state evidence</x:v>
      </x:c>
      <x:c r="P24" s="27" t="str">
        <x:v>A 2 records configuration detail in the cited paper; it does not mean independently verified field performance.</x:v>
      </x:c>
    </x:row>
    <x:row r="25" ht="38" customHeight="1">
      <x:c r="A25" s="11" t="str">
        <x:v>M-IWG</x:v>
      </x:c>
      <x:c r="B25" s="11" t="str">
        <x:v>Inland-waterway group</x:v>
      </x:c>
      <x:c r="C25" s="37" t="n">
        <x:v>1</x:v>
      </x:c>
      <x:c r="D25" s="37" t="n">
        <x:v>1</x:v>
      </x:c>
      <x:c r="E25" s="37" t="n">
        <x:v>1</x:v>
      </x:c>
      <x:c r="F25" s="37" t="n">
        <x:v>0</x:v>
      </x:c>
      <x:c r="G25" s="37" t="n">
        <x:v>1</x:v>
      </x:c>
      <x:c r="H25" s="37" t="n">
        <x:v>1</x:v>
      </x:c>
      <x:c r="I25" s="37" t="n">
        <x:v>1</x:v>
      </x:c>
      <x:c r="J25" s="37" t="n">
        <x:v>1</x:v>
      </x:c>
      <x:c r="K25" s="37" t="n">
        <x:v>1</x:v>
      </x:c>
      <x:c r="L25" s="37" t="n">
        <x:v>1</x:v>
      </x:c>
      <x:c r="M25" s="19" t="n">
        <x:f>SUM(C25:L25)</x:f>
        <x:v>9</x:v>
      </x:c>
      <x:c r="N25" s="20" t="n">
        <x:f>M25/20</x:f>
        <x:v>0.45</x:v>
      </x:c>
      <x:c r="O25" s="27" t="str">
        <x:v>River/lake fleet and seasonal network proof</x:v>
      </x:c>
      <x:c r="P25" s="27" t="str">
        <x:v>A 2 records configuration detail in the cited paper; it does not mean independently verified field performance.</x:v>
      </x:c>
    </x:row>
    <x:row r="26" ht="38" customHeight="1">
      <x:c r="A26" s="11" t="str">
        <x:v>M-OSG</x:v>
      </x:c>
      <x:c r="B26" s="11" t="str">
        <x:v>Offshore-support group</x:v>
      </x:c>
      <x:c r="C26" s="37" t="n">
        <x:v>1</x:v>
      </x:c>
      <x:c r="D26" s="37" t="n">
        <x:v>1</x:v>
      </x:c>
      <x:c r="E26" s="37" t="n">
        <x:v>1</x:v>
      </x:c>
      <x:c r="F26" s="37" t="n">
        <x:v>0</x:v>
      </x:c>
      <x:c r="G26" s="37" t="n">
        <x:v>1</x:v>
      </x:c>
      <x:c r="H26" s="37" t="n">
        <x:v>1</x:v>
      </x:c>
      <x:c r="I26" s="37" t="n">
        <x:v>1</x:v>
      </x:c>
      <x:c r="J26" s="37" t="n">
        <x:v>1</x:v>
      </x:c>
      <x:c r="K26" s="37" t="n">
        <x:v>1</x:v>
      </x:c>
      <x:c r="L26" s="37" t="n">
        <x:v>1</x:v>
      </x:c>
      <x:c r="M26" s="19" t="n">
        <x:f>SUM(C26:L26)</x:f>
        <x:v>9</x:v>
      </x:c>
      <x:c r="N26" s="20" t="n">
        <x:f>M26/20</x:f>
        <x:v>0.45</x:v>
      </x:c>
      <x:c r="O26" s="27" t="str">
        <x:v>Afloat-base configuration and shore interface</x:v>
      </x:c>
      <x:c r="P26" s="27" t="str">
        <x:v>A 2 records configuration detail in the cited paper; it does not mean independently verified field performance.</x:v>
      </x:c>
    </x:row>
    <x:row r="27" ht="38" customHeight="1">
      <x:c r="A27" s="11" t="str">
        <x:v>M-MPG</x:v>
      </x:c>
      <x:c r="B27" s="11" t="str">
        <x:v>Maritime production group</x:v>
      </x:c>
      <x:c r="C27" s="37" t="n">
        <x:v>2</x:v>
      </x:c>
      <x:c r="D27" s="37" t="n">
        <x:v>2</x:v>
      </x:c>
      <x:c r="E27" s="37" t="n">
        <x:v>2</x:v>
      </x:c>
      <x:c r="F27" s="37" t="n">
        <x:v>2</x:v>
      </x:c>
      <x:c r="G27" s="37" t="n">
        <x:v>2</x:v>
      </x:c>
      <x:c r="H27" s="37" t="n">
        <x:v>1</x:v>
      </x:c>
      <x:c r="I27" s="37" t="n">
        <x:v>2</x:v>
      </x:c>
      <x:c r="J27" s="37" t="n">
        <x:v>1</x:v>
      </x:c>
      <x:c r="K27" s="37" t="n">
        <x:v>1</x:v>
      </x:c>
      <x:c r="L27" s="37" t="n">
        <x:v>1</x:v>
      </x:c>
      <x:c r="M27" s="19" t="n">
        <x:f>SUM(C27:L27)</x:f>
        <x:v>16</x:v>
      </x:c>
      <x:c r="N27" s="20" t="n">
        <x:f>M27/20</x:f>
        <x:v>0.8</x:v>
      </x:c>
      <x:c r="O27" s="27" t="str">
        <x:v>Receiving node, marine/nuclear safety and shore corridor</x:v>
      </x:c>
      <x:c r="P27" s="27" t="str">
        <x:v>A 2 records configuration detail in the cited paper; it does not mean independently verified field performance.</x:v>
      </x:c>
    </x:row>
    <x:row r="28" ht="38" customHeight="1">
      <x:c r="A28" s="11" t="str">
        <x:v>M-SSG</x:v>
      </x:c>
      <x:c r="B28" s="11" t="str">
        <x:v>Ocean sustainment group</x:v>
      </x:c>
      <x:c r="C28" s="37" t="n">
        <x:v>1</x:v>
      </x:c>
      <x:c r="D28" s="37" t="n">
        <x:v>1</x:v>
      </x:c>
      <x:c r="E28" s="37" t="n">
        <x:v>1</x:v>
      </x:c>
      <x:c r="F28" s="37" t="n">
        <x:v>0</x:v>
      </x:c>
      <x:c r="G28" s="37" t="n">
        <x:v>1</x:v>
      </x:c>
      <x:c r="H28" s="37" t="n">
        <x:v>1</x:v>
      </x:c>
      <x:c r="I28" s="37" t="n">
        <x:v>1</x:v>
      </x:c>
      <x:c r="J28" s="37" t="n">
        <x:v>1</x:v>
      </x:c>
      <x:c r="K28" s="37" t="n">
        <x:v>1</x:v>
      </x:c>
      <x:c r="L28" s="37" t="n">
        <x:v>1</x:v>
      </x:c>
      <x:c r="M28" s="19" t="n">
        <x:f>SUM(C28:L28)</x:f>
        <x:v>9</x:v>
      </x:c>
      <x:c r="N28" s="20" t="n">
        <x:f>M28/20</x:f>
        <x:v>0.45</x:v>
      </x:c>
      <x:c r="O28" s="27" t="str">
        <x:v>Hull-cycle and port-network configuration</x:v>
      </x:c>
      <x:c r="P28" s="27" t="str">
        <x:v>A 2 records configuration detail in the cited paper; it does not mean independently verified field performance.</x:v>
      </x:c>
    </x:row>
    <x:row r="29" ht="38" customHeight="1">
      <x:c r="A29" s="11" t="str">
        <x:v>I-WRG</x:v>
      </x:c>
      <x:c r="B29" s="11" t="str">
        <x:v>Water restoration group</x:v>
      </x:c>
      <x:c r="C29" s="37" t="n">
        <x:v>2</x:v>
      </x:c>
      <x:c r="D29" s="37" t="n">
        <x:v>2</x:v>
      </x:c>
      <x:c r="E29" s="37" t="n">
        <x:v>2</x:v>
      </x:c>
      <x:c r="F29" s="37" t="n">
        <x:v>2</x:v>
      </x:c>
      <x:c r="G29" s="37" t="n">
        <x:v>2</x:v>
      </x:c>
      <x:c r="H29" s="37" t="n">
        <x:v>1</x:v>
      </x:c>
      <x:c r="I29" s="37" t="n">
        <x:v>2</x:v>
      </x:c>
      <x:c r="J29" s="37" t="n">
        <x:v>1</x:v>
      </x:c>
      <x:c r="K29" s="37" t="n">
        <x:v>1</x:v>
      </x:c>
      <x:c r="L29" s="37" t="n">
        <x:v>1</x:v>
      </x:c>
      <x:c r="M29" s="19" t="n">
        <x:f>SUM(C29:L29)</x:f>
        <x:v>16</x:v>
      </x:c>
      <x:c r="N29" s="20" t="n">
        <x:f>M29/20</x:f>
        <x:v>0.8</x:v>
      </x:c>
      <x:c r="O29" s="27" t="str">
        <x:v>Surveyed hydraulics, hardware guarantees and field reliability</x:v>
      </x:c>
      <x:c r="P29" s="27" t="str">
        <x:v>A 2 records configuration detail in the cited paper; it does not mean independently verified field performance.</x:v>
      </x:c>
    </x:row>
    <x:row r="30" ht="38" customHeight="1">
      <x:c r="A30" s="11" t="str">
        <x:v>I-PRG</x:v>
      </x:c>
      <x:c r="B30" s="11" t="str">
        <x:v>Power restoration group</x:v>
      </x:c>
      <x:c r="C30" s="37" t="n">
        <x:v>2</x:v>
      </x:c>
      <x:c r="D30" s="37" t="n">
        <x:v>2</x:v>
      </x:c>
      <x:c r="E30" s="37" t="n">
        <x:v>2</x:v>
      </x:c>
      <x:c r="F30" s="37" t="n">
        <x:v>2</x:v>
      </x:c>
      <x:c r="G30" s="37" t="n">
        <x:v>2</x:v>
      </x:c>
      <x:c r="H30" s="37" t="n">
        <x:v>1</x:v>
      </x:c>
      <x:c r="I30" s="37" t="n">
        <x:v>2</x:v>
      </x:c>
      <x:c r="J30" s="37" t="n">
        <x:v>1</x:v>
      </x:c>
      <x:c r="K30" s="37" t="n">
        <x:v>1</x:v>
      </x:c>
      <x:c r="L30" s="37" t="n">
        <x:v>1</x:v>
      </x:c>
      <x:c r="M30" s="19" t="n">
        <x:f>SUM(C30:L30)</x:f>
        <x:v>16</x:v>
      </x:c>
      <x:c r="N30" s="20" t="n">
        <x:f>M30/20</x:f>
        <x:v>0.8</x:v>
      </x:c>
      <x:c r="O30" s="27" t="str">
        <x:v>Solved one-line, protection and field construction evidence</x:v>
      </x:c>
      <x:c r="P30" s="27" t="str">
        <x:v>A 2 records configuration detail in the cited paper; it does not mean independently verified field performance.</x:v>
      </x:c>
    </x:row>
    <x:row r="31" ht="38" customHeight="1">
      <x:c r="A31" s="11" t="str">
        <x:v>I-GBG</x:v>
      </x:c>
      <x:c r="B31" s="11" t="str">
        <x:v>Grid bridge group</x:v>
      </x:c>
      <x:c r="C31" s="37" t="n">
        <x:v>1</x:v>
      </x:c>
      <x:c r="D31" s="37" t="n">
        <x:v>1</x:v>
      </x:c>
      <x:c r="E31" s="37" t="n">
        <x:v>1</x:v>
      </x:c>
      <x:c r="F31" s="37" t="n">
        <x:v>1</x:v>
      </x:c>
      <x:c r="G31" s="37" t="n">
        <x:v>1</x:v>
      </x:c>
      <x:c r="H31" s="37" t="n">
        <x:v>1</x:v>
      </x:c>
      <x:c r="I31" s="37" t="n">
        <x:v>1</x:v>
      </x:c>
      <x:c r="J31" s="37" t="n">
        <x:v>1</x:v>
      </x:c>
      <x:c r="K31" s="37" t="n">
        <x:v>1</x:v>
      </x:c>
      <x:c r="L31" s="37" t="n">
        <x:v>1</x:v>
      </x:c>
      <x:c r="M31" s="19" t="n">
        <x:f>SUM(C31:L31)</x:f>
        <x:v>10</x:v>
      </x:c>
      <x:c r="N31" s="20" t="n">
        <x:f>M31/20</x:f>
        <x:v>0.5</x:v>
      </x:c>
      <x:c r="O31" s="27" t="str">
        <x:v>Reference substation-bypass configuration</x:v>
      </x:c>
      <x:c r="P31" s="27" t="str">
        <x:v>A 2 records configuration detail in the cited paper; it does not mean independently verified field performance.</x:v>
      </x:c>
    </x:row>
    <x:row r="32" ht="38" customHeight="1">
      <x:c r="A32" s="11" t="str">
        <x:v>I-TSG</x:v>
      </x:c>
      <x:c r="B32" s="11" t="str">
        <x:v>Thermal safety group</x:v>
      </x:c>
      <x:c r="C32" s="37" t="n">
        <x:v>1</x:v>
      </x:c>
      <x:c r="D32" s="37" t="n">
        <x:v>1</x:v>
      </x:c>
      <x:c r="E32" s="37" t="n">
        <x:v>1</x:v>
      </x:c>
      <x:c r="F32" s="37" t="n">
        <x:v>0</x:v>
      </x:c>
      <x:c r="G32" s="37" t="n">
        <x:v>1</x:v>
      </x:c>
      <x:c r="H32" s="37" t="n">
        <x:v>1</x:v>
      </x:c>
      <x:c r="I32" s="37" t="n">
        <x:v>1</x:v>
      </x:c>
      <x:c r="J32" s="37" t="n">
        <x:v>1</x:v>
      </x:c>
      <x:c r="K32" s="37" t="n">
        <x:v>1</x:v>
      </x:c>
      <x:c r="L32" s="37" t="n">
        <x:v>1</x:v>
      </x:c>
      <x:c r="M32" s="19" t="n">
        <x:f>SUM(C32:L32)</x:f>
        <x:v>9</x:v>
      </x:c>
      <x:c r="N32" s="20" t="n">
        <x:f>M32/20</x:f>
        <x:v>0.45</x:v>
      </x:c>
      <x:c r="O32" s="27" t="str">
        <x:v>Building archetype and thermal-service configuration</x:v>
      </x:c>
      <x:c r="P32" s="27" t="str">
        <x:v>A 2 records configuration detail in the cited paper; it does not mean independently verified field performance.</x:v>
      </x:c>
    </x:row>
    <x:row r="33" ht="38" customHeight="1">
      <x:c r="A33" s="11" t="str">
        <x:v>I-CUG</x:v>
      </x:c>
      <x:c r="B33" s="11" t="str">
        <x:v>Communications utility group</x:v>
      </x:c>
      <x:c r="C33" s="37" t="n">
        <x:v>1</x:v>
      </x:c>
      <x:c r="D33" s="37" t="n">
        <x:v>1</x:v>
      </x:c>
      <x:c r="E33" s="37" t="n">
        <x:v>1</x:v>
      </x:c>
      <x:c r="F33" s="37" t="n">
        <x:v>0</x:v>
      </x:c>
      <x:c r="G33" s="37" t="n">
        <x:v>1</x:v>
      </x:c>
      <x:c r="H33" s="37" t="n">
        <x:v>1</x:v>
      </x:c>
      <x:c r="I33" s="37" t="n">
        <x:v>1</x:v>
      </x:c>
      <x:c r="J33" s="37" t="n">
        <x:v>1</x:v>
      </x:c>
      <x:c r="K33" s="37" t="n">
        <x:v>1</x:v>
      </x:c>
      <x:c r="L33" s="37" t="n">
        <x:v>1</x:v>
      </x:c>
      <x:c r="M33" s="19" t="n">
        <x:f>SUM(C33:L33)</x:f>
        <x:v>9</x:v>
      </x:c>
      <x:c r="N33" s="20" t="n">
        <x:f>M33/20</x:f>
        <x:v>0.45</x:v>
      </x:c>
      <x:c r="O33" s="27" t="str">
        <x:v>Backhaul-to-user degraded-mode configuration</x:v>
      </x:c>
      <x:c r="P33" s="27" t="str">
        <x:v>A 2 records configuration detail in the cited paper; it does not mean independently verified field performance.</x:v>
      </x:c>
    </x:row>
    <x:row r="34" ht="38" customHeight="1">
      <x:c r="A34" s="11" t="str">
        <x:v>I-URG</x:v>
      </x:c>
      <x:c r="B34" s="11" t="str">
        <x:v>Utility reconstruction group</x:v>
      </x:c>
      <x:c r="C34" s="37" t="n">
        <x:v>1</x:v>
      </x:c>
      <x:c r="D34" s="37" t="n">
        <x:v>1</x:v>
      </x:c>
      <x:c r="E34" s="37" t="n">
        <x:v>1</x:v>
      </x:c>
      <x:c r="F34" s="37" t="n">
        <x:v>0</x:v>
      </x:c>
      <x:c r="G34" s="37" t="n">
        <x:v>1</x:v>
      </x:c>
      <x:c r="H34" s="37" t="n">
        <x:v>1</x:v>
      </x:c>
      <x:c r="I34" s="37" t="n">
        <x:v>1</x:v>
      </x:c>
      <x:c r="J34" s="37" t="n">
        <x:v>1</x:v>
      </x:c>
      <x:c r="K34" s="37" t="n">
        <x:v>1</x:v>
      </x:c>
      <x:c r="L34" s="37" t="n">
        <x:v>1</x:v>
      </x:c>
      <x:c r="M34" s="19" t="n">
        <x:f>SUM(C34:L34)</x:f>
        <x:v>9</x:v>
      </x:c>
      <x:c r="N34" s="20" t="n">
        <x:f>M34/20</x:f>
        <x:v>0.45</x:v>
      </x:c>
      <x:c r="O34" s="27" t="str">
        <x:v>Multisystem repair sequencing and acceptance</x:v>
      </x:c>
      <x:c r="P34" s="27" t="str">
        <x:v>A 2 records configuration detail in the cited paper; it does not mean independently verified field performance.</x:v>
      </x:c>
    </x:row>
    <x:row r="35" ht="38" customHeight="1">
      <x:c r="A35" s="11" t="str">
        <x:v>I-UPG</x:v>
      </x:c>
      <x:c r="B35" s="11" t="str">
        <x:v>Utility projection group</x:v>
      </x:c>
      <x:c r="C35" s="37" t="n">
        <x:v>1</x:v>
      </x:c>
      <x:c r="D35" s="37" t="n">
        <x:v>1</x:v>
      </x:c>
      <x:c r="E35" s="37" t="n">
        <x:v>1</x:v>
      </x:c>
      <x:c r="F35" s="37" t="n">
        <x:v>0</x:v>
      </x:c>
      <x:c r="G35" s="37" t="n">
        <x:v>1</x:v>
      </x:c>
      <x:c r="H35" s="37" t="n">
        <x:v>0</x:v>
      </x:c>
      <x:c r="I35" s="37" t="n">
        <x:v>1</x:v>
      </x:c>
      <x:c r="J35" s="37" t="n">
        <x:v>1</x:v>
      </x:c>
      <x:c r="K35" s="37" t="n">
        <x:v>0</x:v>
      </x:c>
      <x:c r="L35" s="37" t="n">
        <x:v>0</x:v>
      </x:c>
      <x:c r="M35" s="19" t="n">
        <x:f>SUM(C35:L35)</x:f>
        <x:v>6</x:v>
      </x:c>
      <x:c r="N35" s="20" t="n">
        <x:f>M35/20</x:f>
        <x:v>0.3</x:v>
      </x:c>
      <x:c r="O35" s="27" t="str">
        <x:v>Disaggregation without double count</x:v>
      </x:c>
      <x:c r="P35" s="27" t="str">
        <x:v>A 2 records configuration detail in the cited paper; it does not mean independently verified field performance.</x:v>
      </x:c>
    </x:row>
    <x:row r="36" ht="38" customHeight="1">
      <x:c r="A36" s="11" t="str">
        <x:v>H-CHC</x:v>
      </x:c>
      <x:c r="B36" s="11" t="str">
        <x:v>Community health continuity group</x:v>
      </x:c>
      <x:c r="C36" s="37" t="n">
        <x:v>1</x:v>
      </x:c>
      <x:c r="D36" s="37" t="n">
        <x:v>1</x:v>
      </x:c>
      <x:c r="E36" s="37" t="n">
        <x:v>1</x:v>
      </x:c>
      <x:c r="F36" s="37" t="n">
        <x:v>0</x:v>
      </x:c>
      <x:c r="G36" s="37" t="n">
        <x:v>1</x:v>
      </x:c>
      <x:c r="H36" s="37" t="n">
        <x:v>1</x:v>
      </x:c>
      <x:c r="I36" s="37" t="n">
        <x:v>1</x:v>
      </x:c>
      <x:c r="J36" s="37" t="n">
        <x:v>1</x:v>
      </x:c>
      <x:c r="K36" s="37" t="n">
        <x:v>1</x:v>
      </x:c>
      <x:c r="L36" s="37" t="n">
        <x:v>1</x:v>
      </x:c>
      <x:c r="M36" s="19" t="n">
        <x:f>SUM(C36:L36)</x:f>
        <x:v>9</x:v>
      </x:c>
      <x:c r="N36" s="20" t="n">
        <x:f>M36/20</x:f>
        <x:v>0.45</x:v>
      </x:c>
      <x:c r="O36" s="27" t="str">
        <x:v>Patient cohort, fixed-facility and workforce configuration</x:v>
      </x:c>
      <x:c r="P36" s="27" t="str">
        <x:v>A 2 records configuration detail in the cited paper; it does not mean independently verified field performance.</x:v>
      </x:c>
    </x:row>
    <x:row r="37" ht="38" customHeight="1">
      <x:c r="A37" s="11" t="str">
        <x:v>H-MAC</x:v>
      </x:c>
      <x:c r="B37" s="11" t="str">
        <x:v>Mobile acute-care group</x:v>
      </x:c>
      <x:c r="C37" s="37" t="n">
        <x:v>1</x:v>
      </x:c>
      <x:c r="D37" s="37" t="n">
        <x:v>1</x:v>
      </x:c>
      <x:c r="E37" s="37" t="n">
        <x:v>1</x:v>
      </x:c>
      <x:c r="F37" s="37" t="n">
        <x:v>0</x:v>
      </x:c>
      <x:c r="G37" s="37" t="n">
        <x:v>1</x:v>
      </x:c>
      <x:c r="H37" s="37" t="n">
        <x:v>1</x:v>
      </x:c>
      <x:c r="I37" s="37" t="n">
        <x:v>1</x:v>
      </x:c>
      <x:c r="J37" s="37" t="n">
        <x:v>1</x:v>
      </x:c>
      <x:c r="K37" s="37" t="n">
        <x:v>1</x:v>
      </x:c>
      <x:c r="L37" s="37" t="n">
        <x:v>1</x:v>
      </x:c>
      <x:c r="M37" s="19" t="n">
        <x:f>SUM(C37:L37)</x:f>
        <x:v>9</x:v>
      </x:c>
      <x:c r="N37" s="20" t="n">
        <x:f>M37/20</x:f>
        <x:v>0.45</x:v>
      </x:c>
      <x:c r="O37" s="27" t="str">
        <x:v>Acuity-specific clinical configuration</x:v>
      </x:c>
      <x:c r="P37" s="27" t="str">
        <x:v>A 2 records configuration detail in the cited paper; it does not mean independently verified field performance.</x:v>
      </x:c>
    </x:row>
    <x:row r="38" ht="38" customHeight="1">
      <x:c r="A38" s="11" t="str">
        <x:v>H-THC</x:v>
      </x:c>
      <x:c r="B38" s="11" t="str">
        <x:v>Theater hospital command</x:v>
      </x:c>
      <x:c r="C38" s="37" t="n">
        <x:v>1</x:v>
      </x:c>
      <x:c r="D38" s="37" t="n">
        <x:v>1</x:v>
      </x:c>
      <x:c r="E38" s="37" t="n">
        <x:v>1</x:v>
      </x:c>
      <x:c r="F38" s="37" t="n">
        <x:v>1</x:v>
      </x:c>
      <x:c r="G38" s="37" t="n">
        <x:v>1</x:v>
      </x:c>
      <x:c r="H38" s="37" t="n">
        <x:v>1</x:v>
      </x:c>
      <x:c r="I38" s="37" t="n">
        <x:v>1</x:v>
      </x:c>
      <x:c r="J38" s="37" t="n">
        <x:v>1</x:v>
      </x:c>
      <x:c r="K38" s="37" t="n">
        <x:v>1</x:v>
      </x:c>
      <x:c r="L38" s="37" t="n">
        <x:v>1</x:v>
      </x:c>
      <x:c r="M38" s="19" t="n">
        <x:f>SUM(C38:L38)</x:f>
        <x:v>10</x:v>
      </x:c>
      <x:c r="N38" s="20" t="n">
        <x:f>M38/20</x:f>
        <x:v>0.5</x:v>
      </x:c>
      <x:c r="O38" s="27" t="str">
        <x:v>Regional patient-flow and specialty-network configuration</x:v>
      </x:c>
      <x:c r="P38" s="27" t="str">
        <x:v>A 2 records configuration detail in the cited paper; it does not mean independently verified field performance.</x:v>
      </x:c>
    </x:row>
    <x:row r="39" ht="38" customHeight="1">
      <x:c r="A39" s="11" t="str">
        <x:v>H-PHC</x:v>
      </x:c>
      <x:c r="B39" s="11" t="str">
        <x:v>Public-health control group</x:v>
      </x:c>
      <x:c r="C39" s="37" t="n">
        <x:v>1</x:v>
      </x:c>
      <x:c r="D39" s="37" t="n">
        <x:v>1</x:v>
      </x:c>
      <x:c r="E39" s="37" t="n">
        <x:v>1</x:v>
      </x:c>
      <x:c r="F39" s="37" t="n">
        <x:v>0</x:v>
      </x:c>
      <x:c r="G39" s="37" t="n">
        <x:v>1</x:v>
      </x:c>
      <x:c r="H39" s="37" t="n">
        <x:v>1</x:v>
      </x:c>
      <x:c r="I39" s="37" t="n">
        <x:v>1</x:v>
      </x:c>
      <x:c r="J39" s="37" t="n">
        <x:v>1</x:v>
      </x:c>
      <x:c r="K39" s="37" t="n">
        <x:v>1</x:v>
      </x:c>
      <x:c r="L39" s="37" t="n">
        <x:v>1</x:v>
      </x:c>
      <x:c r="M39" s="19" t="n">
        <x:f>SUM(C39:L39)</x:f>
        <x:v>9</x:v>
      </x:c>
      <x:c r="N39" s="20" t="n">
        <x:f>M39/20</x:f>
        <x:v>0.45</x:v>
      </x:c>
      <x:c r="O39" s="27" t="str">
        <x:v>Surveillance-to-intervention configuration</x:v>
      </x:c>
      <x:c r="P39" s="27" t="str">
        <x:v>A 2 records configuration detail in the cited paper; it does not mean independently verified field performance.</x:v>
      </x:c>
    </x:row>
    <x:row r="40" ht="38" customHeight="1">
      <x:c r="A40" s="11" t="str">
        <x:v>H-PMG</x:v>
      </x:c>
      <x:c r="B40" s="11" t="str">
        <x:v>Patient movement group</x:v>
      </x:c>
      <x:c r="C40" s="37" t="n">
        <x:v>1</x:v>
      </x:c>
      <x:c r="D40" s="37" t="n">
        <x:v>1</x:v>
      </x:c>
      <x:c r="E40" s="37" t="n">
        <x:v>1</x:v>
      </x:c>
      <x:c r="F40" s="37" t="n">
        <x:v>1</x:v>
      </x:c>
      <x:c r="G40" s="37" t="n">
        <x:v>1</x:v>
      </x:c>
      <x:c r="H40" s="37" t="n">
        <x:v>1</x:v>
      </x:c>
      <x:c r="I40" s="37" t="n">
        <x:v>1</x:v>
      </x:c>
      <x:c r="J40" s="37" t="n">
        <x:v>1</x:v>
      </x:c>
      <x:c r="K40" s="37" t="n">
        <x:v>1</x:v>
      </x:c>
      <x:c r="L40" s="37" t="n">
        <x:v>1</x:v>
      </x:c>
      <x:c r="M40" s="19" t="n">
        <x:f>SUM(C40:L40)</x:f>
        <x:v>10</x:v>
      </x:c>
      <x:c r="N40" s="20" t="n">
        <x:f>M40/20</x:f>
        <x:v>0.5</x:v>
      </x:c>
      <x:c r="O40" s="27" t="str">
        <x:v>Cross-modal patient custody and receiver evidence</x:v>
      </x:c>
      <x:c r="P40" s="27" t="str">
        <x:v>A 2 records configuration detail in the cited paper; it does not mean independently verified field performance.</x:v>
      </x:c>
    </x:row>
    <x:row r="41" ht="38" customHeight="1">
      <x:c r="A41" s="11" t="str">
        <x:v>H-HWR</x:v>
      </x:c>
      <x:c r="B41" s="11" t="str">
        <x:v>Health workforce replacement group</x:v>
      </x:c>
      <x:c r="C41" s="37" t="n">
        <x:v>1</x:v>
      </x:c>
      <x:c r="D41" s="37" t="n">
        <x:v>1</x:v>
      </x:c>
      <x:c r="E41" s="37" t="n">
        <x:v>1</x:v>
      </x:c>
      <x:c r="F41" s="37" t="n">
        <x:v>0</x:v>
      </x:c>
      <x:c r="G41" s="37" t="n">
        <x:v>1</x:v>
      </x:c>
      <x:c r="H41" s="37" t="n">
        <x:v>1</x:v>
      </x:c>
      <x:c r="I41" s="37" t="n">
        <x:v>1</x:v>
      </x:c>
      <x:c r="J41" s="37" t="n">
        <x:v>1</x:v>
      </x:c>
      <x:c r="K41" s="37" t="n">
        <x:v>1</x:v>
      </x:c>
      <x:c r="L41" s="37" t="n">
        <x:v>1</x:v>
      </x:c>
      <x:c r="M41" s="19" t="n">
        <x:f>SUM(C41:L41)</x:f>
        <x:v>9</x:v>
      </x:c>
      <x:c r="N41" s="20" t="n">
        <x:f>M41/20</x:f>
        <x:v>0.45</x:v>
      </x:c>
      <x:c r="O41" s="27" t="str">
        <x:v>Occupation supply and mobilization proof</x:v>
      </x:c>
      <x:c r="P41" s="27" t="str">
        <x:v>A 2 records configuration detail in the cited paper; it does not mean independently verified field performance.</x:v>
      </x:c>
    </x:row>
    <x:row r="42" ht="38" customHeight="1">
      <x:c r="A42" s="11" t="str">
        <x:v>C-PSG</x:v>
      </x:c>
      <x:c r="B42" s="11" t="str">
        <x:v>Population support group</x:v>
      </x:c>
      <x:c r="C42" s="37" t="n">
        <x:v>2</x:v>
      </x:c>
      <x:c r="D42" s="37" t="n">
        <x:v>2</x:v>
      </x:c>
      <x:c r="E42" s="37" t="n">
        <x:v>2</x:v>
      </x:c>
      <x:c r="F42" s="37" t="n">
        <x:v>2</x:v>
      </x:c>
      <x:c r="G42" s="37" t="n">
        <x:v>2</x:v>
      </x:c>
      <x:c r="H42" s="37" t="n">
        <x:v>1</x:v>
      </x:c>
      <x:c r="I42" s="37" t="n">
        <x:v>2</x:v>
      </x:c>
      <x:c r="J42" s="37" t="n">
        <x:v>1</x:v>
      </x:c>
      <x:c r="K42" s="37" t="n">
        <x:v>1</x:v>
      </x:c>
      <x:c r="L42" s="37" t="n">
        <x:v>1</x:v>
      </x:c>
      <x:c r="M42" s="19" t="n">
        <x:f>SUM(C42:L42)</x:f>
        <x:v>16</x:v>
      </x:c>
      <x:c r="N42" s="20" t="n">
        <x:f>M42/20</x:f>
        <x:v>0.8</x:v>
      </x:c>
      <x:c r="O42" s="27" t="str">
        <x:v>Occupied district and multi-week service evidence</x:v>
      </x:c>
      <x:c r="P42" s="27" t="str">
        <x:v>A 2 records configuration detail in the cited paper; it does not mean independently verified field performance.</x:v>
      </x:c>
    </x:row>
    <x:row r="43" ht="38" customHeight="1">
      <x:c r="A43" s="11" t="str">
        <x:v>C-EGG</x:v>
      </x:c>
      <x:c r="B43" s="11" t="str">
        <x:v>Essential-goods group</x:v>
      </x:c>
      <x:c r="C43" s="37" t="n">
        <x:v>1</x:v>
      </x:c>
      <x:c r="D43" s="37" t="n">
        <x:v>1</x:v>
      </x:c>
      <x:c r="E43" s="37" t="n">
        <x:v>1</x:v>
      </x:c>
      <x:c r="F43" s="37" t="n">
        <x:v>0</x:v>
      </x:c>
      <x:c r="G43" s="37" t="n">
        <x:v>1</x:v>
      </x:c>
      <x:c r="H43" s="37" t="n">
        <x:v>1</x:v>
      </x:c>
      <x:c r="I43" s="37" t="n">
        <x:v>1</x:v>
      </x:c>
      <x:c r="J43" s="37" t="n">
        <x:v>1</x:v>
      </x:c>
      <x:c r="K43" s="37" t="n">
        <x:v>1</x:v>
      </x:c>
      <x:c r="L43" s="37" t="n">
        <x:v>1</x:v>
      </x:c>
      <x:c r="M43" s="19" t="n">
        <x:f>SUM(C43:L43)</x:f>
        <x:v>9</x:v>
      </x:c>
      <x:c r="N43" s="20" t="n">
        <x:f>M43/20</x:f>
        <x:v>0.45</x:v>
      </x:c>
      <x:c r="O43" s="27" t="str">
        <x:v>Household basket, distribution and return-flow configuration</x:v>
      </x:c>
      <x:c r="P43" s="27" t="str">
        <x:v>A 2 records configuration detail in the cited paper; it does not mean independently verified field performance.</x:v>
      </x:c>
    </x:row>
    <x:row r="44" ht="38" customHeight="1">
      <x:c r="A44" s="11" t="str">
        <x:v>C-CAG</x:v>
      </x:c>
      <x:c r="B44" s="11" t="str">
        <x:v>Civil access group</x:v>
      </x:c>
      <x:c r="C44" s="37" t="n">
        <x:v>1</x:v>
      </x:c>
      <x:c r="D44" s="37" t="n">
        <x:v>1</x:v>
      </x:c>
      <x:c r="E44" s="37" t="n">
        <x:v>1</x:v>
      </x:c>
      <x:c r="F44" s="37" t="n">
        <x:v>0</x:v>
      </x:c>
      <x:c r="G44" s="37" t="n">
        <x:v>1</x:v>
      </x:c>
      <x:c r="H44" s="37" t="n">
        <x:v>1</x:v>
      </x:c>
      <x:c r="I44" s="37" t="n">
        <x:v>1</x:v>
      </x:c>
      <x:c r="J44" s="37" t="n">
        <x:v>1</x:v>
      </x:c>
      <x:c r="K44" s="37" t="n">
        <x:v>1</x:v>
      </x:c>
      <x:c r="L44" s="37" t="n">
        <x:v>1</x:v>
      </x:c>
      <x:c r="M44" s="19" t="n">
        <x:f>SUM(C44:L44)</x:f>
        <x:v>9</x:v>
      </x:c>
      <x:c r="N44" s="20" t="n">
        <x:f>M44/20</x:f>
        <x:v>0.45</x:v>
      </x:c>
      <x:c r="O44" s="27" t="str">
        <x:v>Disconnected public-service interface</x:v>
      </x:c>
      <x:c r="P44" s="27" t="str">
        <x:v>A 2 records configuration detail in the cited paper; it does not mean independently verified field performance.</x:v>
      </x:c>
    </x:row>
    <x:row r="45" ht="38" customHeight="1">
      <x:c r="A45" s="11" t="str">
        <x:v>C-DTG</x:v>
      </x:c>
      <x:c r="B45" s="11" t="str">
        <x:v>Displacement transition group</x:v>
      </x:c>
      <x:c r="C45" s="37" t="n">
        <x:v>1</x:v>
      </x:c>
      <x:c r="D45" s="37" t="n">
        <x:v>1</x:v>
      </x:c>
      <x:c r="E45" s="37" t="n">
        <x:v>1</x:v>
      </x:c>
      <x:c r="F45" s="37" t="n">
        <x:v>0</x:v>
      </x:c>
      <x:c r="G45" s="37" t="n">
        <x:v>1</x:v>
      </x:c>
      <x:c r="H45" s="37" t="n">
        <x:v>1</x:v>
      </x:c>
      <x:c r="I45" s="37" t="n">
        <x:v>1</x:v>
      </x:c>
      <x:c r="J45" s="37" t="n">
        <x:v>1</x:v>
      </x:c>
      <x:c r="K45" s="37" t="n">
        <x:v>1</x:v>
      </x:c>
      <x:c r="L45" s="37" t="n">
        <x:v>1</x:v>
      </x:c>
      <x:c r="M45" s="19" t="n">
        <x:f>SUM(C45:L45)</x:f>
        <x:v>9</x:v>
      </x:c>
      <x:c r="N45" s="20" t="n">
        <x:f>M45/20</x:f>
        <x:v>0.45</x:v>
      </x:c>
      <x:c r="O45" s="27" t="str">
        <x:v>Housing pathway and return evidence</x:v>
      </x:c>
      <x:c r="P45" s="27" t="str">
        <x:v>A 2 records configuration detail in the cited paper; it does not mean independently verified field performance.</x:v>
      </x:c>
    </x:row>
    <x:row r="46" ht="38" customHeight="1">
      <x:c r="A46" s="11" t="str">
        <x:v>C-CIG</x:v>
      </x:c>
      <x:c r="B46" s="11" t="str">
        <x:v>Community institutions group</x:v>
      </x:c>
      <x:c r="C46" s="37" t="n">
        <x:v>1</x:v>
      </x:c>
      <x:c r="D46" s="37" t="n">
        <x:v>1</x:v>
      </x:c>
      <x:c r="E46" s="37" t="n">
        <x:v>1</x:v>
      </x:c>
      <x:c r="F46" s="37" t="n">
        <x:v>0</x:v>
      </x:c>
      <x:c r="G46" s="37" t="n">
        <x:v>1</x:v>
      </x:c>
      <x:c r="H46" s="37" t="n">
        <x:v>1</x:v>
      </x:c>
      <x:c r="I46" s="37" t="n">
        <x:v>1</x:v>
      </x:c>
      <x:c r="J46" s="37" t="n">
        <x:v>1</x:v>
      </x:c>
      <x:c r="K46" s="37" t="n">
        <x:v>1</x:v>
      </x:c>
      <x:c r="L46" s="37" t="n">
        <x:v>1</x:v>
      </x:c>
      <x:c r="M46" s="19" t="n">
        <x:f>SUM(C46:L46)</x:f>
        <x:v>9</x:v>
      </x:c>
      <x:c r="N46" s="20" t="n">
        <x:f>M46/20</x:f>
        <x:v>0.45</x:v>
      </x:c>
      <x:c r="O46" s="27" t="str">
        <x:v>Institution-continuity package and transfer</x:v>
      </x:c>
      <x:c r="P46" s="27" t="str">
        <x:v>A 2 records configuration detail in the cited paper; it does not mean independently verified field performance.</x:v>
      </x:c>
    </x:row>
    <x:row r="47" ht="38" customHeight="1">
      <x:c r="A47" s="11" t="str">
        <x:v>C-ERG</x:v>
      </x:c>
      <x:c r="B47" s="11" t="str">
        <x:v>Economic restart group</x:v>
      </x:c>
      <x:c r="C47" s="37" t="n">
        <x:v>1</x:v>
      </x:c>
      <x:c r="D47" s="37" t="n">
        <x:v>1</x:v>
      </x:c>
      <x:c r="E47" s="37" t="n">
        <x:v>0</x:v>
      </x:c>
      <x:c r="F47" s="37" t="n">
        <x:v>0</x:v>
      </x:c>
      <x:c r="G47" s="37" t="n">
        <x:v>1</x:v>
      </x:c>
      <x:c r="H47" s="37" t="n">
        <x:v>1</x:v>
      </x:c>
      <x:c r="I47" s="37" t="n">
        <x:v>0</x:v>
      </x:c>
      <x:c r="J47" s="37" t="n">
        <x:v>1</x:v>
      </x:c>
      <x:c r="K47" s="37" t="n">
        <x:v>1</x:v>
      </x:c>
      <x:c r="L47" s="37" t="n">
        <x:v>1</x:v>
      </x:c>
      <x:c r="M47" s="19" t="n">
        <x:f>SUM(C47:L47)</x:f>
        <x:v>7</x:v>
      </x:c>
      <x:c r="N47" s="20" t="n">
        <x:f>M47/20</x:f>
        <x:v>0.35</x:v>
      </x:c>
      <x:c r="O47" s="27" t="str">
        <x:v>Measurable market-restart service contract</x:v>
      </x:c>
      <x:c r="P47" s="27" t="str">
        <x:v>A 2 records configuration detail in the cited paper; it does not mean independently verified field performance.</x:v>
      </x:c>
    </x:row>
    <x:row r="48" ht="38" customHeight="1">
      <x:c r="A48" s="11" t="str">
        <x:v>CM-HCG</x:v>
      </x:c>
      <x:c r="B48" s="11" t="str">
        <x:v>Household collection group</x:v>
      </x:c>
      <x:c r="C48" s="37" t="n">
        <x:v>2</x:v>
      </x:c>
      <x:c r="D48" s="37" t="n">
        <x:v>2</x:v>
      </x:c>
      <x:c r="E48" s="37" t="n">
        <x:v>2</x:v>
      </x:c>
      <x:c r="F48" s="37" t="n">
        <x:v>2</x:v>
      </x:c>
      <x:c r="G48" s="37" t="n">
        <x:v>2</x:v>
      </x:c>
      <x:c r="H48" s="37" t="n">
        <x:v>1</x:v>
      </x:c>
      <x:c r="I48" s="37" t="n">
        <x:v>2</x:v>
      </x:c>
      <x:c r="J48" s="37" t="n">
        <x:v>1</x:v>
      </x:c>
      <x:c r="K48" s="37" t="n">
        <x:v>1</x:v>
      </x:c>
      <x:c r="L48" s="37" t="n">
        <x:v>1</x:v>
      </x:c>
      <x:c r="M48" s="19" t="n">
        <x:f>SUM(C48:L48)</x:f>
        <x:v>16</x:v>
      </x:c>
      <x:c r="N48" s="20" t="n">
        <x:f>M48/20</x:f>
        <x:v>0.8</x:v>
      </x:c>
      <x:c r="O48" s="27" t="str">
        <x:v>Disconnected household contact and building release</x:v>
      </x:c>
      <x:c r="P48" s="27" t="str">
        <x:v>A 2 records configuration detail in the cited paper; it does not mean independently verified field performance.</x:v>
      </x:c>
    </x:row>
    <x:row r="49" ht="38" customHeight="1">
      <x:c r="A49" s="11" t="str">
        <x:v>CM-CTN</x:v>
      </x:c>
      <x:c r="B49" s="11" t="str">
        <x:v>Continuity transfer-node group</x:v>
      </x:c>
      <x:c r="C49" s="37" t="n">
        <x:v>2</x:v>
      </x:c>
      <x:c r="D49" s="37" t="n">
        <x:v>2</x:v>
      </x:c>
      <x:c r="E49" s="37" t="n">
        <x:v>2</x:v>
      </x:c>
      <x:c r="F49" s="37" t="n">
        <x:v>2</x:v>
      </x:c>
      <x:c r="G49" s="37" t="n">
        <x:v>2</x:v>
      </x:c>
      <x:c r="H49" s="37" t="n">
        <x:v>1</x:v>
      </x:c>
      <x:c r="I49" s="37" t="n">
        <x:v>2</x:v>
      </x:c>
      <x:c r="J49" s="37" t="n">
        <x:v>1</x:v>
      </x:c>
      <x:c r="K49" s="37" t="n">
        <x:v>1</x:v>
      </x:c>
      <x:c r="L49" s="37" t="n">
        <x:v>1</x:v>
      </x:c>
      <x:c r="M49" s="19" t="n">
        <x:f>SUM(C49:L49)</x:f>
        <x:v>16</x:v>
      </x:c>
      <x:c r="N49" s="20" t="n">
        <x:f>M49/20</x:f>
        <x:v>0.8</x:v>
      </x:c>
      <x:c r="O49" s="27" t="str">
        <x:v>Prepared/mobile/expeditionary split and queue evidence</x:v>
      </x:c>
      <x:c r="P49" s="27" t="str">
        <x:v>A 2 records configuration detail in the cited paper; it does not mean independently verified field performance.</x:v>
      </x:c>
    </x:row>
    <x:row r="50" ht="38" customHeight="1">
      <x:c r="A50" s="11" t="str">
        <x:v>CM-RMG</x:v>
      </x:c>
      <x:c r="B50" s="11" t="str">
        <x:v>Civil road-mobility group</x:v>
      </x:c>
      <x:c r="C50" s="37" t="n">
        <x:v>1</x:v>
      </x:c>
      <x:c r="D50" s="37" t="n">
        <x:v>1</x:v>
      </x:c>
      <x:c r="E50" s="37" t="n">
        <x:v>1</x:v>
      </x:c>
      <x:c r="F50" s="37" t="n">
        <x:v>1</x:v>
      </x:c>
      <x:c r="G50" s="37" t="n">
        <x:v>1</x:v>
      </x:c>
      <x:c r="H50" s="37" t="n">
        <x:v>1</x:v>
      </x:c>
      <x:c r="I50" s="37" t="n">
        <x:v>1</x:v>
      </x:c>
      <x:c r="J50" s="37" t="n">
        <x:v>1</x:v>
      </x:c>
      <x:c r="K50" s="37" t="n">
        <x:v>1</x:v>
      </x:c>
      <x:c r="L50" s="37" t="n">
        <x:v>1</x:v>
      </x:c>
      <x:c r="M50" s="19" t="n">
        <x:f>SUM(C50:L50)</x:f>
        <x:v>10</x:v>
      </x:c>
      <x:c r="N50" s="20" t="n">
        <x:f>M50/20</x:f>
        <x:v>0.5</x:v>
      </x:c>
      <x:c r="O50" s="27" t="str">
        <x:v>Purpose-built fleet and origin-to-admission evidence</x:v>
      </x:c>
      <x:c r="P50" s="27" t="str">
        <x:v>A 2 records configuration detail in the cited paper; it does not mean independently verified field performance.</x:v>
      </x:c>
    </x:row>
    <x:row r="51" ht="38" customHeight="1">
      <x:c r="A51" s="11" t="str">
        <x:v>CM-RLG</x:v>
      </x:c>
      <x:c r="B51" s="11" t="str">
        <x:v>Civil rail-mobility group</x:v>
      </x:c>
      <x:c r="C51" s="37" t="n">
        <x:v>1</x:v>
      </x:c>
      <x:c r="D51" s="37" t="n">
        <x:v>1</x:v>
      </x:c>
      <x:c r="E51" s="37" t="n">
        <x:v>1</x:v>
      </x:c>
      <x:c r="F51" s="37" t="n">
        <x:v>1</x:v>
      </x:c>
      <x:c r="G51" s="37" t="n">
        <x:v>1</x:v>
      </x:c>
      <x:c r="H51" s="37" t="n">
        <x:v>1</x:v>
      </x:c>
      <x:c r="I51" s="37" t="n">
        <x:v>1</x:v>
      </x:c>
      <x:c r="J51" s="37" t="n">
        <x:v>1</x:v>
      </x:c>
      <x:c r="K51" s="37" t="n">
        <x:v>1</x:v>
      </x:c>
      <x:c r="L51" s="37" t="n">
        <x:v>1</x:v>
      </x:c>
      <x:c r="M51" s="19" t="n">
        <x:f>SUM(C51:L51)</x:f>
        <x:v>10</x:v>
      </x:c>
      <x:c r="N51" s="20" t="n">
        <x:f>M51/20</x:f>
        <x:v>0.5</x:v>
      </x:c>
      <x:c r="O51" s="27" t="str">
        <x:v>Trainset, station and destination configuration</x:v>
      </x:c>
      <x:c r="P51" s="27" t="str">
        <x:v>A 2 records configuration detail in the cited paper; it does not mean independently verified field performance.</x:v>
      </x:c>
    </x:row>
    <x:row r="52" ht="38" customHeight="1">
      <x:c r="A52" s="11" t="str">
        <x:v>CM-AMG</x:v>
      </x:c>
      <x:c r="B52" s="11" t="str">
        <x:v>Civil air-mobility group</x:v>
      </x:c>
      <x:c r="C52" s="37" t="n">
        <x:v>1</x:v>
      </x:c>
      <x:c r="D52" s="37" t="n">
        <x:v>1</x:v>
      </x:c>
      <x:c r="E52" s="37" t="n">
        <x:v>1</x:v>
      </x:c>
      <x:c r="F52" s="37" t="n">
        <x:v>1</x:v>
      </x:c>
      <x:c r="G52" s="37" t="n">
        <x:v>1</x:v>
      </x:c>
      <x:c r="H52" s="37" t="n">
        <x:v>1</x:v>
      </x:c>
      <x:c r="I52" s="37" t="n">
        <x:v>1</x:v>
      </x:c>
      <x:c r="J52" s="37" t="n">
        <x:v>1</x:v>
      </x:c>
      <x:c r="K52" s="37" t="n">
        <x:v>1</x:v>
      </x:c>
      <x:c r="L52" s="37" t="n">
        <x:v>1</x:v>
      </x:c>
      <x:c r="M52" s="19" t="n">
        <x:f>SUM(C52:L52)</x:f>
        <x:v>10</x:v>
      </x:c>
      <x:c r="N52" s="20" t="n">
        <x:f>M52/20</x:f>
        <x:v>0.5</x:v>
      </x:c>
      <x:c r="O52" s="27" t="str">
        <x:v>Passenger air-system configuration</x:v>
      </x:c>
      <x:c r="P52" s="27" t="str">
        <x:v>A 2 records configuration detail in the cited paper; it does not mean independently verified field performance.</x:v>
      </x:c>
    </x:row>
    <x:row r="53" ht="38" customHeight="1">
      <x:c r="A53" s="11" t="str">
        <x:v>CM-WMG</x:v>
      </x:c>
      <x:c r="B53" s="11" t="str">
        <x:v>Civil water-mobility group</x:v>
      </x:c>
      <x:c r="C53" s="37" t="n">
        <x:v>1</x:v>
      </x:c>
      <x:c r="D53" s="37" t="n">
        <x:v>1</x:v>
      </x:c>
      <x:c r="E53" s="37" t="n">
        <x:v>1</x:v>
      </x:c>
      <x:c r="F53" s="37" t="n">
        <x:v>1</x:v>
      </x:c>
      <x:c r="G53" s="37" t="n">
        <x:v>1</x:v>
      </x:c>
      <x:c r="H53" s="37" t="n">
        <x:v>1</x:v>
      </x:c>
      <x:c r="I53" s="37" t="n">
        <x:v>1</x:v>
      </x:c>
      <x:c r="J53" s="37" t="n">
        <x:v>1</x:v>
      </x:c>
      <x:c r="K53" s="37" t="n">
        <x:v>1</x:v>
      </x:c>
      <x:c r="L53" s="37" t="n">
        <x:v>1</x:v>
      </x:c>
      <x:c r="M53" s="19" t="n">
        <x:f>SUM(C53:L53)</x:f>
        <x:v>10</x:v>
      </x:c>
      <x:c r="N53" s="20" t="n">
        <x:f>M53/20</x:f>
        <x:v>0.5</x:v>
      </x:c>
      <x:c r="O53" s="27" t="str">
        <x:v>Passenger vessel and no-pier transfer configuration</x:v>
      </x:c>
      <x:c r="P53" s="27" t="str">
        <x:v>A 2 records configuration detail in the cited paper; it does not mean independently verified field performance.</x:v>
      </x:c>
    </x:row>
    <x:row r="54" ht="38" customHeight="1">
      <x:c r="A54" s="11" t="str">
        <x:v>CM-RDC</x:v>
      </x:c>
      <x:c r="B54" s="11" t="str">
        <x:v>Return and durable-continuity group</x:v>
      </x:c>
      <x:c r="C54" s="37" t="n">
        <x:v>1</x:v>
      </x:c>
      <x:c r="D54" s="37" t="n">
        <x:v>1</x:v>
      </x:c>
      <x:c r="E54" s="37" t="n">
        <x:v>1</x:v>
      </x:c>
      <x:c r="F54" s="37" t="n">
        <x:v>1</x:v>
      </x:c>
      <x:c r="G54" s="37" t="n">
        <x:v>1</x:v>
      </x:c>
      <x:c r="H54" s="37" t="n">
        <x:v>1</x:v>
      </x:c>
      <x:c r="I54" s="37" t="n">
        <x:v>1</x:v>
      </x:c>
      <x:c r="J54" s="37" t="n">
        <x:v>1</x:v>
      </x:c>
      <x:c r="K54" s="37" t="n">
        <x:v>1</x:v>
      </x:c>
      <x:c r="L54" s="37" t="n">
        <x:v>1</x:v>
      </x:c>
      <x:c r="M54" s="19" t="n">
        <x:f>SUM(C54:L54)</x:f>
        <x:v>10</x:v>
      </x:c>
      <x:c r="N54" s="20" t="n">
        <x:f>M54/20</x:f>
        <x:v>0.5</x:v>
      </x:c>
      <x:c r="O54" s="27" t="str">
        <x:v>Return authority, origin release and longitudinal outcome evidence</x:v>
      </x:c>
      <x:c r="P54" s="27" t="str">
        <x:v>A 2 records configuration detail in the cited paper; it does not mean independently verified field performance.</x:v>
      </x:c>
    </x:row>
  </x:sheetData>
  <x:conditionalFormatting sqref="C6:L54">
    <x:cfRule type="colorScale" priority="1">
      <x:colorScale>
        <x:cfvo type="min"/>
        <x:cfvo type="num" val="1"/>
        <x:cfvo type="max"/>
        <x:color rgb="FFF3B8B8"/>
        <x:color rgb="FFFFF0B8"/>
        <x:color rgb="FFB9DDBF"/>
      </x:colorScale>
    </x:cfRule>
  </x:conditionalFormatting>
  <x:dataValidations count="1">
    <x:dataValidation type="list" sqref="C6:L54">
      <x:formula1>"0,1,2"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ab23a538f5848a7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3" hidden="0" customWidth="1"/>
    <x:col min="2" max="2" width="31" hidden="0" customWidth="1"/>
    <x:col min="3" max="3" width="46" hidden="0" customWidth="1"/>
    <x:col min="4" max="4" width="25" hidden="0" customWidth="1"/>
    <x:col min="5" max="5" width="43" hidden="0" customWidth="1"/>
    <x:col min="6" max="6" width="31" hidden="0" customWidth="1"/>
    <x:col min="7" max="7" width="52" hidden="0" customWidth="1"/>
    <x:col min="8" max="8" width="25" hidden="0" customWidth="1"/>
    <x:col min="9" max="9" width="36" hidden="0" customWidth="1"/>
  </x:cols>
  <x:sheetData>
    <x:row r="2">
      <x:c r="A2" s="2" t="str">
        <x:v>Formation Dependency Map</x:v>
      </x:c>
      <x:c r="B2" s="1"/>
      <x:c r="C2" s="1"/>
      <x:c r="D2" s="1"/>
      <x:c r="E2" s="1"/>
      <x:c r="F2" s="1"/>
      <x:c r="G2" s="1"/>
      <x:c r="H2" s="1"/>
      <x:c r="I2" s="1"/>
    </x:row>
    <x:row r="3">
      <x:c r="A3" s="3" t="str">
        <x:v>First-order supported/supporting relationships and common-mode hypotheses. These are targets for covariance tests, not independence claims.</x:v>
      </x:c>
      <x:c r="B3" s="3"/>
      <x:c r="C3" s="3"/>
      <x:c r="D3" s="3"/>
      <x:c r="E3" s="3"/>
      <x:c r="F3" s="3"/>
      <x:c r="G3" s="3"/>
      <x:c r="H3" s="3"/>
      <x:c r="I3" s="3"/>
    </x:row>
    <x:row r="5" ht="46" customHeight="1">
      <x:c r="A5" s="9" t="str">
        <x:v>Formation ID</x:v>
      </x:c>
      <x:c r="B5" s="9" t="str">
        <x:v>Formation family</x:v>
      </x:c>
      <x:c r="C5" s="9" t="str">
        <x:v>Receives from</x:v>
      </x:c>
      <x:c r="D5" s="9" t="str">
        <x:v>Supports</x:v>
      </x:c>
      <x:c r="E5" s="9" t="str">
        <x:v>Dominant common mode</x:v>
      </x:c>
      <x:c r="F5" s="9" t="str">
        <x:v>Evidence state</x:v>
      </x:c>
      <x:c r="G5" s="9" t="str">
        <x:v>Next dependency test</x:v>
      </x:c>
      <x:c r="H5" s="9" t="str">
        <x:v>Generating service</x:v>
      </x:c>
      <x:c r="I5" s="9" t="str">
        <x:v>Primary effect</x:v>
      </x:c>
    </x:row>
    <x:row r="6" ht="46" customHeight="1">
      <x:c r="A6" s="11" t="str">
        <x:v>J-CIE</x:v>
      </x:c>
      <x:c r="B6" s="11" t="str">
        <x:v>Civil integration and effects group</x:v>
      </x:c>
      <x:c r="C6" s="27" t="str">
        <x:v>Joint entry, information, sustainment and civil integration</x:v>
      </x:c>
      <x:c r="D6" s="27" t="str">
        <x:v>Campaign force</x:v>
      </x:c>
      <x:c r="E6" s="27" t="str">
        <x:v>Movement, energy, communications, skilled labor and receiving sites</x:v>
      </x:c>
      <x:c r="F6" s="27" t="str">
        <x:v>Architectural relation; covariance unmeasured</x:v>
      </x:c>
      <x:c r="G6" s="27" t="str">
        <x:v>Joint seeded-loss campaign trial with named origins and receivers</x:v>
      </x:c>
      <x:c r="H6" s="11" t="str">
        <x:v>Joint</x:v>
      </x:c>
      <x:c r="I6" s="11" t="str">
        <x:v>Civil coordination, safety and public information</x:v>
      </x:c>
    </x:row>
    <x:row r="7" ht="46" customHeight="1">
      <x:c r="A7" s="11" t="str">
        <x:v>J-TOC</x:v>
      </x:c>
      <x:c r="B7" s="11" t="str">
        <x:v>Theater-opening command</x:v>
      </x:c>
      <x:c r="C7" s="27" t="str">
        <x:v>Joint entry, information, sustainment and civil integration</x:v>
      </x:c>
      <x:c r="D7" s="27" t="str">
        <x:v>Campaign force</x:v>
      </x:c>
      <x:c r="E7" s="27" t="str">
        <x:v>Movement, energy, communications, skilled labor and receiving sites</x:v>
      </x:c>
      <x:c r="F7" s="27" t="str">
        <x:v>Architectural relation; covariance unmeasured</x:v>
      </x:c>
      <x:c r="G7" s="27" t="str">
        <x:v>Joint seeded-loss campaign trial with named origins and receivers</x:v>
      </x:c>
      <x:c r="H7" s="11" t="str">
        <x:v>Joint</x:v>
      </x:c>
      <x:c r="I7" s="11" t="str">
        <x:v>Mobility, access and distribution</x:v>
      </x:c>
    </x:row>
    <x:row r="8" ht="46" customHeight="1">
      <x:c r="A8" s="11" t="str">
        <x:v>J-TSC</x:v>
      </x:c>
      <x:c r="B8" s="11" t="str">
        <x:v>Theater sustainment command</x:v>
      </x:c>
      <x:c r="C8" s="27" t="str">
        <x:v>Joint entry, information, sustainment and civil integration</x:v>
      </x:c>
      <x:c r="D8" s="27" t="str">
        <x:v>Campaign force</x:v>
      </x:c>
      <x:c r="E8" s="27" t="str">
        <x:v>Movement, energy, communications, skilled labor and receiving sites</x:v>
      </x:c>
      <x:c r="F8" s="27" t="str">
        <x:v>Architectural relation; covariance unmeasured</x:v>
      </x:c>
      <x:c r="G8" s="27" t="str">
        <x:v>Joint seeded-loss campaign trial with named origins and receivers</x:v>
      </x:c>
      <x:c r="H8" s="11" t="str">
        <x:v>Joint</x:v>
      </x:c>
      <x:c r="I8" s="11" t="str">
        <x:v>Mobility, access and distribution</x:v>
      </x:c>
    </x:row>
    <x:row r="9" ht="46" customHeight="1">
      <x:c r="A9" s="11" t="str">
        <x:v>J-RIG</x:v>
      </x:c>
      <x:c r="B9" s="11" t="str">
        <x:v>Resilience information group</x:v>
      </x:c>
      <x:c r="C9" s="27" t="str">
        <x:v>Joint entry, information, sustainment and civil integration</x:v>
      </x:c>
      <x:c r="D9" s="27" t="str">
        <x:v>Campaign force</x:v>
      </x:c>
      <x:c r="E9" s="27" t="str">
        <x:v>Movement, energy, communications, skilled labor and receiving sites</x:v>
      </x:c>
      <x:c r="F9" s="27" t="str">
        <x:v>Architectural relation; covariance unmeasured</x:v>
      </x:c>
      <x:c r="G9" s="27" t="str">
        <x:v>Joint seeded-loss campaign trial with named origins and receivers</x:v>
      </x:c>
      <x:c r="H9" s="11" t="str">
        <x:v>Joint</x:v>
      </x:c>
      <x:c r="I9" s="11" t="str">
        <x:v>Communications, computation and public-service access</x:v>
      </x:c>
    </x:row>
    <x:row r="10" ht="46" customHeight="1">
      <x:c r="A10" s="11" t="str">
        <x:v>J-RRG</x:v>
      </x:c>
      <x:c r="B10" s="11" t="str">
        <x:v>Replacement and reconstitution group</x:v>
      </x:c>
      <x:c r="C10" s="27" t="str">
        <x:v>Joint entry, information, sustainment and civil integration</x:v>
      </x:c>
      <x:c r="D10" s="27" t="str">
        <x:v>Campaign force</x:v>
      </x:c>
      <x:c r="E10" s="27" t="str">
        <x:v>Movement, energy, communications, skilled labor and receiving sites</x:v>
      </x:c>
      <x:c r="F10" s="27" t="str">
        <x:v>Architectural relation; covariance unmeasured</x:v>
      </x:c>
      <x:c r="G10" s="27" t="str">
        <x:v>Joint seeded-loss campaign trial with named origins and receivers</x:v>
      </x:c>
      <x:c r="H10" s="11" t="str">
        <x:v>Joint</x:v>
      </x:c>
      <x:c r="I10" s="11" t="str">
        <x:v>Housing, public works and economic continuity</x:v>
      </x:c>
    </x:row>
    <x:row r="11" ht="46" customHeight="1">
      <x:c r="A11" s="11" t="str">
        <x:v>J-TDG</x:v>
      </x:c>
      <x:c r="B11" s="11" t="str">
        <x:v>Transfer and demobilization group</x:v>
      </x:c>
      <x:c r="C11" s="27" t="str">
        <x:v>Joint entry, information, sustainment and civil integration</x:v>
      </x:c>
      <x:c r="D11" s="27" t="str">
        <x:v>Campaign force</x:v>
      </x:c>
      <x:c r="E11" s="27" t="str">
        <x:v>Movement, energy, communications, skilled labor and receiving sites</x:v>
      </x:c>
      <x:c r="F11" s="27" t="str">
        <x:v>Architectural relation; covariance unmeasured</x:v>
      </x:c>
      <x:c r="G11" s="27" t="str">
        <x:v>Joint seeded-loss campaign trial with named origins and receivers</x:v>
      </x:c>
      <x:c r="H11" s="11" t="str">
        <x:v>Joint</x:v>
      </x:c>
      <x:c r="I11" s="11" t="str">
        <x:v>Civil coordination, safety and public information</x:v>
      </x:c>
    </x:row>
    <x:row r="12" ht="46" customHeight="1">
      <x:c r="A12" s="11" t="str">
        <x:v>L-ROG</x:v>
      </x:c>
      <x:c r="B12" s="11" t="str">
        <x:v>Access and route-opening group</x:v>
      </x:c>
      <x:c r="C12" s="27" t="str">
        <x:v>Joint entry, information, sustainment and civil integration</x:v>
      </x:c>
      <x:c r="D12" s="27" t="str">
        <x:v>Campaign force</x:v>
      </x:c>
      <x:c r="E12" s="27" t="str">
        <x:v>Movement, energy, communications, skilled labor and receiving sites</x:v>
      </x:c>
      <x:c r="F12" s="27" t="str">
        <x:v>Architectural relation; covariance unmeasured</x:v>
      </x:c>
      <x:c r="G12" s="27" t="str">
        <x:v>Joint seeded-loss campaign trial with named origins and receivers</x:v>
      </x:c>
      <x:c r="H12" s="11" t="str">
        <x:v>Land Engineering</x:v>
      </x:c>
      <x:c r="I12" s="11" t="str">
        <x:v>Mobility, access and distribution</x:v>
      </x:c>
    </x:row>
    <x:row r="13" ht="46" customHeight="1">
      <x:c r="A13" s="11" t="str">
        <x:v>L-HCG</x:v>
      </x:c>
      <x:c r="B13" s="11" t="str">
        <x:v>Flood and hydraulic-control group</x:v>
      </x:c>
      <x:c r="C13" s="27" t="str">
        <x:v>Joint entry, information, sustainment and civil integration</x:v>
      </x:c>
      <x:c r="D13" s="27" t="str">
        <x:v>Campaign force</x:v>
      </x:c>
      <x:c r="E13" s="27" t="str">
        <x:v>Movement, energy, communications, skilled labor and receiving sites</x:v>
      </x:c>
      <x:c r="F13" s="27" t="str">
        <x:v>Architectural relation; covariance unmeasured</x:v>
      </x:c>
      <x:c r="G13" s="27" t="str">
        <x:v>Joint seeded-loss campaign trial with named origins and receivers</x:v>
      </x:c>
      <x:c r="H13" s="11" t="str">
        <x:v>Land Engineering</x:v>
      </x:c>
      <x:c r="I13" s="11" t="str">
        <x:v>Hazard and environmental control</x:v>
      </x:c>
    </x:row>
    <x:row r="14" ht="46" customHeight="1">
      <x:c r="A14" s="11" t="str">
        <x:v>L-DMG</x:v>
      </x:c>
      <x:c r="B14" s="11" t="str">
        <x:v>Debris and materials group</x:v>
      </x:c>
      <x:c r="C14" s="27" t="str">
        <x:v>Joint entry, information, sustainment and civil integration</x:v>
      </x:c>
      <x:c r="D14" s="27" t="str">
        <x:v>Campaign force</x:v>
      </x:c>
      <x:c r="E14" s="27" t="str">
        <x:v>Movement, energy, communications, skilled labor and receiving sites</x:v>
      </x:c>
      <x:c r="F14" s="27" t="str">
        <x:v>Architectural relation; covariance unmeasured</x:v>
      </x:c>
      <x:c r="G14" s="27" t="str">
        <x:v>Joint seeded-loss campaign trial with named origins and receivers</x:v>
      </x:c>
      <x:c r="H14" s="11" t="str">
        <x:v>Land Engineering</x:v>
      </x:c>
      <x:c r="I14" s="11" t="str">
        <x:v>Hazard and environmental control</x:v>
      </x:c>
    </x:row>
    <x:row r="15" ht="46" customHeight="1">
      <x:c r="A15" s="11" t="str">
        <x:v>L-TWG</x:v>
      </x:c>
      <x:c r="B15" s="11" t="str">
        <x:v>Temporary works and crossing group</x:v>
      </x:c>
      <x:c r="C15" s="27" t="str">
        <x:v>Joint entry, information, sustainment and civil integration</x:v>
      </x:c>
      <x:c r="D15" s="27" t="str">
        <x:v>Campaign force</x:v>
      </x:c>
      <x:c r="E15" s="27" t="str">
        <x:v>Movement, energy, communications, skilled labor and receiving sites</x:v>
      </x:c>
      <x:c r="F15" s="27" t="str">
        <x:v>Architectural relation; covariance unmeasured</x:v>
      </x:c>
      <x:c r="G15" s="27" t="str">
        <x:v>Joint seeded-loss campaign trial with named origins and receivers</x:v>
      </x:c>
      <x:c r="H15" s="11" t="str">
        <x:v>Land Engineering</x:v>
      </x:c>
      <x:c r="I15" s="11" t="str">
        <x:v>Housing, public works and economic continuity</x:v>
      </x:c>
    </x:row>
    <x:row r="16" ht="46" customHeight="1">
      <x:c r="A16" s="11" t="str">
        <x:v>L-GFG</x:v>
      </x:c>
      <x:c r="B16" s="11" t="str">
        <x:v>Ground fire and landscape group</x:v>
      </x:c>
      <x:c r="C16" s="27" t="str">
        <x:v>Joint entry, information, sustainment and civil integration</x:v>
      </x:c>
      <x:c r="D16" s="27" t="str">
        <x:v>Campaign force</x:v>
      </x:c>
      <x:c r="E16" s="27" t="str">
        <x:v>Movement, energy, communications, skilled labor and receiving sites</x:v>
      </x:c>
      <x:c r="F16" s="27" t="str">
        <x:v>Architectural relation; covariance unmeasured</x:v>
      </x:c>
      <x:c r="G16" s="27" t="str">
        <x:v>Joint seeded-loss campaign trial with named origins and receivers</x:v>
      </x:c>
      <x:c r="H16" s="11" t="str">
        <x:v>Land Engineering</x:v>
      </x:c>
      <x:c r="I16" s="11" t="str">
        <x:v>Hazard and environmental control</x:v>
      </x:c>
    </x:row>
    <x:row r="17" ht="46" customHeight="1">
      <x:c r="A17" s="11" t="str">
        <x:v>A-SMW</x:v>
      </x:c>
      <x:c r="B17" s="11" t="str">
        <x:v>Strategic mobility wing</x:v>
      </x:c>
      <x:c r="C17" s="27" t="str">
        <x:v>Joint entry, information, sustainment and civil integration</x:v>
      </x:c>
      <x:c r="D17" s="27" t="str">
        <x:v>Campaign force</x:v>
      </x:c>
      <x:c r="E17" s="27" t="str">
        <x:v>Movement, energy, communications, skilled labor and receiving sites</x:v>
      </x:c>
      <x:c r="F17" s="27" t="str">
        <x:v>Architectural relation; covariance unmeasured</x:v>
      </x:c>
      <x:c r="G17" s="27" t="str">
        <x:v>Joint seeded-loss campaign trial with named origins and receivers</x:v>
      </x:c>
      <x:c r="H17" s="11" t="str">
        <x:v>Air Response</x:v>
      </x:c>
      <x:c r="I17" s="11" t="str">
        <x:v>Mobility, access and distribution</x:v>
      </x:c>
    </x:row>
    <x:row r="18" ht="46" customHeight="1">
      <x:c r="A18" s="11" t="str">
        <x:v>A-AAG</x:v>
      </x:c>
      <x:c r="B18" s="11" t="str">
        <x:v>Austere air-access group</x:v>
      </x:c>
      <x:c r="C18" s="27" t="str">
        <x:v>Joint entry, information, sustainment and civil integration</x:v>
      </x:c>
      <x:c r="D18" s="27" t="str">
        <x:v>Campaign force</x:v>
      </x:c>
      <x:c r="E18" s="27" t="str">
        <x:v>Movement, energy, communications, skilled labor and receiving sites</x:v>
      </x:c>
      <x:c r="F18" s="27" t="str">
        <x:v>Architectural relation; covariance unmeasured</x:v>
      </x:c>
      <x:c r="G18" s="27" t="str">
        <x:v>Joint seeded-loss campaign trial with named origins and receivers</x:v>
      </x:c>
      <x:c r="H18" s="11" t="str">
        <x:v>Air Response</x:v>
      </x:c>
      <x:c r="I18" s="11" t="str">
        <x:v>Mobility, access and distribution</x:v>
      </x:c>
    </x:row>
    <x:row r="19" ht="46" customHeight="1">
      <x:c r="A19" s="11" t="str">
        <x:v>A-AHW</x:v>
      </x:c>
      <x:c r="B19" s="11" t="str">
        <x:v>Aerial hazard-control wing</x:v>
      </x:c>
      <x:c r="C19" s="27" t="str">
        <x:v>Joint entry, information, sustainment and civil integration</x:v>
      </x:c>
      <x:c r="D19" s="27" t="str">
        <x:v>Campaign force</x:v>
      </x:c>
      <x:c r="E19" s="27" t="str">
        <x:v>Movement, energy, communications, skilled labor and receiving sites</x:v>
      </x:c>
      <x:c r="F19" s="27" t="str">
        <x:v>Architectural relation; covariance unmeasured</x:v>
      </x:c>
      <x:c r="G19" s="27" t="str">
        <x:v>Joint seeded-loss campaign trial with named origins and receivers</x:v>
      </x:c>
      <x:c r="H19" s="11" t="str">
        <x:v>Air Response</x:v>
      </x:c>
      <x:c r="I19" s="11" t="str">
        <x:v>Hazard and environmental control</x:v>
      </x:c>
    </x:row>
    <x:row r="20" ht="46" customHeight="1">
      <x:c r="A20" s="11" t="str">
        <x:v>A-TDG</x:v>
      </x:c>
      <x:c r="B20" s="11" t="str">
        <x:v>Tactical distribution group</x:v>
      </x:c>
      <x:c r="C20" s="27" t="str">
        <x:v>Joint entry, information, sustainment and civil integration</x:v>
      </x:c>
      <x:c r="D20" s="27" t="str">
        <x:v>Campaign force</x:v>
      </x:c>
      <x:c r="E20" s="27" t="str">
        <x:v>Movement, energy, communications, skilled labor and receiving sites</x:v>
      </x:c>
      <x:c r="F20" s="27" t="str">
        <x:v>Architectural relation; covariance unmeasured</x:v>
      </x:c>
      <x:c r="G20" s="27" t="str">
        <x:v>Joint seeded-loss campaign trial with named origins and receivers</x:v>
      </x:c>
      <x:c r="H20" s="11" t="str">
        <x:v>Air Response</x:v>
      </x:c>
      <x:c r="I20" s="11" t="str">
        <x:v>Mobility, access and distribution</x:v>
      </x:c>
    </x:row>
    <x:row r="21" ht="46" customHeight="1">
      <x:c r="A21" s="11" t="str">
        <x:v>A-SRG</x:v>
      </x:c>
      <x:c r="B21" s="11" t="str">
        <x:v>Air sensing and relay group</x:v>
      </x:c>
      <x:c r="C21" s="27" t="str">
        <x:v>Joint entry, information, sustainment and civil integration</x:v>
      </x:c>
      <x:c r="D21" s="27" t="str">
        <x:v>Campaign force</x:v>
      </x:c>
      <x:c r="E21" s="27" t="str">
        <x:v>Movement, energy, communications, skilled labor and receiving sites</x:v>
      </x:c>
      <x:c r="F21" s="27" t="str">
        <x:v>Architectural relation; covariance unmeasured</x:v>
      </x:c>
      <x:c r="G21" s="27" t="str">
        <x:v>Joint seeded-loss campaign trial with named origins and receivers</x:v>
      </x:c>
      <x:c r="H21" s="11" t="str">
        <x:v>Air Response</x:v>
      </x:c>
      <x:c r="I21" s="11" t="str">
        <x:v>Communications, computation and public-service access</x:v>
      </x:c>
    </x:row>
    <x:row r="22" ht="46" customHeight="1">
      <x:c r="A22" s="11" t="str">
        <x:v>A-AMG</x:v>
      </x:c>
      <x:c r="B22" s="11" t="str">
        <x:v>Aeromedical movement group</x:v>
      </x:c>
      <x:c r="C22" s="27" t="str">
        <x:v>Joint entry, information, sustainment and civil integration</x:v>
      </x:c>
      <x:c r="D22" s="27" t="str">
        <x:v>Campaign force</x:v>
      </x:c>
      <x:c r="E22" s="27" t="str">
        <x:v>Movement, energy, communications, skilled labor and receiving sites</x:v>
      </x:c>
      <x:c r="F22" s="27" t="str">
        <x:v>Architectural relation; covariance unmeasured</x:v>
      </x:c>
      <x:c r="G22" s="27" t="str">
        <x:v>Joint seeded-loss campaign trial with named origins and receivers</x:v>
      </x:c>
      <x:c r="H22" s="11" t="str">
        <x:v>Air Response</x:v>
      </x:c>
      <x:c r="I22" s="11" t="str">
        <x:v>Health and medical continuity</x:v>
      </x:c>
    </x:row>
    <x:row r="23" ht="46" customHeight="1">
      <x:c r="A23" s="11" t="str">
        <x:v>M-POG</x:v>
      </x:c>
      <x:c r="B23" s="11" t="str">
        <x:v>Port-opening group</x:v>
      </x:c>
      <x:c r="C23" s="27" t="str">
        <x:v>Joint entry, information, sustainment and civil integration</x:v>
      </x:c>
      <x:c r="D23" s="27" t="str">
        <x:v>Campaign force</x:v>
      </x:c>
      <x:c r="E23" s="27" t="str">
        <x:v>Movement, energy, communications, skilled labor and receiving sites</x:v>
      </x:c>
      <x:c r="F23" s="27" t="str">
        <x:v>Architectural relation; covariance unmeasured</x:v>
      </x:c>
      <x:c r="G23" s="27" t="str">
        <x:v>Joint seeded-loss campaign trial with named origins and receivers</x:v>
      </x:c>
      <x:c r="H23" s="11" t="str">
        <x:v>Maritime Response</x:v>
      </x:c>
      <x:c r="I23" s="11" t="str">
        <x:v>Mobility, access and distribution</x:v>
      </x:c>
    </x:row>
    <x:row r="24" ht="46" customHeight="1">
      <x:c r="A24" s="11" t="str">
        <x:v>M-LAG</x:v>
      </x:c>
      <x:c r="B24" s="11" t="str">
        <x:v>Littoral-access group</x:v>
      </x:c>
      <x:c r="C24" s="27" t="str">
        <x:v>Joint entry, information, sustainment and civil integration</x:v>
      </x:c>
      <x:c r="D24" s="27" t="str">
        <x:v>Campaign force</x:v>
      </x:c>
      <x:c r="E24" s="27" t="str">
        <x:v>Movement, energy, communications, skilled labor and receiving sites</x:v>
      </x:c>
      <x:c r="F24" s="27" t="str">
        <x:v>Architectural relation; covariance unmeasured</x:v>
      </x:c>
      <x:c r="G24" s="27" t="str">
        <x:v>Joint seeded-loss campaign trial with named origins and receivers</x:v>
      </x:c>
      <x:c r="H24" s="11" t="str">
        <x:v>Maritime Response</x:v>
      </x:c>
      <x:c r="I24" s="11" t="str">
        <x:v>Mobility, access and distribution</x:v>
      </x:c>
    </x:row>
    <x:row r="25" ht="46" customHeight="1">
      <x:c r="A25" s="11" t="str">
        <x:v>M-IWG</x:v>
      </x:c>
      <x:c r="B25" s="11" t="str">
        <x:v>Inland-waterway group</x:v>
      </x:c>
      <x:c r="C25" s="27" t="str">
        <x:v>Joint entry, information, sustainment and civil integration</x:v>
      </x:c>
      <x:c r="D25" s="27" t="str">
        <x:v>Campaign force</x:v>
      </x:c>
      <x:c r="E25" s="27" t="str">
        <x:v>Movement, energy, communications, skilled labor and receiving sites</x:v>
      </x:c>
      <x:c r="F25" s="27" t="str">
        <x:v>Architectural relation; covariance unmeasured</x:v>
      </x:c>
      <x:c r="G25" s="27" t="str">
        <x:v>Joint seeded-loss campaign trial with named origins and receivers</x:v>
      </x:c>
      <x:c r="H25" s="11" t="str">
        <x:v>Maritime Response</x:v>
      </x:c>
      <x:c r="I25" s="11" t="str">
        <x:v>Mobility, access and distribution</x:v>
      </x:c>
    </x:row>
    <x:row r="26" ht="46" customHeight="1">
      <x:c r="A26" s="11" t="str">
        <x:v>M-OSG</x:v>
      </x:c>
      <x:c r="B26" s="11" t="str">
        <x:v>Offshore-support group</x:v>
      </x:c>
      <x:c r="C26" s="27" t="str">
        <x:v>Joint entry, information, sustainment and civil integration</x:v>
      </x:c>
      <x:c r="D26" s="27" t="str">
        <x:v>Campaign force</x:v>
      </x:c>
      <x:c r="E26" s="27" t="str">
        <x:v>Movement, energy, communications, skilled labor and receiving sites</x:v>
      </x:c>
      <x:c r="F26" s="27" t="str">
        <x:v>Architectural relation; covariance unmeasured</x:v>
      </x:c>
      <x:c r="G26" s="27" t="str">
        <x:v>Joint seeded-loss campaign trial with named origins and receivers</x:v>
      </x:c>
      <x:c r="H26" s="11" t="str">
        <x:v>Maritime Response</x:v>
      </x:c>
      <x:c r="I26" s="11" t="str">
        <x:v>Housing, public works and economic continuity</x:v>
      </x:c>
    </x:row>
    <x:row r="27" ht="46" customHeight="1">
      <x:c r="A27" s="11" t="str">
        <x:v>M-MPG</x:v>
      </x:c>
      <x:c r="B27" s="11" t="str">
        <x:v>Maritime production group</x:v>
      </x:c>
      <x:c r="C27" s="27" t="str">
        <x:v>Joint entry, information, sustainment and civil integration</x:v>
      </x:c>
      <x:c r="D27" s="27" t="str">
        <x:v>Campaign force</x:v>
      </x:c>
      <x:c r="E27" s="27" t="str">
        <x:v>Movement, energy, communications, skilled labor and receiving sites</x:v>
      </x:c>
      <x:c r="F27" s="27" t="str">
        <x:v>Architectural relation; covariance unmeasured</x:v>
      </x:c>
      <x:c r="G27" s="27" t="str">
        <x:v>Joint seeded-loss campaign trial with named origins and receivers</x:v>
      </x:c>
      <x:c r="H27" s="11" t="str">
        <x:v>Maritime Response</x:v>
      </x:c>
      <x:c r="I27" s="11" t="str">
        <x:v>Water, sanitation and hygiene</x:v>
      </x:c>
    </x:row>
    <x:row r="28" ht="46" customHeight="1">
      <x:c r="A28" s="11" t="str">
        <x:v>M-SSG</x:v>
      </x:c>
      <x:c r="B28" s="11" t="str">
        <x:v>Ocean sustainment group</x:v>
      </x:c>
      <x:c r="C28" s="27" t="str">
        <x:v>Joint entry, information, sustainment and civil integration</x:v>
      </x:c>
      <x:c r="D28" s="27" t="str">
        <x:v>Campaign force</x:v>
      </x:c>
      <x:c r="E28" s="27" t="str">
        <x:v>Movement, energy, communications, skilled labor and receiving sites</x:v>
      </x:c>
      <x:c r="F28" s="27" t="str">
        <x:v>Architectural relation; covariance unmeasured</x:v>
      </x:c>
      <x:c r="G28" s="27" t="str">
        <x:v>Joint seeded-loss campaign trial with named origins and receivers</x:v>
      </x:c>
      <x:c r="H28" s="11" t="str">
        <x:v>Maritime Response</x:v>
      </x:c>
      <x:c r="I28" s="11" t="str">
        <x:v>Mobility, access and distribution</x:v>
      </x:c>
    </x:row>
    <x:row r="29" ht="46" customHeight="1">
      <x:c r="A29" s="11" t="str">
        <x:v>I-WRG</x:v>
      </x:c>
      <x:c r="B29" s="11" t="str">
        <x:v>Water restoration group</x:v>
      </x:c>
      <x:c r="C29" s="27" t="str">
        <x:v>Joint entry, information, sustainment and civil integration</x:v>
      </x:c>
      <x:c r="D29" s="27" t="str">
        <x:v>Campaign force</x:v>
      </x:c>
      <x:c r="E29" s="27" t="str">
        <x:v>Movement, energy, communications, skilled labor and receiving sites</x:v>
      </x:c>
      <x:c r="F29" s="27" t="str">
        <x:v>Architectural relation; covariance unmeasured</x:v>
      </x:c>
      <x:c r="G29" s="27" t="str">
        <x:v>Joint seeded-loss campaign trial with named origins and receivers</x:v>
      </x:c>
      <x:c r="H29" s="11" t="str">
        <x:v>Infrastructure Restoration</x:v>
      </x:c>
      <x:c r="I29" s="11" t="str">
        <x:v>Water, sanitation and hygiene</x:v>
      </x:c>
    </x:row>
    <x:row r="30" ht="46" customHeight="1">
      <x:c r="A30" s="11" t="str">
        <x:v>I-PRG</x:v>
      </x:c>
      <x:c r="B30" s="11" t="str">
        <x:v>Power restoration group</x:v>
      </x:c>
      <x:c r="C30" s="27" t="str">
        <x:v>Joint entry, information, sustainment and civil integration</x:v>
      </x:c>
      <x:c r="D30" s="27" t="str">
        <x:v>Campaign force</x:v>
      </x:c>
      <x:c r="E30" s="27" t="str">
        <x:v>Movement, energy, communications, skilled labor and receiving sites</x:v>
      </x:c>
      <x:c r="F30" s="27" t="str">
        <x:v>Architectural relation; covariance unmeasured</x:v>
      </x:c>
      <x:c r="G30" s="27" t="str">
        <x:v>Joint seeded-loss campaign trial with named origins and receivers</x:v>
      </x:c>
      <x:c r="H30" s="11" t="str">
        <x:v>Infrastructure Restoration</x:v>
      </x:c>
      <x:c r="I30" s="11" t="str">
        <x:v>Energy and thermal continuity</x:v>
      </x:c>
    </x:row>
    <x:row r="31" ht="46" customHeight="1">
      <x:c r="A31" s="11" t="str">
        <x:v>I-GBG</x:v>
      </x:c>
      <x:c r="B31" s="11" t="str">
        <x:v>Grid bridge group</x:v>
      </x:c>
      <x:c r="C31" s="27" t="str">
        <x:v>Joint entry, information, sustainment and civil integration</x:v>
      </x:c>
      <x:c r="D31" s="27" t="str">
        <x:v>Campaign force</x:v>
      </x:c>
      <x:c r="E31" s="27" t="str">
        <x:v>Movement, energy, communications, skilled labor and receiving sites</x:v>
      </x:c>
      <x:c r="F31" s="27" t="str">
        <x:v>Architectural relation; covariance unmeasured</x:v>
      </x:c>
      <x:c r="G31" s="27" t="str">
        <x:v>Joint seeded-loss campaign trial with named origins and receivers</x:v>
      </x:c>
      <x:c r="H31" s="11" t="str">
        <x:v>Infrastructure Restoration</x:v>
      </x:c>
      <x:c r="I31" s="11" t="str">
        <x:v>Energy and thermal continuity</x:v>
      </x:c>
    </x:row>
    <x:row r="32" ht="46" customHeight="1">
      <x:c r="A32" s="11" t="str">
        <x:v>I-TSG</x:v>
      </x:c>
      <x:c r="B32" s="11" t="str">
        <x:v>Thermal safety group</x:v>
      </x:c>
      <x:c r="C32" s="27" t="str">
        <x:v>Joint entry, information, sustainment and civil integration</x:v>
      </x:c>
      <x:c r="D32" s="27" t="str">
        <x:v>Campaign force</x:v>
      </x:c>
      <x:c r="E32" s="27" t="str">
        <x:v>Movement, energy, communications, skilled labor and receiving sites</x:v>
      </x:c>
      <x:c r="F32" s="27" t="str">
        <x:v>Architectural relation; covariance unmeasured</x:v>
      </x:c>
      <x:c r="G32" s="27" t="str">
        <x:v>Joint seeded-loss campaign trial with named origins and receivers</x:v>
      </x:c>
      <x:c r="H32" s="11" t="str">
        <x:v>Infrastructure Restoration</x:v>
      </x:c>
      <x:c r="I32" s="11" t="str">
        <x:v>Energy and thermal continuity</x:v>
      </x:c>
    </x:row>
    <x:row r="33" ht="46" customHeight="1">
      <x:c r="A33" s="11" t="str">
        <x:v>I-CUG</x:v>
      </x:c>
      <x:c r="B33" s="11" t="str">
        <x:v>Communications utility group</x:v>
      </x:c>
      <x:c r="C33" s="27" t="str">
        <x:v>Joint entry, information, sustainment and civil integration</x:v>
      </x:c>
      <x:c r="D33" s="27" t="str">
        <x:v>Campaign force</x:v>
      </x:c>
      <x:c r="E33" s="27" t="str">
        <x:v>Movement, energy, communications, skilled labor and receiving sites</x:v>
      </x:c>
      <x:c r="F33" s="27" t="str">
        <x:v>Architectural relation; covariance unmeasured</x:v>
      </x:c>
      <x:c r="G33" s="27" t="str">
        <x:v>Joint seeded-loss campaign trial with named origins and receivers</x:v>
      </x:c>
      <x:c r="H33" s="11" t="str">
        <x:v>Infrastructure Restoration</x:v>
      </x:c>
      <x:c r="I33" s="11" t="str">
        <x:v>Communications, computation and public-service access</x:v>
      </x:c>
    </x:row>
    <x:row r="34" ht="46" customHeight="1">
      <x:c r="A34" s="11" t="str">
        <x:v>I-URG</x:v>
      </x:c>
      <x:c r="B34" s="11" t="str">
        <x:v>Utility reconstruction group</x:v>
      </x:c>
      <x:c r="C34" s="27" t="str">
        <x:v>Joint entry, information, sustainment and civil integration</x:v>
      </x:c>
      <x:c r="D34" s="27" t="str">
        <x:v>Campaign force</x:v>
      </x:c>
      <x:c r="E34" s="27" t="str">
        <x:v>Movement, energy, communications, skilled labor and receiving sites</x:v>
      </x:c>
      <x:c r="F34" s="27" t="str">
        <x:v>Architectural relation; covariance unmeasured</x:v>
      </x:c>
      <x:c r="G34" s="27" t="str">
        <x:v>Joint seeded-loss campaign trial with named origins and receivers</x:v>
      </x:c>
      <x:c r="H34" s="11" t="str">
        <x:v>Infrastructure Restoration</x:v>
      </x:c>
      <x:c r="I34" s="11" t="str">
        <x:v>Housing, public works and economic continuity</x:v>
      </x:c>
    </x:row>
    <x:row r="35" ht="46" customHeight="1">
      <x:c r="A35" s="11" t="str">
        <x:v>I-UPG</x:v>
      </x:c>
      <x:c r="B35" s="11" t="str">
        <x:v>Utility projection group</x:v>
      </x:c>
      <x:c r="C35" s="27" t="str">
        <x:v>Joint entry, information, sustainment and civil integration</x:v>
      </x:c>
      <x:c r="D35" s="27" t="str">
        <x:v>Campaign force</x:v>
      </x:c>
      <x:c r="E35" s="27" t="str">
        <x:v>Movement, energy, communications, skilled labor and receiving sites</x:v>
      </x:c>
      <x:c r="F35" s="27" t="str">
        <x:v>Architectural relation; covariance unmeasured</x:v>
      </x:c>
      <x:c r="G35" s="27" t="str">
        <x:v>Joint seeded-loss campaign trial with named origins and receivers</x:v>
      </x:c>
      <x:c r="H35" s="11" t="str">
        <x:v>Infrastructure Restoration</x:v>
      </x:c>
      <x:c r="I35" s="11" t="str">
        <x:v>Energy and thermal continuity</x:v>
      </x:c>
    </x:row>
    <x:row r="36" ht="46" customHeight="1">
      <x:c r="A36" s="11" t="str">
        <x:v>H-CHC</x:v>
      </x:c>
      <x:c r="B36" s="11" t="str">
        <x:v>Community health continuity group</x:v>
      </x:c>
      <x:c r="C36" s="27" t="str">
        <x:v>Joint entry, information, sustainment and civil integration</x:v>
      </x:c>
      <x:c r="D36" s="27" t="str">
        <x:v>Campaign force</x:v>
      </x:c>
      <x:c r="E36" s="27" t="str">
        <x:v>Movement, energy, communications, skilled labor and receiving sites</x:v>
      </x:c>
      <x:c r="F36" s="27" t="str">
        <x:v>Architectural relation; covariance unmeasured</x:v>
      </x:c>
      <x:c r="G36" s="27" t="str">
        <x:v>Joint seeded-loss campaign trial with named origins and receivers</x:v>
      </x:c>
      <x:c r="H36" s="11" t="str">
        <x:v>Health Protection</x:v>
      </x:c>
      <x:c r="I36" s="11" t="str">
        <x:v>Health and medical continuity</x:v>
      </x:c>
    </x:row>
    <x:row r="37" ht="46" customHeight="1">
      <x:c r="A37" s="11" t="str">
        <x:v>H-MAC</x:v>
      </x:c>
      <x:c r="B37" s="11" t="str">
        <x:v>Mobile acute-care group</x:v>
      </x:c>
      <x:c r="C37" s="27" t="str">
        <x:v>Joint entry, information, sustainment and civil integration</x:v>
      </x:c>
      <x:c r="D37" s="27" t="str">
        <x:v>Campaign force</x:v>
      </x:c>
      <x:c r="E37" s="27" t="str">
        <x:v>Movement, energy, communications, skilled labor and receiving sites</x:v>
      </x:c>
      <x:c r="F37" s="27" t="str">
        <x:v>Architectural relation; covariance unmeasured</x:v>
      </x:c>
      <x:c r="G37" s="27" t="str">
        <x:v>Joint seeded-loss campaign trial with named origins and receivers</x:v>
      </x:c>
      <x:c r="H37" s="11" t="str">
        <x:v>Health Protection</x:v>
      </x:c>
      <x:c r="I37" s="11" t="str">
        <x:v>Health and medical continuity</x:v>
      </x:c>
    </x:row>
    <x:row r="38" ht="46" customHeight="1">
      <x:c r="A38" s="11" t="str">
        <x:v>H-THC</x:v>
      </x:c>
      <x:c r="B38" s="11" t="str">
        <x:v>Theater hospital command</x:v>
      </x:c>
      <x:c r="C38" s="27" t="str">
        <x:v>Joint entry, information, sustainment and civil integration</x:v>
      </x:c>
      <x:c r="D38" s="27" t="str">
        <x:v>Campaign force</x:v>
      </x:c>
      <x:c r="E38" s="27" t="str">
        <x:v>Movement, energy, communications, skilled labor and receiving sites</x:v>
      </x:c>
      <x:c r="F38" s="27" t="str">
        <x:v>Architectural relation; covariance unmeasured</x:v>
      </x:c>
      <x:c r="G38" s="27" t="str">
        <x:v>Joint seeded-loss campaign trial with named origins and receivers</x:v>
      </x:c>
      <x:c r="H38" s="11" t="str">
        <x:v>Health Protection</x:v>
      </x:c>
      <x:c r="I38" s="11" t="str">
        <x:v>Health and medical continuity</x:v>
      </x:c>
    </x:row>
    <x:row r="39" ht="46" customHeight="1">
      <x:c r="A39" s="11" t="str">
        <x:v>H-PHC</x:v>
      </x:c>
      <x:c r="B39" s="11" t="str">
        <x:v>Public-health control group</x:v>
      </x:c>
      <x:c r="C39" s="27" t="str">
        <x:v>Joint entry, information, sustainment and civil integration</x:v>
      </x:c>
      <x:c r="D39" s="27" t="str">
        <x:v>Campaign force</x:v>
      </x:c>
      <x:c r="E39" s="27" t="str">
        <x:v>Movement, energy, communications, skilled labor and receiving sites</x:v>
      </x:c>
      <x:c r="F39" s="27" t="str">
        <x:v>Architectural relation; covariance unmeasured</x:v>
      </x:c>
      <x:c r="G39" s="27" t="str">
        <x:v>Joint seeded-loss campaign trial with named origins and receivers</x:v>
      </x:c>
      <x:c r="H39" s="11" t="str">
        <x:v>Health Protection</x:v>
      </x:c>
      <x:c r="I39" s="11" t="str">
        <x:v>Health and medical continuity</x:v>
      </x:c>
    </x:row>
    <x:row r="40" ht="46" customHeight="1">
      <x:c r="A40" s="11" t="str">
        <x:v>H-PMG</x:v>
      </x:c>
      <x:c r="B40" s="11" t="str">
        <x:v>Patient movement group</x:v>
      </x:c>
      <x:c r="C40" s="27" t="str">
        <x:v>Joint entry, information, sustainment and civil integration</x:v>
      </x:c>
      <x:c r="D40" s="27" t="str">
        <x:v>Campaign force</x:v>
      </x:c>
      <x:c r="E40" s="27" t="str">
        <x:v>Movement, energy, communications, skilled labor and receiving sites</x:v>
      </x:c>
      <x:c r="F40" s="27" t="str">
        <x:v>Architectural relation; covariance unmeasured</x:v>
      </x:c>
      <x:c r="G40" s="27" t="str">
        <x:v>Joint seeded-loss campaign trial with named origins and receivers</x:v>
      </x:c>
      <x:c r="H40" s="11" t="str">
        <x:v>Health Protection</x:v>
      </x:c>
      <x:c r="I40" s="11" t="str">
        <x:v>Health and medical continuity</x:v>
      </x:c>
    </x:row>
    <x:row r="41" ht="46" customHeight="1">
      <x:c r="A41" s="11" t="str">
        <x:v>H-HWR</x:v>
      </x:c>
      <x:c r="B41" s="11" t="str">
        <x:v>Health workforce replacement group</x:v>
      </x:c>
      <x:c r="C41" s="27" t="str">
        <x:v>Joint entry, information, sustainment and civil integration</x:v>
      </x:c>
      <x:c r="D41" s="27" t="str">
        <x:v>Campaign force</x:v>
      </x:c>
      <x:c r="E41" s="27" t="str">
        <x:v>Movement, energy, communications, skilled labor and receiving sites</x:v>
      </x:c>
      <x:c r="F41" s="27" t="str">
        <x:v>Architectural relation; covariance unmeasured</x:v>
      </x:c>
      <x:c r="G41" s="27" t="str">
        <x:v>Joint seeded-loss campaign trial with named origins and receivers</x:v>
      </x:c>
      <x:c r="H41" s="11" t="str">
        <x:v>Health Protection</x:v>
      </x:c>
      <x:c r="I41" s="11" t="str">
        <x:v>Health and medical continuity</x:v>
      </x:c>
    </x:row>
    <x:row r="42" ht="46" customHeight="1">
      <x:c r="A42" s="11" t="str">
        <x:v>C-PSG</x:v>
      </x:c>
      <x:c r="B42" s="11" t="str">
        <x:v>Population support group</x:v>
      </x:c>
      <x:c r="C42" s="27" t="str">
        <x:v>Joint entry, information, sustainment and civil integration</x:v>
      </x:c>
      <x:c r="D42" s="27" t="str">
        <x:v>Campaign force</x:v>
      </x:c>
      <x:c r="E42" s="27" t="str">
        <x:v>Movement, energy, communications, skilled labor and receiving sites</x:v>
      </x:c>
      <x:c r="F42" s="27" t="str">
        <x:v>Architectural relation; covariance unmeasured</x:v>
      </x:c>
      <x:c r="G42" s="27" t="str">
        <x:v>Joint seeded-loss campaign trial with named origins and receivers</x:v>
      </x:c>
      <x:c r="H42" s="11" t="str">
        <x:v>Community Stabilization</x:v>
      </x:c>
      <x:c r="I42" s="11" t="str">
        <x:v>Food, shelter and essential-goods continuity</x:v>
      </x:c>
    </x:row>
    <x:row r="43" ht="46" customHeight="1">
      <x:c r="A43" s="11" t="str">
        <x:v>C-EGG</x:v>
      </x:c>
      <x:c r="B43" s="11" t="str">
        <x:v>Essential-goods group</x:v>
      </x:c>
      <x:c r="C43" s="27" t="str">
        <x:v>Joint entry, information, sustainment and civil integration</x:v>
      </x:c>
      <x:c r="D43" s="27" t="str">
        <x:v>Campaign force</x:v>
      </x:c>
      <x:c r="E43" s="27" t="str">
        <x:v>Movement, energy, communications, skilled labor and receiving sites</x:v>
      </x:c>
      <x:c r="F43" s="27" t="str">
        <x:v>Architectural relation; covariance unmeasured</x:v>
      </x:c>
      <x:c r="G43" s="27" t="str">
        <x:v>Joint seeded-loss campaign trial with named origins and receivers</x:v>
      </x:c>
      <x:c r="H43" s="11" t="str">
        <x:v>Community Stabilization</x:v>
      </x:c>
      <x:c r="I43" s="11" t="str">
        <x:v>Food, shelter and essential-goods continuity</x:v>
      </x:c>
    </x:row>
    <x:row r="44" ht="46" customHeight="1">
      <x:c r="A44" s="11" t="str">
        <x:v>C-CAG</x:v>
      </x:c>
      <x:c r="B44" s="11" t="str">
        <x:v>Civil access group</x:v>
      </x:c>
      <x:c r="C44" s="27" t="str">
        <x:v>Joint entry, information, sustainment and civil integration</x:v>
      </x:c>
      <x:c r="D44" s="27" t="str">
        <x:v>Campaign force</x:v>
      </x:c>
      <x:c r="E44" s="27" t="str">
        <x:v>Movement, energy, communications, skilled labor and receiving sites</x:v>
      </x:c>
      <x:c r="F44" s="27" t="str">
        <x:v>Architectural relation; covariance unmeasured</x:v>
      </x:c>
      <x:c r="G44" s="27" t="str">
        <x:v>Joint seeded-loss campaign trial with named origins and receivers</x:v>
      </x:c>
      <x:c r="H44" s="11" t="str">
        <x:v>Community Stabilization</x:v>
      </x:c>
      <x:c r="I44" s="11" t="str">
        <x:v>Civil coordination, safety and public information</x:v>
      </x:c>
    </x:row>
    <x:row r="45" ht="46" customHeight="1">
      <x:c r="A45" s="11" t="str">
        <x:v>C-DTG</x:v>
      </x:c>
      <x:c r="B45" s="11" t="str">
        <x:v>Displacement transition group</x:v>
      </x:c>
      <x:c r="C45" s="27" t="str">
        <x:v>Joint entry, information, sustainment and civil integration</x:v>
      </x:c>
      <x:c r="D45" s="27" t="str">
        <x:v>Campaign force</x:v>
      </x:c>
      <x:c r="E45" s="27" t="str">
        <x:v>Movement, energy, communications, skilled labor and receiving sites</x:v>
      </x:c>
      <x:c r="F45" s="27" t="str">
        <x:v>Architectural relation; covariance unmeasured</x:v>
      </x:c>
      <x:c r="G45" s="27" t="str">
        <x:v>Joint seeded-loss campaign trial with named origins and receivers</x:v>
      </x:c>
      <x:c r="H45" s="11" t="str">
        <x:v>Community Stabilization</x:v>
      </x:c>
      <x:c r="I45" s="11" t="str">
        <x:v>Food, shelter and essential-goods continuity</x:v>
      </x:c>
    </x:row>
    <x:row r="46" ht="46" customHeight="1">
      <x:c r="A46" s="11" t="str">
        <x:v>C-CIG</x:v>
      </x:c>
      <x:c r="B46" s="11" t="str">
        <x:v>Community institutions group</x:v>
      </x:c>
      <x:c r="C46" s="27" t="str">
        <x:v>Joint entry, information, sustainment and civil integration</x:v>
      </x:c>
      <x:c r="D46" s="27" t="str">
        <x:v>Campaign force</x:v>
      </x:c>
      <x:c r="E46" s="27" t="str">
        <x:v>Movement, energy, communications, skilled labor and receiving sites</x:v>
      </x:c>
      <x:c r="F46" s="27" t="str">
        <x:v>Architectural relation; covariance unmeasured</x:v>
      </x:c>
      <x:c r="G46" s="27" t="str">
        <x:v>Joint seeded-loss campaign trial with named origins and receivers</x:v>
      </x:c>
      <x:c r="H46" s="11" t="str">
        <x:v>Community Stabilization</x:v>
      </x:c>
      <x:c r="I46" s="11" t="str">
        <x:v>Housing, public works and economic continuity</x:v>
      </x:c>
    </x:row>
    <x:row r="47" ht="46" customHeight="1">
      <x:c r="A47" s="11" t="str">
        <x:v>C-ERG</x:v>
      </x:c>
      <x:c r="B47" s="11" t="str">
        <x:v>Economic restart group</x:v>
      </x:c>
      <x:c r="C47" s="27" t="str">
        <x:v>Joint entry, information, sustainment and civil integration</x:v>
      </x:c>
      <x:c r="D47" s="27" t="str">
        <x:v>Campaign force</x:v>
      </x:c>
      <x:c r="E47" s="27" t="str">
        <x:v>Movement, energy, communications, skilled labor and receiving sites</x:v>
      </x:c>
      <x:c r="F47" s="27" t="str">
        <x:v>Architectural relation; covariance unmeasured</x:v>
      </x:c>
      <x:c r="G47" s="27" t="str">
        <x:v>Joint seeded-loss campaign trial with named origins and receivers</x:v>
      </x:c>
      <x:c r="H47" s="11" t="str">
        <x:v>Community Stabilization</x:v>
      </x:c>
      <x:c r="I47" s="11" t="str">
        <x:v>Housing, public works and economic continuity</x:v>
      </x:c>
    </x:row>
    <x:row r="48" ht="46" customHeight="1">
      <x:c r="A48" s="11" t="str">
        <x:v>CM-HCG</x:v>
      </x:c>
      <x:c r="B48" s="11" t="str">
        <x:v>Household collection group</x:v>
      </x:c>
      <x:c r="C48" s="27" t="str">
        <x:v>Joint entry, information, sustainment and civil integration</x:v>
      </x:c>
      <x:c r="D48" s="27" t="str">
        <x:v>Campaign force</x:v>
      </x:c>
      <x:c r="E48" s="27" t="str">
        <x:v>Movement, energy, communications, skilled labor and receiving sites</x:v>
      </x:c>
      <x:c r="F48" s="27" t="str">
        <x:v>Architectural relation; covariance unmeasured</x:v>
      </x:c>
      <x:c r="G48" s="27" t="str">
        <x:v>Joint seeded-loss campaign trial with named origins and receivers</x:v>
      </x:c>
      <x:c r="H48" s="11" t="str">
        <x:v>Civil Mobility and Continuity</x:v>
      </x:c>
      <x:c r="I48" s="11" t="str">
        <x:v>Mobility, access and distribution</x:v>
      </x:c>
    </x:row>
    <x:row r="49" ht="46" customHeight="1">
      <x:c r="A49" s="11" t="str">
        <x:v>CM-CTN</x:v>
      </x:c>
      <x:c r="B49" s="11" t="str">
        <x:v>Continuity transfer-node group</x:v>
      </x:c>
      <x:c r="C49" s="27" t="str">
        <x:v>Joint entry, information, sustainment and civil integration</x:v>
      </x:c>
      <x:c r="D49" s="27" t="str">
        <x:v>Campaign force</x:v>
      </x:c>
      <x:c r="E49" s="27" t="str">
        <x:v>Movement, energy, communications, skilled labor and receiving sites</x:v>
      </x:c>
      <x:c r="F49" s="27" t="str">
        <x:v>Architectural relation; covariance unmeasured</x:v>
      </x:c>
      <x:c r="G49" s="27" t="str">
        <x:v>Joint seeded-loss campaign trial with named origins and receivers</x:v>
      </x:c>
      <x:c r="H49" s="11" t="str">
        <x:v>Civil Mobility and Continuity</x:v>
      </x:c>
      <x:c r="I49" s="11" t="str">
        <x:v>Mobility, access and distribution</x:v>
      </x:c>
    </x:row>
    <x:row r="50" ht="46" customHeight="1">
      <x:c r="A50" s="11" t="str">
        <x:v>CM-RMG</x:v>
      </x:c>
      <x:c r="B50" s="11" t="str">
        <x:v>Civil road-mobility group</x:v>
      </x:c>
      <x:c r="C50" s="27" t="str">
        <x:v>Joint entry, information, sustainment and civil integration</x:v>
      </x:c>
      <x:c r="D50" s="27" t="str">
        <x:v>Campaign force</x:v>
      </x:c>
      <x:c r="E50" s="27" t="str">
        <x:v>Movement, energy, communications, skilled labor and receiving sites</x:v>
      </x:c>
      <x:c r="F50" s="27" t="str">
        <x:v>Architectural relation; covariance unmeasured</x:v>
      </x:c>
      <x:c r="G50" s="27" t="str">
        <x:v>Joint seeded-loss campaign trial with named origins and receivers</x:v>
      </x:c>
      <x:c r="H50" s="11" t="str">
        <x:v>Civil Mobility and Continuity</x:v>
      </x:c>
      <x:c r="I50" s="11" t="str">
        <x:v>Mobility, access and distribution</x:v>
      </x:c>
    </x:row>
    <x:row r="51" ht="46" customHeight="1">
      <x:c r="A51" s="11" t="str">
        <x:v>CM-RLG</x:v>
      </x:c>
      <x:c r="B51" s="11" t="str">
        <x:v>Civil rail-mobility group</x:v>
      </x:c>
      <x:c r="C51" s="27" t="str">
        <x:v>Joint entry, information, sustainment and civil integration</x:v>
      </x:c>
      <x:c r="D51" s="27" t="str">
        <x:v>Campaign force</x:v>
      </x:c>
      <x:c r="E51" s="27" t="str">
        <x:v>Movement, energy, communications, skilled labor and receiving sites</x:v>
      </x:c>
      <x:c r="F51" s="27" t="str">
        <x:v>Architectural relation; covariance unmeasured</x:v>
      </x:c>
      <x:c r="G51" s="27" t="str">
        <x:v>Joint seeded-loss campaign trial with named origins and receivers</x:v>
      </x:c>
      <x:c r="H51" s="11" t="str">
        <x:v>Civil Mobility and Continuity</x:v>
      </x:c>
      <x:c r="I51" s="11" t="str">
        <x:v>Mobility, access and distribution</x:v>
      </x:c>
    </x:row>
    <x:row r="52" ht="46" customHeight="1">
      <x:c r="A52" s="11" t="str">
        <x:v>CM-AMG</x:v>
      </x:c>
      <x:c r="B52" s="11" t="str">
        <x:v>Civil air-mobility group</x:v>
      </x:c>
      <x:c r="C52" s="27" t="str">
        <x:v>Joint entry, information, sustainment and civil integration</x:v>
      </x:c>
      <x:c r="D52" s="27" t="str">
        <x:v>Campaign force</x:v>
      </x:c>
      <x:c r="E52" s="27" t="str">
        <x:v>Movement, energy, communications, skilled labor and receiving sites</x:v>
      </x:c>
      <x:c r="F52" s="27" t="str">
        <x:v>Architectural relation; covariance unmeasured</x:v>
      </x:c>
      <x:c r="G52" s="27" t="str">
        <x:v>Joint seeded-loss campaign trial with named origins and receivers</x:v>
      </x:c>
      <x:c r="H52" s="11" t="str">
        <x:v>Civil Mobility and Continuity</x:v>
      </x:c>
      <x:c r="I52" s="11" t="str">
        <x:v>Mobility, access and distribution</x:v>
      </x:c>
    </x:row>
    <x:row r="53" ht="46" customHeight="1">
      <x:c r="A53" s="11" t="str">
        <x:v>CM-WMG</x:v>
      </x:c>
      <x:c r="B53" s="11" t="str">
        <x:v>Civil water-mobility group</x:v>
      </x:c>
      <x:c r="C53" s="27" t="str">
        <x:v>Joint entry, information, sustainment and civil integration</x:v>
      </x:c>
      <x:c r="D53" s="27" t="str">
        <x:v>Campaign force</x:v>
      </x:c>
      <x:c r="E53" s="27" t="str">
        <x:v>Movement, energy, communications, skilled labor and receiving sites</x:v>
      </x:c>
      <x:c r="F53" s="27" t="str">
        <x:v>Architectural relation; covariance unmeasured</x:v>
      </x:c>
      <x:c r="G53" s="27" t="str">
        <x:v>Joint seeded-loss campaign trial with named origins and receivers</x:v>
      </x:c>
      <x:c r="H53" s="11" t="str">
        <x:v>Civil Mobility and Continuity</x:v>
      </x:c>
      <x:c r="I53" s="11" t="str">
        <x:v>Mobility, access and distribution</x:v>
      </x:c>
    </x:row>
    <x:row r="54" ht="46" customHeight="1">
      <x:c r="A54" s="11" t="str">
        <x:v>CM-RDC</x:v>
      </x:c>
      <x:c r="B54" s="11" t="str">
        <x:v>Return and durable-continuity group</x:v>
      </x:c>
      <x:c r="C54" s="27" t="str">
        <x:v>Joint entry, information, sustainment and civil integration</x:v>
      </x:c>
      <x:c r="D54" s="27" t="str">
        <x:v>Campaign force</x:v>
      </x:c>
      <x:c r="E54" s="27" t="str">
        <x:v>Movement, energy, communications, skilled labor and receiving sites</x:v>
      </x:c>
      <x:c r="F54" s="27" t="str">
        <x:v>Architectural relation; covariance unmeasured</x:v>
      </x:c>
      <x:c r="G54" s="27" t="str">
        <x:v>Joint seeded-loss campaign trial with named origins and receivers</x:v>
      </x:c>
      <x:c r="H54" s="11" t="str">
        <x:v>Civil Mobility and Continuity</x:v>
      </x:c>
      <x:c r="I54" s="11" t="str">
        <x:v>Food, shelter and essential-goods continuity</x:v>
      </x:c>
    </x:row>
  </x:sheetData>
  <x:pageMargins left="0.7" right="0.7" top="0.75" bottom="0.75" header="0.3" footer="0.3"/>
  <x:tableParts count="1">
    <x:tablePart xmlns:r="http://schemas.openxmlformats.org/officeDocument/2006/relationships" r:id="R2ce5195b6675403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4" hidden="0" customWidth="1"/>
    <x:col min="3" max="3" width="42" hidden="0" customWidth="1"/>
    <x:col min="4" max="4" width="58" hidden="0" customWidth="1"/>
    <x:col min="5" max="5" width="56" hidden="0" customWidth="1"/>
    <x:col min="6" max="6" width="38" hidden="0" customWidth="1"/>
    <x:col min="7" max="7" width="12" hidden="0" customWidth="1"/>
    <x:col min="8" max="8" width="14" hidden="0" customWidth="1"/>
  </x:cols>
  <x:sheetData>
    <x:row r="2">
      <x:c r="A2" s="2" t="str">
        <x:v>Mission-Failure-to-Technology Pull</x:v>
      </x:c>
      <x:c r="B2" s="1"/>
      <x:c r="C2" s="1"/>
      <x:c r="D2" s="1"/>
      <x:c r="E2" s="1"/>
      <x:c r="F2" s="1"/>
      <x:c r="G2" s="1"/>
      <x:c r="H2" s="1"/>
    </x:row>
    <x:row r="3">
      <x:c r="A3" s="3" t="str">
        <x:v>Technology earns force-structure relevance by changing a binding mission coefficient across a complete formation, not by novelty alone.</x:v>
      </x:c>
      <x:c r="B3" s="3"/>
      <x:c r="C3" s="3"/>
      <x:c r="D3" s="3"/>
      <x:c r="E3" s="3"/>
      <x:c r="F3" s="3"/>
      <x:c r="G3" s="3"/>
      <x:c r="H3" s="3"/>
    </x:row>
    <x:row r="5" ht="62" customHeight="1">
      <x:c r="A5" s="9" t="str">
        <x:v>Mission thread</x:v>
      </x:c>
      <x:c r="B5" s="9" t="str">
        <x:v>Registered formations</x:v>
      </x:c>
      <x:c r="C5" s="9" t="str">
        <x:v>Binding coefficient</x:v>
      </x:c>
      <x:c r="D5" s="9" t="str">
        <x:v>Candidate technology competitions</x:v>
      </x:c>
      <x:c r="E5" s="9" t="str">
        <x:v>Disqualifying evidence requirement</x:v>
      </x:c>
      <x:c r="F5" s="9" t="str">
        <x:v>Acquisition object</x:v>
      </x:c>
      <x:c r="G5" s="9" t="str">
        <x:v>R3 formations</x:v>
      </x:c>
      <x:c r="H5" s="9" t="str">
        <x:v>Rendering unlock</x:v>
      </x:c>
    </x:row>
    <x:row r="6" ht="62" customHeight="1">
      <x:c r="A6" s="27" t="str">
        <x:v>Enter a broken theater</x:v>
      </x:c>
      <x:c r="B6" s="28" t="n">
        <x:f>COUNTIF('01 Registry'!$V$6:$V$54,A6)</x:f>
        <x:v>9</x:v>
      </x:c>
      <x:c r="C6" s="27" t="str">
        <x:v>Mass delivered from safe origin to operating formation by deadline</x:v>
      </x:c>
      <x:c r="D6" s="27" t="str">
        <x:v>High-rate strategic lift; no-pier connectors; autonomous cargo handling; rapid route repair; zero-host-utility bases</x:v>
      </x:c>
      <x:c r="E6" s="27" t="str">
        <x:v>Named loads, cycles, damaged nodes, queues, maintenance and common-mode loss</x:v>
      </x:c>
      <x:c r="F6" s="27" t="str">
        <x:v>Movement-plus-entry formation increment</x:v>
      </x:c>
      <x:c r="G6" s="39" t="n">
        <x:f>COUNTIFS('01 Registry'!$V$6:$V$54,A6,'01 Registry'!$J$6:$J$54,"R3")</x:f>
        <x:v>0</x:v>
      </x:c>
      <x:c r="H6" s="39" t="str">
        <x:f>IF(G6&gt;0,"REVIEW","BLOCKED")</x:f>
        <x:v>BLOCKED</x:v>
      </x:c>
    </x:row>
    <x:row r="7" ht="62" customHeight="1">
      <x:c r="A7" s="27" t="str">
        <x:v>Reach occupied civil terrain</x:v>
      </x:c>
      <x:c r="B7" s="28" t="n">
        <x:f>COUNTIF('01 Registry'!$V$6:$V$54,A7)</x:f>
        <x:v>6</x:v>
      </x:c>
      <x:c r="C7" s="27" t="str">
        <x:v>Households/buildings lawfully reached per team-hour under disconnected conditions</x:v>
      </x:c>
      <x:c r="D7" s="27" t="str">
        <x:v>Vertical-access robotics; privacy-preserving civil-state tools; portable building utility interfaces; persistent relay</x:v>
      </x:c>
      <x:c r="E7" s="27" t="str">
        <x:v>Occupied-building trials, rights audit, disconnected records and false-positive burden</x:v>
      </x:c>
      <x:c r="F7" s="27" t="str">
        <x:v>Neighborhood access formation increment</x:v>
      </x:c>
      <x:c r="G7" s="39" t="n">
        <x:f>COUNTIFS('01 Registry'!$V$6:$V$54,A7,'01 Registry'!$J$6:$J$54,"R3")</x:f>
        <x:v>0</x:v>
      </x:c>
      <x:c r="H7" s="39" t="str">
        <x:f>IF(G7&gt;0,"REVIEW","BLOCKED")</x:f>
        <x:v>BLOCKED</x:v>
      </x:c>
    </x:row>
    <x:row r="8" ht="62" customHeight="1">
      <x:c r="A8" s="27" t="str">
        <x:v>Control an active hazard</x:v>
      </x:c>
      <x:c r="B8" s="28" t="n">
        <x:f>COUNTIF('01 Registry'!$V$6:$V$54,A8)</x:f>
        <x:v>4</x:v>
      </x:c>
      <x:c r="C8" s="27" t="str">
        <x:v>Damaging-process reduction before escape, breach or cascade</x:v>
      </x:c>
      <x:c r="D8" s="27" t="str">
        <x:v>Persistent fire aviation; robotic line construction; megaflow pumping; adaptive barriers; predictive sensing</x:v>
      </x:c>
      <x:c r="E8" s="27" t="str">
        <x:v>Correlated action tails, full curves, base/airspace/route queues and hold evidence</x:v>
      </x:c>
      <x:c r="F8" s="27" t="str">
        <x:v>Hazard-control formation increment</x:v>
      </x:c>
      <x:c r="G8" s="39" t="n">
        <x:f>COUNTIFS('01 Registry'!$V$6:$V$54,A8,'01 Registry'!$J$6:$J$54,"R3")</x:f>
        <x:v>0</x:v>
      </x:c>
      <x:c r="H8" s="39" t="str">
        <x:f>IF(G8&gt;0,"REVIEW","BLOCKED")</x:f>
        <x:v>BLOCKED</x:v>
      </x:c>
    </x:row>
    <x:row r="9" ht="62" customHeight="1">
      <x:c r="A9" s="27" t="str">
        <x:v>Produce and distribute lifelines</x:v>
      </x:c>
      <x:c r="B9" s="28" t="n">
        <x:f>COUNTIF('01 Registry'!$V$6:$V$54,A9)</x:f>
        <x:v>6</x:v>
      </x:c>
      <x:c r="C9" s="27" t="str">
        <x:v>Safe service delivered at point of use per tonne, worker-hour and energy input</x:v>
      </x:c>
      <x:c r="D9" s="27" t="str">
        <x:v>Grid-forming modular power; rapid conductors and pipe; novel treatment; maritime water-energy plants; autonomous construction</x:v>
      </x:c>
      <x:c r="E9" s="27" t="str">
        <x:v>Full thermodynamic/hydraulic/electrical chain, residuals, interfaces and transfer</x:v>
      </x:c>
      <x:c r="F9" s="27" t="str">
        <x:v>Utility formation increment</x:v>
      </x:c>
      <x:c r="G9" s="39" t="n">
        <x:f>COUNTIFS('01 Registry'!$V$6:$V$54,A9,'01 Registry'!$J$6:$J$54,"R3")</x:f>
        <x:v>0</x:v>
      </x:c>
      <x:c r="H9" s="39" t="str">
        <x:f>IF(G9&gt;0,"REVIEW","BLOCKED")</x:f>
        <x:v>BLOCKED</x:v>
      </x:c>
    </x:row>
    <x:row r="10" ht="62" customHeight="1">
      <x:c r="A10" s="27" t="str">
        <x:v>Preserve care and human continuity</x:v>
      </x:c>
      <x:c r="B10" s="28" t="n">
        <x:f>COUNTIF('01 Registry'!$V$6:$V$54,A10)</x:f>
        <x:v>15</x:v>
      </x:c>
      <x:c r="C10" s="27" t="str">
        <x:v>Care or continuity hours sustained without breaking household, device or clinical pathways</x:v>
      </x:c>
      <x:c r="D10" s="27" t="str">
        <x:v>Modular clinical systems; oxygen and sterile production; accessible multimodal cabins; adaptive shelters; decision support</x:v>
      </x:c>
      <x:c r="E10" s="27" t="str">
        <x:v>Occupied care, custody, accessibility, clinical governance, waste and destination trials</x:v>
      </x:c>
      <x:c r="F10" s="27" t="str">
        <x:v>Health/community/mobility formation increment</x:v>
      </x:c>
      <x:c r="G10" s="39" t="n">
        <x:f>COUNTIFS('01 Registry'!$V$6:$V$54,A10,'01 Registry'!$J$6:$J$54,"R3")</x:f>
        <x:v>0</x:v>
      </x:c>
      <x:c r="H10" s="39" t="str">
        <x:f>IF(G10&gt;0,"REVIEW","BLOCKED")</x:f>
        <x:v>BLOCKED</x:v>
      </x:c>
    </x:row>
    <x:row r="11" ht="62" customHeight="1">
      <x:c r="A11" s="27" t="str">
        <x:v>Sustain, transfer and regenerate</x:v>
      </x:c>
      <x:c r="B11" s="28" t="n">
        <x:f>COUNTIF('01 Registry'!$V$6:$V$54,A11)</x:f>
        <x:v>9</x:v>
      </x:c>
      <x:c r="C11" s="27" t="str">
        <x:v>Operational days and restored-ready formations per constrained logistics/repair input</x:v>
      </x:c>
      <x:c r="D11" s="27" t="str">
        <x:v>Autonomous depots; additive spares; condition-based maintenance; decontamination; circular residual processing; digital configuration</x:v>
      </x:c>
      <x:c r="E11" s="27" t="str">
        <x:v>Crew rotation, major maintenance cycle, supplier loss, waste closure and failed-transfer exercise</x:v>
      </x:c>
      <x:c r="F11" s="27" t="str">
        <x:v>Sustainment and regeneration formation increment</x:v>
      </x:c>
      <x:c r="G11" s="39" t="n">
        <x:f>COUNTIFS('01 Registry'!$V$6:$V$54,A11,'01 Registry'!$J$6:$J$54,"R3")</x:f>
        <x:v>0</x:v>
      </x:c>
      <x:c r="H11" s="39" t="str">
        <x:f>IF(G11&gt;0,"REVIEW","BLOCKED")</x:f>
        <x:v>BLOCKED</x:v>
      </x:c>
    </x:row>
  </x:sheetData>
  <x:pageMargins left="0.7" right="0.7" top="0.75" bottom="0.75" header="0.3" footer="0.3"/>
  <x:tableParts count="1">
    <x:tablePart xmlns:r="http://schemas.openxmlformats.org/officeDocument/2006/relationships" r:id="R14c218f637c24ea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" hidden="0" customWidth="1"/>
    <x:col min="2" max="2" width="16" hidden="0" customWidth="1"/>
    <x:col min="3" max="3" width="17" hidden="0" customWidth="1"/>
    <x:col min="4" max="4" width="17" hidden="0" customWidth="1"/>
    <x:col min="5" max="5" width="13" hidden="0" customWidth="1"/>
    <x:col min="6" max="6" width="13" hidden="0" customWidth="1"/>
    <x:col min="8" max="8" width="28" hidden="0" customWidth="1"/>
    <x:col min="9" max="9" width="16" hidden="0" customWidth="1"/>
    <x:col min="10" max="10" width="17" hidden="0" customWidth="1"/>
    <x:col min="11" max="11" width="14" hidden="0" customWidth="1"/>
  </x:cols>
  <x:sheetData>
    <x:row r="2">
      <x:c r="A2" s="2" t="str">
        <x:v>Portfolio Coverage and Gaps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>
      <x:c r="A3" s="3" t="str">
        <x:v>Formula-linked coverage by generating service, civilian effect and formation-contract field. Counts include only canonical formation families unless noted.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</x:row>
    <x:row r="5" ht="27" customHeight="1">
      <x:c r="A5" s="9" t="str">
        <x:v>Generating service</x:v>
      </x:c>
      <x:c r="B5" s="9" t="str">
        <x:v>Canonical families</x:v>
      </x:c>
      <x:c r="C5" s="9" t="str">
        <x:v>Pass 23 quantified</x:v>
      </x:c>
      <x:c r="D5" s="9" t="str">
        <x:v>Mean completeness</x:v>
      </x:c>
      <x:c r="E5" s="9" t="str">
        <x:v>R2+ proxies</x:v>
      </x:c>
      <x:c r="F5" s="9" t="str">
        <x:v>R3 formations</x:v>
      </x:c>
      <x:c r="H5" s="9" t="str">
        <x:v>Contract field</x:v>
      </x:c>
      <x:c r="I5" s="9" t="str">
        <x:v>Absent records</x:v>
      </x:c>
      <x:c r="J5" s="9" t="str">
        <x:v>R3-grade records</x:v>
      </x:c>
      <x:c r="K5" s="9" t="str">
        <x:v>Mean score</x:v>
      </x:c>
    </x:row>
    <x:row r="6" ht="27" customHeight="1">
      <x:c r="A6" s="11" t="str">
        <x:v>Joint</x:v>
      </x:c>
      <x:c r="B6" s="11" t="n">
        <x:f>COUNTIFS('01 Registry'!$D$6:$D$54,A6,'01 Registry'!$B$6:$B$54,"Canonical family")</x:f>
        <x:v>6</x:v>
      </x:c>
      <x:c r="C6" s="11" t="n">
        <x:f>COUNTIFS('01 Registry'!$D$6:$D$54,A6,'01 Registry'!$B$6:$B$54,"Canonical family",'01 Registry'!$H$6:$H$54,"Quantified")</x:f>
        <x:v>5</x:v>
      </x:c>
      <x:c r="D6" s="13" t="n">
        <x:f>AVERAGEIF('01 Registry'!$D$6:$D$54,A6,'01 Registry'!$O$6:$O$54)</x:f>
        <x:v>0.46666666666666673</x:v>
      </x:c>
      <x:c r="E6" s="11" t="n">
        <x:f>COUNTIFS('01 Registry'!$D$6:$D$54,A6,'01 Registry'!$J$6:$J$54,"R2+")</x:f>
        <x:v>0</x:v>
      </x:c>
      <x:c r="F6" s="11" t="n">
        <x:f>COUNTIFS('01 Registry'!$D$6:$D$54,A6,'01 Registry'!$J$6:$J$54,"R3")</x:f>
        <x:v>0</x:v>
      </x:c>
      <x:c r="H6" s="11" t="str">
        <x:v>Population / function</x:v>
      </x:c>
      <x:c r="I6" s="11" t="n">
        <x:f>COUNTIF('02 Contract Detail'!$C$6:$C$54,0)</x:f>
        <x:v>0</x:v>
      </x:c>
      <x:c r="J6" s="11" t="n">
        <x:f>COUNTIF('02 Contract Detail'!$C$6:$C$54,2)</x:f>
        <x:v>8</x:v>
      </x:c>
      <x:c r="K6" s="40" t="n">
        <x:f>AVERAGE('02 Contract Detail'!$C$6:$C$54)</x:f>
        <x:v>1.163265306122449</x:v>
      </x:c>
    </x:row>
    <x:row r="7" ht="27" customHeight="1">
      <x:c r="A7" s="11" t="str">
        <x:v>Land Engineering</x:v>
      </x:c>
      <x:c r="B7" s="11" t="n">
        <x:f>COUNTIFS('01 Registry'!$D$6:$D$54,A7,'01 Registry'!$B$6:$B$54,"Canonical family")</x:f>
        <x:v>5</x:v>
      </x:c>
      <x:c r="C7" s="11" t="n">
        <x:f>COUNTIFS('01 Registry'!$D$6:$D$54,A7,'01 Registry'!$B$6:$B$54,"Canonical family",'01 Registry'!$H$6:$H$54,"Quantified")</x:f>
        <x:v>5</x:v>
      </x:c>
      <x:c r="D7" s="13" t="n">
        <x:f>AVERAGEIF('01 Registry'!$D$6:$D$54,A7,'01 Registry'!$O$6:$O$54)</x:f>
        <x:v>0.5900000000000001</x:v>
      </x:c>
      <x:c r="E7" s="11" t="n">
        <x:f>COUNTIFS('01 Registry'!$D$6:$D$54,A7,'01 Registry'!$J$6:$J$54,"R2+")</x:f>
        <x:v>2</x:v>
      </x:c>
      <x:c r="F7" s="11" t="n">
        <x:f>COUNTIFS('01 Registry'!$D$6:$D$54,A7,'01 Registry'!$J$6:$J$54,"R3")</x:f>
        <x:v>0</x:v>
      </x:c>
      <x:c r="H7" s="11" t="str">
        <x:v>Safe-use effect</x:v>
      </x:c>
      <x:c r="I7" s="11" t="n">
        <x:f>COUNTIF('02 Contract Detail'!$D$6:$D$54,0)</x:f>
        <x:v>0</x:v>
      </x:c>
      <x:c r="J7" s="11" t="n">
        <x:f>COUNTIF('02 Contract Detail'!$D$6:$D$54,2)</x:f>
        <x:v>8</x:v>
      </x:c>
      <x:c r="K7" s="40" t="n">
        <x:f>AVERAGE('02 Contract Detail'!$D$6:$D$54)</x:f>
        <x:v>1.163265306122449</x:v>
      </x:c>
    </x:row>
    <x:row r="8" ht="27" customHeight="1">
      <x:c r="A8" s="11" t="str">
        <x:v>Air Response</x:v>
      </x:c>
      <x:c r="B8" s="11" t="n">
        <x:f>COUNTIFS('01 Registry'!$D$6:$D$54,A8,'01 Registry'!$B$6:$B$54,"Canonical family")</x:f>
        <x:v>6</x:v>
      </x:c>
      <x:c r="C8" s="11" t="n">
        <x:f>COUNTIFS('01 Registry'!$D$6:$D$54,A8,'01 Registry'!$B$6:$B$54,"Canonical family",'01 Registry'!$H$6:$H$54,"Quantified")</x:f>
        <x:v>6</x:v>
      </x:c>
      <x:c r="D8" s="13" t="n">
        <x:f>AVERAGEIF('01 Registry'!$D$6:$D$54,A8,'01 Registry'!$O$6:$O$54)</x:f>
        <x:v>0.45</x:v>
      </x:c>
      <x:c r="E8" s="11" t="n">
        <x:f>COUNTIFS('01 Registry'!$D$6:$D$54,A8,'01 Registry'!$J$6:$J$54,"R2+")</x:f>
        <x:v>0</x:v>
      </x:c>
      <x:c r="F8" s="11" t="n">
        <x:f>COUNTIFS('01 Registry'!$D$6:$D$54,A8,'01 Registry'!$J$6:$J$54,"R3")</x:f>
        <x:v>0</x:v>
      </x:c>
      <x:c r="H8" s="11" t="str">
        <x:v>Time bands</x:v>
      </x:c>
      <x:c r="I8" s="11" t="n">
        <x:f>COUNTIF('02 Contract Detail'!$E$6:$E$54,0)</x:f>
        <x:v>1</x:v>
      </x:c>
      <x:c r="J8" s="11" t="n">
        <x:f>COUNTIF('02 Contract Detail'!$E$6:$E$54,2)</x:f>
        <x:v>8</x:v>
      </x:c>
      <x:c r="K8" s="40" t="n">
        <x:f>AVERAGE('02 Contract Detail'!$E$6:$E$54)</x:f>
        <x:v>1.1428571428571428</x:v>
      </x:c>
    </x:row>
    <x:row r="9" ht="27" customHeight="1">
      <x:c r="A9" s="11" t="str">
        <x:v>Maritime Response</x:v>
      </x:c>
      <x:c r="B9" s="11" t="n">
        <x:f>COUNTIFS('01 Registry'!$D$6:$D$54,A9,'01 Registry'!$B$6:$B$54,"Canonical family")</x:f>
        <x:v>6</x:v>
      </x:c>
      <x:c r="C9" s="11" t="n">
        <x:f>COUNTIFS('01 Registry'!$D$6:$D$54,A9,'01 Registry'!$B$6:$B$54,"Canonical family",'01 Registry'!$H$6:$H$54,"Quantified")</x:f>
        <x:v>5</x:v>
      </x:c>
      <x:c r="D9" s="13" t="n">
        <x:f>AVERAGEIF('01 Registry'!$D$6:$D$54,A9,'01 Registry'!$O$6:$O$54)</x:f>
        <x:v>0.5083333333333334</x:v>
      </x:c>
      <x:c r="E9" s="11" t="n">
        <x:f>COUNTIFS('01 Registry'!$D$6:$D$54,A9,'01 Registry'!$J$6:$J$54,"R2+")</x:f>
        <x:v>1</x:v>
      </x:c>
      <x:c r="F9" s="11" t="n">
        <x:f>COUNTIFS('01 Registry'!$D$6:$D$54,A9,'01 Registry'!$J$6:$J$54,"R3")</x:f>
        <x:v>0</x:v>
      </x:c>
      <x:c r="H9" s="11" t="str">
        <x:v>Damage envelope</x:v>
      </x:c>
      <x:c r="I9" s="11" t="n">
        <x:f>COUNTIF('02 Contract Detail'!$F$6:$F$54,0)</x:f>
        <x:v>31</x:v>
      </x:c>
      <x:c r="J9" s="11" t="n">
        <x:f>COUNTIF('02 Contract Detail'!$F$6:$F$54,2)</x:f>
        <x:v>8</x:v>
      </x:c>
      <x:c r="K9" s="40" t="n">
        <x:f>AVERAGE('02 Contract Detail'!$F$6:$F$54)</x:f>
        <x:v>0.5306122448979592</x:v>
      </x:c>
    </x:row>
    <x:row r="10" ht="27" customHeight="1">
      <x:c r="A10" s="11" t="str">
        <x:v>Infrastructure Restoration</x:v>
      </x:c>
      <x:c r="B10" s="11" t="n">
        <x:f>COUNTIFS('01 Registry'!$D$6:$D$54,A10,'01 Registry'!$B$6:$B$54,"Canonical family")</x:f>
        <x:v>6</x:v>
      </x:c>
      <x:c r="C10" s="11" t="n">
        <x:f>COUNTIFS('01 Registry'!$D$6:$D$54,A10,'01 Registry'!$B$6:$B$54,"Canonical family",'01 Registry'!$H$6:$H$54,"Quantified")</x:f>
        <x:v>3</x:v>
      </x:c>
      <x:c r="D10" s="13" t="n">
        <x:f>AVERAGEIF('01 Registry'!$D$6:$D$54,A10,'01 Registry'!$O$6:$O$54)</x:f>
        <x:v>0.5357142857142858</x:v>
      </x:c>
      <x:c r="E10" s="11" t="n">
        <x:f>COUNTIFS('01 Registry'!$D$6:$D$54,A10,'01 Registry'!$J$6:$J$54,"R2+")</x:f>
        <x:v>2</x:v>
      </x:c>
      <x:c r="F10" s="11" t="n">
        <x:f>COUNTIFS('01 Registry'!$D$6:$D$54,A10,'01 Registry'!$J$6:$J$54,"R3")</x:f>
        <x:v>0</x:v>
      </x:c>
      <x:c r="H10" s="11" t="str">
        <x:v>Organic package</x:v>
      </x:c>
      <x:c r="I10" s="11" t="n">
        <x:f>COUNTIF('02 Contract Detail'!$G$6:$G$54,0)</x:f>
        <x:v>0</x:v>
      </x:c>
      <x:c r="J10" s="11" t="n">
        <x:f>COUNTIF('02 Contract Detail'!$G$6:$G$54,2)</x:f>
        <x:v>8</x:v>
      </x:c>
      <x:c r="K10" s="40" t="n">
        <x:f>AVERAGE('02 Contract Detail'!$G$6:$G$54)</x:f>
        <x:v>1.163265306122449</x:v>
      </x:c>
    </x:row>
    <x:row r="11" ht="27" customHeight="1">
      <x:c r="A11" s="11" t="str">
        <x:v>Health Protection</x:v>
      </x:c>
      <x:c r="B11" s="11" t="n">
        <x:f>COUNTIFS('01 Registry'!$D$6:$D$54,A11,'01 Registry'!$B$6:$B$54,"Canonical family")</x:f>
        <x:v>6</x:v>
      </x:c>
      <x:c r="C11" s="11" t="n">
        <x:f>COUNTIFS('01 Registry'!$D$6:$D$54,A11,'01 Registry'!$B$6:$B$54,"Canonical family",'01 Registry'!$H$6:$H$54,"Quantified")</x:f>
        <x:v>4</x:v>
      </x:c>
      <x:c r="D11" s="13" t="n">
        <x:f>AVERAGEIF('01 Registry'!$D$6:$D$54,A11,'01 Registry'!$O$6:$O$54)</x:f>
        <x:v>0.4666666666666666</x:v>
      </x:c>
      <x:c r="E11" s="11" t="n">
        <x:f>COUNTIFS('01 Registry'!$D$6:$D$54,A11,'01 Registry'!$J$6:$J$54,"R2+")</x:f>
        <x:v>0</x:v>
      </x:c>
      <x:c r="F11" s="11" t="n">
        <x:f>COUNTIFS('01 Registry'!$D$6:$D$54,A11,'01 Registry'!$J$6:$J$54,"R3")</x:f>
        <x:v>0</x:v>
      </x:c>
      <x:c r="H11" s="11" t="str">
        <x:v>Dependencies</x:v>
      </x:c>
      <x:c r="I11" s="11" t="n">
        <x:f>COUNTIF('02 Contract Detail'!$H$6:$H$54,0)</x:f>
        <x:v>1</x:v>
      </x:c>
      <x:c r="J11" s="11" t="n">
        <x:f>COUNTIF('02 Contract Detail'!$H$6:$H$54,2)</x:f>
        <x:v>0</x:v>
      </x:c>
      <x:c r="K11" s="40" t="n">
        <x:f>AVERAGE('02 Contract Detail'!$H$6:$H$54)</x:f>
        <x:v>0.9795918367346939</x:v>
      </x:c>
    </x:row>
    <x:row r="12" ht="27" customHeight="1">
      <x:c r="A12" s="11" t="str">
        <x:v>Community Stabilization</x:v>
      </x:c>
      <x:c r="B12" s="11" t="n">
        <x:f>COUNTIFS('01 Registry'!$D$6:$D$54,A12,'01 Registry'!$B$6:$B$54,"Canonical family")</x:f>
        <x:v>6</x:v>
      </x:c>
      <x:c r="C12" s="11" t="n">
        <x:f>COUNTIFS('01 Registry'!$D$6:$D$54,A12,'01 Registry'!$B$6:$B$54,"Canonical family",'01 Registry'!$H$6:$H$54,"Quantified")</x:f>
        <x:v>5</x:v>
      </x:c>
      <x:c r="D12" s="13" t="n">
        <x:f>AVERAGEIF('01 Registry'!$D$6:$D$54,A12,'01 Registry'!$O$6:$O$54)</x:f>
        <x:v>0.4916666666666667</x:v>
      </x:c>
      <x:c r="E12" s="11" t="n">
        <x:f>COUNTIFS('01 Registry'!$D$6:$D$54,A12,'01 Registry'!$J$6:$J$54,"R2+")</x:f>
        <x:v>1</x:v>
      </x:c>
      <x:c r="F12" s="11" t="n">
        <x:f>COUNTIFS('01 Registry'!$D$6:$D$54,A12,'01 Registry'!$J$6:$J$54,"R3")</x:f>
        <x:v>0</x:v>
      </x:c>
      <x:c r="H12" s="11" t="str">
        <x:v>Movement / reception</x:v>
      </x:c>
      <x:c r="I12" s="11" t="n">
        <x:f>COUNTIF('02 Contract Detail'!$I$6:$I$54,0)</x:f>
        <x:v>1</x:v>
      </x:c>
      <x:c r="J12" s="11" t="n">
        <x:f>COUNTIF('02 Contract Detail'!$I$6:$I$54,2)</x:f>
        <x:v>8</x:v>
      </x:c>
      <x:c r="K12" s="40" t="n">
        <x:f>AVERAGE('02 Contract Detail'!$I$6:$I$54)</x:f>
        <x:v>1.1428571428571428</x:v>
      </x:c>
    </x:row>
    <x:row r="13" ht="27" customHeight="1">
      <x:c r="A13" s="11" t="str">
        <x:v>Civil Mobility and Continuity</x:v>
      </x:c>
      <x:c r="B13" s="11" t="n">
        <x:f>COUNTIFS('01 Registry'!$D$6:$D$54,A13,'01 Registry'!$B$6:$B$54,"Canonical family")</x:f>
        <x:v>7</x:v>
      </x:c>
      <x:c r="C13" s="11" t="n">
        <x:f>COUNTIFS('01 Registry'!$D$6:$D$54,A13,'01 Registry'!$B$6:$B$54,"Canonical family",'01 Registry'!$H$6:$H$54,"Quantified")</x:f>
        <x:v>0</x:v>
      </x:c>
      <x:c r="D13" s="13" t="n">
        <x:f>AVERAGEIF('01 Registry'!$D$6:$D$54,A13,'01 Registry'!$O$6:$O$54)</x:f>
        <x:v>0.5857142857142856</x:v>
      </x:c>
      <x:c r="E13" s="11" t="n">
        <x:f>COUNTIFS('01 Registry'!$D$6:$D$54,A13,'01 Registry'!$J$6:$J$54,"R2+")</x:f>
        <x:v>2</x:v>
      </x:c>
      <x:c r="F13" s="11" t="n">
        <x:f>COUNTIFS('01 Registry'!$D$6:$D$54,A13,'01 Registry'!$J$6:$J$54,"R3")</x:f>
        <x:v>0</x:v>
      </x:c>
      <x:c r="H13" s="11" t="str">
        <x:v>Sustainment / waste</x:v>
      </x:c>
      <x:c r="I13" s="11" t="n">
        <x:f>COUNTIF('02 Contract Detail'!$J$6:$J$54,0)</x:f>
        <x:v>0</x:v>
      </x:c>
      <x:c r="J13" s="11" t="n">
        <x:f>COUNTIF('02 Contract Detail'!$J$6:$J$54,2)</x:f>
        <x:v>0</x:v>
      </x:c>
      <x:c r="K13" s="40" t="n">
        <x:f>AVERAGE('02 Contract Detail'!$J$6:$J$54)</x:f>
        <x:v>1</x:v>
      </x:c>
    </x:row>
    <x:row r="14" ht="27" customHeight="1">
      <x:c r="H14" s="11" t="str">
        <x:v>Authorities / transfer</x:v>
      </x:c>
      <x:c r="I14" s="11" t="n">
        <x:f>COUNTIF('02 Contract Detail'!$K$6:$K$54,0)</x:f>
        <x:v>1</x:v>
      </x:c>
      <x:c r="J14" s="11" t="n">
        <x:f>COUNTIF('02 Contract Detail'!$K$6:$K$54,2)</x:f>
        <x:v>0</x:v>
      </x:c>
      <x:c r="K14" s="40" t="n">
        <x:f>AVERAGE('02 Contract Detail'!$K$6:$K$54)</x:f>
        <x:v>0.9795918367346939</x:v>
      </x:c>
    </x:row>
    <x:row r="15" ht="27" customHeight="1">
      <x:c r="H15" s="11" t="str">
        <x:v>Regeneration</x:v>
      </x:c>
      <x:c r="I15" s="11" t="n">
        <x:f>COUNTIF('02 Contract Detail'!$L$6:$L$54,0)</x:f>
        <x:v>1</x:v>
      </x:c>
      <x:c r="J15" s="11" t="n">
        <x:f>COUNTIF('02 Contract Detail'!$L$6:$L$54,2)</x:f>
        <x:v>0</x:v>
      </x:c>
      <x:c r="K15" s="40" t="n">
        <x:f>AVERAGE('02 Contract Detail'!$L$6:$L$54)</x:f>
        <x:v>0.9795918367346939</x:v>
      </x:c>
    </x:row>
    <x:row r="16" ht="27" customHeight="1"/>
    <x:row r="17" ht="27" customHeight="1">
      <x:c r="A17" s="9" t="str">
        <x:v>Civilian effect</x:v>
      </x:c>
      <x:c r="B17" s="9" t="str">
        <x:v>Canonical families</x:v>
      </x:c>
      <x:c r="C17" s="9" t="str">
        <x:v>Pass 23 quantified</x:v>
      </x:c>
      <x:c r="D17" s="9" t="str">
        <x:v>Mean completeness</x:v>
      </x:c>
      <x:c r="E17" s="9" t="str">
        <x:v>R2+ proxies</x:v>
      </x:c>
      <x:c r="F17" s="9" t="str">
        <x:v>R3 formations</x:v>
      </x:c>
    </x:row>
    <x:row r="18" ht="27" customHeight="1">
      <x:c r="A18" s="11" t="str">
        <x:v>Civil coordination, safety and public information</x:v>
      </x:c>
      <x:c r="B18" s="11" t="n">
        <x:f>COUNTIFS('01 Registry'!$E$6:$E$54,A18,'01 Registry'!$B$6:$B$54,"Canonical family")</x:f>
        <x:v>3</x:v>
      </x:c>
      <x:c r="C18" s="11" t="n">
        <x:f>COUNTIFS('01 Registry'!$E$6:$E$54,A18,'01 Registry'!$B$6:$B$54,"Canonical family",'01 Registry'!$H$6:$H$54,"Quantified")</x:f>
        <x:v>3</x:v>
      </x:c>
      <x:c r="D18" s="13" t="n">
        <x:f>AVERAGEIF('01 Registry'!$E$6:$E$54,A18,'01 Registry'!$O$6:$O$54)</x:f>
        <x:v>0.45</x:v>
      </x:c>
      <x:c r="E18" s="11" t="n">
        <x:f>COUNTIFS('01 Registry'!$E$6:$E$54,A18,'01 Registry'!$J$6:$J$54,"R2+")</x:f>
        <x:v>0</x:v>
      </x:c>
      <x:c r="F18" s="11" t="n">
        <x:f>COUNTIFS('01 Registry'!$E$6:$E$54,A18,'01 Registry'!$J$6:$J$54,"R3")</x:f>
        <x:v>0</x:v>
      </x:c>
    </x:row>
    <x:row r="19" ht="27" customHeight="1">
      <x:c r="A19" s="11" t="str">
        <x:v>Food, shelter and essential-goods continuity</x:v>
      </x:c>
      <x:c r="B19" s="11" t="n">
        <x:f>COUNTIFS('01 Registry'!$E$6:$E$54,A19,'01 Registry'!$B$6:$B$54,"Canonical family")</x:f>
        <x:v>4</x:v>
      </x:c>
      <x:c r="C19" s="11" t="n">
        <x:f>COUNTIFS('01 Registry'!$E$6:$E$54,A19,'01 Registry'!$B$6:$B$54,"Canonical family",'01 Registry'!$H$6:$H$54,"Quantified")</x:f>
        <x:v>3</x:v>
      </x:c>
      <x:c r="D19" s="13" t="n">
        <x:f>AVERAGEIF('01 Registry'!$E$6:$E$54,A19,'01 Registry'!$O$6:$O$54)</x:f>
        <x:v>0.55</x:v>
      </x:c>
      <x:c r="E19" s="11" t="n">
        <x:f>COUNTIFS('01 Registry'!$E$6:$E$54,A19,'01 Registry'!$J$6:$J$54,"R2+")</x:f>
        <x:v>1</x:v>
      </x:c>
      <x:c r="F19" s="11" t="n">
        <x:f>COUNTIFS('01 Registry'!$E$6:$E$54,A19,'01 Registry'!$J$6:$J$54,"R3")</x:f>
        <x:v>0</x:v>
      </x:c>
    </x:row>
    <x:row r="20" ht="27" customHeight="1">
      <x:c r="A20" s="11" t="str">
        <x:v>Health and medical continuity</x:v>
      </x:c>
      <x:c r="B20" s="11" t="n">
        <x:f>COUNTIFS('01 Registry'!$E$6:$E$54,A20,'01 Registry'!$B$6:$B$54,"Canonical family")</x:f>
        <x:v>7</x:v>
      </x:c>
      <x:c r="C20" s="11" t="n">
        <x:f>COUNTIFS('01 Registry'!$E$6:$E$54,A20,'01 Registry'!$B$6:$B$54,"Canonical family",'01 Registry'!$H$6:$H$54,"Quantified")</x:f>
        <x:v>5</x:v>
      </x:c>
      <x:c r="D20" s="13" t="n">
        <x:f>AVERAGEIF('01 Registry'!$E$6:$E$54,A20,'01 Registry'!$O$6:$O$54)</x:f>
        <x:v>0.46428571428571436</x:v>
      </x:c>
      <x:c r="E20" s="11" t="n">
        <x:f>COUNTIFS('01 Registry'!$E$6:$E$54,A20,'01 Registry'!$J$6:$J$54,"R2+")</x:f>
        <x:v>0</x:v>
      </x:c>
      <x:c r="F20" s="11" t="n">
        <x:f>COUNTIFS('01 Registry'!$E$6:$E$54,A20,'01 Registry'!$J$6:$J$54,"R3")</x:f>
        <x:v>0</x:v>
      </x:c>
    </x:row>
    <x:row r="21" ht="27" customHeight="1">
      <x:c r="A21" s="11" t="str">
        <x:v>Energy and thermal continuity</x:v>
      </x:c>
      <x:c r="B21" s="11" t="n">
        <x:f>COUNTIFS('01 Registry'!$E$6:$E$54,A21,'01 Registry'!$B$6:$B$54,"Canonical family")</x:f>
        <x:v>3</x:v>
      </x:c>
      <x:c r="C21" s="11" t="n">
        <x:f>COUNTIFS('01 Registry'!$E$6:$E$54,A21,'01 Registry'!$B$6:$B$54,"Canonical family",'01 Registry'!$H$6:$H$54,"Quantified")</x:f>
        <x:v>1</x:v>
      </x:c>
      <x:c r="D21" s="13" t="n">
        <x:f>AVERAGEIF('01 Registry'!$E$6:$E$54,A21,'01 Registry'!$O$6:$O$54)</x:f>
        <x:v>0.5125</x:v>
      </x:c>
      <x:c r="E21" s="11" t="n">
        <x:f>COUNTIFS('01 Registry'!$E$6:$E$54,A21,'01 Registry'!$J$6:$J$54,"R2+")</x:f>
        <x:v>1</x:v>
      </x:c>
      <x:c r="F21" s="11" t="n">
        <x:f>COUNTIFS('01 Registry'!$E$6:$E$54,A21,'01 Registry'!$J$6:$J$54,"R3")</x:f>
        <x:v>0</x:v>
      </x:c>
    </x:row>
    <x:row r="22" ht="27" customHeight="1">
      <x:c r="A22" s="11" t="str">
        <x:v>Communications, computation and public-service access</x:v>
      </x:c>
      <x:c r="B22" s="11" t="n">
        <x:f>COUNTIFS('01 Registry'!$E$6:$E$54,A22,'01 Registry'!$B$6:$B$54,"Canonical family")</x:f>
        <x:v>3</x:v>
      </x:c>
      <x:c r="C22" s="11" t="n">
        <x:f>COUNTIFS('01 Registry'!$E$6:$E$54,A22,'01 Registry'!$B$6:$B$54,"Canonical family",'01 Registry'!$H$6:$H$54,"Quantified")</x:f>
        <x:v>2</x:v>
      </x:c>
      <x:c r="D22" s="13" t="n">
        <x:f>AVERAGEIF('01 Registry'!$E$6:$E$54,A22,'01 Registry'!$O$6:$O$54)</x:f>
        <x:v>0.4666666666666666</x:v>
      </x:c>
      <x:c r="E22" s="11" t="n">
        <x:f>COUNTIFS('01 Registry'!$E$6:$E$54,A22,'01 Registry'!$J$6:$J$54,"R2+")</x:f>
        <x:v>0</x:v>
      </x:c>
      <x:c r="F22" s="11" t="n">
        <x:f>COUNTIFS('01 Registry'!$E$6:$E$54,A22,'01 Registry'!$J$6:$J$54,"R3")</x:f>
        <x:v>0</x:v>
      </x:c>
    </x:row>
    <x:row r="23" ht="27" customHeight="1">
      <x:c r="A23" s="11" t="str">
        <x:v>Mobility, access and distribution</x:v>
      </x:c>
      <x:c r="B23" s="11" t="n">
        <x:f>COUNTIFS('01 Registry'!$E$6:$E$54,A23,'01 Registry'!$B$6:$B$54,"Canonical family")</x:f>
        <x:v>16</x:v>
      </x:c>
      <x:c r="C23" s="11" t="n">
        <x:f>COUNTIFS('01 Registry'!$E$6:$E$54,A23,'01 Registry'!$B$6:$B$54,"Canonical family",'01 Registry'!$H$6:$H$54,"Quantified")</x:f>
        <x:v>10</x:v>
      </x:c>
      <x:c r="D23" s="13" t="n">
        <x:f>AVERAGEIF('01 Registry'!$E$6:$E$54,A23,'01 Registry'!$O$6:$O$54)</x:f>
        <x:v>0.509375</x:v>
      </x:c>
      <x:c r="E23" s="11" t="n">
        <x:f>COUNTIFS('01 Registry'!$E$6:$E$54,A23,'01 Registry'!$J$6:$J$54,"R2+")</x:f>
        <x:v>2</x:v>
      </x:c>
      <x:c r="F23" s="11" t="n">
        <x:f>COUNTIFS('01 Registry'!$E$6:$E$54,A23,'01 Registry'!$J$6:$J$54,"R3")</x:f>
        <x:v>0</x:v>
      </x:c>
    </x:row>
    <x:row r="24" ht="27" customHeight="1">
      <x:c r="A24" s="11" t="str">
        <x:v>Water, sanitation and hygiene</x:v>
      </x:c>
      <x:c r="B24" s="11" t="n">
        <x:f>COUNTIFS('01 Registry'!$E$6:$E$54,A24,'01 Registry'!$B$6:$B$54,"Canonical family")</x:f>
        <x:v>2</x:v>
      </x:c>
      <x:c r="C24" s="11" t="n">
        <x:f>COUNTIFS('01 Registry'!$E$6:$E$54,A24,'01 Registry'!$B$6:$B$54,"Canonical family",'01 Registry'!$H$6:$H$54,"Quantified")</x:f>
        <x:v>0</x:v>
      </x:c>
      <x:c r="D24" s="13" t="n">
        <x:f>AVERAGEIF('01 Registry'!$E$6:$E$54,A24,'01 Registry'!$O$6:$O$54)</x:f>
        <x:v>0.8</x:v>
      </x:c>
      <x:c r="E24" s="11" t="n">
        <x:f>COUNTIFS('01 Registry'!$E$6:$E$54,A24,'01 Registry'!$J$6:$J$54,"R2+")</x:f>
        <x:v>2</x:v>
      </x:c>
      <x:c r="F24" s="11" t="n">
        <x:f>COUNTIFS('01 Registry'!$E$6:$E$54,A24,'01 Registry'!$J$6:$J$54,"R3")</x:f>
        <x:v>0</x:v>
      </x:c>
    </x:row>
    <x:row r="25" ht="27" customHeight="1">
      <x:c r="A25" s="11" t="str">
        <x:v>Hazard and environmental control</x:v>
      </x:c>
      <x:c r="B25" s="11" t="n">
        <x:f>COUNTIFS('01 Registry'!$E$6:$E$54,A25,'01 Registry'!$B$6:$B$54,"Canonical family")</x:f>
        <x:v>4</x:v>
      </x:c>
      <x:c r="C25" s="11" t="n">
        <x:f>COUNTIFS('01 Registry'!$E$6:$E$54,A25,'01 Registry'!$B$6:$B$54,"Canonical family",'01 Registry'!$H$6:$H$54,"Quantified")</x:f>
        <x:v>4</x:v>
      </x:c>
      <x:c r="D25" s="13" t="n">
        <x:f>AVERAGEIF('01 Registry'!$E$6:$E$54,A25,'01 Registry'!$O$6:$O$54)</x:f>
        <x:v>0.625</x:v>
      </x:c>
      <x:c r="E25" s="11" t="n">
        <x:f>COUNTIFS('01 Registry'!$E$6:$E$54,A25,'01 Registry'!$J$6:$J$54,"R2+")</x:f>
        <x:v>2</x:v>
      </x:c>
      <x:c r="F25" s="11" t="n">
        <x:f>COUNTIFS('01 Registry'!$E$6:$E$54,A25,'01 Registry'!$J$6:$J$54,"R3")</x:f>
        <x:v>0</x:v>
      </x:c>
    </x:row>
    <x:row r="26" ht="27" customHeight="1">
      <x:c r="A26" s="11" t="str">
        <x:v>Housing, public works and economic continuity</x:v>
      </x:c>
      <x:c r="B26" s="11" t="n">
        <x:f>COUNTIFS('01 Registry'!$E$6:$E$54,A26,'01 Registry'!$B$6:$B$54,"Canonical family")</x:f>
        <x:v>6</x:v>
      </x:c>
      <x:c r="C26" s="11" t="n">
        <x:f>COUNTIFS('01 Registry'!$E$6:$E$54,A26,'01 Registry'!$B$6:$B$54,"Canonical family",'01 Registry'!$H$6:$H$54,"Quantified")</x:f>
        <x:v>5</x:v>
      </x:c>
      <x:c r="D26" s="13" t="n">
        <x:f>AVERAGEIF('01 Registry'!$E$6:$E$54,A26,'01 Registry'!$O$6:$O$54)</x:f>
        <x:v>0.43333333333333335</x:v>
      </x:c>
      <x:c r="E26" s="11" t="n">
        <x:f>COUNTIFS('01 Registry'!$E$6:$E$54,A26,'01 Registry'!$J$6:$J$54,"R2+")</x:f>
        <x:v>0</x:v>
      </x:c>
      <x:c r="F26" s="11" t="n">
        <x:f>COUNTIFS('01 Registry'!$E$6:$E$54,A26,'01 Registry'!$J$6:$J$54,"R3")</x:f>
        <x:v>0</x:v>
      </x:c>
    </x:row>
  </x:sheetData>
  <x:conditionalFormatting sqref="I6:I15">
    <x:cfRule type="dataBar" priority="1">
      <x:dataBar>
        <x:cfvo type="min"/>
        <x:cfvo type="max"/>
        <x:color rgb="FFC65D5D"/>
      </x:dataBar>
    </x:cfRule>
  </x:conditionalFormatting>
  <x:conditionalFormatting sqref="J6:J15">
    <x:cfRule type="dataBar" priority="2">
      <x:dataBar>
        <x:cfvo type="min"/>
        <x:cfvo type="max"/>
        <x:color rgb="FF4F8F62"/>
      </x:dataBar>
    </x:cfRule>
  </x:conditionalFormatting>
  <x:pageMargins left="0.7" right="0.7" top="0.75" bottom="0.75" header="0.3" footer="0.3"/>
  <x:tableParts count="3">
    <x:tablePart xmlns:r="http://schemas.openxmlformats.org/officeDocument/2006/relationships" r:id="R8766aa964e064ad3"/>
    <x:tablePart xmlns:r="http://schemas.openxmlformats.org/officeDocument/2006/relationships" r:id="R8ac449c64f334db6"/>
    <x:tablePart xmlns:r="http://schemas.openxmlformats.org/officeDocument/2006/relationships" r:id="R71564b1f4f61424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58" hidden="0" customWidth="1"/>
    <x:col min="3" max="3" width="23" hidden="0" customWidth="1"/>
    <x:col min="4" max="4" width="66" hidden="0" customWidth="1"/>
    <x:col min="5" max="5" width="54" hidden="0" customWidth="1"/>
  </x:cols>
  <x:sheetData>
    <x:row r="2">
      <x:c r="A2" s="2" t="str">
        <x:v>Internal Authority and Lineage</x:v>
      </x:c>
      <x:c r="B2" s="1"/>
      <x:c r="C2" s="1"/>
      <x:c r="D2" s="1"/>
      <x:c r="E2" s="1"/>
    </x:row>
    <x:row r="3">
      <x:c r="A3" s="3" t="str">
        <x:v>Repository sources only. This workbook synthesizes existing project authorities and introduces no external empirical source.</x:v>
      </x:c>
      <x:c r="B3" s="3"/>
      <x:c r="C3" s="3"/>
      <x:c r="D3" s="3"/>
      <x:c r="E3" s="3"/>
    </x:row>
    <x:row r="5" ht="42" customHeight="1">
      <x:c r="A5" s="9" t="str">
        <x:v>Source ID</x:v>
      </x:c>
      <x:c r="B5" s="9" t="str">
        <x:v>Repository path</x:v>
      </x:c>
      <x:c r="C5" s="9" t="str">
        <x:v>Authority role</x:v>
      </x:c>
      <x:c r="D5" s="9" t="str">
        <x:v>Scope used here</x:v>
      </x:c>
      <x:c r="E5" s="9" t="str">
        <x:v>Boundary</x:v>
      </x:c>
    </x:row>
    <x:row r="6" ht="42" customHeight="1">
      <x:c r="A6" s="11" t="str">
        <x:v>S01</x:v>
      </x:c>
      <x:c r="B6" s="27" t="str">
        <x:v>research/force/force-architecture.md</x:v>
      </x:c>
      <x:c r="C6" s="27" t="str">
        <x:v>Canonical</x:v>
      </x:c>
      <x:c r="D6" s="27" t="str">
        <x:v>Five coordinates; seven services; nine effects; ten contract fields; readiness rule</x:v>
      </x:c>
      <x:c r="E6" s="27" t="str">
        <x:v>The source may define a model or requirement without validating field performance.</x:v>
      </x:c>
    </x:row>
    <x:row r="7" ht="42" customHeight="1">
      <x:c r="A7" s="11" t="str">
        <x:v>S02</x:v>
      </x:c>
      <x:c r="B7" s="27" t="str">
        <x:v>research/force/generation/mature-force-design.md</x:v>
      </x:c>
      <x:c r="C7" s="27" t="str">
        <x:v>Formation design</x:v>
      </x:c>
      <x:c r="D7" s="27" t="str">
        <x:v>Forty-eight canonical formation-family hypotheses and complete-thread descriptions</x:v>
      </x:c>
      <x:c r="E7" s="27" t="str">
        <x:v>The source may define a model or requirement without validating field performance.</x:v>
      </x:c>
    </x:row>
    <x:row r="8" ht="42" customHeight="1">
      <x:c r="A8" s="11" t="str">
        <x:v>S03</x:v>
      </x:c>
      <x:c r="B8" s="27" t="str">
        <x:v>research/force/generation/joint-force-allocation-and-order-of-battle.md</x:v>
      </x:c>
      <x:c r="C8" s="27" t="str">
        <x:v>Quantitative lineage</x:v>
      </x:c>
      <x:c r="D8" s="27" t="str">
        <x:v>Thirty-four Pass 23 quantitative lines, including legacy aggregate I-UPG</x:v>
      </x:c>
      <x:c r="E8" s="27" t="str">
        <x:v>The source may define a model or requirement without validating field performance.</x:v>
      </x:c>
    </x:row>
    <x:row r="9" ht="42" customHeight="1">
      <x:c r="A9" s="11" t="str">
        <x:v>S04</x:v>
      </x:c>
      <x:c r="B9" s="27" t="str">
        <x:v>models/force/generation/joint-force-allocation-model.xlsx</x:v>
      </x:c>
      <x:c r="C9" s="27" t="str">
        <x:v>Quantitative workbook</x:v>
      </x:c>
      <x:c r="D9" s="27" t="str">
        <x:v>Pass 23 demand, inventory, components, workforce, fiscal screen and evidence gates</x:v>
      </x:c>
      <x:c r="E9" s="27" t="str">
        <x:v>The source may define a model or requirement without validating field performance.</x:v>
      </x:c>
    </x:row>
    <x:row r="10" ht="42" customHeight="1">
      <x:c r="A10" s="11" t="str">
        <x:v>S05</x:v>
      </x:c>
      <x:c r="B10" s="27" t="str">
        <x:v>research/force/projection/joint-deployment-and-distribution-enterprise.md</x:v>
      </x:c>
      <x:c r="C10" s="27" t="str">
        <x:v>Projection system</x:v>
      </x:c>
      <x:c r="D10" s="27" t="str">
        <x:v>Entry, closure, reception, onward movement, basing, sustainment and regeneration</x:v>
      </x:c>
      <x:c r="E10" s="27" t="str">
        <x:v>The source may define a model or requirement without validating field performance.</x:v>
      </x:c>
    </x:row>
    <x:row r="11" ht="42" customHeight="1">
      <x:c r="A11" s="11" t="str">
        <x:v>S06</x:v>
      </x:c>
      <x:c r="B11" s="27" t="str">
        <x:v>research/force/projection/service-entry-pod-configuration.md</x:v>
      </x:c>
      <x:c r="C11" s="27" t="str">
        <x:v>Entry configuration</x:v>
      </x:c>
      <x:c r="D11" s="27" t="str">
        <x:v>Complete public-service pod and entry-cell arithmetic</x:v>
      </x:c>
      <x:c r="E11" s="27" t="str">
        <x:v>The source may define a model or requirement without validating field performance.</x:v>
      </x:c>
    </x:row>
    <x:row r="12" ht="42" customHeight="1">
      <x:c r="A12" s="11" t="str">
        <x:v>S07</x:v>
      </x:c>
      <x:c r="B12" s="27" t="str">
        <x:v>research/force/reception/national-receiving-lattice.md</x:v>
      </x:c>
      <x:c r="C12" s="27" t="str">
        <x:v>Receiving force</x:v>
      </x:c>
      <x:c r="D12" s="27" t="str">
        <x:v>Prepared receiving capacity and activation architecture</x:v>
      </x:c>
      <x:c r="E12" s="27" t="str">
        <x:v>The source may define a model or requirement without validating field performance.</x:v>
      </x:c>
    </x:row>
    <x:row r="13" ht="42" customHeight="1">
      <x:c r="A13" s="11" t="str">
        <x:v>S08</x:v>
      </x:c>
      <x:c r="B13" s="27" t="str">
        <x:v>research/force/mobility/national-civil-mobility-and-continuity-force.md</x:v>
      </x:c>
      <x:c r="C13" s="27" t="str">
        <x:v>Civil mobility</x:v>
      </x:c>
      <x:c r="D13" s="27" t="str">
        <x:v>Person-to-receiver service and seven canonical formation families</x:v>
      </x:c>
      <x:c r="E13" s="27" t="str">
        <x:v>The source may define a model or requirement without validating field performance.</x:v>
      </x:c>
    </x:row>
    <x:row r="14" ht="42" customHeight="1">
      <x:c r="A14" s="11" t="str">
        <x:v>S09</x:v>
      </x:c>
      <x:c r="B14" s="27" t="str">
        <x:v>research/force/mobility/neighborhood-continuity-and-access-cell.md</x:v>
      </x:c>
      <x:c r="C14" s="27" t="str">
        <x:v>Neighborhood configuration</x:v>
      </x:c>
      <x:c r="D14" s="27" t="str">
        <x:v>NCAC-35 household/building access configuration proxy</x:v>
      </x:c>
      <x:c r="E14" s="27" t="str">
        <x:v>The source may define a model or requirement without validating field performance.</x:v>
      </x:c>
    </x:row>
    <x:row r="15" ht="42" customHeight="1">
      <x:c r="A15" s="11" t="str">
        <x:v>S10</x:v>
      </x:c>
      <x:c r="B15" s="27" t="str">
        <x:v>research/systems/water/configuration-model.md</x:v>
      </x:c>
      <x:c r="C15" s="27" t="str">
        <x:v>Water configuration</x:v>
      </x:c>
      <x:c r="D15" s="27" t="str">
        <x:v>WRG-50 configuration proxy for I-WRG</x:v>
      </x:c>
      <x:c r="E15" s="27" t="str">
        <x:v>The source may define a model or requirement without validating field performance.</x:v>
      </x:c>
    </x:row>
    <x:row r="16" ht="42" customHeight="1">
      <x:c r="A16" s="11" t="str">
        <x:v>S11</x:v>
      </x:c>
      <x:c r="B16" s="27" t="str">
        <x:v>research/systems/power/configuration-model.md</x:v>
      </x:c>
      <x:c r="C16" s="27" t="str">
        <x:v>Power configuration</x:v>
      </x:c>
      <x:c r="D16" s="27" t="str">
        <x:v>PRG-100 and grid-bridge configuration evidence</x:v>
      </x:c>
      <x:c r="E16" s="27" t="str">
        <x:v>The source may define a model or requirement without validating field performance.</x:v>
      </x:c>
    </x:row>
    <x:row r="17" ht="42" customHeight="1">
      <x:c r="A17" s="11" t="str">
        <x:v>S12</x:v>
      </x:c>
      <x:c r="B17" s="27" t="str">
        <x:v>research/systems/fire/configuration-model.md</x:v>
      </x:c>
      <x:c r="C17" s="27" t="str">
        <x:v>Fire configuration</x:v>
      </x:c>
      <x:c r="D17" s="27" t="str">
        <x:v>IFCG proxy for L-GFG and aerial hazard-control dependencies</x:v>
      </x:c>
      <x:c r="E17" s="27" t="str">
        <x:v>The source may define a model or requirement without validating field performance.</x:v>
      </x:c>
    </x:row>
    <x:row r="18" ht="42" customHeight="1">
      <x:c r="A18" s="11" t="str">
        <x:v>S13</x:v>
      </x:c>
      <x:c r="B18" s="27" t="str">
        <x:v>research/systems/flood/configuration-model.md</x:v>
      </x:c>
      <x:c r="C18" s="27" t="str">
        <x:v>Flood configuration</x:v>
      </x:c>
      <x:c r="D18" s="27" t="str">
        <x:v>HCG-100 proxy for L-HCG</x:v>
      </x:c>
      <x:c r="E18" s="27" t="str">
        <x:v>The source may define a model or requirement without validating field performance.</x:v>
      </x:c>
    </x:row>
    <x:row r="19" ht="42" customHeight="1">
      <x:c r="A19" s="11" t="str">
        <x:v>S14</x:v>
      </x:c>
      <x:c r="B19" s="27" t="str">
        <x:v>research/systems/population-continuity/configuration-model.md</x:v>
      </x:c>
      <x:c r="C19" s="27" t="str">
        <x:v>Population configuration</x:v>
      </x:c>
      <x:c r="D19" s="27" t="str">
        <x:v>PCC-50/PCC-D1 proxy for C-PSG</x:v>
      </x:c>
      <x:c r="E19" s="27" t="str">
        <x:v>The source may define a model or requirement without validating field performance.</x:v>
      </x:c>
    </x:row>
    <x:row r="20" ht="42" customHeight="1">
      <x:c r="A20" s="11" t="str">
        <x:v>S15</x:v>
      </x:c>
      <x:c r="B20" s="27" t="str">
        <x:v>research/systems/platform-requirement-register.md</x:v>
      </x:c>
      <x:c r="C20" s="27" t="str">
        <x:v>Maturity register</x:v>
      </x:c>
      <x:c r="D20" s="27" t="str">
        <x:v>Current admitted concepts, critical unknowns and rendering boundary</x:v>
      </x:c>
      <x:c r="E20" s="27" t="str">
        <x:v>The source may define a model or requirement without validating field performance.</x:v>
      </x:c>
    </x:row>
  </x:sheetData>
  <x:pageMargins left="0.7" right="0.7" top="0.75" bottom="0.75" header="0.3" footer="0.3"/>
  <x:tableParts count="1">
    <x:tablePart xmlns:r="http://schemas.openxmlformats.org/officeDocument/2006/relationships" r:id="Rae7ebfc1694e4fd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14" hidden="0" customWidth="1"/>
    <x:col min="3" max="3" width="14" hidden="0" customWidth="1"/>
    <x:col min="4" max="4" width="14" hidden="0" customWidth="1"/>
  </x:cols>
  <x:sheetData>
    <x:row r="2">
      <x:c r="A2" s="2" t="str">
        <x:v>Registry Integrity</x:v>
      </x:c>
      <x:c r="B2" s="1"/>
      <x:c r="C2" s="1"/>
      <x:c r="D2" s="1"/>
    </x:row>
    <x:row r="3">
      <x:c r="A3" s="3" t="str">
        <x:v>Terminal reconciliation checks. A PASS confirms internal consistency only; it does not validate formation design.</x:v>
      </x:c>
      <x:c r="B3" s="3"/>
      <x:c r="C3" s="3"/>
      <x:c r="D3" s="3"/>
    </x:row>
    <x:row r="5">
      <x:c r="A5" s="9" t="str">
        <x:v>Check</x:v>
      </x:c>
      <x:c r="B5" s="9" t="str">
        <x:v>Expected</x:v>
      </x:c>
      <x:c r="C5" s="9" t="str">
        <x:v>Actual</x:v>
      </x:c>
      <x:c r="D5" s="9" t="str">
        <x:v>Status</x:v>
      </x:c>
    </x:row>
    <x:row r="6">
      <x:c r="A6" s="11" t="str">
        <x:v>Registry record count</x:v>
      </x:c>
      <x:c r="B6" s="11" t="n">
        <x:v>49</x:v>
      </x:c>
      <x:c r="C6" s="11" t="n">
        <x:f>COUNTA('01 Registry'!$A$6:$A$54)</x:f>
        <x:v>49</x:v>
      </x:c>
      <x:c r="D6" s="11" t="str">
        <x:f>IF(B6=C6,"PASS","FAIL")</x:f>
        <x:v>PASS</x:v>
      </x:c>
    </x:row>
    <x:row r="7">
      <x:c r="A7" s="11" t="str">
        <x:v>Canonical family count</x:v>
      </x:c>
      <x:c r="B7" s="11" t="n">
        <x:v>48</x:v>
      </x:c>
      <x:c r="C7" s="11" t="n">
        <x:f>COUNTIF('01 Registry'!$B$6:$B$54,"Canonical family")</x:f>
        <x:v>48</x:v>
      </x:c>
      <x:c r="D7" s="11" t="str">
        <x:f>IF(B7=C7,"PASS","FAIL")</x:f>
        <x:v>PASS</x:v>
      </x:c>
    </x:row>
    <x:row r="8">
      <x:c r="A8" s="11" t="str">
        <x:v>Legacy aggregate count</x:v>
      </x:c>
      <x:c r="B8" s="11" t="n">
        <x:v>1</x:v>
      </x:c>
      <x:c r="C8" s="11" t="n">
        <x:f>COUNTIF('01 Registry'!$B$6:$B$54,"Legacy aggregate")</x:f>
        <x:v>1</x:v>
      </x:c>
      <x:c r="D8" s="11" t="str">
        <x:f>IF(B8=C8,"PASS","FAIL")</x:f>
        <x:v>PASS</x:v>
      </x:c>
    </x:row>
    <x:row r="9">
      <x:c r="A9" s="11" t="str">
        <x:v>Pass 23 quantified records</x:v>
      </x:c>
      <x:c r="B9" s="11" t="n">
        <x:v>34</x:v>
      </x:c>
      <x:c r="C9" s="11" t="n">
        <x:f>COUNTIF('01 Registry'!$H$6:$H$54,"Quantified")</x:f>
        <x:v>34</x:v>
      </x:c>
      <x:c r="D9" s="11" t="str">
        <x:f>IF(B9=C9,"PASS","FAIL")</x:f>
        <x:v>PASS</x:v>
      </x:c>
    </x:row>
    <x:row r="10">
      <x:c r="A10" s="11" t="str">
        <x:v>Canonical quantified families</x:v>
      </x:c>
      <x:c r="B10" s="11" t="n">
        <x:v>33</x:v>
      </x:c>
      <x:c r="C10" s="11" t="n">
        <x:f>COUNTIFS('01 Registry'!$B$6:$B$54,"Canonical family",'01 Registry'!$H$6:$H$54,"Quantified")</x:f>
        <x:v>33</x:v>
      </x:c>
      <x:c r="D10" s="11" t="str">
        <x:f>IF(B10=C10,"PASS","FAIL")</x:f>
        <x:v>PASS</x:v>
      </x:c>
    </x:row>
    <x:row r="11">
      <x:c r="A11" s="11" t="str">
        <x:v>Canonical families missing quantitative line</x:v>
      </x:c>
      <x:c r="B11" s="11" t="n">
        <x:v>15</x:v>
      </x:c>
      <x:c r="C11" s="11" t="n">
        <x:f>COUNTIFS('01 Registry'!$B$6:$B$54,"Canonical family",'01 Registry'!$H$6:$H$54,"Not quantified")</x:f>
        <x:v>15</x:v>
      </x:c>
      <x:c r="D11" s="11" t="str">
        <x:f>IF(B11=C11,"PASS","FAIL")</x:f>
        <x:v>PASS</x:v>
      </x:c>
    </x:row>
    <x:row r="12">
      <x:c r="A12" s="11" t="str">
        <x:v>Generating services plus joint family</x:v>
      </x:c>
      <x:c r="B12" s="11" t="n">
        <x:v>8</x:v>
      </x:c>
      <x:c r="C12" s="11" t="n">
        <x:f>COUNTA('05 Portfolio Gaps'!$A$6:$A$13)</x:f>
        <x:v>8</x:v>
      </x:c>
      <x:c r="D12" s="11" t="str">
        <x:f>IF(B12=C12,"PASS","FAIL")</x:f>
        <x:v>PASS</x:v>
      </x:c>
    </x:row>
    <x:row r="13">
      <x:c r="A13" s="11" t="str">
        <x:v>Civilian effects represented</x:v>
      </x:c>
      <x:c r="B13" s="11" t="n">
        <x:v>9</x:v>
      </x:c>
      <x:c r="C13" s="11" t="n">
        <x:f>COUNTA('05 Portfolio Gaps'!$A$18:$A$26)</x:f>
        <x:v>9</x:v>
      </x:c>
      <x:c r="D13" s="11" t="str">
        <x:f>IF(B13=C13,"PASS","FAIL")</x:f>
        <x:v>PASS</x:v>
      </x:c>
    </x:row>
    <x:row r="14">
      <x:c r="A14" s="11" t="str">
        <x:v>R3 formations</x:v>
      </x:c>
      <x:c r="B14" s="11" t="n">
        <x:v>0</x:v>
      </x:c>
      <x:c r="C14" s="11" t="n">
        <x:f>COUNTIF('01 Registry'!$J$6:$J$54,"R3")</x:f>
        <x:v>0</x:v>
      </x:c>
      <x:c r="D14" s="11" t="str">
        <x:f>IF(B14=C14,"PASS","FAIL")</x:f>
        <x:v>PASS</x:v>
      </x:c>
    </x:row>
    <x:row r="15">
      <x:c r="A15" s="11" t="str">
        <x:v>Renderings unlocked</x:v>
      </x:c>
      <x:c r="B15" s="11" t="n">
        <x:v>0</x:v>
      </x:c>
      <x:c r="C15" s="11" t="n">
        <x:f>COUNTIF('01 Registry'!$T$6:$T$54,"UNLOCKED")</x:f>
        <x:v>0</x:v>
      </x:c>
      <x:c r="D15" s="11" t="str">
        <x:f>IF(B15=C15,"PASS","FAIL")</x:f>
        <x:v>PASS</x:v>
      </x:c>
    </x:row>
    <x:row r="16">
      <x:c r="A16" s="11" t="str">
        <x:v>Contract rows</x:v>
      </x:c>
      <x:c r="B16" s="11" t="n">
        <x:v>49</x:v>
      </x:c>
      <x:c r="C16" s="11" t="n">
        <x:f>COUNTA('02 Contract Detail'!$A$6:$A$54)</x:f>
        <x:v>49</x:v>
      </x:c>
      <x:c r="D16" s="11" t="str">
        <x:f>IF(B16=C16,"PASS","FAIL")</x:f>
        <x:v>PASS</x:v>
      </x:c>
    </x:row>
    <x:row r="17">
      <x:c r="A17" s="11" t="str">
        <x:v>Dependency rows</x:v>
      </x:c>
      <x:c r="B17" s="11" t="n">
        <x:v>49</x:v>
      </x:c>
      <x:c r="C17" s="11" t="n">
        <x:f>COUNTA('03 Dependency Map'!$A$6:$A$54)</x:f>
        <x:v>49</x:v>
      </x:c>
      <x:c r="D17" s="11" t="str">
        <x:f>IF(B17=C17,"PASS","FAIL")</x:f>
        <x:v>PASS</x:v>
      </x:c>
    </x:row>
    <x:row r="18">
      <x:c r="A18" s="11" t="str">
        <x:v>Technology mission threads</x:v>
      </x:c>
      <x:c r="B18" s="11" t="n">
        <x:v>6</x:v>
      </x:c>
      <x:c r="C18" s="11" t="n">
        <x:f>COUNTA('04 Technology Pull'!$A$6:$A$11)</x:f>
        <x:v>6</x:v>
      </x:c>
      <x:c r="D18" s="11" t="str">
        <x:f>IF(B18=C18,"PASS","FAIL")</x:f>
        <x:v>PASS</x:v>
      </x:c>
    </x:row>
    <x:row r="19">
      <x:c r="A19" s="11" t="str">
        <x:v>Source authorities</x:v>
      </x:c>
      <x:c r="B19" s="11" t="n">
        <x:v>15</x:v>
      </x:c>
      <x:c r="C19" s="11" t="n">
        <x:f>COUNTA('06 Sources'!$A$6:$A$20)</x:f>
        <x:v>15</x:v>
      </x:c>
      <x:c r="D19" s="11" t="str">
        <x:f>IF(B19=C19,"PASS","FAIL")</x:f>
        <x:v>PASS</x:v>
      </x:c>
    </x:row>
  </x:sheetData>
  <x:conditionalFormatting sqref="D6:D19">
    <x:cfRule type="containsText" dxfId="1" priority="1" operator="containsText" text="FAIL"/>
    <x:cfRule type="containsText" dxfId="2" priority="2" operator="containsText" text="PASS"/>
  </x:conditionalFormatting>
  <x:pageMargins left="0.7" right="0.7" top="0.75" bottom="0.75" header="0.3" footer="0.3"/>
  <x:tableParts count="1">
    <x:tablePart xmlns:r="http://schemas.openxmlformats.org/officeDocument/2006/relationships" r:id="R2986ed292b544120"/>
  </x:tableParts>
</x:worksheet>
</file>