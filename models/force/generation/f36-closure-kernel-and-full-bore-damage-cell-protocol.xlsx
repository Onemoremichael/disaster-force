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10a8f7c987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3c505dc7c44f6c"/>
    <x:sheet xmlns:r="http://schemas.openxmlformats.org/officeDocument/2006/relationships" name="Control Inputs" sheetId="2" r:id="Rea4605f2b48a4821"/>
    <x:sheet xmlns:r="http://schemas.openxmlformats.org/officeDocument/2006/relationships" name="Root Normalization" sheetId="3" r:id="Ref5750f7e2094c19"/>
    <x:sheet xmlns:r="http://schemas.openxmlformats.org/officeDocument/2006/relationships" name="Closure Matrix" sheetId="4" r:id="R39c769d5623f4f28"/>
    <x:sheet xmlns:r="http://schemas.openxmlformats.org/officeDocument/2006/relationships" name="Fixture Standard" sheetId="5" r:id="R0f3c84c23e0e4d81"/>
    <x:sheet xmlns:r="http://schemas.openxmlformats.org/officeDocument/2006/relationships" name="Reference Qualification" sheetId="6" r:id="R7ecbc3ef203b4c12"/>
    <x:sheet xmlns:r="http://schemas.openxmlformats.org/officeDocument/2006/relationships" name="Waveforms" sheetId="7" r:id="Re2967c3d4e054004"/>
    <x:sheet xmlns:r="http://schemas.openxmlformats.org/officeDocument/2006/relationships" name="Defect Library" sheetId="8" r:id="Re4844babfdc64053"/>
    <x:sheet xmlns:r="http://schemas.openxmlformats.org/officeDocument/2006/relationships" name="Damage Matrix" sheetId="9" r:id="Rb3e814707737417a"/>
    <x:sheet xmlns:r="http://schemas.openxmlformats.org/officeDocument/2006/relationships" name="Clock Ledger" sheetId="10" r:id="Rb42953f028c84f06"/>
    <x:sheet xmlns:r="http://schemas.openxmlformats.org/officeDocument/2006/relationships" name="Sanitary Release" sheetId="11" r:id="R808dd82a64734c9c"/>
    <x:sheet xmlns:r="http://schemas.openxmlformats.org/officeDocument/2006/relationships" name="Instrument Plan" sheetId="12" r:id="R0f3e50773fac4380"/>
    <x:sheet xmlns:r="http://schemas.openxmlformats.org/officeDocument/2006/relationships" name="Evidence &amp; Blinding" sheetId="13" r:id="R1f6a5ec300f4408b"/>
    <x:sheet xmlns:r="http://schemas.openxmlformats.org/officeDocument/2006/relationships" name="Forensic Sections" sheetId="14" r:id="Rd7d361128c92449d"/>
    <x:sheet xmlns:r="http://schemas.openxmlformats.org/officeDocument/2006/relationships" name="Statistical Bounds" sheetId="15" r:id="R0895d20942a642a8"/>
    <x:sheet xmlns:r="http://schemas.openxmlformats.org/officeDocument/2006/relationships" name="Schedule" sheetId="16" r:id="Rf53efd774f3f46b5"/>
    <x:sheet xmlns:r="http://schemas.openxmlformats.org/officeDocument/2006/relationships" name="Capital Control" sheetId="17" r:id="R8bea47bdf1564325"/>
    <x:sheet xmlns:r="http://schemas.openxmlformats.org/officeDocument/2006/relationships" name="Annual Support" sheetId="18" r:id="Ra7c3128937134d6b"/>
    <x:sheet xmlns:r="http://schemas.openxmlformats.org/officeDocument/2006/relationships" name="Release Gates" sheetId="19" r:id="R0eabe24737f44c0e"/>
    <x:sheet xmlns:r="http://schemas.openxmlformats.org/officeDocument/2006/relationships" name="Audit" sheetId="20" r:id="Rf5b663cc51394b99"/>
    <x:sheet xmlns:r="http://schemas.openxmlformats.org/officeDocument/2006/relationships" name="ReadMe" sheetId="21" r:id="R2e0d87144a2e4c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0"/>
    <x:numFmt numFmtId="201" formatCode="0.0%"/>
    <x:numFmt numFmtId="202" formatCode="0"/>
    <x:numFmt numFmtId="203" formatCode="0.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i/>
      <x:sz val="10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</x:fills>
  <x:borders count="17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left style="thin">
        <x:color rgb="FFFFFFFF"/>
      </x:lef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top style="thin">
        <x:color rgb="FFD8E0E5"/>
      </x:top>
      <x:bottom style="thin">
        <x:color rgb="FF17324D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0" borderId="7" xfId="0" applyNumberFormat="1" applyFont="1" applyFill="1" applyBorder="1"/>
    <x:xf numFmtId="0" fontId="4" fillId="0" borderId="9" xfId="0" applyNumberFormat="1" applyFont="1" applyFill="1" applyBorder="1"/>
    <x:xf numFmtId="200" fontId="4" fillId="0" borderId="7" xfId="0" applyNumberFormat="1" applyFont="1" applyFill="1" applyBorder="1"/>
    <x:xf numFmtId="200" fontId="4" fillId="0" borderId="9" xfId="0" applyNumberFormat="1" applyFont="1" applyFill="1" applyBorder="1"/>
    <x:xf numFmtId="201" fontId="4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4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4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200" fontId="0" fillId="0" borderId="0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 wrapText="1"/>
    </x:xf>
    <x:xf numFmtId="201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5" fillId="3" borderId="12" xfId="0" applyNumberFormat="1" applyFont="1" applyFill="1" applyBorder="1"/>
    <x:xf numFmtId="203" fontId="3" fillId="2" borderId="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203" fontId="0" fillId="0" borderId="7" xfId="0" applyNumberFormat="1" applyFont="1" applyFill="1" applyBorder="1"/>
    <x:xf numFmtId="203" fontId="5" fillId="3" borderId="7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3" fontId="3" fillId="2" borderId="15" xfId="0" applyNumberFormat="1" applyFont="1" applyFill="1" applyBorder="1" applyAlignment="1">
      <x:alignment horizontal="center" vertical="center" wrapText="1"/>
    </x:xf>
    <x:xf numFmtId="203" fontId="0" fillId="0" borderId="9" xfId="0" applyNumberFormat="1" applyFont="1" applyFill="1" applyBorder="1"/>
    <x:xf numFmtId="203" fontId="0" fillId="0" borderId="7" xfId="0" applyNumberFormat="1" applyFont="1" applyFill="1" applyBorder="1" applyAlignment="1">
      <x:alignment wrapText="1"/>
    </x:xf>
    <x:xf numFmtId="203" fontId="5" fillId="3" borderId="7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7" fillId="0" borderId="1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wrapText="1"/>
    </x:xf>
    <x:xf numFmtId="20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201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20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10" xfId="0" applyNumberFormat="1" applyFont="1" applyFill="1" applyBorder="1"/>
    <x:xf numFmtId="0" fontId="7" fillId="0" borderId="8" xfId="0" applyNumberFormat="1" applyFont="1" applyFill="1" applyBorder="1"/>
    <x:xf numFmtId="202" fontId="7" fillId="0" borderId="7" xfId="0" applyNumberFormat="1" applyFont="1" applyFill="1" applyBorder="1" applyAlignment="1">
      <x:alignment wrapText="1"/>
    </x:xf>
    <x:xf numFmtId="202" fontId="7" fillId="0" borderId="7" xfId="0" applyNumberFormat="1" applyFont="1" applyFill="1" applyBorder="1"/>
    <x:xf numFmtId="201" fontId="7" fillId="0" borderId="7" xfId="0" applyNumberFormat="1" applyFont="1" applyFill="1" applyBorder="1"/>
    <x:xf numFmtId="202" fontId="7" fillId="0" borderId="9" xfId="0" applyNumberFormat="1" applyFont="1" applyFill="1" applyBorder="1"/>
    <x:xf numFmtId="201" fontId="7" fillId="0" borderId="9" xfId="0" applyNumberFormat="1" applyFont="1" applyFill="1" applyBorder="1"/>
    <x:xf numFmtId="0" fontId="6" fillId="3" borderId="7" xfId="0" applyNumberFormat="1" applyFont="1" applyFill="1" applyBorder="1"/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horizontal="center" wrapText="1"/>
    </x:xf>
    <x:xf numFmtId="201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14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/>
    <x:xf numFmtId="203" fontId="7" fillId="0" borderId="7" xfId="0" applyNumberFormat="1" applyFont="1" applyFill="1" applyBorder="1" applyAlignment="1">
      <x:alignment wrapText="1"/>
    </x:xf>
    <x:xf numFmtId="203" fontId="6" fillId="3" borderId="7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vertical="center" wrapText="1"/>
    </x:xf>
    <x:xf numFmtId="0" fontId="6" fillId="2" borderId="15" xfId="0" applyNumberFormat="1" applyFont="1" applyFill="1" applyBorder="1" applyAlignment="1">
      <x:alignment horizontal="center" vertical="center" wrapText="1"/>
    </x:xf>
    <x:xf numFmtId="203" fontId="6" fillId="2" borderId="15" xfId="0" applyNumberFormat="1" applyFont="1" applyFill="1" applyBorder="1" applyAlignment="1">
      <x:alignment horizontal="center" vertical="center" wrapText="1"/>
    </x:xf>
    <x:xf numFmtId="203" fontId="7" fillId="0" borderId="9" xfId="0" applyNumberFormat="1" applyFont="1" applyFill="1" applyBorder="1" applyAlignment="1">
      <x:alignment wrapText="1"/>
    </x:xf>
    <x:xf numFmtId="0" fontId="6" fillId="3" borderId="8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203" fontId="3" fillId="2" borderId="16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203" fontId="5" fillId="3" borderId="12" xfId="0" applyNumberFormat="1" applyFont="1" applyFill="1" applyBorder="1" applyAlignment="1">
      <x:alignment wrapText="1"/>
    </x:xf>
  </x:cellXfs>
  <x:cellStyles count="1">
    <x:cellStyle name="Normal" xfId="0"/>
  </x:cellStyles>
  <x:dxfs count="39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5d1f514e14140" /><Relationship Type="http://schemas.openxmlformats.org/officeDocument/2006/relationships/theme" Target="/xl/theme/theme1.xml" Id="R92dd49b81e0a4820" /><Relationship Type="http://schemas.openxmlformats.org/officeDocument/2006/relationships/sharedStrings" Target="/xl/sharedStrings.xml" Id="R7513a1bcdb09413a" /><Relationship Type="http://schemas.openxmlformats.org/officeDocument/2006/relationships/worksheet" Target="/xl/worksheets/sheet1.xml" Id="Rce3c505dc7c44f6c" /><Relationship Type="http://schemas.openxmlformats.org/officeDocument/2006/relationships/worksheet" Target="/xl/worksheets/sheet2.xml" Id="Rea4605f2b48a4821" /><Relationship Type="http://schemas.openxmlformats.org/officeDocument/2006/relationships/worksheet" Target="/xl/worksheets/sheet3.xml" Id="Ref5750f7e2094c19" /><Relationship Type="http://schemas.openxmlformats.org/officeDocument/2006/relationships/worksheet" Target="/xl/worksheets/sheet4.xml" Id="R39c769d5623f4f28" /><Relationship Type="http://schemas.openxmlformats.org/officeDocument/2006/relationships/worksheet" Target="/xl/worksheets/sheet5.xml" Id="R0f3c84c23e0e4d81" /><Relationship Type="http://schemas.openxmlformats.org/officeDocument/2006/relationships/worksheet" Target="/xl/worksheets/sheet6.xml" Id="R7ecbc3ef203b4c12" /><Relationship Type="http://schemas.openxmlformats.org/officeDocument/2006/relationships/worksheet" Target="/xl/worksheets/sheet7.xml" Id="Re2967c3d4e054004" /><Relationship Type="http://schemas.openxmlformats.org/officeDocument/2006/relationships/worksheet" Target="/xl/worksheets/sheet8.xml" Id="Re4844babfdc64053" /><Relationship Type="http://schemas.openxmlformats.org/officeDocument/2006/relationships/worksheet" Target="/xl/worksheets/sheet9.xml" Id="Rb3e814707737417a" /><Relationship Type="http://schemas.openxmlformats.org/officeDocument/2006/relationships/worksheet" Target="/xl/worksheets/sheet10.xml" Id="Rb42953f028c84f06" /><Relationship Type="http://schemas.openxmlformats.org/officeDocument/2006/relationships/worksheet" Target="/xl/worksheets/sheet11.xml" Id="R808dd82a64734c9c" /><Relationship Type="http://schemas.openxmlformats.org/officeDocument/2006/relationships/worksheet" Target="/xl/worksheets/sheet12.xml" Id="R0f3e50773fac4380" /><Relationship Type="http://schemas.openxmlformats.org/officeDocument/2006/relationships/worksheet" Target="/xl/worksheets/sheet13.xml" Id="R1f6a5ec300f4408b" /><Relationship Type="http://schemas.openxmlformats.org/officeDocument/2006/relationships/worksheet" Target="/xl/worksheets/sheet14.xml" Id="Rd7d361128c92449d" /><Relationship Type="http://schemas.openxmlformats.org/officeDocument/2006/relationships/worksheet" Target="/xl/worksheets/sheet15.xml" Id="R0895d20942a642a8" /><Relationship Type="http://schemas.openxmlformats.org/officeDocument/2006/relationships/worksheet" Target="/xl/worksheets/sheet16.xml" Id="Rf53efd774f3f46b5" /><Relationship Type="http://schemas.openxmlformats.org/officeDocument/2006/relationships/worksheet" Target="/xl/worksheets/sheet17.xml" Id="R8bea47bdf1564325" /><Relationship Type="http://schemas.openxmlformats.org/officeDocument/2006/relationships/worksheet" Target="/xl/worksheets/sheet18.xml" Id="Ra7c3128937134d6b" /><Relationship Type="http://schemas.openxmlformats.org/officeDocument/2006/relationships/worksheet" Target="/xl/worksheets/sheet19.xml" Id="R0eabe24737f44c0e" /><Relationship Type="http://schemas.openxmlformats.org/officeDocument/2006/relationships/worksheet" Target="/xl/worksheets/sheet20.xml" Id="Rf5b663cc51394b99" /><Relationship Type="http://schemas.openxmlformats.org/officeDocument/2006/relationships/worksheet" Target="/xl/worksheets/sheet21.xml" Id="R2e0d87144a2e4c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4" hidden="0" customWidth="1"/>
    <x:col min="3" max="3" width="25" hidden="0" customWidth="1"/>
    <x:col min="4" max="4" width="16" hidden="0" customWidth="1"/>
    <x:col min="5" max="5" width="15" hidden="0" customWidth="1"/>
    <x:col min="6" max="6" width="26" hidden="0" customWidth="1"/>
    <x:col min="7" max="7" width="22" hidden="0" customWidth="1"/>
    <x:col min="8" max="8" width="20" hidden="0" customWidth="1"/>
    <x:col min="9" max="9" width="18" hidden="0" customWidth="1"/>
    <x:col min="10" max="10" width="18" hidden="0" customWidth="1"/>
  </x:cols>
  <x:sheetData>
    <x:row r="2">
      <x:c r="B2" s="1" t="str">
        <x:v>F36 closure-kernel and full-bore damage-cell protocol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Executable experimental constitution for unlike full-bore closure and six-hour potable-restoration mechanisms.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38" t="str">
        <x:v>Program scale and experimental burden</x:v>
      </x:c>
      <x:c r="C6" s="39" t="str">
        <x:v>Program scale and experimental burden</x:v>
      </x:c>
      <x:c r="D6" s="39" t="str">
        <x:v>Program scale and experimental burden</x:v>
      </x:c>
      <x:c r="E6" s="39" t="str">
        <x:v>Program scale and experimental burden</x:v>
      </x:c>
      <x:c r="F6" s="38" t="str">
        <x:v>Present authority state</x:v>
      </x:c>
      <x:c r="G6" s="39" t="str">
        <x:v>Present authority state</x:v>
      </x:c>
      <x:c r="H6" s="39" t="str">
        <x:v>Present authority state</x:v>
      </x:c>
      <x:c r="I6" s="39" t="str">
        <x:v>Present authority state</x:v>
      </x:c>
      <x:c r="J6" s="40" t="str">
        <x:v>Present authority state</x:v>
      </x:c>
    </x:row>
    <x:row r="7">
      <x:c r="B7" s="81" t="str">
        <x:v>Technical roots</x:v>
      </x:c>
      <x:c r="C7" s="81" t="str">
        <x:v>two build plus one challenge</x:v>
      </x:c>
      <x:c r="D7" s="81" t="n">
        <x:f>'Control Inputs'!D8</x:f>
        <x:v>3</x:v>
      </x:c>
      <x:c r="E7" s="81" t="str">
        <x:v>roots</x:v>
      </x:c>
      <x:c r="F7" s="81" t="str">
        <x:v>Protocol drafting</x:v>
      </x:c>
      <x:c r="G7" s="81" t="str">
        <x:v>content only</x:v>
      </x:c>
      <x:c r="H7" s="81" t="str">
        <x:f>'Release Gates'!D30</x:f>
        <x:v>AUTHORIZED</x:v>
      </x:c>
      <x:c r="I7" s="81"/>
      <x:c r="J7" s="81"/>
    </x:row>
    <x:row r="8">
      <x:c r="B8" s="81" t="str">
        <x:v>Closure articles</x:v>
      </x:c>
      <x:c r="C8" s="81" t="str">
        <x:v>twenty-four per root</x:v>
      </x:c>
      <x:c r="D8" s="81" t="n">
        <x:f>'Control Inputs'!D9</x:f>
        <x:v>72</x:v>
      </x:c>
      <x:c r="E8" s="81" t="str">
        <x:v>articles</x:v>
      </x:c>
      <x:c r="F8" s="81" t="str">
        <x:v>Fixture construction</x:v>
      </x:c>
      <x:c r="G8" s="81" t="str">
        <x:v>external approval</x:v>
      </x:c>
      <x:c r="H8" s="81" t="str">
        <x:f>'Release Gates'!D31</x:f>
        <x:v>HOLD</x:v>
      </x:c>
      <x:c r="I8" s="81"/>
      <x:c r="J8" s="81"/>
    </x:row>
    <x:row r="9">
      <x:c r="B9" s="81" t="str">
        <x:v>Full-bore damage runs</x:v>
      </x:c>
      <x:c r="C9" s="81" t="str">
        <x:v>eight / eight / ten</x:v>
      </x:c>
      <x:c r="D9" s="81" t="n">
        <x:f>'Control Inputs'!D18</x:f>
        <x:v>26</x:v>
      </x:c>
      <x:c r="E9" s="81" t="str">
        <x:v>runs</x:v>
      </x:c>
      <x:c r="F9" s="81" t="str">
        <x:v>Fixture qualification</x:v>
      </x:c>
      <x:c r="G9" s="81" t="str">
        <x:v>reference runs</x:v>
      </x:c>
      <x:c r="H9" s="81" t="str">
        <x:f>'Release Gates'!D32</x:f>
        <x:v>HOLD</x:v>
      </x:c>
      <x:c r="I9" s="81"/>
      <x:c r="J9" s="81"/>
    </x:row>
    <x:row r="10">
      <x:c r="B10" s="81" t="str">
        <x:v>Closure channels</x:v>
      </x:c>
      <x:c r="C10" s="81" t="str">
        <x:v>per fixture</x:v>
      </x:c>
      <x:c r="D10" s="81" t="n">
        <x:f>'Control Inputs'!D28</x:f>
        <x:v>96</x:v>
      </x:c>
      <x:c r="E10" s="81" t="str">
        <x:v>channels</x:v>
      </x:c>
      <x:c r="F10" s="81" t="str">
        <x:v>Closure campaign</x:v>
      </x:c>
      <x:c r="G10" s="81" t="str">
        <x:v>physical articles</x:v>
      </x:c>
      <x:c r="H10" s="81" t="str">
        <x:f>'Release Gates'!D33</x:f>
        <x:v>HOLD</x:v>
      </x:c>
      <x:c r="I10" s="81"/>
      <x:c r="J10" s="81"/>
    </x:row>
    <x:row r="11">
      <x:c r="B11" s="81" t="str">
        <x:v>Damage channels</x:v>
      </x:c>
      <x:c r="C11" s="81" t="str">
        <x:v>per cell</x:v>
      </x:c>
      <x:c r="D11" s="81" t="n">
        <x:f>'Control Inputs'!D29</x:f>
        <x:v>128</x:v>
      </x:c>
      <x:c r="E11" s="81" t="str">
        <x:v>channels</x:v>
      </x:c>
      <x:c r="F11" s="81" t="str">
        <x:v>Damage campaign</x:v>
      </x:c>
      <x:c r="G11" s="81" t="str">
        <x:v>physical runs</x:v>
      </x:c>
      <x:c r="H11" s="81" t="str">
        <x:f>'Release Gates'!D34</x:f>
        <x:v>HOLD</x:v>
      </x:c>
      <x:c r="I11" s="81"/>
      <x:c r="J11" s="81"/>
    </x:row>
    <x:row r="12">
      <x:c r="B12" s="81" t="str">
        <x:v>Repair clock</x:v>
      </x:c>
      <x:c r="C12" s="81" t="str">
        <x:v>nonpausing detect-to-release</x:v>
      </x:c>
      <x:c r="D12" s="81" t="n">
        <x:f>'Control Inputs'!D19</x:f>
        <x:v>360</x:v>
      </x:c>
      <x:c r="E12" s="81" t="str">
        <x:v>minutes</x:v>
      </x:c>
      <x:c r="F12" s="81" t="str">
        <x:v>Sanitary admission</x:v>
      </x:c>
      <x:c r="G12" s="81" t="str">
        <x:v>water + receiver</x:v>
      </x:c>
      <x:c r="H12" s="81" t="str">
        <x:f>'Release Gates'!D35</x:f>
        <x:v>HOLD</x:v>
      </x:c>
      <x:c r="I12" s="81"/>
      <x:c r="J12" s="81"/>
    </x:row>
    <x:row r="13">
      <x:c r="B13" s="81" t="str">
        <x:v>Protocol phase</x:v>
      </x:c>
      <x:c r="C13" s="81" t="str">
        <x:v>inside Pass 101</x:v>
      </x:c>
      <x:c r="D13" s="81" t="n">
        <x:f>'Control Inputs'!D41</x:f>
        <x:v>30</x:v>
      </x:c>
      <x:c r="E13" s="81" t="str">
        <x:v>months</x:v>
      </x:c>
      <x:c r="F13" s="81" t="str">
        <x:v>Internal section</x:v>
      </x:c>
      <x:c r="G13" s="81" t="str">
        <x:v>measured evidence</x:v>
      </x:c>
      <x:c r="H13" s="81" t="str">
        <x:f>'Release Gates'!D36</x:f>
        <x:v>BLOCKED</x:v>
      </x:c>
      <x:c r="I13" s="81"/>
      <x:c r="J13" s="81"/>
    </x:row>
    <x:row r="14">
      <x:c r="B14" s="81" t="str">
        <x:v>Capital tranche</x:v>
      </x:c>
      <x:c r="C14" s="81" t="str">
        <x:v>nested in Pass 101</x:v>
      </x:c>
      <x:c r="D14" s="87" t="n">
        <x:f>'Control Inputs'!D42</x:f>
        <x:v>1.48</x:v>
      </x:c>
      <x:c r="E14" s="81" t="str">
        <x:v>USD B</x:v>
      </x:c>
      <x:c r="F14" s="81" t="str">
        <x:v>Production and form</x:v>
      </x:c>
      <x:c r="G14" s="81" t="str">
        <x:v>complete mission</x:v>
      </x:c>
      <x:c r="H14" s="81" t="str">
        <x:f>'Release Gates'!D37</x:f>
        <x:v>BLOCKED</x:v>
      </x:c>
      <x:c r="I14" s="81"/>
      <x:c r="J14" s="81"/>
    </x:row>
    <x:row r="15">
      <x:c r="B15" s="81" t="str">
        <x:v>Annual support</x:v>
      </x:c>
      <x:c r="C15" s="81" t="str">
        <x:v>nested in Pass 101</x:v>
      </x:c>
      <x:c r="D15" s="87" t="n">
        <x:f>'Control Inputs'!D44</x:f>
        <x:v>0.192</x:v>
      </x:c>
      <x:c r="E15" s="81" t="str">
        <x:v>USD B/year</x:v>
      </x:c>
      <x:c r="F15" s="81" t="str">
        <x:v>Exterior rendering</x:v>
      </x:c>
      <x:c r="G15" s="81" t="str">
        <x:v>production/form prerequisite</x:v>
      </x:c>
      <x:c r="H15" s="81" t="str">
        <x:f>'Release Gates'!D38</x:f>
        <x:v>BLOCKED</x:v>
      </x:c>
      <x:c r="I15" s="81"/>
      <x:c r="J15" s="81"/>
    </x:row>
    <x:row r="16">
      <x:c r="B16" s="81" t="str">
        <x:v>Zero-failure closure bound</x:v>
      </x:c>
      <x:c r="C16" s="81" t="str">
        <x:v>95% one-sided; simplifying assumption</x:v>
      </x:c>
      <x:c r="D16" s="88" t="n">
        <x:f>'Statistical Bounds'!E9</x:f>
        <x:v>0.8826538438450512</x:v>
      </x:c>
      <x:c r="E16" s="81" t="str">
        <x:v>lower bound</x:v>
      </x:c>
      <x:c r="F16" s="81"/>
      <x:c r="G16" s="81"/>
      <x:c r="H16" s="81"/>
      <x:c r="I16" s="81"/>
      <x:c r="J16" s="81"/>
    </x:row>
    <x:row r="17">
      <x:c r="B17" s="81"/>
      <x:c r="C17" s="81"/>
      <x:c r="D17" s="81"/>
      <x:c r="E17" s="81"/>
      <x:c r="F17" s="81"/>
      <x:c r="G17" s="81"/>
      <x:c r="H17" s="81"/>
      <x:c r="I17" s="81"/>
      <x:c r="J17" s="81"/>
    </x:row>
    <x:row r="18">
      <x:c r="B18" s="81"/>
      <x:c r="C18" s="81"/>
      <x:c r="D18" s="81"/>
      <x:c r="E18" s="81"/>
      <x:c r="F18" s="81"/>
      <x:c r="G18" s="81"/>
      <x:c r="H18" s="81"/>
      <x:c r="I18" s="81"/>
      <x:c r="J18" s="81"/>
    </x:row>
    <x:row r="19">
      <x:c r="B19" s="38" t="str">
        <x:v>Decisive design judgments</x:v>
      </x:c>
      <x:c r="C19" s="39" t="str">
        <x:v>Decisive design judgments</x:v>
      </x:c>
      <x:c r="D19" s="39" t="str">
        <x:v>Decisive design judgments</x:v>
      </x:c>
      <x:c r="E19" s="39" t="str">
        <x:v>Decisive design judgments</x:v>
      </x:c>
      <x:c r="F19" s="39" t="str">
        <x:v>Decisive design judgments</x:v>
      </x:c>
      <x:c r="G19" s="39" t="str">
        <x:v>Decisive design judgments</x:v>
      </x:c>
      <x:c r="H19" s="39" t="str">
        <x:v>Decisive design judgments</x:v>
      </x:c>
      <x:c r="I19" s="39" t="str">
        <x:v>Decisive design judgments</x:v>
      </x:c>
      <x:c r="J19" s="40" t="str">
        <x:v>Decisive design judgments</x:v>
      </x:c>
    </x:row>
    <x:row r="20" ht="44" customHeight="1">
      <x:c r="B20" s="79" t="str">
        <x:v>Closure unit</x:v>
      </x:c>
      <x:c r="C20" s="89" t="str">
        <x:v>Preparation, alignment, formation, independent inspection, reject/rework, serialization, power, tools and evidence travel together.</x:v>
      </x:c>
      <x:c r="D20" s="89"/>
      <x:c r="E20" s="89"/>
      <x:c r="F20" s="89"/>
      <x:c r="G20" s="89"/>
      <x:c r="H20" s="89"/>
      <x:c r="I20" s="89"/>
      <x:c r="J20" s="89"/>
    </x:row>
    <x:row r="21" ht="44" customHeight="1">
      <x:c r="B21" s="79" t="str">
        <x:v>Neutrality</x:v>
      </x:c>
      <x:c r="C21" s="89" t="str">
        <x:v>Public fixtures provide stimulus and measurement. Root-specific deployed restraint, alignment, curing, preparation and inspection remain article-owned.</x:v>
      </x:c>
      <x:c r="D21" s="89"/>
      <x:c r="E21" s="89"/>
      <x:c r="F21" s="89"/>
      <x:c r="G21" s="89"/>
      <x:c r="H21" s="89"/>
      <x:c r="I21" s="89"/>
      <x:c r="J21" s="89"/>
    </x:row>
    <x:row r="22" ht="44" customHeight="1">
      <x:c r="B22" s="79" t="str">
        <x:v>Blinding</x:v>
      </x:c>
      <x:c r="C22" s="89" t="str">
        <x:v>Four known defects, four blind physical defects, two blind configuration defects and two clean blind controls challenge each root.</x:v>
      </x:c>
      <x:c r="D22" s="89"/>
      <x:c r="E22" s="89"/>
      <x:c r="F22" s="89"/>
      <x:c r="G22" s="89"/>
      <x:c r="H22" s="89"/>
      <x:c r="I22" s="89"/>
      <x:c r="J22" s="89"/>
    </x:row>
    <x:row r="23" ht="44" customHeight="1">
      <x:c r="B23" s="79" t="str">
        <x:v>Restoration</x:v>
      </x:c>
      <x:c r="C23" s="89" t="str">
        <x:v>The six-hour claim ends only after proof, flush, assay, configuration closure and receiver release.</x:v>
      </x:c>
      <x:c r="D23" s="89"/>
      <x:c r="E23" s="89"/>
      <x:c r="F23" s="89"/>
      <x:c r="G23" s="89"/>
      <x:c r="H23" s="89"/>
      <x:c r="I23" s="89"/>
      <x:c r="J23" s="89"/>
    </x:row>
    <x:row r="24" ht="44" customHeight="1">
      <x:c r="B24" s="79" t="str">
        <x:v>Statistics</x:v>
      </x:c>
      <x:c r="C24" s="89" t="str">
        <x:v>Twenty-four diverse articles bound mechanism coverage, not production reliability. A later frozen design needs a new reliability lot.</x:v>
      </x:c>
      <x:c r="D24" s="89"/>
      <x:c r="E24" s="89"/>
      <x:c r="F24" s="89"/>
      <x:c r="G24" s="89"/>
      <x:c r="H24" s="89"/>
      <x:c r="I24" s="89"/>
      <x:c r="J24" s="89"/>
    </x:row>
    <x:row r="25" ht="44" customHeight="1">
      <x:c r="B25" s="79" t="str">
        <x:v>Forensics</x:v>
      </x:c>
      <x:c r="C25" s="89" t="str">
        <x:v>Eight fixed transverse planes, one longitudinal plane and two adaptive planes correlate NDE with opened truth.</x:v>
      </x:c>
      <x:c r="D25" s="89"/>
      <x:c r="E25" s="89"/>
      <x:c r="F25" s="89"/>
      <x:c r="G25" s="89"/>
      <x:c r="H25" s="89"/>
      <x:c r="I25" s="89"/>
      <x:c r="J25" s="89"/>
    </x:row>
    <x:row r="26" ht="44" customHeight="1">
      <x:c r="B26" s="79" t="str">
        <x:v>Form</x:v>
      </x:c>
      <x:c r="C26" s="89" t="str">
        <x:v>Accepted internal measurements may populate a requirements section. Exterior rendering remains blocked.</x:v>
      </x:c>
      <x:c r="D26" s="89"/>
      <x:c r="E26" s="89"/>
      <x:c r="F26" s="89"/>
      <x:c r="G26" s="89"/>
      <x:c r="H26" s="89"/>
      <x:c r="I26" s="89"/>
      <x:c r="J26" s="89"/>
    </x:row>
  </x:sheetData>
  <x:mergeCells>
    <x:mergeCell ref="B3:J3"/>
    <x:mergeCell ref="B6:J6"/>
    <x:mergeCell ref="F6:J6"/>
    <x:mergeCell ref="B19:J19"/>
    <x:mergeCell ref="C20:J20"/>
    <x:mergeCell ref="C21:J21"/>
    <x:mergeCell ref="C22:J22"/>
    <x:mergeCell ref="C23:J23"/>
    <x:mergeCell ref="C24:J24"/>
    <x:mergeCell ref="C25:J25"/>
    <x:mergeCell ref="C26:J26"/>
  </x:mergeCells>
  <x:conditionalFormatting sqref="H7:H15">
    <x:cfRule type="containsText" dxfId="375" priority="1" operator="containsText" text="FAIL"/>
    <x:cfRule type="containsText" dxfId="376" priority="2" operator="containsText" text="BLOCKED"/>
    <x:cfRule type="containsText" dxfId="377" priority="3" operator="containsText" text="HOLD"/>
    <x:cfRule type="containsText" dxfId="378" priority="4" operator="containsText" text="OPEN"/>
    <x:cfRule type="containsText" dxfId="379" priority="5" operator="containsText" text="UNTESTED"/>
    <x:cfRule type="containsText" dxfId="380" priority="6" operator="containsText" text="INDETERMINATE"/>
    <x:cfRule type="containsText" dxfId="381" priority="7" operator="containsText" text="PASS"/>
    <x:cfRule type="containsText" dxfId="382" priority="8" operator="containsText" text="CLOSED"/>
    <x:cfRule type="containsText" dxfId="383" priority="9" operator="containsText" text="READY"/>
    <x:cfRule type="containsText" dxfId="384" priority="10" operator="containsText" text="AUTHORIZED"/>
    <x:cfRule type="containsText" dxfId="385" priority="11" operator="containsText" text="PLANNING PASS"/>
    <x:cfRule type="containsText" dxfId="386" priority="12" operator="containsText" text="COMPLETE"/>
    <x:cfRule type="containsText" dxfId="387" priority="13" operator="containsText" text="ACCEPTED"/>
    <x:cfRule type="containsText" dxfId="388" priority="14" operator="containsText" text="ADMITTED"/>
    <x:cfRule type="containsText" dxfId="389" priority="15" operator="containsText" text="RELEAS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D5F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3" hidden="0" customWidth="1"/>
    <x:col min="4" max="4" width="20" hidden="0" customWidth="1"/>
    <x:col min="5" max="5" width="23" hidden="0" customWidth="1"/>
    <x:col min="6" max="6" width="15" hidden="0" customWidth="1"/>
    <x:col min="7" max="7" width="35" hidden="0" customWidth="1"/>
  </x:cols>
  <x:sheetData>
    <x:row r="2">
      <x:c r="B2" s="1" t="str">
        <x:v>F36 closure and damage protocol controls</x:v>
      </x:c>
      <x:c r="C2" s="81"/>
      <x:c r="D2" s="81"/>
      <x:c r="E2" s="81"/>
      <x:c r="F2" s="81"/>
      <x:c r="G2" s="81"/>
    </x:row>
    <x:row r="3">
      <x:c r="B3" s="2" t="str">
        <x:v>Blue-font values are inherited boundaries or prospective experimental targets. They are not observed performance or adopted codes.</x:v>
      </x:c>
      <x:c r="C3" s="81"/>
      <x:c r="D3" s="81"/>
      <x:c r="E3" s="81"/>
      <x:c r="F3" s="81"/>
      <x:c r="G3" s="81"/>
    </x:row>
    <x:row r="4">
      <x:c r="B4" s="83"/>
      <x:c r="C4" s="83"/>
      <x:c r="D4" s="83"/>
      <x:c r="E4" s="83"/>
      <x:c r="F4" s="83"/>
      <x:c r="G4" s="83"/>
    </x:row>
    <x:row r="5">
      <x:c r="B5" s="81"/>
      <x:c r="C5" s="81"/>
      <x:c r="D5" s="81"/>
      <x:c r="E5" s="81"/>
      <x:c r="F5" s="81"/>
      <x:c r="G5" s="81"/>
    </x:row>
    <x:row r="6">
      <x:c r="B6" s="15" t="str">
        <x:v>ID</x:v>
      </x:c>
      <x:c r="C6" s="16" t="str">
        <x:v>Control</x:v>
      </x:c>
      <x:c r="D6" s="16" t="str">
        <x:v>Value</x:v>
      </x:c>
      <x:c r="E6" s="16" t="str">
        <x:v>Unit</x:v>
      </x:c>
      <x:c r="F6" s="16" t="str">
        <x:v>State</x:v>
      </x:c>
      <x:c r="G6" s="16" t="str">
        <x:v>Authority</x:v>
      </x:c>
    </x:row>
    <x:row r="7" ht="27" customHeight="1">
      <x:c r="B7" s="92" t="str">
        <x:v>I01</x:v>
      </x:c>
      <x:c r="C7" s="93" t="str">
        <x:v>Closure articles per root</x:v>
      </x:c>
      <x:c r="D7" s="94" t="n">
        <x:v>24</x:v>
      </x:c>
      <x:c r="E7" s="93" t="str">
        <x:v>articles</x:v>
      </x:c>
      <x:c r="F7" s="93" t="str">
        <x:v>FROZEN</x:v>
      </x:c>
      <x:c r="G7" s="95" t="str">
        <x:v>Pass 101</x:v>
      </x:c>
    </x:row>
    <x:row r="8" ht="27" customHeight="1">
      <x:c r="B8" s="92" t="str">
        <x:v>I02</x:v>
      </x:c>
      <x:c r="C8" s="93" t="str">
        <x:v>Technical roots</x:v>
      </x:c>
      <x:c r="D8" s="94" t="n">
        <x:v>3</x:v>
      </x:c>
      <x:c r="E8" s="93" t="str">
        <x:v>roots</x:v>
      </x:c>
      <x:c r="F8" s="93" t="str">
        <x:v>FROZEN</x:v>
      </x:c>
      <x:c r="G8" s="95" t="str">
        <x:v>Pass 101</x:v>
      </x:c>
    </x:row>
    <x:row r="9" ht="27" customHeight="1">
      <x:c r="B9" s="92" t="str">
        <x:v>I03</x:v>
      </x:c>
      <x:c r="C9" s="93" t="str">
        <x:v>Total closure articles</x:v>
      </x:c>
      <x:c r="D9" s="94" t="n">
        <x:v>72</x:v>
      </x:c>
      <x:c r="E9" s="93" t="str">
        <x:v>articles</x:v>
      </x:c>
      <x:c r="F9" s="93" t="str">
        <x:v>DERIVED</x:v>
      </x:c>
      <x:c r="G9" s="95" t="str">
        <x:v>24 × 3</x:v>
      </x:c>
    </x:row>
    <x:row r="10" ht="27" customHeight="1">
      <x:c r="B10" s="92" t="str">
        <x:v>I04</x:v>
      </x:c>
      <x:c r="C10" s="93" t="str">
        <x:v>Process-window articles per root</x:v>
      </x:c>
      <x:c r="D10" s="94" t="n">
        <x:v>12</x:v>
      </x:c>
      <x:c r="E10" s="93" t="str">
        <x:v>articles</x:v>
      </x:c>
      <x:c r="F10" s="93" t="str">
        <x:v>DESIGN</x:v>
      </x:c>
      <x:c r="G10" s="95" t="str">
        <x:v>declared conditions</x:v>
      </x:c>
    </x:row>
    <x:row r="11" ht="27" customHeight="1">
      <x:c r="B11" s="92" t="str">
        <x:v>I05</x:v>
      </x:c>
      <x:c r="C11" s="93" t="str">
        <x:v>Known-defect calibration per root</x:v>
      </x:c>
      <x:c r="D11" s="94" t="n">
        <x:v>4</x:v>
      </x:c>
      <x:c r="E11" s="93" t="str">
        <x:v>articles</x:v>
      </x:c>
      <x:c r="F11" s="93" t="str">
        <x:v>DESIGN</x:v>
      </x:c>
      <x:c r="G11" s="95" t="str">
        <x:v>disclosed truth</x:v>
      </x:c>
    </x:row>
    <x:row r="12" ht="27" customHeight="1">
      <x:c r="B12" s="92" t="str">
        <x:v>I06</x:v>
      </x:c>
      <x:c r="C12" s="93" t="str">
        <x:v>Blind physical defects per root</x:v>
      </x:c>
      <x:c r="D12" s="94" t="n">
        <x:v>4</x:v>
      </x:c>
      <x:c r="E12" s="93" t="str">
        <x:v>articles</x:v>
      </x:c>
      <x:c r="F12" s="93" t="str">
        <x:v>DESIGN</x:v>
      </x:c>
      <x:c r="G12" s="95" t="str">
        <x:v>sealed truth</x:v>
      </x:c>
    </x:row>
    <x:row r="13" ht="27" customHeight="1">
      <x:c r="B13" s="92" t="str">
        <x:v>I07</x:v>
      </x:c>
      <x:c r="C13" s="93" t="str">
        <x:v>Blind configuration defects per root</x:v>
      </x:c>
      <x:c r="D13" s="94" t="n">
        <x:v>2</x:v>
      </x:c>
      <x:c r="E13" s="93" t="str">
        <x:v>articles</x:v>
      </x:c>
      <x:c r="F13" s="93" t="str">
        <x:v>DESIGN</x:v>
      </x:c>
      <x:c r="G13" s="95" t="str">
        <x:v>material or baseline drift</x:v>
      </x:c>
    </x:row>
    <x:row r="14" ht="27" customHeight="1">
      <x:c r="B14" s="92" t="str">
        <x:v>I08</x:v>
      </x:c>
      <x:c r="C14" s="93" t="str">
        <x:v>Clean blind controls per root</x:v>
      </x:c>
      <x:c r="D14" s="94" t="n">
        <x:v>2</x:v>
      </x:c>
      <x:c r="E14" s="93" t="str">
        <x:v>articles</x:v>
      </x:c>
      <x:c r="F14" s="93" t="str">
        <x:v>DESIGN</x:v>
      </x:c>
      <x:c r="G14" s="95" t="str">
        <x:v>false-reject control</x:v>
      </x:c>
    </x:row>
    <x:row r="15" ht="27" customHeight="1">
      <x:c r="B15" s="92" t="str">
        <x:v>I09</x:v>
      </x:c>
      <x:c r="C15" s="93" t="str">
        <x:v>R1 damage runs</x:v>
      </x:c>
      <x:c r="D15" s="94" t="n">
        <x:v>8</x:v>
      </x:c>
      <x:c r="E15" s="93" t="str">
        <x:v>runs</x:v>
      </x:c>
      <x:c r="F15" s="93" t="str">
        <x:v>FROZEN</x:v>
      </x:c>
      <x:c r="G15" s="95" t="str">
        <x:v>Pass 101</x:v>
      </x:c>
    </x:row>
    <x:row r="16" ht="27" customHeight="1">
      <x:c r="B16" s="92" t="str">
        <x:v>I10</x:v>
      </x:c>
      <x:c r="C16" s="93" t="str">
        <x:v>R2 damage runs</x:v>
      </x:c>
      <x:c r="D16" s="94" t="n">
        <x:v>8</x:v>
      </x:c>
      <x:c r="E16" s="93" t="str">
        <x:v>runs</x:v>
      </x:c>
      <x:c r="F16" s="93" t="str">
        <x:v>FROZEN</x:v>
      </x:c>
      <x:c r="G16" s="95" t="str">
        <x:v>Pass 101</x:v>
      </x:c>
    </x:row>
    <x:row r="17" ht="27" customHeight="1">
      <x:c r="B17" s="92" t="str">
        <x:v>I11</x:v>
      </x:c>
      <x:c r="C17" s="93" t="str">
        <x:v>R3 damage runs</x:v>
      </x:c>
      <x:c r="D17" s="94" t="n">
        <x:v>10</x:v>
      </x:c>
      <x:c r="E17" s="93" t="str">
        <x:v>runs</x:v>
      </x:c>
      <x:c r="F17" s="93" t="str">
        <x:v>FROZEN</x:v>
      </x:c>
      <x:c r="G17" s="95" t="str">
        <x:v>Pass 101</x:v>
      </x:c>
    </x:row>
    <x:row r="18" ht="27" customHeight="1">
      <x:c r="B18" s="92" t="str">
        <x:v>I12</x:v>
      </x:c>
      <x:c r="C18" s="93" t="str">
        <x:v>Total damage runs</x:v>
      </x:c>
      <x:c r="D18" s="94" t="n">
        <x:v>26</x:v>
      </x:c>
      <x:c r="E18" s="93" t="str">
        <x:v>runs</x:v>
      </x:c>
      <x:c r="F18" s="93" t="str">
        <x:v>DERIVED</x:v>
      </x:c>
      <x:c r="G18" s="95" t="str">
        <x:v>8 + 8 + 10</x:v>
      </x:c>
    </x:row>
    <x:row r="19" ht="27" customHeight="1">
      <x:c r="B19" s="92" t="str">
        <x:v>I13</x:v>
      </x:c>
      <x:c r="C19" s="93" t="str">
        <x:v>Detect-to-release clock</x:v>
      </x:c>
      <x:c r="D19" s="94" t="n">
        <x:v>360</x:v>
      </x:c>
      <x:c r="E19" s="93" t="str">
        <x:v>minutes</x:v>
      </x:c>
      <x:c r="F19" s="93" t="str">
        <x:v>FROZEN</x:v>
      </x:c>
      <x:c r="G19" s="95" t="str">
        <x:v>six hours</x:v>
      </x:c>
    </x:row>
    <x:row r="20" ht="27" customHeight="1">
      <x:c r="B20" s="92" t="str">
        <x:v>I14</x:v>
      </x:c>
      <x:c r="C20" s="93" t="str">
        <x:v>Independent detection budget</x:v>
      </x:c>
      <x:c r="D20" s="94" t="n">
        <x:v>10</x:v>
      </x:c>
      <x:c r="E20" s="93" t="str">
        <x:v>minutes</x:v>
      </x:c>
      <x:c r="F20" s="93" t="str">
        <x:v>DESIGN</x:v>
      </x:c>
      <x:c r="G20" s="95" t="str">
        <x:v>T01</x:v>
      </x:c>
    </x:row>
    <x:row r="21" ht="27" customHeight="1">
      <x:c r="B21" s="92" t="str">
        <x:v>I15</x:v>
      </x:c>
      <x:c r="C21" s="93" t="str">
        <x:v>Safe-stop budget</x:v>
      </x:c>
      <x:c r="D21" s="94" t="n">
        <x:v>10</x:v>
      </x:c>
      <x:c r="E21" s="93" t="str">
        <x:v>minutes</x:v>
      </x:c>
      <x:c r="F21" s="93" t="str">
        <x:v>DESIGN</x:v>
      </x:c>
      <x:c r="G21" s="95" t="str">
        <x:v>T02</x:v>
      </x:c>
    </x:row>
    <x:row r="22" ht="27" customHeight="1">
      <x:c r="B22" s="92" t="str">
        <x:v>I16</x:v>
      </x:c>
      <x:c r="C22" s="93" t="str">
        <x:v>Isolation and buffer budget</x:v>
      </x:c>
      <x:c r="D22" s="94" t="n">
        <x:v>20</x:v>
      </x:c>
      <x:c r="E22" s="93" t="str">
        <x:v>minutes</x:v>
      </x:c>
      <x:c r="F22" s="93" t="str">
        <x:v>DESIGN</x:v>
      </x:c>
      <x:c r="G22" s="95" t="str">
        <x:v>T03</x:v>
      </x:c>
    </x:row>
    <x:row r="23" ht="27" customHeight="1">
      <x:c r="B23" s="92" t="str">
        <x:v>I17</x:v>
      </x:c>
      <x:c r="C23" s="93" t="str">
        <x:v>Access budget</x:v>
      </x:c>
      <x:c r="D23" s="94" t="n">
        <x:v>40</x:v>
      </x:c>
      <x:c r="E23" s="93" t="str">
        <x:v>minutes</x:v>
      </x:c>
      <x:c r="F23" s="93" t="str">
        <x:v>DESIGN</x:v>
      </x:c>
      <x:c r="G23" s="95" t="str">
        <x:v>T04</x:v>
      </x:c>
    </x:row>
    <x:row r="24" ht="27" customHeight="1">
      <x:c r="B24" s="92" t="str">
        <x:v>I18</x:v>
      </x:c>
      <x:c r="C24" s="93" t="str">
        <x:v>Removal and preparation budget</x:v>
      </x:c>
      <x:c r="D24" s="94" t="n">
        <x:v>65</x:v>
      </x:c>
      <x:c r="E24" s="93" t="str">
        <x:v>minutes</x:v>
      </x:c>
      <x:c r="F24" s="93" t="str">
        <x:v>DESIGN</x:v>
      </x:c>
      <x:c r="G24" s="95" t="str">
        <x:v>T05</x:v>
      </x:c>
    </x:row>
    <x:row r="25" ht="27" customHeight="1">
      <x:c r="B25" s="92" t="str">
        <x:v>I19</x:v>
      </x:c>
      <x:c r="C25" s="93" t="str">
        <x:v>Closure budget</x:v>
      </x:c>
      <x:c r="D25" s="94" t="n">
        <x:v>95</x:v>
      </x:c>
      <x:c r="E25" s="93" t="str">
        <x:v>minutes</x:v>
      </x:c>
      <x:c r="F25" s="93" t="str">
        <x:v>DESIGN</x:v>
      </x:c>
      <x:c r="G25" s="95" t="str">
        <x:v>T06</x:v>
      </x:c>
    </x:row>
    <x:row r="26" ht="27" customHeight="1">
      <x:c r="B26" s="92" t="str">
        <x:v>I20</x:v>
      </x:c>
      <x:c r="C26" s="93" t="str">
        <x:v>Proof and flush budget</x:v>
      </x:c>
      <x:c r="D26" s="94" t="n">
        <x:v>75</x:v>
      </x:c>
      <x:c r="E26" s="93" t="str">
        <x:v>minutes</x:v>
      </x:c>
      <x:c r="F26" s="93" t="str">
        <x:v>DESIGN</x:v>
      </x:c>
      <x:c r="G26" s="95" t="str">
        <x:v>T07</x:v>
      </x:c>
    </x:row>
    <x:row r="27" ht="27" customHeight="1">
      <x:c r="B27" s="92" t="str">
        <x:v>I21</x:v>
      </x:c>
      <x:c r="C27" s="93" t="str">
        <x:v>Assay and receiver-release budget</x:v>
      </x:c>
      <x:c r="D27" s="94" t="n">
        <x:v>45</x:v>
      </x:c>
      <x:c r="E27" s="93" t="str">
        <x:v>minutes</x:v>
      </x:c>
      <x:c r="F27" s="93" t="str">
        <x:v>DESIGN</x:v>
      </x:c>
      <x:c r="G27" s="95" t="str">
        <x:v>T08</x:v>
      </x:c>
    </x:row>
    <x:row r="28" ht="27" customHeight="1">
      <x:c r="B28" s="92" t="str">
        <x:v>I22</x:v>
      </x:c>
      <x:c r="C28" s="93" t="str">
        <x:v>Independent closure-fixture channels</x:v>
      </x:c>
      <x:c r="D28" s="94" t="n">
        <x:v>96</x:v>
      </x:c>
      <x:c r="E28" s="93" t="str">
        <x:v>channels</x:v>
      </x:c>
      <x:c r="F28" s="93" t="str">
        <x:v>DESIGN</x:v>
      </x:c>
      <x:c r="G28" s="95" t="str">
        <x:v>minimum</x:v>
      </x:c>
    </x:row>
    <x:row r="29" ht="27" customHeight="1">
      <x:c r="B29" s="92" t="str">
        <x:v>I23</x:v>
      </x:c>
      <x:c r="C29" s="93" t="str">
        <x:v>Independent damage-cell channels</x:v>
      </x:c>
      <x:c r="D29" s="94" t="n">
        <x:v>128</x:v>
      </x:c>
      <x:c r="E29" s="93" t="str">
        <x:v>channels</x:v>
      </x:c>
      <x:c r="F29" s="93" t="str">
        <x:v>DESIGN</x:v>
      </x:c>
      <x:c r="G29" s="95" t="str">
        <x:v>minimum per cell</x:v>
      </x:c>
    </x:row>
    <x:row r="30" ht="27" customHeight="1">
      <x:c r="B30" s="92" t="str">
        <x:v>I24</x:v>
      </x:c>
      <x:c r="C30" s="93" t="str">
        <x:v>Locally complete original copies</x:v>
      </x:c>
      <x:c r="D30" s="94" t="n">
        <x:v>2</x:v>
      </x:c>
      <x:c r="E30" s="93" t="str">
        <x:v>copies</x:v>
      </x:c>
      <x:c r="F30" s="93" t="str">
        <x:v>FROZEN</x:v>
      </x:c>
      <x:c r="G30" s="95" t="str">
        <x:v>Pass 101</x:v>
      </x:c>
    </x:row>
    <x:row r="31" ht="27" customHeight="1">
      <x:c r="B31" s="92" t="str">
        <x:v>I25</x:v>
      </x:c>
      <x:c r="C31" s="93" t="str">
        <x:v>Fixture share of decision uncertainty</x:v>
      </x:c>
      <x:c r="D31" s="96" t="n">
        <x:v>0.2</x:v>
      </x:c>
      <x:c r="E31" s="93" t="str">
        <x:v>maximum share</x:v>
      </x:c>
      <x:c r="F31" s="93" t="str">
        <x:v>DESIGN</x:v>
      </x:c>
      <x:c r="G31" s="95" t="str">
        <x:v>neutrality bound</x:v>
      </x:c>
    </x:row>
    <x:row r="32" ht="27" customHeight="1">
      <x:c r="B32" s="92" t="str">
        <x:v>I26</x:v>
      </x:c>
      <x:c r="C32" s="93" t="str">
        <x:v>Working pressure</x:v>
      </x:c>
      <x:c r="D32" s="94" t="n">
        <x:v>0.7</x:v>
      </x:c>
      <x:c r="E32" s="93" t="str">
        <x:v>MPa</x:v>
      </x:c>
      <x:c r="F32" s="93" t="str">
        <x:v>FROZEN</x:v>
      </x:c>
      <x:c r="G32" s="95" t="str">
        <x:v>F36-350</x:v>
      </x:c>
    </x:row>
    <x:row r="33" ht="27" customHeight="1">
      <x:c r="B33" s="92" t="str">
        <x:v>I27</x:v>
      </x:c>
      <x:c r="C33" s="93" t="str">
        <x:v>Surge pressure</x:v>
      </x:c>
      <x:c r="D33" s="94" t="n">
        <x:v>0.85</x:v>
      </x:c>
      <x:c r="E33" s="93" t="str">
        <x:v>MPa</x:v>
      </x:c>
      <x:c r="F33" s="93" t="str">
        <x:v>FROZEN</x:v>
      </x:c>
      <x:c r="G33" s="95" t="str">
        <x:v>F36-350</x:v>
      </x:c>
    </x:row>
    <x:row r="34" ht="27" customHeight="1">
      <x:c r="B34" s="92" t="str">
        <x:v>I28</x:v>
      </x:c>
      <x:c r="C34" s="93" t="str">
        <x:v>Proof pressure</x:v>
      </x:c>
      <x:c r="D34" s="94" t="n">
        <x:v>1.05</x:v>
      </x:c>
      <x:c r="E34" s="93" t="str">
        <x:v>MPa</x:v>
      </x:c>
      <x:c r="F34" s="93" t="str">
        <x:v>FROZEN</x:v>
      </x:c>
      <x:c r="G34" s="95" t="str">
        <x:v>F36-350</x:v>
      </x:c>
    </x:row>
    <x:row r="35" ht="27" customHeight="1">
      <x:c r="B35" s="92" t="str">
        <x:v>I29</x:v>
      </x:c>
      <x:c r="C35" s="93" t="str">
        <x:v>Vacuum challenge</x:v>
      </x:c>
      <x:c r="D35" s="94" t="n">
        <x:v>-0.085</x:v>
      </x:c>
      <x:c r="E35" s="93" t="str">
        <x:v>MPa</x:v>
      </x:c>
      <x:c r="F35" s="93" t="str">
        <x:v>FROZEN</x:v>
      </x:c>
      <x:c r="G35" s="95" t="str">
        <x:v>F36-350</x:v>
      </x:c>
    </x:row>
    <x:row r="36" ht="27" customHeight="1">
      <x:c r="B36" s="92" t="str">
        <x:v>I30</x:v>
      </x:c>
      <x:c r="C36" s="93" t="str">
        <x:v>Pressure-cycle count</x:v>
      </x:c>
      <x:c r="D36" s="94" t="n">
        <x:v>50000</x:v>
      </x:c>
      <x:c r="E36" s="93" t="str">
        <x:v>cycles</x:v>
      </x:c>
      <x:c r="F36" s="93" t="str">
        <x:v>FROZEN</x:v>
      </x:c>
      <x:c r="G36" s="95" t="str">
        <x:v>Pass 101</x:v>
      </x:c>
    </x:row>
    <x:row r="37" ht="27" customHeight="1">
      <x:c r="B37" s="92" t="str">
        <x:v>I31</x:v>
      </x:c>
      <x:c r="C37" s="93" t="str">
        <x:v>Axial fixture capacity</x:v>
      </x:c>
      <x:c r="D37" s="94" t="n">
        <x:v>300</x:v>
      </x:c>
      <x:c r="E37" s="93" t="str">
        <x:v>kN</x:v>
      </x:c>
      <x:c r="F37" s="93" t="str">
        <x:v>DESIGN</x:v>
      </x:c>
      <x:c r="G37" s="95" t="str">
        <x:v>above 200 kN article case</x:v>
      </x:c>
    </x:row>
    <x:row r="38" ht="27" customHeight="1">
      <x:c r="B38" s="92" t="str">
        <x:v>I32</x:v>
      </x:c>
      <x:c r="C38" s="93" t="str">
        <x:v>Static leak decision floor</x:v>
      </x:c>
      <x:c r="D38" s="94" t="n">
        <x:v>0.1</x:v>
      </x:c>
      <x:c r="E38" s="93" t="str">
        <x:v>L/hour</x:v>
      </x:c>
      <x:c r="F38" s="93" t="str">
        <x:v>DESIGN</x:v>
      </x:c>
      <x:c r="G38" s="95" t="str">
        <x:v>prospective metrology target</x:v>
      </x:c>
    </x:row>
    <x:row r="39" ht="27" customHeight="1">
      <x:c r="B39" s="92" t="str">
        <x:v>I33</x:v>
      </x:c>
      <x:c r="C39" s="93" t="str">
        <x:v>Minimum flush volume</x:v>
      </x:c>
      <x:c r="D39" s="94" t="n">
        <x:v>3</x:v>
      </x:c>
      <x:c r="E39" s="93" t="str">
        <x:v>cell volumes</x:v>
      </x:c>
      <x:c r="F39" s="93" t="str">
        <x:v>DESIGN</x:v>
      </x:c>
      <x:c r="G39" s="95" t="str">
        <x:v>or larger validated volume</x:v>
      </x:c>
    </x:row>
    <x:row r="40" ht="27" customHeight="1">
      <x:c r="B40" s="92" t="str">
        <x:v>I34</x:v>
      </x:c>
      <x:c r="C40" s="93" t="str">
        <x:v>Conforming sample separation</x:v>
      </x:c>
      <x:c r="D40" s="94" t="n">
        <x:v>10</x:v>
      </x:c>
      <x:c r="E40" s="93" t="str">
        <x:v>minutes</x:v>
      </x:c>
      <x:c r="F40" s="93" t="str">
        <x:v>DESIGN</x:v>
      </x:c>
      <x:c r="G40" s="95" t="str">
        <x:v>two successive samples</x:v>
      </x:c>
    </x:row>
    <x:row r="41" ht="27" customHeight="1">
      <x:c r="B41" s="92" t="str">
        <x:v>I35</x:v>
      </x:c>
      <x:c r="C41" s="93" t="str">
        <x:v>Protocol phase</x:v>
      </x:c>
      <x:c r="D41" s="94" t="n">
        <x:v>30</x:v>
      </x:c>
      <x:c r="E41" s="93" t="str">
        <x:v>months</x:v>
      </x:c>
      <x:c r="F41" s="93" t="str">
        <x:v>DESIGN</x:v>
      </x:c>
      <x:c r="G41" s="95" t="str">
        <x:v>inside 42-month program</x:v>
      </x:c>
    </x:row>
    <x:row r="42" ht="27" customHeight="1">
      <x:c r="B42" s="92" t="str">
        <x:v>I36</x:v>
      </x:c>
      <x:c r="C42" s="93" t="str">
        <x:v>Protocol capital tranche</x:v>
      </x:c>
      <x:c r="D42" s="94" t="n">
        <x:v>1.48</x:v>
      </x:c>
      <x:c r="E42" s="93" t="str">
        <x:v>USD B</x:v>
      </x:c>
      <x:c r="F42" s="93" t="str">
        <x:v>DESIGN</x:v>
      </x:c>
      <x:c r="G42" s="95" t="str">
        <x:v>nested cross-classification</x:v>
      </x:c>
    </x:row>
    <x:row r="43" ht="27" customHeight="1">
      <x:c r="B43" s="92" t="str">
        <x:v>I37</x:v>
      </x:c>
      <x:c r="C43" s="93" t="str">
        <x:v>Pass 101 capital boundary</x:v>
      </x:c>
      <x:c r="D43" s="94" t="n">
        <x:v>8.12</x:v>
      </x:c>
      <x:c r="E43" s="93" t="str">
        <x:v>USD B</x:v>
      </x:c>
      <x:c r="F43" s="93" t="str">
        <x:v>FROZEN</x:v>
      </x:c>
      <x:c r="G43" s="95" t="str">
        <x:v>inherited ceiling</x:v>
      </x:c>
    </x:row>
    <x:row r="44" ht="27" customHeight="1">
      <x:c r="B44" s="92" t="str">
        <x:v>I38</x:v>
      </x:c>
      <x:c r="C44" s="93" t="str">
        <x:v>Protocol annual support</x:v>
      </x:c>
      <x:c r="D44" s="94" t="n">
        <x:v>0.192</x:v>
      </x:c>
      <x:c r="E44" s="93" t="str">
        <x:v>USD B/year</x:v>
      </x:c>
      <x:c r="F44" s="93" t="str">
        <x:v>DESIGN</x:v>
      </x:c>
      <x:c r="G44" s="95" t="str">
        <x:v>nested cross-classification</x:v>
      </x:c>
    </x:row>
    <x:row r="45" ht="27" customHeight="1">
      <x:c r="B45" s="92" t="str">
        <x:v>I39</x:v>
      </x:c>
      <x:c r="C45" s="93" t="str">
        <x:v>Pass 101 annual support boundary</x:v>
      </x:c>
      <x:c r="D45" s="94" t="n">
        <x:v>0.446</x:v>
      </x:c>
      <x:c r="E45" s="93" t="str">
        <x:v>USD B/year</x:v>
      </x:c>
      <x:c r="F45" s="93" t="str">
        <x:v>FROZEN</x:v>
      </x:c>
      <x:c r="G45" s="95" t="str">
        <x:v>inherited ceiling</x:v>
      </x:c>
    </x:row>
    <x:row r="46" ht="27" customHeight="1">
      <x:c r="B46" s="92" t="str">
        <x:v>I40</x:v>
      </x:c>
      <x:c r="C46" s="93" t="str">
        <x:v>Protocol content complete</x:v>
      </x:c>
      <x:c r="D46" s="94" t="n">
        <x:v>1</x:v>
      </x:c>
      <x:c r="E46" s="93" t="str">
        <x:v>binary</x:v>
      </x:c>
      <x:c r="F46" s="93" t="str">
        <x:v>PLANNING</x:v>
      </x:c>
      <x:c r="G46" s="95" t="str">
        <x:v>this protocol</x:v>
      </x:c>
    </x:row>
    <x:row r="47" ht="27" customHeight="1">
      <x:c r="B47" s="92" t="str">
        <x:v>I41</x:v>
      </x:c>
      <x:c r="C47" s="93" t="str">
        <x:v>Constituted authority approvals</x:v>
      </x:c>
      <x:c r="D47" s="94" t="n">
        <x:v>0</x:v>
      </x:c>
      <x:c r="E47" s="93" t="str">
        <x:v>binary</x:v>
      </x:c>
      <x:c r="F47" s="93" t="str">
        <x:v>OPEN</x:v>
      </x:c>
      <x:c r="G47" s="95" t="str">
        <x:v>no external approval</x:v>
      </x:c>
    </x:row>
    <x:row r="48" ht="27" customHeight="1">
      <x:c r="B48" s="92" t="str">
        <x:v>I42</x:v>
      </x:c>
      <x:c r="C48" s="93" t="str">
        <x:v>Qualified public fixtures</x:v>
      </x:c>
      <x:c r="D48" s="94" t="n">
        <x:v>0</x:v>
      </x:c>
      <x:c r="E48" s="93" t="str">
        <x:v>fixture classes</x:v>
      </x:c>
      <x:c r="F48" s="93" t="str">
        <x:v>OPEN</x:v>
      </x:c>
      <x:c r="G48" s="95" t="str">
        <x:v>none built</x:v>
      </x:c>
    </x:row>
    <x:row r="49" ht="27" customHeight="1">
      <x:c r="B49" s="92" t="str">
        <x:v>I43</x:v>
      </x:c>
      <x:c r="C49" s="93" t="str">
        <x:v>Accepted closure roots</x:v>
      </x:c>
      <x:c r="D49" s="94" t="n">
        <x:v>0</x:v>
      </x:c>
      <x:c r="E49" s="93" t="str">
        <x:v>roots</x:v>
      </x:c>
      <x:c r="F49" s="93" t="str">
        <x:v>OPEN</x:v>
      </x:c>
      <x:c r="G49" s="95" t="str">
        <x:v>no physical articles</x:v>
      </x:c>
    </x:row>
    <x:row r="50" ht="27" customHeight="1">
      <x:c r="B50" s="92" t="str">
        <x:v>I44</x:v>
      </x:c>
      <x:c r="C50" s="93" t="str">
        <x:v>Admitted damage roots</x:v>
      </x:c>
      <x:c r="D50" s="94" t="n">
        <x:v>0</x:v>
      </x:c>
      <x:c r="E50" s="93" t="str">
        <x:v>roots</x:v>
      </x:c>
      <x:c r="F50" s="93" t="str">
        <x:v>OPEN</x:v>
      </x:c>
      <x:c r="G50" s="95" t="str">
        <x:v>no physical runs</x:v>
      </x:c>
    </x:row>
    <x:row r="51" ht="27" customHeight="1">
      <x:c r="B51" s="92" t="str">
        <x:v>I45</x:v>
      </x:c>
      <x:c r="C51" s="93" t="str">
        <x:v>Sanitary-admitted roots</x:v>
      </x:c>
      <x:c r="D51" s="94" t="n">
        <x:v>0</x:v>
      </x:c>
      <x:c r="E51" s="93" t="str">
        <x:v>roots</x:v>
      </x:c>
      <x:c r="F51" s="93" t="str">
        <x:v>OPEN</x:v>
      </x:c>
      <x:c r="G51" s="95" t="str">
        <x:v>no receiver release</x:v>
      </x:c>
    </x:row>
    <x:row r="52" ht="27" customHeight="1">
      <x:c r="B52" s="92" t="str">
        <x:v>I46</x:v>
      </x:c>
      <x:c r="C52" s="93" t="str">
        <x:v>Independently reproduced roots</x:v>
      </x:c>
      <x:c r="D52" s="94" t="n">
        <x:v>0</x:v>
      </x:c>
      <x:c r="E52" s="93" t="str">
        <x:v>roots</x:v>
      </x:c>
      <x:c r="F52" s="93" t="str">
        <x:v>OPEN</x:v>
      </x:c>
      <x:c r="G52" s="95" t="str">
        <x:v>no second team</x:v>
      </x:c>
    </x:row>
    <x:row r="53" ht="27" customHeight="1">
      <x:c r="B53" s="92" t="str">
        <x:v>I47</x:v>
      </x:c>
      <x:c r="C53" s="93" t="str">
        <x:v>Internal-section authority</x:v>
      </x:c>
      <x:c r="D53" s="94" t="n">
        <x:v>0</x:v>
      </x:c>
      <x:c r="E53" s="93" t="str">
        <x:v>binary</x:v>
      </x:c>
      <x:c r="F53" s="93" t="str">
        <x:v>BLOCKED</x:v>
      </x:c>
      <x:c r="G53" s="95" t="str">
        <x:v>measured evidence required</x:v>
      </x:c>
    </x:row>
    <x:row r="54" ht="27" customHeight="1">
      <x:c r="B54" s="92" t="str">
        <x:v>I48</x:v>
      </x:c>
      <x:c r="C54" s="93" t="str">
        <x:v>Production and form authority</x:v>
      </x:c>
      <x:c r="D54" s="94" t="n">
        <x:v>0</x:v>
      </x:c>
      <x:c r="E54" s="93" t="str">
        <x:v>binary</x:v>
      </x:c>
      <x:c r="F54" s="93" t="str">
        <x:v>BLOCKED</x:v>
      </x:c>
      <x:c r="G54" s="95" t="str">
        <x:v>full mission required</x:v>
      </x:c>
    </x:row>
    <x:row r="55" ht="27" customHeight="1">
      <x:c r="B55" s="97" t="str">
        <x:v>I49</x:v>
      </x:c>
      <x:c r="C55" s="98" t="str">
        <x:v>Exterior rendering authority</x:v>
      </x:c>
      <x:c r="D55" s="99" t="n">
        <x:v>0</x:v>
      </x:c>
      <x:c r="E55" s="98" t="str">
        <x:v>binary</x:v>
      </x:c>
      <x:c r="F55" s="98" t="str">
        <x:v>BLOCKED</x:v>
      </x:c>
      <x:c r="G55" s="100" t="str">
        <x:v>production/form prerequisite</x:v>
      </x:c>
    </x:row>
  </x:sheetData>
  <x:mergeCells>
    <x:mergeCell ref="B3:G3"/>
  </x:mergeCells>
  <x:conditionalFormatting sqref="F7:F55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HOLD"/>
    <x:cfRule type="containsText" dxfId="3" priority="4" operator="containsText" text="OPEN"/>
    <x:cfRule type="containsText" dxfId="4" priority="5" operator="containsText" text="UNTESTED"/>
    <x:cfRule type="containsText" dxfId="5" priority="6" operator="containsText" text="INDETERMINATE"/>
    <x:cfRule type="containsText" dxfId="6" priority="7" operator="containsText" text="PASS"/>
    <x:cfRule type="containsText" dxfId="7" priority="8" operator="containsText" text="CLOSED"/>
    <x:cfRule type="containsText" dxfId="8" priority="9" operator="containsText" text="READY"/>
    <x:cfRule type="containsText" dxfId="9" priority="10" operator="containsText" text="AUTHORIZED"/>
    <x:cfRule type="containsText" dxfId="10" priority="11" operator="containsText" text="PLANNING PASS"/>
    <x:cfRule type="containsText" dxfId="11" priority="12" operator="containsText" text="COMPLETE"/>
    <x:cfRule type="containsText" dxfId="12" priority="13" operator="containsText" text="ACCEPTED"/>
    <x:cfRule type="containsText" dxfId="13" priority="14" operator="containsText" text="ADMITTED"/>
    <x:cfRule type="containsText" dxfId="14" priority="15" operator="containsText" text="RELEAS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9" hidden="0" customWidth="1"/>
    <x:col min="3" max="3" width="13" hidden="0" customWidth="1"/>
    <x:col min="4" max="4" width="27" hidden="0" customWidth="1"/>
    <x:col min="5" max="5" width="41" hidden="0" customWidth="1"/>
    <x:col min="6" max="6" width="36" hidden="0" customWidth="1"/>
    <x:col min="7" max="7" width="34" hidden="0" customWidth="1"/>
    <x:col min="8" max="8" width="39" hidden="0" customWidth="1"/>
    <x:col min="9" max="9" width="38" hidden="0" customWidth="1"/>
    <x:col min="10" max="10" width="15" hidden="0" customWidth="1"/>
  </x:cols>
  <x:sheetData>
    <x:row r="2">
      <x:c r="B2" s="1" t="str">
        <x:v>Root-specific closure normalization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B3" s="2" t="str">
        <x:v>Shared factor positions preserve comparable questions. Every root must report dimensioned native values and its own latent state.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</x:row>
    <x:row r="6">
      <x:c r="B6" s="15" t="str">
        <x:v>Root</x:v>
      </x:c>
      <x:c r="C6" s="16" t="str">
        <x:v>Lane</x:v>
      </x:c>
      <x:c r="D6" s="16" t="str">
        <x:v>Architecture</x:v>
      </x:c>
      <x:c r="E6" s="16" t="str">
        <x:v>Credited episodes</x:v>
      </x:c>
      <x:c r="F6" s="16" t="str">
        <x:v>Primary factor</x:v>
      </x:c>
      <x:c r="G6" s="16" t="str">
        <x:v>Secondary factor</x:v>
      </x:c>
      <x:c r="H6" s="16" t="str">
        <x:v>Latent state</x:v>
      </x:c>
      <x:c r="I6" s="16" t="str">
        <x:v>Acceptance mechanism</x:v>
      </x:c>
      <x:c r="J6" s="16" t="str">
        <x:v>Physical state</x:v>
      </x:c>
      <x:c r="K6" s="81"/>
      <x:c r="L6" s="81"/>
    </x:row>
    <x:row r="7" ht="72" customHeight="1">
      <x:c r="B7" s="92" t="str">
        <x:v>R1</x:v>
      </x:c>
      <x:c r="C7" s="93" t="str">
        <x:v>BUILD</x:v>
      </x:c>
      <x:c r="D7" s="93" t="str">
        <x:v>Sectional public-root</x:v>
      </x:c>
      <x:c r="E7" s="93" t="str">
        <x:v>section-to-section; adapter; repair</x:v>
      </x:c>
      <x:c r="F7" s="93" t="str">
        <x:v>formation energy, force or engagement</x:v>
      </x:c>
      <x:c r="G7" s="93" t="str">
        <x:v>temperature and surface preparation</x:v>
      </x:c>
      <x:c r="H7" s="93" t="str">
        <x:v>alignment; circumference completion; closure element</x:v>
      </x:c>
      <x:c r="I7" s="93" t="str">
        <x:v>machine closure and independent NDE</x:v>
      </x:c>
      <x:c r="J7" s="95" t="str">
        <x:v>OPEN</x:v>
      </x:c>
      <x:c r="K7" s="81"/>
      <x:c r="L7" s="81"/>
    </x:row>
    <x:row r="8" ht="72" customHeight="1">
      <x:c r="B8" s="92" t="str">
        <x:v>R2</x:v>
      </x:c>
      <x:c r="C8" s="93" t="str">
        <x:v>BUILD</x:v>
      </x:c>
      <x:c r="D8" s="93" t="str">
        <x:v>Mobile continuous forge</x:v>
      </x:c>
      <x:c r="E8" s="93" t="str">
        <x:v>startup; shutdown; feedstock splice; transition; repair</x:v>
      </x:c>
      <x:c r="F8" s="93" t="str">
        <x:v>line speed, compaction or fusion</x:v>
      </x:c>
      <x:c r="G8" s="93" t="str">
        <x:v>feedstock, cooling and ambient</x:v>
      </x:c>
      <x:c r="H8" s="93" t="str">
        <x:v>continuous-wall history; transition-zone state</x:v>
      </x:c>
      <x:c r="I8" s="93" t="str">
        <x:v>continuous acceptance plus sparse closures</x:v>
      </x:c>
      <x:c r="J8" s="95" t="str">
        <x:v>OPEN</x:v>
      </x:c>
      <x:c r="K8" s="81"/>
      <x:c r="L8" s="81"/>
    </x:row>
    <x:row r="9" ht="72" customHeight="1">
      <x:c r="B9" s="97" t="str">
        <x:v>R3</x:v>
      </x:c>
      <x:c r="C9" s="98" t="str">
        <x:v>CHALLENGE</x:v>
      </x:c>
      <x:c r="D9" s="98" t="str">
        <x:v>Structural ribbon</x:v>
      </x:c>
      <x:c r="E9" s="98" t="str">
        <x:v>longitudinal/circumferential bond; transition; repair</x:v>
      </x:c>
      <x:c r="F9" s="98" t="str">
        <x:v>activation, pressure and cure</x:v>
      </x:c>
      <x:c r="G9" s="98" t="str">
        <x:v>fold age, temperature and surface</x:v>
      </x:c>
      <x:c r="H9" s="98" t="str">
        <x:v>crease; interlayer bond; barrier continuity</x:v>
      </x:c>
      <x:c r="I9" s="98" t="str">
        <x:v>bonded formation and multilayer NDE</x:v>
      </x:c>
      <x:c r="J9" s="100" t="str">
        <x:v>OPEN</x:v>
      </x:c>
      <x:c r="K9" s="81"/>
      <x:c r="L9" s="81"/>
    </x:row>
    <x:row r="10">
      <x:c r="B10" s="81"/>
      <x:c r="C10" s="81"/>
      <x:c r="D10" s="81"/>
      <x:c r="E10" s="81"/>
      <x:c r="F10" s="81"/>
      <x:c r="G10" s="81"/>
      <x:c r="H10" s="81"/>
      <x:c r="I10" s="81"/>
      <x:c r="J10" s="81"/>
      <x:c r="K10" s="81"/>
      <x:c r="L10" s="81"/>
    </x:row>
    <x:row r="11">
      <x:c r="B11" s="81"/>
      <x:c r="C11" s="81"/>
      <x:c r="D11" s="81"/>
      <x:c r="E11" s="81"/>
      <x:c r="F11" s="81"/>
      <x:c r="G11" s="81"/>
      <x:c r="H11" s="81"/>
      <x:c r="I11" s="81"/>
      <x:c r="J11" s="81"/>
      <x:c r="K11" s="81"/>
      <x:c r="L11" s="81"/>
    </x:row>
    <x:row r="12">
      <x:c r="B12" s="38" t="str">
        <x:v>Planning controls</x:v>
      </x:c>
      <x:c r="C12" s="39" t="str">
        <x:v>Planning controls</x:v>
      </x:c>
      <x:c r="D12" s="39" t="str">
        <x:v>Planning controls</x:v>
      </x:c>
      <x:c r="E12" s="39" t="str">
        <x:v>Planning controls</x:v>
      </x:c>
      <x:c r="F12" s="39" t="str">
        <x:v>Planning controls</x:v>
      </x:c>
      <x:c r="G12" s="39" t="str">
        <x:v>Planning controls</x:v>
      </x:c>
      <x:c r="H12" s="39" t="str">
        <x:v>Planning controls</x:v>
      </x:c>
      <x:c r="I12" s="39" t="str">
        <x:v>Planning controls</x:v>
      </x:c>
      <x:c r="J12" s="40" t="str">
        <x:v>Planning controls</x:v>
      </x:c>
      <x:c r="K12" s="81"/>
      <x:c r="L12" s="81"/>
    </x:row>
    <x:row r="13">
      <x:c r="B13" s="81" t="str">
        <x:v>Root records</x:v>
      </x:c>
      <x:c r="C13" s="81" t="str">
        <x:v>required 3</x:v>
      </x:c>
      <x:c r="D13" s="81" t="n">
        <x:f>COUNTA(B7:B9)</x:f>
        <x:v>3</x:v>
      </x:c>
      <x:c r="E13" s="81"/>
      <x:c r="F13" s="81"/>
      <x:c r="G13" s="81"/>
      <x:c r="H13" s="81"/>
      <x:c r="I13" s="81"/>
      <x:c r="J13" s="81"/>
      <x:c r="K13" s="81"/>
      <x:c r="L13" s="81"/>
    </x:row>
    <x:row r="14">
      <x:c r="B14" s="81" t="str">
        <x:v>Build roots</x:v>
      </x:c>
      <x:c r="C14" s="81" t="str">
        <x:v>required 2</x:v>
      </x:c>
      <x:c r="D14" s="81" t="n">
        <x:f>COUNTIF(C7:C9,"BUILD")</x:f>
        <x:v>2</x:v>
      </x:c>
      <x:c r="E14" s="81"/>
      <x:c r="F14" s="81"/>
      <x:c r="G14" s="81"/>
      <x:c r="H14" s="81"/>
      <x:c r="I14" s="81"/>
      <x:c r="J14" s="81"/>
      <x:c r="K14" s="81"/>
      <x:c r="L14" s="81"/>
    </x:row>
    <x:row r="15">
      <x:c r="B15" s="81" t="str">
        <x:v>Challenge roots</x:v>
      </x:c>
      <x:c r="C15" s="81" t="str">
        <x:v>required 1</x:v>
      </x:c>
      <x:c r="D15" s="81" t="n">
        <x:f>COUNTIF(C7:C9,"CHALLENGE")</x:f>
        <x:v>1</x:v>
      </x:c>
      <x:c r="E15" s="81"/>
      <x:c r="F15" s="81"/>
      <x:c r="G15" s="81"/>
      <x:c r="H15" s="81"/>
      <x:c r="I15" s="81"/>
      <x:c r="J15" s="81"/>
      <x:c r="K15" s="81"/>
      <x:c r="L15" s="81"/>
    </x:row>
    <x:row r="16">
      <x:c r="B16" s="81" t="str">
        <x:v>Distinct primary factors</x:v>
      </x:c>
      <x:c r="C16" s="81" t="str">
        <x:v>root-specific disclosure</x:v>
      </x:c>
      <x:c r="D16" s="81" t="n">
        <x:f>COUNTA(F7:F9)</x:f>
        <x:v>3</x:v>
      </x:c>
      <x:c r="E16" s="81"/>
      <x:c r="F16" s="81"/>
      <x:c r="G16" s="81"/>
      <x:c r="H16" s="81"/>
      <x:c r="I16" s="81"/>
      <x:c r="J16" s="81"/>
      <x:c r="K16" s="81"/>
      <x:c r="L16" s="81"/>
    </x:row>
    <x:row r="17">
      <x:c r="B17" s="81" t="str">
        <x:v>Planning state</x:v>
      </x:c>
      <x:c r="C17" s="81" t="str">
        <x:v>all descriptions populated</x:v>
      </x:c>
      <x:c r="D17" s="81" t="str">
        <x:f>IF(AND(D13=3,D14=2,D15=1,D16=3),"PASS","FAIL")</x:f>
        <x:v>PASS</x:v>
      </x:c>
      <x:c r="E17" s="81"/>
      <x:c r="F17" s="81"/>
      <x:c r="G17" s="81"/>
      <x:c r="H17" s="81"/>
      <x:c r="I17" s="81"/>
      <x:c r="J17" s="81"/>
      <x:c r="K17" s="81"/>
      <x:c r="L17" s="81"/>
    </x:row>
  </x:sheetData>
  <x:mergeCells>
    <x:mergeCell ref="B3:L3"/>
    <x:mergeCell ref="B12:J12"/>
  </x:mergeCells>
  <x:conditionalFormatting sqref="J7:J9">
    <x:cfRule type="containsText" dxfId="15" priority="1" operator="containsText" text="FAIL"/>
    <x:cfRule type="containsText" dxfId="16" priority="2" operator="containsText" text="BLOCKED"/>
    <x:cfRule type="containsText" dxfId="17" priority="3" operator="containsText" text="HOLD"/>
    <x:cfRule type="containsText" dxfId="18" priority="4" operator="containsText" text="OPEN"/>
    <x:cfRule type="containsText" dxfId="19" priority="5" operator="containsText" text="UNTESTED"/>
    <x:cfRule type="containsText" dxfId="20" priority="6" operator="containsText" text="INDETERMINATE"/>
    <x:cfRule type="containsText" dxfId="21" priority="7" operator="containsText" text="PASS"/>
    <x:cfRule type="containsText" dxfId="22" priority="8" operator="containsText" text="CLOSED"/>
    <x:cfRule type="containsText" dxfId="23" priority="9" operator="containsText" text="READY"/>
    <x:cfRule type="containsText" dxfId="24" priority="10" operator="containsText" text="AUTHORIZED"/>
    <x:cfRule type="containsText" dxfId="25" priority="11" operator="containsText" text="PLANNING PASS"/>
    <x:cfRule type="containsText" dxfId="26" priority="12" operator="containsText" text="COMPLETE"/>
    <x:cfRule type="containsText" dxfId="27" priority="13" operator="containsText" text="ACCEPTED"/>
    <x:cfRule type="containsText" dxfId="28" priority="14" operator="containsText" text="ADMITTED"/>
    <x:cfRule type="containsText" dxfId="29" priority="15" operator="containsText" text="RELEASED"/>
  </x:conditionalFormatting>
  <x:conditionalFormatting sqref="D17:D17">
    <x:cfRule type="containsText" dxfId="30" priority="16" operator="containsText" text="FAIL"/>
    <x:cfRule type="containsText" dxfId="31" priority="17" operator="containsText" text="BLOCKED"/>
    <x:cfRule type="containsText" dxfId="32" priority="18" operator="containsText" text="HOLD"/>
    <x:cfRule type="containsText" dxfId="33" priority="19" operator="containsText" text="OPEN"/>
    <x:cfRule type="containsText" dxfId="34" priority="20" operator="containsText" text="UNTESTED"/>
    <x:cfRule type="containsText" dxfId="35" priority="21" operator="containsText" text="INDETERMINATE"/>
    <x:cfRule type="containsText" dxfId="36" priority="22" operator="containsText" text="PASS"/>
    <x:cfRule type="containsText" dxfId="37" priority="23" operator="containsText" text="CLOSED"/>
    <x:cfRule type="containsText" dxfId="38" priority="24" operator="containsText" text="READY"/>
    <x:cfRule type="containsText" dxfId="39" priority="25" operator="containsText" text="AUTHORIZED"/>
    <x:cfRule type="containsText" dxfId="40" priority="26" operator="containsText" text="PLANNING PASS"/>
    <x:cfRule type="containsText" dxfId="41" priority="27" operator="containsText" text="COMPLETE"/>
    <x:cfRule type="containsText" dxfId="42" priority="28" operator="containsText" text="ACCEPTED"/>
    <x:cfRule type="containsText" dxfId="43" priority="29" operator="containsText" text="ADMITTED"/>
    <x:cfRule type="containsText" dxfId="44" priority="30" operator="containsText" text="RELEAS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9" hidden="0" customWidth="1"/>
    <x:col min="4" max="4" width="10" hidden="0" customWidth="1"/>
    <x:col min="5" max="5" width="19" hidden="0" customWidth="1"/>
    <x:col min="6" max="6" width="14" hidden="0" customWidth="1"/>
    <x:col min="7" max="7" width="35" hidden="0" customWidth="1"/>
    <x:col min="8" max="8" width="13" hidden="0" customWidth="1"/>
    <x:col min="9" max="9" width="20" hidden="0" customWidth="1"/>
    <x:col min="10" max="10" width="11" hidden="0" customWidth="1"/>
    <x:col min="11" max="11" width="21" hidden="0" customWidth="1"/>
    <x:col min="12" max="12" width="18" hidden="0" customWidth="1"/>
    <x:col min="13" max="13" width="15" hidden="0" customWidth="1"/>
    <x:col min="14" max="14" width="16" hidden="0" customWidth="1"/>
  </x:cols>
  <x:sheetData>
    <x:row r="2">
      <x:c r="B2" s="1" t="str">
        <x:v>Seventy-two-article closure campaign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</x:row>
    <x:row r="3">
      <x:c r="B3" s="2" t="str">
        <x:v>Twenty-four articles per root challenge process-window coverage, defect detection, configuration control and false rejection.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</x:row>
    <x:row r="6">
      <x:c r="B6" s="15" t="str">
        <x:v>Article</x:v>
      </x:c>
      <x:c r="C6" s="16" t="str">
        <x:v>Root</x:v>
      </x:c>
      <x:c r="D6" s="16" t="str">
        <x:v>Ordinal</x:v>
      </x:c>
      <x:c r="E6" s="16" t="str">
        <x:v>Group</x:v>
      </x:c>
      <x:c r="F6" s="16" t="str">
        <x:v>Disclosure</x:v>
      </x:c>
      <x:c r="G6" s="16" t="str">
        <x:v>Assigned condition</x:v>
      </x:c>
      <x:c r="H6" s="16" t="str">
        <x:v>Truth class</x:v>
      </x:c>
      <x:c r="I6" s="16" t="str">
        <x:v>Required disposition</x:v>
      </x:c>
      <x:c r="J6" s="16" t="str">
        <x:v>Built</x:v>
      </x:c>
      <x:c r="K6" s="16" t="str">
        <x:v>Observed disposition</x:v>
      </x:c>
      <x:c r="L6" s="16" t="str">
        <x:v>Evidence complete</x:v>
      </x:c>
      <x:c r="M6" s="16" t="str">
        <x:v>Article state</x:v>
      </x:c>
      <x:c r="N6" s="16" t="str">
        <x:v>Planning record</x:v>
      </x:c>
    </x:row>
    <x:row r="7" ht="32" customHeight="1">
      <x:c r="B7" s="92" t="str">
        <x:v>R1-C01</x:v>
      </x:c>
      <x:c r="C7" s="92" t="str">
        <x:v>R1</x:v>
      </x:c>
      <x:c r="D7" s="92" t="n">
        <x:v>1</x:v>
      </x:c>
      <x:c r="E7" s="93" t="str">
        <x:v>PROCESS WINDOW</x:v>
      </x:c>
      <x:c r="F7" s="93" t="str">
        <x:v>DECLARED</x:v>
      </x:c>
      <x:c r="G7" s="93" t="str">
        <x:v>low-margin; cold; clean</x:v>
      </x:c>
      <x:c r="H7" s="93" t="str">
        <x:v>CLEAN</x:v>
      </x:c>
      <x:c r="I7" s="93" t="str">
        <x:v>ACCEPT</x:v>
      </x:c>
      <x:c r="J7" s="93" t="n">
        <x:v>0</x:v>
      </x:c>
      <x:c r="K7" s="93" t="str">
        <x:v>UNTESTED</x:v>
      </x:c>
      <x:c r="L7" s="93" t="n">
        <x:v>0</x:v>
      </x:c>
      <x:c r="M7" s="93" t="str">
        <x:f>IF(J7=0,"OPEN",IF(AND(K7=I7,L7=1),"PASS","FAIL"))</x:f>
        <x:v>OPEN</x:v>
      </x:c>
      <x:c r="N7" s="95" t="str">
        <x:f>IF(AND(B7&lt;&gt;"",C7&lt;&gt;"",D7&gt;0,E7&lt;&gt;"",F7&lt;&gt;"",G7&lt;&gt;"",H7&lt;&gt;"",I7&lt;&gt;""),"PASS","FAIL")</x:f>
        <x:v>PASS</x:v>
      </x:c>
    </x:row>
    <x:row r="8" ht="32" customHeight="1">
      <x:c r="B8" s="92" t="str">
        <x:v>R1-C02</x:v>
      </x:c>
      <x:c r="C8" s="92" t="str">
        <x:v>R1</x:v>
      </x:c>
      <x:c r="D8" s="92" t="n">
        <x:v>2</x:v>
      </x:c>
      <x:c r="E8" s="93" t="str">
        <x:v>PROCESS WINDOW</x:v>
      </x:c>
      <x:c r="F8" s="93" t="str">
        <x:v>DECLARED</x:v>
      </x:c>
      <x:c r="G8" s="93" t="str">
        <x:v>low-margin; hot; clean</x:v>
      </x:c>
      <x:c r="H8" s="93" t="str">
        <x:v>CLEAN</x:v>
      </x:c>
      <x:c r="I8" s="93" t="str">
        <x:v>ACCEPT</x:v>
      </x:c>
      <x:c r="J8" s="93" t="n">
        <x:v>0</x:v>
      </x:c>
      <x:c r="K8" s="93" t="str">
        <x:v>UNTESTED</x:v>
      </x:c>
      <x:c r="L8" s="93" t="n">
        <x:v>0</x:v>
      </x:c>
      <x:c r="M8" s="93" t="str">
        <x:f>IF(J8=0,"OPEN",IF(AND(K8=I8,L8=1),"PASS","FAIL"))</x:f>
        <x:v>OPEN</x:v>
      </x:c>
      <x:c r="N8" s="95" t="str">
        <x:f>IF(AND(B8&lt;&gt;"",C8&lt;&gt;"",D8&gt;0,E8&lt;&gt;"",F8&lt;&gt;"",G8&lt;&gt;"",H8&lt;&gt;"",I8&lt;&gt;""),"PASS","FAIL")</x:f>
        <x:v>PASS</x:v>
      </x:c>
    </x:row>
    <x:row r="9" ht="32" customHeight="1">
      <x:c r="B9" s="92" t="str">
        <x:v>R1-C03</x:v>
      </x:c>
      <x:c r="C9" s="92" t="str">
        <x:v>R1</x:v>
      </x:c>
      <x:c r="D9" s="92" t="n">
        <x:v>3</x:v>
      </x:c>
      <x:c r="E9" s="93" t="str">
        <x:v>PROCESS WINDOW</x:v>
      </x:c>
      <x:c r="F9" s="93" t="str">
        <x:v>DECLARED</x:v>
      </x:c>
      <x:c r="G9" s="93" t="str">
        <x:v>low-margin; nominal; wet</x:v>
      </x:c>
      <x:c r="H9" s="93" t="str">
        <x:v>CLEAN</x:v>
      </x:c>
      <x:c r="I9" s="93" t="str">
        <x:v>ACCEPT</x:v>
      </x:c>
      <x:c r="J9" s="93" t="n">
        <x:v>0</x:v>
      </x:c>
      <x:c r="K9" s="93" t="str">
        <x:v>UNTESTED</x:v>
      </x:c>
      <x:c r="L9" s="93" t="n">
        <x:v>0</x:v>
      </x:c>
      <x:c r="M9" s="93" t="str">
        <x:f>IF(J9=0,"OPEN",IF(AND(K9=I9,L9=1),"PASS","FAIL"))</x:f>
        <x:v>OPEN</x:v>
      </x:c>
      <x:c r="N9" s="95" t="str">
        <x:f>IF(AND(B9&lt;&gt;"",C9&lt;&gt;"",D9&gt;0,E9&lt;&gt;"",F9&lt;&gt;"",G9&lt;&gt;"",H9&lt;&gt;"",I9&lt;&gt;""),"PASS","FAIL")</x:f>
        <x:v>PASS</x:v>
      </x:c>
    </x:row>
    <x:row r="10" ht="32" customHeight="1">
      <x:c r="B10" s="92" t="str">
        <x:v>R1-C04</x:v>
      </x:c>
      <x:c r="C10" s="92" t="str">
        <x:v>R1</x:v>
      </x:c>
      <x:c r="D10" s="92" t="n">
        <x:v>4</x:v>
      </x:c>
      <x:c r="E10" s="93" t="str">
        <x:v>PROCESS WINDOW</x:v>
      </x:c>
      <x:c r="F10" s="93" t="str">
        <x:v>DECLARED</x:v>
      </x:c>
      <x:c r="G10" s="93" t="str">
        <x:v>low-margin; nominal; soil-prepared</x:v>
      </x:c>
      <x:c r="H10" s="93" t="str">
        <x:v>CLEAN</x:v>
      </x:c>
      <x:c r="I10" s="93" t="str">
        <x:v>ACCEPT</x:v>
      </x:c>
      <x:c r="J10" s="93" t="n">
        <x:v>0</x:v>
      </x:c>
      <x:c r="K10" s="93" t="str">
        <x:v>UNTESTED</x:v>
      </x:c>
      <x:c r="L10" s="93" t="n">
        <x:v>0</x:v>
      </x:c>
      <x:c r="M10" s="93" t="str">
        <x:f>IF(J10=0,"OPEN",IF(AND(K10=I10,L10=1),"PASS","FAIL"))</x:f>
        <x:v>OPEN</x:v>
      </x:c>
      <x:c r="N10" s="95" t="str">
        <x:f>IF(AND(B10&lt;&gt;"",C10&lt;&gt;"",D10&gt;0,E10&lt;&gt;"",F10&lt;&gt;"",G10&lt;&gt;"",H10&lt;&gt;"",I10&lt;&gt;""),"PASS","FAIL")</x:f>
        <x:v>PASS</x:v>
      </x:c>
    </x:row>
    <x:row r="11" ht="32" customHeight="1">
      <x:c r="B11" s="92" t="str">
        <x:v>R1-C05</x:v>
      </x:c>
      <x:c r="C11" s="92" t="str">
        <x:v>R1</x:v>
      </x:c>
      <x:c r="D11" s="92" t="n">
        <x:v>5</x:v>
      </x:c>
      <x:c r="E11" s="93" t="str">
        <x:v>PROCESS WINDOW</x:v>
      </x:c>
      <x:c r="F11" s="93" t="str">
        <x:v>DECLARED</x:v>
      </x:c>
      <x:c r="G11" s="93" t="str">
        <x:v>nominal; cold; clean</x:v>
      </x:c>
      <x:c r="H11" s="93" t="str">
        <x:v>CLEAN</x:v>
      </x:c>
      <x:c r="I11" s="93" t="str">
        <x:v>ACCEPT</x:v>
      </x:c>
      <x:c r="J11" s="93" t="n">
        <x:v>0</x:v>
      </x:c>
      <x:c r="K11" s="93" t="str">
        <x:v>UNTESTED</x:v>
      </x:c>
      <x:c r="L11" s="93" t="n">
        <x:v>0</x:v>
      </x:c>
      <x:c r="M11" s="93" t="str">
        <x:f>IF(J11=0,"OPEN",IF(AND(K11=I11,L11=1),"PASS","FAIL"))</x:f>
        <x:v>OPEN</x:v>
      </x:c>
      <x:c r="N11" s="95" t="str">
        <x:f>IF(AND(B11&lt;&gt;"",C11&lt;&gt;"",D11&gt;0,E11&lt;&gt;"",F11&lt;&gt;"",G11&lt;&gt;"",H11&lt;&gt;"",I11&lt;&gt;""),"PASS","FAIL")</x:f>
        <x:v>PASS</x:v>
      </x:c>
    </x:row>
    <x:row r="12" ht="32" customHeight="1">
      <x:c r="B12" s="92" t="str">
        <x:v>R1-C06</x:v>
      </x:c>
      <x:c r="C12" s="92" t="str">
        <x:v>R1</x:v>
      </x:c>
      <x:c r="D12" s="92" t="n">
        <x:v>6</x:v>
      </x:c>
      <x:c r="E12" s="93" t="str">
        <x:v>PROCESS WINDOW</x:v>
      </x:c>
      <x:c r="F12" s="93" t="str">
        <x:v>DECLARED</x:v>
      </x:c>
      <x:c r="G12" s="93" t="str">
        <x:v>nominal; hot; clean</x:v>
      </x:c>
      <x:c r="H12" s="93" t="str">
        <x:v>CLEAN</x:v>
      </x:c>
      <x:c r="I12" s="93" t="str">
        <x:v>ACCEPT</x:v>
      </x:c>
      <x:c r="J12" s="93" t="n">
        <x:v>0</x:v>
      </x:c>
      <x:c r="K12" s="93" t="str">
        <x:v>UNTESTED</x:v>
      </x:c>
      <x:c r="L12" s="93" t="n">
        <x:v>0</x:v>
      </x:c>
      <x:c r="M12" s="93" t="str">
        <x:f>IF(J12=0,"OPEN",IF(AND(K12=I12,L12=1),"PASS","FAIL"))</x:f>
        <x:v>OPEN</x:v>
      </x:c>
      <x:c r="N12" s="95" t="str">
        <x:f>IF(AND(B12&lt;&gt;"",C12&lt;&gt;"",D12&gt;0,E12&lt;&gt;"",F12&lt;&gt;"",G12&lt;&gt;"",H12&lt;&gt;"",I12&lt;&gt;""),"PASS","FAIL")</x:f>
        <x:v>PASS</x:v>
      </x:c>
    </x:row>
    <x:row r="13" ht="32" customHeight="1">
      <x:c r="B13" s="92" t="str">
        <x:v>R1-C07</x:v>
      </x:c>
      <x:c r="C13" s="92" t="str">
        <x:v>R1</x:v>
      </x:c>
      <x:c r="D13" s="92" t="n">
        <x:v>7</x:v>
      </x:c>
      <x:c r="E13" s="93" t="str">
        <x:v>PROCESS WINDOW</x:v>
      </x:c>
      <x:c r="F13" s="93" t="str">
        <x:v>DECLARED</x:v>
      </x:c>
      <x:c r="G13" s="93" t="str">
        <x:v>nominal; nominal; wet</x:v>
      </x:c>
      <x:c r="H13" s="93" t="str">
        <x:v>CLEAN</x:v>
      </x:c>
      <x:c r="I13" s="93" t="str">
        <x:v>ACCEPT</x:v>
      </x:c>
      <x:c r="J13" s="93" t="n">
        <x:v>0</x:v>
      </x:c>
      <x:c r="K13" s="93" t="str">
        <x:v>UNTESTED</x:v>
      </x:c>
      <x:c r="L13" s="93" t="n">
        <x:v>0</x:v>
      </x:c>
      <x:c r="M13" s="93" t="str">
        <x:f>IF(J13=0,"OPEN",IF(AND(K13=I13,L13=1),"PASS","FAIL"))</x:f>
        <x:v>OPEN</x:v>
      </x:c>
      <x:c r="N13" s="95" t="str">
        <x:f>IF(AND(B13&lt;&gt;"",C13&lt;&gt;"",D13&gt;0,E13&lt;&gt;"",F13&lt;&gt;"",G13&lt;&gt;"",H13&lt;&gt;"",I13&lt;&gt;""),"PASS","FAIL")</x:f>
        <x:v>PASS</x:v>
      </x:c>
    </x:row>
    <x:row r="14" ht="32" customHeight="1">
      <x:c r="B14" s="92" t="str">
        <x:v>R1-C08</x:v>
      </x:c>
      <x:c r="C14" s="92" t="str">
        <x:v>R1</x:v>
      </x:c>
      <x:c r="D14" s="92" t="n">
        <x:v>8</x:v>
      </x:c>
      <x:c r="E14" s="93" t="str">
        <x:v>PROCESS WINDOW</x:v>
      </x:c>
      <x:c r="F14" s="93" t="str">
        <x:v>DECLARED</x:v>
      </x:c>
      <x:c r="G14" s="93" t="str">
        <x:v>nominal; nominal; soil-prepared</x:v>
      </x:c>
      <x:c r="H14" s="93" t="str">
        <x:v>CLEAN</x:v>
      </x:c>
      <x:c r="I14" s="93" t="str">
        <x:v>ACCEPT</x:v>
      </x:c>
      <x:c r="J14" s="93" t="n">
        <x:v>0</x:v>
      </x:c>
      <x:c r="K14" s="93" t="str">
        <x:v>UNTESTED</x:v>
      </x:c>
      <x:c r="L14" s="93" t="n">
        <x:v>0</x:v>
      </x:c>
      <x:c r="M14" s="93" t="str">
        <x:f>IF(J14=0,"OPEN",IF(AND(K14=I14,L14=1),"PASS","FAIL"))</x:f>
        <x:v>OPEN</x:v>
      </x:c>
      <x:c r="N14" s="95" t="str">
        <x:f>IF(AND(B14&lt;&gt;"",C14&lt;&gt;"",D14&gt;0,E14&lt;&gt;"",F14&lt;&gt;"",G14&lt;&gt;"",H14&lt;&gt;"",I14&lt;&gt;""),"PASS","FAIL")</x:f>
        <x:v>PASS</x:v>
      </x:c>
    </x:row>
    <x:row r="15" ht="32" customHeight="1">
      <x:c r="B15" s="92" t="str">
        <x:v>R1-C09</x:v>
      </x:c>
      <x:c r="C15" s="92" t="str">
        <x:v>R1</x:v>
      </x:c>
      <x:c r="D15" s="92" t="n">
        <x:v>9</x:v>
      </x:c>
      <x:c r="E15" s="93" t="str">
        <x:v>PROCESS WINDOW</x:v>
      </x:c>
      <x:c r="F15" s="93" t="str">
        <x:v>DECLARED</x:v>
      </x:c>
      <x:c r="G15" s="93" t="str">
        <x:v>high-process; cold; clean</x:v>
      </x:c>
      <x:c r="H15" s="93" t="str">
        <x:v>CLEAN</x:v>
      </x:c>
      <x:c r="I15" s="93" t="str">
        <x:v>ACCEPT</x:v>
      </x:c>
      <x:c r="J15" s="93" t="n">
        <x:v>0</x:v>
      </x:c>
      <x:c r="K15" s="93" t="str">
        <x:v>UNTESTED</x:v>
      </x:c>
      <x:c r="L15" s="93" t="n">
        <x:v>0</x:v>
      </x:c>
      <x:c r="M15" s="93" t="str">
        <x:f>IF(J15=0,"OPEN",IF(AND(K15=I15,L15=1),"PASS","FAIL"))</x:f>
        <x:v>OPEN</x:v>
      </x:c>
      <x:c r="N15" s="95" t="str">
        <x:f>IF(AND(B15&lt;&gt;"",C15&lt;&gt;"",D15&gt;0,E15&lt;&gt;"",F15&lt;&gt;"",G15&lt;&gt;"",H15&lt;&gt;"",I15&lt;&gt;""),"PASS","FAIL")</x:f>
        <x:v>PASS</x:v>
      </x:c>
    </x:row>
    <x:row r="16" ht="32" customHeight="1">
      <x:c r="B16" s="92" t="str">
        <x:v>R1-C10</x:v>
      </x:c>
      <x:c r="C16" s="92" t="str">
        <x:v>R1</x:v>
      </x:c>
      <x:c r="D16" s="92" t="n">
        <x:v>10</x:v>
      </x:c>
      <x:c r="E16" s="93" t="str">
        <x:v>PROCESS WINDOW</x:v>
      </x:c>
      <x:c r="F16" s="93" t="str">
        <x:v>DECLARED</x:v>
      </x:c>
      <x:c r="G16" s="93" t="str">
        <x:v>high-process; hot; clean</x:v>
      </x:c>
      <x:c r="H16" s="93" t="str">
        <x:v>CLEAN</x:v>
      </x:c>
      <x:c r="I16" s="93" t="str">
        <x:v>ACCEPT</x:v>
      </x:c>
      <x:c r="J16" s="93" t="n">
        <x:v>0</x:v>
      </x:c>
      <x:c r="K16" s="93" t="str">
        <x:v>UNTESTED</x:v>
      </x:c>
      <x:c r="L16" s="93" t="n">
        <x:v>0</x:v>
      </x:c>
      <x:c r="M16" s="93" t="str">
        <x:f>IF(J16=0,"OPEN",IF(AND(K16=I16,L16=1),"PASS","FAIL"))</x:f>
        <x:v>OPEN</x:v>
      </x:c>
      <x:c r="N16" s="95" t="str">
        <x:f>IF(AND(B16&lt;&gt;"",C16&lt;&gt;"",D16&gt;0,E16&lt;&gt;"",F16&lt;&gt;"",G16&lt;&gt;"",H16&lt;&gt;"",I16&lt;&gt;""),"PASS","FAIL")</x:f>
        <x:v>PASS</x:v>
      </x:c>
    </x:row>
    <x:row r="17" ht="32" customHeight="1">
      <x:c r="B17" s="92" t="str">
        <x:v>R1-C11</x:v>
      </x:c>
      <x:c r="C17" s="92" t="str">
        <x:v>R1</x:v>
      </x:c>
      <x:c r="D17" s="92" t="n">
        <x:v>11</x:v>
      </x:c>
      <x:c r="E17" s="93" t="str">
        <x:v>PROCESS WINDOW</x:v>
      </x:c>
      <x:c r="F17" s="93" t="str">
        <x:v>DECLARED</x:v>
      </x:c>
      <x:c r="G17" s="93" t="str">
        <x:v>high-process; nominal; wet</x:v>
      </x:c>
      <x:c r="H17" s="93" t="str">
        <x:v>CLEAN</x:v>
      </x:c>
      <x:c r="I17" s="93" t="str">
        <x:v>ACCEPT</x:v>
      </x:c>
      <x:c r="J17" s="93" t="n">
        <x:v>0</x:v>
      </x:c>
      <x:c r="K17" s="93" t="str">
        <x:v>UNTESTED</x:v>
      </x:c>
      <x:c r="L17" s="93" t="n">
        <x:v>0</x:v>
      </x:c>
      <x:c r="M17" s="93" t="str">
        <x:f>IF(J17=0,"OPEN",IF(AND(K17=I17,L17=1),"PASS","FAIL"))</x:f>
        <x:v>OPEN</x:v>
      </x:c>
      <x:c r="N17" s="95" t="str">
        <x:f>IF(AND(B17&lt;&gt;"",C17&lt;&gt;"",D17&gt;0,E17&lt;&gt;"",F17&lt;&gt;"",G17&lt;&gt;"",H17&lt;&gt;"",I17&lt;&gt;""),"PASS","FAIL")</x:f>
        <x:v>PASS</x:v>
      </x:c>
    </x:row>
    <x:row r="18" ht="32" customHeight="1">
      <x:c r="B18" s="92" t="str">
        <x:v>R1-C12</x:v>
      </x:c>
      <x:c r="C18" s="92" t="str">
        <x:v>R1</x:v>
      </x:c>
      <x:c r="D18" s="92" t="n">
        <x:v>12</x:v>
      </x:c>
      <x:c r="E18" s="93" t="str">
        <x:v>PROCESS WINDOW</x:v>
      </x:c>
      <x:c r="F18" s="93" t="str">
        <x:v>DECLARED</x:v>
      </x:c>
      <x:c r="G18" s="93" t="str">
        <x:v>high-process; nominal; soil-prepared</x:v>
      </x:c>
      <x:c r="H18" s="93" t="str">
        <x:v>CLEAN</x:v>
      </x:c>
      <x:c r="I18" s="93" t="str">
        <x:v>ACCEPT</x:v>
      </x:c>
      <x:c r="J18" s="93" t="n">
        <x:v>0</x:v>
      </x:c>
      <x:c r="K18" s="93" t="str">
        <x:v>UNTESTED</x:v>
      </x:c>
      <x:c r="L18" s="93" t="n">
        <x:v>0</x:v>
      </x:c>
      <x:c r="M18" s="93" t="str">
        <x:f>IF(J18=0,"OPEN",IF(AND(K18=I18,L18=1),"PASS","FAIL"))</x:f>
        <x:v>OPEN</x:v>
      </x:c>
      <x:c r="N18" s="95" t="str">
        <x:f>IF(AND(B18&lt;&gt;"",C18&lt;&gt;"",D18&gt;0,E18&lt;&gt;"",F18&lt;&gt;"",G18&lt;&gt;"",H18&lt;&gt;"",I18&lt;&gt;""),"PASS","FAIL")</x:f>
        <x:v>PASS</x:v>
      </x:c>
    </x:row>
    <x:row r="19" ht="32" customHeight="1">
      <x:c r="B19" s="92" t="str">
        <x:v>R1-C13</x:v>
      </x:c>
      <x:c r="C19" s="92" t="str">
        <x:v>R1</x:v>
      </x:c>
      <x:c r="D19" s="92" t="n">
        <x:v>13</x:v>
      </x:c>
      <x:c r="E19" s="93" t="str">
        <x:v>KNOWN DEFECT</x:v>
      </x:c>
      <x:c r="F19" s="93" t="str">
        <x:v>DISCLOSED</x:v>
      </x:c>
      <x:c r="G19" s="93" t="str">
        <x:v>incomplete formation calibration</x:v>
      </x:c>
      <x:c r="H19" s="93" t="str">
        <x:v>DEFECT</x:v>
      </x:c>
      <x:c r="I19" s="93" t="str">
        <x:v>REJECT</x:v>
      </x:c>
      <x:c r="J19" s="93" t="n">
        <x:v>0</x:v>
      </x:c>
      <x:c r="K19" s="93" t="str">
        <x:v>UNTESTED</x:v>
      </x:c>
      <x:c r="L19" s="93" t="n">
        <x:v>0</x:v>
      </x:c>
      <x:c r="M19" s="93" t="str">
        <x:f>IF(J19=0,"OPEN",IF(AND(K19=I19,L19=1),"PASS","FAIL"))</x:f>
        <x:v>OPEN</x:v>
      </x:c>
      <x:c r="N19" s="95" t="str">
        <x:f>IF(AND(B19&lt;&gt;"",C19&lt;&gt;"",D19&gt;0,E19&lt;&gt;"",F19&lt;&gt;"",G19&lt;&gt;"",H19&lt;&gt;"",I19&lt;&gt;""),"PASS","FAIL")</x:f>
        <x:v>PASS</x:v>
      </x:c>
    </x:row>
    <x:row r="20" ht="32" customHeight="1">
      <x:c r="B20" s="92" t="str">
        <x:v>R1-C14</x:v>
      </x:c>
      <x:c r="C20" s="92" t="str">
        <x:v>R1</x:v>
      </x:c>
      <x:c r="D20" s="92" t="n">
        <x:v>14</x:v>
      </x:c>
      <x:c r="E20" s="93" t="str">
        <x:v>KNOWN DEFECT</x:v>
      </x:c>
      <x:c r="F20" s="93" t="str">
        <x:v>DISCLOSED</x:v>
      </x:c>
      <x:c r="G20" s="93" t="str">
        <x:v>microchannel calibration</x:v>
      </x:c>
      <x:c r="H20" s="93" t="str">
        <x:v>DEFECT</x:v>
      </x:c>
      <x:c r="I20" s="93" t="str">
        <x:v>REJECT</x:v>
      </x:c>
      <x:c r="J20" s="93" t="n">
        <x:v>0</x:v>
      </x:c>
      <x:c r="K20" s="93" t="str">
        <x:v>UNTESTED</x:v>
      </x:c>
      <x:c r="L20" s="93" t="n">
        <x:v>0</x:v>
      </x:c>
      <x:c r="M20" s="93" t="str">
        <x:f>IF(J20=0,"OPEN",IF(AND(K20=I20,L20=1),"PASS","FAIL"))</x:f>
        <x:v>OPEN</x:v>
      </x:c>
      <x:c r="N20" s="95" t="str">
        <x:f>IF(AND(B20&lt;&gt;"",C20&lt;&gt;"",D20&gt;0,E20&lt;&gt;"",F20&lt;&gt;"",G20&lt;&gt;"",H20&lt;&gt;"",I20&lt;&gt;""),"PASS","FAIL")</x:f>
        <x:v>PASS</x:v>
      </x:c>
    </x:row>
    <x:row r="21" ht="32" customHeight="1">
      <x:c r="B21" s="92" t="str">
        <x:v>R1-C15</x:v>
      </x:c>
      <x:c r="C21" s="92" t="str">
        <x:v>R1</x:v>
      </x:c>
      <x:c r="D21" s="92" t="n">
        <x:v>15</x:v>
      </x:c>
      <x:c r="E21" s="93" t="str">
        <x:v>KNOWN DEFECT</x:v>
      </x:c>
      <x:c r="F21" s="93" t="str">
        <x:v>DISCLOSED</x:v>
      </x:c>
      <x:c r="G21" s="93" t="str">
        <x:v>material mismatch calibration</x:v>
      </x:c>
      <x:c r="H21" s="93" t="str">
        <x:v>DEFECT</x:v>
      </x:c>
      <x:c r="I21" s="93" t="str">
        <x:v>REJECT</x:v>
      </x:c>
      <x:c r="J21" s="93" t="n">
        <x:v>0</x:v>
      </x:c>
      <x:c r="K21" s="93" t="str">
        <x:v>UNTESTED</x:v>
      </x:c>
      <x:c r="L21" s="93" t="n">
        <x:v>0</x:v>
      </x:c>
      <x:c r="M21" s="93" t="str">
        <x:f>IF(J21=0,"OPEN",IF(AND(K21=I21,L21=1),"PASS","FAIL"))</x:f>
        <x:v>OPEN</x:v>
      </x:c>
      <x:c r="N21" s="95" t="str">
        <x:f>IF(AND(B21&lt;&gt;"",C21&lt;&gt;"",D21&gt;0,E21&lt;&gt;"",F21&lt;&gt;"",G21&lt;&gt;"",H21&lt;&gt;"",I21&lt;&gt;""),"PASS","FAIL")</x:f>
        <x:v>PASS</x:v>
      </x:c>
    </x:row>
    <x:row r="22" ht="32" customHeight="1">
      <x:c r="B22" s="92" t="str">
        <x:v>R1-C16</x:v>
      </x:c>
      <x:c r="C22" s="92" t="str">
        <x:v>R1</x:v>
      </x:c>
      <x:c r="D22" s="92" t="n">
        <x:v>16</x:v>
      </x:c>
      <x:c r="E22" s="93" t="str">
        <x:v>KNOWN DEFECT</x:v>
      </x:c>
      <x:c r="F22" s="93" t="str">
        <x:v>DISCLOSED</x:v>
      </x:c>
      <x:c r="G22" s="93" t="str">
        <x:v>process drift calibration</x:v>
      </x:c>
      <x:c r="H22" s="93" t="str">
        <x:v>DEFECT</x:v>
      </x:c>
      <x:c r="I22" s="93" t="str">
        <x:v>REJECT</x:v>
      </x:c>
      <x:c r="J22" s="93" t="n">
        <x:v>0</x:v>
      </x:c>
      <x:c r="K22" s="93" t="str">
        <x:v>UNTESTED</x:v>
      </x:c>
      <x:c r="L22" s="93" t="n">
        <x:v>0</x:v>
      </x:c>
      <x:c r="M22" s="93" t="str">
        <x:f>IF(J22=0,"OPEN",IF(AND(K22=I22,L22=1),"PASS","FAIL"))</x:f>
        <x:v>OPEN</x:v>
      </x:c>
      <x:c r="N22" s="95" t="str">
        <x:f>IF(AND(B22&lt;&gt;"",C22&lt;&gt;"",D22&gt;0,E22&lt;&gt;"",F22&lt;&gt;"",G22&lt;&gt;"",H22&lt;&gt;"",I22&lt;&gt;""),"PASS","FAIL")</x:f>
        <x:v>PASS</x:v>
      </x:c>
    </x:row>
    <x:row r="23" ht="32" customHeight="1">
      <x:c r="B23" s="92" t="str">
        <x:v>R1-C17</x:v>
      </x:c>
      <x:c r="C23" s="92" t="str">
        <x:v>R1</x:v>
      </x:c>
      <x:c r="D23" s="92" t="n">
        <x:v>17</x:v>
      </x:c>
      <x:c r="E23" s="93" t="str">
        <x:v>BLIND PHYSICAL</x:v>
      </x:c>
      <x:c r="F23" s="93" t="str">
        <x:v>SEALED</x:v>
      </x:c>
      <x:c r="G23" s="93" t="str">
        <x:v>physical defect A</x:v>
      </x:c>
      <x:c r="H23" s="93" t="str">
        <x:v>DEFECT</x:v>
      </x:c>
      <x:c r="I23" s="93" t="str">
        <x:v>REJECT</x:v>
      </x:c>
      <x:c r="J23" s="93" t="n">
        <x:v>0</x:v>
      </x:c>
      <x:c r="K23" s="93" t="str">
        <x:v>UNTESTED</x:v>
      </x:c>
      <x:c r="L23" s="93" t="n">
        <x:v>0</x:v>
      </x:c>
      <x:c r="M23" s="93" t="str">
        <x:f>IF(J23=0,"OPEN",IF(AND(K23=I23,L23=1),"PASS","FAIL"))</x:f>
        <x:v>OPEN</x:v>
      </x:c>
      <x:c r="N23" s="95" t="str">
        <x:f>IF(AND(B23&lt;&gt;"",C23&lt;&gt;"",D23&gt;0,E23&lt;&gt;"",F23&lt;&gt;"",G23&lt;&gt;"",H23&lt;&gt;"",I23&lt;&gt;""),"PASS","FAIL")</x:f>
        <x:v>PASS</x:v>
      </x:c>
    </x:row>
    <x:row r="24" ht="32" customHeight="1">
      <x:c r="B24" s="92" t="str">
        <x:v>R1-C18</x:v>
      </x:c>
      <x:c r="C24" s="92" t="str">
        <x:v>R1</x:v>
      </x:c>
      <x:c r="D24" s="92" t="n">
        <x:v>18</x:v>
      </x:c>
      <x:c r="E24" s="93" t="str">
        <x:v>BLIND PHYSICAL</x:v>
      </x:c>
      <x:c r="F24" s="93" t="str">
        <x:v>SEALED</x:v>
      </x:c>
      <x:c r="G24" s="93" t="str">
        <x:v>physical defect B</x:v>
      </x:c>
      <x:c r="H24" s="93" t="str">
        <x:v>DEFECT</x:v>
      </x:c>
      <x:c r="I24" s="93" t="str">
        <x:v>REJECT</x:v>
      </x:c>
      <x:c r="J24" s="93" t="n">
        <x:v>0</x:v>
      </x:c>
      <x:c r="K24" s="93" t="str">
        <x:v>UNTESTED</x:v>
      </x:c>
      <x:c r="L24" s="93" t="n">
        <x:v>0</x:v>
      </x:c>
      <x:c r="M24" s="93" t="str">
        <x:f>IF(J24=0,"OPEN",IF(AND(K24=I24,L24=1),"PASS","FAIL"))</x:f>
        <x:v>OPEN</x:v>
      </x:c>
      <x:c r="N24" s="95" t="str">
        <x:f>IF(AND(B24&lt;&gt;"",C24&lt;&gt;"",D24&gt;0,E24&lt;&gt;"",F24&lt;&gt;"",G24&lt;&gt;"",H24&lt;&gt;"",I24&lt;&gt;""),"PASS","FAIL")</x:f>
        <x:v>PASS</x:v>
      </x:c>
    </x:row>
    <x:row r="25" ht="32" customHeight="1">
      <x:c r="B25" s="92" t="str">
        <x:v>R1-C19</x:v>
      </x:c>
      <x:c r="C25" s="92" t="str">
        <x:v>R1</x:v>
      </x:c>
      <x:c r="D25" s="92" t="n">
        <x:v>19</x:v>
      </x:c>
      <x:c r="E25" s="93" t="str">
        <x:v>BLIND PHYSICAL</x:v>
      </x:c>
      <x:c r="F25" s="93" t="str">
        <x:v>SEALED</x:v>
      </x:c>
      <x:c r="G25" s="93" t="str">
        <x:v>physical defect C</x:v>
      </x:c>
      <x:c r="H25" s="93" t="str">
        <x:v>DEFECT</x:v>
      </x:c>
      <x:c r="I25" s="93" t="str">
        <x:v>REJECT</x:v>
      </x:c>
      <x:c r="J25" s="93" t="n">
        <x:v>0</x:v>
      </x:c>
      <x:c r="K25" s="93" t="str">
        <x:v>UNTESTED</x:v>
      </x:c>
      <x:c r="L25" s="93" t="n">
        <x:v>0</x:v>
      </x:c>
      <x:c r="M25" s="93" t="str">
        <x:f>IF(J25=0,"OPEN",IF(AND(K25=I25,L25=1),"PASS","FAIL"))</x:f>
        <x:v>OPEN</x:v>
      </x:c>
      <x:c r="N25" s="95" t="str">
        <x:f>IF(AND(B25&lt;&gt;"",C25&lt;&gt;"",D25&gt;0,E25&lt;&gt;"",F25&lt;&gt;"",G25&lt;&gt;"",H25&lt;&gt;"",I25&lt;&gt;""),"PASS","FAIL")</x:f>
        <x:v>PASS</x:v>
      </x:c>
    </x:row>
    <x:row r="26" ht="32" customHeight="1">
      <x:c r="B26" s="92" t="str">
        <x:v>R1-C20</x:v>
      </x:c>
      <x:c r="C26" s="92" t="str">
        <x:v>R1</x:v>
      </x:c>
      <x:c r="D26" s="92" t="n">
        <x:v>20</x:v>
      </x:c>
      <x:c r="E26" s="93" t="str">
        <x:v>BLIND PHYSICAL</x:v>
      </x:c>
      <x:c r="F26" s="93" t="str">
        <x:v>SEALED</x:v>
      </x:c>
      <x:c r="G26" s="93" t="str">
        <x:v>physical defect D</x:v>
      </x:c>
      <x:c r="H26" s="93" t="str">
        <x:v>DEFECT</x:v>
      </x:c>
      <x:c r="I26" s="93" t="str">
        <x:v>REJECT</x:v>
      </x:c>
      <x:c r="J26" s="93" t="n">
        <x:v>0</x:v>
      </x:c>
      <x:c r="K26" s="93" t="str">
        <x:v>UNTESTED</x:v>
      </x:c>
      <x:c r="L26" s="93" t="n">
        <x:v>0</x:v>
      </x:c>
      <x:c r="M26" s="93" t="str">
        <x:f>IF(J26=0,"OPEN",IF(AND(K26=I26,L26=1),"PASS","FAIL"))</x:f>
        <x:v>OPEN</x:v>
      </x:c>
      <x:c r="N26" s="95" t="str">
        <x:f>IF(AND(B26&lt;&gt;"",C26&lt;&gt;"",D26&gt;0,E26&lt;&gt;"",F26&lt;&gt;"",G26&lt;&gt;"",H26&lt;&gt;"",I26&lt;&gt;""),"PASS","FAIL")</x:f>
        <x:v>PASS</x:v>
      </x:c>
    </x:row>
    <x:row r="27" ht="32" customHeight="1">
      <x:c r="B27" s="92" t="str">
        <x:v>R1-C21</x:v>
      </x:c>
      <x:c r="C27" s="92" t="str">
        <x:v>R1</x:v>
      </x:c>
      <x:c r="D27" s="92" t="n">
        <x:v>21</x:v>
      </x:c>
      <x:c r="E27" s="93" t="str">
        <x:v>BLIND CONFIG</x:v>
      </x:c>
      <x:c r="F27" s="93" t="str">
        <x:v>SEALED</x:v>
      </x:c>
      <x:c r="G27" s="93" t="str">
        <x:v>material/consumable substitution</x:v>
      </x:c>
      <x:c r="H27" s="93" t="str">
        <x:v>DEFECT</x:v>
      </x:c>
      <x:c r="I27" s="93" t="str">
        <x:v>REJECT</x:v>
      </x:c>
      <x:c r="J27" s="93" t="n">
        <x:v>0</x:v>
      </x:c>
      <x:c r="K27" s="93" t="str">
        <x:v>UNTESTED</x:v>
      </x:c>
      <x:c r="L27" s="93" t="n">
        <x:v>0</x:v>
      </x:c>
      <x:c r="M27" s="93" t="str">
        <x:f>IF(J27=0,"OPEN",IF(AND(K27=I27,L27=1),"PASS","FAIL"))</x:f>
        <x:v>OPEN</x:v>
      </x:c>
      <x:c r="N27" s="95" t="str">
        <x:f>IF(AND(B27&lt;&gt;"",C27&lt;&gt;"",D27&gt;0,E27&lt;&gt;"",F27&lt;&gt;"",G27&lt;&gt;"",H27&lt;&gt;"",I27&lt;&gt;""),"PASS","FAIL")</x:f>
        <x:v>PASS</x:v>
      </x:c>
    </x:row>
    <x:row r="28" ht="32" customHeight="1">
      <x:c r="B28" s="92" t="str">
        <x:v>R1-C22</x:v>
      </x:c>
      <x:c r="C28" s="92" t="str">
        <x:v>R1</x:v>
      </x:c>
      <x:c r="D28" s="92" t="n">
        <x:v>22</x:v>
      </x:c>
      <x:c r="E28" s="93" t="str">
        <x:v>BLIND CONFIG</x:v>
      </x:c>
      <x:c r="F28" s="93" t="str">
        <x:v>SEALED</x:v>
      </x:c>
      <x:c r="G28" s="93" t="str">
        <x:v>recipe/firmware/calibration drift</x:v>
      </x:c>
      <x:c r="H28" s="93" t="str">
        <x:v>DEFECT</x:v>
      </x:c>
      <x:c r="I28" s="93" t="str">
        <x:v>REJECT</x:v>
      </x:c>
      <x:c r="J28" s="93" t="n">
        <x:v>0</x:v>
      </x:c>
      <x:c r="K28" s="93" t="str">
        <x:v>UNTESTED</x:v>
      </x:c>
      <x:c r="L28" s="93" t="n">
        <x:v>0</x:v>
      </x:c>
      <x:c r="M28" s="93" t="str">
        <x:f>IF(J28=0,"OPEN",IF(AND(K28=I28,L28=1),"PASS","FAIL"))</x:f>
        <x:v>OPEN</x:v>
      </x:c>
      <x:c r="N28" s="95" t="str">
        <x:f>IF(AND(B28&lt;&gt;"",C28&lt;&gt;"",D28&gt;0,E28&lt;&gt;"",F28&lt;&gt;"",G28&lt;&gt;"",H28&lt;&gt;"",I28&lt;&gt;""),"PASS","FAIL")</x:f>
        <x:v>PASS</x:v>
      </x:c>
    </x:row>
    <x:row r="29" ht="32" customHeight="1">
      <x:c r="B29" s="92" t="str">
        <x:v>R1-C23</x:v>
      </x:c>
      <x:c r="C29" s="92" t="str">
        <x:v>R1</x:v>
      </x:c>
      <x:c r="D29" s="92" t="n">
        <x:v>23</x:v>
      </x:c>
      <x:c r="E29" s="93" t="str">
        <x:v>BLIND CLEAN</x:v>
      </x:c>
      <x:c r="F29" s="93" t="str">
        <x:v>SEALED</x:v>
      </x:c>
      <x:c r="G29" s="93" t="str">
        <x:v>clean blind control A</x:v>
      </x:c>
      <x:c r="H29" s="93" t="str">
        <x:v>CLEAN</x:v>
      </x:c>
      <x:c r="I29" s="93" t="str">
        <x:v>ACCEPT</x:v>
      </x:c>
      <x:c r="J29" s="93" t="n">
        <x:v>0</x:v>
      </x:c>
      <x:c r="K29" s="93" t="str">
        <x:v>UNTESTED</x:v>
      </x:c>
      <x:c r="L29" s="93" t="n">
        <x:v>0</x:v>
      </x:c>
      <x:c r="M29" s="93" t="str">
        <x:f>IF(J29=0,"OPEN",IF(AND(K29=I29,L29=1),"PASS","FAIL"))</x:f>
        <x:v>OPEN</x:v>
      </x:c>
      <x:c r="N29" s="95" t="str">
        <x:f>IF(AND(B29&lt;&gt;"",C29&lt;&gt;"",D29&gt;0,E29&lt;&gt;"",F29&lt;&gt;"",G29&lt;&gt;"",H29&lt;&gt;"",I29&lt;&gt;""),"PASS","FAIL")</x:f>
        <x:v>PASS</x:v>
      </x:c>
    </x:row>
    <x:row r="30" ht="32" customHeight="1">
      <x:c r="B30" s="92" t="str">
        <x:v>R1-C24</x:v>
      </x:c>
      <x:c r="C30" s="92" t="str">
        <x:v>R1</x:v>
      </x:c>
      <x:c r="D30" s="92" t="n">
        <x:v>24</x:v>
      </x:c>
      <x:c r="E30" s="93" t="str">
        <x:v>BLIND CLEAN</x:v>
      </x:c>
      <x:c r="F30" s="93" t="str">
        <x:v>SEALED</x:v>
      </x:c>
      <x:c r="G30" s="93" t="str">
        <x:v>clean blind control B</x:v>
      </x:c>
      <x:c r="H30" s="93" t="str">
        <x:v>CLEAN</x:v>
      </x:c>
      <x:c r="I30" s="93" t="str">
        <x:v>ACCEPT</x:v>
      </x:c>
      <x:c r="J30" s="93" t="n">
        <x:v>0</x:v>
      </x:c>
      <x:c r="K30" s="93" t="str">
        <x:v>UNTESTED</x:v>
      </x:c>
      <x:c r="L30" s="93" t="n">
        <x:v>0</x:v>
      </x:c>
      <x:c r="M30" s="93" t="str">
        <x:f>IF(J30=0,"OPEN",IF(AND(K30=I30,L30=1),"PASS","FAIL"))</x:f>
        <x:v>OPEN</x:v>
      </x:c>
      <x:c r="N30" s="95" t="str">
        <x:f>IF(AND(B30&lt;&gt;"",C30&lt;&gt;"",D30&gt;0,E30&lt;&gt;"",F30&lt;&gt;"",G30&lt;&gt;"",H30&lt;&gt;"",I30&lt;&gt;""),"PASS","FAIL")</x:f>
        <x:v>PASS</x:v>
      </x:c>
    </x:row>
    <x:row r="31" ht="32" customHeight="1">
      <x:c r="B31" s="92" t="str">
        <x:v>R2-C01</x:v>
      </x:c>
      <x:c r="C31" s="92" t="str">
        <x:v>R2</x:v>
      </x:c>
      <x:c r="D31" s="92" t="n">
        <x:v>1</x:v>
      </x:c>
      <x:c r="E31" s="93" t="str">
        <x:v>PROCESS WINDOW</x:v>
      </x:c>
      <x:c r="F31" s="93" t="str">
        <x:v>DECLARED</x:v>
      </x:c>
      <x:c r="G31" s="93" t="str">
        <x:v>low-margin; cold; clean</x:v>
      </x:c>
      <x:c r="H31" s="93" t="str">
        <x:v>CLEAN</x:v>
      </x:c>
      <x:c r="I31" s="93" t="str">
        <x:v>ACCEPT</x:v>
      </x:c>
      <x:c r="J31" s="93" t="n">
        <x:v>0</x:v>
      </x:c>
      <x:c r="K31" s="93" t="str">
        <x:v>UNTESTED</x:v>
      </x:c>
      <x:c r="L31" s="93" t="n">
        <x:v>0</x:v>
      </x:c>
      <x:c r="M31" s="93" t="str">
        <x:f>IF(J31=0,"OPEN",IF(AND(K31=I31,L31=1),"PASS","FAIL"))</x:f>
        <x:v>OPEN</x:v>
      </x:c>
      <x:c r="N31" s="95" t="str">
        <x:f>IF(AND(B31&lt;&gt;"",C31&lt;&gt;"",D31&gt;0,E31&lt;&gt;"",F31&lt;&gt;"",G31&lt;&gt;"",H31&lt;&gt;"",I31&lt;&gt;""),"PASS","FAIL")</x:f>
        <x:v>PASS</x:v>
      </x:c>
    </x:row>
    <x:row r="32" ht="32" customHeight="1">
      <x:c r="B32" s="92" t="str">
        <x:v>R2-C02</x:v>
      </x:c>
      <x:c r="C32" s="92" t="str">
        <x:v>R2</x:v>
      </x:c>
      <x:c r="D32" s="92" t="n">
        <x:v>2</x:v>
      </x:c>
      <x:c r="E32" s="93" t="str">
        <x:v>PROCESS WINDOW</x:v>
      </x:c>
      <x:c r="F32" s="93" t="str">
        <x:v>DECLARED</x:v>
      </x:c>
      <x:c r="G32" s="93" t="str">
        <x:v>low-margin; hot; clean</x:v>
      </x:c>
      <x:c r="H32" s="93" t="str">
        <x:v>CLEAN</x:v>
      </x:c>
      <x:c r="I32" s="93" t="str">
        <x:v>ACCEPT</x:v>
      </x:c>
      <x:c r="J32" s="93" t="n">
        <x:v>0</x:v>
      </x:c>
      <x:c r="K32" s="93" t="str">
        <x:v>UNTESTED</x:v>
      </x:c>
      <x:c r="L32" s="93" t="n">
        <x:v>0</x:v>
      </x:c>
      <x:c r="M32" s="93" t="str">
        <x:f>IF(J32=0,"OPEN",IF(AND(K32=I32,L32=1),"PASS","FAIL"))</x:f>
        <x:v>OPEN</x:v>
      </x:c>
      <x:c r="N32" s="95" t="str">
        <x:f>IF(AND(B32&lt;&gt;"",C32&lt;&gt;"",D32&gt;0,E32&lt;&gt;"",F32&lt;&gt;"",G32&lt;&gt;"",H32&lt;&gt;"",I32&lt;&gt;""),"PASS","FAIL")</x:f>
        <x:v>PASS</x:v>
      </x:c>
    </x:row>
    <x:row r="33" ht="32" customHeight="1">
      <x:c r="B33" s="92" t="str">
        <x:v>R2-C03</x:v>
      </x:c>
      <x:c r="C33" s="92" t="str">
        <x:v>R2</x:v>
      </x:c>
      <x:c r="D33" s="92" t="n">
        <x:v>3</x:v>
      </x:c>
      <x:c r="E33" s="93" t="str">
        <x:v>PROCESS WINDOW</x:v>
      </x:c>
      <x:c r="F33" s="93" t="str">
        <x:v>DECLARED</x:v>
      </x:c>
      <x:c r="G33" s="93" t="str">
        <x:v>low-margin; nominal; wet</x:v>
      </x:c>
      <x:c r="H33" s="93" t="str">
        <x:v>CLEAN</x:v>
      </x:c>
      <x:c r="I33" s="93" t="str">
        <x:v>ACCEPT</x:v>
      </x:c>
      <x:c r="J33" s="93" t="n">
        <x:v>0</x:v>
      </x:c>
      <x:c r="K33" s="93" t="str">
        <x:v>UNTESTED</x:v>
      </x:c>
      <x:c r="L33" s="93" t="n">
        <x:v>0</x:v>
      </x:c>
      <x:c r="M33" s="93" t="str">
        <x:f>IF(J33=0,"OPEN",IF(AND(K33=I33,L33=1),"PASS","FAIL"))</x:f>
        <x:v>OPEN</x:v>
      </x:c>
      <x:c r="N33" s="95" t="str">
        <x:f>IF(AND(B33&lt;&gt;"",C33&lt;&gt;"",D33&gt;0,E33&lt;&gt;"",F33&lt;&gt;"",G33&lt;&gt;"",H33&lt;&gt;"",I33&lt;&gt;""),"PASS","FAIL")</x:f>
        <x:v>PASS</x:v>
      </x:c>
    </x:row>
    <x:row r="34" ht="32" customHeight="1">
      <x:c r="B34" s="92" t="str">
        <x:v>R2-C04</x:v>
      </x:c>
      <x:c r="C34" s="92" t="str">
        <x:v>R2</x:v>
      </x:c>
      <x:c r="D34" s="92" t="n">
        <x:v>4</x:v>
      </x:c>
      <x:c r="E34" s="93" t="str">
        <x:v>PROCESS WINDOW</x:v>
      </x:c>
      <x:c r="F34" s="93" t="str">
        <x:v>DECLARED</x:v>
      </x:c>
      <x:c r="G34" s="93" t="str">
        <x:v>low-margin; nominal; soil-prepared</x:v>
      </x:c>
      <x:c r="H34" s="93" t="str">
        <x:v>CLEAN</x:v>
      </x:c>
      <x:c r="I34" s="93" t="str">
        <x:v>ACCEPT</x:v>
      </x:c>
      <x:c r="J34" s="93" t="n">
        <x:v>0</x:v>
      </x:c>
      <x:c r="K34" s="93" t="str">
        <x:v>UNTESTED</x:v>
      </x:c>
      <x:c r="L34" s="93" t="n">
        <x:v>0</x:v>
      </x:c>
      <x:c r="M34" s="93" t="str">
        <x:f>IF(J34=0,"OPEN",IF(AND(K34=I34,L34=1),"PASS","FAIL"))</x:f>
        <x:v>OPEN</x:v>
      </x:c>
      <x:c r="N34" s="95" t="str">
        <x:f>IF(AND(B34&lt;&gt;"",C34&lt;&gt;"",D34&gt;0,E34&lt;&gt;"",F34&lt;&gt;"",G34&lt;&gt;"",H34&lt;&gt;"",I34&lt;&gt;""),"PASS","FAIL")</x:f>
        <x:v>PASS</x:v>
      </x:c>
    </x:row>
    <x:row r="35" ht="32" customHeight="1">
      <x:c r="B35" s="92" t="str">
        <x:v>R2-C05</x:v>
      </x:c>
      <x:c r="C35" s="92" t="str">
        <x:v>R2</x:v>
      </x:c>
      <x:c r="D35" s="92" t="n">
        <x:v>5</x:v>
      </x:c>
      <x:c r="E35" s="93" t="str">
        <x:v>PROCESS WINDOW</x:v>
      </x:c>
      <x:c r="F35" s="93" t="str">
        <x:v>DECLARED</x:v>
      </x:c>
      <x:c r="G35" s="93" t="str">
        <x:v>nominal; cold; clean</x:v>
      </x:c>
      <x:c r="H35" s="93" t="str">
        <x:v>CLEAN</x:v>
      </x:c>
      <x:c r="I35" s="93" t="str">
        <x:v>ACCEPT</x:v>
      </x:c>
      <x:c r="J35" s="93" t="n">
        <x:v>0</x:v>
      </x:c>
      <x:c r="K35" s="93" t="str">
        <x:v>UNTESTED</x:v>
      </x:c>
      <x:c r="L35" s="93" t="n">
        <x:v>0</x:v>
      </x:c>
      <x:c r="M35" s="93" t="str">
        <x:f>IF(J35=0,"OPEN",IF(AND(K35=I35,L35=1),"PASS","FAIL"))</x:f>
        <x:v>OPEN</x:v>
      </x:c>
      <x:c r="N35" s="95" t="str">
        <x:f>IF(AND(B35&lt;&gt;"",C35&lt;&gt;"",D35&gt;0,E35&lt;&gt;"",F35&lt;&gt;"",G35&lt;&gt;"",H35&lt;&gt;"",I35&lt;&gt;""),"PASS","FAIL")</x:f>
        <x:v>PASS</x:v>
      </x:c>
    </x:row>
    <x:row r="36" ht="32" customHeight="1">
      <x:c r="B36" s="92" t="str">
        <x:v>R2-C06</x:v>
      </x:c>
      <x:c r="C36" s="92" t="str">
        <x:v>R2</x:v>
      </x:c>
      <x:c r="D36" s="92" t="n">
        <x:v>6</x:v>
      </x:c>
      <x:c r="E36" s="93" t="str">
        <x:v>PROCESS WINDOW</x:v>
      </x:c>
      <x:c r="F36" s="93" t="str">
        <x:v>DECLARED</x:v>
      </x:c>
      <x:c r="G36" s="93" t="str">
        <x:v>nominal; hot; clean</x:v>
      </x:c>
      <x:c r="H36" s="93" t="str">
        <x:v>CLEAN</x:v>
      </x:c>
      <x:c r="I36" s="93" t="str">
        <x:v>ACCEPT</x:v>
      </x:c>
      <x:c r="J36" s="93" t="n">
        <x:v>0</x:v>
      </x:c>
      <x:c r="K36" s="93" t="str">
        <x:v>UNTESTED</x:v>
      </x:c>
      <x:c r="L36" s="93" t="n">
        <x:v>0</x:v>
      </x:c>
      <x:c r="M36" s="93" t="str">
        <x:f>IF(J36=0,"OPEN",IF(AND(K36=I36,L36=1),"PASS","FAIL"))</x:f>
        <x:v>OPEN</x:v>
      </x:c>
      <x:c r="N36" s="95" t="str">
        <x:f>IF(AND(B36&lt;&gt;"",C36&lt;&gt;"",D36&gt;0,E36&lt;&gt;"",F36&lt;&gt;"",G36&lt;&gt;"",H36&lt;&gt;"",I36&lt;&gt;""),"PASS","FAIL")</x:f>
        <x:v>PASS</x:v>
      </x:c>
    </x:row>
    <x:row r="37" ht="32" customHeight="1">
      <x:c r="B37" s="92" t="str">
        <x:v>R2-C07</x:v>
      </x:c>
      <x:c r="C37" s="92" t="str">
        <x:v>R2</x:v>
      </x:c>
      <x:c r="D37" s="92" t="n">
        <x:v>7</x:v>
      </x:c>
      <x:c r="E37" s="93" t="str">
        <x:v>PROCESS WINDOW</x:v>
      </x:c>
      <x:c r="F37" s="93" t="str">
        <x:v>DECLARED</x:v>
      </x:c>
      <x:c r="G37" s="93" t="str">
        <x:v>nominal; nominal; wet</x:v>
      </x:c>
      <x:c r="H37" s="93" t="str">
        <x:v>CLEAN</x:v>
      </x:c>
      <x:c r="I37" s="93" t="str">
        <x:v>ACCEPT</x:v>
      </x:c>
      <x:c r="J37" s="93" t="n">
        <x:v>0</x:v>
      </x:c>
      <x:c r="K37" s="93" t="str">
        <x:v>UNTESTED</x:v>
      </x:c>
      <x:c r="L37" s="93" t="n">
        <x:v>0</x:v>
      </x:c>
      <x:c r="M37" s="93" t="str">
        <x:f>IF(J37=0,"OPEN",IF(AND(K37=I37,L37=1),"PASS","FAIL"))</x:f>
        <x:v>OPEN</x:v>
      </x:c>
      <x:c r="N37" s="95" t="str">
        <x:f>IF(AND(B37&lt;&gt;"",C37&lt;&gt;"",D37&gt;0,E37&lt;&gt;"",F37&lt;&gt;"",G37&lt;&gt;"",H37&lt;&gt;"",I37&lt;&gt;""),"PASS","FAIL")</x:f>
        <x:v>PASS</x:v>
      </x:c>
    </x:row>
    <x:row r="38" ht="32" customHeight="1">
      <x:c r="B38" s="92" t="str">
        <x:v>R2-C08</x:v>
      </x:c>
      <x:c r="C38" s="92" t="str">
        <x:v>R2</x:v>
      </x:c>
      <x:c r="D38" s="92" t="n">
        <x:v>8</x:v>
      </x:c>
      <x:c r="E38" s="93" t="str">
        <x:v>PROCESS WINDOW</x:v>
      </x:c>
      <x:c r="F38" s="93" t="str">
        <x:v>DECLARED</x:v>
      </x:c>
      <x:c r="G38" s="93" t="str">
        <x:v>nominal; nominal; soil-prepared</x:v>
      </x:c>
      <x:c r="H38" s="93" t="str">
        <x:v>CLEAN</x:v>
      </x:c>
      <x:c r="I38" s="93" t="str">
        <x:v>ACCEPT</x:v>
      </x:c>
      <x:c r="J38" s="93" t="n">
        <x:v>0</x:v>
      </x:c>
      <x:c r="K38" s="93" t="str">
        <x:v>UNTESTED</x:v>
      </x:c>
      <x:c r="L38" s="93" t="n">
        <x:v>0</x:v>
      </x:c>
      <x:c r="M38" s="93" t="str">
        <x:f>IF(J38=0,"OPEN",IF(AND(K38=I38,L38=1),"PASS","FAIL"))</x:f>
        <x:v>OPEN</x:v>
      </x:c>
      <x:c r="N38" s="95" t="str">
        <x:f>IF(AND(B38&lt;&gt;"",C38&lt;&gt;"",D38&gt;0,E38&lt;&gt;"",F38&lt;&gt;"",G38&lt;&gt;"",H38&lt;&gt;"",I38&lt;&gt;""),"PASS","FAIL")</x:f>
        <x:v>PASS</x:v>
      </x:c>
    </x:row>
    <x:row r="39" ht="32" customHeight="1">
      <x:c r="B39" s="92" t="str">
        <x:v>R2-C09</x:v>
      </x:c>
      <x:c r="C39" s="92" t="str">
        <x:v>R2</x:v>
      </x:c>
      <x:c r="D39" s="92" t="n">
        <x:v>9</x:v>
      </x:c>
      <x:c r="E39" s="93" t="str">
        <x:v>PROCESS WINDOW</x:v>
      </x:c>
      <x:c r="F39" s="93" t="str">
        <x:v>DECLARED</x:v>
      </x:c>
      <x:c r="G39" s="93" t="str">
        <x:v>high-process; cold; clean</x:v>
      </x:c>
      <x:c r="H39" s="93" t="str">
        <x:v>CLEAN</x:v>
      </x:c>
      <x:c r="I39" s="93" t="str">
        <x:v>ACCEPT</x:v>
      </x:c>
      <x:c r="J39" s="93" t="n">
        <x:v>0</x:v>
      </x:c>
      <x:c r="K39" s="93" t="str">
        <x:v>UNTESTED</x:v>
      </x:c>
      <x:c r="L39" s="93" t="n">
        <x:v>0</x:v>
      </x:c>
      <x:c r="M39" s="93" t="str">
        <x:f>IF(J39=0,"OPEN",IF(AND(K39=I39,L39=1),"PASS","FAIL"))</x:f>
        <x:v>OPEN</x:v>
      </x:c>
      <x:c r="N39" s="95" t="str">
        <x:f>IF(AND(B39&lt;&gt;"",C39&lt;&gt;"",D39&gt;0,E39&lt;&gt;"",F39&lt;&gt;"",G39&lt;&gt;"",H39&lt;&gt;"",I39&lt;&gt;""),"PASS","FAIL")</x:f>
        <x:v>PASS</x:v>
      </x:c>
    </x:row>
    <x:row r="40" ht="32" customHeight="1">
      <x:c r="B40" s="92" t="str">
        <x:v>R2-C10</x:v>
      </x:c>
      <x:c r="C40" s="92" t="str">
        <x:v>R2</x:v>
      </x:c>
      <x:c r="D40" s="92" t="n">
        <x:v>10</x:v>
      </x:c>
      <x:c r="E40" s="93" t="str">
        <x:v>PROCESS WINDOW</x:v>
      </x:c>
      <x:c r="F40" s="93" t="str">
        <x:v>DECLARED</x:v>
      </x:c>
      <x:c r="G40" s="93" t="str">
        <x:v>high-process; hot; clean</x:v>
      </x:c>
      <x:c r="H40" s="93" t="str">
        <x:v>CLEAN</x:v>
      </x:c>
      <x:c r="I40" s="93" t="str">
        <x:v>ACCEPT</x:v>
      </x:c>
      <x:c r="J40" s="93" t="n">
        <x:v>0</x:v>
      </x:c>
      <x:c r="K40" s="93" t="str">
        <x:v>UNTESTED</x:v>
      </x:c>
      <x:c r="L40" s="93" t="n">
        <x:v>0</x:v>
      </x:c>
      <x:c r="M40" s="93" t="str">
        <x:f>IF(J40=0,"OPEN",IF(AND(K40=I40,L40=1),"PASS","FAIL"))</x:f>
        <x:v>OPEN</x:v>
      </x:c>
      <x:c r="N40" s="95" t="str">
        <x:f>IF(AND(B40&lt;&gt;"",C40&lt;&gt;"",D40&gt;0,E40&lt;&gt;"",F40&lt;&gt;"",G40&lt;&gt;"",H40&lt;&gt;"",I40&lt;&gt;""),"PASS","FAIL")</x:f>
        <x:v>PASS</x:v>
      </x:c>
    </x:row>
    <x:row r="41" ht="32" customHeight="1">
      <x:c r="B41" s="92" t="str">
        <x:v>R2-C11</x:v>
      </x:c>
      <x:c r="C41" s="92" t="str">
        <x:v>R2</x:v>
      </x:c>
      <x:c r="D41" s="92" t="n">
        <x:v>11</x:v>
      </x:c>
      <x:c r="E41" s="93" t="str">
        <x:v>PROCESS WINDOW</x:v>
      </x:c>
      <x:c r="F41" s="93" t="str">
        <x:v>DECLARED</x:v>
      </x:c>
      <x:c r="G41" s="93" t="str">
        <x:v>high-process; nominal; wet</x:v>
      </x:c>
      <x:c r="H41" s="93" t="str">
        <x:v>CLEAN</x:v>
      </x:c>
      <x:c r="I41" s="93" t="str">
        <x:v>ACCEPT</x:v>
      </x:c>
      <x:c r="J41" s="93" t="n">
        <x:v>0</x:v>
      </x:c>
      <x:c r="K41" s="93" t="str">
        <x:v>UNTESTED</x:v>
      </x:c>
      <x:c r="L41" s="93" t="n">
        <x:v>0</x:v>
      </x:c>
      <x:c r="M41" s="93" t="str">
        <x:f>IF(J41=0,"OPEN",IF(AND(K41=I41,L41=1),"PASS","FAIL"))</x:f>
        <x:v>OPEN</x:v>
      </x:c>
      <x:c r="N41" s="95" t="str">
        <x:f>IF(AND(B41&lt;&gt;"",C41&lt;&gt;"",D41&gt;0,E41&lt;&gt;"",F41&lt;&gt;"",G41&lt;&gt;"",H41&lt;&gt;"",I41&lt;&gt;""),"PASS","FAIL")</x:f>
        <x:v>PASS</x:v>
      </x:c>
    </x:row>
    <x:row r="42" ht="32" customHeight="1">
      <x:c r="B42" s="92" t="str">
        <x:v>R2-C12</x:v>
      </x:c>
      <x:c r="C42" s="92" t="str">
        <x:v>R2</x:v>
      </x:c>
      <x:c r="D42" s="92" t="n">
        <x:v>12</x:v>
      </x:c>
      <x:c r="E42" s="93" t="str">
        <x:v>PROCESS WINDOW</x:v>
      </x:c>
      <x:c r="F42" s="93" t="str">
        <x:v>DECLARED</x:v>
      </x:c>
      <x:c r="G42" s="93" t="str">
        <x:v>high-process; nominal; soil-prepared</x:v>
      </x:c>
      <x:c r="H42" s="93" t="str">
        <x:v>CLEAN</x:v>
      </x:c>
      <x:c r="I42" s="93" t="str">
        <x:v>ACCEPT</x:v>
      </x:c>
      <x:c r="J42" s="93" t="n">
        <x:v>0</x:v>
      </x:c>
      <x:c r="K42" s="93" t="str">
        <x:v>UNTESTED</x:v>
      </x:c>
      <x:c r="L42" s="93" t="n">
        <x:v>0</x:v>
      </x:c>
      <x:c r="M42" s="93" t="str">
        <x:f>IF(J42=0,"OPEN",IF(AND(K42=I42,L42=1),"PASS","FAIL"))</x:f>
        <x:v>OPEN</x:v>
      </x:c>
      <x:c r="N42" s="95" t="str">
        <x:f>IF(AND(B42&lt;&gt;"",C42&lt;&gt;"",D42&gt;0,E42&lt;&gt;"",F42&lt;&gt;"",G42&lt;&gt;"",H42&lt;&gt;"",I42&lt;&gt;""),"PASS","FAIL")</x:f>
        <x:v>PASS</x:v>
      </x:c>
    </x:row>
    <x:row r="43" ht="32" customHeight="1">
      <x:c r="B43" s="92" t="str">
        <x:v>R2-C13</x:v>
      </x:c>
      <x:c r="C43" s="92" t="str">
        <x:v>R2</x:v>
      </x:c>
      <x:c r="D43" s="92" t="n">
        <x:v>13</x:v>
      </x:c>
      <x:c r="E43" s="93" t="str">
        <x:v>KNOWN DEFECT</x:v>
      </x:c>
      <x:c r="F43" s="93" t="str">
        <x:v>DISCLOSED</x:v>
      </x:c>
      <x:c r="G43" s="93" t="str">
        <x:v>incomplete formation calibration</x:v>
      </x:c>
      <x:c r="H43" s="93" t="str">
        <x:v>DEFECT</x:v>
      </x:c>
      <x:c r="I43" s="93" t="str">
        <x:v>REJECT</x:v>
      </x:c>
      <x:c r="J43" s="93" t="n">
        <x:v>0</x:v>
      </x:c>
      <x:c r="K43" s="93" t="str">
        <x:v>UNTESTED</x:v>
      </x:c>
      <x:c r="L43" s="93" t="n">
        <x:v>0</x:v>
      </x:c>
      <x:c r="M43" s="93" t="str">
        <x:f>IF(J43=0,"OPEN",IF(AND(K43=I43,L43=1),"PASS","FAIL"))</x:f>
        <x:v>OPEN</x:v>
      </x:c>
      <x:c r="N43" s="95" t="str">
        <x:f>IF(AND(B43&lt;&gt;"",C43&lt;&gt;"",D43&gt;0,E43&lt;&gt;"",F43&lt;&gt;"",G43&lt;&gt;"",H43&lt;&gt;"",I43&lt;&gt;""),"PASS","FAIL")</x:f>
        <x:v>PASS</x:v>
      </x:c>
    </x:row>
    <x:row r="44" ht="32" customHeight="1">
      <x:c r="B44" s="92" t="str">
        <x:v>R2-C14</x:v>
      </x:c>
      <x:c r="C44" s="92" t="str">
        <x:v>R2</x:v>
      </x:c>
      <x:c r="D44" s="92" t="n">
        <x:v>14</x:v>
      </x:c>
      <x:c r="E44" s="93" t="str">
        <x:v>KNOWN DEFECT</x:v>
      </x:c>
      <x:c r="F44" s="93" t="str">
        <x:v>DISCLOSED</x:v>
      </x:c>
      <x:c r="G44" s="93" t="str">
        <x:v>microchannel calibration</x:v>
      </x:c>
      <x:c r="H44" s="93" t="str">
        <x:v>DEFECT</x:v>
      </x:c>
      <x:c r="I44" s="93" t="str">
        <x:v>REJECT</x:v>
      </x:c>
      <x:c r="J44" s="93" t="n">
        <x:v>0</x:v>
      </x:c>
      <x:c r="K44" s="93" t="str">
        <x:v>UNTESTED</x:v>
      </x:c>
      <x:c r="L44" s="93" t="n">
        <x:v>0</x:v>
      </x:c>
      <x:c r="M44" s="93" t="str">
        <x:f>IF(J44=0,"OPEN",IF(AND(K44=I44,L44=1),"PASS","FAIL"))</x:f>
        <x:v>OPEN</x:v>
      </x:c>
      <x:c r="N44" s="95" t="str">
        <x:f>IF(AND(B44&lt;&gt;"",C44&lt;&gt;"",D44&gt;0,E44&lt;&gt;"",F44&lt;&gt;"",G44&lt;&gt;"",H44&lt;&gt;"",I44&lt;&gt;""),"PASS","FAIL")</x:f>
        <x:v>PASS</x:v>
      </x:c>
    </x:row>
    <x:row r="45" ht="32" customHeight="1">
      <x:c r="B45" s="92" t="str">
        <x:v>R2-C15</x:v>
      </x:c>
      <x:c r="C45" s="92" t="str">
        <x:v>R2</x:v>
      </x:c>
      <x:c r="D45" s="92" t="n">
        <x:v>15</x:v>
      </x:c>
      <x:c r="E45" s="93" t="str">
        <x:v>KNOWN DEFECT</x:v>
      </x:c>
      <x:c r="F45" s="93" t="str">
        <x:v>DISCLOSED</x:v>
      </x:c>
      <x:c r="G45" s="93" t="str">
        <x:v>material mismatch calibration</x:v>
      </x:c>
      <x:c r="H45" s="93" t="str">
        <x:v>DEFECT</x:v>
      </x:c>
      <x:c r="I45" s="93" t="str">
        <x:v>REJECT</x:v>
      </x:c>
      <x:c r="J45" s="93" t="n">
        <x:v>0</x:v>
      </x:c>
      <x:c r="K45" s="93" t="str">
        <x:v>UNTESTED</x:v>
      </x:c>
      <x:c r="L45" s="93" t="n">
        <x:v>0</x:v>
      </x:c>
      <x:c r="M45" s="93" t="str">
        <x:f>IF(J45=0,"OPEN",IF(AND(K45=I45,L45=1),"PASS","FAIL"))</x:f>
        <x:v>OPEN</x:v>
      </x:c>
      <x:c r="N45" s="95" t="str">
        <x:f>IF(AND(B45&lt;&gt;"",C45&lt;&gt;"",D45&gt;0,E45&lt;&gt;"",F45&lt;&gt;"",G45&lt;&gt;"",H45&lt;&gt;"",I45&lt;&gt;""),"PASS","FAIL")</x:f>
        <x:v>PASS</x:v>
      </x:c>
    </x:row>
    <x:row r="46" ht="32" customHeight="1">
      <x:c r="B46" s="92" t="str">
        <x:v>R2-C16</x:v>
      </x:c>
      <x:c r="C46" s="92" t="str">
        <x:v>R2</x:v>
      </x:c>
      <x:c r="D46" s="92" t="n">
        <x:v>16</x:v>
      </x:c>
      <x:c r="E46" s="93" t="str">
        <x:v>KNOWN DEFECT</x:v>
      </x:c>
      <x:c r="F46" s="93" t="str">
        <x:v>DISCLOSED</x:v>
      </x:c>
      <x:c r="G46" s="93" t="str">
        <x:v>process drift calibration</x:v>
      </x:c>
      <x:c r="H46" s="93" t="str">
        <x:v>DEFECT</x:v>
      </x:c>
      <x:c r="I46" s="93" t="str">
        <x:v>REJECT</x:v>
      </x:c>
      <x:c r="J46" s="93" t="n">
        <x:v>0</x:v>
      </x:c>
      <x:c r="K46" s="93" t="str">
        <x:v>UNTESTED</x:v>
      </x:c>
      <x:c r="L46" s="93" t="n">
        <x:v>0</x:v>
      </x:c>
      <x:c r="M46" s="93" t="str">
        <x:f>IF(J46=0,"OPEN",IF(AND(K46=I46,L46=1),"PASS","FAIL"))</x:f>
        <x:v>OPEN</x:v>
      </x:c>
      <x:c r="N46" s="95" t="str">
        <x:f>IF(AND(B46&lt;&gt;"",C46&lt;&gt;"",D46&gt;0,E46&lt;&gt;"",F46&lt;&gt;"",G46&lt;&gt;"",H46&lt;&gt;"",I46&lt;&gt;""),"PASS","FAIL")</x:f>
        <x:v>PASS</x:v>
      </x:c>
    </x:row>
    <x:row r="47" ht="32" customHeight="1">
      <x:c r="B47" s="92" t="str">
        <x:v>R2-C17</x:v>
      </x:c>
      <x:c r="C47" s="92" t="str">
        <x:v>R2</x:v>
      </x:c>
      <x:c r="D47" s="92" t="n">
        <x:v>17</x:v>
      </x:c>
      <x:c r="E47" s="93" t="str">
        <x:v>BLIND PHYSICAL</x:v>
      </x:c>
      <x:c r="F47" s="93" t="str">
        <x:v>SEALED</x:v>
      </x:c>
      <x:c r="G47" s="93" t="str">
        <x:v>physical defect A</x:v>
      </x:c>
      <x:c r="H47" s="93" t="str">
        <x:v>DEFECT</x:v>
      </x:c>
      <x:c r="I47" s="93" t="str">
        <x:v>REJECT</x:v>
      </x:c>
      <x:c r="J47" s="93" t="n">
        <x:v>0</x:v>
      </x:c>
      <x:c r="K47" s="93" t="str">
        <x:v>UNTESTED</x:v>
      </x:c>
      <x:c r="L47" s="93" t="n">
        <x:v>0</x:v>
      </x:c>
      <x:c r="M47" s="93" t="str">
        <x:f>IF(J47=0,"OPEN",IF(AND(K47=I47,L47=1),"PASS","FAIL"))</x:f>
        <x:v>OPEN</x:v>
      </x:c>
      <x:c r="N47" s="95" t="str">
        <x:f>IF(AND(B47&lt;&gt;"",C47&lt;&gt;"",D47&gt;0,E47&lt;&gt;"",F47&lt;&gt;"",G47&lt;&gt;"",H47&lt;&gt;"",I47&lt;&gt;""),"PASS","FAIL")</x:f>
        <x:v>PASS</x:v>
      </x:c>
    </x:row>
    <x:row r="48" ht="32" customHeight="1">
      <x:c r="B48" s="92" t="str">
        <x:v>R2-C18</x:v>
      </x:c>
      <x:c r="C48" s="92" t="str">
        <x:v>R2</x:v>
      </x:c>
      <x:c r="D48" s="92" t="n">
        <x:v>18</x:v>
      </x:c>
      <x:c r="E48" s="93" t="str">
        <x:v>BLIND PHYSICAL</x:v>
      </x:c>
      <x:c r="F48" s="93" t="str">
        <x:v>SEALED</x:v>
      </x:c>
      <x:c r="G48" s="93" t="str">
        <x:v>physical defect B</x:v>
      </x:c>
      <x:c r="H48" s="93" t="str">
        <x:v>DEFECT</x:v>
      </x:c>
      <x:c r="I48" s="93" t="str">
        <x:v>REJECT</x:v>
      </x:c>
      <x:c r="J48" s="93" t="n">
        <x:v>0</x:v>
      </x:c>
      <x:c r="K48" s="93" t="str">
        <x:v>UNTESTED</x:v>
      </x:c>
      <x:c r="L48" s="93" t="n">
        <x:v>0</x:v>
      </x:c>
      <x:c r="M48" s="93" t="str">
        <x:f>IF(J48=0,"OPEN",IF(AND(K48=I48,L48=1),"PASS","FAIL"))</x:f>
        <x:v>OPEN</x:v>
      </x:c>
      <x:c r="N48" s="95" t="str">
        <x:f>IF(AND(B48&lt;&gt;"",C48&lt;&gt;"",D48&gt;0,E48&lt;&gt;"",F48&lt;&gt;"",G48&lt;&gt;"",H48&lt;&gt;"",I48&lt;&gt;""),"PASS","FAIL")</x:f>
        <x:v>PASS</x:v>
      </x:c>
    </x:row>
    <x:row r="49" ht="32" customHeight="1">
      <x:c r="B49" s="92" t="str">
        <x:v>R2-C19</x:v>
      </x:c>
      <x:c r="C49" s="92" t="str">
        <x:v>R2</x:v>
      </x:c>
      <x:c r="D49" s="92" t="n">
        <x:v>19</x:v>
      </x:c>
      <x:c r="E49" s="93" t="str">
        <x:v>BLIND PHYSICAL</x:v>
      </x:c>
      <x:c r="F49" s="93" t="str">
        <x:v>SEALED</x:v>
      </x:c>
      <x:c r="G49" s="93" t="str">
        <x:v>physical defect C</x:v>
      </x:c>
      <x:c r="H49" s="93" t="str">
        <x:v>DEFECT</x:v>
      </x:c>
      <x:c r="I49" s="93" t="str">
        <x:v>REJECT</x:v>
      </x:c>
      <x:c r="J49" s="93" t="n">
        <x:v>0</x:v>
      </x:c>
      <x:c r="K49" s="93" t="str">
        <x:v>UNTESTED</x:v>
      </x:c>
      <x:c r="L49" s="93" t="n">
        <x:v>0</x:v>
      </x:c>
      <x:c r="M49" s="93" t="str">
        <x:f>IF(J49=0,"OPEN",IF(AND(K49=I49,L49=1),"PASS","FAIL"))</x:f>
        <x:v>OPEN</x:v>
      </x:c>
      <x:c r="N49" s="95" t="str">
        <x:f>IF(AND(B49&lt;&gt;"",C49&lt;&gt;"",D49&gt;0,E49&lt;&gt;"",F49&lt;&gt;"",G49&lt;&gt;"",H49&lt;&gt;"",I49&lt;&gt;""),"PASS","FAIL")</x:f>
        <x:v>PASS</x:v>
      </x:c>
    </x:row>
    <x:row r="50" ht="32" customHeight="1">
      <x:c r="B50" s="92" t="str">
        <x:v>R2-C20</x:v>
      </x:c>
      <x:c r="C50" s="92" t="str">
        <x:v>R2</x:v>
      </x:c>
      <x:c r="D50" s="92" t="n">
        <x:v>20</x:v>
      </x:c>
      <x:c r="E50" s="93" t="str">
        <x:v>BLIND PHYSICAL</x:v>
      </x:c>
      <x:c r="F50" s="93" t="str">
        <x:v>SEALED</x:v>
      </x:c>
      <x:c r="G50" s="93" t="str">
        <x:v>physical defect D</x:v>
      </x:c>
      <x:c r="H50" s="93" t="str">
        <x:v>DEFECT</x:v>
      </x:c>
      <x:c r="I50" s="93" t="str">
        <x:v>REJECT</x:v>
      </x:c>
      <x:c r="J50" s="93" t="n">
        <x:v>0</x:v>
      </x:c>
      <x:c r="K50" s="93" t="str">
        <x:v>UNTESTED</x:v>
      </x:c>
      <x:c r="L50" s="93" t="n">
        <x:v>0</x:v>
      </x:c>
      <x:c r="M50" s="93" t="str">
        <x:f>IF(J50=0,"OPEN",IF(AND(K50=I50,L50=1),"PASS","FAIL"))</x:f>
        <x:v>OPEN</x:v>
      </x:c>
      <x:c r="N50" s="95" t="str">
        <x:f>IF(AND(B50&lt;&gt;"",C50&lt;&gt;"",D50&gt;0,E50&lt;&gt;"",F50&lt;&gt;"",G50&lt;&gt;"",H50&lt;&gt;"",I50&lt;&gt;""),"PASS","FAIL")</x:f>
        <x:v>PASS</x:v>
      </x:c>
    </x:row>
    <x:row r="51" ht="32" customHeight="1">
      <x:c r="B51" s="92" t="str">
        <x:v>R2-C21</x:v>
      </x:c>
      <x:c r="C51" s="92" t="str">
        <x:v>R2</x:v>
      </x:c>
      <x:c r="D51" s="92" t="n">
        <x:v>21</x:v>
      </x:c>
      <x:c r="E51" s="93" t="str">
        <x:v>BLIND CONFIG</x:v>
      </x:c>
      <x:c r="F51" s="93" t="str">
        <x:v>SEALED</x:v>
      </x:c>
      <x:c r="G51" s="93" t="str">
        <x:v>material/consumable substitution</x:v>
      </x:c>
      <x:c r="H51" s="93" t="str">
        <x:v>DEFECT</x:v>
      </x:c>
      <x:c r="I51" s="93" t="str">
        <x:v>REJECT</x:v>
      </x:c>
      <x:c r="J51" s="93" t="n">
        <x:v>0</x:v>
      </x:c>
      <x:c r="K51" s="93" t="str">
        <x:v>UNTESTED</x:v>
      </x:c>
      <x:c r="L51" s="93" t="n">
        <x:v>0</x:v>
      </x:c>
      <x:c r="M51" s="93" t="str">
        <x:f>IF(J51=0,"OPEN",IF(AND(K51=I51,L51=1),"PASS","FAIL"))</x:f>
        <x:v>OPEN</x:v>
      </x:c>
      <x:c r="N51" s="95" t="str">
        <x:f>IF(AND(B51&lt;&gt;"",C51&lt;&gt;"",D51&gt;0,E51&lt;&gt;"",F51&lt;&gt;"",G51&lt;&gt;"",H51&lt;&gt;"",I51&lt;&gt;""),"PASS","FAIL")</x:f>
        <x:v>PASS</x:v>
      </x:c>
    </x:row>
    <x:row r="52" ht="32" customHeight="1">
      <x:c r="B52" s="92" t="str">
        <x:v>R2-C22</x:v>
      </x:c>
      <x:c r="C52" s="92" t="str">
        <x:v>R2</x:v>
      </x:c>
      <x:c r="D52" s="92" t="n">
        <x:v>22</x:v>
      </x:c>
      <x:c r="E52" s="93" t="str">
        <x:v>BLIND CONFIG</x:v>
      </x:c>
      <x:c r="F52" s="93" t="str">
        <x:v>SEALED</x:v>
      </x:c>
      <x:c r="G52" s="93" t="str">
        <x:v>recipe/firmware/calibration drift</x:v>
      </x:c>
      <x:c r="H52" s="93" t="str">
        <x:v>DEFECT</x:v>
      </x:c>
      <x:c r="I52" s="93" t="str">
        <x:v>REJECT</x:v>
      </x:c>
      <x:c r="J52" s="93" t="n">
        <x:v>0</x:v>
      </x:c>
      <x:c r="K52" s="93" t="str">
        <x:v>UNTESTED</x:v>
      </x:c>
      <x:c r="L52" s="93" t="n">
        <x:v>0</x:v>
      </x:c>
      <x:c r="M52" s="93" t="str">
        <x:f>IF(J52=0,"OPEN",IF(AND(K52=I52,L52=1),"PASS","FAIL"))</x:f>
        <x:v>OPEN</x:v>
      </x:c>
      <x:c r="N52" s="95" t="str">
        <x:f>IF(AND(B52&lt;&gt;"",C52&lt;&gt;"",D52&gt;0,E52&lt;&gt;"",F52&lt;&gt;"",G52&lt;&gt;"",H52&lt;&gt;"",I52&lt;&gt;""),"PASS","FAIL")</x:f>
        <x:v>PASS</x:v>
      </x:c>
    </x:row>
    <x:row r="53" ht="32" customHeight="1">
      <x:c r="B53" s="92" t="str">
        <x:v>R2-C23</x:v>
      </x:c>
      <x:c r="C53" s="92" t="str">
        <x:v>R2</x:v>
      </x:c>
      <x:c r="D53" s="92" t="n">
        <x:v>23</x:v>
      </x:c>
      <x:c r="E53" s="93" t="str">
        <x:v>BLIND CLEAN</x:v>
      </x:c>
      <x:c r="F53" s="93" t="str">
        <x:v>SEALED</x:v>
      </x:c>
      <x:c r="G53" s="93" t="str">
        <x:v>clean blind control A</x:v>
      </x:c>
      <x:c r="H53" s="93" t="str">
        <x:v>CLEAN</x:v>
      </x:c>
      <x:c r="I53" s="93" t="str">
        <x:v>ACCEPT</x:v>
      </x:c>
      <x:c r="J53" s="93" t="n">
        <x:v>0</x:v>
      </x:c>
      <x:c r="K53" s="93" t="str">
        <x:v>UNTESTED</x:v>
      </x:c>
      <x:c r="L53" s="93" t="n">
        <x:v>0</x:v>
      </x:c>
      <x:c r="M53" s="93" t="str">
        <x:f>IF(J53=0,"OPEN",IF(AND(K53=I53,L53=1),"PASS","FAIL"))</x:f>
        <x:v>OPEN</x:v>
      </x:c>
      <x:c r="N53" s="95" t="str">
        <x:f>IF(AND(B53&lt;&gt;"",C53&lt;&gt;"",D53&gt;0,E53&lt;&gt;"",F53&lt;&gt;"",G53&lt;&gt;"",H53&lt;&gt;"",I53&lt;&gt;""),"PASS","FAIL")</x:f>
        <x:v>PASS</x:v>
      </x:c>
    </x:row>
    <x:row r="54" ht="32" customHeight="1">
      <x:c r="B54" s="92" t="str">
        <x:v>R2-C24</x:v>
      </x:c>
      <x:c r="C54" s="92" t="str">
        <x:v>R2</x:v>
      </x:c>
      <x:c r="D54" s="92" t="n">
        <x:v>24</x:v>
      </x:c>
      <x:c r="E54" s="93" t="str">
        <x:v>BLIND CLEAN</x:v>
      </x:c>
      <x:c r="F54" s="93" t="str">
        <x:v>SEALED</x:v>
      </x:c>
      <x:c r="G54" s="93" t="str">
        <x:v>clean blind control B</x:v>
      </x:c>
      <x:c r="H54" s="93" t="str">
        <x:v>CLEAN</x:v>
      </x:c>
      <x:c r="I54" s="93" t="str">
        <x:v>ACCEPT</x:v>
      </x:c>
      <x:c r="J54" s="93" t="n">
        <x:v>0</x:v>
      </x:c>
      <x:c r="K54" s="93" t="str">
        <x:v>UNTESTED</x:v>
      </x:c>
      <x:c r="L54" s="93" t="n">
        <x:v>0</x:v>
      </x:c>
      <x:c r="M54" s="93" t="str">
        <x:f>IF(J54=0,"OPEN",IF(AND(K54=I54,L54=1),"PASS","FAIL"))</x:f>
        <x:v>OPEN</x:v>
      </x:c>
      <x:c r="N54" s="95" t="str">
        <x:f>IF(AND(B54&lt;&gt;"",C54&lt;&gt;"",D54&gt;0,E54&lt;&gt;"",F54&lt;&gt;"",G54&lt;&gt;"",H54&lt;&gt;"",I54&lt;&gt;""),"PASS","FAIL")</x:f>
        <x:v>PASS</x:v>
      </x:c>
    </x:row>
    <x:row r="55" ht="32" customHeight="1">
      <x:c r="B55" s="92" t="str">
        <x:v>R3-C01</x:v>
      </x:c>
      <x:c r="C55" s="92" t="str">
        <x:v>R3</x:v>
      </x:c>
      <x:c r="D55" s="92" t="n">
        <x:v>1</x:v>
      </x:c>
      <x:c r="E55" s="93" t="str">
        <x:v>PROCESS WINDOW</x:v>
      </x:c>
      <x:c r="F55" s="93" t="str">
        <x:v>DECLARED</x:v>
      </x:c>
      <x:c r="G55" s="93" t="str">
        <x:v>low-margin; cold; clean</x:v>
      </x:c>
      <x:c r="H55" s="93" t="str">
        <x:v>CLEAN</x:v>
      </x:c>
      <x:c r="I55" s="93" t="str">
        <x:v>ACCEPT</x:v>
      </x:c>
      <x:c r="J55" s="93" t="n">
        <x:v>0</x:v>
      </x:c>
      <x:c r="K55" s="93" t="str">
        <x:v>UNTESTED</x:v>
      </x:c>
      <x:c r="L55" s="93" t="n">
        <x:v>0</x:v>
      </x:c>
      <x:c r="M55" s="93" t="str">
        <x:f>IF(J55=0,"OPEN",IF(AND(K55=I55,L55=1),"PASS","FAIL"))</x:f>
        <x:v>OPEN</x:v>
      </x:c>
      <x:c r="N55" s="95" t="str">
        <x:f>IF(AND(B55&lt;&gt;"",C55&lt;&gt;"",D55&gt;0,E55&lt;&gt;"",F55&lt;&gt;"",G55&lt;&gt;"",H55&lt;&gt;"",I55&lt;&gt;""),"PASS","FAIL")</x:f>
        <x:v>PASS</x:v>
      </x:c>
    </x:row>
    <x:row r="56" ht="32" customHeight="1">
      <x:c r="B56" s="92" t="str">
        <x:v>R3-C02</x:v>
      </x:c>
      <x:c r="C56" s="92" t="str">
        <x:v>R3</x:v>
      </x:c>
      <x:c r="D56" s="92" t="n">
        <x:v>2</x:v>
      </x:c>
      <x:c r="E56" s="93" t="str">
        <x:v>PROCESS WINDOW</x:v>
      </x:c>
      <x:c r="F56" s="93" t="str">
        <x:v>DECLARED</x:v>
      </x:c>
      <x:c r="G56" s="93" t="str">
        <x:v>low-margin; hot; clean</x:v>
      </x:c>
      <x:c r="H56" s="93" t="str">
        <x:v>CLEAN</x:v>
      </x:c>
      <x:c r="I56" s="93" t="str">
        <x:v>ACCEPT</x:v>
      </x:c>
      <x:c r="J56" s="93" t="n">
        <x:v>0</x:v>
      </x:c>
      <x:c r="K56" s="93" t="str">
        <x:v>UNTESTED</x:v>
      </x:c>
      <x:c r="L56" s="93" t="n">
        <x:v>0</x:v>
      </x:c>
      <x:c r="M56" s="93" t="str">
        <x:f>IF(J56=0,"OPEN",IF(AND(K56=I56,L56=1),"PASS","FAIL"))</x:f>
        <x:v>OPEN</x:v>
      </x:c>
      <x:c r="N56" s="95" t="str">
        <x:f>IF(AND(B56&lt;&gt;"",C56&lt;&gt;"",D56&gt;0,E56&lt;&gt;"",F56&lt;&gt;"",G56&lt;&gt;"",H56&lt;&gt;"",I56&lt;&gt;""),"PASS","FAIL")</x:f>
        <x:v>PASS</x:v>
      </x:c>
    </x:row>
    <x:row r="57" ht="32" customHeight="1">
      <x:c r="B57" s="92" t="str">
        <x:v>R3-C03</x:v>
      </x:c>
      <x:c r="C57" s="92" t="str">
        <x:v>R3</x:v>
      </x:c>
      <x:c r="D57" s="92" t="n">
        <x:v>3</x:v>
      </x:c>
      <x:c r="E57" s="93" t="str">
        <x:v>PROCESS WINDOW</x:v>
      </x:c>
      <x:c r="F57" s="93" t="str">
        <x:v>DECLARED</x:v>
      </x:c>
      <x:c r="G57" s="93" t="str">
        <x:v>low-margin; nominal; wet</x:v>
      </x:c>
      <x:c r="H57" s="93" t="str">
        <x:v>CLEAN</x:v>
      </x:c>
      <x:c r="I57" s="93" t="str">
        <x:v>ACCEPT</x:v>
      </x:c>
      <x:c r="J57" s="93" t="n">
        <x:v>0</x:v>
      </x:c>
      <x:c r="K57" s="93" t="str">
        <x:v>UNTESTED</x:v>
      </x:c>
      <x:c r="L57" s="93" t="n">
        <x:v>0</x:v>
      </x:c>
      <x:c r="M57" s="93" t="str">
        <x:f>IF(J57=0,"OPEN",IF(AND(K57=I57,L57=1),"PASS","FAIL"))</x:f>
        <x:v>OPEN</x:v>
      </x:c>
      <x:c r="N57" s="95" t="str">
        <x:f>IF(AND(B57&lt;&gt;"",C57&lt;&gt;"",D57&gt;0,E57&lt;&gt;"",F57&lt;&gt;"",G57&lt;&gt;"",H57&lt;&gt;"",I57&lt;&gt;""),"PASS","FAIL")</x:f>
        <x:v>PASS</x:v>
      </x:c>
    </x:row>
    <x:row r="58" ht="32" customHeight="1">
      <x:c r="B58" s="92" t="str">
        <x:v>R3-C04</x:v>
      </x:c>
      <x:c r="C58" s="92" t="str">
        <x:v>R3</x:v>
      </x:c>
      <x:c r="D58" s="92" t="n">
        <x:v>4</x:v>
      </x:c>
      <x:c r="E58" s="93" t="str">
        <x:v>PROCESS WINDOW</x:v>
      </x:c>
      <x:c r="F58" s="93" t="str">
        <x:v>DECLARED</x:v>
      </x:c>
      <x:c r="G58" s="93" t="str">
        <x:v>low-margin; nominal; soil-prepared</x:v>
      </x:c>
      <x:c r="H58" s="93" t="str">
        <x:v>CLEAN</x:v>
      </x:c>
      <x:c r="I58" s="93" t="str">
        <x:v>ACCEPT</x:v>
      </x:c>
      <x:c r="J58" s="93" t="n">
        <x:v>0</x:v>
      </x:c>
      <x:c r="K58" s="93" t="str">
        <x:v>UNTESTED</x:v>
      </x:c>
      <x:c r="L58" s="93" t="n">
        <x:v>0</x:v>
      </x:c>
      <x:c r="M58" s="93" t="str">
        <x:f>IF(J58=0,"OPEN",IF(AND(K58=I58,L58=1),"PASS","FAIL"))</x:f>
        <x:v>OPEN</x:v>
      </x:c>
      <x:c r="N58" s="95" t="str">
        <x:f>IF(AND(B58&lt;&gt;"",C58&lt;&gt;"",D58&gt;0,E58&lt;&gt;"",F58&lt;&gt;"",G58&lt;&gt;"",H58&lt;&gt;"",I58&lt;&gt;""),"PASS","FAIL")</x:f>
        <x:v>PASS</x:v>
      </x:c>
    </x:row>
    <x:row r="59" ht="32" customHeight="1">
      <x:c r="B59" s="92" t="str">
        <x:v>R3-C05</x:v>
      </x:c>
      <x:c r="C59" s="92" t="str">
        <x:v>R3</x:v>
      </x:c>
      <x:c r="D59" s="92" t="n">
        <x:v>5</x:v>
      </x:c>
      <x:c r="E59" s="93" t="str">
        <x:v>PROCESS WINDOW</x:v>
      </x:c>
      <x:c r="F59" s="93" t="str">
        <x:v>DECLARED</x:v>
      </x:c>
      <x:c r="G59" s="93" t="str">
        <x:v>nominal; cold; clean</x:v>
      </x:c>
      <x:c r="H59" s="93" t="str">
        <x:v>CLEAN</x:v>
      </x:c>
      <x:c r="I59" s="93" t="str">
        <x:v>ACCEPT</x:v>
      </x:c>
      <x:c r="J59" s="93" t="n">
        <x:v>0</x:v>
      </x:c>
      <x:c r="K59" s="93" t="str">
        <x:v>UNTESTED</x:v>
      </x:c>
      <x:c r="L59" s="93" t="n">
        <x:v>0</x:v>
      </x:c>
      <x:c r="M59" s="93" t="str">
        <x:f>IF(J59=0,"OPEN",IF(AND(K59=I59,L59=1),"PASS","FAIL"))</x:f>
        <x:v>OPEN</x:v>
      </x:c>
      <x:c r="N59" s="95" t="str">
        <x:f>IF(AND(B59&lt;&gt;"",C59&lt;&gt;"",D59&gt;0,E59&lt;&gt;"",F59&lt;&gt;"",G59&lt;&gt;"",H59&lt;&gt;"",I59&lt;&gt;""),"PASS","FAIL")</x:f>
        <x:v>PASS</x:v>
      </x:c>
    </x:row>
    <x:row r="60" ht="32" customHeight="1">
      <x:c r="B60" s="92" t="str">
        <x:v>R3-C06</x:v>
      </x:c>
      <x:c r="C60" s="92" t="str">
        <x:v>R3</x:v>
      </x:c>
      <x:c r="D60" s="92" t="n">
        <x:v>6</x:v>
      </x:c>
      <x:c r="E60" s="93" t="str">
        <x:v>PROCESS WINDOW</x:v>
      </x:c>
      <x:c r="F60" s="93" t="str">
        <x:v>DECLARED</x:v>
      </x:c>
      <x:c r="G60" s="93" t="str">
        <x:v>nominal; hot; clean</x:v>
      </x:c>
      <x:c r="H60" s="93" t="str">
        <x:v>CLEAN</x:v>
      </x:c>
      <x:c r="I60" s="93" t="str">
        <x:v>ACCEPT</x:v>
      </x:c>
      <x:c r="J60" s="93" t="n">
        <x:v>0</x:v>
      </x:c>
      <x:c r="K60" s="93" t="str">
        <x:v>UNTESTED</x:v>
      </x:c>
      <x:c r="L60" s="93" t="n">
        <x:v>0</x:v>
      </x:c>
      <x:c r="M60" s="93" t="str">
        <x:f>IF(J60=0,"OPEN",IF(AND(K60=I60,L60=1),"PASS","FAIL"))</x:f>
        <x:v>OPEN</x:v>
      </x:c>
      <x:c r="N60" s="95" t="str">
        <x:f>IF(AND(B60&lt;&gt;"",C60&lt;&gt;"",D60&gt;0,E60&lt;&gt;"",F60&lt;&gt;"",G60&lt;&gt;"",H60&lt;&gt;"",I60&lt;&gt;""),"PASS","FAIL")</x:f>
        <x:v>PASS</x:v>
      </x:c>
    </x:row>
    <x:row r="61" ht="32" customHeight="1">
      <x:c r="B61" s="92" t="str">
        <x:v>R3-C07</x:v>
      </x:c>
      <x:c r="C61" s="92" t="str">
        <x:v>R3</x:v>
      </x:c>
      <x:c r="D61" s="92" t="n">
        <x:v>7</x:v>
      </x:c>
      <x:c r="E61" s="93" t="str">
        <x:v>PROCESS WINDOW</x:v>
      </x:c>
      <x:c r="F61" s="93" t="str">
        <x:v>DECLARED</x:v>
      </x:c>
      <x:c r="G61" s="93" t="str">
        <x:v>nominal; nominal; wet</x:v>
      </x:c>
      <x:c r="H61" s="93" t="str">
        <x:v>CLEAN</x:v>
      </x:c>
      <x:c r="I61" s="93" t="str">
        <x:v>ACCEPT</x:v>
      </x:c>
      <x:c r="J61" s="93" t="n">
        <x:v>0</x:v>
      </x:c>
      <x:c r="K61" s="93" t="str">
        <x:v>UNTESTED</x:v>
      </x:c>
      <x:c r="L61" s="93" t="n">
        <x:v>0</x:v>
      </x:c>
      <x:c r="M61" s="93" t="str">
        <x:f>IF(J61=0,"OPEN",IF(AND(K61=I61,L61=1),"PASS","FAIL"))</x:f>
        <x:v>OPEN</x:v>
      </x:c>
      <x:c r="N61" s="95" t="str">
        <x:f>IF(AND(B61&lt;&gt;"",C61&lt;&gt;"",D61&gt;0,E61&lt;&gt;"",F61&lt;&gt;"",G61&lt;&gt;"",H61&lt;&gt;"",I61&lt;&gt;""),"PASS","FAIL")</x:f>
        <x:v>PASS</x:v>
      </x:c>
    </x:row>
    <x:row r="62" ht="32" customHeight="1">
      <x:c r="B62" s="92" t="str">
        <x:v>R3-C08</x:v>
      </x:c>
      <x:c r="C62" s="92" t="str">
        <x:v>R3</x:v>
      </x:c>
      <x:c r="D62" s="92" t="n">
        <x:v>8</x:v>
      </x:c>
      <x:c r="E62" s="93" t="str">
        <x:v>PROCESS WINDOW</x:v>
      </x:c>
      <x:c r="F62" s="93" t="str">
        <x:v>DECLARED</x:v>
      </x:c>
      <x:c r="G62" s="93" t="str">
        <x:v>nominal; nominal; soil-prepared</x:v>
      </x:c>
      <x:c r="H62" s="93" t="str">
        <x:v>CLEAN</x:v>
      </x:c>
      <x:c r="I62" s="93" t="str">
        <x:v>ACCEPT</x:v>
      </x:c>
      <x:c r="J62" s="93" t="n">
        <x:v>0</x:v>
      </x:c>
      <x:c r="K62" s="93" t="str">
        <x:v>UNTESTED</x:v>
      </x:c>
      <x:c r="L62" s="93" t="n">
        <x:v>0</x:v>
      </x:c>
      <x:c r="M62" s="93" t="str">
        <x:f>IF(J62=0,"OPEN",IF(AND(K62=I62,L62=1),"PASS","FAIL"))</x:f>
        <x:v>OPEN</x:v>
      </x:c>
      <x:c r="N62" s="95" t="str">
        <x:f>IF(AND(B62&lt;&gt;"",C62&lt;&gt;"",D62&gt;0,E62&lt;&gt;"",F62&lt;&gt;"",G62&lt;&gt;"",H62&lt;&gt;"",I62&lt;&gt;""),"PASS","FAIL")</x:f>
        <x:v>PASS</x:v>
      </x:c>
    </x:row>
    <x:row r="63" ht="32" customHeight="1">
      <x:c r="B63" s="92" t="str">
        <x:v>R3-C09</x:v>
      </x:c>
      <x:c r="C63" s="92" t="str">
        <x:v>R3</x:v>
      </x:c>
      <x:c r="D63" s="92" t="n">
        <x:v>9</x:v>
      </x:c>
      <x:c r="E63" s="93" t="str">
        <x:v>PROCESS WINDOW</x:v>
      </x:c>
      <x:c r="F63" s="93" t="str">
        <x:v>DECLARED</x:v>
      </x:c>
      <x:c r="G63" s="93" t="str">
        <x:v>high-process; cold; clean</x:v>
      </x:c>
      <x:c r="H63" s="93" t="str">
        <x:v>CLEAN</x:v>
      </x:c>
      <x:c r="I63" s="93" t="str">
        <x:v>ACCEPT</x:v>
      </x:c>
      <x:c r="J63" s="93" t="n">
        <x:v>0</x:v>
      </x:c>
      <x:c r="K63" s="93" t="str">
        <x:v>UNTESTED</x:v>
      </x:c>
      <x:c r="L63" s="93" t="n">
        <x:v>0</x:v>
      </x:c>
      <x:c r="M63" s="93" t="str">
        <x:f>IF(J63=0,"OPEN",IF(AND(K63=I63,L63=1),"PASS","FAIL"))</x:f>
        <x:v>OPEN</x:v>
      </x:c>
      <x:c r="N63" s="95" t="str">
        <x:f>IF(AND(B63&lt;&gt;"",C63&lt;&gt;"",D63&gt;0,E63&lt;&gt;"",F63&lt;&gt;"",G63&lt;&gt;"",H63&lt;&gt;"",I63&lt;&gt;""),"PASS","FAIL")</x:f>
        <x:v>PASS</x:v>
      </x:c>
    </x:row>
    <x:row r="64" ht="32" customHeight="1">
      <x:c r="B64" s="92" t="str">
        <x:v>R3-C10</x:v>
      </x:c>
      <x:c r="C64" s="92" t="str">
        <x:v>R3</x:v>
      </x:c>
      <x:c r="D64" s="92" t="n">
        <x:v>10</x:v>
      </x:c>
      <x:c r="E64" s="93" t="str">
        <x:v>PROCESS WINDOW</x:v>
      </x:c>
      <x:c r="F64" s="93" t="str">
        <x:v>DECLARED</x:v>
      </x:c>
      <x:c r="G64" s="93" t="str">
        <x:v>high-process; hot; clean</x:v>
      </x:c>
      <x:c r="H64" s="93" t="str">
        <x:v>CLEAN</x:v>
      </x:c>
      <x:c r="I64" s="93" t="str">
        <x:v>ACCEPT</x:v>
      </x:c>
      <x:c r="J64" s="93" t="n">
        <x:v>0</x:v>
      </x:c>
      <x:c r="K64" s="93" t="str">
        <x:v>UNTESTED</x:v>
      </x:c>
      <x:c r="L64" s="93" t="n">
        <x:v>0</x:v>
      </x:c>
      <x:c r="M64" s="93" t="str">
        <x:f>IF(J64=0,"OPEN",IF(AND(K64=I64,L64=1),"PASS","FAIL"))</x:f>
        <x:v>OPEN</x:v>
      </x:c>
      <x:c r="N64" s="95" t="str">
        <x:f>IF(AND(B64&lt;&gt;"",C64&lt;&gt;"",D64&gt;0,E64&lt;&gt;"",F64&lt;&gt;"",G64&lt;&gt;"",H64&lt;&gt;"",I64&lt;&gt;""),"PASS","FAIL")</x:f>
        <x:v>PASS</x:v>
      </x:c>
    </x:row>
    <x:row r="65" ht="32" customHeight="1">
      <x:c r="B65" s="92" t="str">
        <x:v>R3-C11</x:v>
      </x:c>
      <x:c r="C65" s="92" t="str">
        <x:v>R3</x:v>
      </x:c>
      <x:c r="D65" s="92" t="n">
        <x:v>11</x:v>
      </x:c>
      <x:c r="E65" s="93" t="str">
        <x:v>PROCESS WINDOW</x:v>
      </x:c>
      <x:c r="F65" s="93" t="str">
        <x:v>DECLARED</x:v>
      </x:c>
      <x:c r="G65" s="93" t="str">
        <x:v>high-process; nominal; wet</x:v>
      </x:c>
      <x:c r="H65" s="93" t="str">
        <x:v>CLEAN</x:v>
      </x:c>
      <x:c r="I65" s="93" t="str">
        <x:v>ACCEPT</x:v>
      </x:c>
      <x:c r="J65" s="93" t="n">
        <x:v>0</x:v>
      </x:c>
      <x:c r="K65" s="93" t="str">
        <x:v>UNTESTED</x:v>
      </x:c>
      <x:c r="L65" s="93" t="n">
        <x:v>0</x:v>
      </x:c>
      <x:c r="M65" s="93" t="str">
        <x:f>IF(J65=0,"OPEN",IF(AND(K65=I65,L65=1),"PASS","FAIL"))</x:f>
        <x:v>OPEN</x:v>
      </x:c>
      <x:c r="N65" s="95" t="str">
        <x:f>IF(AND(B65&lt;&gt;"",C65&lt;&gt;"",D65&gt;0,E65&lt;&gt;"",F65&lt;&gt;"",G65&lt;&gt;"",H65&lt;&gt;"",I65&lt;&gt;""),"PASS","FAIL")</x:f>
        <x:v>PASS</x:v>
      </x:c>
    </x:row>
    <x:row r="66" ht="32" customHeight="1">
      <x:c r="B66" s="92" t="str">
        <x:v>R3-C12</x:v>
      </x:c>
      <x:c r="C66" s="92" t="str">
        <x:v>R3</x:v>
      </x:c>
      <x:c r="D66" s="92" t="n">
        <x:v>12</x:v>
      </x:c>
      <x:c r="E66" s="93" t="str">
        <x:v>PROCESS WINDOW</x:v>
      </x:c>
      <x:c r="F66" s="93" t="str">
        <x:v>DECLARED</x:v>
      </x:c>
      <x:c r="G66" s="93" t="str">
        <x:v>high-process; nominal; soil-prepared</x:v>
      </x:c>
      <x:c r="H66" s="93" t="str">
        <x:v>CLEAN</x:v>
      </x:c>
      <x:c r="I66" s="93" t="str">
        <x:v>ACCEPT</x:v>
      </x:c>
      <x:c r="J66" s="93" t="n">
        <x:v>0</x:v>
      </x:c>
      <x:c r="K66" s="93" t="str">
        <x:v>UNTESTED</x:v>
      </x:c>
      <x:c r="L66" s="93" t="n">
        <x:v>0</x:v>
      </x:c>
      <x:c r="M66" s="93" t="str">
        <x:f>IF(J66=0,"OPEN",IF(AND(K66=I66,L66=1),"PASS","FAIL"))</x:f>
        <x:v>OPEN</x:v>
      </x:c>
      <x:c r="N66" s="95" t="str">
        <x:f>IF(AND(B66&lt;&gt;"",C66&lt;&gt;"",D66&gt;0,E66&lt;&gt;"",F66&lt;&gt;"",G66&lt;&gt;"",H66&lt;&gt;"",I66&lt;&gt;""),"PASS","FAIL")</x:f>
        <x:v>PASS</x:v>
      </x:c>
    </x:row>
    <x:row r="67" ht="32" customHeight="1">
      <x:c r="B67" s="92" t="str">
        <x:v>R3-C13</x:v>
      </x:c>
      <x:c r="C67" s="92" t="str">
        <x:v>R3</x:v>
      </x:c>
      <x:c r="D67" s="92" t="n">
        <x:v>13</x:v>
      </x:c>
      <x:c r="E67" s="93" t="str">
        <x:v>KNOWN DEFECT</x:v>
      </x:c>
      <x:c r="F67" s="93" t="str">
        <x:v>DISCLOSED</x:v>
      </x:c>
      <x:c r="G67" s="93" t="str">
        <x:v>incomplete formation calibration</x:v>
      </x:c>
      <x:c r="H67" s="93" t="str">
        <x:v>DEFECT</x:v>
      </x:c>
      <x:c r="I67" s="93" t="str">
        <x:v>REJECT</x:v>
      </x:c>
      <x:c r="J67" s="93" t="n">
        <x:v>0</x:v>
      </x:c>
      <x:c r="K67" s="93" t="str">
        <x:v>UNTESTED</x:v>
      </x:c>
      <x:c r="L67" s="93" t="n">
        <x:v>0</x:v>
      </x:c>
      <x:c r="M67" s="93" t="str">
        <x:f>IF(J67=0,"OPEN",IF(AND(K67=I67,L67=1),"PASS","FAIL"))</x:f>
        <x:v>OPEN</x:v>
      </x:c>
      <x:c r="N67" s="95" t="str">
        <x:f>IF(AND(B67&lt;&gt;"",C67&lt;&gt;"",D67&gt;0,E67&lt;&gt;"",F67&lt;&gt;"",G67&lt;&gt;"",H67&lt;&gt;"",I67&lt;&gt;""),"PASS","FAIL")</x:f>
        <x:v>PASS</x:v>
      </x:c>
    </x:row>
    <x:row r="68" ht="32" customHeight="1">
      <x:c r="B68" s="92" t="str">
        <x:v>R3-C14</x:v>
      </x:c>
      <x:c r="C68" s="92" t="str">
        <x:v>R3</x:v>
      </x:c>
      <x:c r="D68" s="92" t="n">
        <x:v>14</x:v>
      </x:c>
      <x:c r="E68" s="93" t="str">
        <x:v>KNOWN DEFECT</x:v>
      </x:c>
      <x:c r="F68" s="93" t="str">
        <x:v>DISCLOSED</x:v>
      </x:c>
      <x:c r="G68" s="93" t="str">
        <x:v>microchannel calibration</x:v>
      </x:c>
      <x:c r="H68" s="93" t="str">
        <x:v>DEFECT</x:v>
      </x:c>
      <x:c r="I68" s="93" t="str">
        <x:v>REJECT</x:v>
      </x:c>
      <x:c r="J68" s="93" t="n">
        <x:v>0</x:v>
      </x:c>
      <x:c r="K68" s="93" t="str">
        <x:v>UNTESTED</x:v>
      </x:c>
      <x:c r="L68" s="93" t="n">
        <x:v>0</x:v>
      </x:c>
      <x:c r="M68" s="93" t="str">
        <x:f>IF(J68=0,"OPEN",IF(AND(K68=I68,L68=1),"PASS","FAIL"))</x:f>
        <x:v>OPEN</x:v>
      </x:c>
      <x:c r="N68" s="95" t="str">
        <x:f>IF(AND(B68&lt;&gt;"",C68&lt;&gt;"",D68&gt;0,E68&lt;&gt;"",F68&lt;&gt;"",G68&lt;&gt;"",H68&lt;&gt;"",I68&lt;&gt;""),"PASS","FAIL")</x:f>
        <x:v>PASS</x:v>
      </x:c>
    </x:row>
    <x:row r="69" ht="32" customHeight="1">
      <x:c r="B69" s="92" t="str">
        <x:v>R3-C15</x:v>
      </x:c>
      <x:c r="C69" s="92" t="str">
        <x:v>R3</x:v>
      </x:c>
      <x:c r="D69" s="92" t="n">
        <x:v>15</x:v>
      </x:c>
      <x:c r="E69" s="93" t="str">
        <x:v>KNOWN DEFECT</x:v>
      </x:c>
      <x:c r="F69" s="93" t="str">
        <x:v>DISCLOSED</x:v>
      </x:c>
      <x:c r="G69" s="93" t="str">
        <x:v>material mismatch calibration</x:v>
      </x:c>
      <x:c r="H69" s="93" t="str">
        <x:v>DEFECT</x:v>
      </x:c>
      <x:c r="I69" s="93" t="str">
        <x:v>REJECT</x:v>
      </x:c>
      <x:c r="J69" s="93" t="n">
        <x:v>0</x:v>
      </x:c>
      <x:c r="K69" s="93" t="str">
        <x:v>UNTESTED</x:v>
      </x:c>
      <x:c r="L69" s="93" t="n">
        <x:v>0</x:v>
      </x:c>
      <x:c r="M69" s="93" t="str">
        <x:f>IF(J69=0,"OPEN",IF(AND(K69=I69,L69=1),"PASS","FAIL"))</x:f>
        <x:v>OPEN</x:v>
      </x:c>
      <x:c r="N69" s="95" t="str">
        <x:f>IF(AND(B69&lt;&gt;"",C69&lt;&gt;"",D69&gt;0,E69&lt;&gt;"",F69&lt;&gt;"",G69&lt;&gt;"",H69&lt;&gt;"",I69&lt;&gt;""),"PASS","FAIL")</x:f>
        <x:v>PASS</x:v>
      </x:c>
    </x:row>
    <x:row r="70" ht="32" customHeight="1">
      <x:c r="B70" s="92" t="str">
        <x:v>R3-C16</x:v>
      </x:c>
      <x:c r="C70" s="92" t="str">
        <x:v>R3</x:v>
      </x:c>
      <x:c r="D70" s="92" t="n">
        <x:v>16</x:v>
      </x:c>
      <x:c r="E70" s="93" t="str">
        <x:v>KNOWN DEFECT</x:v>
      </x:c>
      <x:c r="F70" s="93" t="str">
        <x:v>DISCLOSED</x:v>
      </x:c>
      <x:c r="G70" s="93" t="str">
        <x:v>process drift calibration</x:v>
      </x:c>
      <x:c r="H70" s="93" t="str">
        <x:v>DEFECT</x:v>
      </x:c>
      <x:c r="I70" s="93" t="str">
        <x:v>REJECT</x:v>
      </x:c>
      <x:c r="J70" s="93" t="n">
        <x:v>0</x:v>
      </x:c>
      <x:c r="K70" s="93" t="str">
        <x:v>UNTESTED</x:v>
      </x:c>
      <x:c r="L70" s="93" t="n">
        <x:v>0</x:v>
      </x:c>
      <x:c r="M70" s="93" t="str">
        <x:f>IF(J70=0,"OPEN",IF(AND(K70=I70,L70=1),"PASS","FAIL"))</x:f>
        <x:v>OPEN</x:v>
      </x:c>
      <x:c r="N70" s="95" t="str">
        <x:f>IF(AND(B70&lt;&gt;"",C70&lt;&gt;"",D70&gt;0,E70&lt;&gt;"",F70&lt;&gt;"",G70&lt;&gt;"",H70&lt;&gt;"",I70&lt;&gt;""),"PASS","FAIL")</x:f>
        <x:v>PASS</x:v>
      </x:c>
    </x:row>
    <x:row r="71" ht="32" customHeight="1">
      <x:c r="B71" s="92" t="str">
        <x:v>R3-C17</x:v>
      </x:c>
      <x:c r="C71" s="92" t="str">
        <x:v>R3</x:v>
      </x:c>
      <x:c r="D71" s="92" t="n">
        <x:v>17</x:v>
      </x:c>
      <x:c r="E71" s="93" t="str">
        <x:v>BLIND PHYSICAL</x:v>
      </x:c>
      <x:c r="F71" s="93" t="str">
        <x:v>SEALED</x:v>
      </x:c>
      <x:c r="G71" s="93" t="str">
        <x:v>physical defect A</x:v>
      </x:c>
      <x:c r="H71" s="93" t="str">
        <x:v>DEFECT</x:v>
      </x:c>
      <x:c r="I71" s="93" t="str">
        <x:v>REJECT</x:v>
      </x:c>
      <x:c r="J71" s="93" t="n">
        <x:v>0</x:v>
      </x:c>
      <x:c r="K71" s="93" t="str">
        <x:v>UNTESTED</x:v>
      </x:c>
      <x:c r="L71" s="93" t="n">
        <x:v>0</x:v>
      </x:c>
      <x:c r="M71" s="93" t="str">
        <x:f>IF(J71=0,"OPEN",IF(AND(K71=I71,L71=1),"PASS","FAIL"))</x:f>
        <x:v>OPEN</x:v>
      </x:c>
      <x:c r="N71" s="95" t="str">
        <x:f>IF(AND(B71&lt;&gt;"",C71&lt;&gt;"",D71&gt;0,E71&lt;&gt;"",F71&lt;&gt;"",G71&lt;&gt;"",H71&lt;&gt;"",I71&lt;&gt;""),"PASS","FAIL")</x:f>
        <x:v>PASS</x:v>
      </x:c>
    </x:row>
    <x:row r="72" ht="32" customHeight="1">
      <x:c r="B72" s="92" t="str">
        <x:v>R3-C18</x:v>
      </x:c>
      <x:c r="C72" s="92" t="str">
        <x:v>R3</x:v>
      </x:c>
      <x:c r="D72" s="92" t="n">
        <x:v>18</x:v>
      </x:c>
      <x:c r="E72" s="93" t="str">
        <x:v>BLIND PHYSICAL</x:v>
      </x:c>
      <x:c r="F72" s="93" t="str">
        <x:v>SEALED</x:v>
      </x:c>
      <x:c r="G72" s="93" t="str">
        <x:v>physical defect B</x:v>
      </x:c>
      <x:c r="H72" s="93" t="str">
        <x:v>DEFECT</x:v>
      </x:c>
      <x:c r="I72" s="93" t="str">
        <x:v>REJECT</x:v>
      </x:c>
      <x:c r="J72" s="93" t="n">
        <x:v>0</x:v>
      </x:c>
      <x:c r="K72" s="93" t="str">
        <x:v>UNTESTED</x:v>
      </x:c>
      <x:c r="L72" s="93" t="n">
        <x:v>0</x:v>
      </x:c>
      <x:c r="M72" s="93" t="str">
        <x:f>IF(J72=0,"OPEN",IF(AND(K72=I72,L72=1),"PASS","FAIL"))</x:f>
        <x:v>OPEN</x:v>
      </x:c>
      <x:c r="N72" s="95" t="str">
        <x:f>IF(AND(B72&lt;&gt;"",C72&lt;&gt;"",D72&gt;0,E72&lt;&gt;"",F72&lt;&gt;"",G72&lt;&gt;"",H72&lt;&gt;"",I72&lt;&gt;""),"PASS","FAIL")</x:f>
        <x:v>PASS</x:v>
      </x:c>
    </x:row>
    <x:row r="73" ht="32" customHeight="1">
      <x:c r="B73" s="92" t="str">
        <x:v>R3-C19</x:v>
      </x:c>
      <x:c r="C73" s="92" t="str">
        <x:v>R3</x:v>
      </x:c>
      <x:c r="D73" s="92" t="n">
        <x:v>19</x:v>
      </x:c>
      <x:c r="E73" s="93" t="str">
        <x:v>BLIND PHYSICAL</x:v>
      </x:c>
      <x:c r="F73" s="93" t="str">
        <x:v>SEALED</x:v>
      </x:c>
      <x:c r="G73" s="93" t="str">
        <x:v>physical defect C</x:v>
      </x:c>
      <x:c r="H73" s="93" t="str">
        <x:v>DEFECT</x:v>
      </x:c>
      <x:c r="I73" s="93" t="str">
        <x:v>REJECT</x:v>
      </x:c>
      <x:c r="J73" s="93" t="n">
        <x:v>0</x:v>
      </x:c>
      <x:c r="K73" s="93" t="str">
        <x:v>UNTESTED</x:v>
      </x:c>
      <x:c r="L73" s="93" t="n">
        <x:v>0</x:v>
      </x:c>
      <x:c r="M73" s="93" t="str">
        <x:f>IF(J73=0,"OPEN",IF(AND(K73=I73,L73=1),"PASS","FAIL"))</x:f>
        <x:v>OPEN</x:v>
      </x:c>
      <x:c r="N73" s="95" t="str">
        <x:f>IF(AND(B73&lt;&gt;"",C73&lt;&gt;"",D73&gt;0,E73&lt;&gt;"",F73&lt;&gt;"",G73&lt;&gt;"",H73&lt;&gt;"",I73&lt;&gt;""),"PASS","FAIL")</x:f>
        <x:v>PASS</x:v>
      </x:c>
    </x:row>
    <x:row r="74" ht="32" customHeight="1">
      <x:c r="B74" s="92" t="str">
        <x:v>R3-C20</x:v>
      </x:c>
      <x:c r="C74" s="92" t="str">
        <x:v>R3</x:v>
      </x:c>
      <x:c r="D74" s="92" t="n">
        <x:v>20</x:v>
      </x:c>
      <x:c r="E74" s="93" t="str">
        <x:v>BLIND PHYSICAL</x:v>
      </x:c>
      <x:c r="F74" s="93" t="str">
        <x:v>SEALED</x:v>
      </x:c>
      <x:c r="G74" s="93" t="str">
        <x:v>physical defect D</x:v>
      </x:c>
      <x:c r="H74" s="93" t="str">
        <x:v>DEFECT</x:v>
      </x:c>
      <x:c r="I74" s="93" t="str">
        <x:v>REJECT</x:v>
      </x:c>
      <x:c r="J74" s="93" t="n">
        <x:v>0</x:v>
      </x:c>
      <x:c r="K74" s="93" t="str">
        <x:v>UNTESTED</x:v>
      </x:c>
      <x:c r="L74" s="93" t="n">
        <x:v>0</x:v>
      </x:c>
      <x:c r="M74" s="93" t="str">
        <x:f>IF(J74=0,"OPEN",IF(AND(K74=I74,L74=1),"PASS","FAIL"))</x:f>
        <x:v>OPEN</x:v>
      </x:c>
      <x:c r="N74" s="95" t="str">
        <x:f>IF(AND(B74&lt;&gt;"",C74&lt;&gt;"",D74&gt;0,E74&lt;&gt;"",F74&lt;&gt;"",G74&lt;&gt;"",H74&lt;&gt;"",I74&lt;&gt;""),"PASS","FAIL")</x:f>
        <x:v>PASS</x:v>
      </x:c>
    </x:row>
    <x:row r="75" ht="32" customHeight="1">
      <x:c r="B75" s="92" t="str">
        <x:v>R3-C21</x:v>
      </x:c>
      <x:c r="C75" s="92" t="str">
        <x:v>R3</x:v>
      </x:c>
      <x:c r="D75" s="92" t="n">
        <x:v>21</x:v>
      </x:c>
      <x:c r="E75" s="93" t="str">
        <x:v>BLIND CONFIG</x:v>
      </x:c>
      <x:c r="F75" s="93" t="str">
        <x:v>SEALED</x:v>
      </x:c>
      <x:c r="G75" s="93" t="str">
        <x:v>material/consumable substitution</x:v>
      </x:c>
      <x:c r="H75" s="93" t="str">
        <x:v>DEFECT</x:v>
      </x:c>
      <x:c r="I75" s="93" t="str">
        <x:v>REJECT</x:v>
      </x:c>
      <x:c r="J75" s="93" t="n">
        <x:v>0</x:v>
      </x:c>
      <x:c r="K75" s="93" t="str">
        <x:v>UNTESTED</x:v>
      </x:c>
      <x:c r="L75" s="93" t="n">
        <x:v>0</x:v>
      </x:c>
      <x:c r="M75" s="93" t="str">
        <x:f>IF(J75=0,"OPEN",IF(AND(K75=I75,L75=1),"PASS","FAIL"))</x:f>
        <x:v>OPEN</x:v>
      </x:c>
      <x:c r="N75" s="95" t="str">
        <x:f>IF(AND(B75&lt;&gt;"",C75&lt;&gt;"",D75&gt;0,E75&lt;&gt;"",F75&lt;&gt;"",G75&lt;&gt;"",H75&lt;&gt;"",I75&lt;&gt;""),"PASS","FAIL")</x:f>
        <x:v>PASS</x:v>
      </x:c>
    </x:row>
    <x:row r="76" ht="32" customHeight="1">
      <x:c r="B76" s="92" t="str">
        <x:v>R3-C22</x:v>
      </x:c>
      <x:c r="C76" s="92" t="str">
        <x:v>R3</x:v>
      </x:c>
      <x:c r="D76" s="92" t="n">
        <x:v>22</x:v>
      </x:c>
      <x:c r="E76" s="93" t="str">
        <x:v>BLIND CONFIG</x:v>
      </x:c>
      <x:c r="F76" s="93" t="str">
        <x:v>SEALED</x:v>
      </x:c>
      <x:c r="G76" s="93" t="str">
        <x:v>recipe/firmware/calibration drift</x:v>
      </x:c>
      <x:c r="H76" s="93" t="str">
        <x:v>DEFECT</x:v>
      </x:c>
      <x:c r="I76" s="93" t="str">
        <x:v>REJECT</x:v>
      </x:c>
      <x:c r="J76" s="93" t="n">
        <x:v>0</x:v>
      </x:c>
      <x:c r="K76" s="93" t="str">
        <x:v>UNTESTED</x:v>
      </x:c>
      <x:c r="L76" s="93" t="n">
        <x:v>0</x:v>
      </x:c>
      <x:c r="M76" s="93" t="str">
        <x:f>IF(J76=0,"OPEN",IF(AND(K76=I76,L76=1),"PASS","FAIL"))</x:f>
        <x:v>OPEN</x:v>
      </x:c>
      <x:c r="N76" s="95" t="str">
        <x:f>IF(AND(B76&lt;&gt;"",C76&lt;&gt;"",D76&gt;0,E76&lt;&gt;"",F76&lt;&gt;"",G76&lt;&gt;"",H76&lt;&gt;"",I76&lt;&gt;""),"PASS","FAIL")</x:f>
        <x:v>PASS</x:v>
      </x:c>
    </x:row>
    <x:row r="77" ht="32" customHeight="1">
      <x:c r="B77" s="92" t="str">
        <x:v>R3-C23</x:v>
      </x:c>
      <x:c r="C77" s="92" t="str">
        <x:v>R3</x:v>
      </x:c>
      <x:c r="D77" s="92" t="n">
        <x:v>23</x:v>
      </x:c>
      <x:c r="E77" s="93" t="str">
        <x:v>BLIND CLEAN</x:v>
      </x:c>
      <x:c r="F77" s="93" t="str">
        <x:v>SEALED</x:v>
      </x:c>
      <x:c r="G77" s="93" t="str">
        <x:v>clean blind control A</x:v>
      </x:c>
      <x:c r="H77" s="93" t="str">
        <x:v>CLEAN</x:v>
      </x:c>
      <x:c r="I77" s="93" t="str">
        <x:v>ACCEPT</x:v>
      </x:c>
      <x:c r="J77" s="93" t="n">
        <x:v>0</x:v>
      </x:c>
      <x:c r="K77" s="93" t="str">
        <x:v>UNTESTED</x:v>
      </x:c>
      <x:c r="L77" s="93" t="n">
        <x:v>0</x:v>
      </x:c>
      <x:c r="M77" s="93" t="str">
        <x:f>IF(J77=0,"OPEN",IF(AND(K77=I77,L77=1),"PASS","FAIL"))</x:f>
        <x:v>OPEN</x:v>
      </x:c>
      <x:c r="N77" s="95" t="str">
        <x:f>IF(AND(B77&lt;&gt;"",C77&lt;&gt;"",D77&gt;0,E77&lt;&gt;"",F77&lt;&gt;"",G77&lt;&gt;"",H77&lt;&gt;"",I77&lt;&gt;""),"PASS","FAIL")</x:f>
        <x:v>PASS</x:v>
      </x:c>
    </x:row>
    <x:row r="78" ht="32" customHeight="1">
      <x:c r="B78" s="92" t="str">
        <x:v>R3-C24</x:v>
      </x:c>
      <x:c r="C78" s="92" t="str">
        <x:v>R3</x:v>
      </x:c>
      <x:c r="D78" s="92" t="n">
        <x:v>24</x:v>
      </x:c>
      <x:c r="E78" s="93" t="str">
        <x:v>BLIND CLEAN</x:v>
      </x:c>
      <x:c r="F78" s="93" t="str">
        <x:v>SEALED</x:v>
      </x:c>
      <x:c r="G78" s="93" t="str">
        <x:v>clean blind control B</x:v>
      </x:c>
      <x:c r="H78" s="93" t="str">
        <x:v>CLEAN</x:v>
      </x:c>
      <x:c r="I78" s="93" t="str">
        <x:v>ACCEPT</x:v>
      </x:c>
      <x:c r="J78" s="93" t="n">
        <x:v>0</x:v>
      </x:c>
      <x:c r="K78" s="93" t="str">
        <x:v>UNTESTED</x:v>
      </x:c>
      <x:c r="L78" s="93" t="n">
        <x:v>0</x:v>
      </x:c>
      <x:c r="M78" s="93" t="str">
        <x:f>IF(J78=0,"OPEN",IF(AND(K78=I78,L78=1),"PASS","FAIL"))</x:f>
        <x:v>OPEN</x:v>
      </x:c>
      <x:c r="N78" s="95" t="str">
        <x:f>IF(AND(B78&lt;&gt;"",C78&lt;&gt;"",D78&gt;0,E78&lt;&gt;"",F78&lt;&gt;"",G78&lt;&gt;"",H78&lt;&gt;"",I78&lt;&gt;""),"PASS","FAIL")</x:f>
        <x:v>PASS</x:v>
      </x:c>
    </x:row>
    <x:row r="79">
      <x:c r="B79" s="97" t="str">
        <x:v>CONTROL</x:v>
      </x:c>
      <x:c r="C79" s="97" t="str">
        <x:v>TOTAL</x:v>
      </x:c>
      <x:c r="D79" s="97" t="str">
        <x:v>bank</x:v>
      </x:c>
      <x:c r="E79" s="97" t="str">
        <x:v>records</x:v>
      </x:c>
      <x:c r="F79" s="97" t="n">
        <x:f>COUNTA(B7:B78)</x:f>
        <x:v>72</x:v>
      </x:c>
      <x:c r="G79" s="97" t="n">
        <x:f>COUNTIF(E7:E78,"PROCESS WINDOW")</x:f>
        <x:v>36</x:v>
      </x:c>
      <x:c r="H79" s="97" t="n">
        <x:f>COUNTIF(E7:E78,"KNOWN DEFECT")</x:f>
        <x:v>12</x:v>
      </x:c>
      <x:c r="I79" s="97" t="n">
        <x:f>COUNTIF(E7:E78,"BLIND PHYSICAL")</x:f>
        <x:v>12</x:v>
      </x:c>
      <x:c r="J79" s="97" t="n">
        <x:f>COUNTIF(E7:E78,"BLIND CONFIG")</x:f>
        <x:v>6</x:v>
      </x:c>
      <x:c r="K79" s="97" t="n">
        <x:f>COUNTIF(E7:E78,"BLIND CLEAN")</x:f>
        <x:v>6</x:v>
      </x:c>
      <x:c r="L79" s="97"/>
      <x:c r="M79" s="97"/>
      <x:c r="N79" s="101" t="str">
        <x:f>IF(AND(F79=72,G79=36,H79=12,I79=12,J79=6,K79=6,COUNTIF(N7:N78,"PASS")=72),"PASS","FAIL")</x:f>
        <x:v>PASS</x:v>
      </x:c>
    </x:row>
  </x:sheetData>
  <x:mergeCells>
    <x:mergeCell ref="B3:N3"/>
  </x:mergeCells>
  <x:conditionalFormatting sqref="K7:N79">
    <x:cfRule type="containsText" dxfId="45" priority="1" operator="containsText" text="FAIL"/>
    <x:cfRule type="containsText" dxfId="46" priority="2" operator="containsText" text="BLOCKED"/>
    <x:cfRule type="containsText" dxfId="47" priority="3" operator="containsText" text="HOLD"/>
    <x:cfRule type="containsText" dxfId="48" priority="4" operator="containsText" text="OPEN"/>
    <x:cfRule type="containsText" dxfId="49" priority="5" operator="containsText" text="UNTESTED"/>
    <x:cfRule type="containsText" dxfId="50" priority="6" operator="containsText" text="INDETERMINATE"/>
    <x:cfRule type="containsText" dxfId="51" priority="7" operator="containsText" text="PASS"/>
    <x:cfRule type="containsText" dxfId="52" priority="8" operator="containsText" text="CLOSED"/>
    <x:cfRule type="containsText" dxfId="53" priority="9" operator="containsText" text="READY"/>
    <x:cfRule type="containsText" dxfId="54" priority="10" operator="containsText" text="AUTHORIZED"/>
    <x:cfRule type="containsText" dxfId="55" priority="11" operator="containsText" text="PLANNING PASS"/>
    <x:cfRule type="containsText" dxfId="56" priority="12" operator="containsText" text="COMPLETE"/>
    <x:cfRule type="containsText" dxfId="57" priority="13" operator="containsText" text="ACCEPTED"/>
    <x:cfRule type="containsText" dxfId="58" priority="14" operator="containsText" text="ADMITTED"/>
    <x:cfRule type="containsText" dxfId="59" priority="15" operator="containsText" text="RELEAS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3" hidden="0" customWidth="1"/>
    <x:col min="4" max="4" width="39" hidden="0" customWidth="1"/>
    <x:col min="5" max="5" width="34" hidden="0" customWidth="1"/>
    <x:col min="6" max="6" width="39" hidden="0" customWidth="1"/>
    <x:col min="7" max="7" width="32" hidden="0" customWidth="1"/>
    <x:col min="8" max="8" width="16" hidden="0" customWidth="1"/>
  </x:cols>
  <x:sheetData>
    <x:row r="2">
      <x:c r="B2" s="1" t="str">
        <x:v>Public full-bore fixture standard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Public fixtures apply stimulus, containment and independent measurement. Any deployed function remains article-owned.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ID</x:v>
      </x:c>
      <x:c r="C6" s="16" t="str">
        <x:v>Fixture</x:v>
      </x:c>
      <x:c r="D6" s="16" t="str">
        <x:v>Capability</x:v>
      </x:c>
      <x:c r="E6" s="16" t="str">
        <x:v>Controlled boundary</x:v>
      </x:c>
      <x:c r="F6" s="16" t="str">
        <x:v>Neutrality rule</x:v>
      </x:c>
      <x:c r="G6" s="16" t="str">
        <x:v>Qualification object</x:v>
      </x:c>
      <x:c r="H6" s="16" t="str">
        <x:v>Planning state</x:v>
      </x:c>
      <x:c r="I6" s="81"/>
      <x:c r="J6" s="81"/>
    </x:row>
    <x:row r="7" ht="48" customHeight="1">
      <x:c r="B7" s="92" t="str">
        <x:v>F01</x:v>
      </x:c>
      <x:c r="C7" s="93" t="str">
        <x:v>Closure</x:v>
      </x:c>
      <x:c r="D7" s="93" t="str">
        <x:v>replaceable full-bore source and receiver manifolds</x:v>
      </x:c>
      <x:c r="E7" s="93" t="str">
        <x:v>outside active boundary</x:v>
      </x:c>
      <x:c r="F7" s="93" t="str">
        <x:v>no load bypass into closure</x:v>
      </x:c>
      <x:c r="G7" s="93" t="str">
        <x:v>reference spool map</x:v>
      </x:c>
      <x:c r="H7" s="102" t="str">
        <x:f>IF(COUNTA(B7:G7)=6,"PASS","FAIL")</x:f>
        <x:v>PASS</x:v>
      </x:c>
      <x:c r="I7" s="81"/>
      <x:c r="J7" s="81"/>
    </x:row>
    <x:row r="8" ht="48" customHeight="1">
      <x:c r="B8" s="92" t="str">
        <x:v>F02</x:v>
      </x:c>
      <x:c r="C8" s="93" t="str">
        <x:v>Closure</x:v>
      </x:c>
      <x:c r="D8" s="93" t="str">
        <x:v>article-owned central support and alignment</x:v>
      </x:c>
      <x:c r="E8" s="93" t="str">
        <x:v>root-specific but article charged</x:v>
      </x:c>
      <x:c r="F8" s="93" t="str">
        <x:v>fixture supplies no deployed alignment</x:v>
      </x:c>
      <x:c r="G8" s="93" t="str">
        <x:v>load-path survey</x:v>
      </x:c>
      <x:c r="H8" s="102" t="str">
        <x:f>IF(COUNTA(B8:G8)=6,"PASS","FAIL")</x:f>
        <x:v>PASS</x:v>
      </x:c>
      <x:c r="I8" s="81"/>
      <x:c r="J8" s="81"/>
    </x:row>
    <x:row r="9" ht="48" customHeight="1">
      <x:c r="B9" s="92" t="str">
        <x:v>F03</x:v>
      </x:c>
      <x:c r="C9" s="93" t="str">
        <x:v>Closure</x:v>
      </x:c>
      <x:c r="D9" s="93" t="str">
        <x:v>axial load towers</x:v>
      </x:c>
      <x:c r="E9" s="93" t="str">
        <x:v>at least 300 kN</x:v>
      </x:c>
      <x:c r="F9" s="93" t="str">
        <x:v>measured force independent of root</x:v>
      </x:c>
      <x:c r="G9" s="93" t="str">
        <x:v>calibration artifact</x:v>
      </x:c>
      <x:c r="H9" s="102" t="str">
        <x:f>IF(COUNTA(B9:G9)=6,"PASS","FAIL")</x:f>
        <x:v>PASS</x:v>
      </x:c>
      <x:c r="I9" s="81"/>
      <x:c r="J9" s="81"/>
    </x:row>
    <x:row r="10" ht="48" customHeight="1">
      <x:c r="B10" s="92" t="str">
        <x:v>F04</x:v>
      </x:c>
      <x:c r="C10" s="93" t="str">
        <x:v>Closure</x:v>
      </x:c>
      <x:c r="D10" s="93" t="str">
        <x:v>hydraulic loop</x:v>
      </x:c>
      <x:c r="E10" s="93" t="str">
        <x:v>−0.10 to 1.40 MPa characterization</x:v>
      </x:c>
      <x:c r="F10" s="93" t="str">
        <x:v>command separated from measured pressure</x:v>
      </x:c>
      <x:c r="G10" s="93" t="str">
        <x:v>pressure transfer standard</x:v>
      </x:c>
      <x:c r="H10" s="102" t="str">
        <x:f>IF(COUNTA(B10:G10)=6,"PASS","FAIL")</x:f>
        <x:v>PASS</x:v>
      </x:c>
      <x:c r="I10" s="81"/>
      <x:c r="J10" s="81"/>
    </x:row>
    <x:row r="11" ht="48" customHeight="1">
      <x:c r="B11" s="92" t="str">
        <x:v>F05</x:v>
      </x:c>
      <x:c r="C11" s="93" t="str">
        <x:v>Closure</x:v>
      </x:c>
      <x:c r="D11" s="93" t="str">
        <x:v>contained leak-capture jacket</x:v>
      </x:c>
      <x:c r="E11" s="93" t="str">
        <x:v>0.10 L/h decision floor target</x:v>
      </x:c>
      <x:c r="F11" s="93" t="str">
        <x:v>jacket adds no restraint</x:v>
      </x:c>
      <x:c r="G11" s="93" t="str">
        <x:v>known-leak reference</x:v>
      </x:c>
      <x:c r="H11" s="102" t="str">
        <x:f>IF(COUNTA(B11:G11)=6,"PASS","FAIL")</x:f>
        <x:v>PASS</x:v>
      </x:c>
      <x:c r="I11" s="81"/>
      <x:c r="J11" s="81"/>
    </x:row>
    <x:row r="12" ht="48" customHeight="1">
      <x:c r="B12" s="92" t="str">
        <x:v>F06</x:v>
      </x:c>
      <x:c r="C12" s="93" t="str">
        <x:v>Closure</x:v>
      </x:c>
      <x:c r="D12" s="93" t="str">
        <x:v>independent data and power</x:v>
      </x:c>
      <x:c r="E12" s="93" t="str">
        <x:v>two local originals</x:v>
      </x:c>
      <x:c r="F12" s="93" t="str">
        <x:v>no builder summary substitution</x:v>
      </x:c>
      <x:c r="G12" s="93" t="str">
        <x:v>network-denial reference</x:v>
      </x:c>
      <x:c r="H12" s="102" t="str">
        <x:f>IF(COUNTA(B12:G12)=6,"PASS","FAIL")</x:f>
        <x:v>PASS</x:v>
      </x:c>
      <x:c r="I12" s="81"/>
      <x:c r="J12" s="81"/>
    </x:row>
    <x:row r="13" ht="48" customHeight="1">
      <x:c r="B13" s="92" t="str">
        <x:v>F07</x:v>
      </x:c>
      <x:c r="C13" s="93" t="str">
        <x:v>Damage</x:v>
      </x:c>
      <x:c r="D13" s="93" t="str">
        <x:v>120 m active article with injury cassette</x:v>
      </x:c>
      <x:c r="E13" s="93" t="str">
        <x:v>no hidden structural bypass</x:v>
      </x:c>
      <x:c r="F13" s="93" t="str">
        <x:v>article carries repair system</x:v>
      </x:c>
      <x:c r="G13" s="93" t="str">
        <x:v>geometry and load-path survey</x:v>
      </x:c>
      <x:c r="H13" s="102" t="str">
        <x:f>IF(COUNTA(B13:G13)=6,"PASS","FAIL")</x:f>
        <x:v>PASS</x:v>
      </x:c>
      <x:c r="I13" s="81"/>
      <x:c r="J13" s="81"/>
    </x:row>
    <x:row r="14" ht="48" customHeight="1">
      <x:c r="B14" s="92" t="str">
        <x:v>F08</x:v>
      </x:c>
      <x:c r="C14" s="93" t="str">
        <x:v>Damage</x:v>
      </x:c>
      <x:c r="D14" s="93" t="str">
        <x:v>contamination annulus and quarantine</x:v>
      </x:c>
      <x:c r="E14" s="93" t="str">
        <x:v>controlled inward gradient</x:v>
      </x:c>
      <x:c r="F14" s="93" t="str">
        <x:v>no challenge bypass to receiver</x:v>
      </x:c>
      <x:c r="G14" s="93" t="str">
        <x:v>blank and recovery control</x:v>
      </x:c>
      <x:c r="H14" s="102" t="str">
        <x:f>IF(COUNTA(B14:G14)=6,"PASS","FAIL")</x:f>
        <x:v>PASS</x:v>
      </x:c>
      <x:c r="I14" s="81"/>
      <x:c r="J14" s="81"/>
    </x:row>
    <x:row r="15" ht="48" customHeight="1">
      <x:c r="B15" s="92" t="str">
        <x:v>F09</x:v>
      </x:c>
      <x:c r="C15" s="93" t="str">
        <x:v>Damage</x:v>
      </x:c>
      <x:c r="D15" s="93" t="str">
        <x:v>soil, water, debris and void modules</x:v>
      </x:c>
      <x:c r="E15" s="93" t="str">
        <x:v>registered physical state</x:v>
      </x:c>
      <x:c r="F15" s="93" t="str">
        <x:v>range state measured independently</x:v>
      </x:c>
      <x:c r="G15" s="93" t="str">
        <x:v>reference material map</x:v>
      </x:c>
      <x:c r="H15" s="102" t="str">
        <x:f>IF(COUNTA(B15:G15)=6,"PASS","FAIL")</x:f>
        <x:v>PASS</x:v>
      </x:c>
      <x:c r="I15" s="81"/>
      <x:c r="J15" s="81"/>
    </x:row>
    <x:row r="16" ht="48" customHeight="1">
      <x:c r="B16" s="92" t="str">
        <x:v>F10</x:v>
      </x:c>
      <x:c r="C16" s="93" t="str">
        <x:v>Damage</x:v>
      </x:c>
      <x:c r="D16" s="93" t="str">
        <x:v>source, receiver and buffer simulant</x:v>
      </x:c>
      <x:c r="E16" s="93" t="str">
        <x:v>same public interfaces</x:v>
      </x:c>
      <x:c r="F16" s="93" t="str">
        <x:v>no decisive borrowed receiver capability</x:v>
      </x:c>
      <x:c r="G16" s="93" t="str">
        <x:v>flow and control reference</x:v>
      </x:c>
      <x:c r="H16" s="102" t="str">
        <x:f>IF(COUNTA(B16:G16)=6,"PASS","FAIL")</x:f>
        <x:v>PASS</x:v>
      </x:c>
      <x:c r="I16" s="81"/>
      <x:c r="J16" s="81"/>
    </x:row>
    <x:row r="17" ht="48" customHeight="1">
      <x:c r="B17" s="92" t="str">
        <x:v>F11</x:v>
      </x:c>
      <x:c r="C17" s="93" t="str">
        <x:v>Both</x:v>
      </x:c>
      <x:c r="D17" s="93" t="str">
        <x:v>remote shielding, drain and isolation</x:v>
      </x:c>
      <x:c r="E17" s="93" t="str">
        <x:v>safe state independent of success</x:v>
      </x:c>
      <x:c r="F17" s="93" t="str">
        <x:v>stop authority cannot award credit</x:v>
      </x:c>
      <x:c r="G17" s="93" t="str">
        <x:v>emergency-state rehearsal</x:v>
      </x:c>
      <x:c r="H17" s="102" t="str">
        <x:f>IF(COUNTA(B17:G17)=6,"PASS","FAIL")</x:f>
        <x:v>PASS</x:v>
      </x:c>
      <x:c r="I17" s="81"/>
      <x:c r="J17" s="81"/>
    </x:row>
    <x:row r="18" ht="48" customHeight="1">
      <x:c r="B18" s="97" t="str">
        <x:v>F12</x:v>
      </x:c>
      <x:c r="C18" s="98" t="str">
        <x:v>Both</x:v>
      </x:c>
      <x:c r="D18" s="98" t="str">
        <x:v>root adapter qualification</x:v>
      </x:c>
      <x:c r="E18" s="98" t="str">
        <x:v>after every configuration change</x:v>
      </x:c>
      <x:c r="F18" s="98" t="str">
        <x:v>fixture uncertainty share at most 20%</x:v>
      </x:c>
      <x:c r="G18" s="98" t="str">
        <x:v>compliant and known-bad references</x:v>
      </x:c>
      <x:c r="H18" s="101" t="str">
        <x:f>IF(COUNTA(B18:G18)=6,"PASS","FAIL")</x:f>
        <x:v>PASS</x:v>
      </x:c>
      <x:c r="I18" s="81"/>
      <x:c r="J18" s="81"/>
    </x:row>
  </x:sheetData>
  <x:mergeCells>
    <x:mergeCell ref="B3:J3"/>
  </x:mergeCells>
  <x:conditionalFormatting sqref="H7:H18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HOLD"/>
    <x:cfRule type="containsText" dxfId="63" priority="4" operator="containsText" text="OPEN"/>
    <x:cfRule type="containsText" dxfId="64" priority="5" operator="containsText" text="UNTESTED"/>
    <x:cfRule type="containsText" dxfId="65" priority="6" operator="containsText" text="INDETERMINATE"/>
    <x:cfRule type="containsText" dxfId="66" priority="7" operator="containsText" text="PASS"/>
    <x:cfRule type="containsText" dxfId="67" priority="8" operator="containsText" text="CLOSED"/>
    <x:cfRule type="containsText" dxfId="68" priority="9" operator="containsText" text="READY"/>
    <x:cfRule type="containsText" dxfId="69" priority="10" operator="containsText" text="AUTHORIZED"/>
    <x:cfRule type="containsText" dxfId="70" priority="11" operator="containsText" text="PLANNING PASS"/>
    <x:cfRule type="containsText" dxfId="71" priority="12" operator="containsText" text="COMPLETE"/>
    <x:cfRule type="containsText" dxfId="72" priority="13" operator="containsText" text="ACCEPTED"/>
    <x:cfRule type="containsText" dxfId="73" priority="14" operator="containsText" text="ADMITTED"/>
    <x:cfRule type="containsText" dxfId="74" priority="15" operator="containsText" text="RELEASE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3" hidden="0" customWidth="1"/>
    <x:col min="4" max="4" width="34" hidden="0" customWidth="1"/>
    <x:col min="5" max="5" width="13" hidden="0" customWidth="1"/>
    <x:col min="6" max="6" width="22" hidden="0" customWidth="1"/>
    <x:col min="7" max="7" width="37" hidden="0" customWidth="1"/>
    <x:col min="8" max="8" width="12" hidden="0" customWidth="1"/>
    <x:col min="9" max="9" width="21" hidden="0" customWidth="1"/>
    <x:col min="10" max="10" width="18" hidden="0" customWidth="1"/>
    <x:col min="11" max="11" width="15" hidden="0" customWidth="1"/>
    <x:col min="12" max="12" width="16" hidden="0" customWidth="1"/>
  </x:cols>
  <x:sheetData>
    <x:row r="2">
      <x:c r="B2" s="1" t="str">
        <x:v>Fixture reference qualification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</x:row>
    <x:row r="3">
      <x:c r="B3" s="2" t="str">
        <x:v>Both fixture classes must accept compliant references and identify known-bad references before root hardware enters.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</x:row>
    <x:row r="6">
      <x:c r="B6" s="15" t="str">
        <x:v>Record</x:v>
      </x:c>
      <x:c r="C6" s="16" t="str">
        <x:v>Fixture</x:v>
      </x:c>
      <x:c r="D6" s="16" t="str">
        <x:v>Reference</x:v>
      </x:c>
      <x:c r="E6" s="16" t="str">
        <x:v>Truth</x:v>
      </x:c>
      <x:c r="F6" s="16" t="str">
        <x:v>Required disposition</x:v>
      </x:c>
      <x:c r="G6" s="16" t="str">
        <x:v>Purpose</x:v>
      </x:c>
      <x:c r="H6" s="16" t="str">
        <x:v>Executed</x:v>
      </x:c>
      <x:c r="I6" s="16" t="str">
        <x:v>Observed disposition</x:v>
      </x:c>
      <x:c r="J6" s="16" t="str">
        <x:v>Evidence complete</x:v>
      </x:c>
      <x:c r="K6" s="16" t="str">
        <x:v>Fixture state</x:v>
      </x:c>
      <x:c r="L6" s="16" t="str">
        <x:v>Planning record</x:v>
      </x:c>
    </x:row>
    <x:row r="7" ht="42" customHeight="1">
      <x:c r="B7" s="92" t="str">
        <x:v>CLOSURE-Q01</x:v>
      </x:c>
      <x:c r="C7" s="92" t="str">
        <x:v>CLOSURE</x:v>
      </x:c>
      <x:c r="D7" s="93" t="str">
        <x:v>compliant reference</x:v>
      </x:c>
      <x:c r="E7" s="93" t="str">
        <x:v>ACCEPT</x:v>
      </x:c>
      <x:c r="F7" s="93" t="str">
        <x:v>ACCEPT</x:v>
      </x:c>
      <x:c r="G7" s="93" t="str">
        <x:v>baseline false-reject control</x:v>
      </x:c>
      <x:c r="H7" s="92" t="n">
        <x:v>0</x:v>
      </x:c>
      <x:c r="I7" s="92" t="str">
        <x:v>UNTESTED</x:v>
      </x:c>
      <x:c r="J7" s="92" t="n">
        <x:v>0</x:v>
      </x:c>
      <x:c r="K7" s="92" t="str">
        <x:f>IF(H7=0,"OPEN",IF(AND(I7=F7,J7=1),"PASS","FAIL"))</x:f>
        <x:v>OPEN</x:v>
      </x:c>
      <x:c r="L7" s="102" t="str">
        <x:f>IF(COUNTA(B7:G7)=6,"PASS","FAIL")</x:f>
        <x:v>PASS</x:v>
      </x:c>
    </x:row>
    <x:row r="8" ht="42" customHeight="1">
      <x:c r="B8" s="92" t="str">
        <x:v>CLOSURE-Q02</x:v>
      </x:c>
      <x:c r="C8" s="92" t="str">
        <x:v>CLOSURE</x:v>
      </x:c>
      <x:c r="D8" s="93" t="str">
        <x:v>known leak</x:v>
      </x:c>
      <x:c r="E8" s="93" t="str">
        <x:v>REJECT</x:v>
      </x:c>
      <x:c r="F8" s="93" t="str">
        <x:v>REJECT</x:v>
      </x:c>
      <x:c r="G8" s="93" t="str">
        <x:v>leak capture and pressure decision</x:v>
      </x:c>
      <x:c r="H8" s="92" t="n">
        <x:v>0</x:v>
      </x:c>
      <x:c r="I8" s="92" t="str">
        <x:v>UNTESTED</x:v>
      </x:c>
      <x:c r="J8" s="92" t="n">
        <x:v>0</x:v>
      </x:c>
      <x:c r="K8" s="92" t="str">
        <x:f>IF(H8=0,"OPEN",IF(AND(I8=F8,J8=1),"PASS","FAIL"))</x:f>
        <x:v>OPEN</x:v>
      </x:c>
      <x:c r="L8" s="102" t="str">
        <x:f>IF(COUNTA(B8:G8)=6,"PASS","FAIL")</x:f>
        <x:v>PASS</x:v>
      </x:c>
    </x:row>
    <x:row r="9" ht="42" customHeight="1">
      <x:c r="B9" s="92" t="str">
        <x:v>CLOSURE-Q03</x:v>
      </x:c>
      <x:c r="C9" s="92" t="str">
        <x:v>CLOSURE</x:v>
      </x:c>
      <x:c r="D9" s="93" t="str">
        <x:v>known restraint defect</x:v>
      </x:c>
      <x:c r="E9" s="93" t="str">
        <x:v>REJECT</x:v>
      </x:c>
      <x:c r="F9" s="93" t="str">
        <x:v>REJECT</x:v>
      </x:c>
      <x:c r="G9" s="93" t="str">
        <x:v>load-path and fixture bypass decision</x:v>
      </x:c>
      <x:c r="H9" s="92" t="n">
        <x:v>0</x:v>
      </x:c>
      <x:c r="I9" s="92" t="str">
        <x:v>UNTESTED</x:v>
      </x:c>
      <x:c r="J9" s="92" t="n">
        <x:v>0</x:v>
      </x:c>
      <x:c r="K9" s="92" t="str">
        <x:f>IF(H9=0,"OPEN",IF(AND(I9=F9,J9=1),"PASS","FAIL"))</x:f>
        <x:v>OPEN</x:v>
      </x:c>
      <x:c r="L9" s="102" t="str">
        <x:f>IF(COUNTA(B9:G9)=6,"PASS","FAIL")</x:f>
        <x:v>PASS</x:v>
      </x:c>
    </x:row>
    <x:row r="10" ht="42" customHeight="1">
      <x:c r="B10" s="92" t="str">
        <x:v>CLOSURE-Q04</x:v>
      </x:c>
      <x:c r="C10" s="92" t="str">
        <x:v>CLOSURE</x:v>
      </x:c>
      <x:c r="D10" s="93" t="str">
        <x:v>geometry reference</x:v>
      </x:c>
      <x:c r="E10" s="93" t="str">
        <x:v>ACCEPT</x:v>
      </x:c>
      <x:c r="F10" s="93" t="str">
        <x:v>ACCEPT</x:v>
      </x:c>
      <x:c r="G10" s="93" t="str">
        <x:v>alignment and area measurement</x:v>
      </x:c>
      <x:c r="H10" s="92" t="n">
        <x:v>0</x:v>
      </x:c>
      <x:c r="I10" s="92" t="str">
        <x:v>UNTESTED</x:v>
      </x:c>
      <x:c r="J10" s="92" t="n">
        <x:v>0</x:v>
      </x:c>
      <x:c r="K10" s="92" t="str">
        <x:f>IF(H10=0,"OPEN",IF(AND(I10=F10,J10=1),"PASS","FAIL"))</x:f>
        <x:v>OPEN</x:v>
      </x:c>
      <x:c r="L10" s="102" t="str">
        <x:f>IF(COUNTA(B10:G10)=6,"PASS","FAIL")</x:f>
        <x:v>PASS</x:v>
      </x:c>
    </x:row>
    <x:row r="11" ht="42" customHeight="1">
      <x:c r="B11" s="92" t="str">
        <x:v>CLOSURE-Q05</x:v>
      </x:c>
      <x:c r="C11" s="92" t="str">
        <x:v>CLOSURE</x:v>
      </x:c>
      <x:c r="D11" s="93" t="str">
        <x:v>timing and data denial</x:v>
      </x:c>
      <x:c r="E11" s="93" t="str">
        <x:v>ACCEPT</x:v>
      </x:c>
      <x:c r="F11" s="93" t="str">
        <x:v>ACCEPT</x:v>
      </x:c>
      <x:c r="G11" s="93" t="str">
        <x:v>local originals and clock continuity</x:v>
      </x:c>
      <x:c r="H11" s="92" t="n">
        <x:v>0</x:v>
      </x:c>
      <x:c r="I11" s="92" t="str">
        <x:v>UNTESTED</x:v>
      </x:c>
      <x:c r="J11" s="92" t="n">
        <x:v>0</x:v>
      </x:c>
      <x:c r="K11" s="92" t="str">
        <x:f>IF(H11=0,"OPEN",IF(AND(I11=F11,J11=1),"PASS","FAIL"))</x:f>
        <x:v>OPEN</x:v>
      </x:c>
      <x:c r="L11" s="102" t="str">
        <x:f>IF(COUNTA(B11:G11)=6,"PASS","FAIL")</x:f>
        <x:v>PASS</x:v>
      </x:c>
    </x:row>
    <x:row r="12" ht="42" customHeight="1">
      <x:c r="B12" s="92" t="str">
        <x:v>CLOSURE-Q06</x:v>
      </x:c>
      <x:c r="C12" s="92" t="str">
        <x:v>CLOSURE</x:v>
      </x:c>
      <x:c r="D12" s="93" t="str">
        <x:v>contamination blank and positive control</x:v>
      </x:c>
      <x:c r="E12" s="93" t="str">
        <x:v>ACCEPT</x:v>
      </x:c>
      <x:c r="F12" s="93" t="str">
        <x:v>ACCEPT</x:v>
      </x:c>
      <x:c r="G12" s="93" t="str">
        <x:v>blank cleanliness and challenge recovery</x:v>
      </x:c>
      <x:c r="H12" s="92" t="n">
        <x:v>0</x:v>
      </x:c>
      <x:c r="I12" s="92" t="str">
        <x:v>UNTESTED</x:v>
      </x:c>
      <x:c r="J12" s="92" t="n">
        <x:v>0</x:v>
      </x:c>
      <x:c r="K12" s="92" t="str">
        <x:f>IF(H12=0,"OPEN",IF(AND(I12=F12,J12=1),"PASS","FAIL"))</x:f>
        <x:v>OPEN</x:v>
      </x:c>
      <x:c r="L12" s="102" t="str">
        <x:f>IF(COUNTA(B12:G12)=6,"PASS","FAIL")</x:f>
        <x:v>PASS</x:v>
      </x:c>
    </x:row>
    <x:row r="13" ht="42" customHeight="1">
      <x:c r="B13" s="92" t="str">
        <x:v>DAMAGE-Q01</x:v>
      </x:c>
      <x:c r="C13" s="92" t="str">
        <x:v>DAMAGE</x:v>
      </x:c>
      <x:c r="D13" s="93" t="str">
        <x:v>compliant reference</x:v>
      </x:c>
      <x:c r="E13" s="93" t="str">
        <x:v>ACCEPT</x:v>
      </x:c>
      <x:c r="F13" s="93" t="str">
        <x:v>ACCEPT</x:v>
      </x:c>
      <x:c r="G13" s="93" t="str">
        <x:v>baseline false-reject control</x:v>
      </x:c>
      <x:c r="H13" s="92" t="n">
        <x:v>0</x:v>
      </x:c>
      <x:c r="I13" s="92" t="str">
        <x:v>UNTESTED</x:v>
      </x:c>
      <x:c r="J13" s="92" t="n">
        <x:v>0</x:v>
      </x:c>
      <x:c r="K13" s="92" t="str">
        <x:f>IF(H13=0,"OPEN",IF(AND(I13=F13,J13=1),"PASS","FAIL"))</x:f>
        <x:v>OPEN</x:v>
      </x:c>
      <x:c r="L13" s="102" t="str">
        <x:f>IF(COUNTA(B13:G13)=6,"PASS","FAIL")</x:f>
        <x:v>PASS</x:v>
      </x:c>
    </x:row>
    <x:row r="14" ht="42" customHeight="1">
      <x:c r="B14" s="92" t="str">
        <x:v>DAMAGE-Q02</x:v>
      </x:c>
      <x:c r="C14" s="92" t="str">
        <x:v>DAMAGE</x:v>
      </x:c>
      <x:c r="D14" s="93" t="str">
        <x:v>known leak</x:v>
      </x:c>
      <x:c r="E14" s="93" t="str">
        <x:v>REJECT</x:v>
      </x:c>
      <x:c r="F14" s="93" t="str">
        <x:v>REJECT</x:v>
      </x:c>
      <x:c r="G14" s="93" t="str">
        <x:v>leak capture and pressure decision</x:v>
      </x:c>
      <x:c r="H14" s="92" t="n">
        <x:v>0</x:v>
      </x:c>
      <x:c r="I14" s="92" t="str">
        <x:v>UNTESTED</x:v>
      </x:c>
      <x:c r="J14" s="92" t="n">
        <x:v>0</x:v>
      </x:c>
      <x:c r="K14" s="92" t="str">
        <x:f>IF(H14=0,"OPEN",IF(AND(I14=F14,J14=1),"PASS","FAIL"))</x:f>
        <x:v>OPEN</x:v>
      </x:c>
      <x:c r="L14" s="102" t="str">
        <x:f>IF(COUNTA(B14:G14)=6,"PASS","FAIL")</x:f>
        <x:v>PASS</x:v>
      </x:c>
    </x:row>
    <x:row r="15" ht="42" customHeight="1">
      <x:c r="B15" s="92" t="str">
        <x:v>DAMAGE-Q03</x:v>
      </x:c>
      <x:c r="C15" s="92" t="str">
        <x:v>DAMAGE</x:v>
      </x:c>
      <x:c r="D15" s="93" t="str">
        <x:v>known restraint defect</x:v>
      </x:c>
      <x:c r="E15" s="93" t="str">
        <x:v>REJECT</x:v>
      </x:c>
      <x:c r="F15" s="93" t="str">
        <x:v>REJECT</x:v>
      </x:c>
      <x:c r="G15" s="93" t="str">
        <x:v>load-path and fixture bypass decision</x:v>
      </x:c>
      <x:c r="H15" s="92" t="n">
        <x:v>0</x:v>
      </x:c>
      <x:c r="I15" s="92" t="str">
        <x:v>UNTESTED</x:v>
      </x:c>
      <x:c r="J15" s="92" t="n">
        <x:v>0</x:v>
      </x:c>
      <x:c r="K15" s="92" t="str">
        <x:f>IF(H15=0,"OPEN",IF(AND(I15=F15,J15=1),"PASS","FAIL"))</x:f>
        <x:v>OPEN</x:v>
      </x:c>
      <x:c r="L15" s="102" t="str">
        <x:f>IF(COUNTA(B15:G15)=6,"PASS","FAIL")</x:f>
        <x:v>PASS</x:v>
      </x:c>
    </x:row>
    <x:row r="16" ht="42" customHeight="1">
      <x:c r="B16" s="92" t="str">
        <x:v>DAMAGE-Q04</x:v>
      </x:c>
      <x:c r="C16" s="92" t="str">
        <x:v>DAMAGE</x:v>
      </x:c>
      <x:c r="D16" s="93" t="str">
        <x:v>geometry reference</x:v>
      </x:c>
      <x:c r="E16" s="93" t="str">
        <x:v>ACCEPT</x:v>
      </x:c>
      <x:c r="F16" s="93" t="str">
        <x:v>ACCEPT</x:v>
      </x:c>
      <x:c r="G16" s="93" t="str">
        <x:v>alignment and area measurement</x:v>
      </x:c>
      <x:c r="H16" s="92" t="n">
        <x:v>0</x:v>
      </x:c>
      <x:c r="I16" s="92" t="str">
        <x:v>UNTESTED</x:v>
      </x:c>
      <x:c r="J16" s="92" t="n">
        <x:v>0</x:v>
      </x:c>
      <x:c r="K16" s="92" t="str">
        <x:f>IF(H16=0,"OPEN",IF(AND(I16=F16,J16=1),"PASS","FAIL"))</x:f>
        <x:v>OPEN</x:v>
      </x:c>
      <x:c r="L16" s="102" t="str">
        <x:f>IF(COUNTA(B16:G16)=6,"PASS","FAIL")</x:f>
        <x:v>PASS</x:v>
      </x:c>
    </x:row>
    <x:row r="17" ht="42" customHeight="1">
      <x:c r="B17" s="92" t="str">
        <x:v>DAMAGE-Q05</x:v>
      </x:c>
      <x:c r="C17" s="92" t="str">
        <x:v>DAMAGE</x:v>
      </x:c>
      <x:c r="D17" s="93" t="str">
        <x:v>timing and data denial</x:v>
      </x:c>
      <x:c r="E17" s="93" t="str">
        <x:v>ACCEPT</x:v>
      </x:c>
      <x:c r="F17" s="93" t="str">
        <x:v>ACCEPT</x:v>
      </x:c>
      <x:c r="G17" s="93" t="str">
        <x:v>local originals and clock continuity</x:v>
      </x:c>
      <x:c r="H17" s="92" t="n">
        <x:v>0</x:v>
      </x:c>
      <x:c r="I17" s="92" t="str">
        <x:v>UNTESTED</x:v>
      </x:c>
      <x:c r="J17" s="92" t="n">
        <x:v>0</x:v>
      </x:c>
      <x:c r="K17" s="92" t="str">
        <x:f>IF(H17=0,"OPEN",IF(AND(I17=F17,J17=1),"PASS","FAIL"))</x:f>
        <x:v>OPEN</x:v>
      </x:c>
      <x:c r="L17" s="102" t="str">
        <x:f>IF(COUNTA(B17:G17)=6,"PASS","FAIL")</x:f>
        <x:v>PASS</x:v>
      </x:c>
    </x:row>
    <x:row r="18" ht="42" customHeight="1">
      <x:c r="B18" s="97" t="str">
        <x:v>DAMAGE-Q06</x:v>
      </x:c>
      <x:c r="C18" s="97" t="str">
        <x:v>DAMAGE</x:v>
      </x:c>
      <x:c r="D18" s="98" t="str">
        <x:v>contamination blank and positive control</x:v>
      </x:c>
      <x:c r="E18" s="98" t="str">
        <x:v>ACCEPT</x:v>
      </x:c>
      <x:c r="F18" s="98" t="str">
        <x:v>ACCEPT</x:v>
      </x:c>
      <x:c r="G18" s="98" t="str">
        <x:v>blank cleanliness and challenge recovery</x:v>
      </x:c>
      <x:c r="H18" s="97" t="n">
        <x:v>0</x:v>
      </x:c>
      <x:c r="I18" s="97" t="str">
        <x:v>UNTESTED</x:v>
      </x:c>
      <x:c r="J18" s="97" t="n">
        <x:v>0</x:v>
      </x:c>
      <x:c r="K18" s="97" t="str">
        <x:f>IF(H18=0,"OPEN",IF(AND(I18=F18,J18=1),"PASS","FAIL"))</x:f>
        <x:v>OPEN</x:v>
      </x:c>
      <x:c r="L18" s="101" t="str">
        <x:f>IF(COUNTA(B18:G18)=6,"PASS","FAIL")</x:f>
        <x:v>PASS</x:v>
      </x:c>
    </x:row>
  </x:sheetData>
  <x:mergeCells>
    <x:mergeCell ref="B3:L3"/>
  </x:mergeCells>
  <x:conditionalFormatting sqref="I7:L18">
    <x:cfRule type="containsText" dxfId="75" priority="1" operator="containsText" text="FAIL"/>
    <x:cfRule type="containsText" dxfId="76" priority="2" operator="containsText" text="BLOCKED"/>
    <x:cfRule type="containsText" dxfId="77" priority="3" operator="containsText" text="HOLD"/>
    <x:cfRule type="containsText" dxfId="78" priority="4" operator="containsText" text="OPEN"/>
    <x:cfRule type="containsText" dxfId="79" priority="5" operator="containsText" text="UNTESTED"/>
    <x:cfRule type="containsText" dxfId="80" priority="6" operator="containsText" text="INDETERMINATE"/>
    <x:cfRule type="containsText" dxfId="81" priority="7" operator="containsText" text="PASS"/>
    <x:cfRule type="containsText" dxfId="82" priority="8" operator="containsText" text="CLOSED"/>
    <x:cfRule type="containsText" dxfId="83" priority="9" operator="containsText" text="READY"/>
    <x:cfRule type="containsText" dxfId="84" priority="10" operator="containsText" text="AUTHORIZED"/>
    <x:cfRule type="containsText" dxfId="85" priority="11" operator="containsText" text="PLANNING PASS"/>
    <x:cfRule type="containsText" dxfId="86" priority="12" operator="containsText" text="COMPLETE"/>
    <x:cfRule type="containsText" dxfId="87" priority="13" operator="containsText" text="ACCEPTED"/>
    <x:cfRule type="containsText" dxfId="88" priority="14" operator="containsText" text="ADMITTED"/>
    <x:cfRule type="containsText" dxfId="89" priority="15" operator="containsText" text="RELEASE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29" hidden="0" customWidth="1"/>
    <x:col min="4" max="4" width="16" hidden="0" customWidth="1"/>
    <x:col min="5" max="5" width="16" hidden="0" customWidth="1"/>
    <x:col min="6" max="6" width="24" hidden="0" customWidth="1"/>
    <x:col min="7" max="7" width="42" hidden="0" customWidth="1"/>
    <x:col min="8" max="8" width="16" hidden="0" customWidth="1"/>
  </x:cols>
  <x:sheetData>
    <x:row r="2">
      <x:c r="B2" s="1" t="str">
        <x:v>Hydraulic and structural waveform</x:v>
      </x:c>
      <x:c r="C2" s="81"/>
      <x:c r="D2" s="81"/>
      <x:c r="E2" s="81"/>
      <x:c r="F2" s="81"/>
      <x:c r="G2" s="81"/>
      <x:c r="H2" s="81"/>
      <x:c r="I2" s="81"/>
      <x:c r="J2" s="81"/>
      <x:c r="K2" s="81"/>
    </x:row>
    <x:row r="3">
      <x:c r="B3" s="2" t="str">
        <x:v>Measured article pressure governs. Commanded pressure, fixture response and root channels remain separate.</x:v>
      </x:c>
      <x:c r="C3" s="81"/>
      <x:c r="D3" s="81"/>
      <x:c r="E3" s="81"/>
      <x:c r="F3" s="81"/>
      <x:c r="G3" s="81"/>
      <x:c r="H3" s="81"/>
      <x:c r="I3" s="81"/>
      <x:c r="J3" s="81"/>
      <x:c r="K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</x:row>
    <x:row r="6">
      <x:c r="B6" s="15" t="str">
        <x:v>Phase</x:v>
      </x:c>
      <x:c r="C6" s="16" t="str">
        <x:v>Command</x:v>
      </x:c>
      <x:c r="D6" s="16" t="str">
        <x:v>Target</x:v>
      </x:c>
      <x:c r="E6" s="16" t="str">
        <x:v>Unit</x:v>
      </x:c>
      <x:c r="F6" s="16" t="str">
        <x:v>Duration/count</x:v>
      </x:c>
      <x:c r="G6" s="16" t="str">
        <x:v>Decision purpose</x:v>
      </x:c>
      <x:c r="H6" s="16" t="str">
        <x:v>Planning state</x:v>
      </x:c>
      <x:c r="I6" s="81"/>
      <x:c r="J6" s="81"/>
      <x:c r="K6" s="81"/>
    </x:row>
    <x:row r="7" ht="42" customHeight="1">
      <x:c r="B7" s="92" t="str">
        <x:v>W00</x:v>
      </x:c>
      <x:c r="C7" s="93" t="str">
        <x:v>stabilize</x:v>
      </x:c>
      <x:c r="D7" s="94" t="n">
        <x:v>0.05</x:v>
      </x:c>
      <x:c r="E7" s="93" t="str">
        <x:v>MPa</x:v>
      </x:c>
      <x:c r="F7" s="93" t="str">
        <x:v>10 min</x:v>
      </x:c>
      <x:c r="G7" s="93" t="str">
        <x:v>filled, vented thermal and leak baseline</x:v>
      </x:c>
      <x:c r="H7" s="95" t="str">
        <x:f>IF(AND(B7&lt;&gt;"",C7&lt;&gt;"",D7&lt;&gt;"",E7&lt;&gt;"",F7&lt;&gt;"",G7&lt;&gt;""),"PASS","FAIL")</x:f>
        <x:v>PASS</x:v>
      </x:c>
      <x:c r="I7" s="81"/>
      <x:c r="J7" s="81"/>
      <x:c r="K7" s="81"/>
    </x:row>
    <x:row r="8" ht="42" customHeight="1">
      <x:c r="B8" s="92" t="str">
        <x:v>W01</x:v>
      </x:c>
      <x:c r="C8" s="93" t="str">
        <x:v>working-pressure ramp</x:v>
      </x:c>
      <x:c r="D8" s="94" t="n">
        <x:v>0.7</x:v>
      </x:c>
      <x:c r="E8" s="93" t="str">
        <x:v>MPa</x:v>
      </x:c>
      <x:c r="F8" s="93" t="str">
        <x:v>15 min</x:v>
      </x:c>
      <x:c r="G8" s="93" t="str">
        <x:v>elastic response and discontinuity</x:v>
      </x:c>
      <x:c r="H8" s="95" t="str">
        <x:f>IF(AND(B8&lt;&gt;"",C8&lt;&gt;"",D8&lt;&gt;"",E8&lt;&gt;"",F8&lt;&gt;"",G8&lt;&gt;""),"PASS","FAIL")</x:f>
        <x:v>PASS</x:v>
      </x:c>
      <x:c r="I8" s="81"/>
      <x:c r="J8" s="81"/>
      <x:c r="K8" s="81"/>
    </x:row>
    <x:row r="9" ht="42" customHeight="1">
      <x:c r="B9" s="92" t="str">
        <x:v>W02</x:v>
      </x:c>
      <x:c r="C9" s="93" t="str">
        <x:v>working-pressure hold</x:v>
      </x:c>
      <x:c r="D9" s="94" t="n">
        <x:v>0.7</x:v>
      </x:c>
      <x:c r="E9" s="93" t="str">
        <x:v>MPa</x:v>
      </x:c>
      <x:c r="F9" s="93" t="str">
        <x:v>60 min</x:v>
      </x:c>
      <x:c r="G9" s="93" t="str">
        <x:v>leakage and drift</x:v>
      </x:c>
      <x:c r="H9" s="95" t="str">
        <x:f>IF(AND(B9&lt;&gt;"",C9&lt;&gt;"",D9&lt;&gt;"",E9&lt;&gt;"",F9&lt;&gt;"",G9&lt;&gt;""),"PASS","FAIL")</x:f>
        <x:v>PASS</x:v>
      </x:c>
      <x:c r="I9" s="81"/>
      <x:c r="J9" s="81"/>
      <x:c r="K9" s="81"/>
    </x:row>
    <x:row r="10" ht="42" customHeight="1">
      <x:c r="B10" s="92" t="str">
        <x:v>W03</x:v>
      </x:c>
      <x:c r="C10" s="93" t="str">
        <x:v>proof ramp and hold</x:v>
      </x:c>
      <x:c r="D10" s="94" t="n">
        <x:v>1.05</x:v>
      </x:c>
      <x:c r="E10" s="93" t="str">
        <x:v>MPa</x:v>
      </x:c>
      <x:c r="F10" s="93" t="str">
        <x:v>75 min; 60 min hold</x:v>
      </x:c>
      <x:c r="G10" s="93" t="str">
        <x:v>full-bore proof</x:v>
      </x:c>
      <x:c r="H10" s="95" t="str">
        <x:f>IF(AND(B10&lt;&gt;"",C10&lt;&gt;"",D10&lt;&gt;"",E10&lt;&gt;"",F10&lt;&gt;"",G10&lt;&gt;""),"PASS","FAIL")</x:f>
        <x:v>PASS</x:v>
      </x:c>
      <x:c r="I10" s="81"/>
      <x:c r="J10" s="81"/>
      <x:c r="K10" s="81"/>
    </x:row>
    <x:row r="11" ht="42" customHeight="1">
      <x:c r="B11" s="92" t="str">
        <x:v>W04</x:v>
      </x:c>
      <x:c r="C11" s="93" t="str">
        <x:v>pressure cycling</x:v>
      </x:c>
      <x:c r="D11" s="94" t="n">
        <x:v>50000</x:v>
      </x:c>
      <x:c r="E11" s="93" t="str">
        <x:v>cycles</x:v>
      </x:c>
      <x:c r="F11" s="93" t="str">
        <x:v>0.10–0.20 Hz</x:v>
      </x:c>
      <x:c r="G11" s="93" t="str">
        <x:v>fatigue and inspection drift</x:v>
      </x:c>
      <x:c r="H11" s="95" t="str">
        <x:f>IF(AND(B11&lt;&gt;"",C11&lt;&gt;"",D11&lt;&gt;"",E11&lt;&gt;"",F11&lt;&gt;"",G11&lt;&gt;""),"PASS","FAIL")</x:f>
        <x:v>PASS</x:v>
      </x:c>
      <x:c r="I11" s="81"/>
      <x:c r="J11" s="81"/>
      <x:c r="K11" s="81"/>
    </x:row>
    <x:row r="12" ht="42" customHeight="1">
      <x:c r="B12" s="92" t="str">
        <x:v>W05</x:v>
      </x:c>
      <x:c r="C12" s="93" t="str">
        <x:v>slow surge</x:v>
      </x:c>
      <x:c r="D12" s="94" t="n">
        <x:v>0.85</x:v>
      </x:c>
      <x:c r="E12" s="93" t="str">
        <x:v>MPa</x:v>
      </x:c>
      <x:c r="F12" s="93" t="str">
        <x:v>25 pulses</x:v>
      </x:c>
      <x:c r="G12" s="93" t="str">
        <x:v>pump/control transient</x:v>
      </x:c>
      <x:c r="H12" s="95" t="str">
        <x:f>IF(AND(B12&lt;&gt;"",C12&lt;&gt;"",D12&lt;&gt;"",E12&lt;&gt;"",F12&lt;&gt;"",G12&lt;&gt;""),"PASS","FAIL")</x:f>
        <x:v>PASS</x:v>
      </x:c>
      <x:c r="I12" s="81"/>
      <x:c r="J12" s="81"/>
      <x:c r="K12" s="81"/>
    </x:row>
    <x:row r="13" ht="42" customHeight="1">
      <x:c r="B13" s="92" t="str">
        <x:v>W06</x:v>
      </x:c>
      <x:c r="C13" s="93" t="str">
        <x:v>fast surge</x:v>
      </x:c>
      <x:c r="D13" s="94" t="n">
        <x:v>0.85</x:v>
      </x:c>
      <x:c r="E13" s="93" t="str">
        <x:v>MPa</x:v>
      </x:c>
      <x:c r="F13" s="93" t="str">
        <x:v>25 pulses</x:v>
      </x:c>
      <x:c r="G13" s="93" t="str">
        <x:v>valve/restraint transient</x:v>
      </x:c>
      <x:c r="H13" s="95" t="str">
        <x:f>IF(AND(B13&lt;&gt;"",C13&lt;&gt;"",D13&lt;&gt;"",E13&lt;&gt;"",F13&lt;&gt;"",G13&lt;&gt;""),"PASS","FAIL")</x:f>
        <x:v>PASS</x:v>
      </x:c>
      <x:c r="I13" s="81"/>
      <x:c r="J13" s="81"/>
      <x:c r="K13" s="81"/>
    </x:row>
    <x:row r="14" ht="42" customHeight="1">
      <x:c r="B14" s="92" t="str">
        <x:v>W07</x:v>
      </x:c>
      <x:c r="C14" s="93" t="str">
        <x:v>oscillatory packet</x:v>
      </x:c>
      <x:c r="D14" s="94" t="n">
        <x:v>0.85</x:v>
      </x:c>
      <x:c r="E14" s="93" t="str">
        <x:v>MPa peak</x:v>
      </x:c>
      <x:c r="F14" s="93" t="str">
        <x:v>100 pulses</x:v>
      </x:c>
      <x:c r="G14" s="93" t="str">
        <x:v>resonance and closure response</x:v>
      </x:c>
      <x:c r="H14" s="95" t="str">
        <x:f>IF(AND(B14&lt;&gt;"",C14&lt;&gt;"",D14&lt;&gt;"",E14&lt;&gt;"",F14&lt;&gt;"",G14&lt;&gt;""),"PASS","FAIL")</x:f>
        <x:v>PASS</x:v>
      </x:c>
      <x:c r="I14" s="81"/>
      <x:c r="J14" s="81"/>
      <x:c r="K14" s="81"/>
    </x:row>
    <x:row r="15" ht="42" customHeight="1">
      <x:c r="B15" s="92" t="str">
        <x:v>W08</x:v>
      </x:c>
      <x:c r="C15" s="93" t="str">
        <x:v>vacuum challenge</x:v>
      </x:c>
      <x:c r="D15" s="94" t="n">
        <x:v>-0.085</x:v>
      </x:c>
      <x:c r="E15" s="93" t="str">
        <x:v>MPa</x:v>
      </x:c>
      <x:c r="F15" s="93" t="str">
        <x:v>30 min</x:v>
      </x:c>
      <x:c r="G15" s="93" t="str">
        <x:v>collapse, seal and ingress state</x:v>
      </x:c>
      <x:c r="H15" s="95" t="str">
        <x:f>IF(AND(B15&lt;&gt;"",C15&lt;&gt;"",D15&lt;&gt;"",E15&lt;&gt;"",F15&lt;&gt;"",G15&lt;&gt;""),"PASS","FAIL")</x:f>
        <x:v>PASS</x:v>
      </x:c>
      <x:c r="I15" s="81"/>
      <x:c r="J15" s="81"/>
      <x:c r="K15" s="81"/>
    </x:row>
    <x:row r="16" ht="42" customHeight="1">
      <x:c r="B16" s="92" t="str">
        <x:v>W09</x:v>
      </x:c>
      <x:c r="C16" s="93" t="str">
        <x:v>post-vacuum service</x:v>
      </x:c>
      <x:c r="D16" s="94" t="n">
        <x:v>0.7</x:v>
      </x:c>
      <x:c r="E16" s="93" t="str">
        <x:v>MPa</x:v>
      </x:c>
      <x:c r="F16" s="93" t="str">
        <x:v>30 min</x:v>
      </x:c>
      <x:c r="G16" s="93" t="str">
        <x:v>recovery geometry and leakage</x:v>
      </x:c>
      <x:c r="H16" s="95" t="str">
        <x:f>IF(AND(B16&lt;&gt;"",C16&lt;&gt;"",D16&lt;&gt;"",E16&lt;&gt;"",F16&lt;&gt;"",G16&lt;&gt;""),"PASS","FAIL")</x:f>
        <x:v>PASS</x:v>
      </x:c>
      <x:c r="I16" s="81"/>
      <x:c r="J16" s="81"/>
      <x:c r="K16" s="81"/>
    </x:row>
    <x:row r="17" ht="42" customHeight="1">
      <x:c r="B17" s="92" t="str">
        <x:v>W10</x:v>
      </x:c>
      <x:c r="C17" s="93" t="str">
        <x:v>final proof</x:v>
      </x:c>
      <x:c r="D17" s="94" t="n">
        <x:v>1.05</x:v>
      </x:c>
      <x:c r="E17" s="93" t="str">
        <x:v>MPa</x:v>
      </x:c>
      <x:c r="F17" s="93" t="str">
        <x:v>75 min; 60 min hold</x:v>
      </x:c>
      <x:c r="G17" s="93" t="str">
        <x:v>nondestructive final acceptance</x:v>
      </x:c>
      <x:c r="H17" s="95" t="str">
        <x:f>IF(AND(B17&lt;&gt;"",C17&lt;&gt;"",D17&lt;&gt;"",E17&lt;&gt;"",F17&lt;&gt;"",G17&lt;&gt;""),"PASS","FAIL")</x:f>
        <x:v>PASS</x:v>
      </x:c>
      <x:c r="I17" s="81"/>
      <x:c r="J17" s="81"/>
      <x:c r="K17" s="81"/>
    </x:row>
    <x:row r="18" ht="42" customHeight="1">
      <x:c r="B18" s="97" t="str">
        <x:v>W11</x:v>
      </x:c>
      <x:c r="C18" s="98" t="str">
        <x:v>controlled ultimate ramp</x:v>
      </x:c>
      <x:c r="D18" s="99" t="n">
        <x:v>1.4</x:v>
      </x:c>
      <x:c r="E18" s="98" t="str">
        <x:v>MPa maximum</x:v>
      </x:c>
      <x:c r="F18" s="98" t="str">
        <x:v>destructive subset</x:v>
      </x:c>
      <x:c r="G18" s="98" t="str">
        <x:v>characterization only; not acceptance</x:v>
      </x:c>
      <x:c r="H18" s="100" t="str">
        <x:f>IF(AND(B18&lt;&gt;"",C18&lt;&gt;"",D18&lt;&gt;"",E18&lt;&gt;"",F18&lt;&gt;"",G18&lt;&gt;""),"PASS","FAIL")</x:f>
        <x:v>PASS</x:v>
      </x:c>
      <x:c r="I18" s="81"/>
      <x:c r="J18" s="81"/>
      <x:c r="K18" s="81"/>
    </x:row>
  </x:sheetData>
  <x:mergeCells>
    <x:mergeCell ref="B3:K3"/>
  </x:mergeCells>
  <x:conditionalFormatting sqref="H7:H18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HOLD"/>
    <x:cfRule type="containsText" dxfId="93" priority="4" operator="containsText" text="OPEN"/>
    <x:cfRule type="containsText" dxfId="94" priority="5" operator="containsText" text="UNTESTED"/>
    <x:cfRule type="containsText" dxfId="95" priority="6" operator="containsText" text="INDETERMINATE"/>
    <x:cfRule type="containsText" dxfId="96" priority="7" operator="containsText" text="PASS"/>
    <x:cfRule type="containsText" dxfId="97" priority="8" operator="containsText" text="CLOSED"/>
    <x:cfRule type="containsText" dxfId="98" priority="9" operator="containsText" text="READY"/>
    <x:cfRule type="containsText" dxfId="99" priority="10" operator="containsText" text="AUTHORIZED"/>
    <x:cfRule type="containsText" dxfId="100" priority="11" operator="containsText" text="PLANNING PASS"/>
    <x:cfRule type="containsText" dxfId="101" priority="12" operator="containsText" text="COMPLETE"/>
    <x:cfRule type="containsText" dxfId="102" priority="13" operator="containsText" text="ACCEPTED"/>
    <x:cfRule type="containsText" dxfId="103" priority="14" operator="containsText" text="ADMITTED"/>
    <x:cfRule type="containsText" dxfId="104" priority="15" operator="containsText" text="RELEASE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0" hidden="0" customWidth="1"/>
    <x:col min="3" max="3" width="34" hidden="0" customWidth="1"/>
    <x:col min="4" max="4" width="42" hidden="0" customWidth="1"/>
    <x:col min="5" max="5" width="22" hidden="0" customWidth="1"/>
    <x:col min="6" max="6" width="30" hidden="0" customWidth="1"/>
    <x:col min="7" max="7" width="23" hidden="0" customWidth="1"/>
    <x:col min="8" max="8" width="16" hidden="0" customWidth="1"/>
  </x:cols>
  <x:sheetData>
    <x:row r="2">
      <x:c r="B2" s="1" t="str">
        <x:v>Blind closure-defect library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Defect truth and magnitude remain sealed until the root disposition and required originals are frozen.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Code</x:v>
      </x:c>
      <x:c r="C6" s="16" t="str">
        <x:v>Defect family</x:v>
      </x:c>
      <x:c r="D6" s="16" t="str">
        <x:v>Truth method</x:v>
      </x:c>
      <x:c r="E6" s="16" t="str">
        <x:v>Required disposition</x:v>
      </x:c>
      <x:c r="F6" s="16" t="str">
        <x:v>Decision class</x:v>
      </x:c>
      <x:c r="G6" s="16" t="str">
        <x:v>Detection limit registered</x:v>
      </x:c>
      <x:c r="H6" s="16" t="str">
        <x:v>Planning state</x:v>
      </x:c>
      <x:c r="I6" s="81"/>
      <x:c r="J6" s="81"/>
    </x:row>
    <x:row r="7" ht="45" customHeight="1">
      <x:c r="B7" s="92" t="str">
        <x:v>CF01</x:v>
      </x:c>
      <x:c r="C7" s="93" t="str">
        <x:v>incomplete formation</x:v>
      </x:c>
      <x:c r="D7" s="93" t="str">
        <x:v>preclosure geometry plus destructive opening</x:v>
      </x:c>
      <x:c r="E7" s="93" t="str">
        <x:v>REJECT</x:v>
      </x:c>
      <x:c r="F7" s="93" t="str">
        <x:v>critical above detection limit</x:v>
      </x:c>
      <x:c r="G7" s="92" t="n">
        <x:v>1</x:v>
      </x:c>
      <x:c r="H7" s="102" t="str">
        <x:f>IF(AND(COUNTA(B7:F7)=5,G7=1),"PASS","FAIL")</x:f>
        <x:v>PASS</x:v>
      </x:c>
      <x:c r="I7" s="81"/>
      <x:c r="J7" s="81"/>
    </x:row>
    <x:row r="8" ht="45" customHeight="1">
      <x:c r="B8" s="92" t="str">
        <x:v>CF02</x:v>
      </x:c>
      <x:c r="C8" s="93" t="str">
        <x:v>entrapped registered particulate</x:v>
      </x:c>
      <x:c r="D8" s="93" t="str">
        <x:v>sealed insertion plus microscopy</x:v>
      </x:c>
      <x:c r="E8" s="93" t="str">
        <x:v>REJECT</x:v>
      </x:c>
      <x:c r="F8" s="93" t="str">
        <x:v>critical above detection limit</x:v>
      </x:c>
      <x:c r="G8" s="92" t="n">
        <x:v>1</x:v>
      </x:c>
      <x:c r="H8" s="102" t="str">
        <x:f>IF(AND(COUNTA(B8:F8)=5,G8=1),"PASS","FAIL")</x:f>
        <x:v>PASS</x:v>
      </x:c>
      <x:c r="I8" s="81"/>
      <x:c r="J8" s="81"/>
    </x:row>
    <x:row r="9" ht="45" customHeight="1">
      <x:c r="B9" s="92" t="str">
        <x:v>CF03</x:v>
      </x:c>
      <x:c r="C9" s="93" t="str">
        <x:v>under-process zone</x:v>
      </x:c>
      <x:c r="D9" s="93" t="str">
        <x:v>independent native-process witness</x:v>
      </x:c>
      <x:c r="E9" s="93" t="str">
        <x:v>REJECT</x:v>
      </x:c>
      <x:c r="F9" s="93" t="str">
        <x:v>critical above detection limit</x:v>
      </x:c>
      <x:c r="G9" s="92" t="n">
        <x:v>1</x:v>
      </x:c>
      <x:c r="H9" s="102" t="str">
        <x:f>IF(AND(COUNTA(B9:F9)=5,G9=1),"PASS","FAIL")</x:f>
        <x:v>PASS</x:v>
      </x:c>
      <x:c r="I9" s="81"/>
      <x:c r="J9" s="81"/>
    </x:row>
    <x:row r="10" ht="45" customHeight="1">
      <x:c r="B10" s="92" t="str">
        <x:v>CF04</x:v>
      </x:c>
      <x:c r="C10" s="93" t="str">
        <x:v>over-process damage</x:v>
      </x:c>
      <x:c r="D10" s="93" t="str">
        <x:v>thermal/mechanical witness plus section</x:v>
      </x:c>
      <x:c r="E10" s="93" t="str">
        <x:v>REJECT</x:v>
      </x:c>
      <x:c r="F10" s="93" t="str">
        <x:v>critical above detection limit</x:v>
      </x:c>
      <x:c r="G10" s="92" t="n">
        <x:v>1</x:v>
      </x:c>
      <x:c r="H10" s="102" t="str">
        <x:f>IF(AND(COUNTA(B10:F10)=5,G10=1),"PASS","FAIL")</x:f>
        <x:v>PASS</x:v>
      </x:c>
      <x:c r="I10" s="81"/>
      <x:c r="J10" s="81"/>
    </x:row>
    <x:row r="11" ht="45" customHeight="1">
      <x:c r="B11" s="92" t="str">
        <x:v>CF05</x:v>
      </x:c>
      <x:c r="C11" s="93" t="str">
        <x:v>pressure/barrier microchannel</x:v>
      </x:c>
      <x:c r="D11" s="93" t="str">
        <x:v>calibrated leak path and tracer recovery</x:v>
      </x:c>
      <x:c r="E11" s="93" t="str">
        <x:v>REJECT</x:v>
      </x:c>
      <x:c r="F11" s="93" t="str">
        <x:v>critical above detection limit</x:v>
      </x:c>
      <x:c r="G11" s="92" t="n">
        <x:v>1</x:v>
      </x:c>
      <x:c r="H11" s="102" t="str">
        <x:f>IF(AND(COUNTA(B11:F11)=5,G11=1),"PASS","FAIL")</x:f>
        <x:v>PASS</x:v>
      </x:c>
      <x:c r="I11" s="81"/>
      <x:c r="J11" s="81"/>
    </x:row>
    <x:row r="12" ht="45" customHeight="1">
      <x:c r="B12" s="92" t="str">
        <x:v>CF06</x:v>
      </x:c>
      <x:c r="C12" s="93" t="str">
        <x:v>axial, radial or layer mismatch</x:v>
      </x:c>
      <x:c r="D12" s="93" t="str">
        <x:v>independent geometry map</x:v>
      </x:c>
      <x:c r="E12" s="93" t="str">
        <x:v>REJECT</x:v>
      </x:c>
      <x:c r="F12" s="93" t="str">
        <x:v>critical above detection limit</x:v>
      </x:c>
      <x:c r="G12" s="92" t="n">
        <x:v>1</x:v>
      </x:c>
      <x:c r="H12" s="102" t="str">
        <x:f>IF(AND(COUNTA(B12:F12)=5,G12=1),"PASS","FAIL")</x:f>
        <x:v>PASS</x:v>
      </x:c>
      <x:c r="I12" s="81"/>
      <x:c r="J12" s="81"/>
    </x:row>
    <x:row r="13" ht="45" customHeight="1">
      <x:c r="B13" s="92" t="str">
        <x:v>CF07</x:v>
      </x:c>
      <x:c r="C13" s="93" t="str">
        <x:v>material/consumable substitution</x:v>
      </x:c>
      <x:c r="D13" s="93" t="str">
        <x:v>blind passport and assay</x:v>
      </x:c>
      <x:c r="E13" s="93" t="str">
        <x:v>REJECT</x:v>
      </x:c>
      <x:c r="F13" s="93" t="str">
        <x:v>configuration critical</x:v>
      </x:c>
      <x:c r="G13" s="92" t="n">
        <x:v>1</x:v>
      </x:c>
      <x:c r="H13" s="102" t="str">
        <x:f>IF(AND(COUNTA(B13:F13)=5,G13=1),"PASS","FAIL")</x:f>
        <x:v>PASS</x:v>
      </x:c>
      <x:c r="I13" s="81"/>
      <x:c r="J13" s="81"/>
    </x:row>
    <x:row r="14" ht="45" customHeight="1">
      <x:c r="B14" s="97" t="str">
        <x:v>CF08</x:v>
      </x:c>
      <x:c r="C14" s="98" t="str">
        <x:v>recipe, firmware or calibration drift</x:v>
      </x:c>
      <x:c r="D14" s="98" t="str">
        <x:v>signed baseline comparison</x:v>
      </x:c>
      <x:c r="E14" s="98" t="str">
        <x:v>REJECT</x:v>
      </x:c>
      <x:c r="F14" s="98" t="str">
        <x:v>configuration critical</x:v>
      </x:c>
      <x:c r="G14" s="97" t="n">
        <x:v>1</x:v>
      </x:c>
      <x:c r="H14" s="101" t="str">
        <x:f>IF(AND(COUNTA(B14:F14)=5,G14=1),"PASS","FAIL")</x:f>
        <x:v>PASS</x:v>
      </x:c>
      <x:c r="I14" s="81"/>
      <x:c r="J14" s="81"/>
    </x:row>
  </x:sheetData>
  <x:mergeCells>
    <x:mergeCell ref="B3:J3"/>
  </x:mergeCells>
  <x:conditionalFormatting sqref="H7:H14">
    <x:cfRule type="containsText" dxfId="105" priority="1" operator="containsText" text="FAIL"/>
    <x:cfRule type="containsText" dxfId="106" priority="2" operator="containsText" text="BLOCKED"/>
    <x:cfRule type="containsText" dxfId="107" priority="3" operator="containsText" text="HOLD"/>
    <x:cfRule type="containsText" dxfId="108" priority="4" operator="containsText" text="OPEN"/>
    <x:cfRule type="containsText" dxfId="109" priority="5" operator="containsText" text="UNTESTED"/>
    <x:cfRule type="containsText" dxfId="110" priority="6" operator="containsText" text="INDETERMINATE"/>
    <x:cfRule type="containsText" dxfId="111" priority="7" operator="containsText" text="PASS"/>
    <x:cfRule type="containsText" dxfId="112" priority="8" operator="containsText" text="CLOSED"/>
    <x:cfRule type="containsText" dxfId="113" priority="9" operator="containsText" text="READY"/>
    <x:cfRule type="containsText" dxfId="114" priority="10" operator="containsText" text="AUTHORIZED"/>
    <x:cfRule type="containsText" dxfId="115" priority="11" operator="containsText" text="PLANNING PASS"/>
    <x:cfRule type="containsText" dxfId="116" priority="12" operator="containsText" text="COMPLETE"/>
    <x:cfRule type="containsText" dxfId="117" priority="13" operator="containsText" text="ACCEPTED"/>
    <x:cfRule type="containsText" dxfId="118" priority="14" operator="containsText" text="ADMITTED"/>
    <x:cfRule type="containsText" dxfId="119" priority="15" operator="containsText" text="RELEASE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9" hidden="0" customWidth="1"/>
    <x:col min="4" max="4" width="10" hidden="0" customWidth="1"/>
    <x:col min="5" max="5" width="13" hidden="0" customWidth="1"/>
    <x:col min="6" max="6" width="32" hidden="0" customWidth="1"/>
    <x:col min="7" max="7" width="38" hidden="0" customWidth="1"/>
    <x:col min="8" max="8" width="15" hidden="0" customWidth="1"/>
    <x:col min="9" max="9" width="11" hidden="0" customWidth="1"/>
    <x:col min="10" max="10" width="16" hidden="0" customWidth="1"/>
    <x:col min="11" max="11" width="20" hidden="0" customWidth="1"/>
    <x:col min="12" max="12" width="20" hidden="0" customWidth="1"/>
    <x:col min="13" max="13" width="18" hidden="0" customWidth="1"/>
    <x:col min="14" max="14" width="15" hidden="0" customWidth="1"/>
  </x:cols>
  <x:sheetData>
    <x:row r="2">
      <x:c r="B2" s="1" t="str">
        <x:v>Twenty-six full-bore injury and restoration runs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</x:row>
    <x:row r="3">
      <x:c r="B3" s="2" t="str">
        <x:v>Every run must close hydraulic, clock, sanitary, configuration and evidence decisions. One failure cannot be averaged away.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  <x:c r="N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  <x:c r="N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  <x:c r="N5" s="81"/>
    </x:row>
    <x:row r="6">
      <x:c r="B6" s="15" t="str">
        <x:v>Run</x:v>
      </x:c>
      <x:c r="C6" s="16" t="str">
        <x:v>Root</x:v>
      </x:c>
      <x:c r="D6" s="16" t="str">
        <x:v>Damage</x:v>
      </x:c>
      <x:c r="E6" s="16" t="str">
        <x:v>Disclosure</x:v>
      </x:c>
      <x:c r="F6" s="16" t="str">
        <x:v>Injury state</x:v>
      </x:c>
      <x:c r="G6" s="16" t="str">
        <x:v>Controlled proposition</x:v>
      </x:c>
      <x:c r="H6" s="16" t="str">
        <x:v>Cell length m</x:v>
      </x:c>
      <x:c r="I6" s="16" t="str">
        <x:v>Started</x:v>
      </x:c>
      <x:c r="J6" s="16" t="str">
        <x:v>Total minutes</x:v>
      </x:c>
      <x:c r="K6" s="16" t="str">
        <x:v>Hydraulic accepted</x:v>
      </x:c>
      <x:c r="L6" s="16" t="str">
        <x:v>Sanitary accepted</x:v>
      </x:c>
      <x:c r="M6" s="16" t="str">
        <x:v>Evidence complete</x:v>
      </x:c>
      <x:c r="N6" s="16" t="str">
        <x:v>Run state</x:v>
      </x:c>
    </x:row>
    <x:row r="7" ht="42" customHeight="1">
      <x:c r="B7" s="92" t="str">
        <x:v>R1-D01</x:v>
      </x:c>
      <x:c r="C7" s="92" t="str">
        <x:v>R1</x:v>
      </x:c>
      <x:c r="D7" s="92" t="str">
        <x:v>D01</x:v>
      </x:c>
      <x:c r="E7" s="93" t="str">
        <x:v>DISCLOSED</x:v>
      </x:c>
      <x:c r="F7" s="93" t="str">
        <x:v>clean guillotine transection</x:v>
      </x:c>
      <x:c r="G7" s="93" t="str">
        <x:v>complete boundary separation</x:v>
      </x:c>
      <x:c r="H7" s="93" t="n">
        <x:v>120</x:v>
      </x:c>
      <x:c r="I7" s="93" t="n">
        <x:v>0</x:v>
      </x:c>
      <x:c r="J7" s="93" t="n">
        <x:v>0</x:v>
      </x:c>
      <x:c r="K7" s="93" t="n">
        <x:v>0</x:v>
      </x:c>
      <x:c r="L7" s="93" t="n">
        <x:v>0</x:v>
      </x:c>
      <x:c r="M7" s="93" t="n">
        <x:v>0</x:v>
      </x:c>
      <x:c r="N7" s="95" t="str">
        <x:f>IF(I7=0,"OPEN",IF(AND(J7&lt;='Control Inputs'!D19,K7=1,L7=1,M7=1),"PASS","FAIL"))</x:f>
        <x:v>OPEN</x:v>
      </x:c>
    </x:row>
    <x:row r="8" ht="42" customHeight="1">
      <x:c r="B8" s="92" t="str">
        <x:v>R1-D02</x:v>
      </x:c>
      <x:c r="C8" s="92" t="str">
        <x:v>R1</x:v>
      </x:c>
      <x:c r="D8" s="92" t="str">
        <x:v>D02</x:v>
      </x:c>
      <x:c r="E8" s="93" t="str">
        <x:v>DISCLOSED</x:v>
      </x:c>
      <x:c r="F8" s="93" t="str">
        <x:v>jagged crush and ovalization</x:v>
      </x:c>
      <x:c r="G8" s="93" t="str">
        <x:v>area collapse plus torn nonplanar edges</x:v>
      </x:c>
      <x:c r="H8" s="93" t="n">
        <x:v>120</x:v>
      </x:c>
      <x:c r="I8" s="93" t="n">
        <x:v>0</x:v>
      </x:c>
      <x:c r="J8" s="93" t="n">
        <x:v>0</x:v>
      </x:c>
      <x:c r="K8" s="93" t="n">
        <x:v>0</x:v>
      </x:c>
      <x:c r="L8" s="93" t="n">
        <x:v>0</x:v>
      </x:c>
      <x:c r="M8" s="93" t="n">
        <x:v>0</x:v>
      </x:c>
      <x:c r="N8" s="95" t="str">
        <x:f>IF(I8=0,"OPEN",IF(AND(J8&lt;='Control Inputs'!D19,K8=1,L8=1,M8=1),"PASS","FAIL"))</x:f>
        <x:v>OPEN</x:v>
      </x:c>
    </x:row>
    <x:row r="9" ht="42" customHeight="1">
      <x:c r="B9" s="92" t="str">
        <x:v>R1-D03</x:v>
      </x:c>
      <x:c r="C9" s="92" t="str">
        <x:v>R1</x:v>
      </x:c>
      <x:c r="D9" s="92" t="str">
        <x:v>D03</x:v>
      </x:c>
      <x:c r="E9" s="93" t="str">
        <x:v>DISCLOSED</x:v>
      </x:c>
      <x:c r="F9" s="93" t="str">
        <x:v>puncture with axial tear</x:v>
      </x:c>
      <x:c r="G9" s="93" t="str">
        <x:v>20 kN puncture plus controlled propagation</x:v>
      </x:c>
      <x:c r="H9" s="93" t="n">
        <x:v>120</x:v>
      </x:c>
      <x:c r="I9" s="93" t="n">
        <x:v>0</x:v>
      </x:c>
      <x:c r="J9" s="93" t="n">
        <x:v>0</x:v>
      </x:c>
      <x:c r="K9" s="93" t="n">
        <x:v>0</x:v>
      </x:c>
      <x:c r="L9" s="93" t="n">
        <x:v>0</x:v>
      </x:c>
      <x:c r="M9" s="93" t="n">
        <x:v>0</x:v>
      </x:c>
      <x:c r="N9" s="95" t="str">
        <x:f>IF(I9=0,"OPEN",IF(AND(J9&lt;='Control Inputs'!D19,K9=1,L9=1,M9=1),"PASS","FAIL"))</x:f>
        <x:v>OPEN</x:v>
      </x:c>
    </x:row>
    <x:row r="10" ht="42" customHeight="1">
      <x:c r="B10" s="92" t="str">
        <x:v>R1-D04</x:v>
      </x:c>
      <x:c r="C10" s="92" t="str">
        <x:v>R1</x:v>
      </x:c>
      <x:c r="D10" s="92" t="str">
        <x:v>D04</x:v>
      </x:c>
      <x:c r="E10" s="93" t="str">
        <x:v>DISCLOSED</x:v>
      </x:c>
      <x:c r="F10" s="93" t="str">
        <x:v>closure pullout</x:v>
      </x:c>
      <x:c r="G10" s="93" t="str">
        <x:v>axial load to loss or 200 kN</x:v>
      </x:c>
      <x:c r="H10" s="93" t="n">
        <x:v>120</x:v>
      </x:c>
      <x:c r="I10" s="93" t="n">
        <x:v>0</x:v>
      </x:c>
      <x:c r="J10" s="93" t="n">
        <x:v>0</x:v>
      </x:c>
      <x:c r="K10" s="93" t="n">
        <x:v>0</x:v>
      </x:c>
      <x:c r="L10" s="93" t="n">
        <x:v>0</x:v>
      </x:c>
      <x:c r="M10" s="93" t="n">
        <x:v>0</x:v>
      </x:c>
      <x:c r="N10" s="95" t="str">
        <x:f>IF(I10=0,"OPEN",IF(AND(J10&lt;='Control Inputs'!D19,K10=1,L10=1,M10=1),"PASS","FAIL"))</x:f>
        <x:v>OPEN</x:v>
      </x:c>
    </x:row>
    <x:row r="11" ht="42" customHeight="1">
      <x:c r="B11" s="92" t="str">
        <x:v>R1-D05</x:v>
      </x:c>
      <x:c r="C11" s="92" t="str">
        <x:v>R1</x:v>
      </x:c>
      <x:c r="D11" s="92" t="str">
        <x:v>D05</x:v>
      </x:c>
      <x:c r="E11" s="93" t="str">
        <x:v>DISCLOSED</x:v>
      </x:c>
      <x:c r="F11" s="93" t="str">
        <x:v>contaminated breach</x:v>
      </x:c>
      <x:c r="G11" s="93" t="str">
        <x:v>sealed surrogate under inward gradient</x:v>
      </x:c>
      <x:c r="H11" s="93" t="n">
        <x:v>120</x:v>
      </x:c>
      <x:c r="I11" s="93" t="n">
        <x:v>0</x:v>
      </x:c>
      <x:c r="J11" s="93" t="n">
        <x:v>0</x:v>
      </x:c>
      <x:c r="K11" s="93" t="n">
        <x:v>0</x:v>
      </x:c>
      <x:c r="L11" s="93" t="n">
        <x:v>0</x:v>
      </x:c>
      <x:c r="M11" s="93" t="n">
        <x:v>0</x:v>
      </x:c>
      <x:c r="N11" s="95" t="str">
        <x:f>IF(I11=0,"OPEN",IF(AND(J11&lt;='Control Inputs'!D19,K11=1,L11=1,M11=1),"PASS","FAIL"))</x:f>
        <x:v>OPEN</x:v>
      </x:c>
    </x:row>
    <x:row r="12" ht="42" customHeight="1">
      <x:c r="B12" s="92" t="str">
        <x:v>R1-D06</x:v>
      </x:c>
      <x:c r="C12" s="92" t="str">
        <x:v>R1</x:v>
      </x:c>
      <x:c r="D12" s="92" t="str">
        <x:v>D06</x:v>
      </x:c>
      <x:c r="E12" s="93" t="str">
        <x:v>DISCLOSED</x:v>
      </x:c>
      <x:c r="F12" s="93" t="str">
        <x:v>pressure-bound settlement</x:v>
      </x:c>
      <x:c r="G12" s="93" t="str">
        <x:v>300 mm over 10 m at 0.70 MPa</x:v>
      </x:c>
      <x:c r="H12" s="93" t="n">
        <x:v>120</x:v>
      </x:c>
      <x:c r="I12" s="93" t="n">
        <x:v>0</x:v>
      </x:c>
      <x:c r="J12" s="93" t="n">
        <x:v>0</x:v>
      </x:c>
      <x:c r="K12" s="93" t="n">
        <x:v>0</x:v>
      </x:c>
      <x:c r="L12" s="93" t="n">
        <x:v>0</x:v>
      </x:c>
      <x:c r="M12" s="93" t="n">
        <x:v>0</x:v>
      </x:c>
      <x:c r="N12" s="95" t="str">
        <x:f>IF(I12=0,"OPEN",IF(AND(J12&lt;='Control Inputs'!D19,K12=1,L12=1,M12=1),"PASS","FAIL"))</x:f>
        <x:v>OPEN</x:v>
      </x:c>
    </x:row>
    <x:row r="13" ht="42" customHeight="1">
      <x:c r="B13" s="92" t="str">
        <x:v>R1-D07</x:v>
      </x:c>
      <x:c r="C13" s="92" t="str">
        <x:v>R1</x:v>
      </x:c>
      <x:c r="D13" s="92" t="str">
        <x:v>D07</x:v>
      </x:c>
      <x:c r="E13" s="93" t="str">
        <x:v>SEALED</x:v>
      </x:c>
      <x:c r="F13" s="93" t="str">
        <x:v>sealed combination A</x:v>
      </x:c>
      <x:c r="G13" s="93" t="str">
        <x:v>two or more registered mechanisms</x:v>
      </x:c>
      <x:c r="H13" s="93" t="n">
        <x:v>120</x:v>
      </x:c>
      <x:c r="I13" s="93" t="n">
        <x:v>0</x:v>
      </x:c>
      <x:c r="J13" s="93" t="n">
        <x:v>0</x:v>
      </x:c>
      <x:c r="K13" s="93" t="n">
        <x:v>0</x:v>
      </x:c>
      <x:c r="L13" s="93" t="n">
        <x:v>0</x:v>
      </x:c>
      <x:c r="M13" s="93" t="n">
        <x:v>0</x:v>
      </x:c>
      <x:c r="N13" s="95" t="str">
        <x:f>IF(I13=0,"OPEN",IF(AND(J13&lt;='Control Inputs'!D19,K13=1,L13=1,M13=1),"PASS","FAIL"))</x:f>
        <x:v>OPEN</x:v>
      </x:c>
    </x:row>
    <x:row r="14" ht="42" customHeight="1">
      <x:c r="B14" s="92" t="str">
        <x:v>R1-D08</x:v>
      </x:c>
      <x:c r="C14" s="92" t="str">
        <x:v>R1</x:v>
      </x:c>
      <x:c r="D14" s="92" t="str">
        <x:v>D08</x:v>
      </x:c>
      <x:c r="E14" s="93" t="str">
        <x:v>SEALED</x:v>
      </x:c>
      <x:c r="F14" s="93" t="str">
        <x:v>sealed combination B</x:v>
      </x:c>
      <x:c r="G14" s="93" t="str">
        <x:v>different combined surprise state</x:v>
      </x:c>
      <x:c r="H14" s="93" t="n">
        <x:v>120</x:v>
      </x:c>
      <x:c r="I14" s="93" t="n">
        <x:v>0</x:v>
      </x:c>
      <x:c r="J14" s="93" t="n">
        <x:v>0</x:v>
      </x:c>
      <x:c r="K14" s="93" t="n">
        <x:v>0</x:v>
      </x:c>
      <x:c r="L14" s="93" t="n">
        <x:v>0</x:v>
      </x:c>
      <x:c r="M14" s="93" t="n">
        <x:v>0</x:v>
      </x:c>
      <x:c r="N14" s="95" t="str">
        <x:f>IF(I14=0,"OPEN",IF(AND(J14&lt;='Control Inputs'!D19,K14=1,L14=1,M14=1),"PASS","FAIL"))</x:f>
        <x:v>OPEN</x:v>
      </x:c>
    </x:row>
    <x:row r="15" ht="42" customHeight="1">
      <x:c r="B15" s="92" t="str">
        <x:v>R2-D01</x:v>
      </x:c>
      <x:c r="C15" s="92" t="str">
        <x:v>R2</x:v>
      </x:c>
      <x:c r="D15" s="92" t="str">
        <x:v>D01</x:v>
      </x:c>
      <x:c r="E15" s="93" t="str">
        <x:v>DISCLOSED</x:v>
      </x:c>
      <x:c r="F15" s="93" t="str">
        <x:v>clean guillotine transection</x:v>
      </x:c>
      <x:c r="G15" s="93" t="str">
        <x:v>complete boundary separation</x:v>
      </x:c>
      <x:c r="H15" s="93" t="n">
        <x:v>120</x:v>
      </x:c>
      <x:c r="I15" s="93" t="n">
        <x:v>0</x:v>
      </x:c>
      <x:c r="J15" s="93" t="n">
        <x:v>0</x:v>
      </x:c>
      <x:c r="K15" s="93" t="n">
        <x:v>0</x:v>
      </x:c>
      <x:c r="L15" s="93" t="n">
        <x:v>0</x:v>
      </x:c>
      <x:c r="M15" s="93" t="n">
        <x:v>0</x:v>
      </x:c>
      <x:c r="N15" s="95" t="str">
        <x:f>IF(I15=0,"OPEN",IF(AND(J15&lt;='Control Inputs'!D19,K15=1,L15=1,M15=1),"PASS","FAIL"))</x:f>
        <x:v>OPEN</x:v>
      </x:c>
    </x:row>
    <x:row r="16" ht="42" customHeight="1">
      <x:c r="B16" s="92" t="str">
        <x:v>R2-D02</x:v>
      </x:c>
      <x:c r="C16" s="92" t="str">
        <x:v>R2</x:v>
      </x:c>
      <x:c r="D16" s="92" t="str">
        <x:v>D02</x:v>
      </x:c>
      <x:c r="E16" s="93" t="str">
        <x:v>DISCLOSED</x:v>
      </x:c>
      <x:c r="F16" s="93" t="str">
        <x:v>jagged crush and ovalization</x:v>
      </x:c>
      <x:c r="G16" s="93" t="str">
        <x:v>area collapse plus torn nonplanar edges</x:v>
      </x:c>
      <x:c r="H16" s="93" t="n">
        <x:v>120</x:v>
      </x:c>
      <x:c r="I16" s="93" t="n">
        <x:v>0</x:v>
      </x:c>
      <x:c r="J16" s="93" t="n">
        <x:v>0</x:v>
      </x:c>
      <x:c r="K16" s="93" t="n">
        <x:v>0</x:v>
      </x:c>
      <x:c r="L16" s="93" t="n">
        <x:v>0</x:v>
      </x:c>
      <x:c r="M16" s="93" t="n">
        <x:v>0</x:v>
      </x:c>
      <x:c r="N16" s="95" t="str">
        <x:f>IF(I16=0,"OPEN",IF(AND(J16&lt;='Control Inputs'!D19,K16=1,L16=1,M16=1),"PASS","FAIL"))</x:f>
        <x:v>OPEN</x:v>
      </x:c>
    </x:row>
    <x:row r="17" ht="42" customHeight="1">
      <x:c r="B17" s="92" t="str">
        <x:v>R2-D03</x:v>
      </x:c>
      <x:c r="C17" s="92" t="str">
        <x:v>R2</x:v>
      </x:c>
      <x:c r="D17" s="92" t="str">
        <x:v>D03</x:v>
      </x:c>
      <x:c r="E17" s="93" t="str">
        <x:v>DISCLOSED</x:v>
      </x:c>
      <x:c r="F17" s="93" t="str">
        <x:v>puncture with axial tear</x:v>
      </x:c>
      <x:c r="G17" s="93" t="str">
        <x:v>20 kN puncture plus controlled propagation</x:v>
      </x:c>
      <x:c r="H17" s="93" t="n">
        <x:v>120</x:v>
      </x:c>
      <x:c r="I17" s="93" t="n">
        <x:v>0</x:v>
      </x:c>
      <x:c r="J17" s="93" t="n">
        <x:v>0</x:v>
      </x:c>
      <x:c r="K17" s="93" t="n">
        <x:v>0</x:v>
      </x:c>
      <x:c r="L17" s="93" t="n">
        <x:v>0</x:v>
      </x:c>
      <x:c r="M17" s="93" t="n">
        <x:v>0</x:v>
      </x:c>
      <x:c r="N17" s="95" t="str">
        <x:f>IF(I17=0,"OPEN",IF(AND(J17&lt;='Control Inputs'!D19,K17=1,L17=1,M17=1),"PASS","FAIL"))</x:f>
        <x:v>OPEN</x:v>
      </x:c>
    </x:row>
    <x:row r="18" ht="42" customHeight="1">
      <x:c r="B18" s="92" t="str">
        <x:v>R2-D04</x:v>
      </x:c>
      <x:c r="C18" s="92" t="str">
        <x:v>R2</x:v>
      </x:c>
      <x:c r="D18" s="92" t="str">
        <x:v>D04</x:v>
      </x:c>
      <x:c r="E18" s="93" t="str">
        <x:v>DISCLOSED</x:v>
      </x:c>
      <x:c r="F18" s="93" t="str">
        <x:v>closure pullout</x:v>
      </x:c>
      <x:c r="G18" s="93" t="str">
        <x:v>axial load to loss or 200 kN</x:v>
      </x:c>
      <x:c r="H18" s="93" t="n">
        <x:v>120</x:v>
      </x:c>
      <x:c r="I18" s="93" t="n">
        <x:v>0</x:v>
      </x:c>
      <x:c r="J18" s="93" t="n">
        <x:v>0</x:v>
      </x:c>
      <x:c r="K18" s="93" t="n">
        <x:v>0</x:v>
      </x:c>
      <x:c r="L18" s="93" t="n">
        <x:v>0</x:v>
      </x:c>
      <x:c r="M18" s="93" t="n">
        <x:v>0</x:v>
      </x:c>
      <x:c r="N18" s="95" t="str">
        <x:f>IF(I18=0,"OPEN",IF(AND(J18&lt;='Control Inputs'!D19,K18=1,L18=1,M18=1),"PASS","FAIL"))</x:f>
        <x:v>OPEN</x:v>
      </x:c>
    </x:row>
    <x:row r="19" ht="42" customHeight="1">
      <x:c r="B19" s="92" t="str">
        <x:v>R2-D05</x:v>
      </x:c>
      <x:c r="C19" s="92" t="str">
        <x:v>R2</x:v>
      </x:c>
      <x:c r="D19" s="92" t="str">
        <x:v>D05</x:v>
      </x:c>
      <x:c r="E19" s="93" t="str">
        <x:v>DISCLOSED</x:v>
      </x:c>
      <x:c r="F19" s="93" t="str">
        <x:v>contaminated breach</x:v>
      </x:c>
      <x:c r="G19" s="93" t="str">
        <x:v>sealed surrogate under inward gradient</x:v>
      </x:c>
      <x:c r="H19" s="93" t="n">
        <x:v>120</x:v>
      </x:c>
      <x:c r="I19" s="93" t="n">
        <x:v>0</x:v>
      </x:c>
      <x:c r="J19" s="93" t="n">
        <x:v>0</x:v>
      </x:c>
      <x:c r="K19" s="93" t="n">
        <x:v>0</x:v>
      </x:c>
      <x:c r="L19" s="93" t="n">
        <x:v>0</x:v>
      </x:c>
      <x:c r="M19" s="93" t="n">
        <x:v>0</x:v>
      </x:c>
      <x:c r="N19" s="95" t="str">
        <x:f>IF(I19=0,"OPEN",IF(AND(J19&lt;='Control Inputs'!D19,K19=1,L19=1,M19=1),"PASS","FAIL"))</x:f>
        <x:v>OPEN</x:v>
      </x:c>
    </x:row>
    <x:row r="20" ht="42" customHeight="1">
      <x:c r="B20" s="92" t="str">
        <x:v>R2-D06</x:v>
      </x:c>
      <x:c r="C20" s="92" t="str">
        <x:v>R2</x:v>
      </x:c>
      <x:c r="D20" s="92" t="str">
        <x:v>D06</x:v>
      </x:c>
      <x:c r="E20" s="93" t="str">
        <x:v>DISCLOSED</x:v>
      </x:c>
      <x:c r="F20" s="93" t="str">
        <x:v>pressure-bound settlement</x:v>
      </x:c>
      <x:c r="G20" s="93" t="str">
        <x:v>300 mm over 10 m at 0.70 MPa</x:v>
      </x:c>
      <x:c r="H20" s="93" t="n">
        <x:v>120</x:v>
      </x:c>
      <x:c r="I20" s="93" t="n">
        <x:v>0</x:v>
      </x:c>
      <x:c r="J20" s="93" t="n">
        <x:v>0</x:v>
      </x:c>
      <x:c r="K20" s="93" t="n">
        <x:v>0</x:v>
      </x:c>
      <x:c r="L20" s="93" t="n">
        <x:v>0</x:v>
      </x:c>
      <x:c r="M20" s="93" t="n">
        <x:v>0</x:v>
      </x:c>
      <x:c r="N20" s="95" t="str">
        <x:f>IF(I20=0,"OPEN",IF(AND(J20&lt;='Control Inputs'!D19,K20=1,L20=1,M20=1),"PASS","FAIL"))</x:f>
        <x:v>OPEN</x:v>
      </x:c>
    </x:row>
    <x:row r="21" ht="42" customHeight="1">
      <x:c r="B21" s="92" t="str">
        <x:v>R2-D07</x:v>
      </x:c>
      <x:c r="C21" s="92" t="str">
        <x:v>R2</x:v>
      </x:c>
      <x:c r="D21" s="92" t="str">
        <x:v>D07</x:v>
      </x:c>
      <x:c r="E21" s="93" t="str">
        <x:v>SEALED</x:v>
      </x:c>
      <x:c r="F21" s="93" t="str">
        <x:v>sealed combination A</x:v>
      </x:c>
      <x:c r="G21" s="93" t="str">
        <x:v>two or more registered mechanisms</x:v>
      </x:c>
      <x:c r="H21" s="93" t="n">
        <x:v>120</x:v>
      </x:c>
      <x:c r="I21" s="93" t="n">
        <x:v>0</x:v>
      </x:c>
      <x:c r="J21" s="93" t="n">
        <x:v>0</x:v>
      </x:c>
      <x:c r="K21" s="93" t="n">
        <x:v>0</x:v>
      </x:c>
      <x:c r="L21" s="93" t="n">
        <x:v>0</x:v>
      </x:c>
      <x:c r="M21" s="93" t="n">
        <x:v>0</x:v>
      </x:c>
      <x:c r="N21" s="95" t="str">
        <x:f>IF(I21=0,"OPEN",IF(AND(J21&lt;='Control Inputs'!D19,K21=1,L21=1,M21=1),"PASS","FAIL"))</x:f>
        <x:v>OPEN</x:v>
      </x:c>
    </x:row>
    <x:row r="22" ht="42" customHeight="1">
      <x:c r="B22" s="92" t="str">
        <x:v>R2-D08</x:v>
      </x:c>
      <x:c r="C22" s="92" t="str">
        <x:v>R2</x:v>
      </x:c>
      <x:c r="D22" s="92" t="str">
        <x:v>D08</x:v>
      </x:c>
      <x:c r="E22" s="93" t="str">
        <x:v>SEALED</x:v>
      </x:c>
      <x:c r="F22" s="93" t="str">
        <x:v>sealed combination B</x:v>
      </x:c>
      <x:c r="G22" s="93" t="str">
        <x:v>different combined surprise state</x:v>
      </x:c>
      <x:c r="H22" s="93" t="n">
        <x:v>120</x:v>
      </x:c>
      <x:c r="I22" s="93" t="n">
        <x:v>0</x:v>
      </x:c>
      <x:c r="J22" s="93" t="n">
        <x:v>0</x:v>
      </x:c>
      <x:c r="K22" s="93" t="n">
        <x:v>0</x:v>
      </x:c>
      <x:c r="L22" s="93" t="n">
        <x:v>0</x:v>
      </x:c>
      <x:c r="M22" s="93" t="n">
        <x:v>0</x:v>
      </x:c>
      <x:c r="N22" s="95" t="str">
        <x:f>IF(I22=0,"OPEN",IF(AND(J22&lt;='Control Inputs'!D19,K22=1,L22=1,M22=1),"PASS","FAIL"))</x:f>
        <x:v>OPEN</x:v>
      </x:c>
    </x:row>
    <x:row r="23" ht="42" customHeight="1">
      <x:c r="B23" s="92" t="str">
        <x:v>R3-D01</x:v>
      </x:c>
      <x:c r="C23" s="92" t="str">
        <x:v>R3</x:v>
      </x:c>
      <x:c r="D23" s="92" t="str">
        <x:v>D01</x:v>
      </x:c>
      <x:c r="E23" s="93" t="str">
        <x:v>DISCLOSED</x:v>
      </x:c>
      <x:c r="F23" s="93" t="str">
        <x:v>clean guillotine transection</x:v>
      </x:c>
      <x:c r="G23" s="93" t="str">
        <x:v>complete boundary separation</x:v>
      </x:c>
      <x:c r="H23" s="93" t="n">
        <x:v>120</x:v>
      </x:c>
      <x:c r="I23" s="93" t="n">
        <x:v>0</x:v>
      </x:c>
      <x:c r="J23" s="93" t="n">
        <x:v>0</x:v>
      </x:c>
      <x:c r="K23" s="93" t="n">
        <x:v>0</x:v>
      </x:c>
      <x:c r="L23" s="93" t="n">
        <x:v>0</x:v>
      </x:c>
      <x:c r="M23" s="93" t="n">
        <x:v>0</x:v>
      </x:c>
      <x:c r="N23" s="95" t="str">
        <x:f>IF(I23=0,"OPEN",IF(AND(J23&lt;='Control Inputs'!D19,K23=1,L23=1,M23=1),"PASS","FAIL"))</x:f>
        <x:v>OPEN</x:v>
      </x:c>
    </x:row>
    <x:row r="24" ht="42" customHeight="1">
      <x:c r="B24" s="92" t="str">
        <x:v>R3-D02</x:v>
      </x:c>
      <x:c r="C24" s="92" t="str">
        <x:v>R3</x:v>
      </x:c>
      <x:c r="D24" s="92" t="str">
        <x:v>D02</x:v>
      </x:c>
      <x:c r="E24" s="93" t="str">
        <x:v>DISCLOSED</x:v>
      </x:c>
      <x:c r="F24" s="93" t="str">
        <x:v>jagged crush and ovalization</x:v>
      </x:c>
      <x:c r="G24" s="93" t="str">
        <x:v>area collapse plus torn nonplanar edges</x:v>
      </x:c>
      <x:c r="H24" s="93" t="n">
        <x:v>120</x:v>
      </x:c>
      <x:c r="I24" s="93" t="n">
        <x:v>0</x:v>
      </x:c>
      <x:c r="J24" s="93" t="n">
        <x:v>0</x:v>
      </x:c>
      <x:c r="K24" s="93" t="n">
        <x:v>0</x:v>
      </x:c>
      <x:c r="L24" s="93" t="n">
        <x:v>0</x:v>
      </x:c>
      <x:c r="M24" s="93" t="n">
        <x:v>0</x:v>
      </x:c>
      <x:c r="N24" s="95" t="str">
        <x:f>IF(I24=0,"OPEN",IF(AND(J24&lt;='Control Inputs'!D19,K24=1,L24=1,M24=1),"PASS","FAIL"))</x:f>
        <x:v>OPEN</x:v>
      </x:c>
    </x:row>
    <x:row r="25" ht="42" customHeight="1">
      <x:c r="B25" s="92" t="str">
        <x:v>R3-D03</x:v>
      </x:c>
      <x:c r="C25" s="92" t="str">
        <x:v>R3</x:v>
      </x:c>
      <x:c r="D25" s="92" t="str">
        <x:v>D03</x:v>
      </x:c>
      <x:c r="E25" s="93" t="str">
        <x:v>DISCLOSED</x:v>
      </x:c>
      <x:c r="F25" s="93" t="str">
        <x:v>puncture with axial tear</x:v>
      </x:c>
      <x:c r="G25" s="93" t="str">
        <x:v>20 kN puncture plus controlled propagation</x:v>
      </x:c>
      <x:c r="H25" s="93" t="n">
        <x:v>120</x:v>
      </x:c>
      <x:c r="I25" s="93" t="n">
        <x:v>0</x:v>
      </x:c>
      <x:c r="J25" s="93" t="n">
        <x:v>0</x:v>
      </x:c>
      <x:c r="K25" s="93" t="n">
        <x:v>0</x:v>
      </x:c>
      <x:c r="L25" s="93" t="n">
        <x:v>0</x:v>
      </x:c>
      <x:c r="M25" s="93" t="n">
        <x:v>0</x:v>
      </x:c>
      <x:c r="N25" s="95" t="str">
        <x:f>IF(I25=0,"OPEN",IF(AND(J25&lt;='Control Inputs'!D19,K25=1,L25=1,M25=1),"PASS","FAIL"))</x:f>
        <x:v>OPEN</x:v>
      </x:c>
    </x:row>
    <x:row r="26" ht="42" customHeight="1">
      <x:c r="B26" s="92" t="str">
        <x:v>R3-D04</x:v>
      </x:c>
      <x:c r="C26" s="92" t="str">
        <x:v>R3</x:v>
      </x:c>
      <x:c r="D26" s="92" t="str">
        <x:v>D04</x:v>
      </x:c>
      <x:c r="E26" s="93" t="str">
        <x:v>DISCLOSED</x:v>
      </x:c>
      <x:c r="F26" s="93" t="str">
        <x:v>closure pullout</x:v>
      </x:c>
      <x:c r="G26" s="93" t="str">
        <x:v>axial load to loss or 200 kN</x:v>
      </x:c>
      <x:c r="H26" s="93" t="n">
        <x:v>120</x:v>
      </x:c>
      <x:c r="I26" s="93" t="n">
        <x:v>0</x:v>
      </x:c>
      <x:c r="J26" s="93" t="n">
        <x:v>0</x:v>
      </x:c>
      <x:c r="K26" s="93" t="n">
        <x:v>0</x:v>
      </x:c>
      <x:c r="L26" s="93" t="n">
        <x:v>0</x:v>
      </x:c>
      <x:c r="M26" s="93" t="n">
        <x:v>0</x:v>
      </x:c>
      <x:c r="N26" s="95" t="str">
        <x:f>IF(I26=0,"OPEN",IF(AND(J26&lt;='Control Inputs'!D19,K26=1,L26=1,M26=1),"PASS","FAIL"))</x:f>
        <x:v>OPEN</x:v>
      </x:c>
    </x:row>
    <x:row r="27" ht="42" customHeight="1">
      <x:c r="B27" s="92" t="str">
        <x:v>R3-D05</x:v>
      </x:c>
      <x:c r="C27" s="92" t="str">
        <x:v>R3</x:v>
      </x:c>
      <x:c r="D27" s="92" t="str">
        <x:v>D05</x:v>
      </x:c>
      <x:c r="E27" s="93" t="str">
        <x:v>DISCLOSED</x:v>
      </x:c>
      <x:c r="F27" s="93" t="str">
        <x:v>contaminated breach</x:v>
      </x:c>
      <x:c r="G27" s="93" t="str">
        <x:v>sealed surrogate under inward gradient</x:v>
      </x:c>
      <x:c r="H27" s="93" t="n">
        <x:v>120</x:v>
      </x:c>
      <x:c r="I27" s="93" t="n">
        <x:v>0</x:v>
      </x:c>
      <x:c r="J27" s="93" t="n">
        <x:v>0</x:v>
      </x:c>
      <x:c r="K27" s="93" t="n">
        <x:v>0</x:v>
      </x:c>
      <x:c r="L27" s="93" t="n">
        <x:v>0</x:v>
      </x:c>
      <x:c r="M27" s="93" t="n">
        <x:v>0</x:v>
      </x:c>
      <x:c r="N27" s="95" t="str">
        <x:f>IF(I27=0,"OPEN",IF(AND(J27&lt;='Control Inputs'!D19,K27=1,L27=1,M27=1),"PASS","FAIL"))</x:f>
        <x:v>OPEN</x:v>
      </x:c>
    </x:row>
    <x:row r="28" ht="42" customHeight="1">
      <x:c r="B28" s="92" t="str">
        <x:v>R3-D06</x:v>
      </x:c>
      <x:c r="C28" s="92" t="str">
        <x:v>R3</x:v>
      </x:c>
      <x:c r="D28" s="92" t="str">
        <x:v>D06</x:v>
      </x:c>
      <x:c r="E28" s="93" t="str">
        <x:v>DISCLOSED</x:v>
      </x:c>
      <x:c r="F28" s="93" t="str">
        <x:v>pressure-bound settlement</x:v>
      </x:c>
      <x:c r="G28" s="93" t="str">
        <x:v>300 mm over 10 m at 0.70 MPa</x:v>
      </x:c>
      <x:c r="H28" s="93" t="n">
        <x:v>120</x:v>
      </x:c>
      <x:c r="I28" s="93" t="n">
        <x:v>0</x:v>
      </x:c>
      <x:c r="J28" s="93" t="n">
        <x:v>0</x:v>
      </x:c>
      <x:c r="K28" s="93" t="n">
        <x:v>0</x:v>
      </x:c>
      <x:c r="L28" s="93" t="n">
        <x:v>0</x:v>
      </x:c>
      <x:c r="M28" s="93" t="n">
        <x:v>0</x:v>
      </x:c>
      <x:c r="N28" s="95" t="str">
        <x:f>IF(I28=0,"OPEN",IF(AND(J28&lt;='Control Inputs'!D19,K28=1,L28=1,M28=1),"PASS","FAIL"))</x:f>
        <x:v>OPEN</x:v>
      </x:c>
    </x:row>
    <x:row r="29" ht="42" customHeight="1">
      <x:c r="B29" s="92" t="str">
        <x:v>R3-D07</x:v>
      </x:c>
      <x:c r="C29" s="92" t="str">
        <x:v>R3</x:v>
      </x:c>
      <x:c r="D29" s="92" t="str">
        <x:v>D07</x:v>
      </x:c>
      <x:c r="E29" s="93" t="str">
        <x:v>SEALED</x:v>
      </x:c>
      <x:c r="F29" s="93" t="str">
        <x:v>sealed combination A</x:v>
      </x:c>
      <x:c r="G29" s="93" t="str">
        <x:v>two or more registered mechanisms</x:v>
      </x:c>
      <x:c r="H29" s="93" t="n">
        <x:v>120</x:v>
      </x:c>
      <x:c r="I29" s="93" t="n">
        <x:v>0</x:v>
      </x:c>
      <x:c r="J29" s="93" t="n">
        <x:v>0</x:v>
      </x:c>
      <x:c r="K29" s="93" t="n">
        <x:v>0</x:v>
      </x:c>
      <x:c r="L29" s="93" t="n">
        <x:v>0</x:v>
      </x:c>
      <x:c r="M29" s="93" t="n">
        <x:v>0</x:v>
      </x:c>
      <x:c r="N29" s="95" t="str">
        <x:f>IF(I29=0,"OPEN",IF(AND(J29&lt;='Control Inputs'!D19,K29=1,L29=1,M29=1),"PASS","FAIL"))</x:f>
        <x:v>OPEN</x:v>
      </x:c>
    </x:row>
    <x:row r="30" ht="42" customHeight="1">
      <x:c r="B30" s="92" t="str">
        <x:v>R3-D08</x:v>
      </x:c>
      <x:c r="C30" s="92" t="str">
        <x:v>R3</x:v>
      </x:c>
      <x:c r="D30" s="92" t="str">
        <x:v>D08</x:v>
      </x:c>
      <x:c r="E30" s="93" t="str">
        <x:v>SEALED</x:v>
      </x:c>
      <x:c r="F30" s="93" t="str">
        <x:v>sealed combination B</x:v>
      </x:c>
      <x:c r="G30" s="93" t="str">
        <x:v>different combined surprise state</x:v>
      </x:c>
      <x:c r="H30" s="93" t="n">
        <x:v>120</x:v>
      </x:c>
      <x:c r="I30" s="93" t="n">
        <x:v>0</x:v>
      </x:c>
      <x:c r="J30" s="93" t="n">
        <x:v>0</x:v>
      </x:c>
      <x:c r="K30" s="93" t="n">
        <x:v>0</x:v>
      </x:c>
      <x:c r="L30" s="93" t="n">
        <x:v>0</x:v>
      </x:c>
      <x:c r="M30" s="93" t="n">
        <x:v>0</x:v>
      </x:c>
      <x:c r="N30" s="95" t="str">
        <x:f>IF(I30=0,"OPEN",IF(AND(J30&lt;='Control Inputs'!D19,K30=1,L30=1,M30=1),"PASS","FAIL"))</x:f>
        <x:v>OPEN</x:v>
      </x:c>
    </x:row>
    <x:row r="31" ht="42" customHeight="1">
      <x:c r="B31" s="92" t="str">
        <x:v>R3-D09</x:v>
      </x:c>
      <x:c r="C31" s="92" t="str">
        <x:v>R3</x:v>
      </x:c>
      <x:c r="D31" s="92" t="str">
        <x:v>D09</x:v>
      </x:c>
      <x:c r="E31" s="93" t="str">
        <x:v>DISCLOSED</x:v>
      </x:c>
      <x:c r="F31" s="93" t="str">
        <x:v>crease-origin rupture</x:v>
      </x:c>
      <x:c r="G31" s="93" t="str">
        <x:v>registered fold-life initiation</x:v>
      </x:c>
      <x:c r="H31" s="93" t="n">
        <x:v>120</x:v>
      </x:c>
      <x:c r="I31" s="93" t="n">
        <x:v>0</x:v>
      </x:c>
      <x:c r="J31" s="93" t="n">
        <x:v>0</x:v>
      </x:c>
      <x:c r="K31" s="93" t="n">
        <x:v>0</x:v>
      </x:c>
      <x:c r="L31" s="93" t="n">
        <x:v>0</x:v>
      </x:c>
      <x:c r="M31" s="93" t="n">
        <x:v>0</x:v>
      </x:c>
      <x:c r="N31" s="95" t="str">
        <x:f>IF(I31=0,"OPEN",IF(AND(J31&lt;='Control Inputs'!D19,K31=1,L31=1,M31=1),"PASS","FAIL"))</x:f>
        <x:v>OPEN</x:v>
      </x:c>
    </x:row>
    <x:row r="32" ht="42" customHeight="1">
      <x:c r="B32" s="92" t="str">
        <x:v>R3-D10</x:v>
      </x:c>
      <x:c r="C32" s="92" t="str">
        <x:v>R3</x:v>
      </x:c>
      <x:c r="D32" s="92" t="str">
        <x:v>D10</x:v>
      </x:c>
      <x:c r="E32" s="93" t="str">
        <x:v>DISCLOSED</x:v>
      </x:c>
      <x:c r="F32" s="93" t="str">
        <x:v>contaminated bonded-repair repeat</x:v>
      </x:c>
      <x:c r="G32" s="93" t="str">
        <x:v>wet/soiled multilayer injury</x:v>
      </x:c>
      <x:c r="H32" s="93" t="n">
        <x:v>120</x:v>
      </x:c>
      <x:c r="I32" s="93" t="n">
        <x:v>0</x:v>
      </x:c>
      <x:c r="J32" s="93" t="n">
        <x:v>0</x:v>
      </x:c>
      <x:c r="K32" s="93" t="n">
        <x:v>0</x:v>
      </x:c>
      <x:c r="L32" s="93" t="n">
        <x:v>0</x:v>
      </x:c>
      <x:c r="M32" s="93" t="n">
        <x:v>0</x:v>
      </x:c>
      <x:c r="N32" s="95" t="str">
        <x:f>IF(I32=0,"OPEN",IF(AND(J32&lt;='Control Inputs'!D19,K32=1,L32=1,M32=1),"PASS","FAIL"))</x:f>
        <x:v>OPEN</x:v>
      </x:c>
    </x:row>
    <x:row r="33"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102"/>
    </x:row>
    <x:row r="34">
      <x:c r="B34" s="97" t="str">
        <x:v>CONTROL</x:v>
      </x:c>
      <x:c r="C34" s="97" t="str">
        <x:v>TOTAL</x:v>
      </x:c>
      <x:c r="D34" s="97" t="str">
        <x:v>planned runs</x:v>
      </x:c>
      <x:c r="E34" s="97" t="str">
        <x:v>R1 / R2 / R3</x:v>
      </x:c>
      <x:c r="F34" s="97" t="str">
        <x:v>8 / 8 / 10</x:v>
      </x:c>
      <x:c r="G34" s="97" t="n">
        <x:f>COUNTA(B7:B32)</x:f>
        <x:v>26</x:v>
      </x:c>
      <x:c r="H34" s="97"/>
      <x:c r="I34" s="97"/>
      <x:c r="J34" s="97"/>
      <x:c r="K34" s="97"/>
      <x:c r="L34" s="97"/>
      <x:c r="M34" s="97"/>
      <x:c r="N34" s="101" t="str">
        <x:f>IF(AND(G34=26,COUNTIF(C7:C32,"R1")=8,COUNTIF(C7:C32,"R2")=8,COUNTIF(C7:C32,"R3")=10),"PASS","FAIL")</x:f>
        <x:v>PASS</x:v>
      </x:c>
    </x:row>
  </x:sheetData>
  <x:mergeCells>
    <x:mergeCell ref="B3:N3"/>
  </x:mergeCells>
  <x:conditionalFormatting sqref="N7:N34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HOLD"/>
    <x:cfRule type="containsText" dxfId="123" priority="4" operator="containsText" text="OPEN"/>
    <x:cfRule type="containsText" dxfId="124" priority="5" operator="containsText" text="UNTESTED"/>
    <x:cfRule type="containsText" dxfId="125" priority="6" operator="containsText" text="INDETERMINATE"/>
    <x:cfRule type="containsText" dxfId="126" priority="7" operator="containsText" text="PASS"/>
    <x:cfRule type="containsText" dxfId="127" priority="8" operator="containsText" text="CLOSED"/>
    <x:cfRule type="containsText" dxfId="128" priority="9" operator="containsText" text="READY"/>
    <x:cfRule type="containsText" dxfId="129" priority="10" operator="containsText" text="AUTHORIZED"/>
    <x:cfRule type="containsText" dxfId="130" priority="11" operator="containsText" text="PLANNING PASS"/>
    <x:cfRule type="containsText" dxfId="131" priority="12" operator="containsText" text="COMPLETE"/>
    <x:cfRule type="containsText" dxfId="132" priority="13" operator="containsText" text="ACCEPTED"/>
    <x:cfRule type="containsText" dxfId="133" priority="14" operator="containsText" text="ADMITTED"/>
    <x:cfRule type="containsText" dxfId="134" priority="15" operator="containsText" text="RELEASE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0" hidden="0" customWidth="1"/>
    <x:col min="4" max="4" width="14" hidden="0" customWidth="1"/>
    <x:col min="5" max="5" width="27" hidden="0" customWidth="1"/>
    <x:col min="6" max="6" width="35" hidden="0" customWidth="1"/>
    <x:col min="7" max="7" width="38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>
      <x:c r="B2" s="1" t="str">
        <x:v>Conserved 360-minute restoration clock</x:v>
      </x:c>
      <x:c r="C2" s="81"/>
      <x:c r="D2" s="81"/>
      <x:c r="E2" s="81"/>
      <x:c r="F2" s="81"/>
      <x:c r="G2" s="81"/>
      <x:c r="H2" s="81"/>
      <x:c r="I2" s="81"/>
      <x:c r="J2" s="81"/>
      <x:c r="K2" s="81"/>
      <x:c r="L2" s="81"/>
      <x:c r="M2" s="81"/>
    </x:row>
    <x:row r="3">
      <x:c r="B3" s="2" t="str">
        <x:v>The clock starts at independently measurable injury and never pauses. Safe completion may still fail the service time.</x:v>
      </x:c>
      <x:c r="C3" s="81"/>
      <x:c r="D3" s="81"/>
      <x:c r="E3" s="81"/>
      <x:c r="F3" s="81"/>
      <x:c r="G3" s="81"/>
      <x:c r="H3" s="81"/>
      <x:c r="I3" s="81"/>
      <x:c r="J3" s="81"/>
      <x:c r="K3" s="81"/>
      <x:c r="L3" s="81"/>
      <x:c r="M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83"/>
      <x:c r="M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  <x:c r="L5" s="81"/>
      <x:c r="M5" s="81"/>
    </x:row>
    <x:row r="6">
      <x:c r="B6" s="15" t="str">
        <x:v>Segment</x:v>
      </x:c>
      <x:c r="C6" s="16" t="str">
        <x:v>Work</x:v>
      </x:c>
      <x:c r="D6" s="16" t="str">
        <x:v>Budget min</x:v>
      </x:c>
      <x:c r="E6" s="16" t="str">
        <x:v>Starts</x:v>
      </x:c>
      <x:c r="F6" s="16" t="str">
        <x:v>Ends</x:v>
      </x:c>
      <x:c r="G6" s="16" t="str">
        <x:v>Prohibited exclusion</x:v>
      </x:c>
      <x:c r="H6" s="16" t="str">
        <x:v>Observed min</x:v>
      </x:c>
      <x:c r="I6" s="16" t="str">
        <x:v>Boundary evidence</x:v>
      </x:c>
      <x:c r="J6" s="16" t="str">
        <x:v>Within budget</x:v>
      </x:c>
      <x:c r="K6" s="16" t="str">
        <x:v>Physical state</x:v>
      </x:c>
      <x:c r="L6" s="16" t="str">
        <x:v>Budget share</x:v>
      </x:c>
      <x:c r="M6" s="16" t="str">
        <x:v>Clock control</x:v>
      </x:c>
    </x:row>
    <x:row r="7" ht="47" customHeight="1">
      <x:c r="B7" s="92" t="str">
        <x:v>T01</x:v>
      </x:c>
      <x:c r="C7" s="93" t="str">
        <x:v>independent detection</x:v>
      </x:c>
      <x:c r="D7" s="103" t="n">
        <x:v>10</x:v>
      </x:c>
      <x:c r="E7" s="93" t="str">
        <x:v>measurable injury onset</x:v>
      </x:c>
      <x:c r="F7" s="93" t="str">
        <x:v>independent alarm and event identity</x:v>
      </x:c>
      <x:c r="G7" s="93" t="str">
        <x:v>algorithm warmup or acknowledgement delay</x:v>
      </x:c>
      <x:c r="H7" s="93" t="n">
        <x:v>0</x:v>
      </x:c>
      <x:c r="I7" s="93" t="n">
        <x:v>0</x:v>
      </x:c>
      <x:c r="J7" s="93" t="str">
        <x:f>IF(I7=0,"OPEN",IF(H7&lt;=D7,"PASS","FAIL"))</x:f>
        <x:v>OPEN</x:v>
      </x:c>
      <x:c r="K7" s="96" t="n">
        <x:f>D7/'Control Inputs'!D19</x:f>
        <x:v>0.027777777777777776</x:v>
      </x:c>
      <x:c r="L7" s="93" t="str">
        <x:f>IF(I7=0,"OPEN",IF(I7=1,"COMPLETE","FAIL"))</x:f>
        <x:v>OPEN</x:v>
      </x:c>
      <x:c r="M7" s="95" t="str">
        <x:f>IF(AND(D7&gt;0,E7&lt;&gt;"",F7&lt;&gt;"",G7&lt;&gt;""),"PASS","FAIL")</x:f>
        <x:v>PASS</x:v>
      </x:c>
    </x:row>
    <x:row r="8" ht="47" customHeight="1">
      <x:c r="B8" s="92" t="str">
        <x:v>T02</x:v>
      </x:c>
      <x:c r="C8" s="93" t="str">
        <x:v>safe stop</x:v>
      </x:c>
      <x:c r="D8" s="103" t="n">
        <x:v>10</x:v>
      </x:c>
      <x:c r="E8" s="93" t="str">
        <x:v>alarm</x:v>
      </x:c>
      <x:c r="F8" s="93" t="str">
        <x:v>hazardous energy and personnel controlled</x:v>
      </x:c>
      <x:c r="G8" s="93" t="str">
        <x:v>emergency deliberation</x:v>
      </x:c>
      <x:c r="H8" s="93" t="n">
        <x:v>0</x:v>
      </x:c>
      <x:c r="I8" s="93" t="n">
        <x:v>0</x:v>
      </x:c>
      <x:c r="J8" s="93" t="str">
        <x:f>IF(I8=0,"OPEN",IF(H8&lt;=D8,"PASS","FAIL"))</x:f>
        <x:v>OPEN</x:v>
      </x:c>
      <x:c r="K8" s="96" t="n">
        <x:f>D8/'Control Inputs'!D19</x:f>
        <x:v>0.027777777777777776</x:v>
      </x:c>
      <x:c r="L8" s="93" t="str">
        <x:f>IF(I8=0,"OPEN",IF(I8=1,"COMPLETE","FAIL"))</x:f>
        <x:v>OPEN</x:v>
      </x:c>
      <x:c r="M8" s="95" t="str">
        <x:f>IF(AND(D8&gt;0,E8&lt;&gt;"",F8&lt;&gt;"",G8&lt;&gt;""),"PASS","FAIL")</x:f>
        <x:v>PASS</x:v>
      </x:c>
    </x:row>
    <x:row r="9" ht="47" customHeight="1">
      <x:c r="B9" s="92" t="str">
        <x:v>T03</x:v>
      </x:c>
      <x:c r="C9" s="93" t="str">
        <x:v>isolation and buffer</x:v>
      </x:c>
      <x:c r="D9" s="103" t="n">
        <x:v>20</x:v>
      </x:c>
      <x:c r="E9" s="93" t="str">
        <x:v>safe-stop decision</x:v>
      </x:c>
      <x:c r="F9" s="93" t="str">
        <x:v>injured domain isolated; continuity confirmed</x:v>
      </x:c>
      <x:c r="G9" s="93" t="str">
        <x:v>valve travel or control reboot</x:v>
      </x:c>
      <x:c r="H9" s="93" t="n">
        <x:v>0</x:v>
      </x:c>
      <x:c r="I9" s="93" t="n">
        <x:v>0</x:v>
      </x:c>
      <x:c r="J9" s="93" t="str">
        <x:f>IF(I9=0,"OPEN",IF(H9&lt;=D9,"PASS","FAIL"))</x:f>
        <x:v>OPEN</x:v>
      </x:c>
      <x:c r="K9" s="96" t="n">
        <x:f>D9/'Control Inputs'!D19</x:f>
        <x:v>0.05555555555555555</x:v>
      </x:c>
      <x:c r="L9" s="93" t="str">
        <x:f>IF(I9=0,"OPEN",IF(I9=1,"COMPLETE","FAIL"))</x:f>
        <x:v>OPEN</x:v>
      </x:c>
      <x:c r="M9" s="95" t="str">
        <x:f>IF(AND(D9&gt;0,E9&lt;&gt;"",F9&lt;&gt;"",G9&lt;&gt;""),"PASS","FAIL")</x:f>
        <x:v>PASS</x:v>
      </x:c>
    </x:row>
    <x:row r="10" ht="47" customHeight="1">
      <x:c r="B10" s="92" t="str">
        <x:v>T04</x:v>
      </x:c>
      <x:c r="C10" s="93" t="str">
        <x:v>access</x:v>
      </x:c>
      <x:c r="D10" s="103" t="n">
        <x:v>40</x:v>
      </x:c>
      <x:c r="E10" s="93" t="str">
        <x:v>isolation</x:v>
      </x:c>
      <x:c r="F10" s="93" t="str">
        <x:v>repair boundary physically reachable</x:v>
      </x:c>
      <x:c r="G10" s="93" t="str">
        <x:v>dewatering, excavation or robot deployment</x:v>
      </x:c>
      <x:c r="H10" s="93" t="n">
        <x:v>0</x:v>
      </x:c>
      <x:c r="I10" s="93" t="n">
        <x:v>0</x:v>
      </x:c>
      <x:c r="J10" s="93" t="str">
        <x:f>IF(I10=0,"OPEN",IF(H10&lt;=D10,"PASS","FAIL"))</x:f>
        <x:v>OPEN</x:v>
      </x:c>
      <x:c r="K10" s="96" t="n">
        <x:f>D10/'Control Inputs'!D19</x:f>
        <x:v>0.1111111111111111</x:v>
      </x:c>
      <x:c r="L10" s="93" t="str">
        <x:f>IF(I10=0,"OPEN",IF(I10=1,"COMPLETE","FAIL"))</x:f>
        <x:v>OPEN</x:v>
      </x:c>
      <x:c r="M10" s="95" t="str">
        <x:f>IF(AND(D10&gt;0,E10&lt;&gt;"",F10&lt;&gt;"",G10&lt;&gt;""),"PASS","FAIL")</x:f>
        <x:v>PASS</x:v>
      </x:c>
    </x:row>
    <x:row r="11" ht="47" customHeight="1">
      <x:c r="B11" s="92" t="str">
        <x:v>T05</x:v>
      </x:c>
      <x:c r="C11" s="93" t="str">
        <x:v>removal and preparation</x:v>
      </x:c>
      <x:c r="D11" s="103" t="n">
        <x:v>65</x:v>
      </x:c>
      <x:c r="E11" s="93" t="str">
        <x:v>access</x:v>
      </x:c>
      <x:c r="F11" s="93" t="str">
        <x:v>accepted repair edges and configuration</x:v>
      </x:c>
      <x:c r="G11" s="93" t="str">
        <x:v>cutting, cleaning, measurement or rejects</x:v>
      </x:c>
      <x:c r="H11" s="93" t="n">
        <x:v>0</x:v>
      </x:c>
      <x:c r="I11" s="93" t="n">
        <x:v>0</x:v>
      </x:c>
      <x:c r="J11" s="93" t="str">
        <x:f>IF(I11=0,"OPEN",IF(H11&lt;=D11,"PASS","FAIL"))</x:f>
        <x:v>OPEN</x:v>
      </x:c>
      <x:c r="K11" s="96" t="n">
        <x:f>D11/'Control Inputs'!D19</x:f>
        <x:v>0.18055555555555555</x:v>
      </x:c>
      <x:c r="L11" s="93" t="str">
        <x:f>IF(I11=0,"OPEN",IF(I11=1,"COMPLETE","FAIL"))</x:f>
        <x:v>OPEN</x:v>
      </x:c>
      <x:c r="M11" s="95" t="str">
        <x:f>IF(AND(D11&gt;0,E11&lt;&gt;"",F11&lt;&gt;"",G11&lt;&gt;""),"PASS","FAIL")</x:f>
        <x:v>PASS</x:v>
      </x:c>
    </x:row>
    <x:row r="12" ht="47" customHeight="1">
      <x:c r="B12" s="92" t="str">
        <x:v>T06</x:v>
      </x:c>
      <x:c r="C12" s="93" t="str">
        <x:v>closure</x:v>
      </x:c>
      <x:c r="D12" s="103" t="n">
        <x:v>95</x:v>
      </x:c>
      <x:c r="E12" s="93" t="str">
        <x:v>accepted edges</x:v>
      </x:c>
      <x:c r="F12" s="93" t="str">
        <x:v>repair plus independent NDE disposition</x:v>
      </x:c>
      <x:c r="G12" s="93" t="str">
        <x:v>setup, cure, inspection or rework</x:v>
      </x:c>
      <x:c r="H12" s="93" t="n">
        <x:v>0</x:v>
      </x:c>
      <x:c r="I12" s="93" t="n">
        <x:v>0</x:v>
      </x:c>
      <x:c r="J12" s="93" t="str">
        <x:f>IF(I12=0,"OPEN",IF(H12&lt;=D12,"PASS","FAIL"))</x:f>
        <x:v>OPEN</x:v>
      </x:c>
      <x:c r="K12" s="96" t="n">
        <x:f>D12/'Control Inputs'!D19</x:f>
        <x:v>0.2638888888888889</x:v>
      </x:c>
      <x:c r="L12" s="93" t="str">
        <x:f>IF(I12=0,"OPEN",IF(I12=1,"COMPLETE","FAIL"))</x:f>
        <x:v>OPEN</x:v>
      </x:c>
      <x:c r="M12" s="95" t="str">
        <x:f>IF(AND(D12&gt;0,E12&lt;&gt;"",F12&lt;&gt;"",G12&lt;&gt;""),"PASS","FAIL")</x:f>
        <x:v>PASS</x:v>
      </x:c>
    </x:row>
    <x:row r="13" ht="47" customHeight="1">
      <x:c r="B13" s="92" t="str">
        <x:v>T07</x:v>
      </x:c>
      <x:c r="C13" s="93" t="str">
        <x:v>proof and flush</x:v>
      </x:c>
      <x:c r="D13" s="103" t="n">
        <x:v>75</x:v>
      </x:c>
      <x:c r="E13" s="93" t="str">
        <x:v>closure disposition</x:v>
      </x:c>
      <x:c r="F13" s="93" t="str">
        <x:v>60-min proof plus flush complete</x:v>
      </x:c>
      <x:c r="G13" s="93" t="str">
        <x:v>ramp, hold, drain or flush</x:v>
      </x:c>
      <x:c r="H13" s="93" t="n">
        <x:v>0</x:v>
      </x:c>
      <x:c r="I13" s="93" t="n">
        <x:v>0</x:v>
      </x:c>
      <x:c r="J13" s="93" t="str">
        <x:f>IF(I13=0,"OPEN",IF(H13&lt;=D13,"PASS","FAIL"))</x:f>
        <x:v>OPEN</x:v>
      </x:c>
      <x:c r="K13" s="96" t="n">
        <x:f>D13/'Control Inputs'!D19</x:f>
        <x:v>0.20833333333333334</x:v>
      </x:c>
      <x:c r="L13" s="93" t="str">
        <x:f>IF(I13=0,"OPEN",IF(I13=1,"COMPLETE","FAIL"))</x:f>
        <x:v>OPEN</x:v>
      </x:c>
      <x:c r="M13" s="95" t="str">
        <x:f>IF(AND(D13&gt;0,E13&lt;&gt;"",F13&lt;&gt;"",G13&lt;&gt;""),"PASS","FAIL")</x:f>
        <x:v>PASS</x:v>
      </x:c>
    </x:row>
    <x:row r="14" ht="47" customHeight="1">
      <x:c r="B14" s="92" t="str">
        <x:v>T08</x:v>
      </x:c>
      <x:c r="C14" s="93" t="str">
        <x:v>assay and receiver release</x:v>
      </x:c>
      <x:c r="D14" s="103" t="n">
        <x:v>45</x:v>
      </x:c>
      <x:c r="E14" s="93" t="str">
        <x:v>flush complete</x:v>
      </x:c>
      <x:c r="F14" s="93" t="str">
        <x:v>joint release signed</x:v>
      </x:c>
      <x:c r="G14" s="93" t="str">
        <x:v>sample transit, assay or deliberation</x:v>
      </x:c>
      <x:c r="H14" s="93" t="n">
        <x:v>0</x:v>
      </x:c>
      <x:c r="I14" s="93" t="n">
        <x:v>0</x:v>
      </x:c>
      <x:c r="J14" s="93" t="str">
        <x:f>IF(I14=0,"OPEN",IF(H14&lt;=D14,"PASS","FAIL"))</x:f>
        <x:v>OPEN</x:v>
      </x:c>
      <x:c r="K14" s="96" t="n">
        <x:f>D14/'Control Inputs'!D19</x:f>
        <x:v>0.125</x:v>
      </x:c>
      <x:c r="L14" s="93" t="str">
        <x:f>IF(I14=0,"OPEN",IF(I14=1,"COMPLETE","FAIL"))</x:f>
        <x:v>OPEN</x:v>
      </x:c>
      <x:c r="M14" s="95" t="str">
        <x:f>IF(AND(D14&gt;0,E14&lt;&gt;"",F14&lt;&gt;"",G14&lt;&gt;""),"PASS","FAIL")</x:f>
        <x:v>PASS</x:v>
      </x:c>
    </x:row>
    <x:row r="15">
      <x:c r="B15" s="92"/>
      <x:c r="C15" s="92"/>
      <x:c r="D15" s="104"/>
      <x:c r="E15" s="92"/>
      <x:c r="F15" s="92"/>
      <x:c r="G15" s="92"/>
      <x:c r="H15" s="92"/>
      <x:c r="I15" s="92"/>
      <x:c r="J15" s="92"/>
      <x:c r="K15" s="105"/>
      <x:c r="L15" s="92"/>
      <x:c r="M15" s="102"/>
    </x:row>
    <x:row r="16">
      <x:c r="B16" s="97" t="str">
        <x:v>CONTROL</x:v>
      </x:c>
      <x:c r="C16" s="97" t="str">
        <x:v>Clock totals</x:v>
      </x:c>
      <x:c r="D16" s="106" t="n">
        <x:f>SUM(D7:D14)</x:f>
        <x:v>360</x:v>
      </x:c>
      <x:c r="E16" s="97"/>
      <x:c r="F16" s="97"/>
      <x:c r="G16" s="97"/>
      <x:c r="H16" s="97" t="n">
        <x:f>SUM(H7:H14)</x:f>
        <x:v>0</x:v>
      </x:c>
      <x:c r="I16" s="97" t="n">
        <x:f>SUM(I7:I14)</x:f>
        <x:v>0</x:v>
      </x:c>
      <x:c r="J16" s="97" t="str">
        <x:f>IF(I16=0,"OPEN",IF(AND(D16='Control Inputs'!D19,H16&lt;='Control Inputs'!D19,I16=8),"PASS","FAIL"))</x:f>
        <x:v>OPEN</x:v>
      </x:c>
      <x:c r="K16" s="107" t="n">
        <x:f>SUM(K7:K14)</x:f>
        <x:v>1</x:v>
      </x:c>
      <x:c r="L16" s="97"/>
      <x:c r="M16" s="101" t="str">
        <x:f>IF(AND(D16='Control Inputs'!D19,ABS(K16-1)&lt;0.0001),"PASS","FAIL")</x:f>
        <x:v>PASS</x:v>
      </x:c>
    </x:row>
  </x:sheetData>
  <x:mergeCells>
    <x:mergeCell ref="B3:M3"/>
  </x:mergeCells>
  <x:conditionalFormatting sqref="J7:J16">
    <x:cfRule type="containsText" dxfId="135" priority="1" operator="containsText" text="FAIL"/>
    <x:cfRule type="containsText" dxfId="136" priority="2" operator="containsText" text="BLOCKED"/>
    <x:cfRule type="containsText" dxfId="137" priority="3" operator="containsText" text="HOLD"/>
    <x:cfRule type="containsText" dxfId="138" priority="4" operator="containsText" text="OPEN"/>
    <x:cfRule type="containsText" dxfId="139" priority="5" operator="containsText" text="UNTESTED"/>
    <x:cfRule type="containsText" dxfId="140" priority="6" operator="containsText" text="INDETERMINATE"/>
    <x:cfRule type="containsText" dxfId="141" priority="7" operator="containsText" text="PASS"/>
    <x:cfRule type="containsText" dxfId="142" priority="8" operator="containsText" text="CLOSED"/>
    <x:cfRule type="containsText" dxfId="143" priority="9" operator="containsText" text="READY"/>
    <x:cfRule type="containsText" dxfId="144" priority="10" operator="containsText" text="AUTHORIZED"/>
    <x:cfRule type="containsText" dxfId="145" priority="11" operator="containsText" text="PLANNING PASS"/>
    <x:cfRule type="containsText" dxfId="146" priority="12" operator="containsText" text="COMPLETE"/>
    <x:cfRule type="containsText" dxfId="147" priority="13" operator="containsText" text="ACCEPTED"/>
    <x:cfRule type="containsText" dxfId="148" priority="14" operator="containsText" text="ADMITTED"/>
    <x:cfRule type="containsText" dxfId="149" priority="15" operator="containsText" text="RELEASED"/>
  </x:conditionalFormatting>
  <x:conditionalFormatting sqref="L7:M16">
    <x:cfRule type="containsText" dxfId="150" priority="16" operator="containsText" text="FAIL"/>
    <x:cfRule type="containsText" dxfId="151" priority="17" operator="containsText" text="BLOCKED"/>
    <x:cfRule type="containsText" dxfId="152" priority="18" operator="containsText" text="HOLD"/>
    <x:cfRule type="containsText" dxfId="153" priority="19" operator="containsText" text="OPEN"/>
    <x:cfRule type="containsText" dxfId="154" priority="20" operator="containsText" text="UNTESTED"/>
    <x:cfRule type="containsText" dxfId="155" priority="21" operator="containsText" text="INDETERMINATE"/>
    <x:cfRule type="containsText" dxfId="156" priority="22" operator="containsText" text="PASS"/>
    <x:cfRule type="containsText" dxfId="157" priority="23" operator="containsText" text="CLOSED"/>
    <x:cfRule type="containsText" dxfId="158" priority="24" operator="containsText" text="READY"/>
    <x:cfRule type="containsText" dxfId="159" priority="25" operator="containsText" text="AUTHORIZED"/>
    <x:cfRule type="containsText" dxfId="160" priority="26" operator="containsText" text="PLANNING PASS"/>
    <x:cfRule type="containsText" dxfId="161" priority="27" operator="containsText" text="COMPLETE"/>
    <x:cfRule type="containsText" dxfId="162" priority="28" operator="containsText" text="ACCEPTED"/>
    <x:cfRule type="containsText" dxfId="163" priority="29" operator="containsText" text="ADMITTED"/>
    <x:cfRule type="containsText" dxfId="164" priority="30" operator="containsText" text="RELEASE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2" hidden="0" customWidth="1"/>
    <x:col min="6" max="6" width="13" hidden="0" customWidth="1"/>
    <x:col min="7" max="7" width="16" hidden="0" customWidth="1"/>
    <x:col min="8" max="8" width="17" hidden="0" customWidth="1"/>
    <x:col min="9" max="9" width="34" hidden="0" customWidth="1"/>
    <x:col min="10" max="10" width="16" hidden="0" customWidth="1"/>
  </x:cols>
  <x:sheetData>
    <x:row r="2">
      <x:c r="B2" s="1" t="str">
        <x:v>Rapid sanitary release protocol</x:v>
      </x:c>
      <x:c r="C2" s="81"/>
      <x:c r="D2" s="81"/>
      <x:c r="E2" s="81"/>
      <x:c r="F2" s="81"/>
      <x:c r="G2" s="81"/>
      <x:c r="H2" s="81"/>
      <x:c r="I2" s="81"/>
      <x:c r="J2" s="81"/>
      <x:c r="K2" s="81"/>
    </x:row>
    <x:row r="3">
      <x:c r="B3" s="2" t="str">
        <x:v>Pressure acceptance alone cannot return water. Missing or inconclusive assays remain indeterminate.</x:v>
      </x:c>
      <x:c r="C3" s="81"/>
      <x:c r="D3" s="81"/>
      <x:c r="E3" s="81"/>
      <x:c r="F3" s="81"/>
      <x:c r="G3" s="81"/>
      <x:c r="H3" s="81"/>
      <x:c r="I3" s="81"/>
      <x:c r="J3" s="81"/>
      <x:c r="K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</x:row>
    <x:row r="6">
      <x:c r="B6" s="15" t="str">
        <x:v>Step</x:v>
      </x:c>
      <x:c r="C6" s="16" t="str">
        <x:v>Required action</x:v>
      </x:c>
      <x:c r="D6" s="16" t="str">
        <x:v>Evidence</x:v>
      </x:c>
      <x:c r="E6" s="16" t="str">
        <x:v>Required</x:v>
      </x:c>
      <x:c r="F6" s="16" t="str">
        <x:v>Accepted</x:v>
      </x:c>
      <x:c r="G6" s="16" t="str">
        <x:v>Decision state</x:v>
      </x:c>
      <x:c r="H6" s="16" t="str">
        <x:v>Clock segment</x:v>
      </x:c>
      <x:c r="I6" s="16" t="str">
        <x:v>Authority</x:v>
      </x:c>
      <x:c r="J6" s="16" t="str">
        <x:v>Planning record</x:v>
      </x:c>
      <x:c r="K6" s="81"/>
    </x:row>
    <x:row r="7" ht="45" customHeight="1">
      <x:c r="B7" s="92" t="str">
        <x:v>S01</x:v>
      </x:c>
      <x:c r="C7" s="93" t="str">
        <x:v>pre-injury source, receiver and challenge blanks</x:v>
      </x:c>
      <x:c r="D7" s="93" t="str">
        <x:v>sample identities and baseline uncertainty</x:v>
      </x:c>
      <x:c r="E7" s="93" t="n">
        <x:v>1</x:v>
      </x:c>
      <x:c r="F7" s="93" t="n">
        <x:v>0</x:v>
      </x:c>
      <x:c r="G7" s="93" t="str">
        <x:f>IF(F7=1,"PASS","OPEN")</x:f>
        <x:v>OPEN</x:v>
      </x:c>
      <x:c r="H7" s="93" t="str">
        <x:v>T07/T08</x:v>
      </x:c>
      <x:c r="I7" s="93" t="str">
        <x:v>Water Release / Metrology</x:v>
      </x:c>
      <x:c r="J7" s="95" t="str">
        <x:f>IF(AND(B7&lt;&gt;"",C7&lt;&gt;"",D7&lt;&gt;"",E7=1),"PASS","FAIL")</x:f>
        <x:v>PASS</x:v>
      </x:c>
      <x:c r="K7" s="81"/>
    </x:row>
    <x:row r="8" ht="45" customHeight="1">
      <x:c r="B8" s="92" t="str">
        <x:v>S02</x:v>
      </x:c>
      <x:c r="C8" s="93" t="str">
        <x:v>sixty continuous minutes of proof</x:v>
      </x:c>
      <x:c r="D8" s="93" t="str">
        <x:v>pressure, leak and configuration disposition</x:v>
      </x:c>
      <x:c r="E8" s="93" t="n">
        <x:v>1</x:v>
      </x:c>
      <x:c r="F8" s="93" t="n">
        <x:v>0</x:v>
      </x:c>
      <x:c r="G8" s="93" t="str">
        <x:f>IF(F8=1,"PASS","OPEN")</x:f>
        <x:v>OPEN</x:v>
      </x:c>
      <x:c r="H8" s="93" t="str">
        <x:v>T07/T08</x:v>
      </x:c>
      <x:c r="I8" s="93" t="str">
        <x:v>Water Release / Metrology</x:v>
      </x:c>
      <x:c r="J8" s="95" t="str">
        <x:f>IF(AND(B8&lt;&gt;"",C8&lt;&gt;"",D8&lt;&gt;"",E8=1),"PASS","FAIL")</x:f>
        <x:v>PASS</x:v>
      </x:c>
      <x:c r="K8" s="81"/>
    </x:row>
    <x:row r="9" ht="45" customHeight="1">
      <x:c r="B9" s="92" t="str">
        <x:v>S03</x:v>
      </x:c>
      <x:c r="C9" s="93" t="str">
        <x:v>minimum three measured cell volumes flushed</x:v>
      </x:c>
      <x:c r="D9" s="93" t="str">
        <x:v>source, waste and receiver volume balance</x:v>
      </x:c>
      <x:c r="E9" s="93" t="n">
        <x:v>1</x:v>
      </x:c>
      <x:c r="F9" s="93" t="n">
        <x:v>0</x:v>
      </x:c>
      <x:c r="G9" s="93" t="str">
        <x:f>IF(F9=1,"PASS","OPEN")</x:f>
        <x:v>OPEN</x:v>
      </x:c>
      <x:c r="H9" s="93" t="str">
        <x:v>T07/T08</x:v>
      </x:c>
      <x:c r="I9" s="93" t="str">
        <x:v>Water Release / Metrology</x:v>
      </x:c>
      <x:c r="J9" s="95" t="str">
        <x:f>IF(AND(B9&lt;&gt;"",C9&lt;&gt;"",D9&lt;&gt;"",E9=1),"PASS","FAIL")</x:f>
        <x:v>PASS</x:v>
      </x:c>
      <x:c r="K9" s="81"/>
    </x:row>
    <x:row r="10" ht="45" customHeight="1">
      <x:c r="B10" s="92" t="str">
        <x:v>S04</x:v>
      </x:c>
      <x:c r="C10" s="93" t="str">
        <x:v>upstream, repair-zone and receiver samples</x:v>
      </x:c>
      <x:c r="D10" s="93" t="str">
        <x:v>sealed identity and time</x:v>
      </x:c>
      <x:c r="E10" s="93" t="n">
        <x:v>1</x:v>
      </x:c>
      <x:c r="F10" s="93" t="n">
        <x:v>0</x:v>
      </x:c>
      <x:c r="G10" s="93" t="str">
        <x:f>IF(F10=1,"PASS","OPEN")</x:f>
        <x:v>OPEN</x:v>
      </x:c>
      <x:c r="H10" s="93" t="str">
        <x:v>T07/T08</x:v>
      </x:c>
      <x:c r="I10" s="93" t="str">
        <x:v>Water Release / Metrology</x:v>
      </x:c>
      <x:c r="J10" s="95" t="str">
        <x:f>IF(AND(B10&lt;&gt;"",C10&lt;&gt;"",D10&lt;&gt;"",E10=1),"PASS","FAIL")</x:f>
        <x:v>PASS</x:v>
      </x:c>
      <x:c r="K10" s="81"/>
    </x:row>
    <x:row r="11" ht="45" customHeight="1">
      <x:c r="B11" s="92" t="str">
        <x:v>S05</x:v>
      </x:c>
      <x:c r="C11" s="93" t="str">
        <x:v>continuous conductivity, turbidity, organic and particle channels</x:v>
      </x:c>
      <x:c r="D11" s="93" t="str">
        <x:v>raw local originals</x:v>
      </x:c>
      <x:c r="E11" s="93" t="n">
        <x:v>1</x:v>
      </x:c>
      <x:c r="F11" s="93" t="n">
        <x:v>0</x:v>
      </x:c>
      <x:c r="G11" s="93" t="str">
        <x:f>IF(F11=1,"PASS","OPEN")</x:f>
        <x:v>OPEN</x:v>
      </x:c>
      <x:c r="H11" s="93" t="str">
        <x:v>T07/T08</x:v>
      </x:c>
      <x:c r="I11" s="93" t="str">
        <x:v>Water Release / Metrology</x:v>
      </x:c>
      <x:c r="J11" s="95" t="str">
        <x:f>IF(AND(B11&lt;&gt;"",C11&lt;&gt;"",D11&lt;&gt;"",E11=1),"PASS","FAIL")</x:f>
        <x:v>PASS</x:v>
      </x:c>
      <x:c r="K11" s="81"/>
    </x:row>
    <x:row r="12" ht="45" customHeight="1">
      <x:c r="B12" s="92" t="str">
        <x:v>S06</x:v>
      </x:c>
      <x:c r="C12" s="93" t="str">
        <x:v>challenge-specific dissolved and particle assays</x:v>
      </x:c>
      <x:c r="D12" s="93" t="str">
        <x:v>registered quantification limits</x:v>
      </x:c>
      <x:c r="E12" s="93" t="n">
        <x:v>1</x:v>
      </x:c>
      <x:c r="F12" s="93" t="n">
        <x:v>0</x:v>
      </x:c>
      <x:c r="G12" s="93" t="str">
        <x:f>IF(F12=1,"PASS","OPEN")</x:f>
        <x:v>OPEN</x:v>
      </x:c>
      <x:c r="H12" s="93" t="str">
        <x:v>T07/T08</x:v>
      </x:c>
      <x:c r="I12" s="93" t="str">
        <x:v>Water Release / Metrology</x:v>
      </x:c>
      <x:c r="J12" s="95" t="str">
        <x:f>IF(AND(B12&lt;&gt;"",C12&lt;&gt;"",D12&lt;&gt;"",E12=1),"PASS","FAIL")</x:f>
        <x:v>PASS</x:v>
      </x:c>
      <x:c r="K12" s="81"/>
    </x:row>
    <x:row r="13" ht="45" customHeight="1">
      <x:c r="B13" s="92" t="str">
        <x:v>S07</x:v>
      </x:c>
      <x:c r="C13" s="93" t="str">
        <x:v>blank, positive control, challenge and waste reconciliation</x:v>
      </x:c>
      <x:c r="D13" s="93" t="str">
        <x:v>complete recovery decision</x:v>
      </x:c>
      <x:c r="E13" s="93" t="n">
        <x:v>1</x:v>
      </x:c>
      <x:c r="F13" s="93" t="n">
        <x:v>0</x:v>
      </x:c>
      <x:c r="G13" s="93" t="str">
        <x:f>IF(F13=1,"PASS","OPEN")</x:f>
        <x:v>OPEN</x:v>
      </x:c>
      <x:c r="H13" s="93" t="str">
        <x:v>T07/T08</x:v>
      </x:c>
      <x:c r="I13" s="93" t="str">
        <x:v>Water Release / Metrology</x:v>
      </x:c>
      <x:c r="J13" s="95" t="str">
        <x:f>IF(AND(B13&lt;&gt;"",C13&lt;&gt;"",D13&lt;&gt;"",E13=1),"PASS","FAIL")</x:f>
        <x:v>PASS</x:v>
      </x:c>
      <x:c r="K13" s="81"/>
    </x:row>
    <x:row r="14" ht="45" customHeight="1">
      <x:c r="B14" s="92" t="str">
        <x:v>S08</x:v>
      </x:c>
      <x:c r="C14" s="93" t="str">
        <x:v>two conforming repair-zone decisions ten minutes apart</x:v>
      </x:c>
      <x:c r="D14" s="93" t="str">
        <x:v>paired decision packets</x:v>
      </x:c>
      <x:c r="E14" s="93" t="n">
        <x:v>1</x:v>
      </x:c>
      <x:c r="F14" s="93" t="n">
        <x:v>0</x:v>
      </x:c>
      <x:c r="G14" s="93" t="str">
        <x:f>IF(F14=1,"PASS","OPEN")</x:f>
        <x:v>OPEN</x:v>
      </x:c>
      <x:c r="H14" s="93" t="str">
        <x:v>T07/T08</x:v>
      </x:c>
      <x:c r="I14" s="93" t="str">
        <x:v>Water Release / Metrology</x:v>
      </x:c>
      <x:c r="J14" s="95" t="str">
        <x:f>IF(AND(B14&lt;&gt;"",C14&lt;&gt;"",D14&lt;&gt;"",E14=1),"PASS","FAIL")</x:f>
        <x:v>PASS</x:v>
      </x:c>
      <x:c r="K14" s="81"/>
    </x:row>
    <x:row r="15" ht="45" customHeight="1">
      <x:c r="B15" s="92" t="str">
        <x:v>S09</x:v>
      </x:c>
      <x:c r="C15" s="93" t="str">
        <x:v>material, cleaning, configuration and assay record closure</x:v>
      </x:c>
      <x:c r="D15" s="93" t="str">
        <x:v>joint configuration package</x:v>
      </x:c>
      <x:c r="E15" s="93" t="n">
        <x:v>1</x:v>
      </x:c>
      <x:c r="F15" s="93" t="n">
        <x:v>0</x:v>
      </x:c>
      <x:c r="G15" s="93" t="str">
        <x:f>IF(F15=1,"PASS","OPEN")</x:f>
        <x:v>OPEN</x:v>
      </x:c>
      <x:c r="H15" s="93" t="str">
        <x:v>T07/T08</x:v>
      </x:c>
      <x:c r="I15" s="93" t="str">
        <x:v>Water Release / Metrology</x:v>
      </x:c>
      <x:c r="J15" s="95" t="str">
        <x:f>IF(AND(B15&lt;&gt;"",C15&lt;&gt;"",D15&lt;&gt;"",E15=1),"PASS","FAIL")</x:f>
        <x:v>PASS</x:v>
      </x:c>
      <x:c r="K15" s="81"/>
    </x:row>
    <x:row r="16" ht="45" customHeight="1">
      <x:c r="B16" s="97" t="str">
        <x:v>S10</x:v>
      </x:c>
      <x:c r="C16" s="98" t="str">
        <x:v>Water, Configuration and Receiver signatures</x:v>
      </x:c>
      <x:c r="D16" s="98" t="str">
        <x:v>joint potable release</x:v>
      </x:c>
      <x:c r="E16" s="98" t="n">
        <x:v>1</x:v>
      </x:c>
      <x:c r="F16" s="98" t="n">
        <x:v>0</x:v>
      </x:c>
      <x:c r="G16" s="98" t="str">
        <x:f>IF(F16=1,"PASS","OPEN")</x:f>
        <x:v>OPEN</x:v>
      </x:c>
      <x:c r="H16" s="98" t="str">
        <x:v>T08</x:v>
      </x:c>
      <x:c r="I16" s="98" t="str">
        <x:v>Water + Configuration + Receiver</x:v>
      </x:c>
      <x:c r="J16" s="100" t="str">
        <x:f>IF(AND(B16&lt;&gt;"",C16&lt;&gt;"",D16&lt;&gt;"",E16=1),"PASS","FAIL")</x:f>
        <x:v>PASS</x:v>
      </x:c>
      <x:c r="K16" s="81"/>
    </x:row>
  </x:sheetData>
  <x:mergeCells>
    <x:mergeCell ref="B3:K3"/>
  </x:mergeCells>
  <x:conditionalFormatting sqref="G7:G16">
    <x:cfRule type="containsText" dxfId="165" priority="1" operator="containsText" text="FAIL"/>
    <x:cfRule type="containsText" dxfId="166" priority="2" operator="containsText" text="BLOCKED"/>
    <x:cfRule type="containsText" dxfId="167" priority="3" operator="containsText" text="HOLD"/>
    <x:cfRule type="containsText" dxfId="168" priority="4" operator="containsText" text="OPEN"/>
    <x:cfRule type="containsText" dxfId="169" priority="5" operator="containsText" text="UNTESTED"/>
    <x:cfRule type="containsText" dxfId="170" priority="6" operator="containsText" text="INDETERMINATE"/>
    <x:cfRule type="containsText" dxfId="171" priority="7" operator="containsText" text="PASS"/>
    <x:cfRule type="containsText" dxfId="172" priority="8" operator="containsText" text="CLOSED"/>
    <x:cfRule type="containsText" dxfId="173" priority="9" operator="containsText" text="READY"/>
    <x:cfRule type="containsText" dxfId="174" priority="10" operator="containsText" text="AUTHORIZED"/>
    <x:cfRule type="containsText" dxfId="175" priority="11" operator="containsText" text="PLANNING PASS"/>
    <x:cfRule type="containsText" dxfId="176" priority="12" operator="containsText" text="COMPLETE"/>
    <x:cfRule type="containsText" dxfId="177" priority="13" operator="containsText" text="ACCEPTED"/>
    <x:cfRule type="containsText" dxfId="178" priority="14" operator="containsText" text="ADMITTED"/>
    <x:cfRule type="containsText" dxfId="179" priority="15" operator="containsText" text="RELEASED"/>
  </x:conditionalFormatting>
  <x:conditionalFormatting sqref="J7:J16">
    <x:cfRule type="containsText" dxfId="180" priority="16" operator="containsText" text="FAIL"/>
    <x:cfRule type="containsText" dxfId="181" priority="17" operator="containsText" text="BLOCKED"/>
    <x:cfRule type="containsText" dxfId="182" priority="18" operator="containsText" text="HOLD"/>
    <x:cfRule type="containsText" dxfId="183" priority="19" operator="containsText" text="OPEN"/>
    <x:cfRule type="containsText" dxfId="184" priority="20" operator="containsText" text="UNTESTED"/>
    <x:cfRule type="containsText" dxfId="185" priority="21" operator="containsText" text="INDETERMINATE"/>
    <x:cfRule type="containsText" dxfId="186" priority="22" operator="containsText" text="PASS"/>
    <x:cfRule type="containsText" dxfId="187" priority="23" operator="containsText" text="CLOSED"/>
    <x:cfRule type="containsText" dxfId="188" priority="24" operator="containsText" text="READY"/>
    <x:cfRule type="containsText" dxfId="189" priority="25" operator="containsText" text="AUTHORIZED"/>
    <x:cfRule type="containsText" dxfId="190" priority="26" operator="containsText" text="PLANNING PASS"/>
    <x:cfRule type="containsText" dxfId="191" priority="27" operator="containsText" text="COMPLETE"/>
    <x:cfRule type="containsText" dxfId="192" priority="28" operator="containsText" text="ACCEPTED"/>
    <x:cfRule type="containsText" dxfId="193" priority="29" operator="containsText" text="ADMITTED"/>
    <x:cfRule type="containsText" dxfId="194" priority="30" operator="containsText" text="RELEASE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6" hidden="0" customWidth="1"/>
    <x:col min="4" max="4" width="19" hidden="0" customWidth="1"/>
    <x:col min="5" max="5" width="19" hidden="0" customWidth="1"/>
    <x:col min="6" max="6" width="40" hidden="0" customWidth="1"/>
    <x:col min="7" max="7" width="22" hidden="0" customWidth="1"/>
    <x:col min="8" max="8" width="22" hidden="0" customWidth="1"/>
    <x:col min="9" max="9" width="22" hidden="0" customWidth="1"/>
    <x:col min="10" max="10" width="16" hidden="0" customWidth="1"/>
  </x:cols>
  <x:sheetData>
    <x:row r="2">
      <x:c r="B2" s="1" t="str">
        <x:v>Independent measurement plane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The closure fixture carries 96 channels and each damage cell carries 128, with two locally complete originals.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ID</x:v>
      </x:c>
      <x:c r="C6" s="16" t="str">
        <x:v>Domain</x:v>
      </x:c>
      <x:c r="D6" s="16" t="str">
        <x:v>Closure channels</x:v>
      </x:c>
      <x:c r="E6" s="16" t="str">
        <x:v>Damage channels</x:v>
      </x:c>
      <x:c r="F6" s="16" t="str">
        <x:v>Decision role</x:v>
      </x:c>
      <x:c r="G6" s="16" t="str">
        <x:v>Unit/range registered</x:v>
      </x:c>
      <x:c r="H6" s="16" t="str">
        <x:v>Calibration registered</x:v>
      </x:c>
      <x:c r="I6" s="16" t="str">
        <x:v>Invalid-state rule</x:v>
      </x:c>
      <x:c r="J6" s="16" t="str">
        <x:v>Planning state</x:v>
      </x:c>
    </x:row>
    <x:row r="7" ht="41" customHeight="1">
      <x:c r="B7" s="92" t="str">
        <x:v>M01</x:v>
      </x:c>
      <x:c r="C7" s="93" t="str">
        <x:v>pressure and transient</x:v>
      </x:c>
      <x:c r="D7" s="93" t="n">
        <x:v>12</x:v>
      </x:c>
      <x:c r="E7" s="93" t="n">
        <x:v>16</x:v>
      </x:c>
      <x:c r="F7" s="93" t="str">
        <x:v>command versus measured article state</x:v>
      </x:c>
      <x:c r="G7" s="93" t="n">
        <x:v>1</x:v>
      </x:c>
      <x:c r="H7" s="93" t="n">
        <x:v>1</x:v>
      </x:c>
      <x:c r="I7" s="93" t="n">
        <x:v>1</x:v>
      </x:c>
      <x:c r="J7" s="95" t="str">
        <x:f>IF(AND(G7=1,H7=1,I7=1),"PASS","FAIL")</x:f>
        <x:v>PASS</x:v>
      </x:c>
    </x:row>
    <x:row r="8" ht="41" customHeight="1">
      <x:c r="B8" s="92" t="str">
        <x:v>M02</x:v>
      </x:c>
      <x:c r="C8" s="93" t="str">
        <x:v>source, receiver, leak and flush flow</x:v>
      </x:c>
      <x:c r="D8" s="93" t="n">
        <x:v>8</x:v>
      </x:c>
      <x:c r="E8" s="93" t="n">
        <x:v>12</x:v>
      </x:c>
      <x:c r="F8" s="93" t="str">
        <x:v>service, loss and volume conservation</x:v>
      </x:c>
      <x:c r="G8" s="93" t="n">
        <x:v>1</x:v>
      </x:c>
      <x:c r="H8" s="93" t="n">
        <x:v>1</x:v>
      </x:c>
      <x:c r="I8" s="93" t="n">
        <x:v>1</x:v>
      </x:c>
      <x:c r="J8" s="95" t="str">
        <x:f>IF(AND(G8=1,H8=1,I8=1),"PASS","FAIL")</x:f>
        <x:v>PASS</x:v>
      </x:c>
    </x:row>
    <x:row r="9" ht="41" customHeight="1">
      <x:c r="B9" s="92" t="str">
        <x:v>M03</x:v>
      </x:c>
      <x:c r="C9" s="93" t="str">
        <x:v>geometry and displacement</x:v>
      </x:c>
      <x:c r="D9" s="93" t="n">
        <x:v>20</x:v>
      </x:c>
      <x:c r="E9" s="93" t="n">
        <x:v>24</x:v>
      </x:c>
      <x:c r="F9" s="93" t="str">
        <x:v>alignment, ovality, injury and repair</x:v>
      </x:c>
      <x:c r="G9" s="93" t="n">
        <x:v>1</x:v>
      </x:c>
      <x:c r="H9" s="93" t="n">
        <x:v>1</x:v>
      </x:c>
      <x:c r="I9" s="93" t="n">
        <x:v>1</x:v>
      </x:c>
      <x:c r="J9" s="95" t="str">
        <x:f>IF(AND(G9=1,H9=1,I9=1),"PASS","FAIL")</x:f>
        <x:v>PASS</x:v>
      </x:c>
    </x:row>
    <x:row r="10" ht="41" customHeight="1">
      <x:c r="B10" s="92" t="str">
        <x:v>M04</x:v>
      </x:c>
      <x:c r="C10" s="93" t="str">
        <x:v>strain, force and restraint</x:v>
      </x:c>
      <x:c r="D10" s="93" t="n">
        <x:v>20</x:v>
      </x:c>
      <x:c r="E10" s="93" t="n">
        <x:v>24</x:v>
      </x:c>
      <x:c r="F10" s="93" t="str">
        <x:v>local and global load path</x:v>
      </x:c>
      <x:c r="G10" s="93" t="n">
        <x:v>1</x:v>
      </x:c>
      <x:c r="H10" s="93" t="n">
        <x:v>1</x:v>
      </x:c>
      <x:c r="I10" s="93" t="n">
        <x:v>1</x:v>
      </x:c>
      <x:c r="J10" s="95" t="str">
        <x:f>IF(AND(G10=1,H10=1,I10=1),"PASS","FAIL")</x:f>
        <x:v>PASS</x:v>
      </x:c>
    </x:row>
    <x:row r="11" ht="41" customHeight="1">
      <x:c r="B11" s="92" t="str">
        <x:v>M05</x:v>
      </x:c>
      <x:c r="C11" s="93" t="str">
        <x:v>temperature and process state</x:v>
      </x:c>
      <x:c r="D11" s="93" t="n">
        <x:v>12</x:v>
      </x:c>
      <x:c r="E11" s="93" t="n">
        <x:v>12</x:v>
      </x:c>
      <x:c r="F11" s="93" t="str">
        <x:v>root process and ambient history</x:v>
      </x:c>
      <x:c r="G11" s="93" t="n">
        <x:v>1</x:v>
      </x:c>
      <x:c r="H11" s="93" t="n">
        <x:v>1</x:v>
      </x:c>
      <x:c r="I11" s="93" t="n">
        <x:v>1</x:v>
      </x:c>
      <x:c r="J11" s="95" t="str">
        <x:f>IF(AND(G11=1,H11=1,I11=1),"PASS","FAIL")</x:f>
        <x:v>PASS</x:v>
      </x:c>
    </x:row>
    <x:row r="12" ht="41" customHeight="1">
      <x:c r="B12" s="92" t="str">
        <x:v>M06</x:v>
      </x:c>
      <x:c r="C12" s="93" t="str">
        <x:v>acoustic and event detection</x:v>
      </x:c>
      <x:c r="D12" s="93" t="n">
        <x:v>8</x:v>
      </x:c>
      <x:c r="E12" s="93" t="n">
        <x:v>12</x:v>
      </x:c>
      <x:c r="F12" s="93" t="str">
        <x:v>independent event and defect signals</x:v>
      </x:c>
      <x:c r="G12" s="93" t="n">
        <x:v>1</x:v>
      </x:c>
      <x:c r="H12" s="93" t="n">
        <x:v>1</x:v>
      </x:c>
      <x:c r="I12" s="93" t="n">
        <x:v>1</x:v>
      </x:c>
      <x:c r="J12" s="95" t="str">
        <x:f>IF(AND(G12=1,H12=1,I12=1),"PASS","FAIL")</x:f>
        <x:v>PASS</x:v>
      </x:c>
    </x:row>
    <x:row r="13" ht="41" customHeight="1">
      <x:c r="B13" s="92" t="str">
        <x:v>M07</x:v>
      </x:c>
      <x:c r="C13" s="93" t="str">
        <x:v>water quality and surrogate</x:v>
      </x:c>
      <x:c r="D13" s="93" t="n">
        <x:v>6</x:v>
      </x:c>
      <x:c r="E13" s="93" t="n">
        <x:v>12</x:v>
      </x:c>
      <x:c r="F13" s="93" t="str">
        <x:v>challenge ingress, flush and release</x:v>
      </x:c>
      <x:c r="G13" s="93" t="n">
        <x:v>1</x:v>
      </x:c>
      <x:c r="H13" s="93" t="n">
        <x:v>1</x:v>
      </x:c>
      <x:c r="I13" s="93" t="n">
        <x:v>1</x:v>
      </x:c>
      <x:c r="J13" s="95" t="str">
        <x:f>IF(AND(G13=1,H13=1,I13=1),"PASS","FAIL")</x:f>
        <x:v>PASS</x:v>
      </x:c>
    </x:row>
    <x:row r="14" ht="41" customHeight="1">
      <x:c r="B14" s="92" t="str">
        <x:v>M08</x:v>
      </x:c>
      <x:c r="C14" s="93" t="str">
        <x:v>energy, time, software and custody</x:v>
      </x:c>
      <x:c r="D14" s="93" t="n">
        <x:v>10</x:v>
      </x:c>
      <x:c r="E14" s="93" t="n">
        <x:v>16</x:v>
      </x:c>
      <x:c r="F14" s="93" t="str">
        <x:v>resources, clocks and configuration</x:v>
      </x:c>
      <x:c r="G14" s="93" t="n">
        <x:v>1</x:v>
      </x:c>
      <x:c r="H14" s="93" t="n">
        <x:v>1</x:v>
      </x:c>
      <x:c r="I14" s="93" t="n">
        <x:v>1</x:v>
      </x:c>
      <x:c r="J14" s="95" t="str">
        <x:f>IF(AND(G14=1,H14=1,I14=1),"PASS","FAIL")</x:f>
        <x:v>PASS</x:v>
      </x:c>
    </x:row>
    <x:row r="15">
      <x:c r="B15" s="92"/>
      <x:c r="C15" s="92"/>
      <x:c r="D15" s="92"/>
      <x:c r="E15" s="92"/>
      <x:c r="F15" s="92"/>
      <x:c r="G15" s="92"/>
      <x:c r="H15" s="92"/>
      <x:c r="I15" s="92"/>
      <x:c r="J15" s="102"/>
    </x:row>
    <x:row r="16">
      <x:c r="B16" s="97" t="str">
        <x:v>CONTROL</x:v>
      </x:c>
      <x:c r="C16" s="97" t="str">
        <x:v>Channel totals</x:v>
      </x:c>
      <x:c r="D16" s="97" t="n">
        <x:f>SUM(D7:D14)</x:f>
        <x:v>96</x:v>
      </x:c>
      <x:c r="E16" s="97" t="n">
        <x:f>SUM(E7:E14)</x:f>
        <x:v>128</x:v>
      </x:c>
      <x:c r="F16" s="97"/>
      <x:c r="G16" s="97"/>
      <x:c r="H16" s="97"/>
      <x:c r="I16" s="97"/>
      <x:c r="J16" s="101" t="str">
        <x:f>IF(AND(D16='Control Inputs'!D28,E16='Control Inputs'!D29,COUNTIF(J7:J14,"PASS")=8),"PASS","FAIL")</x:f>
        <x:v>PASS</x:v>
      </x:c>
    </x:row>
  </x:sheetData>
  <x:mergeCells>
    <x:mergeCell ref="B3:J3"/>
  </x:mergeCells>
  <x:conditionalFormatting sqref="J7:J16">
    <x:cfRule type="containsText" dxfId="195" priority="1" operator="containsText" text="FAIL"/>
    <x:cfRule type="containsText" dxfId="196" priority="2" operator="containsText" text="BLOCKED"/>
    <x:cfRule type="containsText" dxfId="197" priority="3" operator="containsText" text="HOLD"/>
    <x:cfRule type="containsText" dxfId="198" priority="4" operator="containsText" text="OPEN"/>
    <x:cfRule type="containsText" dxfId="199" priority="5" operator="containsText" text="UNTESTED"/>
    <x:cfRule type="containsText" dxfId="200" priority="6" operator="containsText" text="INDETERMINATE"/>
    <x:cfRule type="containsText" dxfId="201" priority="7" operator="containsText" text="PASS"/>
    <x:cfRule type="containsText" dxfId="202" priority="8" operator="containsText" text="CLOSED"/>
    <x:cfRule type="containsText" dxfId="203" priority="9" operator="containsText" text="READY"/>
    <x:cfRule type="containsText" dxfId="204" priority="10" operator="containsText" text="AUTHORIZED"/>
    <x:cfRule type="containsText" dxfId="205" priority="11" operator="containsText" text="PLANNING PASS"/>
    <x:cfRule type="containsText" dxfId="206" priority="12" operator="containsText" text="COMPLETE"/>
    <x:cfRule type="containsText" dxfId="207" priority="13" operator="containsText" text="ACCEPTED"/>
    <x:cfRule type="containsText" dxfId="208" priority="14" operator="containsText" text="ADMITTED"/>
    <x:cfRule type="containsText" dxfId="209" priority="15" operator="containsText" text="RELEASE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35" hidden="0" customWidth="1"/>
    <x:col min="4" max="4" width="27" hidden="0" customWidth="1"/>
    <x:col min="5" max="5" width="29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</x:cols>
  <x:sheetData>
    <x:row r="2">
      <x:c r="B2" s="1" t="str">
        <x:v>Evidence objects and separated blinding roles</x:v>
      </x:c>
      <x:c r="C2" s="81"/>
      <x:c r="D2" s="81"/>
      <x:c r="E2" s="81"/>
      <x:c r="F2" s="81"/>
      <x:c r="G2" s="81"/>
      <x:c r="H2" s="81"/>
      <x:c r="I2" s="81"/>
      <x:c r="J2" s="81"/>
      <x:c r="K2" s="81"/>
    </x:row>
    <x:row r="3">
      <x:c r="B3" s="2" t="str">
        <x:v>No person or system holds both sealed defect truth and the builder's live disposition authority.</x:v>
      </x:c>
      <x:c r="C3" s="81"/>
      <x:c r="D3" s="81"/>
      <x:c r="E3" s="81"/>
      <x:c r="F3" s="81"/>
      <x:c r="G3" s="81"/>
      <x:c r="H3" s="81"/>
      <x:c r="I3" s="81"/>
      <x:c r="J3" s="81"/>
      <x:c r="K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</x:row>
    <x:row r="6">
      <x:c r="B6" s="15" t="str">
        <x:v>Object</x:v>
      </x:c>
      <x:c r="C6" s="16" t="str">
        <x:v>Evidence object</x:v>
      </x:c>
      <x:c r="D6" s="16" t="str">
        <x:v>Custodian</x:v>
      </x:c>
      <x:c r="E6" s="16" t="str">
        <x:v>Release boundary</x:v>
      </x:c>
      <x:c r="F6" s="16" t="str">
        <x:v>Planned copies</x:v>
      </x:c>
      <x:c r="G6" s="16" t="str">
        <x:v>Received copies</x:v>
      </x:c>
      <x:c r="H6" s="16" t="str">
        <x:v>Evidence state</x:v>
      </x:c>
      <x:c r="I6" s="16" t="str">
        <x:v>Planning record</x:v>
      </x:c>
      <x:c r="J6" s="81"/>
      <x:c r="K6" s="81"/>
    </x:row>
    <x:row r="7" ht="41" customHeight="1">
      <x:c r="B7" s="92" t="str">
        <x:v>E01</x:v>
      </x:c>
      <x:c r="C7" s="93" t="str">
        <x:v>protocol and decision baseline</x:v>
      </x:c>
      <x:c r="D7" s="93" t="str">
        <x:v>program office</x:v>
      </x:c>
      <x:c r="E7" s="93" t="str">
        <x:v>before randomization</x:v>
      </x:c>
      <x:c r="F7" s="93" t="n">
        <x:v>2</x:v>
      </x:c>
      <x:c r="G7" s="93" t="n">
        <x:v>0</x:v>
      </x:c>
      <x:c r="H7" s="93" t="str">
        <x:f>IF(G7&gt;=F7,"COMPLETE","OPEN")</x:f>
        <x:v>OPEN</x:v>
      </x:c>
      <x:c r="I7" s="95" t="str">
        <x:f>IF(AND(COUNTA(B7:E7)=4,F7=2),"PASS","FAIL")</x:f>
        <x:v>PASS</x:v>
      </x:c>
      <x:c r="J7" s="81"/>
      <x:c r="K7" s="81"/>
    </x:row>
    <x:row r="8" ht="41" customHeight="1">
      <x:c r="B8" s="92" t="str">
        <x:v>E02</x:v>
      </x:c>
      <x:c r="C8" s="93" t="str">
        <x:v>fixture configuration and qualification</x:v>
      </x:c>
      <x:c r="D8" s="93" t="str">
        <x:v>fixture authority</x:v>
      </x:c>
      <x:c r="E8" s="93" t="str">
        <x:v>before root entry</x:v>
      </x:c>
      <x:c r="F8" s="93" t="n">
        <x:v>2</x:v>
      </x:c>
      <x:c r="G8" s="93" t="n">
        <x:v>0</x:v>
      </x:c>
      <x:c r="H8" s="93" t="str">
        <x:f>IF(G8&gt;=F8,"COMPLETE","OPEN")</x:f>
        <x:v>OPEN</x:v>
      </x:c>
      <x:c r="I8" s="95" t="str">
        <x:f>IF(AND(COUNTA(B8:E8)=4,F8=2),"PASS","FAIL")</x:f>
        <x:v>PASS</x:v>
      </x:c>
      <x:c r="J8" s="81"/>
      <x:c r="K8" s="81"/>
    </x:row>
    <x:row r="9" ht="41" customHeight="1">
      <x:c r="B9" s="92" t="str">
        <x:v>E03</x:v>
      </x:c>
      <x:c r="C9" s="93" t="str">
        <x:v>root article configuration</x:v>
      </x:c>
      <x:c r="D9" s="93" t="str">
        <x:v>configuration authority</x:v>
      </x:c>
      <x:c r="E9" s="93" t="str">
        <x:v>before custody</x:v>
      </x:c>
      <x:c r="F9" s="93" t="n">
        <x:v>2</x:v>
      </x:c>
      <x:c r="G9" s="93" t="n">
        <x:v>0</x:v>
      </x:c>
      <x:c r="H9" s="93" t="str">
        <x:f>IF(G9&gt;=F9,"COMPLETE","OPEN")</x:f>
        <x:v>OPEN</x:v>
      </x:c>
      <x:c r="I9" s="95" t="str">
        <x:f>IF(AND(COUNTA(B9:E9)=4,F9=2),"PASS","FAIL")</x:f>
        <x:v>PASS</x:v>
      </x:c>
      <x:c r="J9" s="81"/>
      <x:c r="K9" s="81"/>
    </x:row>
    <x:row r="10" ht="41" customHeight="1">
      <x:c r="B10" s="92" t="str">
        <x:v>E04</x:v>
      </x:c>
      <x:c r="C10" s="93" t="str">
        <x:v>randomized run order</x:v>
      </x:c>
      <x:c r="D10" s="93" t="str">
        <x:v>randomization authority</x:v>
      </x:c>
      <x:c r="E10" s="93" t="str">
        <x:v>sealed before execution</x:v>
      </x:c>
      <x:c r="F10" s="93" t="n">
        <x:v>2</x:v>
      </x:c>
      <x:c r="G10" s="93" t="n">
        <x:v>0</x:v>
      </x:c>
      <x:c r="H10" s="93" t="str">
        <x:f>IF(G10&gt;=F10,"COMPLETE","OPEN")</x:f>
        <x:v>OPEN</x:v>
      </x:c>
      <x:c r="I10" s="95" t="str">
        <x:f>IF(AND(COUNTA(B10:E10)=4,F10=2),"PASS","FAIL")</x:f>
        <x:v>PASS</x:v>
      </x:c>
      <x:c r="J10" s="81"/>
      <x:c r="K10" s="81"/>
    </x:row>
    <x:row r="11" ht="41" customHeight="1">
      <x:c r="B11" s="92" t="str">
        <x:v>E05</x:v>
      </x:c>
      <x:c r="C11" s="93" t="str">
        <x:v>sealed defect manifest</x:v>
      </x:c>
      <x:c r="D11" s="93" t="str">
        <x:v>defect team</x:v>
      </x:c>
      <x:c r="E11" s="93" t="str">
        <x:v>after frozen disposition</x:v>
      </x:c>
      <x:c r="F11" s="93" t="n">
        <x:v>2</x:v>
      </x:c>
      <x:c r="G11" s="93" t="n">
        <x:v>0</x:v>
      </x:c>
      <x:c r="H11" s="93" t="str">
        <x:f>IF(G11&gt;=F11,"COMPLETE","OPEN")</x:f>
        <x:v>OPEN</x:v>
      </x:c>
      <x:c r="I11" s="95" t="str">
        <x:f>IF(AND(COUNTA(B11:E11)=4,F11=2),"PASS","FAIL")</x:f>
        <x:v>PASS</x:v>
      </x:c>
      <x:c r="J11" s="81"/>
      <x:c r="K11" s="81"/>
    </x:row>
    <x:row r="12" ht="41" customHeight="1">
      <x:c r="B12" s="92" t="str">
        <x:v>E06</x:v>
      </x:c>
      <x:c r="C12" s="93" t="str">
        <x:v>pre-event calibration and blanks</x:v>
      </x:c>
      <x:c r="D12" s="93" t="str">
        <x:v>metrology/water teams</x:v>
      </x:c>
      <x:c r="E12" s="93" t="str">
        <x:v>before stimulus</x:v>
      </x:c>
      <x:c r="F12" s="93" t="n">
        <x:v>2</x:v>
      </x:c>
      <x:c r="G12" s="93" t="n">
        <x:v>0</x:v>
      </x:c>
      <x:c r="H12" s="93" t="str">
        <x:f>IF(G12&gt;=F12,"COMPLETE","OPEN")</x:f>
        <x:v>OPEN</x:v>
      </x:c>
      <x:c r="I12" s="95" t="str">
        <x:f>IF(AND(COUNTA(B12:E12)=4,F12=2),"PASS","FAIL")</x:f>
        <x:v>PASS</x:v>
      </x:c>
      <x:c r="J12" s="81"/>
      <x:c r="K12" s="81"/>
    </x:row>
    <x:row r="13" ht="41" customHeight="1">
      <x:c r="B13" s="92" t="str">
        <x:v>E07</x:v>
      </x:c>
      <x:c r="C13" s="93" t="str">
        <x:v>independent raw sensor originals</x:v>
      </x:c>
      <x:c r="D13" s="93" t="str">
        <x:v>metrology authority</x:v>
      </x:c>
      <x:c r="E13" s="93" t="str">
        <x:v>continuous local retention</x:v>
      </x:c>
      <x:c r="F13" s="93" t="n">
        <x:v>2</x:v>
      </x:c>
      <x:c r="G13" s="93" t="n">
        <x:v>0</x:v>
      </x:c>
      <x:c r="H13" s="93" t="str">
        <x:f>IF(G13&gt;=F13,"COMPLETE","OPEN")</x:f>
        <x:v>OPEN</x:v>
      </x:c>
      <x:c r="I13" s="95" t="str">
        <x:f>IF(AND(COUNTA(B13:E13)=4,F13=2),"PASS","FAIL")</x:f>
        <x:v>PASS</x:v>
      </x:c>
      <x:c r="J13" s="81"/>
      <x:c r="K13" s="81"/>
    </x:row>
    <x:row r="14" ht="41" customHeight="1">
      <x:c r="B14" s="92" t="str">
        <x:v>E08</x:v>
      </x:c>
      <x:c r="C14" s="93" t="str">
        <x:v>builder process originals</x:v>
      </x:c>
      <x:c r="D14" s="93" t="str">
        <x:v>builder</x:v>
      </x:c>
      <x:c r="E14" s="93" t="str">
        <x:v>continuous local retention</x:v>
      </x:c>
      <x:c r="F14" s="93" t="n">
        <x:v>2</x:v>
      </x:c>
      <x:c r="G14" s="93" t="n">
        <x:v>0</x:v>
      </x:c>
      <x:c r="H14" s="93" t="str">
        <x:f>IF(G14&gt;=F14,"COMPLETE","OPEN")</x:f>
        <x:v>OPEN</x:v>
      </x:c>
      <x:c r="I14" s="95" t="str">
        <x:f>IF(AND(COUNTA(B14:E14)=4,F14=2),"PASS","FAIL")</x:f>
        <x:v>PASS</x:v>
      </x:c>
      <x:c r="J14" s="81"/>
      <x:c r="K14" s="81"/>
    </x:row>
    <x:row r="15" ht="41" customHeight="1">
      <x:c r="B15" s="92" t="str">
        <x:v>E09</x:v>
      </x:c>
      <x:c r="C15" s="93" t="str">
        <x:v>event and repair-clock ledger</x:v>
      </x:c>
      <x:c r="D15" s="93" t="str">
        <x:v>time authority</x:v>
      </x:c>
      <x:c r="E15" s="93" t="str">
        <x:v>continuous</x:v>
      </x:c>
      <x:c r="F15" s="93" t="n">
        <x:v>2</x:v>
      </x:c>
      <x:c r="G15" s="93" t="n">
        <x:v>0</x:v>
      </x:c>
      <x:c r="H15" s="93" t="str">
        <x:f>IF(G15&gt;=F15,"COMPLETE","OPEN")</x:f>
        <x:v>OPEN</x:v>
      </x:c>
      <x:c r="I15" s="95" t="str">
        <x:f>IF(AND(COUNTA(B15:E15)=4,F15=2),"PASS","FAIL")</x:f>
        <x:v>PASS</x:v>
      </x:c>
      <x:c r="J15" s="81"/>
      <x:c r="K15" s="81"/>
    </x:row>
    <x:row r="16" ht="41" customHeight="1">
      <x:c r="B16" s="92" t="str">
        <x:v>E10</x:v>
      </x:c>
      <x:c r="C16" s="93" t="str">
        <x:v>material, tool, consumable and waste ledger</x:v>
      </x:c>
      <x:c r="D16" s="93" t="str">
        <x:v>configuration authority</x:v>
      </x:c>
      <x:c r="E16" s="93" t="str">
        <x:v>continuous</x:v>
      </x:c>
      <x:c r="F16" s="93" t="n">
        <x:v>2</x:v>
      </x:c>
      <x:c r="G16" s="93" t="n">
        <x:v>0</x:v>
      </x:c>
      <x:c r="H16" s="93" t="str">
        <x:f>IF(G16&gt;=F16,"COMPLETE","OPEN")</x:f>
        <x:v>OPEN</x:v>
      </x:c>
      <x:c r="I16" s="95" t="str">
        <x:f>IF(AND(COUNTA(B16:E16)=4,F16=2),"PASS","FAIL")</x:f>
        <x:v>PASS</x:v>
      </x:c>
      <x:c r="J16" s="81"/>
      <x:c r="K16" s="81"/>
    </x:row>
    <x:row r="17" ht="41" customHeight="1">
      <x:c r="B17" s="92" t="str">
        <x:v>E11</x:v>
      </x:c>
      <x:c r="C17" s="93" t="str">
        <x:v>water samples, assays and mass balance</x:v>
      </x:c>
      <x:c r="D17" s="93" t="str">
        <x:v>water authority</x:v>
      </x:c>
      <x:c r="E17" s="93" t="str">
        <x:v>pre/post event</x:v>
      </x:c>
      <x:c r="F17" s="93" t="n">
        <x:v>2</x:v>
      </x:c>
      <x:c r="G17" s="93" t="n">
        <x:v>0</x:v>
      </x:c>
      <x:c r="H17" s="93" t="str">
        <x:f>IF(G17&gt;=F17,"COMPLETE","OPEN")</x:f>
        <x:v>OPEN</x:v>
      </x:c>
      <x:c r="I17" s="95" t="str">
        <x:f>IF(AND(COUNTA(B17:E17)=4,F17=2),"PASS","FAIL")</x:f>
        <x:v>PASS</x:v>
      </x:c>
      <x:c r="J17" s="81"/>
      <x:c r="K17" s="81"/>
    </x:row>
    <x:row r="18" ht="41" customHeight="1">
      <x:c r="B18" s="92" t="str">
        <x:v>E12</x:v>
      </x:c>
      <x:c r="C18" s="93" t="str">
        <x:v>frozen disposition</x:v>
      </x:c>
      <x:c r="D18" s="93" t="str">
        <x:v>acceptance authority</x:v>
      </x:c>
      <x:c r="E18" s="93" t="str">
        <x:v>before unblinding</x:v>
      </x:c>
      <x:c r="F18" s="93" t="n">
        <x:v>2</x:v>
      </x:c>
      <x:c r="G18" s="93" t="n">
        <x:v>0</x:v>
      </x:c>
      <x:c r="H18" s="93" t="str">
        <x:f>IF(G18&gt;=F18,"COMPLETE","OPEN")</x:f>
        <x:v>OPEN</x:v>
      </x:c>
      <x:c r="I18" s="95" t="str">
        <x:f>IF(AND(COUNTA(B18:E18)=4,F18=2),"PASS","FAIL")</x:f>
        <x:v>PASS</x:v>
      </x:c>
      <x:c r="J18" s="81"/>
      <x:c r="K18" s="81"/>
    </x:row>
    <x:row r="19" ht="41" customHeight="1">
      <x:c r="B19" s="92" t="str">
        <x:v>E13</x:v>
      </x:c>
      <x:c r="C19" s="93" t="str">
        <x:v>unblinded truth and forensic sections</x:v>
      </x:c>
      <x:c r="D19" s="93" t="str">
        <x:v>forensic authority</x:v>
      </x:c>
      <x:c r="E19" s="93" t="str">
        <x:v>after disposition</x:v>
      </x:c>
      <x:c r="F19" s="93" t="n">
        <x:v>2</x:v>
      </x:c>
      <x:c r="G19" s="93" t="n">
        <x:v>0</x:v>
      </x:c>
      <x:c r="H19" s="93" t="str">
        <x:f>IF(G19&gt;=F19,"COMPLETE","OPEN")</x:f>
        <x:v>OPEN</x:v>
      </x:c>
      <x:c r="I19" s="95" t="str">
        <x:f>IF(AND(COUNTA(B19:E19)=4,F19=2),"PASS","FAIL")</x:f>
        <x:v>PASS</x:v>
      </x:c>
      <x:c r="J19" s="81"/>
      <x:c r="K19" s="81"/>
    </x:row>
    <x:row r="20" ht="41" customHeight="1">
      <x:c r="B20" s="92" t="str">
        <x:v>E14</x:v>
      </x:c>
      <x:c r="C20" s="93" t="str">
        <x:v>deviation, cause and final disposition</x:v>
      </x:c>
      <x:c r="D20" s="93" t="str">
        <x:v>evidence board</x:v>
      </x:c>
      <x:c r="E20" s="93" t="str">
        <x:v>campaign close</x:v>
      </x:c>
      <x:c r="F20" s="93" t="n">
        <x:v>2</x:v>
      </x:c>
      <x:c r="G20" s="93" t="n">
        <x:v>0</x:v>
      </x:c>
      <x:c r="H20" s="93" t="str">
        <x:f>IF(G20&gt;=F20,"COMPLETE","OPEN")</x:f>
        <x:v>OPEN</x:v>
      </x:c>
      <x:c r="I20" s="95" t="str">
        <x:f>IF(AND(COUNTA(B20:E20)=4,F20=2),"PASS","FAIL")</x:f>
        <x:v>PASS</x:v>
      </x:c>
      <x:c r="J20" s="81"/>
      <x:c r="K20" s="81"/>
    </x:row>
    <x:row r="21" ht="41" customHeight="1">
      <x:c r="B21" s="92"/>
      <x:c r="C21" s="93"/>
      <x:c r="D21" s="93"/>
      <x:c r="E21" s="93"/>
      <x:c r="F21" s="93"/>
      <x:c r="G21" s="93"/>
      <x:c r="H21" s="93"/>
      <x:c r="I21" s="95"/>
      <x:c r="J21" s="81"/>
      <x:c r="K21" s="81"/>
    </x:row>
    <x:row r="22" ht="41" customHeight="1">
      <x:c r="B22" s="92"/>
      <x:c r="C22" s="93"/>
      <x:c r="D22" s="93"/>
      <x:c r="E22" s="93"/>
      <x:c r="F22" s="93"/>
      <x:c r="G22" s="93"/>
      <x:c r="H22" s="93"/>
      <x:c r="I22" s="95"/>
      <x:c r="J22" s="81"/>
      <x:c r="K22" s="81"/>
    </x:row>
    <x:row r="23" ht="41" customHeight="1">
      <x:c r="B23" s="38" t="str">
        <x:v>Separated campaign roles</x:v>
      </x:c>
      <x:c r="C23" s="129" t="str">
        <x:v>Separated campaign roles</x:v>
      </x:c>
      <x:c r="D23" s="129" t="str">
        <x:v>Separated campaign roles</x:v>
      </x:c>
      <x:c r="E23" s="129" t="str">
        <x:v>Separated campaign roles</x:v>
      </x:c>
      <x:c r="F23" s="129" t="str">
        <x:v>Separated campaign roles</x:v>
      </x:c>
      <x:c r="G23" s="129" t="str">
        <x:v>Separated campaign roles</x:v>
      </x:c>
      <x:c r="H23" s="129" t="str">
        <x:v>Separated campaign roles</x:v>
      </x:c>
      <x:c r="I23" s="130" t="str">
        <x:v>Separated campaign roles</x:v>
      </x:c>
      <x:c r="J23" s="81"/>
      <x:c r="K23" s="81"/>
    </x:row>
    <x:row r="24" ht="41" customHeight="1">
      <x:c r="B24" s="92" t="str">
        <x:v>R01</x:v>
      </x:c>
      <x:c r="C24" s="93" t="str">
        <x:v>Builder</x:v>
      </x:c>
      <x:c r="D24" s="93" t="str">
        <x:v>configure and operate root article</x:v>
      </x:c>
      <x:c r="E24" s="93" t="str">
        <x:v>cannot see sealed truth</x:v>
      </x:c>
      <x:c r="F24" s="93" t="str">
        <x:v>root process originals</x:v>
      </x:c>
      <x:c r="G24" s="93"/>
      <x:c r="H24" s="93"/>
      <x:c r="I24" s="95"/>
      <x:c r="J24" s="81"/>
      <x:c r="K24" s="81"/>
    </x:row>
    <x:row r="25" ht="41" customHeight="1">
      <x:c r="B25" s="92" t="str">
        <x:v>R02</x:v>
      </x:c>
      <x:c r="C25" s="93" t="str">
        <x:v>Defect team</x:v>
      </x:c>
      <x:c r="D25" s="93" t="str">
        <x:v>manufacture and seal truth</x:v>
      </x:c>
      <x:c r="E25" s="93" t="str">
        <x:v>cannot accept article</x:v>
      </x:c>
      <x:c r="F25" s="93" t="str">
        <x:v>sealed manifest</x:v>
      </x:c>
      <x:c r="G25" s="93"/>
      <x:c r="H25" s="93"/>
      <x:c r="I25" s="95"/>
      <x:c r="J25" s="81"/>
      <x:c r="K25" s="81"/>
    </x:row>
    <x:row r="26" ht="41" customHeight="1">
      <x:c r="B26" s="92" t="str">
        <x:v>R03</x:v>
      </x:c>
      <x:c r="C26" s="93" t="str">
        <x:v>Range and safety</x:v>
      </x:c>
      <x:c r="D26" s="93" t="str">
        <x:v>apply stimulus and control hazards</x:v>
      </x:c>
      <x:c r="E26" s="93" t="str">
        <x:v>cannot award success</x:v>
      </x:c>
      <x:c r="F26" s="93" t="str">
        <x:v>stimulus originals</x:v>
      </x:c>
      <x:c r="G26" s="93"/>
      <x:c r="H26" s="93"/>
      <x:c r="I26" s="95"/>
      <x:c r="J26" s="81"/>
      <x:c r="K26" s="81"/>
    </x:row>
    <x:row r="27" ht="41" customHeight="1">
      <x:c r="B27" s="92" t="str">
        <x:v>R04</x:v>
      </x:c>
      <x:c r="C27" s="93" t="str">
        <x:v>Metrology and water</x:v>
      </x:c>
      <x:c r="D27" s="93" t="str">
        <x:v>retain independent originals</x:v>
      </x:c>
      <x:c r="E27" s="93" t="str">
        <x:v>cannot alter root configuration</x:v>
      </x:c>
      <x:c r="F27" s="93" t="str">
        <x:v>measurement and sample custody</x:v>
      </x:c>
      <x:c r="G27" s="93"/>
      <x:c r="H27" s="93"/>
      <x:c r="I27" s="95"/>
      <x:c r="J27" s="81"/>
      <x:c r="K27" s="81"/>
    </x:row>
    <x:row r="28" ht="41" customHeight="1">
      <x:c r="B28" s="97" t="str">
        <x:v>R05</x:v>
      </x:c>
      <x:c r="C28" s="98" t="str">
        <x:v>Evidence board</x:v>
      </x:c>
      <x:c r="D28" s="98" t="str">
        <x:v>compare frozen decision with truth</x:v>
      </x:c>
      <x:c r="E28" s="98" t="str">
        <x:v>unblinds only after seal</x:v>
      </x:c>
      <x:c r="F28" s="98" t="str">
        <x:v>admitted claim or failure</x:v>
      </x:c>
      <x:c r="G28" s="98"/>
      <x:c r="H28" s="98"/>
      <x:c r="I28" s="100"/>
      <x:c r="J28" s="81"/>
      <x:c r="K28" s="81"/>
    </x:row>
  </x:sheetData>
  <x:mergeCells>
    <x:mergeCell ref="B3:K3"/>
    <x:mergeCell ref="B23:I23"/>
  </x:mergeCells>
  <x:conditionalFormatting sqref="H7:I20">
    <x:cfRule type="containsText" dxfId="210" priority="1" operator="containsText" text="FAIL"/>
    <x:cfRule type="containsText" dxfId="211" priority="2" operator="containsText" text="BLOCKED"/>
    <x:cfRule type="containsText" dxfId="212" priority="3" operator="containsText" text="HOLD"/>
    <x:cfRule type="containsText" dxfId="213" priority="4" operator="containsText" text="OPEN"/>
    <x:cfRule type="containsText" dxfId="214" priority="5" operator="containsText" text="UNTESTED"/>
    <x:cfRule type="containsText" dxfId="215" priority="6" operator="containsText" text="INDETERMINATE"/>
    <x:cfRule type="containsText" dxfId="216" priority="7" operator="containsText" text="PASS"/>
    <x:cfRule type="containsText" dxfId="217" priority="8" operator="containsText" text="CLOSED"/>
    <x:cfRule type="containsText" dxfId="218" priority="9" operator="containsText" text="READY"/>
    <x:cfRule type="containsText" dxfId="219" priority="10" operator="containsText" text="AUTHORIZED"/>
    <x:cfRule type="containsText" dxfId="220" priority="11" operator="containsText" text="PLANNING PASS"/>
    <x:cfRule type="containsText" dxfId="221" priority="12" operator="containsText" text="COMPLETE"/>
    <x:cfRule type="containsText" dxfId="222" priority="13" operator="containsText" text="ACCEPTED"/>
    <x:cfRule type="containsText" dxfId="223" priority="14" operator="containsText" text="ADMITTED"/>
    <x:cfRule type="containsText" dxfId="224" priority="15" operator="containsText" text="RELEASE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0" hidden="0" customWidth="1"/>
    <x:col min="4" max="4" width="18" hidden="0" customWidth="1"/>
    <x:col min="5" max="5" width="39" hidden="0" customWidth="1"/>
    <x:col min="6" max="6" width="35" hidden="0" customWidth="1"/>
    <x:col min="7" max="7" width="18" hidden="0" customWidth="1"/>
    <x:col min="8" max="8" width="16" hidden="0" customWidth="1"/>
    <x:col min="9" max="9" width="24" hidden="0" customWidth="1"/>
    <x:col min="10" max="10" width="16" hidden="0" customWidth="1"/>
  </x:cols>
  <x:sheetData>
    <x:row r="2">
      <x:c r="B2" s="1" t="str">
        <x:v>Controlled teardown and measured internal sections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Section planes are fixed before opening. Accepted measurements may inform internal requirements, never exterior form.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ID</x:v>
      </x:c>
      <x:c r="C6" s="16" t="str">
        <x:v>Forensic object</x:v>
      </x:c>
      <x:c r="D6" s="16" t="str">
        <x:v>Required count</x:v>
      </x:c>
      <x:c r="E6" s="16" t="str">
        <x:v>Selection rule</x:v>
      </x:c>
      <x:c r="F6" s="16" t="str">
        <x:v>Decision purpose</x:v>
      </x:c>
      <x:c r="G6" s="16" t="str">
        <x:v>Completed count</x:v>
      </x:c>
      <x:c r="H6" s="16" t="str">
        <x:v>Physical state</x:v>
      </x:c>
      <x:c r="I6" s="16" t="str">
        <x:v>Internal-section eligible</x:v>
      </x:c>
      <x:c r="J6" s="16" t="str">
        <x:v>Planning record</x:v>
      </x:c>
    </x:row>
    <x:row r="7" ht="45" customHeight="1">
      <x:c r="B7" s="92" t="str">
        <x:v>FS01</x:v>
      </x:c>
      <x:c r="C7" s="93" t="str">
        <x:v>whole-article pre/post geometry</x:v>
      </x:c>
      <x:c r="D7" s="93" t="n">
        <x:v>2</x:v>
      </x:c>
      <x:c r="E7" s="93" t="str">
        <x:v>registered full-bore scans</x:v>
      </x:c>
      <x:c r="F7" s="93" t="str">
        <x:v>shape and displacement history</x:v>
      </x:c>
      <x:c r="G7" s="93" t="n">
        <x:v>0</x:v>
      </x:c>
      <x:c r="H7" s="93" t="str">
        <x:f>IF(G7&gt;=D7,"COMPLETE","OPEN")</x:f>
        <x:v>OPEN</x:v>
      </x:c>
      <x:c r="I7" s="93" t="str">
        <x:f>IF(AND(H7="COMPLETE",'Control Inputs'!D53=1),"ELIGIBLE","BLOCKED")</x:f>
        <x:v>BLOCKED</x:v>
      </x:c>
      <x:c r="J7" s="95" t="str">
        <x:f>IF(AND(B7&lt;&gt;"",C7&lt;&gt;"",D7&gt;0,E7&lt;&gt;"",F7&lt;&gt;""),"PASS","FAIL")</x:f>
        <x:v>PASS</x:v>
      </x:c>
    </x:row>
    <x:row r="8" ht="45" customHeight="1">
      <x:c r="B8" s="92" t="str">
        <x:v>FS02</x:v>
      </x:c>
      <x:c r="C8" s="93" t="str">
        <x:v>complete repair volume</x:v>
      </x:c>
      <x:c r="D8" s="93" t="n">
        <x:v>1</x:v>
      </x:c>
      <x:c r="E8" s="93" t="str">
        <x:v>repair plus 1 m each side</x:v>
      </x:c>
      <x:c r="F8" s="93" t="str">
        <x:v>complete disturbed boundary</x:v>
      </x:c>
      <x:c r="G8" s="93" t="n">
        <x:v>0</x:v>
      </x:c>
      <x:c r="H8" s="93" t="str">
        <x:f>IF(G8&gt;=D8,"COMPLETE","OPEN")</x:f>
        <x:v>OPEN</x:v>
      </x:c>
      <x:c r="I8" s="93" t="str">
        <x:f>IF(AND(H8="COMPLETE",'Control Inputs'!D53=1),"ELIGIBLE","BLOCKED")</x:f>
        <x:v>BLOCKED</x:v>
      </x:c>
      <x:c r="J8" s="95" t="str">
        <x:f>IF(AND(B8&lt;&gt;"",C8&lt;&gt;"",D8&gt;0,E8&lt;&gt;"",F8&lt;&gt;""),"PASS","FAIL")</x:f>
        <x:v>PASS</x:v>
      </x:c>
    </x:row>
    <x:row r="9" ht="45" customHeight="1">
      <x:c r="B9" s="92" t="str">
        <x:v>FS03</x:v>
      </x:c>
      <x:c r="C9" s="93" t="str">
        <x:v>transverse section planes</x:v>
      </x:c>
      <x:c r="D9" s="93" t="n">
        <x:v>8</x:v>
      </x:c>
      <x:c r="E9" s="93" t="str">
        <x:v>preselected through damage, repair, transition and controls</x:v>
      </x:c>
      <x:c r="F9" s="93" t="str">
        <x:v>unbiased internal truth</x:v>
      </x:c>
      <x:c r="G9" s="93" t="n">
        <x:v>0</x:v>
      </x:c>
      <x:c r="H9" s="93" t="str">
        <x:f>IF(G9&gt;=D9,"COMPLETE","OPEN")</x:f>
        <x:v>OPEN</x:v>
      </x:c>
      <x:c r="I9" s="93" t="str">
        <x:f>IF(AND(H9="COMPLETE",'Control Inputs'!D53=1),"ELIGIBLE","BLOCKED")</x:f>
        <x:v>BLOCKED</x:v>
      </x:c>
      <x:c r="J9" s="95" t="str">
        <x:f>IF(AND(B9&lt;&gt;"",C9&lt;&gt;"",D9&gt;0,E9&lt;&gt;"",F9&lt;&gt;""),"PASS","FAIL")</x:f>
        <x:v>PASS</x:v>
      </x:c>
    </x:row>
    <x:row r="10" ht="45" customHeight="1">
      <x:c r="B10" s="92" t="str">
        <x:v>FS04</x:v>
      </x:c>
      <x:c r="C10" s="93" t="str">
        <x:v>longitudinal section</x:v>
      </x:c>
      <x:c r="D10" s="93" t="n">
        <x:v>1</x:v>
      </x:c>
      <x:c r="E10" s="93" t="str">
        <x:v>dominant defect or load path</x:v>
      </x:c>
      <x:c r="F10" s="93" t="str">
        <x:v>propagation and interface truth</x:v>
      </x:c>
      <x:c r="G10" s="93" t="n">
        <x:v>0</x:v>
      </x:c>
      <x:c r="H10" s="93" t="str">
        <x:f>IF(G10&gt;=D10,"COMPLETE","OPEN")</x:f>
        <x:v>OPEN</x:v>
      </x:c>
      <x:c r="I10" s="93" t="str">
        <x:f>IF(AND(H10="COMPLETE",'Control Inputs'!D53=1),"ELIGIBLE","BLOCKED")</x:f>
        <x:v>BLOCKED</x:v>
      </x:c>
      <x:c r="J10" s="95" t="str">
        <x:f>IF(AND(B10&lt;&gt;"",C10&lt;&gt;"",D10&gt;0,E10&lt;&gt;"",F10&lt;&gt;""),"PASS","FAIL")</x:f>
        <x:v>PASS</x:v>
      </x:c>
    </x:row>
    <x:row r="11" ht="45" customHeight="1">
      <x:c r="B11" s="92" t="str">
        <x:v>FS05</x:v>
      </x:c>
      <x:c r="C11" s="93" t="str">
        <x:v>layer, bond and fracture map</x:v>
      </x:c>
      <x:c r="D11" s="93" t="n">
        <x:v>1</x:v>
      </x:c>
      <x:c r="E11" s="93" t="str">
        <x:v>registered-resolution package</x:v>
      </x:c>
      <x:c r="F11" s="93" t="str">
        <x:v>material-system correlation</x:v>
      </x:c>
      <x:c r="G11" s="93" t="n">
        <x:v>0</x:v>
      </x:c>
      <x:c r="H11" s="93" t="str">
        <x:f>IF(G11&gt;=D11,"COMPLETE","OPEN")</x:f>
        <x:v>OPEN</x:v>
      </x:c>
      <x:c r="I11" s="93" t="str">
        <x:f>IF(AND(H11="COMPLETE",'Control Inputs'!D53=1),"ELIGIBLE","BLOCKED")</x:f>
        <x:v>BLOCKED</x:v>
      </x:c>
      <x:c r="J11" s="95" t="str">
        <x:f>IF(AND(B11&lt;&gt;"",C11&lt;&gt;"",D11&gt;0,E11&lt;&gt;"",F11&lt;&gt;""),"PASS","FAIL")</x:f>
        <x:v>PASS</x:v>
      </x:c>
    </x:row>
    <x:row r="12" ht="45" customHeight="1">
      <x:c r="B12" s="92" t="str">
        <x:v>FS06</x:v>
      </x:c>
      <x:c r="C12" s="93" t="str">
        <x:v>contamination and cleaning map</x:v>
      </x:c>
      <x:c r="D12" s="93" t="n">
        <x:v>1</x:v>
      </x:c>
      <x:c r="E12" s="93" t="str">
        <x:v>challenge and flush mass balance</x:v>
      </x:c>
      <x:c r="F12" s="93" t="str">
        <x:v>sanitary truth</x:v>
      </x:c>
      <x:c r="G12" s="93" t="n">
        <x:v>0</x:v>
      </x:c>
      <x:c r="H12" s="93" t="str">
        <x:f>IF(G12&gt;=D12,"COMPLETE","OPEN")</x:f>
        <x:v>OPEN</x:v>
      </x:c>
      <x:c r="I12" s="93" t="str">
        <x:f>IF(AND(H12="COMPLETE",'Control Inputs'!D53=1),"ELIGIBLE","BLOCKED")</x:f>
        <x:v>BLOCKED</x:v>
      </x:c>
      <x:c r="J12" s="95" t="str">
        <x:f>IF(AND(B12&lt;&gt;"",C12&lt;&gt;"",D12&gt;0,E12&lt;&gt;"",F12&lt;&gt;""),"PASS","FAIL")</x:f>
        <x:v>PASS</x:v>
      </x:c>
    </x:row>
    <x:row r="13" ht="45" customHeight="1">
      <x:c r="B13" s="92" t="str">
        <x:v>FS07</x:v>
      </x:c>
      <x:c r="C13" s="93" t="str">
        <x:v>NDE-to-opened-truth correlation</x:v>
      </x:c>
      <x:c r="D13" s="93" t="n">
        <x:v>1</x:v>
      </x:c>
      <x:c r="E13" s="93" t="str">
        <x:v>all acceptance modalities</x:v>
      </x:c>
      <x:c r="F13" s="93" t="str">
        <x:v>classifier validity</x:v>
      </x:c>
      <x:c r="G13" s="93" t="n">
        <x:v>0</x:v>
      </x:c>
      <x:c r="H13" s="93" t="str">
        <x:f>IF(G13&gt;=D13,"COMPLETE","OPEN")</x:f>
        <x:v>OPEN</x:v>
      </x:c>
      <x:c r="I13" s="93" t="str">
        <x:f>IF(AND(H13="COMPLETE",'Control Inputs'!D53=1),"ELIGIBLE","BLOCKED")</x:f>
        <x:v>BLOCKED</x:v>
      </x:c>
      <x:c r="J13" s="95" t="str">
        <x:f>IF(AND(B13&lt;&gt;"",C13&lt;&gt;"",D13&gt;0,E13&lt;&gt;"",F13&lt;&gt;""),"PASS","FAIL")</x:f>
        <x:v>PASS</x:v>
      </x:c>
    </x:row>
    <x:row r="14" ht="45" customHeight="1">
      <x:c r="B14" s="92" t="str">
        <x:v>FS08</x:v>
      </x:c>
      <x:c r="C14" s="93" t="str">
        <x:v>material, witness, waste and sample custody</x:v>
      </x:c>
      <x:c r="D14" s="93" t="n">
        <x:v>1</x:v>
      </x:c>
      <x:c r="E14" s="93" t="str">
        <x:v>serial reconciliation</x:v>
      </x:c>
      <x:c r="F14" s="93" t="str">
        <x:v>forensic completeness</x:v>
      </x:c>
      <x:c r="G14" s="93" t="n">
        <x:v>0</x:v>
      </x:c>
      <x:c r="H14" s="93" t="str">
        <x:f>IF(G14&gt;=D14,"COMPLETE","OPEN")</x:f>
        <x:v>OPEN</x:v>
      </x:c>
      <x:c r="I14" s="93" t="str">
        <x:f>IF(AND(H14="COMPLETE",'Control Inputs'!D53=1),"ELIGIBLE","BLOCKED")</x:f>
        <x:v>BLOCKED</x:v>
      </x:c>
      <x:c r="J14" s="95" t="str">
        <x:f>IF(AND(B14&lt;&gt;"",C14&lt;&gt;"",D14&gt;0,E14&lt;&gt;"",F14&lt;&gt;""),"PASS","FAIL")</x:f>
        <x:v>PASS</x:v>
      </x:c>
    </x:row>
    <x:row r="15" ht="45" customHeight="1">
      <x:c r="B15" s="92" t="str">
        <x:v>FS09</x:v>
      </x:c>
      <x:c r="C15" s="93" t="str">
        <x:v>internal clearance and repair-access envelope</x:v>
      </x:c>
      <x:c r="D15" s="93" t="n">
        <x:v>1</x:v>
      </x:c>
      <x:c r="E15" s="93" t="str">
        <x:v>as-tested dimensions</x:v>
      </x:c>
      <x:c r="F15" s="93" t="str">
        <x:v>requirements-section input</x:v>
      </x:c>
      <x:c r="G15" s="93" t="n">
        <x:v>0</x:v>
      </x:c>
      <x:c r="H15" s="93" t="str">
        <x:f>IF(G15&gt;=D15,"COMPLETE","OPEN")</x:f>
        <x:v>OPEN</x:v>
      </x:c>
      <x:c r="I15" s="93" t="str">
        <x:f>IF(AND(H15="COMPLETE",'Control Inputs'!D53=1),"ELIGIBLE","BLOCKED")</x:f>
        <x:v>BLOCKED</x:v>
      </x:c>
      <x:c r="J15" s="95" t="str">
        <x:f>IF(AND(B15&lt;&gt;"",C15&lt;&gt;"",D15&gt;0,E15&lt;&gt;"",F15&lt;&gt;""),"PASS","FAIL")</x:f>
        <x:v>PASS</x:v>
      </x:c>
    </x:row>
    <x:row r="16" ht="45" customHeight="1">
      <x:c r="B16" s="92" t="str">
        <x:v>FS10</x:v>
      </x:c>
      <x:c r="C16" s="93" t="str">
        <x:v>adaptive section planes</x:v>
      </x:c>
      <x:c r="D16" s="93" t="n">
        <x:v>2</x:v>
      </x:c>
      <x:c r="E16" s="93" t="str">
        <x:v>chosen after NDE, before truth exposure</x:v>
      </x:c>
      <x:c r="F16" s="93" t="str">
        <x:v>resolve ambiguity without cherry-picking</x:v>
      </x:c>
      <x:c r="G16" s="93" t="n">
        <x:v>0</x:v>
      </x:c>
      <x:c r="H16" s="93" t="str">
        <x:f>IF(G16&gt;=D16,"COMPLETE","OPEN")</x:f>
        <x:v>OPEN</x:v>
      </x:c>
      <x:c r="I16" s="93" t="str">
        <x:f>IF(AND(H16="COMPLETE",'Control Inputs'!D53=1),"ELIGIBLE","BLOCKED")</x:f>
        <x:v>BLOCKED</x:v>
      </x:c>
      <x:c r="J16" s="95" t="str">
        <x:f>IF(AND(B16&lt;&gt;"",C16&lt;&gt;"",D16&gt;0,E16&lt;&gt;"",F16&lt;&gt;""),"PASS","FAIL")</x:f>
        <x:v>PASS</x:v>
      </x:c>
    </x:row>
    <x:row r="17">
      <x:c r="B17" s="92"/>
      <x:c r="C17" s="92"/>
      <x:c r="D17" s="92"/>
      <x:c r="E17" s="92"/>
      <x:c r="F17" s="92"/>
      <x:c r="G17" s="92"/>
      <x:c r="H17" s="92"/>
      <x:c r="I17" s="92"/>
      <x:c r="J17" s="102"/>
    </x:row>
    <x:row r="18">
      <x:c r="B18" s="97" t="str">
        <x:v>CONTROL</x:v>
      </x:c>
      <x:c r="C18" s="97" t="str">
        <x:v>Required forensic items</x:v>
      </x:c>
      <x:c r="D18" s="97" t="n">
        <x:f>SUM(D7:D16)</x:f>
        <x:v>19</x:v>
      </x:c>
      <x:c r="E18" s="97"/>
      <x:c r="F18" s="97"/>
      <x:c r="G18" s="97"/>
      <x:c r="H18" s="97"/>
      <x:c r="I18" s="97"/>
      <x:c r="J18" s="101" t="str">
        <x:f>IF(AND(D18=19,COUNTIF(J7:J16,"PASS")=10),"PASS","FAIL")</x:f>
        <x:v>PASS</x:v>
      </x:c>
    </x:row>
  </x:sheetData>
  <x:mergeCells>
    <x:mergeCell ref="B3:J3"/>
  </x:mergeCells>
  <x:conditionalFormatting sqref="H7:J18">
    <x:cfRule type="containsText" dxfId="225" priority="1" operator="containsText" text="FAIL"/>
    <x:cfRule type="containsText" dxfId="226" priority="2" operator="containsText" text="BLOCKED"/>
    <x:cfRule type="containsText" dxfId="227" priority="3" operator="containsText" text="HOLD"/>
    <x:cfRule type="containsText" dxfId="228" priority="4" operator="containsText" text="OPEN"/>
    <x:cfRule type="containsText" dxfId="229" priority="5" operator="containsText" text="UNTESTED"/>
    <x:cfRule type="containsText" dxfId="230" priority="6" operator="containsText" text="INDETERMINATE"/>
    <x:cfRule type="containsText" dxfId="231" priority="7" operator="containsText" text="PASS"/>
    <x:cfRule type="containsText" dxfId="232" priority="8" operator="containsText" text="CLOSED"/>
    <x:cfRule type="containsText" dxfId="233" priority="9" operator="containsText" text="READY"/>
    <x:cfRule type="containsText" dxfId="234" priority="10" operator="containsText" text="AUTHORIZED"/>
    <x:cfRule type="containsText" dxfId="235" priority="11" operator="containsText" text="PLANNING PASS"/>
    <x:cfRule type="containsText" dxfId="236" priority="12" operator="containsText" text="COMPLETE"/>
    <x:cfRule type="containsText" dxfId="237" priority="13" operator="containsText" text="ACCEPTED"/>
    <x:cfRule type="containsText" dxfId="238" priority="14" operator="containsText" text="ADMITTED"/>
    <x:cfRule type="containsText" dxfId="239" priority="15" operator="containsText" text="RELEASE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34" hidden="0" customWidth="1"/>
    <x:col min="3" max="3" width="18" hidden="0" customWidth="1"/>
    <x:col min="4" max="4" width="12" hidden="0" customWidth="1"/>
    <x:col min="5" max="5" width="20" hidden="0" customWidth="1"/>
    <x:col min="6" max="6" width="18" hidden="0" customWidth="1"/>
    <x:col min="7" max="7" width="18" hidden="0" customWidth="1"/>
    <x:col min="8" max="8" width="34" hidden="0" customWidth="1"/>
  </x:cols>
  <x:sheetData>
    <x:row r="2">
      <x:c r="B2" s="1" t="str">
        <x:v>Statistical claim limits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Zero failures bound a success probability only under an independent identical Bernoulli assumption. Diverse challenge runs violate that assumption.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Case</x:v>
      </x:c>
      <x:c r="C6" s="16" t="str">
        <x:v>Zero-failure trials</x:v>
      </x:c>
      <x:c r="D6" s="16" t="str">
        <x:v>Alpha</x:v>
      </x:c>
      <x:c r="E6" s="16" t="str">
        <x:v>One-sided lower bound</x:v>
      </x:c>
      <x:c r="F6" s="16" t="str">
        <x:v>Target success</x:v>
      </x:c>
      <x:c r="G6" s="16" t="str">
        <x:v>Meets target</x:v>
      </x:c>
      <x:c r="H6" s="16" t="str">
        <x:v>Permitted claim</x:v>
      </x:c>
      <x:c r="I6" s="81"/>
      <x:c r="J6" s="81"/>
    </x:row>
    <x:row r="7" ht="42" customHeight="1">
      <x:c r="B7" s="93" t="str">
        <x:v>R1/R2 damage bank</x:v>
      </x:c>
      <x:c r="C7" s="93" t="n">
        <x:v>8</x:v>
      </x:c>
      <x:c r="D7" s="96" t="n">
        <x:v>0.05</x:v>
      </x:c>
      <x:c r="E7" s="96" t="n">
        <x:f>POWER(D7,1/C7)</x:f>
        <x:v>0.6876560219336321</x:v>
      </x:c>
      <x:c r="F7" s="96" t="n">
        <x:v>0.95</x:v>
      </x:c>
      <x:c r="G7" s="111" t="str">
        <x:f>IF(E7&gt;=F7,"PASS","NO")</x:f>
        <x:v>NO</x:v>
      </x:c>
      <x:c r="H7" s="95" t="str">
        <x:v>mechanism coverage only</x:v>
      </x:c>
      <x:c r="I7" s="81"/>
      <x:c r="J7" s="81"/>
    </x:row>
    <x:row r="8" ht="42" customHeight="1">
      <x:c r="B8" s="93" t="str">
        <x:v>R3 damage bank</x:v>
      </x:c>
      <x:c r="C8" s="93" t="n">
        <x:v>10</x:v>
      </x:c>
      <x:c r="D8" s="96" t="n">
        <x:v>0.05</x:v>
      </x:c>
      <x:c r="E8" s="96" t="n">
        <x:f>POWER(D8,1/C8)</x:f>
        <x:v>0.7411344491069477</x:v>
      </x:c>
      <x:c r="F8" s="96" t="n">
        <x:v>0.95</x:v>
      </x:c>
      <x:c r="G8" s="111" t="str">
        <x:f>IF(E8&gt;=F8,"PASS","NO")</x:f>
        <x:v>NO</x:v>
      </x:c>
      <x:c r="H8" s="95" t="str">
        <x:v>mechanism coverage only</x:v>
      </x:c>
      <x:c r="I8" s="81"/>
      <x:c r="J8" s="81"/>
    </x:row>
    <x:row r="9" ht="42" customHeight="1">
      <x:c r="B9" s="93" t="str">
        <x:v>Closure bank per root</x:v>
      </x:c>
      <x:c r="C9" s="93" t="n">
        <x:v>24</x:v>
      </x:c>
      <x:c r="D9" s="96" t="n">
        <x:v>0.05</x:v>
      </x:c>
      <x:c r="E9" s="96" t="n">
        <x:f>POWER(D9,1/C9)</x:f>
        <x:v>0.8826538438450512</x:v>
      </x:c>
      <x:c r="F9" s="96" t="n">
        <x:v>0.95</x:v>
      </x:c>
      <x:c r="G9" s="111" t="str">
        <x:f>IF(E9&gt;=F9,"PASS","NO")</x:f>
        <x:v>NO</x:v>
      </x:c>
      <x:c r="H9" s="95" t="str">
        <x:v>process-window entry only</x:v>
      </x:c>
      <x:c r="I9" s="81"/>
      <x:c r="J9" s="81"/>
    </x:row>
    <x:row r="10" ht="42" customHeight="1">
      <x:c r="B10" s="98" t="str">
        <x:v>Future frozen-design reliability lot</x:v>
      </x:c>
      <x:c r="C10" s="98" t="n">
        <x:v>59</x:v>
      </x:c>
      <x:c r="D10" s="112" t="n">
        <x:v>0.05</x:v>
      </x:c>
      <x:c r="E10" s="112" t="n">
        <x:f>POWER(D10,1/C10)</x:f>
        <x:v>0.950492390111773</x:v>
      </x:c>
      <x:c r="F10" s="112" t="n">
        <x:v>0.95</x:v>
      </x:c>
      <x:c r="G10" s="113" t="str">
        <x:f>IF(E10&gt;=F10,"PASS","NO")</x:f>
        <x:v>PASS</x:v>
      </x:c>
      <x:c r="H10" s="100" t="str">
        <x:v>95/95 reliability screen</x:v>
      </x:c>
      <x:c r="I10" s="81"/>
      <x:c r="J10" s="81"/>
    </x:row>
    <x:row r="11">
      <x:c r="B11" s="81"/>
      <x:c r="C11" s="81"/>
      <x:c r="D11" s="81"/>
      <x:c r="E11" s="81"/>
      <x:c r="F11" s="81"/>
      <x:c r="G11" s="81"/>
      <x:c r="H11" s="81"/>
      <x:c r="I11" s="81"/>
      <x:c r="J11" s="81"/>
    </x:row>
    <x:row r="12"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B13" s="38" t="str">
        <x:v>Acceptance logic</x:v>
      </x:c>
      <x:c r="C13" s="39" t="str">
        <x:v>Acceptance logic</x:v>
      </x:c>
      <x:c r="D13" s="39" t="str">
        <x:v>Acceptance logic</x:v>
      </x:c>
      <x:c r="E13" s="39" t="str">
        <x:v>Acceptance logic</x:v>
      </x:c>
      <x:c r="F13" s="39" t="str">
        <x:v>Acceptance logic</x:v>
      </x:c>
      <x:c r="G13" s="39" t="str">
        <x:v>Acceptance logic</x:v>
      </x:c>
      <x:c r="H13" s="40" t="str">
        <x:v>Acceptance logic</x:v>
      </x:c>
      <x:c r="I13" s="81"/>
      <x:c r="J13" s="81"/>
    </x:row>
    <x:row r="14">
      <x:c r="B14" s="15" t="str">
        <x:v>ID</x:v>
      </x:c>
      <x:c r="C14" s="16" t="str">
        <x:v>Decision object</x:v>
      </x:c>
      <x:c r="D14" s="16" t="str">
        <x:v>Acceptance rule</x:v>
      </x:c>
      <x:c r="E14" s="16" t="str">
        <x:v>Method</x:v>
      </x:c>
      <x:c r="F14" s="16" t="str">
        <x:v>Consequence</x:v>
      </x:c>
      <x:c r="G14" s="16" t="str">
        <x:v>Aggregation</x:v>
      </x:c>
      <x:c r="H14" s="17" t="str">
        <x:v>Planning state</x:v>
      </x:c>
      <x:c r="I14" s="81"/>
      <x:c r="J14" s="81"/>
    </x:row>
    <x:row r="15" ht="38" customHeight="1">
      <x:c r="B15" s="89" t="str">
        <x:v>A01</x:v>
      </x:c>
      <x:c r="C15" s="89" t="str">
        <x:v>Critical blind defects</x:v>
      </x:c>
      <x:c r="D15" s="89" t="str">
        <x:v>zero false acceptance</x:v>
      </x:c>
      <x:c r="E15" s="89" t="str">
        <x:v>deterministic</x:v>
      </x:c>
      <x:c r="F15" s="89" t="str">
        <x:v>root gate fails on one miss</x:v>
      </x:c>
      <x:c r="G15" s="89" t="str">
        <x:v>not averaged</x:v>
      </x:c>
      <x:c r="H15" s="89" t="str">
        <x:v>PLANNING PASS</x:v>
      </x:c>
      <x:c r="I15" s="81"/>
      <x:c r="J15" s="81"/>
    </x:row>
    <x:row r="16" ht="38" customHeight="1">
      <x:c r="B16" s="89" t="str">
        <x:v>A02</x:v>
      </x:c>
      <x:c r="C16" s="89" t="str">
        <x:v>Clean blind controls</x:v>
      </x:c>
      <x:c r="D16" s="89" t="str">
        <x:v>zero false rejection after complete chain</x:v>
      </x:c>
      <x:c r="E16" s="89" t="str">
        <x:v>deterministic</x:v>
      </x:c>
      <x:c r="F16" s="89" t="str">
        <x:v>separates caution from indiscriminate rejection</x:v>
      </x:c>
      <x:c r="G16" s="89" t="str">
        <x:v>not averaged</x:v>
      </x:c>
      <x:c r="H16" s="89" t="str">
        <x:v>PLANNING PASS</x:v>
      </x:c>
      <x:c r="I16" s="81"/>
      <x:c r="J16" s="81"/>
    </x:row>
    <x:row r="17" ht="38" customHeight="1">
      <x:c r="B17" s="89" t="str">
        <x:v>A03</x:v>
      </x:c>
      <x:c r="C17" s="89" t="str">
        <x:v>Declared process-window articles</x:v>
      </x:c>
      <x:c r="D17" s="89" t="str">
        <x:v>all twelve meet frozen criteria</x:v>
      </x:c>
      <x:c r="E17" s="89" t="str">
        <x:v>coverage</x:v>
      </x:c>
      <x:c r="F17" s="89" t="str">
        <x:v>supports window entry only</x:v>
      </x:c>
      <x:c r="G17" s="89" t="str">
        <x:v>not reliability</x:v>
      </x:c>
      <x:c r="H17" s="89" t="str">
        <x:v>PLANNING PASS</x:v>
      </x:c>
      <x:c r="I17" s="81"/>
      <x:c r="J17" s="81"/>
    </x:row>
    <x:row r="18" ht="38" customHeight="1">
      <x:c r="B18" s="89" t="str">
        <x:v>A04</x:v>
      </x:c>
      <x:c r="C18" s="89" t="str">
        <x:v>Damage runs</x:v>
      </x:c>
      <x:c r="D18" s="89" t="str">
        <x:v>every mechanism closes all service decisions</x:v>
      </x:c>
      <x:c r="E18" s="89" t="str">
        <x:v>coverage</x:v>
      </x:c>
      <x:c r="F18" s="89" t="str">
        <x:v>one failed mechanism blocks admission</x:v>
      </x:c>
      <x:c r="G18" s="89" t="str">
        <x:v>not averaged</x:v>
      </x:c>
      <x:c r="H18" s="89" t="str">
        <x:v>PLANNING PASS</x:v>
      </x:c>
      <x:c r="I18" s="81"/>
      <x:c r="J18" s="81"/>
    </x:row>
    <x:row r="19" ht="38" customHeight="1">
      <x:c r="B19" s="89" t="str">
        <x:v>A05</x:v>
      </x:c>
      <x:c r="C19" s="89" t="str">
        <x:v>Indeterminate evidence</x:v>
      </x:c>
      <x:c r="D19" s="89" t="str">
        <x:v>blocks service credit</x:v>
      </x:c>
      <x:c r="E19" s="89" t="str">
        <x:v>evidence</x:v>
      </x:c>
      <x:c r="F19" s="89" t="str">
        <x:v>missing data cannot become zero</x:v>
      </x:c>
      <x:c r="G19" s="89" t="str">
        <x:v>forensic queue</x:v>
      </x:c>
      <x:c r="H19" s="89" t="str">
        <x:v>PLANNING PASS</x:v>
      </x:c>
      <x:c r="I19" s="81"/>
      <x:c r="J19" s="81"/>
    </x:row>
    <x:row r="20" ht="38" customHeight="1">
      <x:c r="B20" s="89" t="str">
        <x:v>A06</x:v>
      </x:c>
      <x:c r="C20" s="89" t="str">
        <x:v>Reliability</x:v>
      </x:c>
      <x:c r="D20" s="89" t="str">
        <x:v>later frozen configuration</x:v>
      </x:c>
      <x:c r="E20" s="89" t="str">
        <x:v>59 zero-failure trials</x:v>
      </x:c>
      <x:c r="F20" s="89" t="str">
        <x:v>simplifying Bernoulli screen</x:v>
      </x:c>
      <x:c r="G20" s="89" t="str">
        <x:v>requires new lot</x:v>
      </x:c>
      <x:c r="H20" s="89" t="str">
        <x:v>PLANNING PASS</x:v>
      </x:c>
      <x:c r="I20" s="81"/>
      <x:c r="J20" s="81"/>
    </x:row>
  </x:sheetData>
  <x:mergeCells>
    <x:mergeCell ref="B3:J3"/>
    <x:mergeCell ref="B13:H13"/>
  </x:mergeCells>
  <x:conditionalFormatting sqref="G7:G10">
    <x:cfRule type="containsText" dxfId="240" priority="1" operator="containsText" text="FAIL"/>
    <x:cfRule type="containsText" dxfId="241" priority="2" operator="containsText" text="BLOCKED"/>
    <x:cfRule type="containsText" dxfId="242" priority="3" operator="containsText" text="HOLD"/>
    <x:cfRule type="containsText" dxfId="243" priority="4" operator="containsText" text="OPEN"/>
    <x:cfRule type="containsText" dxfId="244" priority="5" operator="containsText" text="UNTESTED"/>
    <x:cfRule type="containsText" dxfId="245" priority="6" operator="containsText" text="INDETERMINATE"/>
    <x:cfRule type="containsText" dxfId="246" priority="7" operator="containsText" text="PASS"/>
    <x:cfRule type="containsText" dxfId="247" priority="8" operator="containsText" text="CLOSED"/>
    <x:cfRule type="containsText" dxfId="248" priority="9" operator="containsText" text="READY"/>
    <x:cfRule type="containsText" dxfId="249" priority="10" operator="containsText" text="AUTHORIZED"/>
    <x:cfRule type="containsText" dxfId="250" priority="11" operator="containsText" text="PLANNING PASS"/>
    <x:cfRule type="containsText" dxfId="251" priority="12" operator="containsText" text="COMPLETE"/>
    <x:cfRule type="containsText" dxfId="252" priority="13" operator="containsText" text="ACCEPTED"/>
    <x:cfRule type="containsText" dxfId="253" priority="14" operator="containsText" text="ADMITTED"/>
    <x:cfRule type="containsText" dxfId="254" priority="15" operator="containsText" text="RELEASED"/>
  </x:conditionalFormatting>
  <x:conditionalFormatting sqref="H15:H20">
    <x:cfRule type="containsText" dxfId="255" priority="16" operator="containsText" text="FAIL"/>
    <x:cfRule type="containsText" dxfId="256" priority="17" operator="containsText" text="BLOCKED"/>
    <x:cfRule type="containsText" dxfId="257" priority="18" operator="containsText" text="HOLD"/>
    <x:cfRule type="containsText" dxfId="258" priority="19" operator="containsText" text="OPEN"/>
    <x:cfRule type="containsText" dxfId="259" priority="20" operator="containsText" text="UNTESTED"/>
    <x:cfRule type="containsText" dxfId="260" priority="21" operator="containsText" text="INDETERMINATE"/>
    <x:cfRule type="containsText" dxfId="261" priority="22" operator="containsText" text="PASS"/>
    <x:cfRule type="containsText" dxfId="262" priority="23" operator="containsText" text="CLOSED"/>
    <x:cfRule type="containsText" dxfId="263" priority="24" operator="containsText" text="READY"/>
    <x:cfRule type="containsText" dxfId="264" priority="25" operator="containsText" text="AUTHORIZED"/>
    <x:cfRule type="containsText" dxfId="265" priority="26" operator="containsText" text="PLANNING PASS"/>
    <x:cfRule type="containsText" dxfId="266" priority="27" operator="containsText" text="COMPLETE"/>
    <x:cfRule type="containsText" dxfId="267" priority="28" operator="containsText" text="ACCEPTED"/>
    <x:cfRule type="containsText" dxfId="268" priority="29" operator="containsText" text="ADMITTED"/>
    <x:cfRule type="containsText" dxfId="269" priority="30" operator="containsText" text="RELEASE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0" hidden="0" customWidth="1"/>
    <x:col min="3" max="3" width="37" hidden="0" customWidth="1"/>
    <x:col min="4" max="4" width="14" hidden="0" customWidth="1"/>
    <x:col min="5" max="5" width="14" hidden="0" customWidth="1"/>
    <x:col min="6" max="6" width="13" hidden="0" customWidth="1"/>
    <x:col min="7" max="7" width="42" hidden="0" customWidth="1"/>
    <x:col min="8" max="8" width="15" hidden="0" customWidth="1"/>
    <x:col min="9" max="9" width="17" hidden="0" customWidth="1"/>
    <x:col min="10" max="10" width="20" hidden="0" customWidth="1"/>
    <x:col min="11" max="11" width="16" hidden="0" customWidth="1"/>
  </x:cols>
  <x:sheetData>
    <x:row r="2">
      <x:c r="B2" s="1" t="str">
        <x:v>Thirty-month experimental sequence</x:v>
      </x:c>
      <x:c r="C2" s="81"/>
      <x:c r="D2" s="81"/>
      <x:c r="E2" s="81"/>
      <x:c r="F2" s="81"/>
      <x:c r="G2" s="81"/>
      <x:c r="H2" s="81"/>
      <x:c r="I2" s="81"/>
      <x:c r="J2" s="81"/>
      <x:c r="K2" s="81"/>
    </x:row>
    <x:row r="3">
      <x:c r="B3" s="2" t="str">
        <x:v>Stages overlap, but every physical entry remains predecessor-controlled and a configuration change reopens dependent work.</x:v>
      </x:c>
      <x:c r="C3" s="81"/>
      <x:c r="D3" s="81"/>
      <x:c r="E3" s="81"/>
      <x:c r="F3" s="81"/>
      <x:c r="G3" s="81"/>
      <x:c r="H3" s="81"/>
      <x:c r="I3" s="81"/>
      <x:c r="J3" s="81"/>
      <x:c r="K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  <x:c r="K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  <x:c r="K5" s="81"/>
    </x:row>
    <x:row r="6">
      <x:c r="B6" s="15" t="str">
        <x:v>Stage</x:v>
      </x:c>
      <x:c r="C6" s="16" t="str">
        <x:v>Work package</x:v>
      </x:c>
      <x:c r="D6" s="16" t="str">
        <x:v>Start month</x:v>
      </x:c>
      <x:c r="E6" s="16" t="str">
        <x:v>End month</x:v>
      </x:c>
      <x:c r="F6" s="16" t="str">
        <x:v>Duration</x:v>
      </x:c>
      <x:c r="G6" s="16" t="str">
        <x:v>Required output</x:v>
      </x:c>
      <x:c r="H6" s="16" t="str">
        <x:v>Predecessor</x:v>
      </x:c>
      <x:c r="I6" s="16" t="str">
        <x:v>Planning ready</x:v>
      </x:c>
      <x:c r="J6" s="16" t="str">
        <x:v>Physical acceptance</x:v>
      </x:c>
      <x:c r="K6" s="16" t="str">
        <x:v>State</x:v>
      </x:c>
    </x:row>
    <x:row r="7" ht="42" customHeight="1">
      <x:c r="B7" s="92" t="str">
        <x:v>CP01</x:v>
      </x:c>
      <x:c r="C7" s="93" t="str">
        <x:v>Protocol and authority freeze</x:v>
      </x:c>
      <x:c r="D7" s="93" t="n">
        <x:v>1</x:v>
      </x:c>
      <x:c r="E7" s="93" t="n">
        <x:v>3</x:v>
      </x:c>
      <x:c r="F7" s="93" t="n">
        <x:f>E7-D7+1</x:f>
        <x:v>3</x:v>
      </x:c>
      <x:c r="G7" s="93" t="str">
        <x:v>baseline, hazard case and decision schema</x:v>
      </x:c>
      <x:c r="H7" s="93" t="str">
        <x:v>NONE</x:v>
      </x:c>
      <x:c r="I7" s="93" t="n">
        <x:v>1</x:v>
      </x:c>
      <x:c r="J7" s="93" t="n">
        <x:v>0</x:v>
      </x:c>
      <x:c r="K7" s="95" t="str">
        <x:f>IF(J7=1,"ACCEPTED",IF(I7=1,"HOLD","OPEN"))</x:f>
        <x:v>HOLD</x:v>
      </x:c>
    </x:row>
    <x:row r="8" ht="42" customHeight="1">
      <x:c r="B8" s="92" t="str">
        <x:v>CP02</x:v>
      </x:c>
      <x:c r="C8" s="93" t="str">
        <x:v>Public fixtures and civil works</x:v>
      </x:c>
      <x:c r="D8" s="93" t="n">
        <x:v>3</x:v>
      </x:c>
      <x:c r="E8" s="93" t="n">
        <x:v>9</x:v>
      </x:c>
      <x:c r="F8" s="93" t="n">
        <x:f>E8-D8+1</x:f>
        <x:v>7</x:v>
      </x:c>
      <x:c r="G8" s="93" t="str">
        <x:v>closure fixtures, damage cells and utilities</x:v>
      </x:c>
      <x:c r="H8" s="93" t="str">
        <x:v>CP01</x:v>
      </x:c>
      <x:c r="I8" s="93" t="n">
        <x:v>1</x:v>
      </x:c>
      <x:c r="J8" s="93" t="n">
        <x:v>0</x:v>
      </x:c>
      <x:c r="K8" s="95" t="str">
        <x:f>IF(J8=1,"ACCEPTED",IF(I8=1,"HOLD","OPEN"))</x:f>
        <x:v>HOLD</x:v>
      </x:c>
    </x:row>
    <x:row r="9" ht="42" customHeight="1">
      <x:c r="B9" s="92" t="str">
        <x:v>CP03</x:v>
      </x:c>
      <x:c r="C9" s="93" t="str">
        <x:v>Root adapters and closure kernels</x:v>
      </x:c>
      <x:c r="D9" s="93" t="n">
        <x:v>5</x:v>
      </x:c>
      <x:c r="E9" s="93" t="n">
        <x:v>12</x:v>
      </x:c>
      <x:c r="F9" s="93" t="n">
        <x:f>E9-D9+1</x:f>
        <x:v>8</x:v>
      </x:c>
      <x:c r="G9" s="93" t="str">
        <x:v>article-owned process and acceptance systems</x:v>
      </x:c>
      <x:c r="H9" s="93" t="str">
        <x:v>CP02</x:v>
      </x:c>
      <x:c r="I9" s="93" t="n">
        <x:v>1</x:v>
      </x:c>
      <x:c r="J9" s="93" t="n">
        <x:v>0</x:v>
      </x:c>
      <x:c r="K9" s="95" t="str">
        <x:f>IF(J9=1,"ACCEPTED",IF(I9=1,"HOLD","OPEN"))</x:f>
        <x:v>HOLD</x:v>
      </x:c>
    </x:row>
    <x:row r="10" ht="42" customHeight="1">
      <x:c r="B10" s="92" t="str">
        <x:v>CP04</x:v>
      </x:c>
      <x:c r="C10" s="93" t="str">
        <x:v>Reference qualification</x:v>
      </x:c>
      <x:c r="D10" s="93" t="n">
        <x:v>9</x:v>
      </x:c>
      <x:c r="E10" s="93" t="n">
        <x:v>15</x:v>
      </x:c>
      <x:c r="F10" s="93" t="n">
        <x:f>E10-D10+1</x:f>
        <x:v>7</x:v>
      </x:c>
      <x:c r="G10" s="93" t="str">
        <x:v>reference articles, calibration and assay validation</x:v>
      </x:c>
      <x:c r="H10" s="93" t="str">
        <x:v>CP03</x:v>
      </x:c>
      <x:c r="I10" s="93" t="n">
        <x:v>1</x:v>
      </x:c>
      <x:c r="J10" s="93" t="n">
        <x:v>0</x:v>
      </x:c>
      <x:c r="K10" s="95" t="str">
        <x:f>IF(J10=1,"ACCEPTED",IF(I10=1,"HOLD","OPEN"))</x:f>
        <x:v>HOLD</x:v>
      </x:c>
    </x:row>
    <x:row r="11" ht="42" customHeight="1">
      <x:c r="B11" s="92" t="str">
        <x:v>CP05</x:v>
      </x:c>
      <x:c r="C11" s="93" t="str">
        <x:v>Randomized closure campaign</x:v>
      </x:c>
      <x:c r="D11" s="93" t="n">
        <x:v>13</x:v>
      </x:c>
      <x:c r="E11" s="93" t="n">
        <x:v>22</x:v>
      </x:c>
      <x:c r="F11" s="93" t="n">
        <x:f>E11-D11+1</x:f>
        <x:v>10</x:v>
      </x:c>
      <x:c r="G11" s="93" t="str">
        <x:v>seventy-two closure decisions</x:v>
      </x:c>
      <x:c r="H11" s="93" t="str">
        <x:v>CP04</x:v>
      </x:c>
      <x:c r="I11" s="93" t="n">
        <x:v>1</x:v>
      </x:c>
      <x:c r="J11" s="93" t="n">
        <x:v>0</x:v>
      </x:c>
      <x:c r="K11" s="95" t="str">
        <x:f>IF(J11=1,"ACCEPTED",IF(I11=1,"HOLD","OPEN"))</x:f>
        <x:v>HOLD</x:v>
      </x:c>
    </x:row>
    <x:row r="12" ht="42" customHeight="1">
      <x:c r="B12" s="92" t="str">
        <x:v>CP06</x:v>
      </x:c>
      <x:c r="C12" s="93" t="str">
        <x:v>Full-bore damage campaign</x:v>
      </x:c>
      <x:c r="D12" s="93" t="n">
        <x:v>17</x:v>
      </x:c>
      <x:c r="E12" s="93" t="n">
        <x:v>28</x:v>
      </x:c>
      <x:c r="F12" s="93" t="n">
        <x:f>E12-D12+1</x:f>
        <x:v>12</x:v>
      </x:c>
      <x:c r="G12" s="93" t="str">
        <x:v>twenty-six restoration decisions</x:v>
      </x:c>
      <x:c r="H12" s="93" t="str">
        <x:v>CP05</x:v>
      </x:c>
      <x:c r="I12" s="93" t="n">
        <x:v>1</x:v>
      </x:c>
      <x:c r="J12" s="93" t="n">
        <x:v>0</x:v>
      </x:c>
      <x:c r="K12" s="95" t="str">
        <x:f>IF(J12=1,"ACCEPTED",IF(I12=1,"HOLD","OPEN"))</x:f>
        <x:v>HOLD</x:v>
      </x:c>
    </x:row>
    <x:row r="13" ht="42" customHeight="1">
      <x:c r="B13" s="92" t="str">
        <x:v>CP07</x:v>
      </x:c>
      <x:c r="C13" s="93" t="str">
        <x:v>Teardown and independent decision</x:v>
      </x:c>
      <x:c r="D13" s="93" t="n">
        <x:v>22</x:v>
      </x:c>
      <x:c r="E13" s="93" t="n">
        <x:v>30</x:v>
      </x:c>
      <x:c r="F13" s="93" t="n">
        <x:f>E13-D13+1</x:f>
        <x:v>9</x:v>
      </x:c>
      <x:c r="G13" s="93" t="str">
        <x:v>sections, reproduction and evidence board</x:v>
      </x:c>
      <x:c r="H13" s="93" t="str">
        <x:v>CP06</x:v>
      </x:c>
      <x:c r="I13" s="93" t="n">
        <x:v>1</x:v>
      </x:c>
      <x:c r="J13" s="93" t="n">
        <x:v>0</x:v>
      </x:c>
      <x:c r="K13" s="95" t="str">
        <x:f>IF(J13=1,"ACCEPTED",IF(I13=1,"HOLD","OPEN"))</x:f>
        <x:v>HOLD</x:v>
      </x:c>
    </x:row>
    <x:row r="14">
      <x:c r="B14" s="92"/>
      <x:c r="C14" s="92"/>
      <x:c r="D14" s="92"/>
      <x:c r="E14" s="92"/>
      <x:c r="F14" s="92"/>
      <x:c r="G14" s="92"/>
      <x:c r="H14" s="92"/>
      <x:c r="I14" s="92"/>
      <x:c r="J14" s="92"/>
      <x:c r="K14" s="102"/>
    </x:row>
    <x:row r="15">
      <x:c r="B15" s="92"/>
      <x:c r="C15" s="92"/>
      <x:c r="D15" s="92"/>
      <x:c r="E15" s="92"/>
      <x:c r="F15" s="92"/>
      <x:c r="G15" s="92"/>
      <x:c r="H15" s="92"/>
      <x:c r="I15" s="92"/>
      <x:c r="J15" s="92"/>
      <x:c r="K15" s="102"/>
    </x:row>
    <x:row r="16">
      <x:c r="B16" s="97" t="str">
        <x:v>CONTROL</x:v>
      </x:c>
      <x:c r="C16" s="97" t="str">
        <x:v>Program end</x:v>
      </x:c>
      <x:c r="D16" s="97" t="n">
        <x:f>MAX(E7:E13)</x:f>
        <x:v>30</x:v>
      </x:c>
      <x:c r="E16" s="97"/>
      <x:c r="F16" s="97"/>
      <x:c r="G16" s="97"/>
      <x:c r="H16" s="97"/>
      <x:c r="I16" s="97"/>
      <x:c r="J16" s="97"/>
      <x:c r="K16" s="101" t="str">
        <x:f>IF(D16='Control Inputs'!D41,"PASS","FAIL")</x:f>
        <x:v>PASS</x:v>
      </x:c>
    </x:row>
  </x:sheetData>
  <x:mergeCells>
    <x:mergeCell ref="B3:K3"/>
  </x:mergeCells>
  <x:conditionalFormatting sqref="K7:K16">
    <x:cfRule type="containsText" dxfId="270" priority="1" operator="containsText" text="FAIL"/>
    <x:cfRule type="containsText" dxfId="271" priority="2" operator="containsText" text="BLOCKED"/>
    <x:cfRule type="containsText" dxfId="272" priority="3" operator="containsText" text="HOLD"/>
    <x:cfRule type="containsText" dxfId="273" priority="4" operator="containsText" text="OPEN"/>
    <x:cfRule type="containsText" dxfId="274" priority="5" operator="containsText" text="UNTESTED"/>
    <x:cfRule type="containsText" dxfId="275" priority="6" operator="containsText" text="INDETERMINATE"/>
    <x:cfRule type="containsText" dxfId="276" priority="7" operator="containsText" text="PASS"/>
    <x:cfRule type="containsText" dxfId="277" priority="8" operator="containsText" text="CLOSED"/>
    <x:cfRule type="containsText" dxfId="278" priority="9" operator="containsText" text="READY"/>
    <x:cfRule type="containsText" dxfId="279" priority="10" operator="containsText" text="AUTHORIZED"/>
    <x:cfRule type="containsText" dxfId="280" priority="11" operator="containsText" text="PLANNING PASS"/>
    <x:cfRule type="containsText" dxfId="281" priority="12" operator="containsText" text="COMPLETE"/>
    <x:cfRule type="containsText" dxfId="282" priority="13" operator="containsText" text="ACCEPTED"/>
    <x:cfRule type="containsText" dxfId="283" priority="14" operator="containsText" text="ADMITTED"/>
    <x:cfRule type="containsText" dxfId="284" priority="15" operator="containsText" text="RELEASE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7" hidden="0" customWidth="1"/>
    <x:col min="4" max="4" width="19" hidden="0" customWidth="1"/>
    <x:col min="5" max="5" width="22" hidden="0" customWidth="1"/>
    <x:col min="6" max="6" width="17" hidden="0" customWidth="1"/>
    <x:col min="7" max="7" width="16" hidden="0" customWidth="1"/>
  </x:cols>
  <x:sheetData>
    <x:row r="2">
      <x:c r="B2" s="1" t="str">
        <x:v>Protocol capital cross-classification</x:v>
      </x:c>
      <x:c r="C2" s="81"/>
      <x:c r="D2" s="81"/>
      <x:c r="E2" s="81"/>
      <x:c r="F2" s="81"/>
      <x:c r="G2" s="81"/>
      <x:c r="H2" s="81"/>
    </x:row>
    <x:row r="3">
      <x:c r="B3" s="2" t="str">
        <x:v>USD 1.480B remains inside the Pass 101 USD 8.120B first-article boundary.</x:v>
      </x:c>
      <x:c r="C3" s="81"/>
      <x:c r="D3" s="81"/>
      <x:c r="E3" s="81"/>
      <x:c r="F3" s="81"/>
      <x:c r="G3" s="81"/>
      <x:c r="H3" s="81"/>
    </x:row>
    <x:row r="4">
      <x:c r="B4" s="83"/>
      <x:c r="C4" s="83"/>
      <x:c r="D4" s="83"/>
      <x:c r="E4" s="83"/>
      <x:c r="F4" s="83"/>
      <x:c r="G4" s="83"/>
      <x:c r="H4" s="83"/>
    </x:row>
    <x:row r="5">
      <x:c r="B5" s="81"/>
      <x:c r="C5" s="81"/>
      <x:c r="D5" s="81"/>
      <x:c r="E5" s="81"/>
      <x:c r="F5" s="81"/>
      <x:c r="G5" s="81"/>
      <x:c r="H5" s="81"/>
    </x:row>
    <x:row r="6">
      <x:c r="B6" s="15" t="str">
        <x:v>Use</x:v>
      </x:c>
      <x:c r="C6" s="16" t="str">
        <x:v>Capital purpose</x:v>
      </x:c>
      <x:c r="D6" s="16" t="str">
        <x:v>USD B</x:v>
      </x:c>
      <x:c r="E6" s="16" t="str">
        <x:v>Share of tranche</x:v>
      </x:c>
      <x:c r="F6" s="17" t="str">
        <x:v>Planning control</x:v>
      </x:c>
      <x:c r="G6" s="118"/>
      <x:c r="H6" s="81"/>
    </x:row>
    <x:row r="7" ht="35" customHeight="1">
      <x:c r="B7" s="92" t="str">
        <x:v>C01</x:v>
      </x:c>
      <x:c r="C7" s="93" t="str">
        <x:v>Protocol, safety case and public interface baseline</x:v>
      </x:c>
      <x:c r="D7" s="119" t="n">
        <x:v>0.1</x:v>
      </x:c>
      <x:c r="E7" s="96" t="n">
        <x:f>D7/'Control Inputs'!D42</x:f>
        <x:v>0.06756756756756757</x:v>
      </x:c>
      <x:c r="F7" s="93" t="str">
        <x:f>IF(D7&gt;0,"PASS","FAIL")</x:f>
        <x:v>PASS</x:v>
      </x:c>
      <x:c r="G7" s="95"/>
      <x:c r="H7" s="81"/>
    </x:row>
    <x:row r="8" ht="35" customHeight="1">
      <x:c r="B8" s="92" t="str">
        <x:v>C02</x:v>
      </x:c>
      <x:c r="C8" s="93" t="str">
        <x:v>Two public closure fixtures and root adapters</x:v>
      </x:c>
      <x:c r="D8" s="119" t="n">
        <x:v>0.25</x:v>
      </x:c>
      <x:c r="E8" s="96" t="n">
        <x:f>D8/'Control Inputs'!D42</x:f>
        <x:v>0.16891891891891891</x:v>
      </x:c>
      <x:c r="F8" s="93" t="str">
        <x:f>IF(D8&gt;0,"PASS","FAIL")</x:f>
        <x:v>PASS</x:v>
      </x:c>
      <x:c r="G8" s="95"/>
      <x:c r="H8" s="81"/>
    </x:row>
    <x:row r="9" ht="35" customHeight="1">
      <x:c r="B9" s="92" t="str">
        <x:v>C03</x:v>
      </x:c>
      <x:c r="C9" s="93" t="str">
        <x:v>Two resettable 120 m damage cells and containment</x:v>
      </x:c>
      <x:c r="D9" s="119" t="n">
        <x:v>0.36</x:v>
      </x:c>
      <x:c r="E9" s="96" t="n">
        <x:f>D9/'Control Inputs'!D42</x:f>
        <x:v>0.24324324324324323</x:v>
      </x:c>
      <x:c r="F9" s="93" t="str">
        <x:f>IF(D9&gt;0,"PASS","FAIL")</x:f>
        <x:v>PASS</x:v>
      </x:c>
      <x:c r="G9" s="95"/>
      <x:c r="H9" s="81"/>
    </x:row>
    <x:row r="10" ht="35" customHeight="1">
      <x:c r="B10" s="92" t="str">
        <x:v>C04</x:v>
      </x:c>
      <x:c r="C10" s="93" t="str">
        <x:v>Hydraulic, transient, power and receiver plant</x:v>
      </x:c>
      <x:c r="D10" s="119" t="n">
        <x:v>0.18</x:v>
      </x:c>
      <x:c r="E10" s="96" t="n">
        <x:f>D10/'Control Inputs'!D42</x:f>
        <x:v>0.12162162162162161</x:v>
      </x:c>
      <x:c r="F10" s="93" t="str">
        <x:f>IF(D10&gt;0,"PASS","FAIL")</x:f>
        <x:v>PASS</x:v>
      </x:c>
      <x:c r="G10" s="95"/>
      <x:c r="H10" s="81"/>
    </x:row>
    <x:row r="11" ht="35" customHeight="1">
      <x:c r="B11" s="92" t="str">
        <x:v>C05</x:v>
      </x:c>
      <x:c r="C11" s="93" t="str">
        <x:v>Rapid sanitary assay and challenge-water system</x:v>
      </x:c>
      <x:c r="D11" s="119" t="n">
        <x:v>0.16</x:v>
      </x:c>
      <x:c r="E11" s="96" t="n">
        <x:f>D11/'Control Inputs'!D42</x:f>
        <x:v>0.10810810810810811</x:v>
      </x:c>
      <x:c r="F11" s="93" t="str">
        <x:f>IF(D11&gt;0,"PASS","FAIL")</x:f>
        <x:v>PASS</x:v>
      </x:c>
      <x:c r="G11" s="95"/>
      <x:c r="H11" s="81"/>
    </x:row>
    <x:row r="12" ht="35" customHeight="1">
      <x:c r="B12" s="92" t="str">
        <x:v>C06</x:v>
      </x:c>
      <x:c r="C12" s="93" t="str">
        <x:v>Independent metrology, data and time authority</x:v>
      </x:c>
      <x:c r="D12" s="119" t="n">
        <x:v>0.18</x:v>
      </x:c>
      <x:c r="E12" s="96" t="n">
        <x:f>D12/'Control Inputs'!D42</x:f>
        <x:v>0.12162162162162161</x:v>
      </x:c>
      <x:c r="F12" s="93" t="str">
        <x:f>IF(D12&gt;0,"PASS","FAIL")</x:f>
        <x:v>PASS</x:v>
      </x:c>
      <x:c r="G12" s="95"/>
      <x:c r="H12" s="81"/>
    </x:row>
    <x:row r="13" ht="35" customHeight="1">
      <x:c r="B13" s="92" t="str">
        <x:v>C07</x:v>
      </x:c>
      <x:c r="C13" s="93" t="str">
        <x:v>Blind-defect manufacture and forensic sectioning</x:v>
      </x:c>
      <x:c r="D13" s="119" t="n">
        <x:v>0.1</x:v>
      </x:c>
      <x:c r="E13" s="96" t="n">
        <x:f>D13/'Control Inputs'!D42</x:f>
        <x:v>0.06756756756756757</x:v>
      </x:c>
      <x:c r="F13" s="93" t="str">
        <x:f>IF(D13&gt;0,"PASS","FAIL")</x:f>
        <x:v>PASS</x:v>
      </x:c>
      <x:c r="G13" s="95"/>
      <x:c r="H13" s="81"/>
    </x:row>
    <x:row r="14" ht="35" customHeight="1">
      <x:c r="B14" s="92" t="str">
        <x:v>C08</x:v>
      </x:c>
      <x:c r="C14" s="93" t="str">
        <x:v>Robotic access, shielding and safe-state systems</x:v>
      </x:c>
      <x:c r="D14" s="119" t="n">
        <x:v>0.1</x:v>
      </x:c>
      <x:c r="E14" s="96" t="n">
        <x:f>D14/'Control Inputs'!D42</x:f>
        <x:v>0.06756756756756757</x:v>
      </x:c>
      <x:c r="F14" s="93" t="str">
        <x:f>IF(D14&gt;0,"PASS","FAIL")</x:f>
        <x:v>PASS</x:v>
      </x:c>
      <x:c r="G14" s="95"/>
      <x:c r="H14" s="81"/>
    </x:row>
    <x:row r="15" ht="35" customHeight="1">
      <x:c r="B15" s="92" t="str">
        <x:v>C09</x:v>
      </x:c>
      <x:c r="C15" s="93" t="str">
        <x:v>Controlled program reserve</x:v>
      </x:c>
      <x:c r="D15" s="119" t="n">
        <x:v>0.05</x:v>
      </x:c>
      <x:c r="E15" s="96" t="n">
        <x:f>D15/'Control Inputs'!D42</x:f>
        <x:v>0.033783783783783786</x:v>
      </x:c>
      <x:c r="F15" s="93" t="str">
        <x:f>IF(D15&gt;0,"PASS","FAIL")</x:f>
        <x:v>PASS</x:v>
      </x:c>
      <x:c r="G15" s="95"/>
      <x:c r="H15" s="81"/>
    </x:row>
    <x:row r="16" ht="35" customHeight="1">
      <x:c r="B16" s="92"/>
      <x:c r="C16" s="93"/>
      <x:c r="D16" s="119"/>
      <x:c r="E16" s="96"/>
      <x:c r="F16" s="93"/>
      <x:c r="G16" s="95"/>
      <x:c r="H16" s="81"/>
    </x:row>
    <x:row r="17" ht="35" customHeight="1">
      <x:c r="B17" s="92" t="str">
        <x:v>CONTROL</x:v>
      </x:c>
      <x:c r="C17" s="93" t="str">
        <x:v>Total protocol capital</x:v>
      </x:c>
      <x:c r="D17" s="119" t="n">
        <x:f>SUM(D7:D15)</x:f>
        <x:v>1.48</x:v>
      </x:c>
      <x:c r="E17" s="96" t="n">
        <x:f>D17/'Control Inputs'!D43</x:f>
        <x:v>0.18226600985221678</x:v>
      </x:c>
      <x:c r="F17" s="93" t="str">
        <x:f>IF(ABS(D17-'Control Inputs'!D42)&lt;0.0001,"PASS","FAIL")</x:f>
        <x:v>PASS</x:v>
      </x:c>
      <x:c r="G17" s="95"/>
      <x:c r="H17" s="81"/>
    </x:row>
    <x:row r="18" ht="35" customHeight="1">
      <x:c r="B18" s="92"/>
      <x:c r="C18" s="93"/>
      <x:c r="D18" s="119"/>
      <x:c r="E18" s="119"/>
      <x:c r="F18" s="93"/>
      <x:c r="G18" s="95"/>
      <x:c r="H18" s="81"/>
    </x:row>
    <x:row r="19" ht="35" customHeight="1">
      <x:c r="B19" s="92"/>
      <x:c r="C19" s="93"/>
      <x:c r="D19" s="119"/>
      <x:c r="E19" s="119"/>
      <x:c r="F19" s="93"/>
      <x:c r="G19" s="95"/>
      <x:c r="H19" s="81"/>
    </x:row>
    <x:row r="20" ht="35" customHeight="1">
      <x:c r="B20" s="38" t="str">
        <x:v>Cross-classification to Pass 101 capital lines</x:v>
      </x:c>
      <x:c r="C20" s="129" t="str">
        <x:v>Cross-classification to Pass 101 capital lines</x:v>
      </x:c>
      <x:c r="D20" s="131" t="str">
        <x:v>Cross-classification to Pass 101 capital lines</x:v>
      </x:c>
      <x:c r="E20" s="131" t="str">
        <x:v>Cross-classification to Pass 101 capital lines</x:v>
      </x:c>
      <x:c r="F20" s="129" t="str">
        <x:v>Cross-classification to Pass 101 capital lines</x:v>
      </x:c>
      <x:c r="G20" s="130" t="str">
        <x:v>Cross-classification to Pass 101 capital lines</x:v>
      </x:c>
      <x:c r="H20" s="81"/>
    </x:row>
    <x:row r="21" ht="35" customHeight="1">
      <x:c r="B21" s="126" t="str">
        <x:v>Source</x:v>
      </x:c>
      <x:c r="C21" s="127" t="str">
        <x:v>Pass 101 capital line</x:v>
      </x:c>
      <x:c r="D21" s="128" t="str">
        <x:v>Source USD B</x:v>
      </x:c>
      <x:c r="E21" s="128" t="str">
        <x:v>Protocol draw USD B</x:v>
      </x:c>
      <x:c r="F21" s="127" t="str">
        <x:v>Draw share</x:v>
      </x:c>
      <x:c r="G21" s="127" t="str">
        <x:v>Source control</x:v>
      </x:c>
      <x:c r="H21" s="81"/>
    </x:row>
    <x:row r="22" ht="35" customHeight="1">
      <x:c r="B22" s="92" t="str">
        <x:v>S01</x:v>
      </x:c>
      <x:c r="C22" s="93" t="str">
        <x:v>Public requirements and interface standards</x:v>
      </x:c>
      <x:c r="D22" s="119" t="n">
        <x:v>0.58</x:v>
      </x:c>
      <x:c r="E22" s="119" t="n">
        <x:v>0.1</x:v>
      </x:c>
      <x:c r="F22" s="96" t="n">
        <x:f>E22/D22</x:f>
        <x:v>0.1724137931034483</x:v>
      </x:c>
      <x:c r="G22" s="95" t="str">
        <x:f>IF(E22&lt;=D22,"PASS","FAIL")</x:f>
        <x:v>PASS</x:v>
      </x:c>
      <x:c r="H22" s="81"/>
    </x:row>
    <x:row r="23" ht="35" customHeight="1">
      <x:c r="B23" s="92" t="str">
        <x:v>S02</x:v>
      </x:c>
      <x:c r="C23" s="93" t="str">
        <x:v>R1 article bank and process cells</x:v>
      </x:c>
      <x:c r="D23" s="119" t="n">
        <x:v>1.3</x:v>
      </x:c>
      <x:c r="E23" s="119" t="n">
        <x:v>0.1</x:v>
      </x:c>
      <x:c r="F23" s="96" t="n">
        <x:f>E23/D23</x:f>
        <x:v>0.07692307692307693</x:v>
      </x:c>
      <x:c r="G23" s="95" t="str">
        <x:f>IF(E23&lt;=D23,"PASS","FAIL")</x:f>
        <x:v>PASS</x:v>
      </x:c>
      <x:c r="H23" s="81"/>
    </x:row>
    <x:row r="24" ht="35" customHeight="1">
      <x:c r="B24" s="92" t="str">
        <x:v>S03</x:v>
      </x:c>
      <x:c r="C24" s="93" t="str">
        <x:v>R2 article bank and process cells</x:v>
      </x:c>
      <x:c r="D24" s="119" t="n">
        <x:v>1.52</x:v>
      </x:c>
      <x:c r="E24" s="119" t="n">
        <x:v>0.1</x:v>
      </x:c>
      <x:c r="F24" s="96" t="n">
        <x:f>E24/D24</x:f>
        <x:v>0.06578947368421052</x:v>
      </x:c>
      <x:c r="G24" s="95" t="str">
        <x:f>IF(E24&lt;=D24,"PASS","FAIL")</x:f>
        <x:v>PASS</x:v>
      </x:c>
      <x:c r="H24" s="81"/>
    </x:row>
    <x:row r="25" ht="35" customHeight="1">
      <x:c r="B25" s="92" t="str">
        <x:v>S04</x:v>
      </x:c>
      <x:c r="C25" s="93" t="str">
        <x:v>R3 protected challenge bank</x:v>
      </x:c>
      <x:c r="D25" s="119" t="n">
        <x:v>1.36</x:v>
      </x:c>
      <x:c r="E25" s="119" t="n">
        <x:v>0.1</x:v>
      </x:c>
      <x:c r="F25" s="96" t="n">
        <x:f>E25/D25</x:f>
        <x:v>0.07352941176470588</x:v>
      </x:c>
      <x:c r="G25" s="95" t="str">
        <x:f>IF(E25&lt;=D25,"PASS","FAIL")</x:f>
        <x:v>PASS</x:v>
      </x:c>
      <x:c r="H25" s="81"/>
    </x:row>
    <x:row r="26" ht="35" customHeight="1">
      <x:c r="B26" s="92" t="str">
        <x:v>S05</x:v>
      </x:c>
      <x:c r="C26" s="93" t="str">
        <x:v>Paired-sector range and civil reset</x:v>
      </x:c>
      <x:c r="D26" s="119" t="n">
        <x:v>1.2</x:v>
      </x:c>
      <x:c r="E26" s="119" t="n">
        <x:v>0.36</x:v>
      </x:c>
      <x:c r="F26" s="96" t="n">
        <x:f>E26/D26</x:f>
        <x:v>0.3</x:v>
      </x:c>
      <x:c r="G26" s="95" t="str">
        <x:f>IF(E26&lt;=D26,"PASS","FAIL")</x:f>
        <x:v>PASS</x:v>
      </x:c>
      <x:c r="H26" s="81"/>
    </x:row>
    <x:row r="27" ht="35" customHeight="1">
      <x:c r="B27" s="92" t="str">
        <x:v>S06</x:v>
      </x:c>
      <x:c r="C27" s="93" t="str">
        <x:v>Independent instruments and water release</x:v>
      </x:c>
      <x:c r="D27" s="119" t="n">
        <x:v>0.7</x:v>
      </x:c>
      <x:c r="E27" s="119" t="n">
        <x:v>0.34</x:v>
      </x:c>
      <x:c r="F27" s="96" t="n">
        <x:f>E27/D27</x:f>
        <x:v>0.48571428571428577</x:v>
      </x:c>
      <x:c r="G27" s="95" t="str">
        <x:f>IF(E27&lt;=D27,"PASS","FAIL")</x:f>
        <x:v>PASS</x:v>
      </x:c>
      <x:c r="H27" s="81"/>
    </x:row>
    <x:row r="28" ht="35" customHeight="1">
      <x:c r="B28" s="92" t="str">
        <x:v>S07</x:v>
      </x:c>
      <x:c r="C28" s="93" t="str">
        <x:v>Destructive repair and forensics</x:v>
      </x:c>
      <x:c r="D28" s="119" t="n">
        <x:v>0.52</x:v>
      </x:c>
      <x:c r="E28" s="119" t="n">
        <x:v>0.23</x:v>
      </x:c>
      <x:c r="F28" s="96" t="n">
        <x:f>E28/D28</x:f>
        <x:v>0.4423076923076923</x:v>
      </x:c>
      <x:c r="G28" s="95" t="str">
        <x:f>IF(E28&lt;=D28,"PASS","FAIL")</x:f>
        <x:v>PASS</x:v>
      </x:c>
      <x:c r="H28" s="81"/>
    </x:row>
    <x:row r="29" ht="35" customHeight="1">
      <x:c r="B29" s="92" t="str">
        <x:v>S08</x:v>
      </x:c>
      <x:c r="C29" s="93" t="str">
        <x:v>Cold reproduction and public pilot lines</x:v>
      </x:c>
      <x:c r="D29" s="119" t="n">
        <x:v>0.55</x:v>
      </x:c>
      <x:c r="E29" s="119" t="n">
        <x:v>0.05</x:v>
      </x:c>
      <x:c r="F29" s="96" t="n">
        <x:f>E29/D29</x:f>
        <x:v>0.09090909090909091</x:v>
      </x:c>
      <x:c r="G29" s="95" t="str">
        <x:f>IF(E29&lt;=D29,"PASS","FAIL")</x:f>
        <x:v>PASS</x:v>
      </x:c>
      <x:c r="H29" s="81"/>
    </x:row>
    <x:row r="30" ht="35" customHeight="1">
      <x:c r="B30" s="92" t="str">
        <x:v>S09</x:v>
      </x:c>
      <x:c r="C30" s="93" t="str">
        <x:v>Custody, quarantine and rights repository</x:v>
      </x:c>
      <x:c r="D30" s="119" t="n">
        <x:v>0.21</x:v>
      </x:c>
      <x:c r="E30" s="119" t="n">
        <x:v>0.05</x:v>
      </x:c>
      <x:c r="F30" s="96" t="n">
        <x:f>E30/D30</x:f>
        <x:v>0.2380952380952381</x:v>
      </x:c>
      <x:c r="G30" s="95" t="str">
        <x:f>IF(E30&lt;=D30,"PASS","FAIL")</x:f>
        <x:v>PASS</x:v>
      </x:c>
      <x:c r="H30" s="81"/>
    </x:row>
    <x:row r="31" ht="35" customHeight="1">
      <x:c r="B31" s="92" t="str">
        <x:v>S10</x:v>
      </x:c>
      <x:c r="C31" s="93" t="str">
        <x:v>Authority and substitution cadres</x:v>
      </x:c>
      <x:c r="D31" s="119" t="n">
        <x:v>0.1</x:v>
      </x:c>
      <x:c r="E31" s="119" t="n">
        <x:v>0.03</x:v>
      </x:c>
      <x:c r="F31" s="96" t="n">
        <x:f>E31/D31</x:f>
        <x:v>0.3</x:v>
      </x:c>
      <x:c r="G31" s="95" t="str">
        <x:f>IF(E31&lt;=D31,"PASS","FAIL")</x:f>
        <x:v>PASS</x:v>
      </x:c>
      <x:c r="H31" s="81"/>
    </x:row>
    <x:row r="32" ht="35" customHeight="1">
      <x:c r="B32" s="92" t="str">
        <x:v>S11</x:v>
      </x:c>
      <x:c r="C32" s="93" t="str">
        <x:v>Controlled program reserve</x:v>
      </x:c>
      <x:c r="D32" s="119" t="n">
        <x:v>0.08</x:v>
      </x:c>
      <x:c r="E32" s="119" t="n">
        <x:v>0.02</x:v>
      </x:c>
      <x:c r="F32" s="96" t="n">
        <x:f>E32/D32</x:f>
        <x:v>0.25</x:v>
      </x:c>
      <x:c r="G32" s="95" t="str">
        <x:f>IF(E32&lt;=D32,"PASS","FAIL")</x:f>
        <x:v>PASS</x:v>
      </x:c>
      <x:c r="H32" s="81"/>
    </x:row>
    <x:row r="33" ht="35" customHeight="1">
      <x:c r="B33" s="92"/>
      <x:c r="C33" s="93"/>
      <x:c r="D33" s="119"/>
      <x:c r="E33" s="119"/>
      <x:c r="F33" s="93"/>
      <x:c r="G33" s="95"/>
      <x:c r="H33" s="81"/>
    </x:row>
    <x:row r="34" ht="35" customHeight="1">
      <x:c r="B34" s="97" t="str">
        <x:v>CONTROL</x:v>
      </x:c>
      <x:c r="C34" s="98" t="str">
        <x:v>Source totals</x:v>
      </x:c>
      <x:c r="D34" s="124" t="n">
        <x:f>SUM(D22:D32)</x:f>
        <x:v>8.12</x:v>
      </x:c>
      <x:c r="E34" s="124" t="n">
        <x:f>SUM(E22:E32)</x:f>
        <x:v>1.4800000000000002</x:v>
      </x:c>
      <x:c r="F34" s="98"/>
      <x:c r="G34" s="100" t="str">
        <x:f>IF(AND(ABS(D34-'Control Inputs'!D43)&lt;0.0001,ABS(E34-D17)&lt;0.0001),"PASS","FAIL")</x:f>
        <x:v>PASS</x:v>
      </x:c>
      <x:c r="H34" s="81"/>
    </x:row>
  </x:sheetData>
  <x:mergeCells>
    <x:mergeCell ref="B3:H3"/>
    <x:mergeCell ref="B20:G20"/>
  </x:mergeCells>
  <x:conditionalFormatting sqref="F7:F17">
    <x:cfRule type="containsText" dxfId="285" priority="1" operator="containsText" text="FAIL"/>
    <x:cfRule type="containsText" dxfId="286" priority="2" operator="containsText" text="BLOCKED"/>
    <x:cfRule type="containsText" dxfId="287" priority="3" operator="containsText" text="HOLD"/>
    <x:cfRule type="containsText" dxfId="288" priority="4" operator="containsText" text="OPEN"/>
    <x:cfRule type="containsText" dxfId="289" priority="5" operator="containsText" text="UNTESTED"/>
    <x:cfRule type="containsText" dxfId="290" priority="6" operator="containsText" text="INDETERMINATE"/>
    <x:cfRule type="containsText" dxfId="291" priority="7" operator="containsText" text="PASS"/>
    <x:cfRule type="containsText" dxfId="292" priority="8" operator="containsText" text="CLOSED"/>
    <x:cfRule type="containsText" dxfId="293" priority="9" operator="containsText" text="READY"/>
    <x:cfRule type="containsText" dxfId="294" priority="10" operator="containsText" text="AUTHORIZED"/>
    <x:cfRule type="containsText" dxfId="295" priority="11" operator="containsText" text="PLANNING PASS"/>
    <x:cfRule type="containsText" dxfId="296" priority="12" operator="containsText" text="COMPLETE"/>
    <x:cfRule type="containsText" dxfId="297" priority="13" operator="containsText" text="ACCEPTED"/>
    <x:cfRule type="containsText" dxfId="298" priority="14" operator="containsText" text="ADMITTED"/>
    <x:cfRule type="containsText" dxfId="299" priority="15" operator="containsText" text="RELEASED"/>
  </x:conditionalFormatting>
  <x:conditionalFormatting sqref="G22:G34">
    <x:cfRule type="containsText" dxfId="300" priority="16" operator="containsText" text="FAIL"/>
    <x:cfRule type="containsText" dxfId="301" priority="17" operator="containsText" text="BLOCKED"/>
    <x:cfRule type="containsText" dxfId="302" priority="18" operator="containsText" text="HOLD"/>
    <x:cfRule type="containsText" dxfId="303" priority="19" operator="containsText" text="OPEN"/>
    <x:cfRule type="containsText" dxfId="304" priority="20" operator="containsText" text="UNTESTED"/>
    <x:cfRule type="containsText" dxfId="305" priority="21" operator="containsText" text="INDETERMINATE"/>
    <x:cfRule type="containsText" dxfId="306" priority="22" operator="containsText" text="PASS"/>
    <x:cfRule type="containsText" dxfId="307" priority="23" operator="containsText" text="CLOSED"/>
    <x:cfRule type="containsText" dxfId="308" priority="24" operator="containsText" text="READY"/>
    <x:cfRule type="containsText" dxfId="309" priority="25" operator="containsText" text="AUTHORIZED"/>
    <x:cfRule type="containsText" dxfId="310" priority="26" operator="containsText" text="PLANNING PASS"/>
    <x:cfRule type="containsText" dxfId="311" priority="27" operator="containsText" text="COMPLETE"/>
    <x:cfRule type="containsText" dxfId="312" priority="28" operator="containsText" text="ACCEPTED"/>
    <x:cfRule type="containsText" dxfId="313" priority="29" operator="containsText" text="ADMITTED"/>
    <x:cfRule type="containsText" dxfId="314" priority="30" operator="containsText" text="RELEASE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B8C7D1"/>
  </x:sheetPr>
  <x:sheetViews>
    <x:sheetView showGridLines="0" workbookViewId="0"/>
  </x:sheetViews>
  <x:sheetFormatPr defaultRowHeight="15"/>
  <x:cols>
    <x:col min="2" max="2" width="10" hidden="0" customWidth="1"/>
    <x:col min="3" max="3" width="45" hidden="0" customWidth="1"/>
    <x:col min="4" max="4" width="20" hidden="0" customWidth="1"/>
    <x:col min="5" max="5" width="19" hidden="0" customWidth="1"/>
    <x:col min="6" max="6" width="20" hidden="0" customWidth="1"/>
    <x:col min="7" max="7" width="15" hidden="0" customWidth="1"/>
  </x:cols>
  <x:sheetData>
    <x:row r="2">
      <x:c r="B2" s="1" t="str">
        <x:v>Annual protocol support</x:v>
      </x:c>
      <x:c r="C2" s="81"/>
      <x:c r="D2" s="81"/>
      <x:c r="E2" s="81"/>
      <x:c r="F2" s="81"/>
      <x:c r="G2" s="81"/>
      <x:c r="H2" s="81"/>
    </x:row>
    <x:row r="3">
      <x:c r="B3" s="2" t="str">
        <x:v>USD 0.192B per year remains inside the Pass 101 USD 0.446B annual article-program boundary.</x:v>
      </x:c>
      <x:c r="C3" s="81"/>
      <x:c r="D3" s="81"/>
      <x:c r="E3" s="81"/>
      <x:c r="F3" s="81"/>
      <x:c r="G3" s="81"/>
      <x:c r="H3" s="81"/>
    </x:row>
    <x:row r="4">
      <x:c r="B4" s="83"/>
      <x:c r="C4" s="83"/>
      <x:c r="D4" s="83"/>
      <x:c r="E4" s="83"/>
      <x:c r="F4" s="83"/>
      <x:c r="G4" s="83"/>
      <x:c r="H4" s="83"/>
    </x:row>
    <x:row r="5">
      <x:c r="B5" s="81"/>
      <x:c r="C5" s="81"/>
      <x:c r="D5" s="81"/>
      <x:c r="E5" s="81"/>
      <x:c r="F5" s="81"/>
      <x:c r="G5" s="81"/>
      <x:c r="H5" s="81"/>
    </x:row>
    <x:row r="6">
      <x:c r="B6" s="15" t="str">
        <x:v>Use</x:v>
      </x:c>
      <x:c r="C6" s="16" t="str">
        <x:v>Support purpose</x:v>
      </x:c>
      <x:c r="D6" s="16" t="str">
        <x:v>USD B/year</x:v>
      </x:c>
      <x:c r="E6" s="16" t="str">
        <x:v>Share of protocol</x:v>
      </x:c>
      <x:c r="F6" s="16" t="str">
        <x:v>Share of Pass 101</x:v>
      </x:c>
      <x:c r="G6" s="16" t="str">
        <x:v>Control</x:v>
      </x:c>
      <x:c r="H6" s="81"/>
    </x:row>
    <x:row r="7" ht="38" customHeight="1">
      <x:c r="B7" s="92" t="str">
        <x:v>A01</x:v>
      </x:c>
      <x:c r="C7" s="93" t="str">
        <x:v>Fixture readiness and preventive maintenance</x:v>
      </x:c>
      <x:c r="D7" s="119" t="n">
        <x:v>0.04</x:v>
      </x:c>
      <x:c r="E7" s="96" t="n">
        <x:f>D7/'Control Inputs'!D44</x:f>
        <x:v>0.20833333333333334</x:v>
      </x:c>
      <x:c r="F7" s="96" t="n">
        <x:f>D7/'Control Inputs'!D45</x:f>
        <x:v>0.08968609865470852</x:v>
      </x:c>
      <x:c r="G7" s="95" t="str">
        <x:f>IF(D7&gt;0,"PASS","FAIL")</x:f>
        <x:v>PASS</x:v>
      </x:c>
      <x:c r="H7" s="81"/>
    </x:row>
    <x:row r="8" ht="38" customHeight="1">
      <x:c r="B8" s="92" t="str">
        <x:v>A02</x:v>
      </x:c>
      <x:c r="C8" s="93" t="str">
        <x:v>Damage-cell reset and waste disposition</x:v>
      </x:c>
      <x:c r="D8" s="119" t="n">
        <x:v>0.04</x:v>
      </x:c>
      <x:c r="E8" s="96" t="n">
        <x:f>D8/'Control Inputs'!D44</x:f>
        <x:v>0.20833333333333334</x:v>
      </x:c>
      <x:c r="F8" s="96" t="n">
        <x:f>D8/'Control Inputs'!D45</x:f>
        <x:v>0.08968609865470852</x:v>
      </x:c>
      <x:c r="G8" s="95" t="str">
        <x:f>IF(D8&gt;0,"PASS","FAIL")</x:f>
        <x:v>PASS</x:v>
      </x:c>
      <x:c r="H8" s="81"/>
    </x:row>
    <x:row r="9" ht="38" customHeight="1">
      <x:c r="B9" s="92" t="str">
        <x:v>A03</x:v>
      </x:c>
      <x:c r="C9" s="93" t="str">
        <x:v>Calibration, rapid assays and challenge controls</x:v>
      </x:c>
      <x:c r="D9" s="119" t="n">
        <x:v>0.045</x:v>
      </x:c>
      <x:c r="E9" s="96" t="n">
        <x:f>D9/'Control Inputs'!D44</x:f>
        <x:v>0.234375</x:v>
      </x:c>
      <x:c r="F9" s="96" t="n">
        <x:f>D9/'Control Inputs'!D45</x:f>
        <x:v>0.10089686098654709</x:v>
      </x:c>
      <x:c r="G9" s="95" t="str">
        <x:f>IF(D9&gt;0,"PASS","FAIL")</x:f>
        <x:v>PASS</x:v>
      </x:c>
      <x:c r="H9" s="81"/>
    </x:row>
    <x:row r="10" ht="38" customHeight="1">
      <x:c r="B10" s="92" t="str">
        <x:v>A04</x:v>
      </x:c>
      <x:c r="C10" s="93" t="str">
        <x:v>Blind-defect and forensic teams</x:v>
      </x:c>
      <x:c r="D10" s="119" t="n">
        <x:v>0.025</x:v>
      </x:c>
      <x:c r="E10" s="96" t="n">
        <x:f>D10/'Control Inputs'!D44</x:f>
        <x:v>0.13020833333333334</x:v>
      </x:c>
      <x:c r="F10" s="96" t="n">
        <x:f>D10/'Control Inputs'!D45</x:f>
        <x:v>0.05605381165919283</x:v>
      </x:c>
      <x:c r="G10" s="95" t="str">
        <x:f>IF(D10&gt;0,"PASS","FAIL")</x:f>
        <x:v>PASS</x:v>
      </x:c>
      <x:c r="H10" s="81"/>
    </x:row>
    <x:row r="11" ht="38" customHeight="1">
      <x:c r="B11" s="92" t="str">
        <x:v>A05</x:v>
      </x:c>
      <x:c r="C11" s="93" t="str">
        <x:v>Evidence custody, data and time authority</x:v>
      </x:c>
      <x:c r="D11" s="119" t="n">
        <x:v>0.02</x:v>
      </x:c>
      <x:c r="E11" s="96" t="n">
        <x:f>D11/'Control Inputs'!D44</x:f>
        <x:v>0.10416666666666667</x:v>
      </x:c>
      <x:c r="F11" s="96" t="n">
        <x:f>D11/'Control Inputs'!D45</x:f>
        <x:v>0.04484304932735426</x:v>
      </x:c>
      <x:c r="G11" s="95" t="str">
        <x:f>IF(D11&gt;0,"PASS","FAIL")</x:f>
        <x:v>PASS</x:v>
      </x:c>
      <x:c r="H11" s="81"/>
    </x:row>
    <x:row r="12" ht="38" customHeight="1">
      <x:c r="B12" s="92" t="str">
        <x:v>A06</x:v>
      </x:c>
      <x:c r="C12" s="93" t="str">
        <x:v>Public technical, safety and receiver cadres</x:v>
      </x:c>
      <x:c r="D12" s="119" t="n">
        <x:v>0.022</x:v>
      </x:c>
      <x:c r="E12" s="96" t="n">
        <x:f>D12/'Control Inputs'!D44</x:f>
        <x:v>0.11458333333333333</x:v>
      </x:c>
      <x:c r="F12" s="96" t="n">
        <x:f>D12/'Control Inputs'!D45</x:f>
        <x:v>0.04932735426008968</x:v>
      </x:c>
      <x:c r="G12" s="95" t="str">
        <x:f>IF(D12&gt;0,"PASS","FAIL")</x:f>
        <x:v>PASS</x:v>
      </x:c>
      <x:c r="H12" s="81"/>
    </x:row>
    <x:row r="13" ht="38" customHeight="1">
      <x:c r="B13" s="92"/>
      <x:c r="C13" s="93"/>
      <x:c r="D13" s="119"/>
      <x:c r="E13" s="96"/>
      <x:c r="F13" s="96"/>
      <x:c r="G13" s="95"/>
      <x:c r="H13" s="81"/>
    </x:row>
    <x:row r="14" ht="38" customHeight="1">
      <x:c r="B14" s="97" t="str">
        <x:v>CONTROL</x:v>
      </x:c>
      <x:c r="C14" s="98" t="str">
        <x:v>Total annual support</x:v>
      </x:c>
      <x:c r="D14" s="124" t="n">
        <x:f>SUM(D7:D12)</x:f>
        <x:v>0.19199999999999998</x:v>
      </x:c>
      <x:c r="E14" s="112" t="n">
        <x:f>D14/'Control Inputs'!D44</x:f>
        <x:v>0.9999999999999999</x:v>
      </x:c>
      <x:c r="F14" s="112" t="n">
        <x:f>D14/'Control Inputs'!D45</x:f>
        <x:v>0.43049327354260086</x:v>
      </x:c>
      <x:c r="G14" s="100" t="str">
        <x:f>IF(ABS(D14-'Control Inputs'!D44)&lt;0.0001,"PASS","FAIL")</x:f>
        <x:v>PASS</x:v>
      </x:c>
      <x:c r="H14" s="81"/>
    </x:row>
  </x:sheetData>
  <x:mergeCells>
    <x:mergeCell ref="B3:H3"/>
  </x:mergeCells>
  <x:conditionalFormatting sqref="G7:G14">
    <x:cfRule type="containsText" dxfId="315" priority="1" operator="containsText" text="FAIL"/>
    <x:cfRule type="containsText" dxfId="316" priority="2" operator="containsText" text="BLOCKED"/>
    <x:cfRule type="containsText" dxfId="317" priority="3" operator="containsText" text="HOLD"/>
    <x:cfRule type="containsText" dxfId="318" priority="4" operator="containsText" text="OPEN"/>
    <x:cfRule type="containsText" dxfId="319" priority="5" operator="containsText" text="UNTESTED"/>
    <x:cfRule type="containsText" dxfId="320" priority="6" operator="containsText" text="INDETERMINATE"/>
    <x:cfRule type="containsText" dxfId="321" priority="7" operator="containsText" text="PASS"/>
    <x:cfRule type="containsText" dxfId="322" priority="8" operator="containsText" text="CLOSED"/>
    <x:cfRule type="containsText" dxfId="323" priority="9" operator="containsText" text="READY"/>
    <x:cfRule type="containsText" dxfId="324" priority="10" operator="containsText" text="AUTHORIZED"/>
    <x:cfRule type="containsText" dxfId="325" priority="11" operator="containsText" text="PLANNING PASS"/>
    <x:cfRule type="containsText" dxfId="326" priority="12" operator="containsText" text="COMPLETE"/>
    <x:cfRule type="containsText" dxfId="327" priority="13" operator="containsText" text="ACCEPTED"/>
    <x:cfRule type="containsText" dxfId="328" priority="14" operator="containsText" text="ADMITTED"/>
    <x:cfRule type="containsText" dxfId="329" priority="15" operator="containsText" text="RELEASE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B8C7D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9" hidden="0" customWidth="1"/>
    <x:col min="4" max="4" width="17" hidden="0" customWidth="1"/>
    <x:col min="5" max="5" width="21" hidden="0" customWidth="1"/>
    <x:col min="6" max="6" width="12" hidden="0" customWidth="1"/>
    <x:col min="7" max="7" width="13" hidden="0" customWidth="1"/>
    <x:col min="8" max="8" width="18" hidden="0" customWidth="1"/>
    <x:col min="9" max="9" width="25" hidden="0" customWidth="1"/>
    <x:col min="10" max="10" width="18" hidden="0" customWidth="1"/>
  </x:cols>
  <x:sheetData>
    <x:row r="2">
      <x:c r="B2" s="1" t="str">
        <x:v>Protocol release ladder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Planning completeness cannot certify a fixture, closure, repair, potable release, production decision or form.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15" t="str">
        <x:v>Gate</x:v>
      </x:c>
      <x:c r="C6" s="16" t="str">
        <x:v>Decision</x:v>
      </x:c>
      <x:c r="D6" s="16" t="str">
        <x:v>Stage</x:v>
      </x:c>
      <x:c r="E6" s="16" t="str">
        <x:v>Evidence class</x:v>
      </x:c>
      <x:c r="F6" s="16" t="str">
        <x:v>Required</x:v>
      </x:c>
      <x:c r="G6" s="16" t="str">
        <x:v>Observed</x:v>
      </x:c>
      <x:c r="H6" s="16" t="str">
        <x:v>Gate state</x:v>
      </x:c>
      <x:c r="I6" s="16" t="str">
        <x:v>Authority consequence</x:v>
      </x:c>
      <x:c r="J6" s="16" t="str">
        <x:v>Exterior rendering</x:v>
      </x:c>
    </x:row>
    <x:row r="7" ht="38" customHeight="1">
      <x:c r="B7" s="92" t="str">
        <x:v>G01</x:v>
      </x:c>
      <x:c r="C7" s="93" t="str">
        <x:v>Closure-kernel functional boundary complete</x:v>
      </x:c>
      <x:c r="D7" s="93" t="str">
        <x:v>package</x:v>
      </x:c>
      <x:c r="E7" s="93" t="str">
        <x:v>planning</x:v>
      </x:c>
      <x:c r="F7" s="93" t="n">
        <x:v>1</x:v>
      </x:c>
      <x:c r="G7" s="93" t="n">
        <x:f>'Control Inputs'!D46</x:f>
        <x:v>1</x:v>
      </x:c>
      <x:c r="H7" s="93" t="str">
        <x:f>IF(G7&gt;=F7,IF(D7="package","PLANNING PASS","PASS"),IF(D7="package","FAIL","OPEN"))</x:f>
        <x:v>PLANNING PASS</x:v>
      </x:c>
      <x:c r="I7" s="93" t="str">
        <x:v>protocol drafting only</x:v>
      </x:c>
      <x:c r="J7" s="95" t="str">
        <x:v>NO AUTHORITY</x:v>
      </x:c>
    </x:row>
    <x:row r="8" ht="38" customHeight="1">
      <x:c r="B8" s="92" t="str">
        <x:v>G02</x:v>
      </x:c>
      <x:c r="C8" s="93" t="str">
        <x:v>Root normalization and native factors complete</x:v>
      </x:c>
      <x:c r="D8" s="93" t="str">
        <x:v>package</x:v>
      </x:c>
      <x:c r="E8" s="93" t="str">
        <x:v>planning</x:v>
      </x:c>
      <x:c r="F8" s="93" t="n">
        <x:v>1</x:v>
      </x:c>
      <x:c r="G8" s="93" t="n">
        <x:f>IF('Root Normalization'!D17="PASS",1,0)</x:f>
        <x:v>1</x:v>
      </x:c>
      <x:c r="H8" s="93" t="str">
        <x:f>IF(G8&gt;=F8,IF(D8="package","PLANNING PASS","PASS"),IF(D8="package","FAIL","OPEN"))</x:f>
        <x:v>PLANNING PASS</x:v>
      </x:c>
      <x:c r="I8" s="93" t="str">
        <x:v>protocol drafting only</x:v>
      </x:c>
      <x:c r="J8" s="95" t="str">
        <x:v>NO AUTHORITY</x:v>
      </x:c>
    </x:row>
    <x:row r="9" ht="38" customHeight="1">
      <x:c r="B9" s="92" t="str">
        <x:v>G03</x:v>
      </x:c>
      <x:c r="C9" s="93" t="str">
        <x:v>Twenty-four-article matrix per root complete</x:v>
      </x:c>
      <x:c r="D9" s="93" t="str">
        <x:v>package</x:v>
      </x:c>
      <x:c r="E9" s="93" t="str">
        <x:v>planning</x:v>
      </x:c>
      <x:c r="F9" s="93" t="n">
        <x:v>1</x:v>
      </x:c>
      <x:c r="G9" s="93" t="n">
        <x:f>IF('Closure Matrix'!N79="PASS",1,0)</x:f>
        <x:v>1</x:v>
      </x:c>
      <x:c r="H9" s="93" t="str">
        <x:f>IF(G9&gt;=F9,IF(D9="package","PLANNING PASS","PASS"),IF(D9="package","FAIL","OPEN"))</x:f>
        <x:v>PLANNING PASS</x:v>
      </x:c>
      <x:c r="I9" s="93" t="str">
        <x:v>protocol drafting only</x:v>
      </x:c>
      <x:c r="J9" s="95" t="str">
        <x:v>NO AUTHORITY</x:v>
      </x:c>
    </x:row>
    <x:row r="10" ht="38" customHeight="1">
      <x:c r="B10" s="92" t="str">
        <x:v>G04</x:v>
      </x:c>
      <x:c r="C10" s="93" t="str">
        <x:v>Blind-defect library and truth methods complete</x:v>
      </x:c>
      <x:c r="D10" s="93" t="str">
        <x:v>package</x:v>
      </x:c>
      <x:c r="E10" s="93" t="str">
        <x:v>planning</x:v>
      </x:c>
      <x:c r="F10" s="93" t="n">
        <x:v>1</x:v>
      </x:c>
      <x:c r="G10" s="93" t="n">
        <x:f>IF(COUNTIF('Defect Library'!H7:H14,"PASS")=8,1,0)</x:f>
        <x:v>1</x:v>
      </x:c>
      <x:c r="H10" s="93" t="str">
        <x:f>IF(G10&gt;=F10,IF(D10="package","PLANNING PASS","PASS"),IF(D10="package","FAIL","OPEN"))</x:f>
        <x:v>PLANNING PASS</x:v>
      </x:c>
      <x:c r="I10" s="93" t="str">
        <x:v>protocol drafting only</x:v>
      </x:c>
      <x:c r="J10" s="95" t="str">
        <x:v>NO AUTHORITY</x:v>
      </x:c>
    </x:row>
    <x:row r="11" ht="38" customHeight="1">
      <x:c r="B11" s="92" t="str">
        <x:v>G05</x:v>
      </x:c>
      <x:c r="C11" s="93" t="str">
        <x:v>Fixture and fixture-neutrality standard complete</x:v>
      </x:c>
      <x:c r="D11" s="93" t="str">
        <x:v>package</x:v>
      </x:c>
      <x:c r="E11" s="93" t="str">
        <x:v>planning</x:v>
      </x:c>
      <x:c r="F11" s="93" t="n">
        <x:v>1</x:v>
      </x:c>
      <x:c r="G11" s="93" t="n">
        <x:f>IF(COUNTIF('Fixture Standard'!H7:H18,"PASS")=12,1,0)</x:f>
        <x:v>1</x:v>
      </x:c>
      <x:c r="H11" s="93" t="str">
        <x:f>IF(G11&gt;=F11,IF(D11="package","PLANNING PASS","PASS"),IF(D11="package","FAIL","OPEN"))</x:f>
        <x:v>PLANNING PASS</x:v>
      </x:c>
      <x:c r="I11" s="93" t="str">
        <x:v>protocol drafting only</x:v>
      </x:c>
      <x:c r="J11" s="95" t="str">
        <x:v>NO AUTHORITY</x:v>
      </x:c>
    </x:row>
    <x:row r="12" ht="38" customHeight="1">
      <x:c r="B12" s="92" t="str">
        <x:v>G06</x:v>
      </x:c>
      <x:c r="C12" s="93" t="str">
        <x:v>Hydraulic and transient waveform complete</x:v>
      </x:c>
      <x:c r="D12" s="93" t="str">
        <x:v>package</x:v>
      </x:c>
      <x:c r="E12" s="93" t="str">
        <x:v>planning</x:v>
      </x:c>
      <x:c r="F12" s="93" t="n">
        <x:v>1</x:v>
      </x:c>
      <x:c r="G12" s="93" t="n">
        <x:f>IF(COUNTIF(Waveforms!H7:H18,"PASS")=12,1,0)</x:f>
        <x:v>1</x:v>
      </x:c>
      <x:c r="H12" s="93" t="str">
        <x:f>IF(G12&gt;=F12,IF(D12="package","PLANNING PASS","PASS"),IF(D12="package","FAIL","OPEN"))</x:f>
        <x:v>PLANNING PASS</x:v>
      </x:c>
      <x:c r="I12" s="93" t="str">
        <x:v>protocol drafting only</x:v>
      </x:c>
      <x:c r="J12" s="95" t="str">
        <x:v>NO AUTHORITY</x:v>
      </x:c>
    </x:row>
    <x:row r="13" ht="38" customHeight="1">
      <x:c r="B13" s="92" t="str">
        <x:v>G07</x:v>
      </x:c>
      <x:c r="C13" s="93" t="str">
        <x:v>Full-bore injury matrix complete</x:v>
      </x:c>
      <x:c r="D13" s="93" t="str">
        <x:v>package</x:v>
      </x:c>
      <x:c r="E13" s="93" t="str">
        <x:v>planning</x:v>
      </x:c>
      <x:c r="F13" s="93" t="n">
        <x:v>1</x:v>
      </x:c>
      <x:c r="G13" s="93" t="n">
        <x:f>IF('Damage Matrix'!N34="PASS",1,0)</x:f>
        <x:v>1</x:v>
      </x:c>
      <x:c r="H13" s="93" t="str">
        <x:f>IF(G13&gt;=F13,IF(D13="package","PLANNING PASS","PASS"),IF(D13="package","FAIL","OPEN"))</x:f>
        <x:v>PLANNING PASS</x:v>
      </x:c>
      <x:c r="I13" s="93" t="str">
        <x:v>protocol drafting only</x:v>
      </x:c>
      <x:c r="J13" s="95" t="str">
        <x:v>NO AUTHORITY</x:v>
      </x:c>
    </x:row>
    <x:row r="14" ht="38" customHeight="1">
      <x:c r="B14" s="92" t="str">
        <x:v>G08</x:v>
      </x:c>
      <x:c r="C14" s="93" t="str">
        <x:v>Contamination and water-release protocol complete</x:v>
      </x:c>
      <x:c r="D14" s="93" t="str">
        <x:v>package</x:v>
      </x:c>
      <x:c r="E14" s="93" t="str">
        <x:v>planning</x:v>
      </x:c>
      <x:c r="F14" s="93" t="n">
        <x:v>1</x:v>
      </x:c>
      <x:c r="G14" s="93" t="n">
        <x:f>IF(COUNTIF('Sanitary Release'!J7:J16,"PASS")=10,1,0)</x:f>
        <x:v>1</x:v>
      </x:c>
      <x:c r="H14" s="93" t="str">
        <x:f>IF(G14&gt;=F14,IF(D14="package","PLANNING PASS","PASS"),IF(D14="package","FAIL","OPEN"))</x:f>
        <x:v>PLANNING PASS</x:v>
      </x:c>
      <x:c r="I14" s="93" t="str">
        <x:v>protocol drafting only</x:v>
      </x:c>
      <x:c r="J14" s="95" t="str">
        <x:v>NO AUTHORITY</x:v>
      </x:c>
    </x:row>
    <x:row r="15" ht="38" customHeight="1">
      <x:c r="B15" s="92" t="str">
        <x:v>G09</x:v>
      </x:c>
      <x:c r="C15" s="93" t="str">
        <x:v>Conserved clock and segment budgets complete</x:v>
      </x:c>
      <x:c r="D15" s="93" t="str">
        <x:v>package</x:v>
      </x:c>
      <x:c r="E15" s="93" t="str">
        <x:v>planning</x:v>
      </x:c>
      <x:c r="F15" s="93" t="n">
        <x:v>1</x:v>
      </x:c>
      <x:c r="G15" s="93" t="n">
        <x:f>IF('Clock Ledger'!M16="PASS",1,0)</x:f>
        <x:v>1</x:v>
      </x:c>
      <x:c r="H15" s="93" t="str">
        <x:f>IF(G15&gt;=F15,IF(D15="package","PLANNING PASS","PASS"),IF(D15="package","FAIL","OPEN"))</x:f>
        <x:v>PLANNING PASS</x:v>
      </x:c>
      <x:c r="I15" s="93" t="str">
        <x:v>protocol drafting only</x:v>
      </x:c>
      <x:c r="J15" s="95" t="str">
        <x:v>NO AUTHORITY</x:v>
      </x:c>
    </x:row>
    <x:row r="16" ht="38" customHeight="1">
      <x:c r="B16" s="92" t="str">
        <x:v>G10</x:v>
      </x:c>
      <x:c r="C16" s="93" t="str">
        <x:v>Instrument, uncertainty and retention plan complete</x:v>
      </x:c>
      <x:c r="D16" s="93" t="str">
        <x:v>package</x:v>
      </x:c>
      <x:c r="E16" s="93" t="str">
        <x:v>planning</x:v>
      </x:c>
      <x:c r="F16" s="93" t="n">
        <x:v>1</x:v>
      </x:c>
      <x:c r="G16" s="93" t="n">
        <x:f>IF('Instrument Plan'!J16="PASS",1,0)</x:f>
        <x:v>1</x:v>
      </x:c>
      <x:c r="H16" s="93" t="str">
        <x:f>IF(G16&gt;=F16,IF(D16="package","PLANNING PASS","PASS"),IF(D16="package","FAIL","OPEN"))</x:f>
        <x:v>PLANNING PASS</x:v>
      </x:c>
      <x:c r="I16" s="93" t="str">
        <x:v>protocol drafting only</x:v>
      </x:c>
      <x:c r="J16" s="95" t="str">
        <x:v>NO AUTHORITY</x:v>
      </x:c>
    </x:row>
    <x:row r="17" ht="38" customHeight="1">
      <x:c r="B17" s="92" t="str">
        <x:v>G11</x:v>
      </x:c>
      <x:c r="C17" s="93" t="str">
        <x:v>Statistics, teardown and section rules complete</x:v>
      </x:c>
      <x:c r="D17" s="93" t="str">
        <x:v>package</x:v>
      </x:c>
      <x:c r="E17" s="93" t="str">
        <x:v>planning</x:v>
      </x:c>
      <x:c r="F17" s="93" t="n">
        <x:v>1</x:v>
      </x:c>
      <x:c r="G17" s="93" t="n">
        <x:f>IF(AND(COUNTIF('Evidence &amp; Blinding'!I7:I20,"PASS")=14,'Forensic Sections'!J18="PASS"),1,0)</x:f>
        <x:v>1</x:v>
      </x:c>
      <x:c r="H17" s="93" t="str">
        <x:f>IF(G17&gt;=F17,IF(D17="package","PLANNING PASS","PASS"),IF(D17="package","FAIL","OPEN"))</x:f>
        <x:v>PLANNING PASS</x:v>
      </x:c>
      <x:c r="I17" s="93" t="str">
        <x:v>protocol drafting only</x:v>
      </x:c>
      <x:c r="J17" s="95" t="str">
        <x:v>NO AUTHORITY</x:v>
      </x:c>
    </x:row>
    <x:row r="18" ht="38" customHeight="1">
      <x:c r="B18" s="92" t="str">
        <x:v>G12</x:v>
      </x:c>
      <x:c r="C18" s="93" t="str">
        <x:v>Schedule and nested finances reconcile</x:v>
      </x:c>
      <x:c r="D18" s="93" t="str">
        <x:v>package</x:v>
      </x:c>
      <x:c r="E18" s="93" t="str">
        <x:v>planning</x:v>
      </x:c>
      <x:c r="F18" s="93" t="n">
        <x:v>1</x:v>
      </x:c>
      <x:c r="G18" s="93" t="n">
        <x:f>IF(AND(Schedule!K16="PASS",'Capital Control'!F17="PASS",'Capital Control'!G34="PASS",'Annual Support'!G14="PASS"),1,0)</x:f>
        <x:v>1</x:v>
      </x:c>
      <x:c r="H18" s="93" t="str">
        <x:f>IF(G18&gt;=F18,IF(D18="package","PLANNING PASS","PASS"),IF(D18="package","FAIL","OPEN"))</x:f>
        <x:v>PLANNING PASS</x:v>
      </x:c>
      <x:c r="I18" s="93" t="str">
        <x:v>protocol drafting only</x:v>
      </x:c>
      <x:c r="J18" s="95" t="str">
        <x:v>NO AUTHORITY</x:v>
      </x:c>
    </x:row>
    <x:row r="19" ht="38" customHeight="1">
      <x:c r="B19" s="92" t="str">
        <x:v>G13</x:v>
      </x:c>
      <x:c r="C19" s="93" t="str">
        <x:v>Constituted authorities approve construction</x:v>
      </x:c>
      <x:c r="D19" s="93" t="str">
        <x:v>construction</x:v>
      </x:c>
      <x:c r="E19" s="93" t="str">
        <x:v>external approval</x:v>
      </x:c>
      <x:c r="F19" s="93" t="n">
        <x:v>1</x:v>
      </x:c>
      <x:c r="G19" s="93" t="n">
        <x:f>'Control Inputs'!D47</x:f>
        <x:v>0</x:v>
      </x:c>
      <x:c r="H19" s="93" t="str">
        <x:f>IF(G19&gt;=F19,IF(D19="package","PLANNING PASS","PASS"),IF(D19="package","FAIL","OPEN"))</x:f>
        <x:v>OPEN</x:v>
      </x:c>
      <x:c r="I19" s="93" t="str">
        <x:v>fixture construction</x:v>
      </x:c>
      <x:c r="J19" s="95" t="str">
        <x:v>NO AUTHORITY</x:v>
      </x:c>
    </x:row>
    <x:row r="20" ht="38" customHeight="1">
      <x:c r="B20" s="92" t="str">
        <x:v>G14</x:v>
      </x:c>
      <x:c r="C20" s="93" t="str">
        <x:v>Public fixtures pass reference qualification</x:v>
      </x:c>
      <x:c r="D20" s="93" t="str">
        <x:v>fixture</x:v>
      </x:c>
      <x:c r="E20" s="93" t="str">
        <x:v>physical</x:v>
      </x:c>
      <x:c r="F20" s="93" t="n">
        <x:v>1</x:v>
      </x:c>
      <x:c r="G20" s="93" t="n">
        <x:f>IF(AND('Control Inputs'!D47=1,'Control Inputs'!D48&gt;=2),1,0)</x:f>
        <x:v>0</x:v>
      </x:c>
      <x:c r="H20" s="93" t="str">
        <x:f>IF(G20&gt;=F20,IF(D20="package","PLANNING PASS","PASS"),IF(D20="package","FAIL","OPEN"))</x:f>
        <x:v>OPEN</x:v>
      </x:c>
      <x:c r="I20" s="93" t="str">
        <x:v>fixture entry</x:v>
      </x:c>
      <x:c r="J20" s="95" t="str">
        <x:v>NO AUTHORITY</x:v>
      </x:c>
    </x:row>
    <x:row r="21" ht="38" customHeight="1">
      <x:c r="B21" s="92" t="str">
        <x:v>G15</x:v>
      </x:c>
      <x:c r="C21" s="93" t="str">
        <x:v>All three root closure campaigns accepted</x:v>
      </x:c>
      <x:c r="D21" s="93" t="str">
        <x:v>closure</x:v>
      </x:c>
      <x:c r="E21" s="93" t="str">
        <x:v>physical</x:v>
      </x:c>
      <x:c r="F21" s="93" t="n">
        <x:v>1</x:v>
      </x:c>
      <x:c r="G21" s="93" t="n">
        <x:f>IF(AND('Control Inputs'!D47=1,'Control Inputs'!D48&gt;=2,'Control Inputs'!D49&gt;=3),1,0)</x:f>
        <x:v>0</x:v>
      </x:c>
      <x:c r="H21" s="93" t="str">
        <x:f>IF(G21&gt;=F21,IF(D21="package","PLANNING PASS","PASS"),IF(D21="package","FAIL","OPEN"))</x:f>
        <x:v>OPEN</x:v>
      </x:c>
      <x:c r="I21" s="93" t="str">
        <x:v>closure decision</x:v>
      </x:c>
      <x:c r="J21" s="95" t="str">
        <x:v>NO AUTHORITY</x:v>
      </x:c>
    </x:row>
    <x:row r="22" ht="38" customHeight="1">
      <x:c r="B22" s="92" t="str">
        <x:v>G16</x:v>
      </x:c>
      <x:c r="C22" s="93" t="str">
        <x:v>All three full-bore damage campaigns admitted</x:v>
      </x:c>
      <x:c r="D22" s="93" t="str">
        <x:v>damage</x:v>
      </x:c>
      <x:c r="E22" s="93" t="str">
        <x:v>physical</x:v>
      </x:c>
      <x:c r="F22" s="93" t="n">
        <x:v>1</x:v>
      </x:c>
      <x:c r="G22" s="93" t="n">
        <x:f>IF(AND('Control Inputs'!D47=1,'Control Inputs'!D48&gt;=2,'Control Inputs'!D49&gt;=3,'Control Inputs'!D50&gt;=3),1,0)</x:f>
        <x:v>0</x:v>
      </x:c>
      <x:c r="H22" s="93" t="str">
        <x:f>IF(G22&gt;=F22,IF(D22="package","PLANNING PASS","PASS"),IF(D22="package","FAIL","OPEN"))</x:f>
        <x:v>OPEN</x:v>
      </x:c>
      <x:c r="I22" s="93" t="str">
        <x:v>damage decision</x:v>
      </x:c>
      <x:c r="J22" s="95" t="str">
        <x:v>NO AUTHORITY</x:v>
      </x:c>
    </x:row>
    <x:row r="23" ht="38" customHeight="1">
      <x:c r="B23" s="92" t="str">
        <x:v>G17</x:v>
      </x:c>
      <x:c r="C23" s="93" t="str">
        <x:v>All three roots receive sanitary admission</x:v>
      </x:c>
      <x:c r="D23" s="93" t="str">
        <x:v>water</x:v>
      </x:c>
      <x:c r="E23" s="93" t="str">
        <x:v>physical</x:v>
      </x:c>
      <x:c r="F23" s="93" t="n">
        <x:v>1</x:v>
      </x:c>
      <x:c r="G23" s="93" t="n">
        <x:f>IF(AND('Control Inputs'!D47=1,'Control Inputs'!D48&gt;=2,'Control Inputs'!D49&gt;=3,'Control Inputs'!D50&gt;=3,'Control Inputs'!D51&gt;=3),1,0)</x:f>
        <x:v>0</x:v>
      </x:c>
      <x:c r="H23" s="93" t="str">
        <x:f>IF(G23&gt;=F23,IF(D23="package","PLANNING PASS","PASS"),IF(D23="package","FAIL","OPEN"))</x:f>
        <x:v>OPEN</x:v>
      </x:c>
      <x:c r="I23" s="93" t="str">
        <x:v>potable decision</x:v>
      </x:c>
      <x:c r="J23" s="95" t="str">
        <x:v>NO AUTHORITY</x:v>
      </x:c>
    </x:row>
    <x:row r="24" ht="38" customHeight="1">
      <x:c r="B24" s="92" t="str">
        <x:v>G18</x:v>
      </x:c>
      <x:c r="C24" s="93" t="str">
        <x:v>Independent team reproduces accepted decisions</x:v>
      </x:c>
      <x:c r="D24" s="93" t="str">
        <x:v>reproduction</x:v>
      </x:c>
      <x:c r="E24" s="93" t="str">
        <x:v>physical</x:v>
      </x:c>
      <x:c r="F24" s="93" t="n">
        <x:v>1</x:v>
      </x:c>
      <x:c r="G24" s="93" t="n">
        <x:f>IF(AND('Control Inputs'!D47=1,'Control Inputs'!D48&gt;=2,'Control Inputs'!D49&gt;=3,'Control Inputs'!D50&gt;=3,'Control Inputs'!D51&gt;=3,'Control Inputs'!D52&gt;=3),1,0)</x:f>
        <x:v>0</x:v>
      </x:c>
      <x:c r="H24" s="93" t="str">
        <x:f>IF(G24&gt;=F24,IF(D24="package","PLANNING PASS","PASS"),IF(D24="package","FAIL","OPEN"))</x:f>
        <x:v>OPEN</x:v>
      </x:c>
      <x:c r="I24" s="93" t="str">
        <x:v>reproduction decision</x:v>
      </x:c>
      <x:c r="J24" s="95" t="str">
        <x:v>NO AUTHORITY</x:v>
      </x:c>
    </x:row>
    <x:row r="25" ht="38" customHeight="1">
      <x:c r="B25" s="92" t="str">
        <x:v>G19</x:v>
      </x:c>
      <x:c r="C25" s="93" t="str">
        <x:v>Measured evidence supports internal section</x:v>
      </x:c>
      <x:c r="D25" s="93" t="str">
        <x:v>internal form</x:v>
      </x:c>
      <x:c r="E25" s="93" t="str">
        <x:v>physical</x:v>
      </x:c>
      <x:c r="F25" s="93" t="n">
        <x:v>1</x:v>
      </x:c>
      <x:c r="G25" s="93" t="n">
        <x:f>IF(AND('Control Inputs'!D47=1,'Control Inputs'!D48&gt;=2,'Control Inputs'!D49&gt;=1,'Control Inputs'!D50&gt;=1,'Control Inputs'!D52&gt;=1,'Control Inputs'!D53=1),1,0)</x:f>
        <x:v>0</x:v>
      </x:c>
      <x:c r="H25" s="93" t="str">
        <x:f>IF(G25&gt;=F25,IF(D25="package","PLANNING PASS","PASS"),IF(D25="package","FAIL","OPEN"))</x:f>
        <x:v>OPEN</x:v>
      </x:c>
      <x:c r="I25" s="93" t="str">
        <x:v>internal section only</x:v>
      </x:c>
      <x:c r="J25" s="95" t="str">
        <x:v>NO AUTHORITY</x:v>
      </x:c>
    </x:row>
    <x:row r="26" ht="38" customHeight="1">
      <x:c r="B26" s="92" t="str">
        <x:v>G20</x:v>
      </x:c>
      <x:c r="C26" s="93" t="str">
        <x:v>Complete F36 mission supports production/form</x:v>
      </x:c>
      <x:c r="D26" s="93" t="str">
        <x:v>production</x:v>
      </x:c>
      <x:c r="E26" s="93" t="str">
        <x:v>full mission</x:v>
      </x:c>
      <x:c r="F26" s="93" t="n">
        <x:v>1</x:v>
      </x:c>
      <x:c r="G26" s="93" t="n">
        <x:f>IF(AND('Control Inputs'!D47=1,'Control Inputs'!D48&gt;=2,'Control Inputs'!D49&gt;=3,'Control Inputs'!D50&gt;=3,'Control Inputs'!D51&gt;=3,'Control Inputs'!D52&gt;=3,'Control Inputs'!D54=1),1,0)</x:f>
        <x:v>0</x:v>
      </x:c>
      <x:c r="H26" s="93" t="str">
        <x:f>IF(G26&gt;=F26,IF(D26="package","PLANNING PASS","PASS"),IF(D26="package","FAIL","OPEN"))</x:f>
        <x:v>OPEN</x:v>
      </x:c>
      <x:c r="I26" s="93" t="str">
        <x:v>production/form only</x:v>
      </x:c>
      <x:c r="J26" s="95" t="str">
        <x:v>BLOCKED</x:v>
      </x:c>
    </x:row>
    <x:row r="27">
      <x:c r="B27" s="92"/>
      <x:c r="C27" s="92"/>
      <x:c r="D27" s="92"/>
      <x:c r="E27" s="92"/>
      <x:c r="F27" s="92"/>
      <x:c r="G27" s="92"/>
      <x:c r="H27" s="92"/>
      <x:c r="I27" s="92"/>
      <x:c r="J27" s="102"/>
    </x:row>
    <x:row r="28">
      <x:c r="B28" s="92"/>
      <x:c r="C28" s="92"/>
      <x:c r="D28" s="92"/>
      <x:c r="E28" s="92"/>
      <x:c r="F28" s="92"/>
      <x:c r="G28" s="92"/>
      <x:c r="H28" s="92"/>
      <x:c r="I28" s="92"/>
      <x:c r="J28" s="102"/>
    </x:row>
    <x:row r="29">
      <x:c r="B29" s="38" t="str">
        <x:v>Derived present states</x:v>
      </x:c>
      <x:c r="C29" s="39" t="str">
        <x:v>Derived present states</x:v>
      </x:c>
      <x:c r="D29" s="39" t="str">
        <x:v>Derived present states</x:v>
      </x:c>
      <x:c r="E29" s="39" t="str">
        <x:v>Derived present states</x:v>
      </x:c>
      <x:c r="F29" s="39" t="str">
        <x:v>Derived present states</x:v>
      </x:c>
      <x:c r="G29" s="39" t="str">
        <x:v>Derived present states</x:v>
      </x:c>
      <x:c r="H29" s="39" t="str">
        <x:v>Derived present states</x:v>
      </x:c>
      <x:c r="I29" s="39" t="str">
        <x:v>Derived present states</x:v>
      </x:c>
      <x:c r="J29" s="40" t="str">
        <x:v>Derived present states</x:v>
      </x:c>
    </x:row>
    <x:row r="30">
      <x:c r="B30" s="92" t="str">
        <x:v>Protocol drafting</x:v>
      </x:c>
      <x:c r="C30" s="92" t="str">
        <x:v>G01–G12</x:v>
      </x:c>
      <x:c r="D30" s="92" t="str">
        <x:f>IF(COUNTIF(H7:H18,"PLANNING PASS")=12,"AUTHORIZED","HOLD")</x:f>
        <x:v>AUTHORIZED</x:v>
      </x:c>
      <x:c r="E30" s="92"/>
      <x:c r="F30" s="92"/>
      <x:c r="G30" s="92"/>
      <x:c r="H30" s="92"/>
      <x:c r="I30" s="92"/>
      <x:c r="J30" s="102"/>
    </x:row>
    <x:row r="31">
      <x:c r="B31" s="92" t="str">
        <x:v>Fixture construction</x:v>
      </x:c>
      <x:c r="C31" s="92" t="str">
        <x:v>G01–G13</x:v>
      </x:c>
      <x:c r="D31" s="92" t="str">
        <x:f>IF(AND(D30="AUTHORIZED",H19="PASS"),"RELEASED","HOLD")</x:f>
        <x:v>HOLD</x:v>
      </x:c>
      <x:c r="E31" s="92"/>
      <x:c r="F31" s="92"/>
      <x:c r="G31" s="92"/>
      <x:c r="H31" s="92"/>
      <x:c r="I31" s="92"/>
      <x:c r="J31" s="102"/>
    </x:row>
    <x:row r="32">
      <x:c r="B32" s="92" t="str">
        <x:v>Fixture qualification</x:v>
      </x:c>
      <x:c r="C32" s="92" t="str">
        <x:v>G14</x:v>
      </x:c>
      <x:c r="D32" s="92" t="str">
        <x:f>IF(H20="PASS","ACCEPTED","HOLD")</x:f>
        <x:v>HOLD</x:v>
      </x:c>
      <x:c r="E32" s="92"/>
      <x:c r="F32" s="92"/>
      <x:c r="G32" s="92"/>
      <x:c r="H32" s="92"/>
      <x:c r="I32" s="92"/>
      <x:c r="J32" s="102"/>
    </x:row>
    <x:row r="33">
      <x:c r="B33" s="92" t="str">
        <x:v>Closure campaign</x:v>
      </x:c>
      <x:c r="C33" s="92" t="str">
        <x:v>G15</x:v>
      </x:c>
      <x:c r="D33" s="92" t="str">
        <x:f>IF(H21="PASS","ACCEPTED","HOLD")</x:f>
        <x:v>HOLD</x:v>
      </x:c>
      <x:c r="E33" s="92"/>
      <x:c r="F33" s="92"/>
      <x:c r="G33" s="92"/>
      <x:c r="H33" s="92"/>
      <x:c r="I33" s="92"/>
      <x:c r="J33" s="102"/>
    </x:row>
    <x:row r="34">
      <x:c r="B34" s="92" t="str">
        <x:v>Damage campaign</x:v>
      </x:c>
      <x:c r="C34" s="92" t="str">
        <x:v>G16</x:v>
      </x:c>
      <x:c r="D34" s="92" t="str">
        <x:f>IF(H22="PASS","ADMITTED","HOLD")</x:f>
        <x:v>HOLD</x:v>
      </x:c>
      <x:c r="E34" s="92"/>
      <x:c r="F34" s="92"/>
      <x:c r="G34" s="92"/>
      <x:c r="H34" s="92"/>
      <x:c r="I34" s="92"/>
      <x:c r="J34" s="102"/>
    </x:row>
    <x:row r="35">
      <x:c r="B35" s="92" t="str">
        <x:v>Sanitary admission</x:v>
      </x:c>
      <x:c r="C35" s="92" t="str">
        <x:v>G17</x:v>
      </x:c>
      <x:c r="D35" s="92" t="str">
        <x:f>IF(H23="PASS","ADMITTED","HOLD")</x:f>
        <x:v>HOLD</x:v>
      </x:c>
      <x:c r="E35" s="92"/>
      <x:c r="F35" s="92"/>
      <x:c r="G35" s="92"/>
      <x:c r="H35" s="92"/>
      <x:c r="I35" s="92"/>
      <x:c r="J35" s="102"/>
    </x:row>
    <x:row r="36">
      <x:c r="B36" s="92" t="str">
        <x:v>Internal requirements section</x:v>
      </x:c>
      <x:c r="C36" s="92" t="str">
        <x:v>G19</x:v>
      </x:c>
      <x:c r="D36" s="92" t="str">
        <x:f>IF(H25="PASS","AUTHORIZED","BLOCKED")</x:f>
        <x:v>BLOCKED</x:v>
      </x:c>
      <x:c r="E36" s="92"/>
      <x:c r="F36" s="92"/>
      <x:c r="G36" s="92"/>
      <x:c r="H36" s="92"/>
      <x:c r="I36" s="92"/>
      <x:c r="J36" s="102"/>
    </x:row>
    <x:row r="37">
      <x:c r="B37" s="92" t="str">
        <x:v>Production and form</x:v>
      </x:c>
      <x:c r="C37" s="92" t="str">
        <x:v>G20</x:v>
      </x:c>
      <x:c r="D37" s="92" t="str">
        <x:f>IF(H26="PASS","AUTHORIZED","BLOCKED")</x:f>
        <x:v>BLOCKED</x:v>
      </x:c>
      <x:c r="E37" s="92"/>
      <x:c r="F37" s="92"/>
      <x:c r="G37" s="92"/>
      <x:c r="H37" s="92"/>
      <x:c r="I37" s="92"/>
      <x:c r="J37" s="102"/>
    </x:row>
    <x:row r="38">
      <x:c r="B38" s="97" t="str">
        <x:v>Exterior rendering</x:v>
      </x:c>
      <x:c r="C38" s="97" t="str">
        <x:v>G20 plus rendering authority</x:v>
      </x:c>
      <x:c r="D38" s="97" t="str">
        <x:f>IF(AND(D37="AUTHORIZED",'Control Inputs'!D55=1),"AUTHORIZED","BLOCKED")</x:f>
        <x:v>BLOCKED</x:v>
      </x:c>
      <x:c r="E38" s="97"/>
      <x:c r="F38" s="97"/>
      <x:c r="G38" s="97"/>
      <x:c r="H38" s="97"/>
      <x:c r="I38" s="97"/>
      <x:c r="J38" s="101"/>
    </x:row>
  </x:sheetData>
  <x:mergeCells>
    <x:mergeCell ref="B3:J3"/>
    <x:mergeCell ref="B29:J29"/>
  </x:mergeCells>
  <x:conditionalFormatting sqref="H7:J26">
    <x:cfRule type="containsText" dxfId="330" priority="1" operator="containsText" text="FAIL"/>
    <x:cfRule type="containsText" dxfId="331" priority="2" operator="containsText" text="BLOCKED"/>
    <x:cfRule type="containsText" dxfId="332" priority="3" operator="containsText" text="HOLD"/>
    <x:cfRule type="containsText" dxfId="333" priority="4" operator="containsText" text="OPEN"/>
    <x:cfRule type="containsText" dxfId="334" priority="5" operator="containsText" text="UNTESTED"/>
    <x:cfRule type="containsText" dxfId="335" priority="6" operator="containsText" text="INDETERMINATE"/>
    <x:cfRule type="containsText" dxfId="336" priority="7" operator="containsText" text="PASS"/>
    <x:cfRule type="containsText" dxfId="337" priority="8" operator="containsText" text="CLOSED"/>
    <x:cfRule type="containsText" dxfId="338" priority="9" operator="containsText" text="READY"/>
    <x:cfRule type="containsText" dxfId="339" priority="10" operator="containsText" text="AUTHORIZED"/>
    <x:cfRule type="containsText" dxfId="340" priority="11" operator="containsText" text="PLANNING PASS"/>
    <x:cfRule type="containsText" dxfId="341" priority="12" operator="containsText" text="COMPLETE"/>
    <x:cfRule type="containsText" dxfId="342" priority="13" operator="containsText" text="ACCEPTED"/>
    <x:cfRule type="containsText" dxfId="343" priority="14" operator="containsText" text="ADMITTED"/>
    <x:cfRule type="containsText" dxfId="344" priority="15" operator="containsText" text="RELEASED"/>
  </x:conditionalFormatting>
  <x:conditionalFormatting sqref="D30:D38">
    <x:cfRule type="containsText" dxfId="345" priority="16" operator="containsText" text="FAIL"/>
    <x:cfRule type="containsText" dxfId="346" priority="17" operator="containsText" text="BLOCKED"/>
    <x:cfRule type="containsText" dxfId="347" priority="18" operator="containsText" text="HOLD"/>
    <x:cfRule type="containsText" dxfId="348" priority="19" operator="containsText" text="OPEN"/>
    <x:cfRule type="containsText" dxfId="349" priority="20" operator="containsText" text="UNTESTED"/>
    <x:cfRule type="containsText" dxfId="350" priority="21" operator="containsText" text="INDETERMINATE"/>
    <x:cfRule type="containsText" dxfId="351" priority="22" operator="containsText" text="PASS"/>
    <x:cfRule type="containsText" dxfId="352" priority="23" operator="containsText" text="CLOSED"/>
    <x:cfRule type="containsText" dxfId="353" priority="24" operator="containsText" text="READY"/>
    <x:cfRule type="containsText" dxfId="354" priority="25" operator="containsText" text="AUTHORIZED"/>
    <x:cfRule type="containsText" dxfId="355" priority="26" operator="containsText" text="PLANNING PASS"/>
    <x:cfRule type="containsText" dxfId="356" priority="27" operator="containsText" text="COMPLETE"/>
    <x:cfRule type="containsText" dxfId="357" priority="28" operator="containsText" text="ACCEPTED"/>
    <x:cfRule type="containsText" dxfId="358" priority="29" operator="containsText" text="ADMITTED"/>
    <x:cfRule type="containsText" dxfId="359" priority="30" operator="containsText" text="RELEASE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5" hidden="0" customWidth="1"/>
    <x:col min="8" max="8" width="31" hidden="0" customWidth="1"/>
  </x:cols>
  <x:sheetData>
    <x:row r="2">
      <x:c r="B2" s="1" t="str">
        <x:v>Independent terminal audit</x:v>
      </x:c>
      <x:c r="C2" s="81"/>
      <x:c r="D2" s="81"/>
      <x:c r="E2" s="81"/>
      <x:c r="F2" s="81"/>
      <x:c r="G2" s="81"/>
      <x:c r="H2" s="81"/>
    </x:row>
    <x:row r="3">
      <x:c r="B3" s="2" t="str">
        <x:v>This sheet observes the model and feeds no output, control, calculation or release gate.</x:v>
      </x:c>
      <x:c r="C3" s="81"/>
      <x:c r="D3" s="81"/>
      <x:c r="E3" s="81"/>
      <x:c r="F3" s="81"/>
      <x:c r="G3" s="81"/>
      <x:c r="H3" s="81"/>
    </x:row>
    <x:row r="4">
      <x:c r="B4" s="83"/>
      <x:c r="C4" s="83"/>
      <x:c r="D4" s="83"/>
      <x:c r="E4" s="83"/>
      <x:c r="F4" s="83"/>
      <x:c r="G4" s="83"/>
      <x:c r="H4" s="83"/>
    </x:row>
    <x:row r="5">
      <x:c r="B5" s="81"/>
      <x:c r="C5" s="81"/>
      <x:c r="D5" s="81"/>
      <x:c r="E5" s="81"/>
      <x:c r="F5" s="81"/>
      <x:c r="G5" s="81"/>
      <x:c r="H5" s="81"/>
    </x:row>
    <x:row r="6">
      <x:c r="B6" s="15" t="str">
        <x:v>Check</x:v>
      </x:c>
      <x:c r="C6" s="16" t="str">
        <x:v>Control</x:v>
      </x:c>
      <x:c r="D6" s="16" t="str">
        <x:v>Actual</x:v>
      </x:c>
      <x:c r="E6" s="16" t="str">
        <x:v>Expected</x:v>
      </x:c>
      <x:c r="F6" s="16" t="str">
        <x:v>Difference</x:v>
      </x:c>
      <x:c r="G6" s="16" t="str">
        <x:v>Result</x:v>
      </x:c>
      <x:c r="H6" s="16" t="str">
        <x:v>Notes</x:v>
      </x:c>
    </x:row>
    <x:row r="7" ht="30" customHeight="1">
      <x:c r="B7" s="92" t="str">
        <x:v>AU01</x:v>
      </x:c>
      <x:c r="C7" s="93" t="str">
        <x:v>Control input count</x:v>
      </x:c>
      <x:c r="D7" s="119" t="n">
        <x:f>COUNTA('Control Inputs'!B7:B55)</x:f>
        <x:v>49</x:v>
      </x:c>
      <x:c r="E7" s="119" t="n">
        <x:v>49</x:v>
      </x:c>
      <x:c r="F7" s="119" t="n">
        <x:f>D7-E7</x:f>
        <x:v>0</x:v>
      </x:c>
      <x:c r="G7" s="93" t="str">
        <x:f>IF(ABS(F7)&lt;0.0001,"PASS","FAIL")</x:f>
        <x:v>PASS</x:v>
      </x:c>
      <x:c r="H7" s="95" t="str"/>
    </x:row>
    <x:row r="8" ht="30" customHeight="1">
      <x:c r="B8" s="92" t="str">
        <x:v>AU02</x:v>
      </x:c>
      <x:c r="C8" s="93" t="str">
        <x:v>Root count</x:v>
      </x:c>
      <x:c r="D8" s="119" t="n">
        <x:f>COUNTA('Root Normalization'!B7:B9)</x:f>
        <x:v>3</x:v>
      </x:c>
      <x:c r="E8" s="119" t="n">
        <x:v>3</x:v>
      </x:c>
      <x:c r="F8" s="119" t="n">
        <x:f>D8-E8</x:f>
        <x:v>0</x:v>
      </x:c>
      <x:c r="G8" s="93" t="str">
        <x:f>IF(ABS(F8)&lt;0.0001,"PASS","FAIL")</x:f>
        <x:v>PASS</x:v>
      </x:c>
      <x:c r="H8" s="95" t="str"/>
    </x:row>
    <x:row r="9" ht="30" customHeight="1">
      <x:c r="B9" s="92" t="str">
        <x:v>AU03</x:v>
      </x:c>
      <x:c r="C9" s="93" t="str">
        <x:v>Build-root count</x:v>
      </x:c>
      <x:c r="D9" s="119" t="n">
        <x:f>COUNTIF('Root Normalization'!C7:C9,"BUILD")</x:f>
        <x:v>2</x:v>
      </x:c>
      <x:c r="E9" s="119" t="n">
        <x:v>2</x:v>
      </x:c>
      <x:c r="F9" s="119" t="n">
        <x:f>D9-E9</x:f>
        <x:v>0</x:v>
      </x:c>
      <x:c r="G9" s="93" t="str">
        <x:f>IF(ABS(F9)&lt;0.0001,"PASS","FAIL")</x:f>
        <x:v>PASS</x:v>
      </x:c>
      <x:c r="H9" s="95" t="str"/>
    </x:row>
    <x:row r="10" ht="30" customHeight="1">
      <x:c r="B10" s="92" t="str">
        <x:v>AU04</x:v>
      </x:c>
      <x:c r="C10" s="93" t="str">
        <x:v>Challenge-root count</x:v>
      </x:c>
      <x:c r="D10" s="119" t="n">
        <x:f>COUNTIF('Root Normalization'!C7:C9,"CHALLENGE")</x:f>
        <x:v>1</x:v>
      </x:c>
      <x:c r="E10" s="119" t="n">
        <x:v>1</x:v>
      </x:c>
      <x:c r="F10" s="119" t="n">
        <x:f>D10-E10</x:f>
        <x:v>0</x:v>
      </x:c>
      <x:c r="G10" s="93" t="str">
        <x:f>IF(ABS(F10)&lt;0.0001,"PASS","FAIL")</x:f>
        <x:v>PASS</x:v>
      </x:c>
      <x:c r="H10" s="95" t="str"/>
    </x:row>
    <x:row r="11" ht="30" customHeight="1">
      <x:c r="B11" s="92" t="str">
        <x:v>AU05</x:v>
      </x:c>
      <x:c r="C11" s="93" t="str">
        <x:v>Closure article total</x:v>
      </x:c>
      <x:c r="D11" s="119" t="n">
        <x:f>COUNTA('Closure Matrix'!B7:B78)</x:f>
        <x:v>72</x:v>
      </x:c>
      <x:c r="E11" s="119" t="n">
        <x:v>72</x:v>
      </x:c>
      <x:c r="F11" s="119" t="n">
        <x:f>D11-E11</x:f>
        <x:v>0</x:v>
      </x:c>
      <x:c r="G11" s="93" t="str">
        <x:f>IF(ABS(F11)&lt;0.0001,"PASS","FAIL")</x:f>
        <x:v>PASS</x:v>
      </x:c>
      <x:c r="H11" s="95" t="str"/>
    </x:row>
    <x:row r="12" ht="30" customHeight="1">
      <x:c r="B12" s="92" t="str">
        <x:v>AU06</x:v>
      </x:c>
      <x:c r="C12" s="93" t="str">
        <x:v>R1 closure count</x:v>
      </x:c>
      <x:c r="D12" s="119" t="n">
        <x:f>COUNTIF('Closure Matrix'!C7:C78,"R1")</x:f>
        <x:v>24</x:v>
      </x:c>
      <x:c r="E12" s="119" t="n">
        <x:v>24</x:v>
      </x:c>
      <x:c r="F12" s="119" t="n">
        <x:f>D12-E12</x:f>
        <x:v>0</x:v>
      </x:c>
      <x:c r="G12" s="93" t="str">
        <x:f>IF(ABS(F12)&lt;0.0001,"PASS","FAIL")</x:f>
        <x:v>PASS</x:v>
      </x:c>
      <x:c r="H12" s="95" t="str"/>
    </x:row>
    <x:row r="13" ht="30" customHeight="1">
      <x:c r="B13" s="92" t="str">
        <x:v>AU07</x:v>
      </x:c>
      <x:c r="C13" s="93" t="str">
        <x:v>R2 closure count</x:v>
      </x:c>
      <x:c r="D13" s="119" t="n">
        <x:f>COUNTIF('Closure Matrix'!C7:C78,"R2")</x:f>
        <x:v>24</x:v>
      </x:c>
      <x:c r="E13" s="119" t="n">
        <x:v>24</x:v>
      </x:c>
      <x:c r="F13" s="119" t="n">
        <x:f>D13-E13</x:f>
        <x:v>0</x:v>
      </x:c>
      <x:c r="G13" s="93" t="str">
        <x:f>IF(ABS(F13)&lt;0.0001,"PASS","FAIL")</x:f>
        <x:v>PASS</x:v>
      </x:c>
      <x:c r="H13" s="95" t="str"/>
    </x:row>
    <x:row r="14" ht="30" customHeight="1">
      <x:c r="B14" s="92" t="str">
        <x:v>AU08</x:v>
      </x:c>
      <x:c r="C14" s="93" t="str">
        <x:v>R3 closure count</x:v>
      </x:c>
      <x:c r="D14" s="119" t="n">
        <x:f>COUNTIF('Closure Matrix'!C7:C78,"R3")</x:f>
        <x:v>24</x:v>
      </x:c>
      <x:c r="E14" s="119" t="n">
        <x:v>24</x:v>
      </x:c>
      <x:c r="F14" s="119" t="n">
        <x:f>D14-E14</x:f>
        <x:v>0</x:v>
      </x:c>
      <x:c r="G14" s="93" t="str">
        <x:f>IF(ABS(F14)&lt;0.0001,"PASS","FAIL")</x:f>
        <x:v>PASS</x:v>
      </x:c>
      <x:c r="H14" s="95" t="str"/>
    </x:row>
    <x:row r="15" ht="30" customHeight="1">
      <x:c r="B15" s="92" t="str">
        <x:v>AU09</x:v>
      </x:c>
      <x:c r="C15" s="93" t="str">
        <x:v>Process-window total</x:v>
      </x:c>
      <x:c r="D15" s="119" t="n">
        <x:f>COUNTIF('Closure Matrix'!E7:E78,"PROCESS WINDOW")</x:f>
        <x:v>36</x:v>
      </x:c>
      <x:c r="E15" s="119" t="n">
        <x:v>36</x:v>
      </x:c>
      <x:c r="F15" s="119" t="n">
        <x:f>D15-E15</x:f>
        <x:v>0</x:v>
      </x:c>
      <x:c r="G15" s="93" t="str">
        <x:f>IF(ABS(F15)&lt;0.0001,"PASS","FAIL")</x:f>
        <x:v>PASS</x:v>
      </x:c>
      <x:c r="H15" s="95" t="str"/>
    </x:row>
    <x:row r="16" ht="30" customHeight="1">
      <x:c r="B16" s="92" t="str">
        <x:v>AU10</x:v>
      </x:c>
      <x:c r="C16" s="93" t="str">
        <x:v>Known-defect total</x:v>
      </x:c>
      <x:c r="D16" s="119" t="n">
        <x:f>COUNTIF('Closure Matrix'!E7:E78,"KNOWN DEFECT")</x:f>
        <x:v>12</x:v>
      </x:c>
      <x:c r="E16" s="119" t="n">
        <x:v>12</x:v>
      </x:c>
      <x:c r="F16" s="119" t="n">
        <x:f>D16-E16</x:f>
        <x:v>0</x:v>
      </x:c>
      <x:c r="G16" s="93" t="str">
        <x:f>IF(ABS(F16)&lt;0.0001,"PASS","FAIL")</x:f>
        <x:v>PASS</x:v>
      </x:c>
      <x:c r="H16" s="95" t="str"/>
    </x:row>
    <x:row r="17" ht="30" customHeight="1">
      <x:c r="B17" s="92" t="str">
        <x:v>AU11</x:v>
      </x:c>
      <x:c r="C17" s="93" t="str">
        <x:v>Blind-physical total</x:v>
      </x:c>
      <x:c r="D17" s="119" t="n">
        <x:f>COUNTIF('Closure Matrix'!E7:E78,"BLIND PHYSICAL")</x:f>
        <x:v>12</x:v>
      </x:c>
      <x:c r="E17" s="119" t="n">
        <x:v>12</x:v>
      </x:c>
      <x:c r="F17" s="119" t="n">
        <x:f>D17-E17</x:f>
        <x:v>0</x:v>
      </x:c>
      <x:c r="G17" s="93" t="str">
        <x:f>IF(ABS(F17)&lt;0.0001,"PASS","FAIL")</x:f>
        <x:v>PASS</x:v>
      </x:c>
      <x:c r="H17" s="95" t="str"/>
    </x:row>
    <x:row r="18" ht="30" customHeight="1">
      <x:c r="B18" s="92" t="str">
        <x:v>AU12</x:v>
      </x:c>
      <x:c r="C18" s="93" t="str">
        <x:v>Blind-configuration total</x:v>
      </x:c>
      <x:c r="D18" s="119" t="n">
        <x:f>COUNTIF('Closure Matrix'!E7:E78,"BLIND CONFIG")</x:f>
        <x:v>6</x:v>
      </x:c>
      <x:c r="E18" s="119" t="n">
        <x:v>6</x:v>
      </x:c>
      <x:c r="F18" s="119" t="n">
        <x:f>D18-E18</x:f>
        <x:v>0</x:v>
      </x:c>
      <x:c r="G18" s="93" t="str">
        <x:f>IF(ABS(F18)&lt;0.0001,"PASS","FAIL")</x:f>
        <x:v>PASS</x:v>
      </x:c>
      <x:c r="H18" s="95" t="str"/>
    </x:row>
    <x:row r="19" ht="30" customHeight="1">
      <x:c r="B19" s="92" t="str">
        <x:v>AU13</x:v>
      </x:c>
      <x:c r="C19" s="93" t="str">
        <x:v>Clean-blind total</x:v>
      </x:c>
      <x:c r="D19" s="119" t="n">
        <x:f>COUNTIF('Closure Matrix'!E7:E78,"BLIND CLEAN")</x:f>
        <x:v>6</x:v>
      </x:c>
      <x:c r="E19" s="119" t="n">
        <x:v>6</x:v>
      </x:c>
      <x:c r="F19" s="119" t="n">
        <x:f>D19-E19</x:f>
        <x:v>0</x:v>
      </x:c>
      <x:c r="G19" s="93" t="str">
        <x:f>IF(ABS(F19)&lt;0.0001,"PASS","FAIL")</x:f>
        <x:v>PASS</x:v>
      </x:c>
      <x:c r="H19" s="95" t="str"/>
    </x:row>
    <x:row r="20" ht="30" customHeight="1">
      <x:c r="B20" s="92" t="str">
        <x:v>AU14</x:v>
      </x:c>
      <x:c r="C20" s="93" t="str">
        <x:v>Fixture requirements</x:v>
      </x:c>
      <x:c r="D20" s="119" t="n">
        <x:f>COUNTA('Fixture Standard'!B7:B18)</x:f>
        <x:v>12</x:v>
      </x:c>
      <x:c r="E20" s="119" t="n">
        <x:v>12</x:v>
      </x:c>
      <x:c r="F20" s="119" t="n">
        <x:f>D20-E20</x:f>
        <x:v>0</x:v>
      </x:c>
      <x:c r="G20" s="93" t="str">
        <x:f>IF(ABS(F20)&lt;0.0001,"PASS","FAIL")</x:f>
        <x:v>PASS</x:v>
      </x:c>
      <x:c r="H20" s="95" t="str"/>
    </x:row>
    <x:row r="21" ht="30" customHeight="1">
      <x:c r="B21" s="92" t="str">
        <x:v>AU15</x:v>
      </x:c>
      <x:c r="C21" s="93" t="str">
        <x:v>Reference qualification records</x:v>
      </x:c>
      <x:c r="D21" s="119" t="n">
        <x:f>COUNTA('Reference Qualification'!B7:B18)</x:f>
        <x:v>12</x:v>
      </x:c>
      <x:c r="E21" s="119" t="n">
        <x:v>12</x:v>
      </x:c>
      <x:c r="F21" s="119" t="n">
        <x:f>D21-E21</x:f>
        <x:v>0</x:v>
      </x:c>
      <x:c r="G21" s="93" t="str">
        <x:f>IF(ABS(F21)&lt;0.0001,"PASS","FAIL")</x:f>
        <x:v>PASS</x:v>
      </x:c>
      <x:c r="H21" s="95" t="str"/>
    </x:row>
    <x:row r="22" ht="30" customHeight="1">
      <x:c r="B22" s="92" t="str">
        <x:v>AU16</x:v>
      </x:c>
      <x:c r="C22" s="93" t="str">
        <x:v>Waveform phases</x:v>
      </x:c>
      <x:c r="D22" s="119" t="n">
        <x:f>COUNTA(Waveforms!B7:B18)</x:f>
        <x:v>12</x:v>
      </x:c>
      <x:c r="E22" s="119" t="n">
        <x:v>12</x:v>
      </x:c>
      <x:c r="F22" s="119" t="n">
        <x:f>D22-E22</x:f>
        <x:v>0</x:v>
      </x:c>
      <x:c r="G22" s="93" t="str">
        <x:f>IF(ABS(F22)&lt;0.0001,"PASS","FAIL")</x:f>
        <x:v>PASS</x:v>
      </x:c>
      <x:c r="H22" s="95" t="str"/>
    </x:row>
    <x:row r="23" ht="30" customHeight="1">
      <x:c r="B23" s="92" t="str">
        <x:v>AU17</x:v>
      </x:c>
      <x:c r="C23" s="93" t="str">
        <x:v>Defect families</x:v>
      </x:c>
      <x:c r="D23" s="119" t="n">
        <x:f>COUNTA('Defect Library'!B7:B14)</x:f>
        <x:v>8</x:v>
      </x:c>
      <x:c r="E23" s="119" t="n">
        <x:v>8</x:v>
      </x:c>
      <x:c r="F23" s="119" t="n">
        <x:f>D23-E23</x:f>
        <x:v>0</x:v>
      </x:c>
      <x:c r="G23" s="93" t="str">
        <x:f>IF(ABS(F23)&lt;0.0001,"PASS","FAIL")</x:f>
        <x:v>PASS</x:v>
      </x:c>
      <x:c r="H23" s="95" t="str"/>
    </x:row>
    <x:row r="24" ht="30" customHeight="1">
      <x:c r="B24" s="92" t="str">
        <x:v>AU18</x:v>
      </x:c>
      <x:c r="C24" s="93" t="str">
        <x:v>Damage-run total</x:v>
      </x:c>
      <x:c r="D24" s="119" t="n">
        <x:f>COUNTA('Damage Matrix'!B7:B32)</x:f>
        <x:v>26</x:v>
      </x:c>
      <x:c r="E24" s="119" t="n">
        <x:v>26</x:v>
      </x:c>
      <x:c r="F24" s="119" t="n">
        <x:f>D24-E24</x:f>
        <x:v>0</x:v>
      </x:c>
      <x:c r="G24" s="93" t="str">
        <x:f>IF(ABS(F24)&lt;0.0001,"PASS","FAIL")</x:f>
        <x:v>PASS</x:v>
      </x:c>
      <x:c r="H24" s="95" t="str"/>
    </x:row>
    <x:row r="25" ht="30" customHeight="1">
      <x:c r="B25" s="92" t="str">
        <x:v>AU19</x:v>
      </x:c>
      <x:c r="C25" s="93" t="str">
        <x:v>R1 damage runs</x:v>
      </x:c>
      <x:c r="D25" s="119" t="n">
        <x:f>COUNTIF('Damage Matrix'!C7:C32,"R1")</x:f>
        <x:v>8</x:v>
      </x:c>
      <x:c r="E25" s="119" t="n">
        <x:v>8</x:v>
      </x:c>
      <x:c r="F25" s="119" t="n">
        <x:f>D25-E25</x:f>
        <x:v>0</x:v>
      </x:c>
      <x:c r="G25" s="93" t="str">
        <x:f>IF(ABS(F25)&lt;0.0001,"PASS","FAIL")</x:f>
        <x:v>PASS</x:v>
      </x:c>
      <x:c r="H25" s="95" t="str"/>
    </x:row>
    <x:row r="26" ht="30" customHeight="1">
      <x:c r="B26" s="92" t="str">
        <x:v>AU20</x:v>
      </x:c>
      <x:c r="C26" s="93" t="str">
        <x:v>R2 damage runs</x:v>
      </x:c>
      <x:c r="D26" s="119" t="n">
        <x:f>COUNTIF('Damage Matrix'!C7:C32,"R2")</x:f>
        <x:v>8</x:v>
      </x:c>
      <x:c r="E26" s="119" t="n">
        <x:v>8</x:v>
      </x:c>
      <x:c r="F26" s="119" t="n">
        <x:f>D26-E26</x:f>
        <x:v>0</x:v>
      </x:c>
      <x:c r="G26" s="93" t="str">
        <x:f>IF(ABS(F26)&lt;0.0001,"PASS","FAIL")</x:f>
        <x:v>PASS</x:v>
      </x:c>
      <x:c r="H26" s="95" t="str"/>
    </x:row>
    <x:row r="27" ht="30" customHeight="1">
      <x:c r="B27" s="92" t="str">
        <x:v>AU21</x:v>
      </x:c>
      <x:c r="C27" s="93" t="str">
        <x:v>R3 damage runs</x:v>
      </x:c>
      <x:c r="D27" s="119" t="n">
        <x:f>COUNTIF('Damage Matrix'!C7:C32,"R3")</x:f>
        <x:v>10</x:v>
      </x:c>
      <x:c r="E27" s="119" t="n">
        <x:v>10</x:v>
      </x:c>
      <x:c r="F27" s="119" t="n">
        <x:f>D27-E27</x:f>
        <x:v>0</x:v>
      </x:c>
      <x:c r="G27" s="93" t="str">
        <x:f>IF(ABS(F27)&lt;0.0001,"PASS","FAIL")</x:f>
        <x:v>PASS</x:v>
      </x:c>
      <x:c r="H27" s="95" t="str"/>
    </x:row>
    <x:row r="28" ht="30" customHeight="1">
      <x:c r="B28" s="92" t="str">
        <x:v>AU22</x:v>
      </x:c>
      <x:c r="C28" s="93" t="str">
        <x:v>Clock segments</x:v>
      </x:c>
      <x:c r="D28" s="119" t="n">
        <x:f>COUNTA('Clock Ledger'!B7:B14)</x:f>
        <x:v>8</x:v>
      </x:c>
      <x:c r="E28" s="119" t="n">
        <x:v>8</x:v>
      </x:c>
      <x:c r="F28" s="119" t="n">
        <x:f>D28-E28</x:f>
        <x:v>0</x:v>
      </x:c>
      <x:c r="G28" s="93" t="str">
        <x:f>IF(ABS(F28)&lt;0.0001,"PASS","FAIL")</x:f>
        <x:v>PASS</x:v>
      </x:c>
      <x:c r="H28" s="95" t="str"/>
    </x:row>
    <x:row r="29" ht="30" customHeight="1">
      <x:c r="B29" s="92" t="str">
        <x:v>AU23</x:v>
      </x:c>
      <x:c r="C29" s="93" t="str">
        <x:v>Clock budget</x:v>
      </x:c>
      <x:c r="D29" s="119" t="n">
        <x:f>'Clock Ledger'!D16</x:f>
        <x:v>360</x:v>
      </x:c>
      <x:c r="E29" s="119" t="n">
        <x:v>360</x:v>
      </x:c>
      <x:c r="F29" s="119" t="n">
        <x:f>D29-E29</x:f>
        <x:v>0</x:v>
      </x:c>
      <x:c r="G29" s="93" t="str">
        <x:f>IF(ABS(F29)&lt;0.0001,"PASS","FAIL")</x:f>
        <x:v>PASS</x:v>
      </x:c>
      <x:c r="H29" s="95" t="str"/>
    </x:row>
    <x:row r="30" ht="30" customHeight="1">
      <x:c r="B30" s="92" t="str">
        <x:v>AU24</x:v>
      </x:c>
      <x:c r="C30" s="93" t="str">
        <x:v>Sanitary release steps</x:v>
      </x:c>
      <x:c r="D30" s="119" t="n">
        <x:f>COUNTA('Sanitary Release'!B7:B16)</x:f>
        <x:v>10</x:v>
      </x:c>
      <x:c r="E30" s="119" t="n">
        <x:v>10</x:v>
      </x:c>
      <x:c r="F30" s="119" t="n">
        <x:f>D30-E30</x:f>
        <x:v>0</x:v>
      </x:c>
      <x:c r="G30" s="93" t="str">
        <x:f>IF(ABS(F30)&lt;0.0001,"PASS","FAIL")</x:f>
        <x:v>PASS</x:v>
      </x:c>
      <x:c r="H30" s="95" t="str"/>
    </x:row>
    <x:row r="31" ht="30" customHeight="1">
      <x:c r="B31" s="92" t="str">
        <x:v>AU25</x:v>
      </x:c>
      <x:c r="C31" s="93" t="str">
        <x:v>Closure channels</x:v>
      </x:c>
      <x:c r="D31" s="119" t="n">
        <x:f>'Instrument Plan'!D16</x:f>
        <x:v>96</x:v>
      </x:c>
      <x:c r="E31" s="119" t="n">
        <x:v>96</x:v>
      </x:c>
      <x:c r="F31" s="119" t="n">
        <x:f>D31-E31</x:f>
        <x:v>0</x:v>
      </x:c>
      <x:c r="G31" s="93" t="str">
        <x:f>IF(ABS(F31)&lt;0.0001,"PASS","FAIL")</x:f>
        <x:v>PASS</x:v>
      </x:c>
      <x:c r="H31" s="95" t="str"/>
    </x:row>
    <x:row r="32" ht="30" customHeight="1">
      <x:c r="B32" s="92" t="str">
        <x:v>AU26</x:v>
      </x:c>
      <x:c r="C32" s="93" t="str">
        <x:v>Damage channels</x:v>
      </x:c>
      <x:c r="D32" s="119" t="n">
        <x:f>'Instrument Plan'!E16</x:f>
        <x:v>128</x:v>
      </x:c>
      <x:c r="E32" s="119" t="n">
        <x:v>128</x:v>
      </x:c>
      <x:c r="F32" s="119" t="n">
        <x:f>D32-E32</x:f>
        <x:v>0</x:v>
      </x:c>
      <x:c r="G32" s="93" t="str">
        <x:f>IF(ABS(F32)&lt;0.0001,"PASS","FAIL")</x:f>
        <x:v>PASS</x:v>
      </x:c>
      <x:c r="H32" s="95" t="str"/>
    </x:row>
    <x:row r="33" ht="30" customHeight="1">
      <x:c r="B33" s="92" t="str">
        <x:v>AU27</x:v>
      </x:c>
      <x:c r="C33" s="93" t="str">
        <x:v>Evidence objects</x:v>
      </x:c>
      <x:c r="D33" s="119" t="n">
        <x:f>COUNTA('Evidence &amp; Blinding'!B7:B20)</x:f>
        <x:v>14</x:v>
      </x:c>
      <x:c r="E33" s="119" t="n">
        <x:v>14</x:v>
      </x:c>
      <x:c r="F33" s="119" t="n">
        <x:f>D33-E33</x:f>
        <x:v>0</x:v>
      </x:c>
      <x:c r="G33" s="93" t="str">
        <x:f>IF(ABS(F33)&lt;0.0001,"PASS","FAIL")</x:f>
        <x:v>PASS</x:v>
      </x:c>
      <x:c r="H33" s="95" t="str"/>
    </x:row>
    <x:row r="34" ht="30" customHeight="1">
      <x:c r="B34" s="92" t="str">
        <x:v>AU28</x:v>
      </x:c>
      <x:c r="C34" s="93" t="str">
        <x:v>Separated roles</x:v>
      </x:c>
      <x:c r="D34" s="119" t="n">
        <x:f>COUNTA('Evidence &amp; Blinding'!B24:B28)</x:f>
        <x:v>5</x:v>
      </x:c>
      <x:c r="E34" s="119" t="n">
        <x:v>5</x:v>
      </x:c>
      <x:c r="F34" s="119" t="n">
        <x:f>D34-E34</x:f>
        <x:v>0</x:v>
      </x:c>
      <x:c r="G34" s="93" t="str">
        <x:f>IF(ABS(F34)&lt;0.0001,"PASS","FAIL")</x:f>
        <x:v>PASS</x:v>
      </x:c>
      <x:c r="H34" s="95" t="str"/>
    </x:row>
    <x:row r="35" ht="30" customHeight="1">
      <x:c r="B35" s="92" t="str">
        <x:v>AU29</x:v>
      </x:c>
      <x:c r="C35" s="93" t="str">
        <x:v>Forensic object classes</x:v>
      </x:c>
      <x:c r="D35" s="119" t="n">
        <x:f>COUNTA('Forensic Sections'!B7:B16)</x:f>
        <x:v>10</x:v>
      </x:c>
      <x:c r="E35" s="119" t="n">
        <x:v>10</x:v>
      </x:c>
      <x:c r="F35" s="119" t="n">
        <x:f>D35-E35</x:f>
        <x:v>0</x:v>
      </x:c>
      <x:c r="G35" s="93" t="str">
        <x:f>IF(ABS(F35)&lt;0.0001,"PASS","FAIL")</x:f>
        <x:v>PASS</x:v>
      </x:c>
      <x:c r="H35" s="95" t="str"/>
    </x:row>
    <x:row r="36" ht="30" customHeight="1">
      <x:c r="B36" s="92" t="str">
        <x:v>AU30</x:v>
      </x:c>
      <x:c r="C36" s="93" t="str">
        <x:v>Forensic required items</x:v>
      </x:c>
      <x:c r="D36" s="119" t="n">
        <x:f>'Forensic Sections'!D18</x:f>
        <x:v>19</x:v>
      </x:c>
      <x:c r="E36" s="119" t="n">
        <x:v>19</x:v>
      </x:c>
      <x:c r="F36" s="119" t="n">
        <x:f>D36-E36</x:f>
        <x:v>0</x:v>
      </x:c>
      <x:c r="G36" s="93" t="str">
        <x:f>IF(ABS(F36)&lt;0.0001,"PASS","FAIL")</x:f>
        <x:v>PASS</x:v>
      </x:c>
      <x:c r="H36" s="95" t="str"/>
    </x:row>
    <x:row r="37" ht="30" customHeight="1">
      <x:c r="B37" s="92" t="str">
        <x:v>AU31</x:v>
      </x:c>
      <x:c r="C37" s="93" t="str">
        <x:v>Program months</x:v>
      </x:c>
      <x:c r="D37" s="119" t="n">
        <x:f>Schedule!D16</x:f>
        <x:v>30</x:v>
      </x:c>
      <x:c r="E37" s="119" t="n">
        <x:v>30</x:v>
      </x:c>
      <x:c r="F37" s="119" t="n">
        <x:f>D37-E37</x:f>
        <x:v>0</x:v>
      </x:c>
      <x:c r="G37" s="93" t="str">
        <x:f>IF(ABS(F37)&lt;0.0001,"PASS","FAIL")</x:f>
        <x:v>PASS</x:v>
      </x:c>
      <x:c r="H37" s="95" t="str"/>
    </x:row>
    <x:row r="38" ht="30" customHeight="1">
      <x:c r="B38" s="92" t="str">
        <x:v>AU32</x:v>
      </x:c>
      <x:c r="C38" s="93" t="str">
        <x:v>Capital uses</x:v>
      </x:c>
      <x:c r="D38" s="119" t="n">
        <x:f>'Capital Control'!D17</x:f>
        <x:v>1.48</x:v>
      </x:c>
      <x:c r="E38" s="119" t="n">
        <x:v>1.48</x:v>
      </x:c>
      <x:c r="F38" s="119" t="n">
        <x:f>D38-E38</x:f>
        <x:v>0</x:v>
      </x:c>
      <x:c r="G38" s="93" t="str">
        <x:f>IF(ABS(F38)&lt;0.0001,"PASS","FAIL")</x:f>
        <x:v>PASS</x:v>
      </x:c>
      <x:c r="H38" s="95" t="str"/>
    </x:row>
    <x:row r="39" ht="30" customHeight="1">
      <x:c r="B39" s="92" t="str">
        <x:v>AU33</x:v>
      </x:c>
      <x:c r="C39" s="93" t="str">
        <x:v>Pass 101 capital source</x:v>
      </x:c>
      <x:c r="D39" s="119" t="n">
        <x:f>'Capital Control'!D34</x:f>
        <x:v>8.12</x:v>
      </x:c>
      <x:c r="E39" s="119" t="n">
        <x:v>8.12</x:v>
      </x:c>
      <x:c r="F39" s="119" t="n">
        <x:f>D39-E39</x:f>
        <x:v>0</x:v>
      </x:c>
      <x:c r="G39" s="93" t="str">
        <x:f>IF(ABS(F39)&lt;0.0001,"PASS","FAIL")</x:f>
        <x:v>PASS</x:v>
      </x:c>
      <x:c r="H39" s="95" t="str"/>
    </x:row>
    <x:row r="40" ht="30" customHeight="1">
      <x:c r="B40" s="92" t="str">
        <x:v>AU34</x:v>
      </x:c>
      <x:c r="C40" s="93" t="str">
        <x:v>Capital cross-classification</x:v>
      </x:c>
      <x:c r="D40" s="119" t="n">
        <x:f>'Capital Control'!E34</x:f>
        <x:v>1.4800000000000002</x:v>
      </x:c>
      <x:c r="E40" s="119" t="n">
        <x:v>1.48</x:v>
      </x:c>
      <x:c r="F40" s="119" t="n">
        <x:f>D40-E40</x:f>
        <x:v>2.220446049250313e-16</x:v>
      </x:c>
      <x:c r="G40" s="93" t="str">
        <x:f>IF(ABS(F40)&lt;0.0001,"PASS","FAIL")</x:f>
        <x:v>PASS</x:v>
      </x:c>
      <x:c r="H40" s="95" t="str"/>
    </x:row>
    <x:row r="41" ht="30" customHeight="1">
      <x:c r="B41" s="92" t="str">
        <x:v>AU35</x:v>
      </x:c>
      <x:c r="C41" s="93" t="str">
        <x:v>Annual support</x:v>
      </x:c>
      <x:c r="D41" s="119" t="n">
        <x:f>'Annual Support'!D14</x:f>
        <x:v>0.19199999999999998</x:v>
      </x:c>
      <x:c r="E41" s="119" t="n">
        <x:v>0.192</x:v>
      </x:c>
      <x:c r="F41" s="119" t="n">
        <x:f>D41-E41</x:f>
        <x:v>-2.7755575615628914e-17</x:v>
      </x:c>
      <x:c r="G41" s="93" t="str">
        <x:f>IF(ABS(F41)&lt;0.0001,"PASS","FAIL")</x:f>
        <x:v>PASS</x:v>
      </x:c>
      <x:c r="H41" s="95" t="str"/>
    </x:row>
    <x:row r="42" ht="30" customHeight="1">
      <x:c r="B42" s="92" t="str">
        <x:v>AU36</x:v>
      </x:c>
      <x:c r="C42" s="93" t="str">
        <x:v>Planning gates passing</x:v>
      </x:c>
      <x:c r="D42" s="119" t="n">
        <x:f>COUNTIF('Release Gates'!H7:H18,"PLANNING PASS")</x:f>
        <x:v>12</x:v>
      </x:c>
      <x:c r="E42" s="119" t="n">
        <x:v>12</x:v>
      </x:c>
      <x:c r="F42" s="119" t="n">
        <x:f>D42-E42</x:f>
        <x:v>0</x:v>
      </x:c>
      <x:c r="G42" s="93" t="str">
        <x:f>IF(ABS(F42)&lt;0.0001,"PASS","FAIL")</x:f>
        <x:v>PASS</x:v>
      </x:c>
      <x:c r="H42" s="95" t="str"/>
    </x:row>
    <x:row r="43" ht="30" customHeight="1">
      <x:c r="B43" s="92" t="str">
        <x:v>AU37</x:v>
      </x:c>
      <x:c r="C43" s="93" t="str">
        <x:v>Physical gates passing</x:v>
      </x:c>
      <x:c r="D43" s="119" t="n">
        <x:f>COUNTIF('Release Gates'!H19:H26,"PASS")</x:f>
        <x:v>0</x:v>
      </x:c>
      <x:c r="E43" s="119" t="n">
        <x:v>0</x:v>
      </x:c>
      <x:c r="F43" s="119" t="n">
        <x:f>D43-E43</x:f>
        <x:v>0</x:v>
      </x:c>
      <x:c r="G43" s="93" t="str">
        <x:f>IF(ABS(F43)&lt;0.0001,"PASS","FAIL")</x:f>
        <x:v>PASS</x:v>
      </x:c>
      <x:c r="H43" s="95" t="str">
        <x:v>physical evidence intentionally zero</x:v>
      </x:c>
    </x:row>
    <x:row r="44" ht="30" customHeight="1">
      <x:c r="B44" s="92" t="str">
        <x:v>AU38</x:v>
      </x:c>
      <x:c r="C44" s="93" t="str">
        <x:v>Protocol drafting state</x:v>
      </x:c>
      <x:c r="D44" s="119" t="n">
        <x:f>IF('Release Gates'!D30="AUTHORIZED",1,0)</x:f>
        <x:v>1</x:v>
      </x:c>
      <x:c r="E44" s="119" t="n">
        <x:v>1</x:v>
      </x:c>
      <x:c r="F44" s="119" t="n">
        <x:f>D44-E44</x:f>
        <x:v>0</x:v>
      </x:c>
      <x:c r="G44" s="93" t="str">
        <x:f>IF(ABS(F44)&lt;0.0001,"PASS","FAIL")</x:f>
        <x:v>PASS</x:v>
      </x:c>
      <x:c r="H44" s="95" t="str"/>
    </x:row>
    <x:row r="45" ht="30" customHeight="1">
      <x:c r="B45" s="92" t="str">
        <x:v>AU39</x:v>
      </x:c>
      <x:c r="C45" s="93" t="str">
        <x:v>Fixture construction state held</x:v>
      </x:c>
      <x:c r="D45" s="119" t="n">
        <x:f>IF('Release Gates'!D31="HOLD",1,0)</x:f>
        <x:v>1</x:v>
      </x:c>
      <x:c r="E45" s="119" t="n">
        <x:v>1</x:v>
      </x:c>
      <x:c r="F45" s="119" t="n">
        <x:f>D45-E45</x:f>
        <x:v>0</x:v>
      </x:c>
      <x:c r="G45" s="93" t="str">
        <x:f>IF(ABS(F45)&lt;0.0001,"PASS","FAIL")</x:f>
        <x:v>PASS</x:v>
      </x:c>
      <x:c r="H45" s="95" t="str"/>
    </x:row>
    <x:row r="46" ht="30" customHeight="1">
      <x:c r="B46" s="92" t="str">
        <x:v>AU40</x:v>
      </x:c>
      <x:c r="C46" s="93" t="str">
        <x:v>Internal section blocked</x:v>
      </x:c>
      <x:c r="D46" s="119" t="n">
        <x:f>IF('Release Gates'!D36="BLOCKED",1,0)</x:f>
        <x:v>1</x:v>
      </x:c>
      <x:c r="E46" s="119" t="n">
        <x:v>1</x:v>
      </x:c>
      <x:c r="F46" s="119" t="n">
        <x:f>D46-E46</x:f>
        <x:v>0</x:v>
      </x:c>
      <x:c r="G46" s="93" t="str">
        <x:f>IF(ABS(F46)&lt;0.0001,"PASS","FAIL")</x:f>
        <x:v>PASS</x:v>
      </x:c>
      <x:c r="H46" s="95" t="str"/>
    </x:row>
    <x:row r="47" ht="30" customHeight="1">
      <x:c r="B47" s="97" t="str">
        <x:v>AU41</x:v>
      </x:c>
      <x:c r="C47" s="98" t="str">
        <x:v>Exterior rendering blocked</x:v>
      </x:c>
      <x:c r="D47" s="124" t="n">
        <x:f>IF('Release Gates'!D38="BLOCKED",1,0)</x:f>
        <x:v>1</x:v>
      </x:c>
      <x:c r="E47" s="124" t="n">
        <x:v>1</x:v>
      </x:c>
      <x:c r="F47" s="124" t="n">
        <x:f>D47-E47</x:f>
        <x:v>0</x:v>
      </x:c>
      <x:c r="G47" s="98" t="str">
        <x:f>IF(ABS(F47)&lt;0.0001,"PASS","FAIL")</x:f>
        <x:v>PASS</x:v>
      </x:c>
      <x:c r="H47" s="100" t="str"/>
    </x:row>
  </x:sheetData>
  <x:mergeCells>
    <x:mergeCell ref="B3:H3"/>
  </x:mergeCells>
  <x:conditionalFormatting sqref="G7:G47">
    <x:cfRule type="containsText" dxfId="360" priority="1" operator="containsText" text="FAIL"/>
    <x:cfRule type="containsText" dxfId="361" priority="2" operator="containsText" text="BLOCKED"/>
    <x:cfRule type="containsText" dxfId="362" priority="3" operator="containsText" text="HOLD"/>
    <x:cfRule type="containsText" dxfId="363" priority="4" operator="containsText" text="OPEN"/>
    <x:cfRule type="containsText" dxfId="364" priority="5" operator="containsText" text="UNTESTED"/>
    <x:cfRule type="containsText" dxfId="365" priority="6" operator="containsText" text="INDETERMINATE"/>
    <x:cfRule type="containsText" dxfId="366" priority="7" operator="containsText" text="PASS"/>
    <x:cfRule type="containsText" dxfId="367" priority="8" operator="containsText" text="CLOSED"/>
    <x:cfRule type="containsText" dxfId="368" priority="9" operator="containsText" text="READY"/>
    <x:cfRule type="containsText" dxfId="369" priority="10" operator="containsText" text="AUTHORIZED"/>
    <x:cfRule type="containsText" dxfId="370" priority="11" operator="containsText" text="PLANNING PASS"/>
    <x:cfRule type="containsText" dxfId="371" priority="12" operator="containsText" text="COMPLETE"/>
    <x:cfRule type="containsText" dxfId="372" priority="13" operator="containsText" text="ACCEPTED"/>
    <x:cfRule type="containsText" dxfId="373" priority="14" operator="containsText" text="ADMITTED"/>
    <x:cfRule type="containsText" dxfId="374" priority="15" operator="containsText" text="RELEASE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8C6D3F"/>
  </x:sheetPr>
  <x:sheetViews>
    <x:sheetView showGridLines="0" workbookViewId="0"/>
  </x:sheetViews>
  <x:sheetFormatPr defaultRowHeight="15"/>
  <x:cols>
    <x:col min="2" max="2" width="27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Workbook method and limits</x:v>
      </x:c>
      <x:c r="C2" s="81"/>
      <x:c r="D2" s="81"/>
      <x:c r="E2" s="81"/>
      <x:c r="F2" s="81"/>
      <x:c r="G2" s="81"/>
      <x:c r="H2" s="81"/>
      <x:c r="I2" s="81"/>
      <x:c r="J2" s="81"/>
    </x:row>
    <x:row r="3">
      <x:c r="B3" s="2" t="str">
        <x:v>This workbook is a prospective experimental constitution. It contains no vendor data, observed performance or adopted engineering standard.</x:v>
      </x:c>
      <x:c r="C3" s="81"/>
      <x:c r="D3" s="81"/>
      <x:c r="E3" s="81"/>
      <x:c r="F3" s="81"/>
      <x:c r="G3" s="81"/>
      <x:c r="H3" s="81"/>
      <x:c r="I3" s="81"/>
      <x:c r="J3" s="81"/>
    </x:row>
    <x:row r="4">
      <x:c r="B4" s="83"/>
      <x:c r="C4" s="83"/>
      <x:c r="D4" s="83"/>
      <x:c r="E4" s="83"/>
      <x:c r="F4" s="83"/>
      <x:c r="G4" s="83"/>
      <x:c r="H4" s="83"/>
      <x:c r="I4" s="83"/>
      <x:c r="J4" s="83"/>
    </x:row>
    <x:row r="5">
      <x:c r="B5" s="81"/>
      <x:c r="C5" s="81"/>
      <x:c r="D5" s="81"/>
      <x:c r="E5" s="81"/>
      <x:c r="F5" s="81"/>
      <x:c r="G5" s="81"/>
      <x:c r="H5" s="81"/>
      <x:c r="I5" s="81"/>
      <x:c r="J5" s="81"/>
    </x:row>
    <x:row r="6">
      <x:c r="B6" s="38" t="str">
        <x:v>What this workbook owns</x:v>
      </x:c>
      <x:c r="C6" s="39" t="str">
        <x:v>What this workbook owns</x:v>
      </x:c>
      <x:c r="D6" s="39" t="str">
        <x:v>What this workbook owns</x:v>
      </x:c>
      <x:c r="E6" s="39" t="str">
        <x:v>What this workbook owns</x:v>
      </x:c>
      <x:c r="F6" s="39" t="str">
        <x:v>What this workbook owns</x:v>
      </x:c>
      <x:c r="G6" s="39" t="str">
        <x:v>What this workbook owns</x:v>
      </x:c>
      <x:c r="H6" s="39" t="str">
        <x:v>What this workbook owns</x:v>
      </x:c>
      <x:c r="I6" s="39" t="str">
        <x:v>What this workbook owns</x:v>
      </x:c>
      <x:c r="J6" s="40" t="str">
        <x:v>What this workbook owns</x:v>
      </x:c>
    </x:row>
    <x:row r="7" ht="52" customHeight="1">
      <x:c r="B7" s="79" t="str">
        <x:v>Scope</x:v>
      </x:c>
      <x:c r="C7" s="89" t="str">
        <x:v>Closure allocation, root normalization, fixtures, reference qualification, waveforms, defects, damage runs, clocks, sanitary release, instruments, evidence, statistics, teardown, schedule, finance and gates.</x:v>
      </x:c>
      <x:c r="D7" s="89"/>
      <x:c r="E7" s="89"/>
      <x:c r="F7" s="89"/>
      <x:c r="G7" s="89"/>
      <x:c r="H7" s="89"/>
      <x:c r="I7" s="89"/>
      <x:c r="J7" s="89"/>
    </x:row>
    <x:row r="8" ht="52" customHeight="1">
      <x:c r="B8" s="79" t="str">
        <x:v>Unit of account</x:v>
      </x:c>
      <x:c r="C8" s="89" t="str">
        <x:v>A closure kernel is the complete deployable production-and-acceptance system. A damage run is complete only at joint potable receiver release.</x:v>
      </x:c>
      <x:c r="D8" s="89"/>
      <x:c r="E8" s="89"/>
      <x:c r="F8" s="89"/>
      <x:c r="G8" s="89"/>
      <x:c r="H8" s="89"/>
      <x:c r="I8" s="89"/>
      <x:c r="J8" s="89"/>
    </x:row>
    <x:row r="9" ht="52" customHeight="1">
      <x:c r="B9" s="79" t="str">
        <x:v>Sources</x:v>
      </x:c>
      <x:c r="C9" s="89" t="str">
        <x:v>Internal program lineage from Passes 100 and 101. No external sites or current standards are used.</x:v>
      </x:c>
      <x:c r="D9" s="89"/>
      <x:c r="E9" s="89"/>
      <x:c r="F9" s="89"/>
      <x:c r="G9" s="89"/>
      <x:c r="H9" s="89"/>
      <x:c r="I9" s="89"/>
      <x:c r="J9" s="89"/>
    </x:row>
    <x:row r="10" ht="52" customHeight="1">
      <x:c r="B10" s="79" t="str">
        <x:v>Inputs</x:v>
      </x:c>
      <x:c r="C10" s="89" t="str">
        <x:v>Blue-font numeric cells are inherited boundaries or prospective research targets. Physical acceptance inputs remain zero.</x:v>
      </x:c>
      <x:c r="D10" s="89"/>
      <x:c r="E10" s="89"/>
      <x:c r="F10" s="89"/>
      <x:c r="G10" s="89"/>
      <x:c r="H10" s="89"/>
      <x:c r="I10" s="89"/>
      <x:c r="J10" s="89"/>
    </x:row>
    <x:row r="11" ht="52" customHeight="1">
      <x:c r="B11" s="79" t="str">
        <x:v>Statistics</x:v>
      </x:c>
      <x:c r="C11" s="89" t="str">
        <x:v>The zero-failure bound uses POWER(0.05,1/n) and assumes independent identical Bernoulli trials. The diverse campaign does not meet that assumption; the values limit claims.</x:v>
      </x:c>
      <x:c r="D11" s="89"/>
      <x:c r="E11" s="89"/>
      <x:c r="F11" s="89"/>
      <x:c r="G11" s="89"/>
      <x:c r="H11" s="89"/>
      <x:c r="I11" s="89"/>
      <x:c r="J11" s="89"/>
    </x:row>
    <x:row r="12" ht="52" customHeight="1">
      <x:c r="B12" s="79" t="str">
        <x:v>Authority</x:v>
      </x:c>
      <x:c r="C12" s="89" t="str">
        <x:v>Twelve planning gates pass. Construction, physical acceptance, internal sections, production, form and rendering require separate evidence and authority.</x:v>
      </x:c>
      <x:c r="D12" s="89"/>
      <x:c r="E12" s="89"/>
      <x:c r="F12" s="89"/>
      <x:c r="G12" s="89"/>
      <x:c r="H12" s="89"/>
      <x:c r="I12" s="89"/>
      <x:c r="J12" s="89"/>
    </x:row>
    <x:row r="13"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B15" s="38" t="str">
        <x:v>State grammar</x:v>
      </x:c>
      <x:c r="C15" s="39" t="str">
        <x:v>State grammar</x:v>
      </x:c>
      <x:c r="D15" s="39" t="str">
        <x:v>State grammar</x:v>
      </x:c>
      <x:c r="E15" s="39" t="str">
        <x:v>State grammar</x:v>
      </x:c>
      <x:c r="F15" s="39" t="str">
        <x:v>State grammar</x:v>
      </x:c>
      <x:c r="G15" s="39" t="str">
        <x:v>State grammar</x:v>
      </x:c>
      <x:c r="H15" s="39" t="str">
        <x:v>State grammar</x:v>
      </x:c>
      <x:c r="I15" s="39" t="str">
        <x:v>State grammar</x:v>
      </x:c>
      <x:c r="J15" s="40" t="str">
        <x:v>State grammar</x:v>
      </x:c>
    </x:row>
    <x:row r="16" ht="43" customHeight="1">
      <x:c r="B16" s="79" t="str">
        <x:v>PLANNING PASS</x:v>
      </x:c>
      <x:c r="C16" s="89" t="str">
        <x:v>Required protocol content is present. It is not physical evidence.</x:v>
      </x:c>
      <x:c r="D16" s="89"/>
      <x:c r="E16" s="89"/>
      <x:c r="F16" s="89"/>
      <x:c r="G16" s="89"/>
      <x:c r="H16" s="89"/>
      <x:c r="I16" s="89"/>
      <x:c r="J16" s="89"/>
    </x:row>
    <x:row r="17" ht="43" customHeight="1">
      <x:c r="B17" s="79" t="str">
        <x:v>OPEN</x:v>
      </x:c>
      <x:c r="C17" s="89" t="str">
        <x:v>The physical event or external decision has not occurred.</x:v>
      </x:c>
      <x:c r="D17" s="89"/>
      <x:c r="E17" s="89"/>
      <x:c r="F17" s="89"/>
      <x:c r="G17" s="89"/>
      <x:c r="H17" s="89"/>
      <x:c r="I17" s="89"/>
      <x:c r="J17" s="89"/>
    </x:row>
    <x:row r="18" ht="43" customHeight="1">
      <x:c r="B18" s="79" t="str">
        <x:v>HOLD</x:v>
      </x:c>
      <x:c r="C18" s="89" t="str">
        <x:v>A predecessor authority is absent. Work may not enter the next governed state.</x:v>
      </x:c>
      <x:c r="D18" s="89"/>
      <x:c r="E18" s="89"/>
      <x:c r="F18" s="89"/>
      <x:c r="G18" s="89"/>
      <x:c r="H18" s="89"/>
      <x:c r="I18" s="89"/>
      <x:c r="J18" s="89"/>
    </x:row>
    <x:row r="19" ht="43" customHeight="1">
      <x:c r="B19" s="79" t="str">
        <x:v>INDETERMINATE</x:v>
      </x:c>
      <x:c r="C19" s="89" t="str">
        <x:v>Evidence is missing, contradictory or outside uncertainty. Service credit is blocked.</x:v>
      </x:c>
      <x:c r="D19" s="89"/>
      <x:c r="E19" s="89"/>
      <x:c r="F19" s="89"/>
      <x:c r="G19" s="89"/>
      <x:c r="H19" s="89"/>
      <x:c r="I19" s="89"/>
      <x:c r="J19" s="89"/>
    </x:row>
    <x:row r="20" ht="43" customHeight="1">
      <x:c r="B20" s="79" t="str">
        <x:v>BLOCKED</x:v>
      </x:c>
      <x:c r="C20" s="89" t="str">
        <x:v>The requested form or authority is explicitly unavailable.</x:v>
      </x:c>
      <x:c r="D20" s="89"/>
      <x:c r="E20" s="89"/>
      <x:c r="F20" s="89"/>
      <x:c r="G20" s="89"/>
      <x:c r="H20" s="89"/>
      <x:c r="I20" s="89"/>
      <x:c r="J20" s="89"/>
    </x:row>
    <x:row r="21" ht="43" customHeight="1">
      <x:c r="B21" s="79" t="str">
        <x:v>PASS / ACCEPTED / ADMITTED</x:v>
      </x:c>
      <x:c r="C21" s="89" t="str">
        <x:v>A later physical state, used only after its own evidence is populated.</x:v>
      </x:c>
      <x:c r="D21" s="89"/>
      <x:c r="E21" s="89"/>
      <x:c r="F21" s="89"/>
      <x:c r="G21" s="89"/>
      <x:c r="H21" s="89"/>
      <x:c r="I21" s="89"/>
      <x:c r="J21" s="89"/>
    </x:row>
  </x:sheetData>
  <x:mergeCells>
    <x:mergeCell ref="B3:J3"/>
    <x:mergeCell ref="B6:J6"/>
    <x:mergeCell ref="C7:J7"/>
    <x:mergeCell ref="C8:J8"/>
    <x:mergeCell ref="C9:J9"/>
    <x:mergeCell ref="C10:J10"/>
    <x:mergeCell ref="C11:J11"/>
    <x:mergeCell ref="C12:J12"/>
    <x:mergeCell ref="B15:J15"/>
    <x:mergeCell ref="C16:J16"/>
    <x:mergeCell ref="C17:J17"/>
    <x:mergeCell ref="C18:J18"/>
    <x:mergeCell ref="C19:J19"/>
    <x:mergeCell ref="C20:J20"/>
    <x:mergeCell ref="C21:J21"/>
  </x:mergeCells>
  <x:pageMargins left="0.7" right="0.7" top="0.75" bottom="0.75" header="0.3" footer="0.3"/>
</x:worksheet>
</file>