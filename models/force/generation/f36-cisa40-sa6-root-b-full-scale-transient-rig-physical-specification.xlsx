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b3d0ce6def4fe7" /></Relationships>
</file>

<file path=xl/workbook.xml><?xml version="1.0" encoding="utf-8"?>
<x:workbook xmlns:x="http://schemas.openxmlformats.org/spreadsheetml/2006/main">
  <x:sheets>
    <x:sheet xmlns:r="http://schemas.openxmlformats.org/officeDocument/2006/relationships" name="Summary" sheetId="1" r:id="Rf63a44a66f4a46fe"/>
    <x:sheet xmlns:r="http://schemas.openxmlformats.org/officeDocument/2006/relationships" name="Controls" sheetId="2" r:id="R71d36f986ce44c47"/>
    <x:sheet xmlns:r="http://schemas.openxmlformats.org/officeDocument/2006/relationships" name="Source Vessel" sheetId="3" r:id="R528079bb1a054e15"/>
    <x:sheet xmlns:r="http://schemas.openxmlformats.org/officeDocument/2006/relationships" name="Thermal Boundary" sheetId="4" r:id="R7325417567b74ecd"/>
    <x:sheet xmlns:r="http://schemas.openxmlformats.org/officeDocument/2006/relationships" name="Nozzle Cassettes" sheetId="5" r:id="Rc710a6af24d44af6"/>
    <x:sheet xmlns:r="http://schemas.openxmlformats.org/officeDocument/2006/relationships" name="Route Gallery" sheetId="6" r:id="Rbb423c63342844aa"/>
    <x:sheet xmlns:r="http://schemas.openxmlformats.org/officeDocument/2006/relationships" name="Receiver Interface" sheetId="7" r:id="Rc31f93874619454d"/>
    <x:sheet xmlns:r="http://schemas.openxmlformats.org/officeDocument/2006/relationships" name="Challenge Hardware" sheetId="8" r:id="R367161cc16064850"/>
    <x:sheet xmlns:r="http://schemas.openxmlformats.org/officeDocument/2006/relationships" name="Structural Loads" sheetId="9" r:id="R01565a26b2d94d27"/>
    <x:sheet xmlns:r="http://schemas.openxmlformats.org/officeDocument/2006/relationships" name="Measurement Planes" sheetId="10" r:id="R89434ed8bd4b4a85"/>
    <x:sheet xmlns:r="http://schemas.openxmlformats.org/officeDocument/2006/relationships" name="Channel Register" sheetId="11" r:id="R8c9e11a815344618"/>
    <x:sheet xmlns:r="http://schemas.openxmlformats.org/officeDocument/2006/relationships" name="Uncertainty Budget" sheetId="12" r:id="R5133e7a4e5074304"/>
    <x:sheet xmlns:r="http://schemas.openxmlformats.org/officeDocument/2006/relationships" name="Data Volume" sheetId="13" r:id="R4baf7ced9e4b47a1"/>
    <x:sheet xmlns:r="http://schemas.openxmlformats.org/officeDocument/2006/relationships" name="Source Sequence" sheetId="14" r:id="R758265b3b09642f8"/>
    <x:sheet xmlns:r="http://schemas.openxmlformats.org/officeDocument/2006/relationships" name="Safety Logic" sheetId="15" r:id="Rbcc1c7cdc54e4978"/>
    <x:sheet xmlns:r="http://schemas.openxmlformats.org/officeDocument/2006/relationships" name="Rescue Recovery" sheetId="16" r:id="Rc27886b417044766"/>
    <x:sheet xmlns:r="http://schemas.openxmlformats.org/officeDocument/2006/relationships" name="Drawing Register" sheetId="17" r:id="Ra030303e0e204295"/>
    <x:sheet xmlns:r="http://schemas.openxmlformats.org/officeDocument/2006/relationships" name="Interface Register" sheetId="18" r:id="R2b47643316a248fa"/>
    <x:sheet xmlns:r="http://schemas.openxmlformats.org/officeDocument/2006/relationships" name="Schedule" sheetId="19" r:id="Rcc29d2033585477d"/>
    <x:sheet xmlns:r="http://schemas.openxmlformats.org/officeDocument/2006/relationships" name="Workforce" sheetId="20" r:id="R623531c0ab894344"/>
    <x:sheet xmlns:r="http://schemas.openxmlformats.org/officeDocument/2006/relationships" name="Capital" sheetId="21" r:id="R3158cd8cacb2416c"/>
    <x:sheet xmlns:r="http://schemas.openxmlformats.org/officeDocument/2006/relationships" name="Annual Support" sheetId="22" r:id="R349ce338965449f0"/>
    <x:sheet xmlns:r="http://schemas.openxmlformats.org/officeDocument/2006/relationships" name="Portfolio Boundary" sheetId="23" r:id="Rdbca4deb5ed34687"/>
    <x:sheet xmlns:r="http://schemas.openxmlformats.org/officeDocument/2006/relationships" name="Release Gates" sheetId="24" r:id="Re3ff54054c4b4923"/>
    <x:sheet xmlns:r="http://schemas.openxmlformats.org/officeDocument/2006/relationships" name="Audit" sheetId="25" r:id="Ra64990fb780a45b9"/>
    <x:sheet xmlns:r="http://schemas.openxmlformats.org/officeDocument/2006/relationships" name="Authority" sheetId="26" r:id="R2238132917a64fc3"/>
    <x:sheet xmlns:r="http://schemas.openxmlformats.org/officeDocument/2006/relationships" name="ReadMe" sheetId="27" r:id="Redddced799984fb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0.0);-"/>
  </x:numFmts>
  <x:fonts count="7">
    <x:font>
      <x:sz val="11"/>
      <x:name val="Carlito"/>
    </x:font>
    <x:font>
      <x:b/>
      <x:sz val="14"/>
      <x:color rgb="FF17324D"/>
      <x:name val="Arial"/>
    </x:font>
    <x:font>
      <x:i/>
      <x:sz val="10"/>
      <x:color rgb="FF6B7785"/>
      <x:name val="Arial"/>
    </x:font>
    <x:font>
      <x:b/>
      <x:sz val="10"/>
      <x:color rgb="FFFFFFFF"/>
      <x:name val="Arial"/>
    </x:font>
    <x:font>
      <x:sz val="10"/>
      <x:color rgb="FF0070C0"/>
      <x:name val="Arial"/>
    </x:font>
    <x:font>
      <x:sz val="10"/>
      <x:color rgb="FF008000"/>
      <x:name val="Arial"/>
    </x:font>
    <x:font>
      <x:b/>
      <x:sz val="10"/>
      <x:color rgb="FF17324D"/>
      <x:name val="Arial"/>
    </x:font>
  </x:fonts>
  <x:fills count="5">
    <x:fill>
      <x:patternFill patternType="none"/>
    </x:fill>
    <x:fill>
      <x:patternFill patternType="gray125"/>
    </x:fill>
    <x:fill>
      <x:patternFill patternType="solid">
        <x:fgColor rgb="FF17324D"/>
      </x:patternFill>
    </x:fill>
    <x:fill>
      <x:patternFill patternType="solid">
        <x:fgColor rgb="FFFFF2CC"/>
      </x:patternFill>
    </x:fill>
    <x:fill>
      <x:patternFill patternType="solid">
        <x:fgColor rgb="FFD9E8F5"/>
      </x:patternFill>
    </x:fill>
  </x:fills>
  <x:borders count="2">
    <x:border/>
    <x:border>
      <x:bottom style="thin">
        <x:color rgb="FF17324D"/>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3" borderId="0" xfId="0" applyNumberFormat="1" applyFont="1" applyFill="1" applyBorder="1"/>
    <x:xf numFmtId="200" fontId="4" fillId="3"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0" fillId="4" borderId="0" xfId="0" applyNumberFormat="1" applyFont="1" applyFill="1" applyBorder="1"/>
    <x:xf numFmtId="0" fontId="6" fillId="4" borderId="0"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cellXfs>
  <x:cellStyles count="1">
    <x:cellStyle name="Normal" xfId="0"/>
  </x:cellStyles>
  <x:dxfs count="36">
    <x:dxf>
      <x:font>
        <x:b/>
        <x:color rgb="FFC00000"/>
      </x:font>
      <x:fill>
        <x:patternFill patternType="solid">
          <x:bgColor rgb="FFFCE4D6"/>
        </x:patternFill>
      </x:fill>
    </x:dxf>
    <x:dxf>
      <x:font>
        <x:b/>
        <x:color rgb="FFC00000"/>
      </x:font>
      <x:fill>
        <x:patternFill patternType="solid">
          <x:bgColor rgb="FFFCE4D6"/>
        </x:patternFill>
      </x:fill>
    </x:dxf>
    <x:dxf>
      <x:font>
        <x:color rgb="FF9C6B00"/>
      </x:font>
      <x:fill>
        <x:patternFill patternType="solid">
          <x:bgColor rgb="FFFFF2CC"/>
        </x:patternFill>
      </x:fill>
    </x:dxf>
    <x:dxf>
      <x:font>
        <x:color rgb="FF375623"/>
      </x:font>
      <x:fill>
        <x:patternFill patternType="solid">
          <x:bgColor rgb="FFE2F0D9"/>
        </x:patternFill>
      </x:fill>
    </x:dxf>
    <x:dxf>
      <x:font>
        <x:b/>
        <x:color rgb="FFC00000"/>
      </x:font>
      <x:fill>
        <x:patternFill patternType="solid">
          <x:bgColor rgb="FFFCE4D6"/>
        </x:patternFill>
      </x:fill>
    </x:dxf>
    <x:dxf>
      <x:font>
        <x:b/>
        <x:color rgb="FFC00000"/>
      </x:font>
      <x:fill>
        <x:patternFill patternType="solid">
          <x:bgColor rgb="FFFCE4D6"/>
        </x:patternFill>
      </x:fill>
    </x:dxf>
    <x:dxf>
      <x:font>
        <x:color rgb="FF9C6B00"/>
      </x:font>
      <x:fill>
        <x:patternFill patternType="solid">
          <x:bgColor rgb="FFFFF2CC"/>
        </x:patternFill>
      </x:fill>
    </x:dxf>
    <x:dxf>
      <x:font>
        <x:color rgb="FF375623"/>
      </x:font>
      <x:fill>
        <x:patternFill patternType="solid">
          <x:bgColor rgb="FFE2F0D9"/>
        </x:patternFill>
      </x:fill>
    </x:dxf>
    <x:dxf>
      <x:font>
        <x:b/>
        <x:color rgb="FFC00000"/>
      </x:font>
      <x:fill>
        <x:patternFill patternType="solid">
          <x:bgColor rgb="FFFCE4D6"/>
        </x:patternFill>
      </x:fill>
    </x:dxf>
    <x:dxf>
      <x:font>
        <x:b/>
        <x:color rgb="FFC00000"/>
      </x:font>
      <x:fill>
        <x:patternFill patternType="solid">
          <x:bgColor rgb="FFFCE4D6"/>
        </x:patternFill>
      </x:fill>
    </x:dxf>
    <x:dxf>
      <x:font>
        <x:color rgb="FF9C6B00"/>
      </x:font>
      <x:fill>
        <x:patternFill patternType="solid">
          <x:bgColor rgb="FFFFF2CC"/>
        </x:patternFill>
      </x:fill>
    </x:dxf>
    <x:dxf>
      <x:font>
        <x:color rgb="FF375623"/>
      </x:font>
      <x:fill>
        <x:patternFill patternType="solid">
          <x:bgColor rgb="FFE2F0D9"/>
        </x:patternFill>
      </x:fill>
    </x:dxf>
    <x:dxf>
      <x:font>
        <x:b/>
        <x:color rgb="FFC00000"/>
      </x:font>
      <x:fill>
        <x:patternFill patternType="solid">
          <x:bgColor rgb="FFFCE4D6"/>
        </x:patternFill>
      </x:fill>
    </x:dxf>
    <x:dxf>
      <x:font>
        <x:b/>
        <x:color rgb="FFC00000"/>
      </x:font>
      <x:fill>
        <x:patternFill patternType="solid">
          <x:bgColor rgb="FFFCE4D6"/>
        </x:patternFill>
      </x:fill>
    </x:dxf>
    <x:dxf>
      <x:font>
        <x:color rgb="FF9C6B00"/>
      </x:font>
      <x:fill>
        <x:patternFill patternType="solid">
          <x:bgColor rgb="FFFFF2CC"/>
        </x:patternFill>
      </x:fill>
    </x:dxf>
    <x:dxf>
      <x:font>
        <x:color rgb="FF375623"/>
      </x:font>
      <x:fill>
        <x:patternFill patternType="solid">
          <x:bgColor rgb="FFE2F0D9"/>
        </x:patternFill>
      </x:fill>
    </x:dxf>
    <x:dxf>
      <x:font>
        <x:b/>
        <x:color rgb="FFC00000"/>
      </x:font>
      <x:fill>
        <x:patternFill patternType="solid">
          <x:bgColor rgb="FFFCE4D6"/>
        </x:patternFill>
      </x:fill>
    </x:dxf>
    <x:dxf>
      <x:font>
        <x:b/>
        <x:color rgb="FFC00000"/>
      </x:font>
      <x:fill>
        <x:patternFill patternType="solid">
          <x:bgColor rgb="FFFCE4D6"/>
        </x:patternFill>
      </x:fill>
    </x:dxf>
    <x:dxf>
      <x:font>
        <x:color rgb="FF9C6B00"/>
      </x:font>
      <x:fill>
        <x:patternFill patternType="solid">
          <x:bgColor rgb="FFFFF2CC"/>
        </x:patternFill>
      </x:fill>
    </x:dxf>
    <x:dxf>
      <x:font>
        <x:color rgb="FF375623"/>
      </x:font>
      <x:fill>
        <x:patternFill patternType="solid">
          <x:bgColor rgb="FFE2F0D9"/>
        </x:patternFill>
      </x:fill>
    </x:dxf>
    <x:dxf>
      <x:font>
        <x:b/>
        <x:color rgb="FFC00000"/>
      </x:font>
      <x:fill>
        <x:patternFill patternType="solid">
          <x:bgColor rgb="FFFCE4D6"/>
        </x:patternFill>
      </x:fill>
    </x:dxf>
    <x:dxf>
      <x:font>
        <x:b/>
        <x:color rgb="FFC00000"/>
      </x:font>
      <x:fill>
        <x:patternFill patternType="solid">
          <x:bgColor rgb="FFFCE4D6"/>
        </x:patternFill>
      </x:fill>
    </x:dxf>
    <x:dxf>
      <x:font>
        <x:color rgb="FF9C6B00"/>
      </x:font>
      <x:fill>
        <x:patternFill patternType="solid">
          <x:bgColor rgb="FFFFF2CC"/>
        </x:patternFill>
      </x:fill>
    </x:dxf>
    <x:dxf>
      <x:font>
        <x:color rgb="FF375623"/>
      </x:font>
      <x:fill>
        <x:patternFill patternType="solid">
          <x:bgColor rgb="FFE2F0D9"/>
        </x:patternFill>
      </x:fill>
    </x:dxf>
    <x:dxf>
      <x:font>
        <x:b/>
        <x:color rgb="FFC00000"/>
      </x:font>
      <x:fill>
        <x:patternFill patternType="solid">
          <x:bgColor rgb="FFFCE4D6"/>
        </x:patternFill>
      </x:fill>
    </x:dxf>
    <x:dxf>
      <x:font>
        <x:b/>
        <x:color rgb="FFC00000"/>
      </x:font>
      <x:fill>
        <x:patternFill patternType="solid">
          <x:bgColor rgb="FFFCE4D6"/>
        </x:patternFill>
      </x:fill>
    </x:dxf>
    <x:dxf>
      <x:font>
        <x:color rgb="FF9C6B00"/>
      </x:font>
      <x:fill>
        <x:patternFill patternType="solid">
          <x:bgColor rgb="FFFFF2CC"/>
        </x:patternFill>
      </x:fill>
    </x:dxf>
    <x:dxf>
      <x:font>
        <x:color rgb="FF375623"/>
      </x:font>
      <x:fill>
        <x:patternFill patternType="solid">
          <x:bgColor rgb="FFE2F0D9"/>
        </x:patternFill>
      </x:fill>
    </x:dxf>
    <x:dxf>
      <x:font>
        <x:b/>
        <x:color rgb="FFC00000"/>
      </x:font>
      <x:fill>
        <x:patternFill patternType="solid">
          <x:bgColor rgb="FFFCE4D6"/>
        </x:patternFill>
      </x:fill>
    </x:dxf>
    <x:dxf>
      <x:font>
        <x:b/>
        <x:color rgb="FFC00000"/>
      </x:font>
      <x:fill>
        <x:patternFill patternType="solid">
          <x:bgColor rgb="FFFCE4D6"/>
        </x:patternFill>
      </x:fill>
    </x:dxf>
    <x:dxf>
      <x:font>
        <x:color rgb="FF9C6B00"/>
      </x:font>
      <x:fill>
        <x:patternFill patternType="solid">
          <x:bgColor rgb="FFFFF2CC"/>
        </x:patternFill>
      </x:fill>
    </x:dxf>
    <x:dxf>
      <x:font>
        <x:color rgb="FF375623"/>
      </x:font>
      <x:fill>
        <x:patternFill patternType="solid">
          <x:bgColor rgb="FFE2F0D9"/>
        </x:patternFill>
      </x:fill>
    </x:dxf>
    <x:dxf>
      <x:font>
        <x:b/>
        <x:color rgb="FFC00000"/>
      </x:font>
      <x:fill>
        <x:patternFill patternType="solid">
          <x:bgColor rgb="FFFCE4D6"/>
        </x:patternFill>
      </x:fill>
    </x:dxf>
    <x:dxf>
      <x:font>
        <x:b/>
        <x:color rgb="FFC00000"/>
      </x:font>
      <x:fill>
        <x:patternFill patternType="solid">
          <x:bgColor rgb="FFFCE4D6"/>
        </x:patternFill>
      </x:fill>
    </x:dxf>
    <x:dxf>
      <x:font>
        <x:color rgb="FF9C6B00"/>
      </x:font>
      <x:fill>
        <x:patternFill patternType="solid">
          <x:bgColor rgb="FFFFF2CC"/>
        </x:patternFill>
      </x:fill>
    </x:dxf>
    <x:dxf>
      <x:font>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563c90d52d4013" /><Relationship Type="http://schemas.openxmlformats.org/officeDocument/2006/relationships/theme" Target="/xl/theme/theme1.xml" Id="Rc51fd229b95d4ae5" /><Relationship Type="http://schemas.openxmlformats.org/officeDocument/2006/relationships/sharedStrings" Target="/xl/sharedStrings.xml" Id="R9277a49ec93c49ff" /><Relationship Type="http://schemas.openxmlformats.org/officeDocument/2006/relationships/worksheet" Target="/xl/worksheets/sheet1.xml" Id="Rf63a44a66f4a46fe" /><Relationship Type="http://schemas.openxmlformats.org/officeDocument/2006/relationships/worksheet" Target="/xl/worksheets/sheet2.xml" Id="R71d36f986ce44c47" /><Relationship Type="http://schemas.openxmlformats.org/officeDocument/2006/relationships/worksheet" Target="/xl/worksheets/sheet3.xml" Id="R528079bb1a054e15" /><Relationship Type="http://schemas.openxmlformats.org/officeDocument/2006/relationships/worksheet" Target="/xl/worksheets/sheet4.xml" Id="R7325417567b74ecd" /><Relationship Type="http://schemas.openxmlformats.org/officeDocument/2006/relationships/worksheet" Target="/xl/worksheets/sheet5.xml" Id="Rc710a6af24d44af6" /><Relationship Type="http://schemas.openxmlformats.org/officeDocument/2006/relationships/worksheet" Target="/xl/worksheets/sheet6.xml" Id="Rbb423c63342844aa" /><Relationship Type="http://schemas.openxmlformats.org/officeDocument/2006/relationships/worksheet" Target="/xl/worksheets/sheet7.xml" Id="Rc31f93874619454d" /><Relationship Type="http://schemas.openxmlformats.org/officeDocument/2006/relationships/worksheet" Target="/xl/worksheets/sheet8.xml" Id="R367161cc16064850" /><Relationship Type="http://schemas.openxmlformats.org/officeDocument/2006/relationships/worksheet" Target="/xl/worksheets/sheet9.xml" Id="R01565a26b2d94d27" /><Relationship Type="http://schemas.openxmlformats.org/officeDocument/2006/relationships/worksheet" Target="/xl/worksheets/sheet10.xml" Id="R89434ed8bd4b4a85" /><Relationship Type="http://schemas.openxmlformats.org/officeDocument/2006/relationships/worksheet" Target="/xl/worksheets/sheet11.xml" Id="R8c9e11a815344618" /><Relationship Type="http://schemas.openxmlformats.org/officeDocument/2006/relationships/worksheet" Target="/xl/worksheets/sheet12.xml" Id="R5133e7a4e5074304" /><Relationship Type="http://schemas.openxmlformats.org/officeDocument/2006/relationships/worksheet" Target="/xl/worksheets/sheet13.xml" Id="R4baf7ced9e4b47a1" /><Relationship Type="http://schemas.openxmlformats.org/officeDocument/2006/relationships/worksheet" Target="/xl/worksheets/sheet14.xml" Id="R758265b3b09642f8" /><Relationship Type="http://schemas.openxmlformats.org/officeDocument/2006/relationships/worksheet" Target="/xl/worksheets/sheet15.xml" Id="Rbcc1c7cdc54e4978" /><Relationship Type="http://schemas.openxmlformats.org/officeDocument/2006/relationships/worksheet" Target="/xl/worksheets/sheet16.xml" Id="Rc27886b417044766" /><Relationship Type="http://schemas.openxmlformats.org/officeDocument/2006/relationships/worksheet" Target="/xl/worksheets/sheet17.xml" Id="Ra030303e0e204295" /><Relationship Type="http://schemas.openxmlformats.org/officeDocument/2006/relationships/worksheet" Target="/xl/worksheets/sheet18.xml" Id="R2b47643316a248fa" /><Relationship Type="http://schemas.openxmlformats.org/officeDocument/2006/relationships/worksheet" Target="/xl/worksheets/sheet19.xml" Id="Rcc29d2033585477d" /><Relationship Type="http://schemas.openxmlformats.org/officeDocument/2006/relationships/worksheet" Target="/xl/worksheets/sheet20.xml" Id="R623531c0ab894344" /><Relationship Type="http://schemas.openxmlformats.org/officeDocument/2006/relationships/worksheet" Target="/xl/worksheets/sheet21.xml" Id="R3158cd8cacb2416c" /><Relationship Type="http://schemas.openxmlformats.org/officeDocument/2006/relationships/worksheet" Target="/xl/worksheets/sheet22.xml" Id="R349ce338965449f0" /><Relationship Type="http://schemas.openxmlformats.org/officeDocument/2006/relationships/worksheet" Target="/xl/worksheets/sheet23.xml" Id="Rdbca4deb5ed34687" /><Relationship Type="http://schemas.openxmlformats.org/officeDocument/2006/relationships/worksheet" Target="/xl/worksheets/sheet24.xml" Id="Re3ff54054c4b4923" /><Relationship Type="http://schemas.openxmlformats.org/officeDocument/2006/relationships/worksheet" Target="/xl/worksheets/sheet25.xml" Id="Ra64990fb780a45b9" /><Relationship Type="http://schemas.openxmlformats.org/officeDocument/2006/relationships/worksheet" Target="/xl/worksheets/sheet26.xml" Id="R2238132917a64fc3" /><Relationship Type="http://schemas.openxmlformats.org/officeDocument/2006/relationships/worksheet" Target="/xl/worksheets/sheet27.xml" Id="Redddced799984f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2" max="2" width="39" hidden="0" customWidth="1"/>
    <x:col min="3" max="3" width="18" hidden="0" customWidth="1"/>
    <x:col min="4" max="4" width="16" hidden="0" customWidth="1"/>
    <x:col min="5" max="5" width="4" hidden="0" customWidth="1"/>
    <x:col min="6" max="6" width="39" hidden="0" customWidth="1"/>
    <x:col min="7" max="7" width="20" hidden="0" customWidth="1"/>
    <x:col min="8" max="8" width="18" hidden="0" customWidth="1"/>
  </x:cols>
  <x:sheetData>
    <x:row r="2">
      <x:c r="B2" s="1" t="str">
        <x:v>RHP-1 full-scale transient-rig physical specification</x:v>
      </x:c>
    </x:row>
    <x:row r="3">
      <x:c r="B3" s="2" t="str">
        <x:v>A neutral public experimental plant for Root B source relief, retention and terminal-disposition learning.</x:v>
      </x:c>
    </x:row>
    <x:row r="5">
      <x:c r="B5" s="3"/>
      <x:c r="C5" s="3"/>
      <x:c r="D5" s="3"/>
      <x:c r="E5" s="3"/>
      <x:c r="F5" s="3"/>
      <x:c r="G5" s="3"/>
      <x:c r="H5" s="3"/>
      <x:c r="I5" s="3"/>
      <x:c r="J5" s="3"/>
      <x:c r="K5" s="3"/>
      <x:c r="L5" s="3"/>
      <x:c r="M5" s="3"/>
      <x:c r="N5" s="3"/>
      <x:c r="O5" s="3"/>
      <x:c r="P5" s="3"/>
      <x:c r="Q5" s="3"/>
      <x:c r="R5" s="3"/>
    </x:row>
    <x:row r="6" ht="24" customHeight="1">
      <x:c r="B6" s="7" t="str">
        <x:v>Physical architecture</x:v>
      </x:c>
      <x:c r="C6" s="7" t="str">
        <x:v>Value</x:v>
      </x:c>
      <x:c r="D6" s="7" t="str">
        <x:v>Unit</x:v>
      </x:c>
      <x:c r="F6" s="7" t="str">
        <x:v>Program and release state</x:v>
      </x:c>
      <x:c r="G6" s="7" t="str">
        <x:v>Value</x:v>
      </x:c>
      <x:c r="H6" s="7" t="str">
        <x:v>Unit</x:v>
      </x:c>
    </x:row>
    <x:row r="7">
      <x:c r="B7" t="str">
        <x:v>public rigs</x:v>
      </x:c>
      <x:c r="C7" t="n">
        <x:v>6</x:v>
      </x:c>
      <x:c r="D7" t="str">
        <x:v>count</x:v>
      </x:c>
      <x:c r="F7" t="str">
        <x:v>mission workforce</x:v>
      </x:c>
      <x:c r="G7" t="n">
        <x:f>Workforce!C17</x:f>
        <x:v>372</x:v>
      </x:c>
      <x:c r="H7" t="str">
        <x:v>positions</x:v>
      </x:c>
    </x:row>
    <x:row r="8">
      <x:c r="B8" t="str">
        <x:v>campuses</x:v>
      </x:c>
      <x:c r="C8" t="n">
        <x:v>3</x:v>
      </x:c>
      <x:c r="D8" t="str">
        <x:v>count</x:v>
      </x:c>
      <x:c r="F8" t="str">
        <x:v>capital</x:v>
      </x:c>
      <x:c r="G8" t="n">
        <x:f>Capital!C18</x:f>
        <x:v>410</x:v>
      </x:c>
      <x:c r="H8" t="str">
        <x:v>USD M</x:v>
      </x:c>
    </x:row>
    <x:row r="9">
      <x:c r="B9" t="str">
        <x:v>thermal zones</x:v>
      </x:c>
      <x:c r="C9" t="n">
        <x:v>96</x:v>
      </x:c>
      <x:c r="D9" t="str">
        <x:v>count</x:v>
      </x:c>
      <x:c r="F9" t="str">
        <x:v>annual support</x:v>
      </x:c>
      <x:c r="G9" t="n">
        <x:f>'Annual Support'!C14</x:f>
        <x:v>72</x:v>
      </x:c>
      <x:c r="H9" t="str">
        <x:v>USD M/year</x:v>
      </x:c>
    </x:row>
    <x:row r="10">
      <x:c r="B10" t="str">
        <x:v>route bays</x:v>
      </x:c>
      <x:c r="C10" t="n">
        <x:v>18</x:v>
      </x:c>
      <x:c r="D10" t="str">
        <x:v>count</x:v>
      </x:c>
      <x:c r="F10" t="str">
        <x:v>program exposure</x:v>
      </x:c>
      <x:c r="G10" t="n">
        <x:f>'Portfolio Boundary'!C18</x:f>
        <x:v>590</x:v>
      </x:c>
      <x:c r="H10" t="str">
        <x:v>USD M</x:v>
      </x:c>
    </x:row>
    <x:row r="11">
      <x:c r="B11" t="str">
        <x:v>route segments</x:v>
      </x:c>
      <x:c r="C11" t="n">
        <x:v>144</x:v>
      </x:c>
      <x:c r="D11" t="str">
        <x:v>count</x:v>
      </x:c>
      <x:c r="F11" t="str">
        <x:v>net new CISA capital</x:v>
      </x:c>
      <x:c r="G11" t="n">
        <x:f>'Portfolio Boundary'!C12</x:f>
        <x:v>80</x:v>
      </x:c>
      <x:c r="H11" t="str">
        <x:v>USD M</x:v>
      </x:c>
    </x:row>
    <x:row r="12">
      <x:c r="B12" t="str">
        <x:v>restriction cassettes</x:v>
      </x:c>
      <x:c r="C12" t="n">
        <x:v>54</x:v>
      </x:c>
      <x:c r="D12" t="str">
        <x:v>count</x:v>
      </x:c>
      <x:c r="F12" t="str">
        <x:v>net new CISA annual</x:v>
      </x:c>
      <x:c r="G12" t="n">
        <x:f>'Portfolio Boundary'!D12</x:f>
        <x:v>14</x:v>
      </x:c>
      <x:c r="H12" t="str">
        <x:v>USD M/year</x:v>
      </x:c>
    </x:row>
    <x:row r="13">
      <x:c r="B13" t="str">
        <x:v>measurement planes</x:v>
      </x:c>
      <x:c r="C13" t="n">
        <x:v>96</x:v>
      </x:c>
      <x:c r="D13" t="str">
        <x:v>count</x:v>
      </x:c>
      <x:c r="F13" t="str">
        <x:v>BRD-6R capital</x:v>
      </x:c>
      <x:c r="G13" t="n">
        <x:f>'Portfolio Boundary'!C13</x:f>
        <x:v>1378</x:v>
      </x:c>
      <x:c r="H13" t="str">
        <x:v>USD M</x:v>
      </x:c>
    </x:row>
    <x:row r="14">
      <x:c r="B14" t="str">
        <x:v>native channels</x:v>
      </x:c>
      <x:c r="C14" t="n">
        <x:v>504</x:v>
      </x:c>
      <x:c r="D14" t="str">
        <x:v>count</x:v>
      </x:c>
      <x:c r="F14" t="str">
        <x:v>BRD-6R annual</x:v>
      </x:c>
      <x:c r="G14" t="n">
        <x:f>'Portfolio Boundary'!D13</x:f>
        <x:v>260</x:v>
      </x:c>
      <x:c r="H14" t="str">
        <x:v>USD M/year</x:v>
      </x:c>
    </x:row>
    <x:row r="15">
      <x:c r="B15" t="str">
        <x:v>source inventory</x:v>
      </x:c>
      <x:c r="C15" t="n">
        <x:v>2000</x:v>
      </x:c>
      <x:c r="D15" t="str">
        <x:v>kg</x:v>
      </x:c>
      <x:c r="F15" t="str">
        <x:v>planning gates</x:v>
      </x:c>
      <x:c r="G15" t="n">
        <x:f>COUNTIF('Release Gates'!J7:J426,"PASS")</x:f>
        <x:v>420</x:v>
      </x:c>
      <x:c r="H15" t="str">
        <x:v>PASS</x:v>
      </x:c>
    </x:row>
    <x:row r="16">
      <x:c r="B16" t="str">
        <x:v>installed thermal output</x:v>
      </x:c>
      <x:c r="C16" t="n">
        <x:v>48</x:v>
      </x:c>
      <x:c r="D16" t="str">
        <x:v>MW</x:v>
      </x:c>
      <x:c r="F16" t="str">
        <x:v>physical gates</x:v>
      </x:c>
      <x:c r="G16" t="n">
        <x:f>COUNTIF('Release Gates'!J427:J948,"OPEN")</x:f>
        <x:v>522</x:v>
      </x:c>
      <x:c r="H16" t="str">
        <x:v>OPEN</x:v>
      </x:c>
    </x:row>
    <x:row r="17">
      <x:c r="B17" t="str">
        <x:v>direct rig area</x:v>
      </x:c>
      <x:c r="C17" t="n">
        <x:v>6.75</x:v>
      </x:c>
      <x:c r="D17" t="str">
        <x:v>ha</x:v>
      </x:c>
      <x:c r="F17" t="str">
        <x:v>downstream gates</x:v>
      </x:c>
      <x:c r="G17" t="n">
        <x:f>COUNTIF('Release Gates'!J949:J957,"BLOCKED")</x:f>
        <x:v>9</x:v>
      </x:c>
      <x:c r="H17" t="str">
        <x:v>BLOCKED</x:v>
      </x:c>
    </x:row>
    <x:row r="18">
      <x:c r="B18" t="str">
        <x:v>exclusion-area lower bound</x:v>
      </x:c>
      <x:c r="C18" t="n">
        <x:v>117.81</x:v>
      </x:c>
      <x:c r="D18" t="str">
        <x:v>ha</x:v>
      </x:c>
      <x:c r="F18" t="str">
        <x:v>audit observers</x:v>
      </x:c>
      <x:c r="G18" t="n">
        <x:f>COUNTIF(Audit!H7:H977,"PASS")</x:f>
        <x:v>971</x:v>
      </x:c>
      <x:c r="H18" t="str">
        <x:v>PASS</x:v>
      </x:c>
    </x:row>
    <x:row r="21">
      <x:c r="B21" s="14" t="str">
        <x:v>Governing interpretation</x:v>
      </x:c>
      <x:c r="C21" s="14"/>
      <x:c r="D21" s="14"/>
      <x:c r="E21" s="14"/>
      <x:c r="F21" s="14"/>
      <x:c r="G21" s="14"/>
      <x:c r="H21" s="14"/>
    </x:row>
    <x:row r="22" ht="30" customHeight="1">
      <x:c r="B22" s="16" t="str">
        <x:v>Six site-rooted rigs, not candidate-owned test stands, create a common experimental constitution across destructive and operational replication campuses.</x:v>
      </x:c>
      <x:c r="C22"/>
      <x:c r="D22"/>
      <x:c r="E22"/>
      <x:c r="F22"/>
      <x:c r="G22"/>
      <x:c r="H22"/>
    </x:row>
    <x:row r="23" ht="30" customHeight="1">
      <x:c r="B23" s="16" t="str">
        <x:v>The public boundary ends at a 0.90-meter flange. Candidate cassettes, routes and receivers remain geometrically distinct, preventing a shared plenum from predetermining the competition.</x:v>
      </x:c>
      <x:c r="C23"/>
      <x:c r="D23"/>
      <x:c r="E23"/>
      <x:c r="F23"/>
      <x:c r="G23"/>
      <x:c r="H23"/>
    </x:row>
    <x:row r="24" ht="30" customHeight="1">
      <x:c r="B24" s="16" t="str">
        <x:v>The source vessel, thermal zones, route frames and receiver pad are sized as explicit screens. Code certification, fabrication acceptance and energetic release remain open.</x:v>
      </x:c>
      <x:c r="C24"/>
      <x:c r="D24"/>
      <x:c r="E24"/>
      <x:c r="F24"/>
      <x:c r="G24"/>
      <x:c r="H24"/>
    </x:row>
    <x:row r="25" ht="30" customHeight="1">
      <x:c r="B25" s="16" t="str">
        <x:v>The mass uncertainty allocation expands to about 4.38 kilograms at k=2, below the inherited 5-kilogram closure limit; calibration and event closure still require physical evidence.</x:v>
      </x:c>
      <x:c r="C25"/>
      <x:c r="D25"/>
      <x:c r="E25"/>
      <x:c r="F25"/>
      <x:c r="G25"/>
      <x:c r="H25"/>
    </x:row>
    <x:row r="26" ht="30" customHeight="1">
      <x:c r="B26" s="16" t="str">
        <x:v>RHP-1 adds USD 110 million of gross capital and USD 24 million per year beyond the inherited RHT envelope. The corrected CISA view adds USD 80 million and USD 14 million per year.</x:v>
      </x:c>
      <x:c r="C26"/>
      <x:c r="D26"/>
      <x:c r="E26"/>
      <x:c r="F26"/>
      <x:c r="G26"/>
      <x:c r="H26"/>
    </x:row>
    <x:row r="27" ht="30" customHeight="1">
      <x:c r="B27" s="16" t="str">
        <x:v>All 522 physical gates remain open and all nine downstream gates remain blocked. Exterior rendering is intentionally excluded.</x:v>
      </x:c>
      <x:c r="C27"/>
      <x:c r="D27"/>
      <x:c r="E27"/>
      <x:c r="F27"/>
      <x:c r="G27"/>
      <x:c r="H27"/>
    </x:row>
  </x:sheetData>
  <x:mergeCells>
    <x:mergeCell ref="B22:H22"/>
    <x:mergeCell ref="B23:H23"/>
    <x:mergeCell ref="B24:H24"/>
    <x:mergeCell ref="B25:H25"/>
    <x:mergeCell ref="B26:H26"/>
    <x:mergeCell ref="B27:H27"/>
  </x:mergeCells>
  <x:pageMargins left="0.7" right="0.7" top="0.75" bottom="0.75" header="0.3" footer="0.3"/>
</x:worksheet>
</file>

<file path=xl/worksheets/sheet2.xml><?xml version="1.0" encoding="utf-8"?>
<x:worksheet xmlns:x="http://schemas.openxmlformats.org/spreadsheetml/2006/main">
  <x:sheetPr>
    <x:tabColor rgb="FF78A9D1"/>
  </x:sheetPr>
  <x:sheetViews>
    <x:sheetView showGridLines="0" workbookViewId="0">
      <x:pane xSplit="2" ySplit="6" topLeftCell="C7" activePane="bottomRight" state="frozen"/>
    </x:sheetView>
  </x:sheetViews>
  <x:sheetFormatPr defaultRowHeight="15"/>
  <x:cols>
    <x:col min="2" max="2" width="11" hidden="0" customWidth="1"/>
    <x:col min="3" max="3" width="42" hidden="0" customWidth="1"/>
    <x:col min="4" max="4" width="18" hidden="0" customWidth="1"/>
    <x:col min="5" max="5" width="18" hidden="0" customWidth="1"/>
    <x:col min="6" max="6" width="14" hidden="0" customWidth="1"/>
    <x:col min="7" max="7" width="20" hidden="0" customWidth="1"/>
  </x:cols>
  <x:sheetData>
    <x:row r="2">
      <x:c r="B2" s="1" t="str">
        <x:v>RHP-1 controls</x:v>
      </x:c>
    </x:row>
    <x:row r="3">
      <x:c r="B3" s="2" t="str">
        <x:v>Blue cells are editable hypotheses. Physical acceptance and every downstream authority remain zero.</x:v>
      </x:c>
    </x:row>
    <x:row r="5">
      <x:c r="B5" s="3"/>
      <x:c r="C5" s="3"/>
      <x:c r="D5" s="3"/>
      <x:c r="E5" s="3"/>
      <x:c r="F5" s="3"/>
      <x:c r="G5" s="3"/>
      <x:c r="H5" s="3"/>
      <x:c r="I5" s="3"/>
      <x:c r="J5" s="3"/>
      <x:c r="K5" s="3"/>
      <x:c r="L5" s="3"/>
      <x:c r="M5" s="3"/>
      <x:c r="N5" s="3"/>
      <x:c r="O5" s="3"/>
      <x:c r="P5" s="3"/>
      <x:c r="Q5" s="3"/>
      <x:c r="R5" s="3"/>
    </x:row>
    <x:row r="6" ht="24" customHeight="1">
      <x:c r="B6" s="7" t="str">
        <x:v>ID</x:v>
      </x:c>
      <x:c r="C6" s="7" t="str">
        <x:v>Control</x:v>
      </x:c>
      <x:c r="D6" s="7" t="str">
        <x:v>Value</x:v>
      </x:c>
      <x:c r="E6" s="7" t="str">
        <x:v>Unit</x:v>
      </x:c>
      <x:c r="F6" s="7" t="str">
        <x:v>Class</x:v>
      </x:c>
      <x:c r="G6" s="7" t="str">
        <x:v>Internal authority</x:v>
      </x:c>
    </x:row>
    <x:row r="7">
      <x:c r="B7" t="str">
        <x:v>C01</x:v>
      </x:c>
      <x:c r="C7" t="str">
        <x:v>public neutral rigs</x:v>
      </x:c>
      <x:c r="D7" s="10" t="n">
        <x:v>6</x:v>
      </x:c>
      <x:c r="E7" t="str">
        <x:v>count</x:v>
      </x:c>
      <x:c r="F7" t="str">
        <x:v>design</x:v>
      </x:c>
      <x:c r="G7" t="str">
        <x:v>RHP-1</x:v>
      </x:c>
    </x:row>
    <x:row r="8">
      <x:c r="B8" t="str">
        <x:v>C02</x:v>
      </x:c>
      <x:c r="C8" t="str">
        <x:v>campuses</x:v>
      </x:c>
      <x:c r="D8" s="10" t="n">
        <x:v>3</x:v>
      </x:c>
      <x:c r="E8" t="str">
        <x:v>count</x:v>
      </x:c>
      <x:c r="F8" t="str">
        <x:v>inherited</x:v>
      </x:c>
      <x:c r="G8" t="str">
        <x:v>PTC-0</x:v>
      </x:c>
    </x:row>
    <x:row r="9">
      <x:c r="B9" t="str">
        <x:v>C03</x:v>
      </x:c>
      <x:c r="C9" t="str">
        <x:v>source mass</x:v>
      </x:c>
      <x:c r="D9" s="10" t="n">
        <x:v>2000</x:v>
      </x:c>
      <x:c r="E9" t="str">
        <x:v>kg</x:v>
      </x:c>
      <x:c r="F9" t="str">
        <x:v>inherited</x:v>
      </x:c>
      <x:c r="G9" t="str">
        <x:v>SBD-1</x:v>
      </x:c>
    </x:row>
    <x:row r="10">
      <x:c r="B10" t="str">
        <x:v>C04</x:v>
      </x:c>
      <x:c r="C10" t="str">
        <x:v>liquid density</x:v>
      </x:c>
      <x:c r="D10" s="10" t="n">
        <x:v>668</x:v>
      </x:c>
      <x:c r="E10" t="str">
        <x:v>kg/m3</x:v>
      </x:c>
      <x:c r="F10" t="str">
        <x:v>inherited</x:v>
      </x:c>
      <x:c r="G10" t="str">
        <x:v>MCR-1</x:v>
      </x:c>
    </x:row>
    <x:row r="11">
      <x:c r="B11" t="str">
        <x:v>C05</x:v>
      </x:c>
      <x:c r="C11" t="str">
        <x:v>source shell ID</x:v>
      </x:c>
      <x:c r="D11" s="10" t="n">
        <x:v>1.5</x:v>
      </x:c>
      <x:c r="E11" t="str">
        <x:v>m</x:v>
      </x:c>
      <x:c r="F11" t="str">
        <x:v>design</x:v>
      </x:c>
      <x:c r="G11" t="str">
        <x:v>RHP-1</x:v>
      </x:c>
    </x:row>
    <x:row r="12">
      <x:c r="B12" t="str">
        <x:v>C06</x:v>
      </x:c>
      <x:c r="C12" t="str">
        <x:v>cylinder tangent length</x:v>
      </x:c>
      <x:c r="D12" s="10" t="n">
        <x:v>1.76</x:v>
      </x:c>
      <x:c r="E12" t="str">
        <x:v>m</x:v>
      </x:c>
      <x:c r="F12" t="str">
        <x:v>design</x:v>
      </x:c>
      <x:c r="G12" t="str">
        <x:v>RHP-1</x:v>
      </x:c>
    </x:row>
    <x:row r="13">
      <x:c r="B13" t="str">
        <x:v>C07</x:v>
      </x:c>
      <x:c r="C13" t="str">
        <x:v>design pressure</x:v>
      </x:c>
      <x:c r="D13" s="10" t="n">
        <x:v>3</x:v>
      </x:c>
      <x:c r="E13" t="str">
        <x:v>MPa</x:v>
      </x:c>
      <x:c r="F13" t="str">
        <x:v>design</x:v>
      </x:c>
      <x:c r="G13" t="str">
        <x:v>RHP-1</x:v>
      </x:c>
    </x:row>
    <x:row r="14">
      <x:c r="B14" t="str">
        <x:v>C08</x:v>
      </x:c>
      <x:c r="C14" t="str">
        <x:v>proof pressure</x:v>
      </x:c>
      <x:c r="D14" s="10" t="n">
        <x:v>4.5</x:v>
      </x:c>
      <x:c r="E14" t="str">
        <x:v>MPa</x:v>
      </x:c>
      <x:c r="F14" t="str">
        <x:v>design</x:v>
      </x:c>
      <x:c r="G14" t="str">
        <x:v>RHP-1</x:v>
      </x:c>
    </x:row>
    <x:row r="15">
      <x:c r="B15" t="str">
        <x:v>C09</x:v>
      </x:c>
      <x:c r="C15" t="str">
        <x:v>minimum temperature</x:v>
      </x:c>
      <x:c r="D15" s="10" t="n">
        <x:v>243</x:v>
      </x:c>
      <x:c r="E15" t="str">
        <x:v>K</x:v>
      </x:c>
      <x:c r="F15" t="str">
        <x:v>design</x:v>
      </x:c>
      <x:c r="G15" t="str">
        <x:v>RHP-1</x:v>
      </x:c>
    </x:row>
    <x:row r="16">
      <x:c r="B16" t="str">
        <x:v>C10</x:v>
      </x:c>
      <x:c r="C16" t="str">
        <x:v>maximum temperature</x:v>
      </x:c>
      <x:c r="D16" s="10" t="n">
        <x:v>373</x:v>
      </x:c>
      <x:c r="E16" t="str">
        <x:v>K</x:v>
      </x:c>
      <x:c r="F16" t="str">
        <x:v>design</x:v>
      </x:c>
      <x:c r="G16" t="str">
        <x:v>RHP-1</x:v>
      </x:c>
    </x:row>
    <x:row r="17">
      <x:c r="B17" t="str">
        <x:v>C11</x:v>
      </x:c>
      <x:c r="C17" t="str">
        <x:v>material allowable</x:v>
      </x:c>
      <x:c r="D17" s="10" t="n">
        <x:v>120</x:v>
      </x:c>
      <x:c r="E17" t="str">
        <x:v>MPa</x:v>
      </x:c>
      <x:c r="F17" t="str">
        <x:v>declared</x:v>
      </x:c>
      <x:c r="G17" t="str">
        <x:v>RHP-1</x:v>
      </x:c>
    </x:row>
    <x:row r="18">
      <x:c r="B18" t="str">
        <x:v>C12</x:v>
      </x:c>
      <x:c r="C18" t="str">
        <x:v>weld efficiency</x:v>
      </x:c>
      <x:c r="D18" s="10" t="n">
        <x:v>0.85</x:v>
      </x:c>
      <x:c r="E18" t="str">
        <x:v>ratio</x:v>
      </x:c>
      <x:c r="F18" t="str">
        <x:v>declared</x:v>
      </x:c>
      <x:c r="G18" t="str">
        <x:v>RHP-1</x:v>
      </x:c>
    </x:row>
    <x:row r="19">
      <x:c r="B19" t="str">
        <x:v>C13</x:v>
      </x:c>
      <x:c r="C19" t="str">
        <x:v>corrosion allowance</x:v>
      </x:c>
      <x:c r="D19" s="10" t="n">
        <x:v>2</x:v>
      </x:c>
      <x:c r="E19" t="str">
        <x:v>mm</x:v>
      </x:c>
      <x:c r="F19" t="str">
        <x:v>declared</x:v>
      </x:c>
      <x:c r="G19" t="str">
        <x:v>RHP-1</x:v>
      </x:c>
    </x:row>
    <x:row r="20">
      <x:c r="B20" t="str">
        <x:v>C14</x:v>
      </x:c>
      <x:c r="C20" t="str">
        <x:v>manufacturing allowance</x:v>
      </x:c>
      <x:c r="D20" s="10" t="n">
        <x:v>2.5</x:v>
      </x:c>
      <x:c r="E20" t="str">
        <x:v>mm</x:v>
      </x:c>
      <x:c r="F20" t="str">
        <x:v>declared</x:v>
      </x:c>
      <x:c r="G20" t="str">
        <x:v>RHP-1</x:v>
      </x:c>
    </x:row>
    <x:row r="21">
      <x:c r="B21" t="str">
        <x:v>C15</x:v>
      </x:c>
      <x:c r="C21" t="str">
        <x:v>steel density</x:v>
      </x:c>
      <x:c r="D21" s="10" t="n">
        <x:v>7850</x:v>
      </x:c>
      <x:c r="E21" t="str">
        <x:v>kg/m3</x:v>
      </x:c>
      <x:c r="F21" t="str">
        <x:v>declared</x:v>
      </x:c>
      <x:c r="G21" t="str">
        <x:v>RHP-1</x:v>
      </x:c>
    </x:row>
    <x:row r="22">
      <x:c r="B22" t="str">
        <x:v>C16</x:v>
      </x:c>
      <x:c r="C22" t="str">
        <x:v>vessel outfitting factor</x:v>
      </x:c>
      <x:c r="D22" s="10" t="n">
        <x:v>1.45</x:v>
      </x:c>
      <x:c r="E22" t="str">
        <x:v>ratio</x:v>
      </x:c>
      <x:c r="F22" t="str">
        <x:v>declared</x:v>
      </x:c>
      <x:c r="G22" t="str">
        <x:v>RHP-1</x:v>
      </x:c>
    </x:row>
    <x:row r="23">
      <x:c r="B23" t="str">
        <x:v>C17</x:v>
      </x:c>
      <x:c r="C23" t="str">
        <x:v>thermal zones per rig</x:v>
      </x:c>
      <x:c r="D23" s="10" t="n">
        <x:v>16</x:v>
      </x:c>
      <x:c r="E23" t="str">
        <x:v>count</x:v>
      </x:c>
      <x:c r="F23" t="str">
        <x:v>design</x:v>
      </x:c>
      <x:c r="G23" t="str">
        <x:v>RHP-1</x:v>
      </x:c>
    </x:row>
    <x:row r="24">
      <x:c r="B24" t="str">
        <x:v>C18</x:v>
      </x:c>
      <x:c r="C24" t="str">
        <x:v>thermal output per zone</x:v>
      </x:c>
      <x:c r="D24" s="10" t="n">
        <x:v>0.5</x:v>
      </x:c>
      <x:c r="E24" t="str">
        <x:v>MW</x:v>
      </x:c>
      <x:c r="F24" t="str">
        <x:v>design</x:v>
      </x:c>
      <x:c r="G24" t="str">
        <x:v>RHP-1</x:v>
      </x:c>
    </x:row>
    <x:row r="25">
      <x:c r="B25" t="str">
        <x:v>C19</x:v>
      </x:c>
      <x:c r="C25" t="str">
        <x:v>common flange ID</x:v>
      </x:c>
      <x:c r="D25" s="10" t="n">
        <x:v>0.9</x:v>
      </x:c>
      <x:c r="E25" t="str">
        <x:v>m</x:v>
      </x:c>
      <x:c r="F25" t="str">
        <x:v>design</x:v>
      </x:c>
      <x:c r="G25" t="str">
        <x:v>RHP-1</x:v>
      </x:c>
    </x:row>
    <x:row r="26">
      <x:c r="B26" t="str">
        <x:v>C20</x:v>
      </x:c>
      <x:c r="C26" t="str">
        <x:v>route length</x:v>
      </x:c>
      <x:c r="D26" s="10" t="n">
        <x:v>80</x:v>
      </x:c>
      <x:c r="E26" t="str">
        <x:v>m</x:v>
      </x:c>
      <x:c r="F26" t="str">
        <x:v>design</x:v>
      </x:c>
      <x:c r="G26" t="str">
        <x:v>RHP-1</x:v>
      </x:c>
    </x:row>
    <x:row r="27">
      <x:c r="B27" t="str">
        <x:v>C21</x:v>
      </x:c>
      <x:c r="C27" t="str">
        <x:v>route segments per bay</x:v>
      </x:c>
      <x:c r="D27" s="10" t="n">
        <x:v>8</x:v>
      </x:c>
      <x:c r="E27" t="str">
        <x:v>count</x:v>
      </x:c>
      <x:c r="F27" t="str">
        <x:v>design</x:v>
      </x:c>
      <x:c r="G27" t="str">
        <x:v>RHP-1</x:v>
      </x:c>
    </x:row>
    <x:row r="28">
      <x:c r="B28" t="str">
        <x:v>C22</x:v>
      </x:c>
      <x:c r="C28" t="str">
        <x:v>route bays per rig</x:v>
      </x:c>
      <x:c r="D28" s="10" t="n">
        <x:v>3</x:v>
      </x:c>
      <x:c r="E28" t="str">
        <x:v>count</x:v>
      </x:c>
      <x:c r="F28" t="str">
        <x:v>design</x:v>
      </x:c>
      <x:c r="G28" t="str">
        <x:v>RHP-1</x:v>
      </x:c>
    </x:row>
    <x:row r="29">
      <x:c r="B29" t="str">
        <x:v>C23</x:v>
      </x:c>
      <x:c r="C29" t="str">
        <x:v>support spacing</x:v>
      </x:c>
      <x:c r="D29" s="10" t="n">
        <x:v>4</x:v>
      </x:c>
      <x:c r="E29" t="str">
        <x:v>m</x:v>
      </x:c>
      <x:c r="F29" t="str">
        <x:v>design</x:v>
      </x:c>
      <x:c r="G29" t="str">
        <x:v>RHP-1</x:v>
      </x:c>
    </x:row>
    <x:row r="30">
      <x:c r="B30" t="str">
        <x:v>C24</x:v>
      </x:c>
      <x:c r="C30" t="str">
        <x:v>restriction states</x:v>
      </x:c>
      <x:c r="D30" s="10" t="n">
        <x:v>3</x:v>
      </x:c>
      <x:c r="E30" t="str">
        <x:v>count</x:v>
      </x:c>
      <x:c r="F30" t="str">
        <x:v>design</x:v>
      </x:c>
      <x:c r="G30" t="str">
        <x:v>RHP-1</x:v>
      </x:c>
    </x:row>
    <x:row r="31">
      <x:c r="B31" t="str">
        <x:v>C25</x:v>
      </x:c>
      <x:c r="C31" t="str">
        <x:v>receiver fill fraction</x:v>
      </x:c>
      <x:c r="D31" s="10" t="n">
        <x:v>0.8</x:v>
      </x:c>
      <x:c r="E31" t="str">
        <x:v>ratio</x:v>
      </x:c>
      <x:c r="F31" t="str">
        <x:v>design</x:v>
      </x:c>
      <x:c r="G31" t="str">
        <x:v>RHP-1</x:v>
      </x:c>
    </x:row>
    <x:row r="32">
      <x:c r="B32" t="str">
        <x:v>C26</x:v>
      </x:c>
      <x:c r="C32" t="str">
        <x:v>receiver hard ceiling</x:v>
      </x:c>
      <x:c r="D32" s="10" t="n">
        <x:v>0.3</x:v>
      </x:c>
      <x:c r="E32" t="str">
        <x:v>MPa</x:v>
      </x:c>
      <x:c r="F32" t="str">
        <x:v>design</x:v>
      </x:c>
      <x:c r="G32" t="str">
        <x:v>RHP-1</x:v>
      </x:c>
    </x:row>
    <x:row r="33">
      <x:c r="B33" t="str">
        <x:v>C27</x:v>
      </x:c>
      <x:c r="C33" t="str">
        <x:v>full-rate interval</x:v>
      </x:c>
      <x:c r="D33" s="10" t="n">
        <x:v>300</x:v>
      </x:c>
      <x:c r="E33" t="str">
        <x:v>s</x:v>
      </x:c>
      <x:c r="F33" t="str">
        <x:v>design</x:v>
      </x:c>
      <x:c r="G33" t="str">
        <x:v>RHP-1</x:v>
      </x:c>
    </x:row>
    <x:row r="34">
      <x:c r="B34" t="str">
        <x:v>C28</x:v>
      </x:c>
      <x:c r="C34" t="str">
        <x:v>tail interval</x:v>
      </x:c>
      <x:c r="D34" s="10" t="n">
        <x:v>21600</x:v>
      </x:c>
      <x:c r="E34" t="str">
        <x:v>s</x:v>
      </x:c>
      <x:c r="F34" t="str">
        <x:v>design</x:v>
      </x:c>
      <x:c r="G34" t="str">
        <x:v>RHP-1</x:v>
      </x:c>
    </x:row>
    <x:row r="35">
      <x:c r="B35" t="str">
        <x:v>C29</x:v>
      </x:c>
      <x:c r="C35" t="str">
        <x:v>tail rate fraction</x:v>
      </x:c>
      <x:c r="D35" s="10" t="n">
        <x:v>0.01</x:v>
      </x:c>
      <x:c r="E35" t="str">
        <x:v>ratio</x:v>
      </x:c>
      <x:c r="F35" t="str">
        <x:v>design</x:v>
      </x:c>
      <x:c r="G35" t="str">
        <x:v>RHP-1</x:v>
      </x:c>
    </x:row>
    <x:row r="36">
      <x:c r="B36" t="str">
        <x:v>C30</x:v>
      </x:c>
      <x:c r="C36" t="str">
        <x:v>evidence originals</x:v>
      </x:c>
      <x:c r="D36" s="10" t="n">
        <x:v>2</x:v>
      </x:c>
      <x:c r="E36" t="str">
        <x:v>count</x:v>
      </x:c>
      <x:c r="F36" t="str">
        <x:v>inherited</x:v>
      </x:c>
      <x:c r="G36" t="str">
        <x:v>SBD-1</x:v>
      </x:c>
    </x:row>
    <x:row r="37">
      <x:c r="B37" t="str">
        <x:v>C31</x:v>
      </x:c>
      <x:c r="C37" t="str">
        <x:v>custody overhead</x:v>
      </x:c>
      <x:c r="D37" s="10" t="n">
        <x:v>1.35</x:v>
      </x:c>
      <x:c r="E37" t="str">
        <x:v>ratio</x:v>
      </x:c>
      <x:c r="F37" t="str">
        <x:v>inherited</x:v>
      </x:c>
      <x:c r="G37" t="str">
        <x:v>SBD-1</x:v>
      </x:c>
    </x:row>
    <x:row r="38">
      <x:c r="B38" t="str">
        <x:v>C32</x:v>
      </x:c>
      <x:c r="C38" t="str">
        <x:v>registered events</x:v>
      </x:c>
      <x:c r="D38" s="10" t="n">
        <x:v>306</x:v>
      </x:c>
      <x:c r="E38" t="str">
        <x:v>count</x:v>
      </x:c>
      <x:c r="F38" t="str">
        <x:v>inherited</x:v>
      </x:c>
      <x:c r="G38" t="str">
        <x:v>RHT-1</x:v>
      </x:c>
    </x:row>
    <x:row r="39">
      <x:c r="B39" t="str">
        <x:v>C33</x:v>
      </x:c>
      <x:c r="C39" t="str">
        <x:v>campaign duration</x:v>
      </x:c>
      <x:c r="D39" s="10" t="n">
        <x:v>30</x:v>
      </x:c>
      <x:c r="E39" t="str">
        <x:v>months</x:v>
      </x:c>
      <x:c r="F39" t="str">
        <x:v>design</x:v>
      </x:c>
      <x:c r="G39" t="str">
        <x:v>RHP-1</x:v>
      </x:c>
    </x:row>
    <x:row r="40">
      <x:c r="B40" t="str">
        <x:v>C34</x:v>
      </x:c>
      <x:c r="C40" t="str">
        <x:v>mission workforce</x:v>
      </x:c>
      <x:c r="D40" s="10" t="n">
        <x:v>372</x:v>
      </x:c>
      <x:c r="E40" t="str">
        <x:v>positions</x:v>
      </x:c>
      <x:c r="F40" t="str">
        <x:v>design</x:v>
      </x:c>
      <x:c r="G40" t="str">
        <x:v>RHP-1</x:v>
      </x:c>
    </x:row>
    <x:row r="41">
      <x:c r="B41" t="str">
        <x:v>C35</x:v>
      </x:c>
      <x:c r="C41" t="str">
        <x:v>gross capital</x:v>
      </x:c>
      <x:c r="D41" s="10" t="n">
        <x:v>410</x:v>
      </x:c>
      <x:c r="E41" t="str">
        <x:v>USD M</x:v>
      </x:c>
      <x:c r="F41" t="str">
        <x:v>design</x:v>
      </x:c>
      <x:c r="G41" t="str">
        <x:v>RHP-1</x:v>
      </x:c>
    </x:row>
    <x:row r="42">
      <x:c r="B42" t="str">
        <x:v>C36</x:v>
      </x:c>
      <x:c r="C42" t="str">
        <x:v>CISA capital share</x:v>
      </x:c>
      <x:c r="D42" s="10" t="n">
        <x:v>260</x:v>
      </x:c>
      <x:c r="E42" t="str">
        <x:v>USD M</x:v>
      </x:c>
      <x:c r="F42" t="str">
        <x:v>design</x:v>
      </x:c>
      <x:c r="G42" t="str">
        <x:v>RHP-1</x:v>
      </x:c>
    </x:row>
    <x:row r="43">
      <x:c r="B43" t="str">
        <x:v>C37</x:v>
      </x:c>
      <x:c r="C43" t="str">
        <x:v>shared capital share</x:v>
      </x:c>
      <x:c r="D43" s="10" t="n">
        <x:v>150</x:v>
      </x:c>
      <x:c r="E43" t="str">
        <x:v>USD M</x:v>
      </x:c>
      <x:c r="F43" t="str">
        <x:v>design</x:v>
      </x:c>
      <x:c r="G43" t="str">
        <x:v>RHP-1</x:v>
      </x:c>
    </x:row>
    <x:row r="44">
      <x:c r="B44" t="str">
        <x:v>C38</x:v>
      </x:c>
      <x:c r="C44" t="str">
        <x:v>gross annual support</x:v>
      </x:c>
      <x:c r="D44" s="10" t="n">
        <x:v>72</x:v>
      </x:c>
      <x:c r="E44" t="str">
        <x:v>USD M/year</x:v>
      </x:c>
      <x:c r="F44" t="str">
        <x:v>design</x:v>
      </x:c>
      <x:c r="G44" t="str">
        <x:v>RHP-1</x:v>
      </x:c>
    </x:row>
    <x:row r="45">
      <x:c r="B45" t="str">
        <x:v>C39</x:v>
      </x:c>
      <x:c r="C45" t="str">
        <x:v>CISA annual share</x:v>
      </x:c>
      <x:c r="D45" s="10" t="n">
        <x:v>46</x:v>
      </x:c>
      <x:c r="E45" t="str">
        <x:v>USD M/year</x:v>
      </x:c>
      <x:c r="F45" t="str">
        <x:v>design</x:v>
      </x:c>
      <x:c r="G45" t="str">
        <x:v>RHP-1</x:v>
      </x:c>
    </x:row>
    <x:row r="46">
      <x:c r="B46" t="str">
        <x:v>C40</x:v>
      </x:c>
      <x:c r="C46" t="str">
        <x:v>shared annual share</x:v>
      </x:c>
      <x:c r="D46" s="10" t="n">
        <x:v>26</x:v>
      </x:c>
      <x:c r="E46" t="str">
        <x:v>USD M/year</x:v>
      </x:c>
      <x:c r="F46" t="str">
        <x:v>design</x:v>
      </x:c>
      <x:c r="G46" t="str">
        <x:v>RHP-1</x:v>
      </x:c>
    </x:row>
    <x:row r="47">
      <x:c r="B47" t="str">
        <x:v>C41</x:v>
      </x:c>
      <x:c r="C47" t="str">
        <x:v>RHT overlap capital</x:v>
      </x:c>
      <x:c r="D47" s="10" t="n">
        <x:v>300</x:v>
      </x:c>
      <x:c r="E47" t="str">
        <x:v>USD M</x:v>
      </x:c>
      <x:c r="F47" t="str">
        <x:v>design</x:v>
      </x:c>
      <x:c r="G47" t="str">
        <x:v>RHP-1</x:v>
      </x:c>
    </x:row>
    <x:row r="48">
      <x:c r="B48" t="str">
        <x:v>C42</x:v>
      </x:c>
      <x:c r="C48" t="str">
        <x:v>RHT overlap annual</x:v>
      </x:c>
      <x:c r="D48" s="10" t="n">
        <x:v>48</x:v>
      </x:c>
      <x:c r="E48" t="str">
        <x:v>USD M/year</x:v>
      </x:c>
      <x:c r="F48" t="str">
        <x:v>design</x:v>
      </x:c>
      <x:c r="G48" t="str">
        <x:v>RHP-1</x:v>
      </x:c>
    </x:row>
    <x:row r="49">
      <x:c r="B49" t="str">
        <x:v>C43</x:v>
      </x:c>
      <x:c r="C49" t="str">
        <x:v>CISA overlap capital</x:v>
      </x:c>
      <x:c r="D49" s="10" t="n">
        <x:v>180</x:v>
      </x:c>
      <x:c r="E49" t="str">
        <x:v>USD M</x:v>
      </x:c>
      <x:c r="F49" t="str">
        <x:v>design</x:v>
      </x:c>
      <x:c r="G49" t="str">
        <x:v>RHP-1</x:v>
      </x:c>
    </x:row>
    <x:row r="50">
      <x:c r="B50" t="str">
        <x:v>C44</x:v>
      </x:c>
      <x:c r="C50" t="str">
        <x:v>CISA overlap annual</x:v>
      </x:c>
      <x:c r="D50" s="10" t="n">
        <x:v>32</x:v>
      </x:c>
      <x:c r="E50" t="str">
        <x:v>USD M/year</x:v>
      </x:c>
      <x:c r="F50" t="str">
        <x:v>design</x:v>
      </x:c>
      <x:c r="G50" t="str">
        <x:v>RHP-1</x:v>
      </x:c>
    </x:row>
    <x:row r="51">
      <x:c r="B51" t="str">
        <x:v>C45</x:v>
      </x:c>
      <x:c r="C51" t="str">
        <x:v>shared overlap capital</x:v>
      </x:c>
      <x:c r="D51" s="10" t="n">
        <x:v>120</x:v>
      </x:c>
      <x:c r="E51" t="str">
        <x:v>USD M</x:v>
      </x:c>
      <x:c r="F51" t="str">
        <x:v>design</x:v>
      </x:c>
      <x:c r="G51" t="str">
        <x:v>RHP-1</x:v>
      </x:c>
    </x:row>
    <x:row r="52">
      <x:c r="B52" t="str">
        <x:v>C46</x:v>
      </x:c>
      <x:c r="C52" t="str">
        <x:v>shared overlap annual</x:v>
      </x:c>
      <x:c r="D52" s="10" t="n">
        <x:v>16</x:v>
      </x:c>
      <x:c r="E52" t="str">
        <x:v>USD M/year</x:v>
      </x:c>
      <x:c r="F52" t="str">
        <x:v>design</x:v>
      </x:c>
      <x:c r="G52" t="str">
        <x:v>RHP-1</x:v>
      </x:c>
    </x:row>
    <x:row r="53">
      <x:c r="B53" t="str">
        <x:v>C47</x:v>
      </x:c>
      <x:c r="C53" t="str">
        <x:v>BRD-5R capital</x:v>
      </x:c>
      <x:c r="D53" s="10" t="n">
        <x:v>1298</x:v>
      </x:c>
      <x:c r="E53" t="str">
        <x:v>USD M</x:v>
      </x:c>
      <x:c r="F53" t="str">
        <x:v>inherited</x:v>
      </x:c>
      <x:c r="G53" t="str">
        <x:v>RHT-1</x:v>
      </x:c>
    </x:row>
    <x:row r="54">
      <x:c r="B54" t="str">
        <x:v>C48</x:v>
      </x:c>
      <x:c r="C54" t="str">
        <x:v>BRD-5R annual</x:v>
      </x:c>
      <x:c r="D54" s="10" t="n">
        <x:v>246</x:v>
      </x:c>
      <x:c r="E54" t="str">
        <x:v>USD M/year</x:v>
      </x:c>
      <x:c r="F54" t="str">
        <x:v>inherited</x:v>
      </x:c>
      <x:c r="G54" t="str">
        <x:v>RHT-1</x:v>
      </x:c>
    </x:row>
    <x:row r="55">
      <x:c r="B55" t="str">
        <x:v>C49</x:v>
      </x:c>
      <x:c r="C55" t="str">
        <x:v>BRD-5U capital</x:v>
      </x:c>
      <x:c r="D55" s="10" t="n">
        <x:v>1771</x:v>
      </x:c>
      <x:c r="E55" t="str">
        <x:v>USD M</x:v>
      </x:c>
      <x:c r="F55" t="str">
        <x:v>inherited</x:v>
      </x:c>
      <x:c r="G55" t="str">
        <x:v>RHT-1</x:v>
      </x:c>
    </x:row>
    <x:row r="56">
      <x:c r="B56" t="str">
        <x:v>C50</x:v>
      </x:c>
      <x:c r="C56" t="str">
        <x:v>BRD-5U annual</x:v>
      </x:c>
      <x:c r="D56" s="10" t="n">
        <x:v>345</x:v>
      </x:c>
      <x:c r="E56" t="str">
        <x:v>USD M/year</x:v>
      </x:c>
      <x:c r="F56" t="str">
        <x:v>inherited</x:v>
      </x:c>
      <x:c r="G56" t="str">
        <x:v>RHT-1</x:v>
      </x:c>
    </x:row>
    <x:row r="57">
      <x:c r="B57" t="str">
        <x:v>C51</x:v>
      </x:c>
      <x:c r="C57" t="str">
        <x:v>CISA parent capital</x:v>
      </x:c>
      <x:c r="D57" s="10" t="n">
        <x:v>960</x:v>
      </x:c>
      <x:c r="E57" t="str">
        <x:v>USD M</x:v>
      </x:c>
      <x:c r="F57" t="str">
        <x:v>inherited</x:v>
      </x:c>
      <x:c r="G57" t="str">
        <x:v>CISA-1</x:v>
      </x:c>
    </x:row>
    <x:row r="58">
      <x:c r="B58" t="str">
        <x:v>C52</x:v>
      </x:c>
      <x:c r="C58" t="str">
        <x:v>CISA parent annual</x:v>
      </x:c>
      <x:c r="D58" s="10" t="n">
        <x:v>260</x:v>
      </x:c>
      <x:c r="E58" t="str">
        <x:v>USD M/year</x:v>
      </x:c>
      <x:c r="F58" t="str">
        <x:v>inherited</x:v>
      </x:c>
      <x:c r="G58" t="str">
        <x:v>CISA-1</x:v>
      </x:c>
    </x:row>
    <x:row r="59">
      <x:c r="B59" t="str">
        <x:v>C53</x:v>
      </x:c>
      <x:c r="C59" t="str">
        <x:v>accepted rigs</x:v>
      </x:c>
      <x:c r="D59" s="10" t="n">
        <x:v>0</x:v>
      </x:c>
      <x:c r="E59" t="str">
        <x:v>count</x:v>
      </x:c>
      <x:c r="F59" t="str">
        <x:v>physical</x:v>
      </x:c>
      <x:c r="G59" t="str">
        <x:v>authority</x:v>
      </x:c>
    </x:row>
    <x:row r="60">
      <x:c r="B60" t="str">
        <x:v>C54</x:v>
      </x:c>
      <x:c r="C60" t="str">
        <x:v>accepted physical items</x:v>
      </x:c>
      <x:c r="D60" s="10" t="n">
        <x:v>0</x:v>
      </x:c>
      <x:c r="E60" t="str">
        <x:v>count</x:v>
      </x:c>
      <x:c r="F60" t="str">
        <x:v>physical</x:v>
      </x:c>
      <x:c r="G60" t="str">
        <x:v>authority</x:v>
      </x:c>
    </x:row>
    <x:row r="61">
      <x:c r="B61" t="str">
        <x:v>C55</x:v>
      </x:c>
      <x:c r="C61" t="str">
        <x:v>RHT architecture selection</x:v>
      </x:c>
      <x:c r="D61" s="10" t="n">
        <x:v>0</x:v>
      </x:c>
      <x:c r="E61" t="str">
        <x:v>binary</x:v>
      </x:c>
      <x:c r="F61" t="str">
        <x:v>authority</x:v>
      </x:c>
      <x:c r="G61" t="str">
        <x:v>downstream</x:v>
      </x:c>
    </x:row>
    <x:row r="62">
      <x:c r="B62" t="str">
        <x:v>C56</x:v>
      </x:c>
      <x:c r="C62" t="str">
        <x:v>Root B configuration freeze</x:v>
      </x:c>
      <x:c r="D62" s="10" t="n">
        <x:v>0</x:v>
      </x:c>
      <x:c r="E62" t="str">
        <x:v>binary</x:v>
      </x:c>
      <x:c r="F62" t="str">
        <x:v>authority</x:v>
      </x:c>
      <x:c r="G62" t="str">
        <x:v>downstream</x:v>
      </x:c>
    </x:row>
    <x:row r="63">
      <x:c r="B63" t="str">
        <x:v>C57</x:v>
      </x:c>
      <x:c r="C63" t="str">
        <x:v>quarter-source authority</x:v>
      </x:c>
      <x:c r="D63" s="10" t="n">
        <x:v>0</x:v>
      </x:c>
      <x:c r="E63" t="str">
        <x:v>binary</x:v>
      </x:c>
      <x:c r="F63" t="str">
        <x:v>authority</x:v>
      </x:c>
      <x:c r="G63" t="str">
        <x:v>downstream</x:v>
      </x:c>
    </x:row>
    <x:row r="64">
      <x:c r="B64" t="str">
        <x:v>C58</x:v>
      </x:c>
      <x:c r="C64" t="str">
        <x:v>full-source authority</x:v>
      </x:c>
      <x:c r="D64" s="10" t="n">
        <x:v>0</x:v>
      </x:c>
      <x:c r="E64" t="str">
        <x:v>binary</x:v>
      </x:c>
      <x:c r="F64" t="str">
        <x:v>authority</x:v>
      </x:c>
      <x:c r="G64" t="str">
        <x:v>downstream</x:v>
      </x:c>
    </x:row>
    <x:row r="65">
      <x:c r="B65" t="str">
        <x:v>C59</x:v>
      </x:c>
      <x:c r="C65" t="str">
        <x:v>paired-event authority</x:v>
      </x:c>
      <x:c r="D65" s="10" t="n">
        <x:v>0</x:v>
      </x:c>
      <x:c r="E65" t="str">
        <x:v>binary</x:v>
      </x:c>
      <x:c r="F65" t="str">
        <x:v>authority</x:v>
      </x:c>
      <x:c r="G65" t="str">
        <x:v>downstream</x:v>
      </x:c>
    </x:row>
    <x:row r="66">
      <x:c r="B66" t="str">
        <x:v>C60</x:v>
      </x:c>
      <x:c r="C66" t="str">
        <x:v>destructive-event authority</x:v>
      </x:c>
      <x:c r="D66" s="10" t="n">
        <x:v>0</x:v>
      </x:c>
      <x:c r="E66" t="str">
        <x:v>binary</x:v>
      </x:c>
      <x:c r="F66" t="str">
        <x:v>authority</x:v>
      </x:c>
      <x:c r="G66" t="str">
        <x:v>downstream</x:v>
      </x:c>
    </x:row>
    <x:row r="67">
      <x:c r="B67" t="str">
        <x:v>C61</x:v>
      </x:c>
      <x:c r="C67" t="str">
        <x:v>production authority</x:v>
      </x:c>
      <x:c r="D67" s="10" t="n">
        <x:v>0</x:v>
      </x:c>
      <x:c r="E67" t="str">
        <x:v>binary</x:v>
      </x:c>
      <x:c r="F67" t="str">
        <x:v>authority</x:v>
      </x:c>
      <x:c r="G67" t="str">
        <x:v>downstream</x:v>
      </x:c>
    </x:row>
    <x:row r="68">
      <x:c r="B68" t="str">
        <x:v>C62</x:v>
      </x:c>
      <x:c r="C68" t="str">
        <x:v>exterior-rendering authority</x:v>
      </x:c>
      <x:c r="D68" s="10" t="n">
        <x:v>0</x:v>
      </x:c>
      <x:c r="E68" t="str">
        <x:v>binary</x:v>
      </x:c>
      <x:c r="F68" t="str">
        <x:v>authority</x:v>
      </x:c>
      <x:c r="G68" t="str">
        <x:v>downstream</x:v>
      </x:c>
    </x:row>
    <x:row r="69">
      <x:c r="B69" t="str">
        <x:v>C63</x:v>
      </x:c>
      <x:c r="C69" t="str">
        <x:v>C2 authority</x:v>
      </x:c>
      <x:c r="D69" s="10" t="n">
        <x:v>0</x:v>
      </x:c>
      <x:c r="E69" t="str">
        <x:v>binary</x:v>
      </x:c>
      <x:c r="F69" t="str">
        <x:v>authority</x:v>
      </x:c>
      <x:c r="G69" t="str">
        <x:v>downstream</x:v>
      </x:c>
    </x:row>
    <x:row r="70">
      <x:c r="B70" t="str">
        <x:v>C64</x:v>
      </x:c>
      <x:c r="C70" t="str">
        <x:v>mass closure expanded limit</x:v>
      </x:c>
      <x:c r="D70" s="10" t="n">
        <x:v>5</x:v>
      </x:c>
      <x:c r="E70" t="str">
        <x:v>kg</x:v>
      </x:c>
      <x:c r="F70" t="str">
        <x:v>inherited</x:v>
      </x:c>
      <x:c r="G70" t="str">
        <x:v>SBD-1</x:v>
      </x:c>
    </x:row>
    <x:row r="71">
      <x:c r="B71" t="str">
        <x:v>C65</x:v>
      </x:c>
      <x:c r="C71" t="str">
        <x:v>route frame design load</x:v>
      </x:c>
      <x:c r="D71" s="10" t="n">
        <x:v>1.2</x:v>
      </x:c>
      <x:c r="E71" t="str">
        <x:v>MN</x:v>
      </x:c>
      <x:c r="F71" t="str">
        <x:v>design</x:v>
      </x:c>
      <x:c r="G71" t="str">
        <x:v>RHP-1</x:v>
      </x:c>
    </x:row>
    <x:row r="72">
      <x:c r="B72" t="str">
        <x:v>C66</x:v>
      </x:c>
      <x:c r="C72" t="str">
        <x:v>receiver vertical reaction</x:v>
      </x:c>
      <x:c r="D72" s="10" t="n">
        <x:v>1.2</x:v>
      </x:c>
      <x:c r="E72" t="str">
        <x:v>MN</x:v>
      </x:c>
      <x:c r="F72" t="str">
        <x:v>design</x:v>
      </x:c>
      <x:c r="G72" t="str">
        <x:v>RHP-1</x:v>
      </x:c>
    </x:row>
    <x:row r="73">
      <x:c r="B73" t="str">
        <x:v>C67</x:v>
      </x:c>
      <x:c r="C73" t="str">
        <x:v>receiver axial reaction</x:v>
      </x:c>
      <x:c r="D73" s="10" t="n">
        <x:v>1.2</x:v>
      </x:c>
      <x:c r="E73" t="str">
        <x:v>MN</x:v>
      </x:c>
      <x:c r="F73" t="str">
        <x:v>design</x:v>
      </x:c>
      <x:c r="G73" t="str">
        <x:v>RHP-1</x:v>
      </x:c>
    </x:row>
    <x:row r="74">
      <x:c r="B74" t="str">
        <x:v>C68</x:v>
      </x:c>
      <x:c r="C74" t="str">
        <x:v>receiver overturning</x:v>
      </x:c>
      <x:c r="D74" s="10" t="n">
        <x:v>1.5</x:v>
      </x:c>
      <x:c r="E74" t="str">
        <x:v>MN-m</x:v>
      </x:c>
      <x:c r="F74" t="str">
        <x:v>design</x:v>
      </x:c>
      <x:c r="G74" t="str">
        <x:v>RHP-1</x:v>
      </x:c>
    </x:row>
    <x:row r="75">
      <x:c r="B75" t="str">
        <x:v>C69</x:v>
      </x:c>
      <x:c r="C75" t="str">
        <x:v>exclusion radius</x:v>
      </x:c>
      <x:c r="D75" s="10" t="n">
        <x:v>250</x:v>
      </x:c>
      <x:c r="E75" t="str">
        <x:v>m</x:v>
      </x:c>
      <x:c r="F75" t="str">
        <x:v>design</x:v>
      </x:c>
      <x:c r="G75" t="str">
        <x:v>RHP-1</x:v>
      </x:c>
    </x:row>
    <x:row r="76">
      <x:c r="B76" t="str">
        <x:v>C70</x:v>
      </x:c>
      <x:c r="C76" t="str">
        <x:v>design completion</x:v>
      </x:c>
      <x:c r="D76" s="10" t="n">
        <x:v>1</x:v>
      </x:c>
      <x:c r="E76" t="str">
        <x:v>binary</x:v>
      </x:c>
      <x:c r="F76" t="str">
        <x:v>design</x:v>
      </x:c>
      <x:c r="G76" t="str">
        <x:v>RHP-1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4" hidden="0" customWidth="1"/>
    <x:col min="3" max="3" width="12" hidden="0" customWidth="1"/>
    <x:col min="4" max="4" width="18" hidden="0" customWidth="1"/>
    <x:col min="5" max="5" width="28" hidden="0" customWidth="1"/>
    <x:col min="6" max="6" width="13" hidden="0" customWidth="1"/>
    <x:col min="8" max="8" width="28" hidden="0" customWidth="1"/>
    <x:col min="9" max="9" width="18" hidden="0" customWidth="1"/>
    <x:col min="10" max="10" width="14" hidden="0" customWidth="1"/>
    <x:col min="11" max="11" width="50" hidden="0" customWidth="1"/>
  </x:cols>
  <x:sheetData>
    <x:row r="2">
      <x:c r="B2" s="1" t="str">
        <x:v>Source-vessel and rig constitution</x:v>
      </x:c>
    </x:row>
    <x:row r="3">
      <x:c r="B3" s="2" t="str">
        <x:v>Six public rigs establish site independence. The shell sizing is a planning screen, not a code certification.</x:v>
      </x:c>
    </x:row>
    <x:row r="5">
      <x:c r="B5" s="3"/>
      <x:c r="C5" s="3"/>
      <x:c r="D5" s="3"/>
      <x:c r="E5" s="3"/>
      <x:c r="F5" s="3"/>
      <x:c r="G5" s="3"/>
      <x:c r="H5" s="3"/>
      <x:c r="I5" s="3"/>
      <x:c r="J5" s="3"/>
      <x:c r="K5" s="3"/>
      <x:c r="L5" s="3"/>
      <x:c r="M5" s="3"/>
      <x:c r="N5" s="3"/>
      <x:c r="O5" s="3"/>
      <x:c r="P5" s="3"/>
      <x:c r="Q5" s="3"/>
      <x:c r="R5" s="3"/>
    </x:row>
    <x:row r="6" ht="24" customHeight="1">
      <x:c r="B6" s="7" t="str">
        <x:v>Rig</x:v>
      </x:c>
      <x:c r="C6" s="7" t="str">
        <x:v>Campus</x:v>
      </x:c>
      <x:c r="D6" s="7" t="str">
        <x:v>Role</x:v>
      </x:c>
      <x:c r="E6" s="7" t="str">
        <x:v>Campaign use</x:v>
      </x:c>
      <x:c r="F6" s="7" t="str">
        <x:v>Accepted</x:v>
      </x:c>
      <x:c r="H6" s="7" t="str">
        <x:v>Quantity</x:v>
      </x:c>
      <x:c r="I6" s="7" t="str">
        <x:v>Formula/value</x:v>
      </x:c>
      <x:c r="J6" s="7" t="str">
        <x:v>Unit</x:v>
      </x:c>
      <x:c r="K6" s="7" t="str">
        <x:v>Interpretation</x:v>
      </x:c>
    </x:row>
    <x:row r="7">
      <x:c r="B7" t="str">
        <x:v>RHP-A1</x:v>
      </x:c>
      <x:c r="C7" t="str">
        <x:v>PTC-A</x:v>
      </x:c>
      <x:c r="D7" t="str">
        <x:v>destructive/rebuild</x:v>
      </x:c>
      <x:c r="E7" t="n">
        <x:v>0</x:v>
      </x:c>
      <x:c r="F7"/>
      <x:c r="H7" t="str">
        <x:v>liquid volume</x:v>
      </x:c>
      <x:c r="I7" s="12" t="n">
        <x:f>Controls!$D$9/Controls!$D$10</x:f>
        <x:v>2.9940119760479043</x:v>
      </x:c>
      <x:c r="J7" t="str">
        <x:v>m3</x:v>
      </x:c>
      <x:c r="K7" t="str">
        <x:v>source inventory</x:v>
      </x:c>
    </x:row>
    <x:row r="8">
      <x:c r="B8" t="str">
        <x:v>RHP-A2</x:v>
      </x:c>
      <x:c r="C8" t="str">
        <x:v>PTC-A</x:v>
      </x:c>
      <x:c r="D8" t="str">
        <x:v>destructive/rebuild</x:v>
      </x:c>
      <x:c r="E8" t="n">
        <x:v>0</x:v>
      </x:c>
      <x:c r="F8"/>
      <x:c r="H8" t="str">
        <x:v>gross vessel volume</x:v>
      </x:c>
      <x:c r="I8" s="12" t="n">
        <x:f>PI()*Controls!$D$11^2/4*Controls!$D$12+PI()*Controls!$D$11^3/12</x:f>
        <x:v>3.993749660876025</x:v>
      </x:c>
      <x:c r="J8" t="str">
        <x:v>m3</x:v>
      </x:c>
      <x:c r="K8" t="str">
        <x:v>cylinder plus paired 2:1 ellipsoidal heads</x:v>
      </x:c>
    </x:row>
    <x:row r="9">
      <x:c r="B9" t="str">
        <x:v>RHP-B1</x:v>
      </x:c>
      <x:c r="C9" t="str">
        <x:v>PTC-B</x:v>
      </x:c>
      <x:c r="D9" t="str">
        <x:v>operational replication</x:v>
      </x:c>
      <x:c r="E9" t="n">
        <x:v>0</x:v>
      </x:c>
      <x:c r="F9"/>
      <x:c r="H9" t="str">
        <x:v>fill fraction</x:v>
      </x:c>
      <x:c r="I9" s="12" t="n">
        <x:f>I7/I8</x:f>
        <x:v>0.7496744238573959</x:v>
      </x:c>
      <x:c r="J9" t="str">
        <x:v>ratio</x:v>
      </x:c>
      <x:c r="K9" t="str">
        <x:v>target below 0.80</x:v>
      </x:c>
    </x:row>
    <x:row r="10">
      <x:c r="B10" t="str">
        <x:v>RHP-B2</x:v>
      </x:c>
      <x:c r="C10" t="str">
        <x:v>PTC-B</x:v>
      </x:c>
      <x:c r="D10" t="str">
        <x:v>operational replication</x:v>
      </x:c>
      <x:c r="E10" t="n">
        <x:v>0</x:v>
      </x:c>
      <x:c r="F10"/>
      <x:c r="H10" t="str">
        <x:v>vapor space</x:v>
      </x:c>
      <x:c r="I10" s="12" t="n">
        <x:f>I8-I7</x:f>
        <x:v>0.9997376848281205</x:v>
      </x:c>
      <x:c r="J10" t="str">
        <x:v>m3</x:v>
      </x:c>
      <x:c r="K10" t="str">
        <x:v>headspace at initial fill</x:v>
      </x:c>
    </x:row>
    <x:row r="11">
      <x:c r="B11" t="str">
        <x:v>RHP-C1</x:v>
      </x:c>
      <x:c r="C11" t="str">
        <x:v>PTC-C</x:v>
      </x:c>
      <x:c r="D11" t="str">
        <x:v>operational replication</x:v>
      </x:c>
      <x:c r="E11" t="n">
        <x:v>0</x:v>
      </x:c>
      <x:c r="F11"/>
      <x:c r="H11" t="str">
        <x:v>heated surface</x:v>
      </x:c>
      <x:c r="I11" s="12" t="n">
        <x:f>14.1</x:f>
        <x:v>14.1</x:v>
      </x:c>
      <x:c r="J11" t="str">
        <x:v>m2</x:v>
      </x:c>
      <x:c r="K11" t="str">
        <x:v>declared planning exterior area including admitted zones</x:v>
      </x:c>
    </x:row>
    <x:row r="12">
      <x:c r="B12" t="str">
        <x:v>RHP-C2</x:v>
      </x:c>
      <x:c r="C12" t="str">
        <x:v>PTC-C</x:v>
      </x:c>
      <x:c r="D12" t="str">
        <x:v>operational replication</x:v>
      </x:c>
      <x:c r="E12" t="n">
        <x:v>0</x:v>
      </x:c>
      <x:c r="F12"/>
      <x:c r="H12" t="str">
        <x:v>installed heat per rig</x:v>
      </x:c>
      <x:c r="I12" s="12" t="n">
        <x:f>Controls!$D$23*Controls!$D$24</x:f>
        <x:v>8</x:v>
      </x:c>
      <x:c r="J12" t="str">
        <x:v>MW</x:v>
      </x:c>
      <x:c r="K12" t="str">
        <x:v>independently metered</x:v>
      </x:c>
    </x:row>
    <x:row r="13">
      <x:c r="H13" t="str">
        <x:v>surface heat flux</x:v>
      </x:c>
      <x:c r="I13" s="12" t="n">
        <x:f>I12/I11</x:f>
        <x:v>0.5673758865248227</x:v>
      </x:c>
      <x:c r="J13" t="str">
        <x:v>MW/m2</x:v>
      </x:c>
      <x:c r="K13" t="str">
        <x:v>uniform-area screen</x:v>
      </x:c>
    </x:row>
    <x:row r="14">
      <x:c r="H14" t="str">
        <x:v>thin-wall shell</x:v>
      </x:c>
      <x:c r="I14" s="12" t="n">
        <x:f>Controls!$D$13*Controls!$D$11*1000/(2*Controls!$D$17*Controls!$D$18-1.2*Controls!$D$13)</x:f>
        <x:v>22.45508982035928</x:v>
      </x:c>
      <x:c r="J14" t="str">
        <x:v>mm</x:v>
      </x:c>
      <x:c r="K14" t="str">
        <x:v>screen only</x:v>
      </x:c>
    </x:row>
    <x:row r="15">
      <x:c r="H15" t="str">
        <x:v>specified shell</x:v>
      </x:c>
      <x:c r="I15" s="12" t="n">
        <x:f>I14+Controls!$D$19+Controls!$D$20</x:f>
        <x:v>26.95508982035928</x:v>
      </x:c>
      <x:c r="J15" t="str">
        <x:v>mm</x:v>
      </x:c>
      <x:c r="K15" t="str">
        <x:v>screen plus allowances</x:v>
      </x:c>
    </x:row>
    <x:row r="16">
      <x:c r="H16" t="str">
        <x:v>shell mass</x:v>
      </x:c>
      <x:c r="I16" s="12" t="n">
        <x:f>I11*I15/1000*Controls!$D$21</x:f>
        <x:v>2983.524116766467</x:v>
      </x:c>
      <x:c r="J16" t="str">
        <x:v>kg</x:v>
      </x:c>
      <x:c r="K16" t="str">
        <x:v>uniform shell screen</x:v>
      </x:c>
    </x:row>
    <x:row r="17">
      <x:c r="H17" t="str">
        <x:v>outfitted vessel mass</x:v>
      </x:c>
      <x:c r="I17" s="12" t="n">
        <x:f>I16*Controls!$D$22</x:f>
        <x:v>4326.109969311377</x:v>
      </x:c>
      <x:c r="J17" t="str">
        <x:v>kg</x:v>
      </x:c>
      <x:c r="K17" t="str">
        <x:v>shell, nozzles, insulation and frame</x:v>
      </x:c>
    </x:row>
    <x:row r="18">
      <x:c r="H18" t="str">
        <x:v>operating assembly</x:v>
      </x:c>
      <x:c r="I18" s="12" t="n">
        <x:f>I17+Controls!$D$9+1500</x:f>
        <x:v>7826.109969311377</x:v>
      </x:c>
      <x:c r="J18" t="str">
        <x:v>kg</x:v>
      </x:c>
      <x:c r="K18" t="str">
        <x:v>vessel, source and fixture</x:v>
      </x:c>
    </x:row>
    <x:row r="19">
      <x:c r="H19" t="str">
        <x:v>2g vertical load</x:v>
      </x:c>
      <x:c r="I19" s="12" t="n">
        <x:f>I18*9.80665*2/1000</x:f>
        <x:v>153.49584266109483</x:v>
      </x:c>
      <x:c r="J19" t="str">
        <x:v>kN</x:v>
      </x:c>
      <x:c r="K19" t="str">
        <x:v>hold-down screen</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20" hidden="0" customWidth="1"/>
    <x:col min="3" max="3" width="14" hidden="0" customWidth="1"/>
    <x:col min="4" max="4" width="10" hidden="0" customWidth="1"/>
    <x:col min="5" max="5" width="15" hidden="0" customWidth="1"/>
    <x:col min="6" max="6" width="19" hidden="0" customWidth="1"/>
    <x:col min="7" max="7" width="28" hidden="0" customWidth="1"/>
    <x:col min="8" max="8" width="13" hidden="0" customWidth="1"/>
  </x:cols>
  <x:sheetData>
    <x:row r="2">
      <x:c r="B2" s="1" t="str">
        <x:v>Metered thermal boundary</x:v>
      </x:c>
    </x:row>
    <x:row r="3">
      <x:c r="B3" s="2" t="str">
        <x:v>Ninety-six zones prevent a single heater train from hiding circumferential or axial asymmetry.</x:v>
      </x:c>
    </x:row>
    <x:row r="5">
      <x:c r="B5" s="3"/>
      <x:c r="C5" s="3"/>
      <x:c r="D5" s="3"/>
      <x:c r="E5" s="3"/>
      <x:c r="F5" s="3"/>
      <x:c r="G5" s="3"/>
      <x:c r="H5" s="3"/>
      <x:c r="I5" s="3"/>
      <x:c r="J5" s="3"/>
      <x:c r="K5" s="3"/>
      <x:c r="L5" s="3"/>
      <x:c r="M5" s="3"/>
      <x:c r="N5" s="3"/>
      <x:c r="O5" s="3"/>
      <x:c r="P5" s="3"/>
      <x:c r="Q5" s="3"/>
      <x:c r="R5" s="3"/>
    </x:row>
    <x:row r="6" ht="24" customHeight="1">
      <x:c r="B6" s="7" t="str">
        <x:v>Zone ID</x:v>
      </x:c>
      <x:c r="C6" s="7" t="str">
        <x:v>Rig</x:v>
      </x:c>
      <x:c r="D6" s="7" t="str">
        <x:v>Zone</x:v>
      </x:c>
      <x:c r="E6" s="7" t="str">
        <x:v>Output (MW)</x:v>
      </x:c>
      <x:c r="F6" s="7" t="str">
        <x:v>Control channel</x:v>
      </x:c>
      <x:c r="G6" s="7" t="str">
        <x:v>Heating family</x:v>
      </x:c>
      <x:c r="H6" s="7" t="str">
        <x:v>Accepted</x:v>
      </x:c>
    </x:row>
    <x:row r="7">
      <x:c r="B7" t="str">
        <x:v>RHP-A1-TZ01</x:v>
      </x:c>
      <x:c r="C7" t="str">
        <x:v>RHP-A1</x:v>
      </x:c>
      <x:c r="D7" t="n">
        <x:v>1</x:v>
      </x:c>
      <x:c r="E7" t="n">
        <x:v>0.5</x:v>
      </x:c>
      <x:c r="F7" t="str">
        <x:v>independent-1</x:v>
      </x:c>
      <x:c r="G7" t="str">
        <x:v>metered electric/induction</x:v>
      </x:c>
      <x:c r="H7" t="n">
        <x:v>0</x:v>
      </x:c>
    </x:row>
    <x:row r="8">
      <x:c r="B8" t="str">
        <x:v>RHP-A1-TZ02</x:v>
      </x:c>
      <x:c r="C8" t="str">
        <x:v>RHP-A1</x:v>
      </x:c>
      <x:c r="D8" t="n">
        <x:v>2</x:v>
      </x:c>
      <x:c r="E8" t="n">
        <x:v>0.5</x:v>
      </x:c>
      <x:c r="F8" t="str">
        <x:v>independent-2</x:v>
      </x:c>
      <x:c r="G8" t="str">
        <x:v>metered electric/induction</x:v>
      </x:c>
      <x:c r="H8" t="n">
        <x:v>0</x:v>
      </x:c>
    </x:row>
    <x:row r="9">
      <x:c r="B9" t="str">
        <x:v>RHP-A1-TZ03</x:v>
      </x:c>
      <x:c r="C9" t="str">
        <x:v>RHP-A1</x:v>
      </x:c>
      <x:c r="D9" t="n">
        <x:v>3</x:v>
      </x:c>
      <x:c r="E9" t="n">
        <x:v>0.5</x:v>
      </x:c>
      <x:c r="F9" t="str">
        <x:v>independent-3</x:v>
      </x:c>
      <x:c r="G9" t="str">
        <x:v>metered electric/induction</x:v>
      </x:c>
      <x:c r="H9" t="n">
        <x:v>0</x:v>
      </x:c>
    </x:row>
    <x:row r="10">
      <x:c r="B10" t="str">
        <x:v>RHP-A1-TZ04</x:v>
      </x:c>
      <x:c r="C10" t="str">
        <x:v>RHP-A1</x:v>
      </x:c>
      <x:c r="D10" t="n">
        <x:v>4</x:v>
      </x:c>
      <x:c r="E10" t="n">
        <x:v>0.5</x:v>
      </x:c>
      <x:c r="F10" t="str">
        <x:v>independent-4</x:v>
      </x:c>
      <x:c r="G10" t="str">
        <x:v>metered electric/induction</x:v>
      </x:c>
      <x:c r="H10" t="n">
        <x:v>0</x:v>
      </x:c>
    </x:row>
    <x:row r="11">
      <x:c r="B11" t="str">
        <x:v>RHP-A1-TZ05</x:v>
      </x:c>
      <x:c r="C11" t="str">
        <x:v>RHP-A1</x:v>
      </x:c>
      <x:c r="D11" t="n">
        <x:v>5</x:v>
      </x:c>
      <x:c r="E11" t="n">
        <x:v>0.5</x:v>
      </x:c>
      <x:c r="F11" t="str">
        <x:v>independent-5</x:v>
      </x:c>
      <x:c r="G11" t="str">
        <x:v>metered electric/induction</x:v>
      </x:c>
      <x:c r="H11" t="n">
        <x:v>0</x:v>
      </x:c>
    </x:row>
    <x:row r="12">
      <x:c r="B12" t="str">
        <x:v>RHP-A1-TZ06</x:v>
      </x:c>
      <x:c r="C12" t="str">
        <x:v>RHP-A1</x:v>
      </x:c>
      <x:c r="D12" t="n">
        <x:v>6</x:v>
      </x:c>
      <x:c r="E12" t="n">
        <x:v>0.5</x:v>
      </x:c>
      <x:c r="F12" t="str">
        <x:v>independent-6</x:v>
      </x:c>
      <x:c r="G12" t="str">
        <x:v>metered electric/induction</x:v>
      </x:c>
      <x:c r="H12" t="n">
        <x:v>0</x:v>
      </x:c>
    </x:row>
    <x:row r="13">
      <x:c r="B13" t="str">
        <x:v>RHP-A1-TZ07</x:v>
      </x:c>
      <x:c r="C13" t="str">
        <x:v>RHP-A1</x:v>
      </x:c>
      <x:c r="D13" t="n">
        <x:v>7</x:v>
      </x:c>
      <x:c r="E13" t="n">
        <x:v>0.5</x:v>
      </x:c>
      <x:c r="F13" t="str">
        <x:v>independent-7</x:v>
      </x:c>
      <x:c r="G13" t="str">
        <x:v>metered electric/induction</x:v>
      </x:c>
      <x:c r="H13" t="n">
        <x:v>0</x:v>
      </x:c>
    </x:row>
    <x:row r="14">
      <x:c r="B14" t="str">
        <x:v>RHP-A1-TZ08</x:v>
      </x:c>
      <x:c r="C14" t="str">
        <x:v>RHP-A1</x:v>
      </x:c>
      <x:c r="D14" t="n">
        <x:v>8</x:v>
      </x:c>
      <x:c r="E14" t="n">
        <x:v>0.5</x:v>
      </x:c>
      <x:c r="F14" t="str">
        <x:v>independent-8</x:v>
      </x:c>
      <x:c r="G14" t="str">
        <x:v>metered electric/induction</x:v>
      </x:c>
      <x:c r="H14" t="n">
        <x:v>0</x:v>
      </x:c>
    </x:row>
    <x:row r="15">
      <x:c r="B15" t="str">
        <x:v>RHP-A1-TZ09</x:v>
      </x:c>
      <x:c r="C15" t="str">
        <x:v>RHP-A1</x:v>
      </x:c>
      <x:c r="D15" t="n">
        <x:v>9</x:v>
      </x:c>
      <x:c r="E15" t="n">
        <x:v>0.5</x:v>
      </x:c>
      <x:c r="F15" t="str">
        <x:v>independent-9</x:v>
      </x:c>
      <x:c r="G15" t="str">
        <x:v>metered electric/induction</x:v>
      </x:c>
      <x:c r="H15" t="n">
        <x:v>0</x:v>
      </x:c>
    </x:row>
    <x:row r="16">
      <x:c r="B16" t="str">
        <x:v>RHP-A1-TZ10</x:v>
      </x:c>
      <x:c r="C16" t="str">
        <x:v>RHP-A1</x:v>
      </x:c>
      <x:c r="D16" t="n">
        <x:v>10</x:v>
      </x:c>
      <x:c r="E16" t="n">
        <x:v>0.5</x:v>
      </x:c>
      <x:c r="F16" t="str">
        <x:v>independent-10</x:v>
      </x:c>
      <x:c r="G16" t="str">
        <x:v>metered electric/induction</x:v>
      </x:c>
      <x:c r="H16" t="n">
        <x:v>0</x:v>
      </x:c>
    </x:row>
    <x:row r="17">
      <x:c r="B17" t="str">
        <x:v>RHP-A1-TZ11</x:v>
      </x:c>
      <x:c r="C17" t="str">
        <x:v>RHP-A1</x:v>
      </x:c>
      <x:c r="D17" t="n">
        <x:v>11</x:v>
      </x:c>
      <x:c r="E17" t="n">
        <x:v>0.5</x:v>
      </x:c>
      <x:c r="F17" t="str">
        <x:v>independent-11</x:v>
      </x:c>
      <x:c r="G17" t="str">
        <x:v>metered electric/induction</x:v>
      </x:c>
      <x:c r="H17" t="n">
        <x:v>0</x:v>
      </x:c>
    </x:row>
    <x:row r="18">
      <x:c r="B18" t="str">
        <x:v>RHP-A1-TZ12</x:v>
      </x:c>
      <x:c r="C18" t="str">
        <x:v>RHP-A1</x:v>
      </x:c>
      <x:c r="D18" t="n">
        <x:v>12</x:v>
      </x:c>
      <x:c r="E18" t="n">
        <x:v>0.5</x:v>
      </x:c>
      <x:c r="F18" t="str">
        <x:v>independent-12</x:v>
      </x:c>
      <x:c r="G18" t="str">
        <x:v>metered electric/induction</x:v>
      </x:c>
      <x:c r="H18" t="n">
        <x:v>0</x:v>
      </x:c>
    </x:row>
    <x:row r="19">
      <x:c r="B19" t="str">
        <x:v>RHP-A1-TZ13</x:v>
      </x:c>
      <x:c r="C19" t="str">
        <x:v>RHP-A1</x:v>
      </x:c>
      <x:c r="D19" t="n">
        <x:v>13</x:v>
      </x:c>
      <x:c r="E19" t="n">
        <x:v>0.5</x:v>
      </x:c>
      <x:c r="F19" t="str">
        <x:v>independent-13</x:v>
      </x:c>
      <x:c r="G19" t="str">
        <x:v>metered electric/induction</x:v>
      </x:c>
      <x:c r="H19" t="n">
        <x:v>0</x:v>
      </x:c>
    </x:row>
    <x:row r="20">
      <x:c r="B20" t="str">
        <x:v>RHP-A1-TZ14</x:v>
      </x:c>
      <x:c r="C20" t="str">
        <x:v>RHP-A1</x:v>
      </x:c>
      <x:c r="D20" t="n">
        <x:v>14</x:v>
      </x:c>
      <x:c r="E20" t="n">
        <x:v>0.5</x:v>
      </x:c>
      <x:c r="F20" t="str">
        <x:v>independent-14</x:v>
      </x:c>
      <x:c r="G20" t="str">
        <x:v>metered electric/induction</x:v>
      </x:c>
      <x:c r="H20" t="n">
        <x:v>0</x:v>
      </x:c>
    </x:row>
    <x:row r="21">
      <x:c r="B21" t="str">
        <x:v>RHP-A1-TZ15</x:v>
      </x:c>
      <x:c r="C21" t="str">
        <x:v>RHP-A1</x:v>
      </x:c>
      <x:c r="D21" t="n">
        <x:v>15</x:v>
      </x:c>
      <x:c r="E21" t="n">
        <x:v>0.5</x:v>
      </x:c>
      <x:c r="F21" t="str">
        <x:v>independent-15</x:v>
      </x:c>
      <x:c r="G21" t="str">
        <x:v>metered electric/induction</x:v>
      </x:c>
      <x:c r="H21" t="n">
        <x:v>0</x:v>
      </x:c>
    </x:row>
    <x:row r="22">
      <x:c r="B22" t="str">
        <x:v>RHP-A1-TZ16</x:v>
      </x:c>
      <x:c r="C22" t="str">
        <x:v>RHP-A1</x:v>
      </x:c>
      <x:c r="D22" t="n">
        <x:v>16</x:v>
      </x:c>
      <x:c r="E22" t="n">
        <x:v>0.5</x:v>
      </x:c>
      <x:c r="F22" t="str">
        <x:v>independent-16</x:v>
      </x:c>
      <x:c r="G22" t="str">
        <x:v>metered electric/induction</x:v>
      </x:c>
      <x:c r="H22" t="n">
        <x:v>0</x:v>
      </x:c>
    </x:row>
    <x:row r="23">
      <x:c r="B23" t="str">
        <x:v>RHP-A2-TZ01</x:v>
      </x:c>
      <x:c r="C23" t="str">
        <x:v>RHP-A2</x:v>
      </x:c>
      <x:c r="D23" t="n">
        <x:v>1</x:v>
      </x:c>
      <x:c r="E23" t="n">
        <x:v>0.5</x:v>
      </x:c>
      <x:c r="F23" t="str">
        <x:v>independent-1</x:v>
      </x:c>
      <x:c r="G23" t="str">
        <x:v>metered electric/induction</x:v>
      </x:c>
      <x:c r="H23" t="n">
        <x:v>0</x:v>
      </x:c>
    </x:row>
    <x:row r="24">
      <x:c r="B24" t="str">
        <x:v>RHP-A2-TZ02</x:v>
      </x:c>
      <x:c r="C24" t="str">
        <x:v>RHP-A2</x:v>
      </x:c>
      <x:c r="D24" t="n">
        <x:v>2</x:v>
      </x:c>
      <x:c r="E24" t="n">
        <x:v>0.5</x:v>
      </x:c>
      <x:c r="F24" t="str">
        <x:v>independent-2</x:v>
      </x:c>
      <x:c r="G24" t="str">
        <x:v>metered electric/induction</x:v>
      </x:c>
      <x:c r="H24" t="n">
        <x:v>0</x:v>
      </x:c>
    </x:row>
    <x:row r="25">
      <x:c r="B25" t="str">
        <x:v>RHP-A2-TZ03</x:v>
      </x:c>
      <x:c r="C25" t="str">
        <x:v>RHP-A2</x:v>
      </x:c>
      <x:c r="D25" t="n">
        <x:v>3</x:v>
      </x:c>
      <x:c r="E25" t="n">
        <x:v>0.5</x:v>
      </x:c>
      <x:c r="F25" t="str">
        <x:v>independent-3</x:v>
      </x:c>
      <x:c r="G25" t="str">
        <x:v>metered electric/induction</x:v>
      </x:c>
      <x:c r="H25" t="n">
        <x:v>0</x:v>
      </x:c>
    </x:row>
    <x:row r="26">
      <x:c r="B26" t="str">
        <x:v>RHP-A2-TZ04</x:v>
      </x:c>
      <x:c r="C26" t="str">
        <x:v>RHP-A2</x:v>
      </x:c>
      <x:c r="D26" t="n">
        <x:v>4</x:v>
      </x:c>
      <x:c r="E26" t="n">
        <x:v>0.5</x:v>
      </x:c>
      <x:c r="F26" t="str">
        <x:v>independent-4</x:v>
      </x:c>
      <x:c r="G26" t="str">
        <x:v>metered electric/induction</x:v>
      </x:c>
      <x:c r="H26" t="n">
        <x:v>0</x:v>
      </x:c>
    </x:row>
    <x:row r="27">
      <x:c r="B27" t="str">
        <x:v>RHP-A2-TZ05</x:v>
      </x:c>
      <x:c r="C27" t="str">
        <x:v>RHP-A2</x:v>
      </x:c>
      <x:c r="D27" t="n">
        <x:v>5</x:v>
      </x:c>
      <x:c r="E27" t="n">
        <x:v>0.5</x:v>
      </x:c>
      <x:c r="F27" t="str">
        <x:v>independent-5</x:v>
      </x:c>
      <x:c r="G27" t="str">
        <x:v>metered electric/induction</x:v>
      </x:c>
      <x:c r="H27" t="n">
        <x:v>0</x:v>
      </x:c>
    </x:row>
    <x:row r="28">
      <x:c r="B28" t="str">
        <x:v>RHP-A2-TZ06</x:v>
      </x:c>
      <x:c r="C28" t="str">
        <x:v>RHP-A2</x:v>
      </x:c>
      <x:c r="D28" t="n">
        <x:v>6</x:v>
      </x:c>
      <x:c r="E28" t="n">
        <x:v>0.5</x:v>
      </x:c>
      <x:c r="F28" t="str">
        <x:v>independent-6</x:v>
      </x:c>
      <x:c r="G28" t="str">
        <x:v>metered electric/induction</x:v>
      </x:c>
      <x:c r="H28" t="n">
        <x:v>0</x:v>
      </x:c>
    </x:row>
    <x:row r="29">
      <x:c r="B29" t="str">
        <x:v>RHP-A2-TZ07</x:v>
      </x:c>
      <x:c r="C29" t="str">
        <x:v>RHP-A2</x:v>
      </x:c>
      <x:c r="D29" t="n">
        <x:v>7</x:v>
      </x:c>
      <x:c r="E29" t="n">
        <x:v>0.5</x:v>
      </x:c>
      <x:c r="F29" t="str">
        <x:v>independent-7</x:v>
      </x:c>
      <x:c r="G29" t="str">
        <x:v>metered electric/induction</x:v>
      </x:c>
      <x:c r="H29" t="n">
        <x:v>0</x:v>
      </x:c>
    </x:row>
    <x:row r="30">
      <x:c r="B30" t="str">
        <x:v>RHP-A2-TZ08</x:v>
      </x:c>
      <x:c r="C30" t="str">
        <x:v>RHP-A2</x:v>
      </x:c>
      <x:c r="D30" t="n">
        <x:v>8</x:v>
      </x:c>
      <x:c r="E30" t="n">
        <x:v>0.5</x:v>
      </x:c>
      <x:c r="F30" t="str">
        <x:v>independent-8</x:v>
      </x:c>
      <x:c r="G30" t="str">
        <x:v>metered electric/induction</x:v>
      </x:c>
      <x:c r="H30" t="n">
        <x:v>0</x:v>
      </x:c>
    </x:row>
    <x:row r="31">
      <x:c r="B31" t="str">
        <x:v>RHP-A2-TZ09</x:v>
      </x:c>
      <x:c r="C31" t="str">
        <x:v>RHP-A2</x:v>
      </x:c>
      <x:c r="D31" t="n">
        <x:v>9</x:v>
      </x:c>
      <x:c r="E31" t="n">
        <x:v>0.5</x:v>
      </x:c>
      <x:c r="F31" t="str">
        <x:v>independent-9</x:v>
      </x:c>
      <x:c r="G31" t="str">
        <x:v>metered electric/induction</x:v>
      </x:c>
      <x:c r="H31" t="n">
        <x:v>0</x:v>
      </x:c>
    </x:row>
    <x:row r="32">
      <x:c r="B32" t="str">
        <x:v>RHP-A2-TZ10</x:v>
      </x:c>
      <x:c r="C32" t="str">
        <x:v>RHP-A2</x:v>
      </x:c>
      <x:c r="D32" t="n">
        <x:v>10</x:v>
      </x:c>
      <x:c r="E32" t="n">
        <x:v>0.5</x:v>
      </x:c>
      <x:c r="F32" t="str">
        <x:v>independent-10</x:v>
      </x:c>
      <x:c r="G32" t="str">
        <x:v>metered electric/induction</x:v>
      </x:c>
      <x:c r="H32" t="n">
        <x:v>0</x:v>
      </x:c>
    </x:row>
    <x:row r="33">
      <x:c r="B33" t="str">
        <x:v>RHP-A2-TZ11</x:v>
      </x:c>
      <x:c r="C33" t="str">
        <x:v>RHP-A2</x:v>
      </x:c>
      <x:c r="D33" t="n">
        <x:v>11</x:v>
      </x:c>
      <x:c r="E33" t="n">
        <x:v>0.5</x:v>
      </x:c>
      <x:c r="F33" t="str">
        <x:v>independent-11</x:v>
      </x:c>
      <x:c r="G33" t="str">
        <x:v>metered electric/induction</x:v>
      </x:c>
      <x:c r="H33" t="n">
        <x:v>0</x:v>
      </x:c>
    </x:row>
    <x:row r="34">
      <x:c r="B34" t="str">
        <x:v>RHP-A2-TZ12</x:v>
      </x:c>
      <x:c r="C34" t="str">
        <x:v>RHP-A2</x:v>
      </x:c>
      <x:c r="D34" t="n">
        <x:v>12</x:v>
      </x:c>
      <x:c r="E34" t="n">
        <x:v>0.5</x:v>
      </x:c>
      <x:c r="F34" t="str">
        <x:v>independent-12</x:v>
      </x:c>
      <x:c r="G34" t="str">
        <x:v>metered electric/induction</x:v>
      </x:c>
      <x:c r="H34" t="n">
        <x:v>0</x:v>
      </x:c>
    </x:row>
    <x:row r="35">
      <x:c r="B35" t="str">
        <x:v>RHP-A2-TZ13</x:v>
      </x:c>
      <x:c r="C35" t="str">
        <x:v>RHP-A2</x:v>
      </x:c>
      <x:c r="D35" t="n">
        <x:v>13</x:v>
      </x:c>
      <x:c r="E35" t="n">
        <x:v>0.5</x:v>
      </x:c>
      <x:c r="F35" t="str">
        <x:v>independent-13</x:v>
      </x:c>
      <x:c r="G35" t="str">
        <x:v>metered electric/induction</x:v>
      </x:c>
      <x:c r="H35" t="n">
        <x:v>0</x:v>
      </x:c>
    </x:row>
    <x:row r="36">
      <x:c r="B36" t="str">
        <x:v>RHP-A2-TZ14</x:v>
      </x:c>
      <x:c r="C36" t="str">
        <x:v>RHP-A2</x:v>
      </x:c>
      <x:c r="D36" t="n">
        <x:v>14</x:v>
      </x:c>
      <x:c r="E36" t="n">
        <x:v>0.5</x:v>
      </x:c>
      <x:c r="F36" t="str">
        <x:v>independent-14</x:v>
      </x:c>
      <x:c r="G36" t="str">
        <x:v>metered electric/induction</x:v>
      </x:c>
      <x:c r="H36" t="n">
        <x:v>0</x:v>
      </x:c>
    </x:row>
    <x:row r="37">
      <x:c r="B37" t="str">
        <x:v>RHP-A2-TZ15</x:v>
      </x:c>
      <x:c r="C37" t="str">
        <x:v>RHP-A2</x:v>
      </x:c>
      <x:c r="D37" t="n">
        <x:v>15</x:v>
      </x:c>
      <x:c r="E37" t="n">
        <x:v>0.5</x:v>
      </x:c>
      <x:c r="F37" t="str">
        <x:v>independent-15</x:v>
      </x:c>
      <x:c r="G37" t="str">
        <x:v>metered electric/induction</x:v>
      </x:c>
      <x:c r="H37" t="n">
        <x:v>0</x:v>
      </x:c>
    </x:row>
    <x:row r="38">
      <x:c r="B38" t="str">
        <x:v>RHP-A2-TZ16</x:v>
      </x:c>
      <x:c r="C38" t="str">
        <x:v>RHP-A2</x:v>
      </x:c>
      <x:c r="D38" t="n">
        <x:v>16</x:v>
      </x:c>
      <x:c r="E38" t="n">
        <x:v>0.5</x:v>
      </x:c>
      <x:c r="F38" t="str">
        <x:v>independent-16</x:v>
      </x:c>
      <x:c r="G38" t="str">
        <x:v>metered electric/induction</x:v>
      </x:c>
      <x:c r="H38" t="n">
        <x:v>0</x:v>
      </x:c>
    </x:row>
    <x:row r="39">
      <x:c r="B39" t="str">
        <x:v>RHP-B1-TZ01</x:v>
      </x:c>
      <x:c r="C39" t="str">
        <x:v>RHP-B1</x:v>
      </x:c>
      <x:c r="D39" t="n">
        <x:v>1</x:v>
      </x:c>
      <x:c r="E39" t="n">
        <x:v>0.5</x:v>
      </x:c>
      <x:c r="F39" t="str">
        <x:v>independent-1</x:v>
      </x:c>
      <x:c r="G39" t="str">
        <x:v>metered electric/induction</x:v>
      </x:c>
      <x:c r="H39" t="n">
        <x:v>0</x:v>
      </x:c>
    </x:row>
    <x:row r="40">
      <x:c r="B40" t="str">
        <x:v>RHP-B1-TZ02</x:v>
      </x:c>
      <x:c r="C40" t="str">
        <x:v>RHP-B1</x:v>
      </x:c>
      <x:c r="D40" t="n">
        <x:v>2</x:v>
      </x:c>
      <x:c r="E40" t="n">
        <x:v>0.5</x:v>
      </x:c>
      <x:c r="F40" t="str">
        <x:v>independent-2</x:v>
      </x:c>
      <x:c r="G40" t="str">
        <x:v>metered electric/induction</x:v>
      </x:c>
      <x:c r="H40" t="n">
        <x:v>0</x:v>
      </x:c>
    </x:row>
    <x:row r="41">
      <x:c r="B41" t="str">
        <x:v>RHP-B1-TZ03</x:v>
      </x:c>
      <x:c r="C41" t="str">
        <x:v>RHP-B1</x:v>
      </x:c>
      <x:c r="D41" t="n">
        <x:v>3</x:v>
      </x:c>
      <x:c r="E41" t="n">
        <x:v>0.5</x:v>
      </x:c>
      <x:c r="F41" t="str">
        <x:v>independent-3</x:v>
      </x:c>
      <x:c r="G41" t="str">
        <x:v>metered electric/induction</x:v>
      </x:c>
      <x:c r="H41" t="n">
        <x:v>0</x:v>
      </x:c>
    </x:row>
    <x:row r="42">
      <x:c r="B42" t="str">
        <x:v>RHP-B1-TZ04</x:v>
      </x:c>
      <x:c r="C42" t="str">
        <x:v>RHP-B1</x:v>
      </x:c>
      <x:c r="D42" t="n">
        <x:v>4</x:v>
      </x:c>
      <x:c r="E42" t="n">
        <x:v>0.5</x:v>
      </x:c>
      <x:c r="F42" t="str">
        <x:v>independent-4</x:v>
      </x:c>
      <x:c r="G42" t="str">
        <x:v>metered electric/induction</x:v>
      </x:c>
      <x:c r="H42" t="n">
        <x:v>0</x:v>
      </x:c>
    </x:row>
    <x:row r="43">
      <x:c r="B43" t="str">
        <x:v>RHP-B1-TZ05</x:v>
      </x:c>
      <x:c r="C43" t="str">
        <x:v>RHP-B1</x:v>
      </x:c>
      <x:c r="D43" t="n">
        <x:v>5</x:v>
      </x:c>
      <x:c r="E43" t="n">
        <x:v>0.5</x:v>
      </x:c>
      <x:c r="F43" t="str">
        <x:v>independent-5</x:v>
      </x:c>
      <x:c r="G43" t="str">
        <x:v>metered electric/induction</x:v>
      </x:c>
      <x:c r="H43" t="n">
        <x:v>0</x:v>
      </x:c>
    </x:row>
    <x:row r="44">
      <x:c r="B44" t="str">
        <x:v>RHP-B1-TZ06</x:v>
      </x:c>
      <x:c r="C44" t="str">
        <x:v>RHP-B1</x:v>
      </x:c>
      <x:c r="D44" t="n">
        <x:v>6</x:v>
      </x:c>
      <x:c r="E44" t="n">
        <x:v>0.5</x:v>
      </x:c>
      <x:c r="F44" t="str">
        <x:v>independent-6</x:v>
      </x:c>
      <x:c r="G44" t="str">
        <x:v>metered electric/induction</x:v>
      </x:c>
      <x:c r="H44" t="n">
        <x:v>0</x:v>
      </x:c>
    </x:row>
    <x:row r="45">
      <x:c r="B45" t="str">
        <x:v>RHP-B1-TZ07</x:v>
      </x:c>
      <x:c r="C45" t="str">
        <x:v>RHP-B1</x:v>
      </x:c>
      <x:c r="D45" t="n">
        <x:v>7</x:v>
      </x:c>
      <x:c r="E45" t="n">
        <x:v>0.5</x:v>
      </x:c>
      <x:c r="F45" t="str">
        <x:v>independent-7</x:v>
      </x:c>
      <x:c r="G45" t="str">
        <x:v>metered electric/induction</x:v>
      </x:c>
      <x:c r="H45" t="n">
        <x:v>0</x:v>
      </x:c>
    </x:row>
    <x:row r="46">
      <x:c r="B46" t="str">
        <x:v>RHP-B1-TZ08</x:v>
      </x:c>
      <x:c r="C46" t="str">
        <x:v>RHP-B1</x:v>
      </x:c>
      <x:c r="D46" t="n">
        <x:v>8</x:v>
      </x:c>
      <x:c r="E46" t="n">
        <x:v>0.5</x:v>
      </x:c>
      <x:c r="F46" t="str">
        <x:v>independent-8</x:v>
      </x:c>
      <x:c r="G46" t="str">
        <x:v>metered electric/induction</x:v>
      </x:c>
      <x:c r="H46" t="n">
        <x:v>0</x:v>
      </x:c>
    </x:row>
    <x:row r="47">
      <x:c r="B47" t="str">
        <x:v>RHP-B1-TZ09</x:v>
      </x:c>
      <x:c r="C47" t="str">
        <x:v>RHP-B1</x:v>
      </x:c>
      <x:c r="D47" t="n">
        <x:v>9</x:v>
      </x:c>
      <x:c r="E47" t="n">
        <x:v>0.5</x:v>
      </x:c>
      <x:c r="F47" t="str">
        <x:v>independent-9</x:v>
      </x:c>
      <x:c r="G47" t="str">
        <x:v>metered electric/induction</x:v>
      </x:c>
      <x:c r="H47" t="n">
        <x:v>0</x:v>
      </x:c>
    </x:row>
    <x:row r="48">
      <x:c r="B48" t="str">
        <x:v>RHP-B1-TZ10</x:v>
      </x:c>
      <x:c r="C48" t="str">
        <x:v>RHP-B1</x:v>
      </x:c>
      <x:c r="D48" t="n">
        <x:v>10</x:v>
      </x:c>
      <x:c r="E48" t="n">
        <x:v>0.5</x:v>
      </x:c>
      <x:c r="F48" t="str">
        <x:v>independent-10</x:v>
      </x:c>
      <x:c r="G48" t="str">
        <x:v>metered electric/induction</x:v>
      </x:c>
      <x:c r="H48" t="n">
        <x:v>0</x:v>
      </x:c>
    </x:row>
    <x:row r="49">
      <x:c r="B49" t="str">
        <x:v>RHP-B1-TZ11</x:v>
      </x:c>
      <x:c r="C49" t="str">
        <x:v>RHP-B1</x:v>
      </x:c>
      <x:c r="D49" t="n">
        <x:v>11</x:v>
      </x:c>
      <x:c r="E49" t="n">
        <x:v>0.5</x:v>
      </x:c>
      <x:c r="F49" t="str">
        <x:v>independent-11</x:v>
      </x:c>
      <x:c r="G49" t="str">
        <x:v>metered electric/induction</x:v>
      </x:c>
      <x:c r="H49" t="n">
        <x:v>0</x:v>
      </x:c>
    </x:row>
    <x:row r="50">
      <x:c r="B50" t="str">
        <x:v>RHP-B1-TZ12</x:v>
      </x:c>
      <x:c r="C50" t="str">
        <x:v>RHP-B1</x:v>
      </x:c>
      <x:c r="D50" t="n">
        <x:v>12</x:v>
      </x:c>
      <x:c r="E50" t="n">
        <x:v>0.5</x:v>
      </x:c>
      <x:c r="F50" t="str">
        <x:v>independent-12</x:v>
      </x:c>
      <x:c r="G50" t="str">
        <x:v>metered electric/induction</x:v>
      </x:c>
      <x:c r="H50" t="n">
        <x:v>0</x:v>
      </x:c>
    </x:row>
    <x:row r="51">
      <x:c r="B51" t="str">
        <x:v>RHP-B1-TZ13</x:v>
      </x:c>
      <x:c r="C51" t="str">
        <x:v>RHP-B1</x:v>
      </x:c>
      <x:c r="D51" t="n">
        <x:v>13</x:v>
      </x:c>
      <x:c r="E51" t="n">
        <x:v>0.5</x:v>
      </x:c>
      <x:c r="F51" t="str">
        <x:v>independent-13</x:v>
      </x:c>
      <x:c r="G51" t="str">
        <x:v>metered electric/induction</x:v>
      </x:c>
      <x:c r="H51" t="n">
        <x:v>0</x:v>
      </x:c>
    </x:row>
    <x:row r="52">
      <x:c r="B52" t="str">
        <x:v>RHP-B1-TZ14</x:v>
      </x:c>
      <x:c r="C52" t="str">
        <x:v>RHP-B1</x:v>
      </x:c>
      <x:c r="D52" t="n">
        <x:v>14</x:v>
      </x:c>
      <x:c r="E52" t="n">
        <x:v>0.5</x:v>
      </x:c>
      <x:c r="F52" t="str">
        <x:v>independent-14</x:v>
      </x:c>
      <x:c r="G52" t="str">
        <x:v>metered electric/induction</x:v>
      </x:c>
      <x:c r="H52" t="n">
        <x:v>0</x:v>
      </x:c>
    </x:row>
    <x:row r="53">
      <x:c r="B53" t="str">
        <x:v>RHP-B1-TZ15</x:v>
      </x:c>
      <x:c r="C53" t="str">
        <x:v>RHP-B1</x:v>
      </x:c>
      <x:c r="D53" t="n">
        <x:v>15</x:v>
      </x:c>
      <x:c r="E53" t="n">
        <x:v>0.5</x:v>
      </x:c>
      <x:c r="F53" t="str">
        <x:v>independent-15</x:v>
      </x:c>
      <x:c r="G53" t="str">
        <x:v>metered electric/induction</x:v>
      </x:c>
      <x:c r="H53" t="n">
        <x:v>0</x:v>
      </x:c>
    </x:row>
    <x:row r="54">
      <x:c r="B54" t="str">
        <x:v>RHP-B1-TZ16</x:v>
      </x:c>
      <x:c r="C54" t="str">
        <x:v>RHP-B1</x:v>
      </x:c>
      <x:c r="D54" t="n">
        <x:v>16</x:v>
      </x:c>
      <x:c r="E54" t="n">
        <x:v>0.5</x:v>
      </x:c>
      <x:c r="F54" t="str">
        <x:v>independent-16</x:v>
      </x:c>
      <x:c r="G54" t="str">
        <x:v>metered electric/induction</x:v>
      </x:c>
      <x:c r="H54" t="n">
        <x:v>0</x:v>
      </x:c>
    </x:row>
    <x:row r="55">
      <x:c r="B55" t="str">
        <x:v>RHP-B2-TZ01</x:v>
      </x:c>
      <x:c r="C55" t="str">
        <x:v>RHP-B2</x:v>
      </x:c>
      <x:c r="D55" t="n">
        <x:v>1</x:v>
      </x:c>
      <x:c r="E55" t="n">
        <x:v>0.5</x:v>
      </x:c>
      <x:c r="F55" t="str">
        <x:v>independent-1</x:v>
      </x:c>
      <x:c r="G55" t="str">
        <x:v>metered electric/induction</x:v>
      </x:c>
      <x:c r="H55" t="n">
        <x:v>0</x:v>
      </x:c>
    </x:row>
    <x:row r="56">
      <x:c r="B56" t="str">
        <x:v>RHP-B2-TZ02</x:v>
      </x:c>
      <x:c r="C56" t="str">
        <x:v>RHP-B2</x:v>
      </x:c>
      <x:c r="D56" t="n">
        <x:v>2</x:v>
      </x:c>
      <x:c r="E56" t="n">
        <x:v>0.5</x:v>
      </x:c>
      <x:c r="F56" t="str">
        <x:v>independent-2</x:v>
      </x:c>
      <x:c r="G56" t="str">
        <x:v>metered electric/induction</x:v>
      </x:c>
      <x:c r="H56" t="n">
        <x:v>0</x:v>
      </x:c>
    </x:row>
    <x:row r="57">
      <x:c r="B57" t="str">
        <x:v>RHP-B2-TZ03</x:v>
      </x:c>
      <x:c r="C57" t="str">
        <x:v>RHP-B2</x:v>
      </x:c>
      <x:c r="D57" t="n">
        <x:v>3</x:v>
      </x:c>
      <x:c r="E57" t="n">
        <x:v>0.5</x:v>
      </x:c>
      <x:c r="F57" t="str">
        <x:v>independent-3</x:v>
      </x:c>
      <x:c r="G57" t="str">
        <x:v>metered electric/induction</x:v>
      </x:c>
      <x:c r="H57" t="n">
        <x:v>0</x:v>
      </x:c>
    </x:row>
    <x:row r="58">
      <x:c r="B58" t="str">
        <x:v>RHP-B2-TZ04</x:v>
      </x:c>
      <x:c r="C58" t="str">
        <x:v>RHP-B2</x:v>
      </x:c>
      <x:c r="D58" t="n">
        <x:v>4</x:v>
      </x:c>
      <x:c r="E58" t="n">
        <x:v>0.5</x:v>
      </x:c>
      <x:c r="F58" t="str">
        <x:v>independent-4</x:v>
      </x:c>
      <x:c r="G58" t="str">
        <x:v>metered electric/induction</x:v>
      </x:c>
      <x:c r="H58" t="n">
        <x:v>0</x:v>
      </x:c>
    </x:row>
    <x:row r="59">
      <x:c r="B59" t="str">
        <x:v>RHP-B2-TZ05</x:v>
      </x:c>
      <x:c r="C59" t="str">
        <x:v>RHP-B2</x:v>
      </x:c>
      <x:c r="D59" t="n">
        <x:v>5</x:v>
      </x:c>
      <x:c r="E59" t="n">
        <x:v>0.5</x:v>
      </x:c>
      <x:c r="F59" t="str">
        <x:v>independent-5</x:v>
      </x:c>
      <x:c r="G59" t="str">
        <x:v>metered electric/induction</x:v>
      </x:c>
      <x:c r="H59" t="n">
        <x:v>0</x:v>
      </x:c>
    </x:row>
    <x:row r="60">
      <x:c r="B60" t="str">
        <x:v>RHP-B2-TZ06</x:v>
      </x:c>
      <x:c r="C60" t="str">
        <x:v>RHP-B2</x:v>
      </x:c>
      <x:c r="D60" t="n">
        <x:v>6</x:v>
      </x:c>
      <x:c r="E60" t="n">
        <x:v>0.5</x:v>
      </x:c>
      <x:c r="F60" t="str">
        <x:v>independent-6</x:v>
      </x:c>
      <x:c r="G60" t="str">
        <x:v>metered electric/induction</x:v>
      </x:c>
      <x:c r="H60" t="n">
        <x:v>0</x:v>
      </x:c>
    </x:row>
    <x:row r="61">
      <x:c r="B61" t="str">
        <x:v>RHP-B2-TZ07</x:v>
      </x:c>
      <x:c r="C61" t="str">
        <x:v>RHP-B2</x:v>
      </x:c>
      <x:c r="D61" t="n">
        <x:v>7</x:v>
      </x:c>
      <x:c r="E61" t="n">
        <x:v>0.5</x:v>
      </x:c>
      <x:c r="F61" t="str">
        <x:v>independent-7</x:v>
      </x:c>
      <x:c r="G61" t="str">
        <x:v>metered electric/induction</x:v>
      </x:c>
      <x:c r="H61" t="n">
        <x:v>0</x:v>
      </x:c>
    </x:row>
    <x:row r="62">
      <x:c r="B62" t="str">
        <x:v>RHP-B2-TZ08</x:v>
      </x:c>
      <x:c r="C62" t="str">
        <x:v>RHP-B2</x:v>
      </x:c>
      <x:c r="D62" t="n">
        <x:v>8</x:v>
      </x:c>
      <x:c r="E62" t="n">
        <x:v>0.5</x:v>
      </x:c>
      <x:c r="F62" t="str">
        <x:v>independent-8</x:v>
      </x:c>
      <x:c r="G62" t="str">
        <x:v>metered electric/induction</x:v>
      </x:c>
      <x:c r="H62" t="n">
        <x:v>0</x:v>
      </x:c>
    </x:row>
    <x:row r="63">
      <x:c r="B63" t="str">
        <x:v>RHP-B2-TZ09</x:v>
      </x:c>
      <x:c r="C63" t="str">
        <x:v>RHP-B2</x:v>
      </x:c>
      <x:c r="D63" t="n">
        <x:v>9</x:v>
      </x:c>
      <x:c r="E63" t="n">
        <x:v>0.5</x:v>
      </x:c>
      <x:c r="F63" t="str">
        <x:v>independent-9</x:v>
      </x:c>
      <x:c r="G63" t="str">
        <x:v>metered electric/induction</x:v>
      </x:c>
      <x:c r="H63" t="n">
        <x:v>0</x:v>
      </x:c>
    </x:row>
    <x:row r="64">
      <x:c r="B64" t="str">
        <x:v>RHP-B2-TZ10</x:v>
      </x:c>
      <x:c r="C64" t="str">
        <x:v>RHP-B2</x:v>
      </x:c>
      <x:c r="D64" t="n">
        <x:v>10</x:v>
      </x:c>
      <x:c r="E64" t="n">
        <x:v>0.5</x:v>
      </x:c>
      <x:c r="F64" t="str">
        <x:v>independent-10</x:v>
      </x:c>
      <x:c r="G64" t="str">
        <x:v>metered electric/induction</x:v>
      </x:c>
      <x:c r="H64" t="n">
        <x:v>0</x:v>
      </x:c>
    </x:row>
    <x:row r="65">
      <x:c r="B65" t="str">
        <x:v>RHP-B2-TZ11</x:v>
      </x:c>
      <x:c r="C65" t="str">
        <x:v>RHP-B2</x:v>
      </x:c>
      <x:c r="D65" t="n">
        <x:v>11</x:v>
      </x:c>
      <x:c r="E65" t="n">
        <x:v>0.5</x:v>
      </x:c>
      <x:c r="F65" t="str">
        <x:v>independent-11</x:v>
      </x:c>
      <x:c r="G65" t="str">
        <x:v>metered electric/induction</x:v>
      </x:c>
      <x:c r="H65" t="n">
        <x:v>0</x:v>
      </x:c>
    </x:row>
    <x:row r="66">
      <x:c r="B66" t="str">
        <x:v>RHP-B2-TZ12</x:v>
      </x:c>
      <x:c r="C66" t="str">
        <x:v>RHP-B2</x:v>
      </x:c>
      <x:c r="D66" t="n">
        <x:v>12</x:v>
      </x:c>
      <x:c r="E66" t="n">
        <x:v>0.5</x:v>
      </x:c>
      <x:c r="F66" t="str">
        <x:v>independent-12</x:v>
      </x:c>
      <x:c r="G66" t="str">
        <x:v>metered electric/induction</x:v>
      </x:c>
      <x:c r="H66" t="n">
        <x:v>0</x:v>
      </x:c>
    </x:row>
    <x:row r="67">
      <x:c r="B67" t="str">
        <x:v>RHP-B2-TZ13</x:v>
      </x:c>
      <x:c r="C67" t="str">
        <x:v>RHP-B2</x:v>
      </x:c>
      <x:c r="D67" t="n">
        <x:v>13</x:v>
      </x:c>
      <x:c r="E67" t="n">
        <x:v>0.5</x:v>
      </x:c>
      <x:c r="F67" t="str">
        <x:v>independent-13</x:v>
      </x:c>
      <x:c r="G67" t="str">
        <x:v>metered electric/induction</x:v>
      </x:c>
      <x:c r="H67" t="n">
        <x:v>0</x:v>
      </x:c>
    </x:row>
    <x:row r="68">
      <x:c r="B68" t="str">
        <x:v>RHP-B2-TZ14</x:v>
      </x:c>
      <x:c r="C68" t="str">
        <x:v>RHP-B2</x:v>
      </x:c>
      <x:c r="D68" t="n">
        <x:v>14</x:v>
      </x:c>
      <x:c r="E68" t="n">
        <x:v>0.5</x:v>
      </x:c>
      <x:c r="F68" t="str">
        <x:v>independent-14</x:v>
      </x:c>
      <x:c r="G68" t="str">
        <x:v>metered electric/induction</x:v>
      </x:c>
      <x:c r="H68" t="n">
        <x:v>0</x:v>
      </x:c>
    </x:row>
    <x:row r="69">
      <x:c r="B69" t="str">
        <x:v>RHP-B2-TZ15</x:v>
      </x:c>
      <x:c r="C69" t="str">
        <x:v>RHP-B2</x:v>
      </x:c>
      <x:c r="D69" t="n">
        <x:v>15</x:v>
      </x:c>
      <x:c r="E69" t="n">
        <x:v>0.5</x:v>
      </x:c>
      <x:c r="F69" t="str">
        <x:v>independent-15</x:v>
      </x:c>
      <x:c r="G69" t="str">
        <x:v>metered electric/induction</x:v>
      </x:c>
      <x:c r="H69" t="n">
        <x:v>0</x:v>
      </x:c>
    </x:row>
    <x:row r="70">
      <x:c r="B70" t="str">
        <x:v>RHP-B2-TZ16</x:v>
      </x:c>
      <x:c r="C70" t="str">
        <x:v>RHP-B2</x:v>
      </x:c>
      <x:c r="D70" t="n">
        <x:v>16</x:v>
      </x:c>
      <x:c r="E70" t="n">
        <x:v>0.5</x:v>
      </x:c>
      <x:c r="F70" t="str">
        <x:v>independent-16</x:v>
      </x:c>
      <x:c r="G70" t="str">
        <x:v>metered electric/induction</x:v>
      </x:c>
      <x:c r="H70" t="n">
        <x:v>0</x:v>
      </x:c>
    </x:row>
    <x:row r="71">
      <x:c r="B71" t="str">
        <x:v>RHP-C1-TZ01</x:v>
      </x:c>
      <x:c r="C71" t="str">
        <x:v>RHP-C1</x:v>
      </x:c>
      <x:c r="D71" t="n">
        <x:v>1</x:v>
      </x:c>
      <x:c r="E71" t="n">
        <x:v>0.5</x:v>
      </x:c>
      <x:c r="F71" t="str">
        <x:v>independent-1</x:v>
      </x:c>
      <x:c r="G71" t="str">
        <x:v>metered electric/induction</x:v>
      </x:c>
      <x:c r="H71" t="n">
        <x:v>0</x:v>
      </x:c>
    </x:row>
    <x:row r="72">
      <x:c r="B72" t="str">
        <x:v>RHP-C1-TZ02</x:v>
      </x:c>
      <x:c r="C72" t="str">
        <x:v>RHP-C1</x:v>
      </x:c>
      <x:c r="D72" t="n">
        <x:v>2</x:v>
      </x:c>
      <x:c r="E72" t="n">
        <x:v>0.5</x:v>
      </x:c>
      <x:c r="F72" t="str">
        <x:v>independent-2</x:v>
      </x:c>
      <x:c r="G72" t="str">
        <x:v>metered electric/induction</x:v>
      </x:c>
      <x:c r="H72" t="n">
        <x:v>0</x:v>
      </x:c>
    </x:row>
    <x:row r="73">
      <x:c r="B73" t="str">
        <x:v>RHP-C1-TZ03</x:v>
      </x:c>
      <x:c r="C73" t="str">
        <x:v>RHP-C1</x:v>
      </x:c>
      <x:c r="D73" t="n">
        <x:v>3</x:v>
      </x:c>
      <x:c r="E73" t="n">
        <x:v>0.5</x:v>
      </x:c>
      <x:c r="F73" t="str">
        <x:v>independent-3</x:v>
      </x:c>
      <x:c r="G73" t="str">
        <x:v>metered electric/induction</x:v>
      </x:c>
      <x:c r="H73" t="n">
        <x:v>0</x:v>
      </x:c>
    </x:row>
    <x:row r="74">
      <x:c r="B74" t="str">
        <x:v>RHP-C1-TZ04</x:v>
      </x:c>
      <x:c r="C74" t="str">
        <x:v>RHP-C1</x:v>
      </x:c>
      <x:c r="D74" t="n">
        <x:v>4</x:v>
      </x:c>
      <x:c r="E74" t="n">
        <x:v>0.5</x:v>
      </x:c>
      <x:c r="F74" t="str">
        <x:v>independent-4</x:v>
      </x:c>
      <x:c r="G74" t="str">
        <x:v>metered electric/induction</x:v>
      </x:c>
      <x:c r="H74" t="n">
        <x:v>0</x:v>
      </x:c>
    </x:row>
    <x:row r="75">
      <x:c r="B75" t="str">
        <x:v>RHP-C1-TZ05</x:v>
      </x:c>
      <x:c r="C75" t="str">
        <x:v>RHP-C1</x:v>
      </x:c>
      <x:c r="D75" t="n">
        <x:v>5</x:v>
      </x:c>
      <x:c r="E75" t="n">
        <x:v>0.5</x:v>
      </x:c>
      <x:c r="F75" t="str">
        <x:v>independent-5</x:v>
      </x:c>
      <x:c r="G75" t="str">
        <x:v>metered electric/induction</x:v>
      </x:c>
      <x:c r="H75" t="n">
        <x:v>0</x:v>
      </x:c>
    </x:row>
    <x:row r="76">
      <x:c r="B76" t="str">
        <x:v>RHP-C1-TZ06</x:v>
      </x:c>
      <x:c r="C76" t="str">
        <x:v>RHP-C1</x:v>
      </x:c>
      <x:c r="D76" t="n">
        <x:v>6</x:v>
      </x:c>
      <x:c r="E76" t="n">
        <x:v>0.5</x:v>
      </x:c>
      <x:c r="F76" t="str">
        <x:v>independent-6</x:v>
      </x:c>
      <x:c r="G76" t="str">
        <x:v>metered electric/induction</x:v>
      </x:c>
      <x:c r="H76" t="n">
        <x:v>0</x:v>
      </x:c>
    </x:row>
    <x:row r="77">
      <x:c r="B77" t="str">
        <x:v>RHP-C1-TZ07</x:v>
      </x:c>
      <x:c r="C77" t="str">
        <x:v>RHP-C1</x:v>
      </x:c>
      <x:c r="D77" t="n">
        <x:v>7</x:v>
      </x:c>
      <x:c r="E77" t="n">
        <x:v>0.5</x:v>
      </x:c>
      <x:c r="F77" t="str">
        <x:v>independent-7</x:v>
      </x:c>
      <x:c r="G77" t="str">
        <x:v>metered electric/induction</x:v>
      </x:c>
      <x:c r="H77" t="n">
        <x:v>0</x:v>
      </x:c>
    </x:row>
    <x:row r="78">
      <x:c r="B78" t="str">
        <x:v>RHP-C1-TZ08</x:v>
      </x:c>
      <x:c r="C78" t="str">
        <x:v>RHP-C1</x:v>
      </x:c>
      <x:c r="D78" t="n">
        <x:v>8</x:v>
      </x:c>
      <x:c r="E78" t="n">
        <x:v>0.5</x:v>
      </x:c>
      <x:c r="F78" t="str">
        <x:v>independent-8</x:v>
      </x:c>
      <x:c r="G78" t="str">
        <x:v>metered electric/induction</x:v>
      </x:c>
      <x:c r="H78" t="n">
        <x:v>0</x:v>
      </x:c>
    </x:row>
    <x:row r="79">
      <x:c r="B79" t="str">
        <x:v>RHP-C1-TZ09</x:v>
      </x:c>
      <x:c r="C79" t="str">
        <x:v>RHP-C1</x:v>
      </x:c>
      <x:c r="D79" t="n">
        <x:v>9</x:v>
      </x:c>
      <x:c r="E79" t="n">
        <x:v>0.5</x:v>
      </x:c>
      <x:c r="F79" t="str">
        <x:v>independent-9</x:v>
      </x:c>
      <x:c r="G79" t="str">
        <x:v>metered electric/induction</x:v>
      </x:c>
      <x:c r="H79" t="n">
        <x:v>0</x:v>
      </x:c>
    </x:row>
    <x:row r="80">
      <x:c r="B80" t="str">
        <x:v>RHP-C1-TZ10</x:v>
      </x:c>
      <x:c r="C80" t="str">
        <x:v>RHP-C1</x:v>
      </x:c>
      <x:c r="D80" t="n">
        <x:v>10</x:v>
      </x:c>
      <x:c r="E80" t="n">
        <x:v>0.5</x:v>
      </x:c>
      <x:c r="F80" t="str">
        <x:v>independent-10</x:v>
      </x:c>
      <x:c r="G80" t="str">
        <x:v>metered electric/induction</x:v>
      </x:c>
      <x:c r="H80" t="n">
        <x:v>0</x:v>
      </x:c>
    </x:row>
    <x:row r="81">
      <x:c r="B81" t="str">
        <x:v>RHP-C1-TZ11</x:v>
      </x:c>
      <x:c r="C81" t="str">
        <x:v>RHP-C1</x:v>
      </x:c>
      <x:c r="D81" t="n">
        <x:v>11</x:v>
      </x:c>
      <x:c r="E81" t="n">
        <x:v>0.5</x:v>
      </x:c>
      <x:c r="F81" t="str">
        <x:v>independent-11</x:v>
      </x:c>
      <x:c r="G81" t="str">
        <x:v>metered electric/induction</x:v>
      </x:c>
      <x:c r="H81" t="n">
        <x:v>0</x:v>
      </x:c>
    </x:row>
    <x:row r="82">
      <x:c r="B82" t="str">
        <x:v>RHP-C1-TZ12</x:v>
      </x:c>
      <x:c r="C82" t="str">
        <x:v>RHP-C1</x:v>
      </x:c>
      <x:c r="D82" t="n">
        <x:v>12</x:v>
      </x:c>
      <x:c r="E82" t="n">
        <x:v>0.5</x:v>
      </x:c>
      <x:c r="F82" t="str">
        <x:v>independent-12</x:v>
      </x:c>
      <x:c r="G82" t="str">
        <x:v>metered electric/induction</x:v>
      </x:c>
      <x:c r="H82" t="n">
        <x:v>0</x:v>
      </x:c>
    </x:row>
    <x:row r="83">
      <x:c r="B83" t="str">
        <x:v>RHP-C1-TZ13</x:v>
      </x:c>
      <x:c r="C83" t="str">
        <x:v>RHP-C1</x:v>
      </x:c>
      <x:c r="D83" t="n">
        <x:v>13</x:v>
      </x:c>
      <x:c r="E83" t="n">
        <x:v>0.5</x:v>
      </x:c>
      <x:c r="F83" t="str">
        <x:v>independent-13</x:v>
      </x:c>
      <x:c r="G83" t="str">
        <x:v>metered electric/induction</x:v>
      </x:c>
      <x:c r="H83" t="n">
        <x:v>0</x:v>
      </x:c>
    </x:row>
    <x:row r="84">
      <x:c r="B84" t="str">
        <x:v>RHP-C1-TZ14</x:v>
      </x:c>
      <x:c r="C84" t="str">
        <x:v>RHP-C1</x:v>
      </x:c>
      <x:c r="D84" t="n">
        <x:v>14</x:v>
      </x:c>
      <x:c r="E84" t="n">
        <x:v>0.5</x:v>
      </x:c>
      <x:c r="F84" t="str">
        <x:v>independent-14</x:v>
      </x:c>
      <x:c r="G84" t="str">
        <x:v>metered electric/induction</x:v>
      </x:c>
      <x:c r="H84" t="n">
        <x:v>0</x:v>
      </x:c>
    </x:row>
    <x:row r="85">
      <x:c r="B85" t="str">
        <x:v>RHP-C1-TZ15</x:v>
      </x:c>
      <x:c r="C85" t="str">
        <x:v>RHP-C1</x:v>
      </x:c>
      <x:c r="D85" t="n">
        <x:v>15</x:v>
      </x:c>
      <x:c r="E85" t="n">
        <x:v>0.5</x:v>
      </x:c>
      <x:c r="F85" t="str">
        <x:v>independent-15</x:v>
      </x:c>
      <x:c r="G85" t="str">
        <x:v>metered electric/induction</x:v>
      </x:c>
      <x:c r="H85" t="n">
        <x:v>0</x:v>
      </x:c>
    </x:row>
    <x:row r="86">
      <x:c r="B86" t="str">
        <x:v>RHP-C1-TZ16</x:v>
      </x:c>
      <x:c r="C86" t="str">
        <x:v>RHP-C1</x:v>
      </x:c>
      <x:c r="D86" t="n">
        <x:v>16</x:v>
      </x:c>
      <x:c r="E86" t="n">
        <x:v>0.5</x:v>
      </x:c>
      <x:c r="F86" t="str">
        <x:v>independent-16</x:v>
      </x:c>
      <x:c r="G86" t="str">
        <x:v>metered electric/induction</x:v>
      </x:c>
      <x:c r="H86" t="n">
        <x:v>0</x:v>
      </x:c>
    </x:row>
    <x:row r="87">
      <x:c r="B87" t="str">
        <x:v>RHP-C2-TZ01</x:v>
      </x:c>
      <x:c r="C87" t="str">
        <x:v>RHP-C2</x:v>
      </x:c>
      <x:c r="D87" t="n">
        <x:v>1</x:v>
      </x:c>
      <x:c r="E87" t="n">
        <x:v>0.5</x:v>
      </x:c>
      <x:c r="F87" t="str">
        <x:v>independent-1</x:v>
      </x:c>
      <x:c r="G87" t="str">
        <x:v>metered electric/induction</x:v>
      </x:c>
      <x:c r="H87" t="n">
        <x:v>0</x:v>
      </x:c>
    </x:row>
    <x:row r="88">
      <x:c r="B88" t="str">
        <x:v>RHP-C2-TZ02</x:v>
      </x:c>
      <x:c r="C88" t="str">
        <x:v>RHP-C2</x:v>
      </x:c>
      <x:c r="D88" t="n">
        <x:v>2</x:v>
      </x:c>
      <x:c r="E88" t="n">
        <x:v>0.5</x:v>
      </x:c>
      <x:c r="F88" t="str">
        <x:v>independent-2</x:v>
      </x:c>
      <x:c r="G88" t="str">
        <x:v>metered electric/induction</x:v>
      </x:c>
      <x:c r="H88" t="n">
        <x:v>0</x:v>
      </x:c>
    </x:row>
    <x:row r="89">
      <x:c r="B89" t="str">
        <x:v>RHP-C2-TZ03</x:v>
      </x:c>
      <x:c r="C89" t="str">
        <x:v>RHP-C2</x:v>
      </x:c>
      <x:c r="D89" t="n">
        <x:v>3</x:v>
      </x:c>
      <x:c r="E89" t="n">
        <x:v>0.5</x:v>
      </x:c>
      <x:c r="F89" t="str">
        <x:v>independent-3</x:v>
      </x:c>
      <x:c r="G89" t="str">
        <x:v>metered electric/induction</x:v>
      </x:c>
      <x:c r="H89" t="n">
        <x:v>0</x:v>
      </x:c>
    </x:row>
    <x:row r="90">
      <x:c r="B90" t="str">
        <x:v>RHP-C2-TZ04</x:v>
      </x:c>
      <x:c r="C90" t="str">
        <x:v>RHP-C2</x:v>
      </x:c>
      <x:c r="D90" t="n">
        <x:v>4</x:v>
      </x:c>
      <x:c r="E90" t="n">
        <x:v>0.5</x:v>
      </x:c>
      <x:c r="F90" t="str">
        <x:v>independent-4</x:v>
      </x:c>
      <x:c r="G90" t="str">
        <x:v>metered electric/induction</x:v>
      </x:c>
      <x:c r="H90" t="n">
        <x:v>0</x:v>
      </x:c>
    </x:row>
    <x:row r="91">
      <x:c r="B91" t="str">
        <x:v>RHP-C2-TZ05</x:v>
      </x:c>
      <x:c r="C91" t="str">
        <x:v>RHP-C2</x:v>
      </x:c>
      <x:c r="D91" t="n">
        <x:v>5</x:v>
      </x:c>
      <x:c r="E91" t="n">
        <x:v>0.5</x:v>
      </x:c>
      <x:c r="F91" t="str">
        <x:v>independent-5</x:v>
      </x:c>
      <x:c r="G91" t="str">
        <x:v>metered electric/induction</x:v>
      </x:c>
      <x:c r="H91" t="n">
        <x:v>0</x:v>
      </x:c>
    </x:row>
    <x:row r="92">
      <x:c r="B92" t="str">
        <x:v>RHP-C2-TZ06</x:v>
      </x:c>
      <x:c r="C92" t="str">
        <x:v>RHP-C2</x:v>
      </x:c>
      <x:c r="D92" t="n">
        <x:v>6</x:v>
      </x:c>
      <x:c r="E92" t="n">
        <x:v>0.5</x:v>
      </x:c>
      <x:c r="F92" t="str">
        <x:v>independent-6</x:v>
      </x:c>
      <x:c r="G92" t="str">
        <x:v>metered electric/induction</x:v>
      </x:c>
      <x:c r="H92" t="n">
        <x:v>0</x:v>
      </x:c>
    </x:row>
    <x:row r="93">
      <x:c r="B93" t="str">
        <x:v>RHP-C2-TZ07</x:v>
      </x:c>
      <x:c r="C93" t="str">
        <x:v>RHP-C2</x:v>
      </x:c>
      <x:c r="D93" t="n">
        <x:v>7</x:v>
      </x:c>
      <x:c r="E93" t="n">
        <x:v>0.5</x:v>
      </x:c>
      <x:c r="F93" t="str">
        <x:v>independent-7</x:v>
      </x:c>
      <x:c r="G93" t="str">
        <x:v>metered electric/induction</x:v>
      </x:c>
      <x:c r="H93" t="n">
        <x:v>0</x:v>
      </x:c>
    </x:row>
    <x:row r="94">
      <x:c r="B94" t="str">
        <x:v>RHP-C2-TZ08</x:v>
      </x:c>
      <x:c r="C94" t="str">
        <x:v>RHP-C2</x:v>
      </x:c>
      <x:c r="D94" t="n">
        <x:v>8</x:v>
      </x:c>
      <x:c r="E94" t="n">
        <x:v>0.5</x:v>
      </x:c>
      <x:c r="F94" t="str">
        <x:v>independent-8</x:v>
      </x:c>
      <x:c r="G94" t="str">
        <x:v>metered electric/induction</x:v>
      </x:c>
      <x:c r="H94" t="n">
        <x:v>0</x:v>
      </x:c>
    </x:row>
    <x:row r="95">
      <x:c r="B95" t="str">
        <x:v>RHP-C2-TZ09</x:v>
      </x:c>
      <x:c r="C95" t="str">
        <x:v>RHP-C2</x:v>
      </x:c>
      <x:c r="D95" t="n">
        <x:v>9</x:v>
      </x:c>
      <x:c r="E95" t="n">
        <x:v>0.5</x:v>
      </x:c>
      <x:c r="F95" t="str">
        <x:v>independent-9</x:v>
      </x:c>
      <x:c r="G95" t="str">
        <x:v>metered electric/induction</x:v>
      </x:c>
      <x:c r="H95" t="n">
        <x:v>0</x:v>
      </x:c>
    </x:row>
    <x:row r="96">
      <x:c r="B96" t="str">
        <x:v>RHP-C2-TZ10</x:v>
      </x:c>
      <x:c r="C96" t="str">
        <x:v>RHP-C2</x:v>
      </x:c>
      <x:c r="D96" t="n">
        <x:v>10</x:v>
      </x:c>
      <x:c r="E96" t="n">
        <x:v>0.5</x:v>
      </x:c>
      <x:c r="F96" t="str">
        <x:v>independent-10</x:v>
      </x:c>
      <x:c r="G96" t="str">
        <x:v>metered electric/induction</x:v>
      </x:c>
      <x:c r="H96" t="n">
        <x:v>0</x:v>
      </x:c>
    </x:row>
    <x:row r="97">
      <x:c r="B97" t="str">
        <x:v>RHP-C2-TZ11</x:v>
      </x:c>
      <x:c r="C97" t="str">
        <x:v>RHP-C2</x:v>
      </x:c>
      <x:c r="D97" t="n">
        <x:v>11</x:v>
      </x:c>
      <x:c r="E97" t="n">
        <x:v>0.5</x:v>
      </x:c>
      <x:c r="F97" t="str">
        <x:v>independent-11</x:v>
      </x:c>
      <x:c r="G97" t="str">
        <x:v>metered electric/induction</x:v>
      </x:c>
      <x:c r="H97" t="n">
        <x:v>0</x:v>
      </x:c>
    </x:row>
    <x:row r="98">
      <x:c r="B98" t="str">
        <x:v>RHP-C2-TZ12</x:v>
      </x:c>
      <x:c r="C98" t="str">
        <x:v>RHP-C2</x:v>
      </x:c>
      <x:c r="D98" t="n">
        <x:v>12</x:v>
      </x:c>
      <x:c r="E98" t="n">
        <x:v>0.5</x:v>
      </x:c>
      <x:c r="F98" t="str">
        <x:v>independent-12</x:v>
      </x:c>
      <x:c r="G98" t="str">
        <x:v>metered electric/induction</x:v>
      </x:c>
      <x:c r="H98" t="n">
        <x:v>0</x:v>
      </x:c>
    </x:row>
    <x:row r="99">
      <x:c r="B99" t="str">
        <x:v>RHP-C2-TZ13</x:v>
      </x:c>
      <x:c r="C99" t="str">
        <x:v>RHP-C2</x:v>
      </x:c>
      <x:c r="D99" t="n">
        <x:v>13</x:v>
      </x:c>
      <x:c r="E99" t="n">
        <x:v>0.5</x:v>
      </x:c>
      <x:c r="F99" t="str">
        <x:v>independent-13</x:v>
      </x:c>
      <x:c r="G99" t="str">
        <x:v>metered electric/induction</x:v>
      </x:c>
      <x:c r="H99" t="n">
        <x:v>0</x:v>
      </x:c>
    </x:row>
    <x:row r="100">
      <x:c r="B100" t="str">
        <x:v>RHP-C2-TZ14</x:v>
      </x:c>
      <x:c r="C100" t="str">
        <x:v>RHP-C2</x:v>
      </x:c>
      <x:c r="D100" t="n">
        <x:v>14</x:v>
      </x:c>
      <x:c r="E100" t="n">
        <x:v>0.5</x:v>
      </x:c>
      <x:c r="F100" t="str">
        <x:v>independent-14</x:v>
      </x:c>
      <x:c r="G100" t="str">
        <x:v>metered electric/induction</x:v>
      </x:c>
      <x:c r="H100" t="n">
        <x:v>0</x:v>
      </x:c>
    </x:row>
    <x:row r="101">
      <x:c r="B101" t="str">
        <x:v>RHP-C2-TZ15</x:v>
      </x:c>
      <x:c r="C101" t="str">
        <x:v>RHP-C2</x:v>
      </x:c>
      <x:c r="D101" t="n">
        <x:v>15</x:v>
      </x:c>
      <x:c r="E101" t="n">
        <x:v>0.5</x:v>
      </x:c>
      <x:c r="F101" t="str">
        <x:v>independent-15</x:v>
      </x:c>
      <x:c r="G101" t="str">
        <x:v>metered electric/induction</x:v>
      </x:c>
      <x:c r="H101" t="n">
        <x:v>0</x:v>
      </x:c>
    </x:row>
    <x:row r="102">
      <x:c r="B102" t="str">
        <x:v>RHP-C2-TZ16</x:v>
      </x:c>
      <x:c r="C102" t="str">
        <x:v>RHP-C2</x:v>
      </x:c>
      <x:c r="D102" t="n">
        <x:v>16</x:v>
      </x:c>
      <x:c r="E102" t="n">
        <x:v>0.5</x:v>
      </x:c>
      <x:c r="F102" t="str">
        <x:v>independent-16</x:v>
      </x:c>
      <x:c r="G102" t="str">
        <x:v>metered electric/induction</x:v>
      </x:c>
      <x:c r="H102" t="n">
        <x:v>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20" hidden="0" customWidth="1"/>
    <x:col min="3" max="3" width="12" hidden="0" customWidth="1"/>
    <x:col min="4" max="4" width="15" hidden="0" customWidth="1"/>
    <x:col min="5" max="5" width="18" hidden="0" customWidth="1"/>
    <x:col min="6" max="6" width="20" hidden="0" customWidth="1"/>
    <x:col min="7" max="7" width="25" hidden="0" customWidth="1"/>
    <x:col min="8" max="8" width="48" hidden="0" customWidth="1"/>
    <x:col min="9" max="9" width="18" hidden="0" customWidth="1"/>
    <x:col min="10" max="10" width="18" hidden="0" customWidth="1"/>
    <x:col min="11" max="11" width="14" hidden="0" customWidth="1"/>
    <x:col min="12" max="12" width="21" hidden="0" customWidth="1"/>
    <x:col min="13" max="13" width="22" hidden="0" customWidth="1"/>
    <x:col min="14" max="14" width="16" hidden="0" customWidth="1"/>
  </x:cols>
  <x:sheetData>
    <x:row r="2">
      <x:c r="B2" s="1" t="str">
        <x:v>Neutral flange and candidate nozzle cassettes</x:v>
      </x:c>
    </x:row>
    <x:row r="3">
      <x:c r="B3" s="2" t="str">
        <x:v>The common 0.90-meter public flange ends upstream of the candidate cassette; no shared plenum is permitted.</x:v>
      </x:c>
    </x:row>
    <x:row r="5">
      <x:c r="B5" s="3"/>
      <x:c r="C5" s="3"/>
      <x:c r="D5" s="3"/>
      <x:c r="E5" s="3"/>
      <x:c r="F5" s="3"/>
      <x:c r="G5" s="3"/>
      <x:c r="H5" s="3"/>
      <x:c r="I5" s="3"/>
      <x:c r="J5" s="3"/>
      <x:c r="K5" s="3"/>
      <x:c r="L5" s="3"/>
      <x:c r="M5" s="3"/>
      <x:c r="N5" s="3"/>
      <x:c r="O5" s="3"/>
      <x:c r="P5" s="3"/>
      <x:c r="Q5" s="3"/>
      <x:c r="R5" s="3"/>
    </x:row>
    <x:row r="6" ht="24" customHeight="1">
      <x:c r="B6" s="7" t="str">
        <x:v>Candidate</x:v>
      </x:c>
      <x:c r="C6" s="7" t="str">
        <x:v>Paths</x:v>
      </x:c>
      <x:c r="D6" s="7" t="str">
        <x:v>ID each (m)</x:v>
      </x:c>
      <x:c r="E6" s="7" t="str">
        <x:v>Challenge fraction</x:v>
      </x:c>
      <x:c r="F6" s="7" t="str">
        <x:v>Receiver mass (kg)</x:v>
      </x:c>
      <x:c r="G6" s="7" t="str">
        <x:v>Backpressure limit (MPa)</x:v>
      </x:c>
      <x:c r="H6" s="7" t="str">
        <x:v>Architecture</x:v>
      </x:c>
      <x:c r="I6" s="7" t="str">
        <x:v>Total area (m2)</x:v>
      </x:c>
      <x:c r="J6" s="7" t="str">
        <x:v>Flange area (m2)</x:v>
      </x:c>
      <x:c r="K6" s="7" t="str">
        <x:v>Open ratio</x:v>
      </x:c>
      <x:c r="L6" s="7" t="str">
        <x:v>Area uncertainty (%)</x:v>
      </x:c>
      <x:c r="M6" s="7" t="str">
        <x:v>Cold transfer screen (s)</x:v>
      </x:c>
      <x:c r="N6" s="7" t="str">
        <x:v>Planning state</x:v>
      </x:c>
    </x:row>
    <x:row r="7">
      <x:c r="B7" t="str">
        <x:v>RC-1</x:v>
      </x:c>
      <x:c r="C7" t="n">
        <x:v>1</x:v>
      </x:c>
      <x:c r="D7" t="n">
        <x:v>0.6</x:v>
      </x:c>
      <x:c r="E7" t="n">
        <x:v>0.5</x:v>
      </x:c>
      <x:c r="F7" t="n">
        <x:v>2500</x:v>
      </x:c>
      <x:c r="G7" t="n">
        <x:v>0.15</x:v>
      </x:c>
      <x:c r="H7" t="str">
        <x:v>direct segmented low-pressure capture</x:v>
      </x:c>
      <x:c r="I7" t="n">
        <x:f>C7*PI()*D7^2/4</x:f>
        <x:v>0.2827433388230814</x:v>
      </x:c>
      <x:c r="J7" t="n">
        <x:f>PI()*Controls!$D$25^2/4</x:f>
        <x:v>0.6361725123519332</x:v>
      </x:c>
      <x:c r="K7" t="n">
        <x:f>I7/J7</x:f>
        <x:v>0.4444444444444444</x:v>
      </x:c>
      <x:c r="L7" t="n">
        <x:f>2*0.0005/D7*100</x:f>
        <x:v>0.16666666666666669</x:v>
      </x:c>
      <x:c r="M7" t="n">
        <x:v>112.1</x:v>
      </x:c>
      <x:c r="N7" t="str">
        <x:f>IF(AND(K7&lt;0.55,M7&lt;=120,G7&lt;=Controls!$D$32),"PASS","GAP")</x:f>
        <x:v>PASS</x:v>
      </x:c>
    </x:row>
    <x:row r="8">
      <x:c r="B8" t="str">
        <x:v>RC-2</x:v>
      </x:c>
      <x:c r="C8" t="n">
        <x:v>2</x:v>
      </x:c>
      <x:c r="D8" t="n">
        <x:v>0.45</x:v>
      </x:c>
      <x:c r="E8" t="n">
        <x:v>0.5</x:v>
      </x:c>
      <x:c r="F8" t="n">
        <x:v>6500</x:v>
      </x:c>
      <x:c r="G8" t="n">
        <x:v>0.28</x:v>
      </x:c>
      <x:c r="H8" t="str">
        <x:v>staged receiver and condensation</x:v>
      </x:c>
      <x:c r="I8" t="n">
        <x:f>C8*PI()*D8^2/4</x:f>
        <x:v>0.3180862561759666</x:v>
      </x:c>
      <x:c r="J8" t="n">
        <x:f>PI()*Controls!$D$25^2/4</x:f>
        <x:v>0.6361725123519332</x:v>
      </x:c>
      <x:c r="K8" t="n">
        <x:f>I8/J8</x:f>
        <x:v>0.5</x:v>
      </x:c>
      <x:c r="L8" t="n">
        <x:f>2*0.0005/D8*100</x:f>
        <x:v>0.2222222222222222</x:v>
      </x:c>
      <x:c r="M8" t="n">
        <x:v>99.7</x:v>
      </x:c>
      <x:c r="N8" t="str">
        <x:f>IF(AND(K8&lt;0.55,M8&lt;=120,G8&lt;=Controls!$D$32),"PASS","GAP")</x:f>
        <x:v>PASS</x:v>
      </x:c>
    </x:row>
    <x:row r="9">
      <x:c r="B9" t="str">
        <x:v>RC-3</x:v>
      </x:c>
      <x:c r="C9" t="n">
        <x:v>3</x:v>
      </x:c>
      <x:c r="D9" t="n">
        <x:v>0.35</x:v>
      </x:c>
      <x:c r="E9" t="n">
        <x:v>0.667</x:v>
      </x:c>
      <x:c r="F9" t="n">
        <x:v>5344</x:v>
      </x:c>
      <x:c r="G9" t="n">
        <x:v>0.25</x:v>
      </x:c>
      <x:c r="H9" t="str">
        <x:v>hybrid recovery and measured destruction</x:v>
      </x:c>
      <x:c r="I9" t="n">
        <x:f>C9*PI()*D9^2/4</x:f>
        <x:v>0.2886338250485622</x:v>
      </x:c>
      <x:c r="J9" t="n">
        <x:f>PI()*Controls!$D$25^2/4</x:f>
        <x:v>0.6361725123519332</x:v>
      </x:c>
      <x:c r="K9" t="n">
        <x:f>I9/J9</x:f>
        <x:v>0.4537037037037036</x:v>
      </x:c>
      <x:c r="L9" t="n">
        <x:f>2*0.0005/D9*100</x:f>
        <x:v>0.28571428571428575</x:v>
      </x:c>
      <x:c r="M9" t="n">
        <x:v>82.3</x:v>
      </x:c>
      <x:c r="N9" t="str">
        <x:f>IF(AND(K9&lt;0.55,M9&lt;=120,G9&lt;=Controls!$D$32),"PASS","GAP")</x:f>
        <x:v>PASS</x:v>
      </x:c>
    </x:row>
    <x:row r="13" ht="24" customHeight="1">
      <x:c r="B13" s="7" t="str">
        <x:v>Cassette ID</x:v>
      </x:c>
      <x:c r="C13" s="7" t="str">
        <x:v>Rig</x:v>
      </x:c>
      <x:c r="D13" s="7" t="str">
        <x:v>Candidate</x:v>
      </x:c>
      <x:c r="E13" s="7" t="str">
        <x:v>Boundary rule</x:v>
      </x:c>
      <x:c r="F13" s="7" t="str">
        <x:v>Accepted</x:v>
      </x:c>
    </x:row>
    <x:row r="14">
      <x:c r="B14" t="str">
        <x:v>RHP-A1-RC-1-NC</x:v>
      </x:c>
      <x:c r="C14" t="str">
        <x:v>RHP-A1</x:v>
      </x:c>
      <x:c r="D14" t="str">
        <x:v>RC-1</x:v>
      </x:c>
      <x:c r="E14" t="str">
        <x:v>candidate-owned contraction; public flange upstream</x:v>
      </x:c>
      <x:c r="F14" t="n">
        <x:v>0</x:v>
      </x:c>
    </x:row>
    <x:row r="15">
      <x:c r="B15" t="str">
        <x:v>RHP-A1-RC-2-NC</x:v>
      </x:c>
      <x:c r="C15" t="str">
        <x:v>RHP-A1</x:v>
      </x:c>
      <x:c r="D15" t="str">
        <x:v>RC-2</x:v>
      </x:c>
      <x:c r="E15" t="str">
        <x:v>candidate-owned contraction; public flange upstream</x:v>
      </x:c>
      <x:c r="F15" t="n">
        <x:v>0</x:v>
      </x:c>
    </x:row>
    <x:row r="16">
      <x:c r="B16" t="str">
        <x:v>RHP-A1-RC-3-NC</x:v>
      </x:c>
      <x:c r="C16" t="str">
        <x:v>RHP-A1</x:v>
      </x:c>
      <x:c r="D16" t="str">
        <x:v>RC-3</x:v>
      </x:c>
      <x:c r="E16" t="str">
        <x:v>candidate-owned contraction; public flange upstream</x:v>
      </x:c>
      <x:c r="F16" t="n">
        <x:v>0</x:v>
      </x:c>
    </x:row>
    <x:row r="17">
      <x:c r="B17" t="str">
        <x:v>RHP-A2-RC-1-NC</x:v>
      </x:c>
      <x:c r="C17" t="str">
        <x:v>RHP-A2</x:v>
      </x:c>
      <x:c r="D17" t="str">
        <x:v>RC-1</x:v>
      </x:c>
      <x:c r="E17" t="str">
        <x:v>candidate-owned contraction; public flange upstream</x:v>
      </x:c>
      <x:c r="F17" t="n">
        <x:v>0</x:v>
      </x:c>
    </x:row>
    <x:row r="18">
      <x:c r="B18" t="str">
        <x:v>RHP-A2-RC-2-NC</x:v>
      </x:c>
      <x:c r="C18" t="str">
        <x:v>RHP-A2</x:v>
      </x:c>
      <x:c r="D18" t="str">
        <x:v>RC-2</x:v>
      </x:c>
      <x:c r="E18" t="str">
        <x:v>candidate-owned contraction; public flange upstream</x:v>
      </x:c>
      <x:c r="F18" t="n">
        <x:v>0</x:v>
      </x:c>
    </x:row>
    <x:row r="19">
      <x:c r="B19" t="str">
        <x:v>RHP-A2-RC-3-NC</x:v>
      </x:c>
      <x:c r="C19" t="str">
        <x:v>RHP-A2</x:v>
      </x:c>
      <x:c r="D19" t="str">
        <x:v>RC-3</x:v>
      </x:c>
      <x:c r="E19" t="str">
        <x:v>candidate-owned contraction; public flange upstream</x:v>
      </x:c>
      <x:c r="F19" t="n">
        <x:v>0</x:v>
      </x:c>
    </x:row>
    <x:row r="20">
      <x:c r="B20" t="str">
        <x:v>RHP-B1-RC-1-NC</x:v>
      </x:c>
      <x:c r="C20" t="str">
        <x:v>RHP-B1</x:v>
      </x:c>
      <x:c r="D20" t="str">
        <x:v>RC-1</x:v>
      </x:c>
      <x:c r="E20" t="str">
        <x:v>candidate-owned contraction; public flange upstream</x:v>
      </x:c>
      <x:c r="F20" t="n">
        <x:v>0</x:v>
      </x:c>
    </x:row>
    <x:row r="21">
      <x:c r="B21" t="str">
        <x:v>RHP-B1-RC-2-NC</x:v>
      </x:c>
      <x:c r="C21" t="str">
        <x:v>RHP-B1</x:v>
      </x:c>
      <x:c r="D21" t="str">
        <x:v>RC-2</x:v>
      </x:c>
      <x:c r="E21" t="str">
        <x:v>candidate-owned contraction; public flange upstream</x:v>
      </x:c>
      <x:c r="F21" t="n">
        <x:v>0</x:v>
      </x:c>
    </x:row>
    <x:row r="22">
      <x:c r="B22" t="str">
        <x:v>RHP-B1-RC-3-NC</x:v>
      </x:c>
      <x:c r="C22" t="str">
        <x:v>RHP-B1</x:v>
      </x:c>
      <x:c r="D22" t="str">
        <x:v>RC-3</x:v>
      </x:c>
      <x:c r="E22" t="str">
        <x:v>candidate-owned contraction; public flange upstream</x:v>
      </x:c>
      <x:c r="F22" t="n">
        <x:v>0</x:v>
      </x:c>
    </x:row>
    <x:row r="23">
      <x:c r="B23" t="str">
        <x:v>RHP-B2-RC-1-NC</x:v>
      </x:c>
      <x:c r="C23" t="str">
        <x:v>RHP-B2</x:v>
      </x:c>
      <x:c r="D23" t="str">
        <x:v>RC-1</x:v>
      </x:c>
      <x:c r="E23" t="str">
        <x:v>candidate-owned contraction; public flange upstream</x:v>
      </x:c>
      <x:c r="F23" t="n">
        <x:v>0</x:v>
      </x:c>
    </x:row>
    <x:row r="24">
      <x:c r="B24" t="str">
        <x:v>RHP-B2-RC-2-NC</x:v>
      </x:c>
      <x:c r="C24" t="str">
        <x:v>RHP-B2</x:v>
      </x:c>
      <x:c r="D24" t="str">
        <x:v>RC-2</x:v>
      </x:c>
      <x:c r="E24" t="str">
        <x:v>candidate-owned contraction; public flange upstream</x:v>
      </x:c>
      <x:c r="F24" t="n">
        <x:v>0</x:v>
      </x:c>
    </x:row>
    <x:row r="25">
      <x:c r="B25" t="str">
        <x:v>RHP-B2-RC-3-NC</x:v>
      </x:c>
      <x:c r="C25" t="str">
        <x:v>RHP-B2</x:v>
      </x:c>
      <x:c r="D25" t="str">
        <x:v>RC-3</x:v>
      </x:c>
      <x:c r="E25" t="str">
        <x:v>candidate-owned contraction; public flange upstream</x:v>
      </x:c>
      <x:c r="F25" t="n">
        <x:v>0</x:v>
      </x:c>
    </x:row>
    <x:row r="26">
      <x:c r="B26" t="str">
        <x:v>RHP-C1-RC-1-NC</x:v>
      </x:c>
      <x:c r="C26" t="str">
        <x:v>RHP-C1</x:v>
      </x:c>
      <x:c r="D26" t="str">
        <x:v>RC-1</x:v>
      </x:c>
      <x:c r="E26" t="str">
        <x:v>candidate-owned contraction; public flange upstream</x:v>
      </x:c>
      <x:c r="F26" t="n">
        <x:v>0</x:v>
      </x:c>
    </x:row>
    <x:row r="27">
      <x:c r="B27" t="str">
        <x:v>RHP-C1-RC-2-NC</x:v>
      </x:c>
      <x:c r="C27" t="str">
        <x:v>RHP-C1</x:v>
      </x:c>
      <x:c r="D27" t="str">
        <x:v>RC-2</x:v>
      </x:c>
      <x:c r="E27" t="str">
        <x:v>candidate-owned contraction; public flange upstream</x:v>
      </x:c>
      <x:c r="F27" t="n">
        <x:v>0</x:v>
      </x:c>
    </x:row>
    <x:row r="28">
      <x:c r="B28" t="str">
        <x:v>RHP-C1-RC-3-NC</x:v>
      </x:c>
      <x:c r="C28" t="str">
        <x:v>RHP-C1</x:v>
      </x:c>
      <x:c r="D28" t="str">
        <x:v>RC-3</x:v>
      </x:c>
      <x:c r="E28" t="str">
        <x:v>candidate-owned contraction; public flange upstream</x:v>
      </x:c>
      <x:c r="F28" t="n">
        <x:v>0</x:v>
      </x:c>
    </x:row>
    <x:row r="29">
      <x:c r="B29" t="str">
        <x:v>RHP-C2-RC-1-NC</x:v>
      </x:c>
      <x:c r="C29" t="str">
        <x:v>RHP-C2</x:v>
      </x:c>
      <x:c r="D29" t="str">
        <x:v>RC-1</x:v>
      </x:c>
      <x:c r="E29" t="str">
        <x:v>candidate-owned contraction; public flange upstream</x:v>
      </x:c>
      <x:c r="F29" t="n">
        <x:v>0</x:v>
      </x:c>
    </x:row>
    <x:row r="30">
      <x:c r="B30" t="str">
        <x:v>RHP-C2-RC-2-NC</x:v>
      </x:c>
      <x:c r="C30" t="str">
        <x:v>RHP-C2</x:v>
      </x:c>
      <x:c r="D30" t="str">
        <x:v>RC-2</x:v>
      </x:c>
      <x:c r="E30" t="str">
        <x:v>candidate-owned contraction; public flange upstream</x:v>
      </x:c>
      <x:c r="F30" t="n">
        <x:v>0</x:v>
      </x:c>
    </x:row>
    <x:row r="31">
      <x:c r="B31" t="str">
        <x:v>RHP-C2-RC-3-NC</x:v>
      </x:c>
      <x:c r="C31" t="str">
        <x:v>RHP-C2</x:v>
      </x:c>
      <x:c r="D31" t="str">
        <x:v>RC-3</x:v>
      </x:c>
      <x:c r="E31" t="str">
        <x:v>candidate-owned contraction; public flange upstream</x:v>
      </x:c>
      <x:c r="F31" t="n">
        <x:v>0</x:v>
      </x:c>
    </x:row>
  </x:sheetData>
  <x:conditionalFormatting sqref="N7:N9">
    <x:cfRule type="containsText" dxfId="0" priority="1" operator="containsText" text="FAIL"/>
    <x:cfRule type="containsText" dxfId="1" priority="2" operator="containsText" text="BLOCKED"/>
    <x:cfRule type="containsText" dxfId="2" priority="3" operator="containsText" text="OPEN"/>
    <x:cfRule type="containsText" dxfId="3" priority="4" operator="containsText" text="PASS"/>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20" hidden="0" customWidth="1"/>
    <x:col min="3" max="3" width="14" hidden="0" customWidth="1"/>
    <x:col min="4" max="4" width="8" hidden="0" customWidth="1"/>
    <x:col min="5" max="5" width="10" hidden="0" customWidth="1"/>
    <x:col min="6" max="6" width="12" hidden="0" customWidth="1"/>
    <x:col min="7" max="7" width="12" hidden="0" customWidth="1"/>
    <x:col min="8" max="8" width="14" hidden="0" customWidth="1"/>
    <x:col min="9" max="9" width="11" hidden="0" customWidth="1"/>
    <x:col min="10" max="10" width="11" hidden="0" customWidth="1"/>
    <x:col min="11" max="11" width="13" hidden="0" customWidth="1"/>
    <x:col min="13" max="13" width="25" hidden="0" customWidth="1"/>
    <x:col min="14" max="14" width="16" hidden="0" customWidth="1"/>
    <x:col min="15" max="15" width="12" hidden="0" customWidth="1"/>
    <x:col min="16" max="16" width="35" hidden="0" customWidth="1"/>
  </x:cols>
  <x:sheetData>
    <x:row r="2">
      <x:c r="B2" s="1" t="str">
        <x:v>Full-scale route gallery</x:v>
      </x:c>
    </x:row>
    <x:row r="3">
      <x:c r="B3" s="2" t="str">
        <x:v>Each rig carries three independent 80-meter bays. Eight replaceable segments per bay permit local failure and forensic removal.</x:v>
      </x:c>
    </x:row>
    <x:row r="5">
      <x:c r="B5" s="3"/>
      <x:c r="C5" s="3"/>
      <x:c r="D5" s="3"/>
      <x:c r="E5" s="3"/>
      <x:c r="F5" s="3"/>
      <x:c r="G5" s="3"/>
      <x:c r="H5" s="3"/>
      <x:c r="I5" s="3"/>
      <x:c r="J5" s="3"/>
      <x:c r="K5" s="3"/>
      <x:c r="L5" s="3"/>
      <x:c r="M5" s="3"/>
      <x:c r="N5" s="3"/>
      <x:c r="O5" s="3"/>
      <x:c r="P5" s="3"/>
      <x:c r="Q5" s="3"/>
      <x:c r="R5" s="3"/>
    </x:row>
    <x:row r="6" ht="24" customHeight="1">
      <x:c r="B6" s="7" t="str">
        <x:v>Segment ID</x:v>
      </x:c>
      <x:c r="C6" s="7" t="str">
        <x:v>Rig</x:v>
      </x:c>
      <x:c r="D6" s="7" t="str">
        <x:v>Bay</x:v>
      </x:c>
      <x:c r="E6" s="7" t="str">
        <x:v>Segment</x:v>
      </x:c>
      <x:c r="F6" s="7" t="str">
        <x:v>Start (m)</x:v>
      </x:c>
      <x:c r="G6" s="7" t="str">
        <x:v>End (m)</x:v>
      </x:c>
      <x:c r="H6" s="7" t="str">
        <x:v>Design MPa</x:v>
      </x:c>
      <x:c r="I6" s="7" t="str">
        <x:v>Min K</x:v>
      </x:c>
      <x:c r="J6" s="7" t="str">
        <x:v>Max K</x:v>
      </x:c>
      <x:c r="K6" s="7" t="str">
        <x:v>Accepted</x:v>
      </x:c>
      <x:c r="M6" s="7" t="str">
        <x:v>Quantity</x:v>
      </x:c>
      <x:c r="N6" s="7" t="str">
        <x:v>Value</x:v>
      </x:c>
      <x:c r="O6" s="7" t="str">
        <x:v>Unit</x:v>
      </x:c>
      <x:c r="P6" s="7" t="str">
        <x:v>Rule</x:v>
      </x:c>
    </x:row>
    <x:row r="7">
      <x:c r="B7" t="str">
        <x:v>RHP-A1-B1-S1</x:v>
      </x:c>
      <x:c r="C7" t="str">
        <x:v>RHP-A1</x:v>
      </x:c>
      <x:c r="D7" t="n">
        <x:v>1</x:v>
      </x:c>
      <x:c r="E7" t="n">
        <x:v>1</x:v>
      </x:c>
      <x:c r="F7" t="n">
        <x:v>0</x:v>
      </x:c>
      <x:c r="G7" t="n">
        <x:v>10</x:v>
      </x:c>
      <x:c r="H7" t="n">
        <x:v>3</x:v>
      </x:c>
      <x:c r="I7" t="n">
        <x:v>243</x:v>
      </x:c>
      <x:c r="J7" t="n">
        <x:v>373</x:v>
      </x:c>
      <x:c r="K7" t="n">
        <x:v>0</x:v>
      </x:c>
      <x:c r="M7" t="str">
        <x:v>route bays</x:v>
      </x:c>
      <x:c r="N7" t="n">
        <x:v>18</x:v>
      </x:c>
      <x:c r="O7" t="str">
        <x:v>count</x:v>
      </x:c>
      <x:c r="P7" t="str">
        <x:v>6 rigs × 3 bays</x:v>
      </x:c>
    </x:row>
    <x:row r="8">
      <x:c r="B8" t="str">
        <x:v>RHP-A1-B1-S2</x:v>
      </x:c>
      <x:c r="C8" t="str">
        <x:v>RHP-A1</x:v>
      </x:c>
      <x:c r="D8" t="n">
        <x:v>1</x:v>
      </x:c>
      <x:c r="E8" t="n">
        <x:v>2</x:v>
      </x:c>
      <x:c r="F8" t="n">
        <x:v>10</x:v>
      </x:c>
      <x:c r="G8" t="n">
        <x:v>20</x:v>
      </x:c>
      <x:c r="H8" t="n">
        <x:v>3</x:v>
      </x:c>
      <x:c r="I8" t="n">
        <x:v>243</x:v>
      </x:c>
      <x:c r="J8" t="n">
        <x:v>373</x:v>
      </x:c>
      <x:c r="K8" t="n">
        <x:v>0</x:v>
      </x:c>
      <x:c r="M8" t="str">
        <x:v>physical segments</x:v>
      </x:c>
      <x:c r="N8" t="n">
        <x:v>144</x:v>
      </x:c>
      <x:c r="O8" t="str">
        <x:v>count</x:v>
      </x:c>
      <x:c r="P8" t="str">
        <x:v>8 per bay</x:v>
      </x:c>
    </x:row>
    <x:row r="9">
      <x:c r="B9" t="str">
        <x:v>RHP-A1-B1-S3</x:v>
      </x:c>
      <x:c r="C9" t="str">
        <x:v>RHP-A1</x:v>
      </x:c>
      <x:c r="D9" t="n">
        <x:v>1</x:v>
      </x:c>
      <x:c r="E9" t="n">
        <x:v>3</x:v>
      </x:c>
      <x:c r="F9" t="n">
        <x:v>20</x:v>
      </x:c>
      <x:c r="G9" t="n">
        <x:v>30</x:v>
      </x:c>
      <x:c r="H9" t="n">
        <x:v>1</x:v>
      </x:c>
      <x:c r="I9" t="n">
        <x:v>243</x:v>
      </x:c>
      <x:c r="J9" t="n">
        <x:v>373</x:v>
      </x:c>
      <x:c r="K9" t="n">
        <x:v>0</x:v>
      </x:c>
      <x:c r="M9" t="str">
        <x:v>supports per bay</x:v>
      </x:c>
      <x:c r="N9" t="n">
        <x:v>21</x:v>
      </x:c>
      <x:c r="O9" t="str">
        <x:v>count</x:v>
      </x:c>
      <x:c r="P9" t="str">
        <x:v>0 through 80 m at 4 m</x:v>
      </x:c>
    </x:row>
    <x:row r="10">
      <x:c r="B10" t="str">
        <x:v>RHP-A1-B1-S4</x:v>
      </x:c>
      <x:c r="C10" t="str">
        <x:v>RHP-A1</x:v>
      </x:c>
      <x:c r="D10" t="n">
        <x:v>1</x:v>
      </x:c>
      <x:c r="E10" t="n">
        <x:v>4</x:v>
      </x:c>
      <x:c r="F10" t="n">
        <x:v>30</x:v>
      </x:c>
      <x:c r="G10" t="n">
        <x:v>40</x:v>
      </x:c>
      <x:c r="H10" t="n">
        <x:v>1</x:v>
      </x:c>
      <x:c r="I10" t="n">
        <x:v>243</x:v>
      </x:c>
      <x:c r="J10" t="n">
        <x:v>373</x:v>
      </x:c>
      <x:c r="K10" t="n">
        <x:v>0</x:v>
      </x:c>
      <x:c r="M10" t="str">
        <x:v>RC-1 route volume</x:v>
      </x:c>
      <x:c r="N10" t="n">
        <x:v>22.619</x:v>
      </x:c>
      <x:c r="O10" t="str">
        <x:v>m3</x:v>
      </x:c>
      <x:c r="P10" t="str">
        <x:v>one 0.60 m path</x:v>
      </x:c>
    </x:row>
    <x:row r="11">
      <x:c r="B11" t="str">
        <x:v>RHP-A1-B1-S5</x:v>
      </x:c>
      <x:c r="C11" t="str">
        <x:v>RHP-A1</x:v>
      </x:c>
      <x:c r="D11" t="n">
        <x:v>1</x:v>
      </x:c>
      <x:c r="E11" t="n">
        <x:v>5</x:v>
      </x:c>
      <x:c r="F11" t="n">
        <x:v>40</x:v>
      </x:c>
      <x:c r="G11" t="n">
        <x:v>50</x:v>
      </x:c>
      <x:c r="H11" t="n">
        <x:v>1</x:v>
      </x:c>
      <x:c r="I11" t="n">
        <x:v>243</x:v>
      </x:c>
      <x:c r="J11" t="n">
        <x:v>373</x:v>
      </x:c>
      <x:c r="K11" t="n">
        <x:v>0</x:v>
      </x:c>
      <x:c r="M11" t="str">
        <x:v>RC-2 route volume</x:v>
      </x:c>
      <x:c r="N11" t="n">
        <x:v>25.447</x:v>
      </x:c>
      <x:c r="O11" t="str">
        <x:v>m3</x:v>
      </x:c>
      <x:c r="P11" t="str">
        <x:v>two 0.45 m paths</x:v>
      </x:c>
    </x:row>
    <x:row r="12">
      <x:c r="B12" t="str">
        <x:v>RHP-A1-B1-S6</x:v>
      </x:c>
      <x:c r="C12" t="str">
        <x:v>RHP-A1</x:v>
      </x:c>
      <x:c r="D12" t="n">
        <x:v>1</x:v>
      </x:c>
      <x:c r="E12" t="n">
        <x:v>6</x:v>
      </x:c>
      <x:c r="F12" t="n">
        <x:v>50</x:v>
      </x:c>
      <x:c r="G12" t="n">
        <x:v>60</x:v>
      </x:c>
      <x:c r="H12" t="n">
        <x:v>1</x:v>
      </x:c>
      <x:c r="I12" t="n">
        <x:v>243</x:v>
      </x:c>
      <x:c r="J12" t="n">
        <x:v>373</x:v>
      </x:c>
      <x:c r="K12" t="n">
        <x:v>0</x:v>
      </x:c>
      <x:c r="M12" t="str">
        <x:v>RC-3 route volume</x:v>
      </x:c>
      <x:c r="N12" t="n">
        <x:v>23.091</x:v>
      </x:c>
      <x:c r="O12" t="str">
        <x:v>m3</x:v>
      </x:c>
      <x:c r="P12" t="str">
        <x:v>three 0.35 m paths</x:v>
      </x:c>
    </x:row>
    <x:row r="13">
      <x:c r="B13" t="str">
        <x:v>RHP-A1-B1-S7</x:v>
      </x:c>
      <x:c r="C13" t="str">
        <x:v>RHP-A1</x:v>
      </x:c>
      <x:c r="D13" t="n">
        <x:v>1</x:v>
      </x:c>
      <x:c r="E13" t="n">
        <x:v>7</x:v>
      </x:c>
      <x:c r="F13" t="n">
        <x:v>60</x:v>
      </x:c>
      <x:c r="G13" t="n">
        <x:v>70</x:v>
      </x:c>
      <x:c r="H13" t="n">
        <x:v>1</x:v>
      </x:c>
      <x:c r="I13" t="n">
        <x:v>243</x:v>
      </x:c>
      <x:c r="J13" t="n">
        <x:v>373</x:v>
      </x:c>
      <x:c r="K13" t="n">
        <x:v>0</x:v>
      </x:c>
    </x:row>
    <x:row r="14">
      <x:c r="B14" t="str">
        <x:v>RHP-A1-B1-S8</x:v>
      </x:c>
      <x:c r="C14" t="str">
        <x:v>RHP-A1</x:v>
      </x:c>
      <x:c r="D14" t="n">
        <x:v>1</x:v>
      </x:c>
      <x:c r="E14" t="n">
        <x:v>8</x:v>
      </x:c>
      <x:c r="F14" t="n">
        <x:v>70</x:v>
      </x:c>
      <x:c r="G14" t="n">
        <x:v>80</x:v>
      </x:c>
      <x:c r="H14" t="n">
        <x:v>1</x:v>
      </x:c>
      <x:c r="I14" t="n">
        <x:v>243</x:v>
      </x:c>
      <x:c r="J14" t="n">
        <x:v>373</x:v>
      </x:c>
      <x:c r="K14" t="n">
        <x:v>0</x:v>
      </x:c>
    </x:row>
    <x:row r="15">
      <x:c r="B15" t="str">
        <x:v>RHP-A1-B2-S1</x:v>
      </x:c>
      <x:c r="C15" t="str">
        <x:v>RHP-A1</x:v>
      </x:c>
      <x:c r="D15" t="n">
        <x:v>2</x:v>
      </x:c>
      <x:c r="E15" t="n">
        <x:v>1</x:v>
      </x:c>
      <x:c r="F15" t="n">
        <x:v>0</x:v>
      </x:c>
      <x:c r="G15" t="n">
        <x:v>10</x:v>
      </x:c>
      <x:c r="H15" t="n">
        <x:v>3</x:v>
      </x:c>
      <x:c r="I15" t="n">
        <x:v>243</x:v>
      </x:c>
      <x:c r="J15" t="n">
        <x:v>373</x:v>
      </x:c>
      <x:c r="K15" t="n">
        <x:v>0</x:v>
      </x:c>
    </x:row>
    <x:row r="16">
      <x:c r="B16" t="str">
        <x:v>RHP-A1-B2-S2</x:v>
      </x:c>
      <x:c r="C16" t="str">
        <x:v>RHP-A1</x:v>
      </x:c>
      <x:c r="D16" t="n">
        <x:v>2</x:v>
      </x:c>
      <x:c r="E16" t="n">
        <x:v>2</x:v>
      </x:c>
      <x:c r="F16" t="n">
        <x:v>10</x:v>
      </x:c>
      <x:c r="G16" t="n">
        <x:v>20</x:v>
      </x:c>
      <x:c r="H16" t="n">
        <x:v>3</x:v>
      </x:c>
      <x:c r="I16" t="n">
        <x:v>243</x:v>
      </x:c>
      <x:c r="J16" t="n">
        <x:v>373</x:v>
      </x:c>
      <x:c r="K16" t="n">
        <x:v>0</x:v>
      </x:c>
    </x:row>
    <x:row r="17">
      <x:c r="B17" t="str">
        <x:v>RHP-A1-B2-S3</x:v>
      </x:c>
      <x:c r="C17" t="str">
        <x:v>RHP-A1</x:v>
      </x:c>
      <x:c r="D17" t="n">
        <x:v>2</x:v>
      </x:c>
      <x:c r="E17" t="n">
        <x:v>3</x:v>
      </x:c>
      <x:c r="F17" t="n">
        <x:v>20</x:v>
      </x:c>
      <x:c r="G17" t="n">
        <x:v>30</x:v>
      </x:c>
      <x:c r="H17" t="n">
        <x:v>1</x:v>
      </x:c>
      <x:c r="I17" t="n">
        <x:v>243</x:v>
      </x:c>
      <x:c r="J17" t="n">
        <x:v>373</x:v>
      </x:c>
      <x:c r="K17" t="n">
        <x:v>0</x:v>
      </x:c>
    </x:row>
    <x:row r="18">
      <x:c r="B18" t="str">
        <x:v>RHP-A1-B2-S4</x:v>
      </x:c>
      <x:c r="C18" t="str">
        <x:v>RHP-A1</x:v>
      </x:c>
      <x:c r="D18" t="n">
        <x:v>2</x:v>
      </x:c>
      <x:c r="E18" t="n">
        <x:v>4</x:v>
      </x:c>
      <x:c r="F18" t="n">
        <x:v>30</x:v>
      </x:c>
      <x:c r="G18" t="n">
        <x:v>40</x:v>
      </x:c>
      <x:c r="H18" t="n">
        <x:v>1</x:v>
      </x:c>
      <x:c r="I18" t="n">
        <x:v>243</x:v>
      </x:c>
      <x:c r="J18" t="n">
        <x:v>373</x:v>
      </x:c>
      <x:c r="K18" t="n">
        <x:v>0</x:v>
      </x:c>
    </x:row>
    <x:row r="19">
      <x:c r="B19" t="str">
        <x:v>RHP-A1-B2-S5</x:v>
      </x:c>
      <x:c r="C19" t="str">
        <x:v>RHP-A1</x:v>
      </x:c>
      <x:c r="D19" t="n">
        <x:v>2</x:v>
      </x:c>
      <x:c r="E19" t="n">
        <x:v>5</x:v>
      </x:c>
      <x:c r="F19" t="n">
        <x:v>40</x:v>
      </x:c>
      <x:c r="G19" t="n">
        <x:v>50</x:v>
      </x:c>
      <x:c r="H19" t="n">
        <x:v>1</x:v>
      </x:c>
      <x:c r="I19" t="n">
        <x:v>243</x:v>
      </x:c>
      <x:c r="J19" t="n">
        <x:v>373</x:v>
      </x:c>
      <x:c r="K19" t="n">
        <x:v>0</x:v>
      </x:c>
    </x:row>
    <x:row r="20">
      <x:c r="B20" t="str">
        <x:v>RHP-A1-B2-S6</x:v>
      </x:c>
      <x:c r="C20" t="str">
        <x:v>RHP-A1</x:v>
      </x:c>
      <x:c r="D20" t="n">
        <x:v>2</x:v>
      </x:c>
      <x:c r="E20" t="n">
        <x:v>6</x:v>
      </x:c>
      <x:c r="F20" t="n">
        <x:v>50</x:v>
      </x:c>
      <x:c r="G20" t="n">
        <x:v>60</x:v>
      </x:c>
      <x:c r="H20" t="n">
        <x:v>1</x:v>
      </x:c>
      <x:c r="I20" t="n">
        <x:v>243</x:v>
      </x:c>
      <x:c r="J20" t="n">
        <x:v>373</x:v>
      </x:c>
      <x:c r="K20" t="n">
        <x:v>0</x:v>
      </x:c>
    </x:row>
    <x:row r="21">
      <x:c r="B21" t="str">
        <x:v>RHP-A1-B2-S7</x:v>
      </x:c>
      <x:c r="C21" t="str">
        <x:v>RHP-A1</x:v>
      </x:c>
      <x:c r="D21" t="n">
        <x:v>2</x:v>
      </x:c>
      <x:c r="E21" t="n">
        <x:v>7</x:v>
      </x:c>
      <x:c r="F21" t="n">
        <x:v>60</x:v>
      </x:c>
      <x:c r="G21" t="n">
        <x:v>70</x:v>
      </x:c>
      <x:c r="H21" t="n">
        <x:v>1</x:v>
      </x:c>
      <x:c r="I21" t="n">
        <x:v>243</x:v>
      </x:c>
      <x:c r="J21" t="n">
        <x:v>373</x:v>
      </x:c>
      <x:c r="K21" t="n">
        <x:v>0</x:v>
      </x:c>
    </x:row>
    <x:row r="22">
      <x:c r="B22" t="str">
        <x:v>RHP-A1-B2-S8</x:v>
      </x:c>
      <x:c r="C22" t="str">
        <x:v>RHP-A1</x:v>
      </x:c>
      <x:c r="D22" t="n">
        <x:v>2</x:v>
      </x:c>
      <x:c r="E22" t="n">
        <x:v>8</x:v>
      </x:c>
      <x:c r="F22" t="n">
        <x:v>70</x:v>
      </x:c>
      <x:c r="G22" t="n">
        <x:v>80</x:v>
      </x:c>
      <x:c r="H22" t="n">
        <x:v>1</x:v>
      </x:c>
      <x:c r="I22" t="n">
        <x:v>243</x:v>
      </x:c>
      <x:c r="J22" t="n">
        <x:v>373</x:v>
      </x:c>
      <x:c r="K22" t="n">
        <x:v>0</x:v>
      </x:c>
    </x:row>
    <x:row r="23">
      <x:c r="B23" t="str">
        <x:v>RHP-A1-B3-S1</x:v>
      </x:c>
      <x:c r="C23" t="str">
        <x:v>RHP-A1</x:v>
      </x:c>
      <x:c r="D23" t="n">
        <x:v>3</x:v>
      </x:c>
      <x:c r="E23" t="n">
        <x:v>1</x:v>
      </x:c>
      <x:c r="F23" t="n">
        <x:v>0</x:v>
      </x:c>
      <x:c r="G23" t="n">
        <x:v>10</x:v>
      </x:c>
      <x:c r="H23" t="n">
        <x:v>3</x:v>
      </x:c>
      <x:c r="I23" t="n">
        <x:v>243</x:v>
      </x:c>
      <x:c r="J23" t="n">
        <x:v>373</x:v>
      </x:c>
      <x:c r="K23" t="n">
        <x:v>0</x:v>
      </x:c>
    </x:row>
    <x:row r="24">
      <x:c r="B24" t="str">
        <x:v>RHP-A1-B3-S2</x:v>
      </x:c>
      <x:c r="C24" t="str">
        <x:v>RHP-A1</x:v>
      </x:c>
      <x:c r="D24" t="n">
        <x:v>3</x:v>
      </x:c>
      <x:c r="E24" t="n">
        <x:v>2</x:v>
      </x:c>
      <x:c r="F24" t="n">
        <x:v>10</x:v>
      </x:c>
      <x:c r="G24" t="n">
        <x:v>20</x:v>
      </x:c>
      <x:c r="H24" t="n">
        <x:v>3</x:v>
      </x:c>
      <x:c r="I24" t="n">
        <x:v>243</x:v>
      </x:c>
      <x:c r="J24" t="n">
        <x:v>373</x:v>
      </x:c>
      <x:c r="K24" t="n">
        <x:v>0</x:v>
      </x:c>
    </x:row>
    <x:row r="25">
      <x:c r="B25" t="str">
        <x:v>RHP-A1-B3-S3</x:v>
      </x:c>
      <x:c r="C25" t="str">
        <x:v>RHP-A1</x:v>
      </x:c>
      <x:c r="D25" t="n">
        <x:v>3</x:v>
      </x:c>
      <x:c r="E25" t="n">
        <x:v>3</x:v>
      </x:c>
      <x:c r="F25" t="n">
        <x:v>20</x:v>
      </x:c>
      <x:c r="G25" t="n">
        <x:v>30</x:v>
      </x:c>
      <x:c r="H25" t="n">
        <x:v>1</x:v>
      </x:c>
      <x:c r="I25" t="n">
        <x:v>243</x:v>
      </x:c>
      <x:c r="J25" t="n">
        <x:v>373</x:v>
      </x:c>
      <x:c r="K25" t="n">
        <x:v>0</x:v>
      </x:c>
    </x:row>
    <x:row r="26">
      <x:c r="B26" t="str">
        <x:v>RHP-A1-B3-S4</x:v>
      </x:c>
      <x:c r="C26" t="str">
        <x:v>RHP-A1</x:v>
      </x:c>
      <x:c r="D26" t="n">
        <x:v>3</x:v>
      </x:c>
      <x:c r="E26" t="n">
        <x:v>4</x:v>
      </x:c>
      <x:c r="F26" t="n">
        <x:v>30</x:v>
      </x:c>
      <x:c r="G26" t="n">
        <x:v>40</x:v>
      </x:c>
      <x:c r="H26" t="n">
        <x:v>1</x:v>
      </x:c>
      <x:c r="I26" t="n">
        <x:v>243</x:v>
      </x:c>
      <x:c r="J26" t="n">
        <x:v>373</x:v>
      </x:c>
      <x:c r="K26" t="n">
        <x:v>0</x:v>
      </x:c>
    </x:row>
    <x:row r="27">
      <x:c r="B27" t="str">
        <x:v>RHP-A1-B3-S5</x:v>
      </x:c>
      <x:c r="C27" t="str">
        <x:v>RHP-A1</x:v>
      </x:c>
      <x:c r="D27" t="n">
        <x:v>3</x:v>
      </x:c>
      <x:c r="E27" t="n">
        <x:v>5</x:v>
      </x:c>
      <x:c r="F27" t="n">
        <x:v>40</x:v>
      </x:c>
      <x:c r="G27" t="n">
        <x:v>50</x:v>
      </x:c>
      <x:c r="H27" t="n">
        <x:v>1</x:v>
      </x:c>
      <x:c r="I27" t="n">
        <x:v>243</x:v>
      </x:c>
      <x:c r="J27" t="n">
        <x:v>373</x:v>
      </x:c>
      <x:c r="K27" t="n">
        <x:v>0</x:v>
      </x:c>
    </x:row>
    <x:row r="28">
      <x:c r="B28" t="str">
        <x:v>RHP-A1-B3-S6</x:v>
      </x:c>
      <x:c r="C28" t="str">
        <x:v>RHP-A1</x:v>
      </x:c>
      <x:c r="D28" t="n">
        <x:v>3</x:v>
      </x:c>
      <x:c r="E28" t="n">
        <x:v>6</x:v>
      </x:c>
      <x:c r="F28" t="n">
        <x:v>50</x:v>
      </x:c>
      <x:c r="G28" t="n">
        <x:v>60</x:v>
      </x:c>
      <x:c r="H28" t="n">
        <x:v>1</x:v>
      </x:c>
      <x:c r="I28" t="n">
        <x:v>243</x:v>
      </x:c>
      <x:c r="J28" t="n">
        <x:v>373</x:v>
      </x:c>
      <x:c r="K28" t="n">
        <x:v>0</x:v>
      </x:c>
    </x:row>
    <x:row r="29">
      <x:c r="B29" t="str">
        <x:v>RHP-A1-B3-S7</x:v>
      </x:c>
      <x:c r="C29" t="str">
        <x:v>RHP-A1</x:v>
      </x:c>
      <x:c r="D29" t="n">
        <x:v>3</x:v>
      </x:c>
      <x:c r="E29" t="n">
        <x:v>7</x:v>
      </x:c>
      <x:c r="F29" t="n">
        <x:v>60</x:v>
      </x:c>
      <x:c r="G29" t="n">
        <x:v>70</x:v>
      </x:c>
      <x:c r="H29" t="n">
        <x:v>1</x:v>
      </x:c>
      <x:c r="I29" t="n">
        <x:v>243</x:v>
      </x:c>
      <x:c r="J29" t="n">
        <x:v>373</x:v>
      </x:c>
      <x:c r="K29" t="n">
        <x:v>0</x:v>
      </x:c>
    </x:row>
    <x:row r="30">
      <x:c r="B30" t="str">
        <x:v>RHP-A1-B3-S8</x:v>
      </x:c>
      <x:c r="C30" t="str">
        <x:v>RHP-A1</x:v>
      </x:c>
      <x:c r="D30" t="n">
        <x:v>3</x:v>
      </x:c>
      <x:c r="E30" t="n">
        <x:v>8</x:v>
      </x:c>
      <x:c r="F30" t="n">
        <x:v>70</x:v>
      </x:c>
      <x:c r="G30" t="n">
        <x:v>80</x:v>
      </x:c>
      <x:c r="H30" t="n">
        <x:v>1</x:v>
      </x:c>
      <x:c r="I30" t="n">
        <x:v>243</x:v>
      </x:c>
      <x:c r="J30" t="n">
        <x:v>373</x:v>
      </x:c>
      <x:c r="K30" t="n">
        <x:v>0</x:v>
      </x:c>
    </x:row>
    <x:row r="31">
      <x:c r="B31" t="str">
        <x:v>RHP-A2-B1-S1</x:v>
      </x:c>
      <x:c r="C31" t="str">
        <x:v>RHP-A2</x:v>
      </x:c>
      <x:c r="D31" t="n">
        <x:v>1</x:v>
      </x:c>
      <x:c r="E31" t="n">
        <x:v>1</x:v>
      </x:c>
      <x:c r="F31" t="n">
        <x:v>0</x:v>
      </x:c>
      <x:c r="G31" t="n">
        <x:v>10</x:v>
      </x:c>
      <x:c r="H31" t="n">
        <x:v>3</x:v>
      </x:c>
      <x:c r="I31" t="n">
        <x:v>243</x:v>
      </x:c>
      <x:c r="J31" t="n">
        <x:v>373</x:v>
      </x:c>
      <x:c r="K31" t="n">
        <x:v>0</x:v>
      </x:c>
    </x:row>
    <x:row r="32">
      <x:c r="B32" t="str">
        <x:v>RHP-A2-B1-S2</x:v>
      </x:c>
      <x:c r="C32" t="str">
        <x:v>RHP-A2</x:v>
      </x:c>
      <x:c r="D32" t="n">
        <x:v>1</x:v>
      </x:c>
      <x:c r="E32" t="n">
        <x:v>2</x:v>
      </x:c>
      <x:c r="F32" t="n">
        <x:v>10</x:v>
      </x:c>
      <x:c r="G32" t="n">
        <x:v>20</x:v>
      </x:c>
      <x:c r="H32" t="n">
        <x:v>3</x:v>
      </x:c>
      <x:c r="I32" t="n">
        <x:v>243</x:v>
      </x:c>
      <x:c r="J32" t="n">
        <x:v>373</x:v>
      </x:c>
      <x:c r="K32" t="n">
        <x:v>0</x:v>
      </x:c>
    </x:row>
    <x:row r="33">
      <x:c r="B33" t="str">
        <x:v>RHP-A2-B1-S3</x:v>
      </x:c>
      <x:c r="C33" t="str">
        <x:v>RHP-A2</x:v>
      </x:c>
      <x:c r="D33" t="n">
        <x:v>1</x:v>
      </x:c>
      <x:c r="E33" t="n">
        <x:v>3</x:v>
      </x:c>
      <x:c r="F33" t="n">
        <x:v>20</x:v>
      </x:c>
      <x:c r="G33" t="n">
        <x:v>30</x:v>
      </x:c>
      <x:c r="H33" t="n">
        <x:v>1</x:v>
      </x:c>
      <x:c r="I33" t="n">
        <x:v>243</x:v>
      </x:c>
      <x:c r="J33" t="n">
        <x:v>373</x:v>
      </x:c>
      <x:c r="K33" t="n">
        <x:v>0</x:v>
      </x:c>
    </x:row>
    <x:row r="34">
      <x:c r="B34" t="str">
        <x:v>RHP-A2-B1-S4</x:v>
      </x:c>
      <x:c r="C34" t="str">
        <x:v>RHP-A2</x:v>
      </x:c>
      <x:c r="D34" t="n">
        <x:v>1</x:v>
      </x:c>
      <x:c r="E34" t="n">
        <x:v>4</x:v>
      </x:c>
      <x:c r="F34" t="n">
        <x:v>30</x:v>
      </x:c>
      <x:c r="G34" t="n">
        <x:v>40</x:v>
      </x:c>
      <x:c r="H34" t="n">
        <x:v>1</x:v>
      </x:c>
      <x:c r="I34" t="n">
        <x:v>243</x:v>
      </x:c>
      <x:c r="J34" t="n">
        <x:v>373</x:v>
      </x:c>
      <x:c r="K34" t="n">
        <x:v>0</x:v>
      </x:c>
    </x:row>
    <x:row r="35">
      <x:c r="B35" t="str">
        <x:v>RHP-A2-B1-S5</x:v>
      </x:c>
      <x:c r="C35" t="str">
        <x:v>RHP-A2</x:v>
      </x:c>
      <x:c r="D35" t="n">
        <x:v>1</x:v>
      </x:c>
      <x:c r="E35" t="n">
        <x:v>5</x:v>
      </x:c>
      <x:c r="F35" t="n">
        <x:v>40</x:v>
      </x:c>
      <x:c r="G35" t="n">
        <x:v>50</x:v>
      </x:c>
      <x:c r="H35" t="n">
        <x:v>1</x:v>
      </x:c>
      <x:c r="I35" t="n">
        <x:v>243</x:v>
      </x:c>
      <x:c r="J35" t="n">
        <x:v>373</x:v>
      </x:c>
      <x:c r="K35" t="n">
        <x:v>0</x:v>
      </x:c>
    </x:row>
    <x:row r="36">
      <x:c r="B36" t="str">
        <x:v>RHP-A2-B1-S6</x:v>
      </x:c>
      <x:c r="C36" t="str">
        <x:v>RHP-A2</x:v>
      </x:c>
      <x:c r="D36" t="n">
        <x:v>1</x:v>
      </x:c>
      <x:c r="E36" t="n">
        <x:v>6</x:v>
      </x:c>
      <x:c r="F36" t="n">
        <x:v>50</x:v>
      </x:c>
      <x:c r="G36" t="n">
        <x:v>60</x:v>
      </x:c>
      <x:c r="H36" t="n">
        <x:v>1</x:v>
      </x:c>
      <x:c r="I36" t="n">
        <x:v>243</x:v>
      </x:c>
      <x:c r="J36" t="n">
        <x:v>373</x:v>
      </x:c>
      <x:c r="K36" t="n">
        <x:v>0</x:v>
      </x:c>
    </x:row>
    <x:row r="37">
      <x:c r="B37" t="str">
        <x:v>RHP-A2-B1-S7</x:v>
      </x:c>
      <x:c r="C37" t="str">
        <x:v>RHP-A2</x:v>
      </x:c>
      <x:c r="D37" t="n">
        <x:v>1</x:v>
      </x:c>
      <x:c r="E37" t="n">
        <x:v>7</x:v>
      </x:c>
      <x:c r="F37" t="n">
        <x:v>60</x:v>
      </x:c>
      <x:c r="G37" t="n">
        <x:v>70</x:v>
      </x:c>
      <x:c r="H37" t="n">
        <x:v>1</x:v>
      </x:c>
      <x:c r="I37" t="n">
        <x:v>243</x:v>
      </x:c>
      <x:c r="J37" t="n">
        <x:v>373</x:v>
      </x:c>
      <x:c r="K37" t="n">
        <x:v>0</x:v>
      </x:c>
    </x:row>
    <x:row r="38">
      <x:c r="B38" t="str">
        <x:v>RHP-A2-B1-S8</x:v>
      </x:c>
      <x:c r="C38" t="str">
        <x:v>RHP-A2</x:v>
      </x:c>
      <x:c r="D38" t="n">
        <x:v>1</x:v>
      </x:c>
      <x:c r="E38" t="n">
        <x:v>8</x:v>
      </x:c>
      <x:c r="F38" t="n">
        <x:v>70</x:v>
      </x:c>
      <x:c r="G38" t="n">
        <x:v>80</x:v>
      </x:c>
      <x:c r="H38" t="n">
        <x:v>1</x:v>
      </x:c>
      <x:c r="I38" t="n">
        <x:v>243</x:v>
      </x:c>
      <x:c r="J38" t="n">
        <x:v>373</x:v>
      </x:c>
      <x:c r="K38" t="n">
        <x:v>0</x:v>
      </x:c>
    </x:row>
    <x:row r="39">
      <x:c r="B39" t="str">
        <x:v>RHP-A2-B2-S1</x:v>
      </x:c>
      <x:c r="C39" t="str">
        <x:v>RHP-A2</x:v>
      </x:c>
      <x:c r="D39" t="n">
        <x:v>2</x:v>
      </x:c>
      <x:c r="E39" t="n">
        <x:v>1</x:v>
      </x:c>
      <x:c r="F39" t="n">
        <x:v>0</x:v>
      </x:c>
      <x:c r="G39" t="n">
        <x:v>10</x:v>
      </x:c>
      <x:c r="H39" t="n">
        <x:v>3</x:v>
      </x:c>
      <x:c r="I39" t="n">
        <x:v>243</x:v>
      </x:c>
      <x:c r="J39" t="n">
        <x:v>373</x:v>
      </x:c>
      <x:c r="K39" t="n">
        <x:v>0</x:v>
      </x:c>
    </x:row>
    <x:row r="40">
      <x:c r="B40" t="str">
        <x:v>RHP-A2-B2-S2</x:v>
      </x:c>
      <x:c r="C40" t="str">
        <x:v>RHP-A2</x:v>
      </x:c>
      <x:c r="D40" t="n">
        <x:v>2</x:v>
      </x:c>
      <x:c r="E40" t="n">
        <x:v>2</x:v>
      </x:c>
      <x:c r="F40" t="n">
        <x:v>10</x:v>
      </x:c>
      <x:c r="G40" t="n">
        <x:v>20</x:v>
      </x:c>
      <x:c r="H40" t="n">
        <x:v>3</x:v>
      </x:c>
      <x:c r="I40" t="n">
        <x:v>243</x:v>
      </x:c>
      <x:c r="J40" t="n">
        <x:v>373</x:v>
      </x:c>
      <x:c r="K40" t="n">
        <x:v>0</x:v>
      </x:c>
    </x:row>
    <x:row r="41">
      <x:c r="B41" t="str">
        <x:v>RHP-A2-B2-S3</x:v>
      </x:c>
      <x:c r="C41" t="str">
        <x:v>RHP-A2</x:v>
      </x:c>
      <x:c r="D41" t="n">
        <x:v>2</x:v>
      </x:c>
      <x:c r="E41" t="n">
        <x:v>3</x:v>
      </x:c>
      <x:c r="F41" t="n">
        <x:v>20</x:v>
      </x:c>
      <x:c r="G41" t="n">
        <x:v>30</x:v>
      </x:c>
      <x:c r="H41" t="n">
        <x:v>1</x:v>
      </x:c>
      <x:c r="I41" t="n">
        <x:v>243</x:v>
      </x:c>
      <x:c r="J41" t="n">
        <x:v>373</x:v>
      </x:c>
      <x:c r="K41" t="n">
        <x:v>0</x:v>
      </x:c>
    </x:row>
    <x:row r="42">
      <x:c r="B42" t="str">
        <x:v>RHP-A2-B2-S4</x:v>
      </x:c>
      <x:c r="C42" t="str">
        <x:v>RHP-A2</x:v>
      </x:c>
      <x:c r="D42" t="n">
        <x:v>2</x:v>
      </x:c>
      <x:c r="E42" t="n">
        <x:v>4</x:v>
      </x:c>
      <x:c r="F42" t="n">
        <x:v>30</x:v>
      </x:c>
      <x:c r="G42" t="n">
        <x:v>40</x:v>
      </x:c>
      <x:c r="H42" t="n">
        <x:v>1</x:v>
      </x:c>
      <x:c r="I42" t="n">
        <x:v>243</x:v>
      </x:c>
      <x:c r="J42" t="n">
        <x:v>373</x:v>
      </x:c>
      <x:c r="K42" t="n">
        <x:v>0</x:v>
      </x:c>
    </x:row>
    <x:row r="43">
      <x:c r="B43" t="str">
        <x:v>RHP-A2-B2-S5</x:v>
      </x:c>
      <x:c r="C43" t="str">
        <x:v>RHP-A2</x:v>
      </x:c>
      <x:c r="D43" t="n">
        <x:v>2</x:v>
      </x:c>
      <x:c r="E43" t="n">
        <x:v>5</x:v>
      </x:c>
      <x:c r="F43" t="n">
        <x:v>40</x:v>
      </x:c>
      <x:c r="G43" t="n">
        <x:v>50</x:v>
      </x:c>
      <x:c r="H43" t="n">
        <x:v>1</x:v>
      </x:c>
      <x:c r="I43" t="n">
        <x:v>243</x:v>
      </x:c>
      <x:c r="J43" t="n">
        <x:v>373</x:v>
      </x:c>
      <x:c r="K43" t="n">
        <x:v>0</x:v>
      </x:c>
    </x:row>
    <x:row r="44">
      <x:c r="B44" t="str">
        <x:v>RHP-A2-B2-S6</x:v>
      </x:c>
      <x:c r="C44" t="str">
        <x:v>RHP-A2</x:v>
      </x:c>
      <x:c r="D44" t="n">
        <x:v>2</x:v>
      </x:c>
      <x:c r="E44" t="n">
        <x:v>6</x:v>
      </x:c>
      <x:c r="F44" t="n">
        <x:v>50</x:v>
      </x:c>
      <x:c r="G44" t="n">
        <x:v>60</x:v>
      </x:c>
      <x:c r="H44" t="n">
        <x:v>1</x:v>
      </x:c>
      <x:c r="I44" t="n">
        <x:v>243</x:v>
      </x:c>
      <x:c r="J44" t="n">
        <x:v>373</x:v>
      </x:c>
      <x:c r="K44" t="n">
        <x:v>0</x:v>
      </x:c>
    </x:row>
    <x:row r="45">
      <x:c r="B45" t="str">
        <x:v>RHP-A2-B2-S7</x:v>
      </x:c>
      <x:c r="C45" t="str">
        <x:v>RHP-A2</x:v>
      </x:c>
      <x:c r="D45" t="n">
        <x:v>2</x:v>
      </x:c>
      <x:c r="E45" t="n">
        <x:v>7</x:v>
      </x:c>
      <x:c r="F45" t="n">
        <x:v>60</x:v>
      </x:c>
      <x:c r="G45" t="n">
        <x:v>70</x:v>
      </x:c>
      <x:c r="H45" t="n">
        <x:v>1</x:v>
      </x:c>
      <x:c r="I45" t="n">
        <x:v>243</x:v>
      </x:c>
      <x:c r="J45" t="n">
        <x:v>373</x:v>
      </x:c>
      <x:c r="K45" t="n">
        <x:v>0</x:v>
      </x:c>
    </x:row>
    <x:row r="46">
      <x:c r="B46" t="str">
        <x:v>RHP-A2-B2-S8</x:v>
      </x:c>
      <x:c r="C46" t="str">
        <x:v>RHP-A2</x:v>
      </x:c>
      <x:c r="D46" t="n">
        <x:v>2</x:v>
      </x:c>
      <x:c r="E46" t="n">
        <x:v>8</x:v>
      </x:c>
      <x:c r="F46" t="n">
        <x:v>70</x:v>
      </x:c>
      <x:c r="G46" t="n">
        <x:v>80</x:v>
      </x:c>
      <x:c r="H46" t="n">
        <x:v>1</x:v>
      </x:c>
      <x:c r="I46" t="n">
        <x:v>243</x:v>
      </x:c>
      <x:c r="J46" t="n">
        <x:v>373</x:v>
      </x:c>
      <x:c r="K46" t="n">
        <x:v>0</x:v>
      </x:c>
    </x:row>
    <x:row r="47">
      <x:c r="B47" t="str">
        <x:v>RHP-A2-B3-S1</x:v>
      </x:c>
      <x:c r="C47" t="str">
        <x:v>RHP-A2</x:v>
      </x:c>
      <x:c r="D47" t="n">
        <x:v>3</x:v>
      </x:c>
      <x:c r="E47" t="n">
        <x:v>1</x:v>
      </x:c>
      <x:c r="F47" t="n">
        <x:v>0</x:v>
      </x:c>
      <x:c r="G47" t="n">
        <x:v>10</x:v>
      </x:c>
      <x:c r="H47" t="n">
        <x:v>3</x:v>
      </x:c>
      <x:c r="I47" t="n">
        <x:v>243</x:v>
      </x:c>
      <x:c r="J47" t="n">
        <x:v>373</x:v>
      </x:c>
      <x:c r="K47" t="n">
        <x:v>0</x:v>
      </x:c>
    </x:row>
    <x:row r="48">
      <x:c r="B48" t="str">
        <x:v>RHP-A2-B3-S2</x:v>
      </x:c>
      <x:c r="C48" t="str">
        <x:v>RHP-A2</x:v>
      </x:c>
      <x:c r="D48" t="n">
        <x:v>3</x:v>
      </x:c>
      <x:c r="E48" t="n">
        <x:v>2</x:v>
      </x:c>
      <x:c r="F48" t="n">
        <x:v>10</x:v>
      </x:c>
      <x:c r="G48" t="n">
        <x:v>20</x:v>
      </x:c>
      <x:c r="H48" t="n">
        <x:v>3</x:v>
      </x:c>
      <x:c r="I48" t="n">
        <x:v>243</x:v>
      </x:c>
      <x:c r="J48" t="n">
        <x:v>373</x:v>
      </x:c>
      <x:c r="K48" t="n">
        <x:v>0</x:v>
      </x:c>
    </x:row>
    <x:row r="49">
      <x:c r="B49" t="str">
        <x:v>RHP-A2-B3-S3</x:v>
      </x:c>
      <x:c r="C49" t="str">
        <x:v>RHP-A2</x:v>
      </x:c>
      <x:c r="D49" t="n">
        <x:v>3</x:v>
      </x:c>
      <x:c r="E49" t="n">
        <x:v>3</x:v>
      </x:c>
      <x:c r="F49" t="n">
        <x:v>20</x:v>
      </x:c>
      <x:c r="G49" t="n">
        <x:v>30</x:v>
      </x:c>
      <x:c r="H49" t="n">
        <x:v>1</x:v>
      </x:c>
      <x:c r="I49" t="n">
        <x:v>243</x:v>
      </x:c>
      <x:c r="J49" t="n">
        <x:v>373</x:v>
      </x:c>
      <x:c r="K49" t="n">
        <x:v>0</x:v>
      </x:c>
    </x:row>
    <x:row r="50">
      <x:c r="B50" t="str">
        <x:v>RHP-A2-B3-S4</x:v>
      </x:c>
      <x:c r="C50" t="str">
        <x:v>RHP-A2</x:v>
      </x:c>
      <x:c r="D50" t="n">
        <x:v>3</x:v>
      </x:c>
      <x:c r="E50" t="n">
        <x:v>4</x:v>
      </x:c>
      <x:c r="F50" t="n">
        <x:v>30</x:v>
      </x:c>
      <x:c r="G50" t="n">
        <x:v>40</x:v>
      </x:c>
      <x:c r="H50" t="n">
        <x:v>1</x:v>
      </x:c>
      <x:c r="I50" t="n">
        <x:v>243</x:v>
      </x:c>
      <x:c r="J50" t="n">
        <x:v>373</x:v>
      </x:c>
      <x:c r="K50" t="n">
        <x:v>0</x:v>
      </x:c>
    </x:row>
    <x:row r="51">
      <x:c r="B51" t="str">
        <x:v>RHP-A2-B3-S5</x:v>
      </x:c>
      <x:c r="C51" t="str">
        <x:v>RHP-A2</x:v>
      </x:c>
      <x:c r="D51" t="n">
        <x:v>3</x:v>
      </x:c>
      <x:c r="E51" t="n">
        <x:v>5</x:v>
      </x:c>
      <x:c r="F51" t="n">
        <x:v>40</x:v>
      </x:c>
      <x:c r="G51" t="n">
        <x:v>50</x:v>
      </x:c>
      <x:c r="H51" t="n">
        <x:v>1</x:v>
      </x:c>
      <x:c r="I51" t="n">
        <x:v>243</x:v>
      </x:c>
      <x:c r="J51" t="n">
        <x:v>373</x:v>
      </x:c>
      <x:c r="K51" t="n">
        <x:v>0</x:v>
      </x:c>
    </x:row>
    <x:row r="52">
      <x:c r="B52" t="str">
        <x:v>RHP-A2-B3-S6</x:v>
      </x:c>
      <x:c r="C52" t="str">
        <x:v>RHP-A2</x:v>
      </x:c>
      <x:c r="D52" t="n">
        <x:v>3</x:v>
      </x:c>
      <x:c r="E52" t="n">
        <x:v>6</x:v>
      </x:c>
      <x:c r="F52" t="n">
        <x:v>50</x:v>
      </x:c>
      <x:c r="G52" t="n">
        <x:v>60</x:v>
      </x:c>
      <x:c r="H52" t="n">
        <x:v>1</x:v>
      </x:c>
      <x:c r="I52" t="n">
        <x:v>243</x:v>
      </x:c>
      <x:c r="J52" t="n">
        <x:v>373</x:v>
      </x:c>
      <x:c r="K52" t="n">
        <x:v>0</x:v>
      </x:c>
    </x:row>
    <x:row r="53">
      <x:c r="B53" t="str">
        <x:v>RHP-A2-B3-S7</x:v>
      </x:c>
      <x:c r="C53" t="str">
        <x:v>RHP-A2</x:v>
      </x:c>
      <x:c r="D53" t="n">
        <x:v>3</x:v>
      </x:c>
      <x:c r="E53" t="n">
        <x:v>7</x:v>
      </x:c>
      <x:c r="F53" t="n">
        <x:v>60</x:v>
      </x:c>
      <x:c r="G53" t="n">
        <x:v>70</x:v>
      </x:c>
      <x:c r="H53" t="n">
        <x:v>1</x:v>
      </x:c>
      <x:c r="I53" t="n">
        <x:v>243</x:v>
      </x:c>
      <x:c r="J53" t="n">
        <x:v>373</x:v>
      </x:c>
      <x:c r="K53" t="n">
        <x:v>0</x:v>
      </x:c>
    </x:row>
    <x:row r="54">
      <x:c r="B54" t="str">
        <x:v>RHP-A2-B3-S8</x:v>
      </x:c>
      <x:c r="C54" t="str">
        <x:v>RHP-A2</x:v>
      </x:c>
      <x:c r="D54" t="n">
        <x:v>3</x:v>
      </x:c>
      <x:c r="E54" t="n">
        <x:v>8</x:v>
      </x:c>
      <x:c r="F54" t="n">
        <x:v>70</x:v>
      </x:c>
      <x:c r="G54" t="n">
        <x:v>80</x:v>
      </x:c>
      <x:c r="H54" t="n">
        <x:v>1</x:v>
      </x:c>
      <x:c r="I54" t="n">
        <x:v>243</x:v>
      </x:c>
      <x:c r="J54" t="n">
        <x:v>373</x:v>
      </x:c>
      <x:c r="K54" t="n">
        <x:v>0</x:v>
      </x:c>
    </x:row>
    <x:row r="55">
      <x:c r="B55" t="str">
        <x:v>RHP-B1-B1-S1</x:v>
      </x:c>
      <x:c r="C55" t="str">
        <x:v>RHP-B1</x:v>
      </x:c>
      <x:c r="D55" t="n">
        <x:v>1</x:v>
      </x:c>
      <x:c r="E55" t="n">
        <x:v>1</x:v>
      </x:c>
      <x:c r="F55" t="n">
        <x:v>0</x:v>
      </x:c>
      <x:c r="G55" t="n">
        <x:v>10</x:v>
      </x:c>
      <x:c r="H55" t="n">
        <x:v>3</x:v>
      </x:c>
      <x:c r="I55" t="n">
        <x:v>243</x:v>
      </x:c>
      <x:c r="J55" t="n">
        <x:v>373</x:v>
      </x:c>
      <x:c r="K55" t="n">
        <x:v>0</x:v>
      </x:c>
    </x:row>
    <x:row r="56">
      <x:c r="B56" t="str">
        <x:v>RHP-B1-B1-S2</x:v>
      </x:c>
      <x:c r="C56" t="str">
        <x:v>RHP-B1</x:v>
      </x:c>
      <x:c r="D56" t="n">
        <x:v>1</x:v>
      </x:c>
      <x:c r="E56" t="n">
        <x:v>2</x:v>
      </x:c>
      <x:c r="F56" t="n">
        <x:v>10</x:v>
      </x:c>
      <x:c r="G56" t="n">
        <x:v>20</x:v>
      </x:c>
      <x:c r="H56" t="n">
        <x:v>3</x:v>
      </x:c>
      <x:c r="I56" t="n">
        <x:v>243</x:v>
      </x:c>
      <x:c r="J56" t="n">
        <x:v>373</x:v>
      </x:c>
      <x:c r="K56" t="n">
        <x:v>0</x:v>
      </x:c>
    </x:row>
    <x:row r="57">
      <x:c r="B57" t="str">
        <x:v>RHP-B1-B1-S3</x:v>
      </x:c>
      <x:c r="C57" t="str">
        <x:v>RHP-B1</x:v>
      </x:c>
      <x:c r="D57" t="n">
        <x:v>1</x:v>
      </x:c>
      <x:c r="E57" t="n">
        <x:v>3</x:v>
      </x:c>
      <x:c r="F57" t="n">
        <x:v>20</x:v>
      </x:c>
      <x:c r="G57" t="n">
        <x:v>30</x:v>
      </x:c>
      <x:c r="H57" t="n">
        <x:v>1</x:v>
      </x:c>
      <x:c r="I57" t="n">
        <x:v>243</x:v>
      </x:c>
      <x:c r="J57" t="n">
        <x:v>373</x:v>
      </x:c>
      <x:c r="K57" t="n">
        <x:v>0</x:v>
      </x:c>
    </x:row>
    <x:row r="58">
      <x:c r="B58" t="str">
        <x:v>RHP-B1-B1-S4</x:v>
      </x:c>
      <x:c r="C58" t="str">
        <x:v>RHP-B1</x:v>
      </x:c>
      <x:c r="D58" t="n">
        <x:v>1</x:v>
      </x:c>
      <x:c r="E58" t="n">
        <x:v>4</x:v>
      </x:c>
      <x:c r="F58" t="n">
        <x:v>30</x:v>
      </x:c>
      <x:c r="G58" t="n">
        <x:v>40</x:v>
      </x:c>
      <x:c r="H58" t="n">
        <x:v>1</x:v>
      </x:c>
      <x:c r="I58" t="n">
        <x:v>243</x:v>
      </x:c>
      <x:c r="J58" t="n">
        <x:v>373</x:v>
      </x:c>
      <x:c r="K58" t="n">
        <x:v>0</x:v>
      </x:c>
    </x:row>
    <x:row r="59">
      <x:c r="B59" t="str">
        <x:v>RHP-B1-B1-S5</x:v>
      </x:c>
      <x:c r="C59" t="str">
        <x:v>RHP-B1</x:v>
      </x:c>
      <x:c r="D59" t="n">
        <x:v>1</x:v>
      </x:c>
      <x:c r="E59" t="n">
        <x:v>5</x:v>
      </x:c>
      <x:c r="F59" t="n">
        <x:v>40</x:v>
      </x:c>
      <x:c r="G59" t="n">
        <x:v>50</x:v>
      </x:c>
      <x:c r="H59" t="n">
        <x:v>1</x:v>
      </x:c>
      <x:c r="I59" t="n">
        <x:v>243</x:v>
      </x:c>
      <x:c r="J59" t="n">
        <x:v>373</x:v>
      </x:c>
      <x:c r="K59" t="n">
        <x:v>0</x:v>
      </x:c>
    </x:row>
    <x:row r="60">
      <x:c r="B60" t="str">
        <x:v>RHP-B1-B1-S6</x:v>
      </x:c>
      <x:c r="C60" t="str">
        <x:v>RHP-B1</x:v>
      </x:c>
      <x:c r="D60" t="n">
        <x:v>1</x:v>
      </x:c>
      <x:c r="E60" t="n">
        <x:v>6</x:v>
      </x:c>
      <x:c r="F60" t="n">
        <x:v>50</x:v>
      </x:c>
      <x:c r="G60" t="n">
        <x:v>60</x:v>
      </x:c>
      <x:c r="H60" t="n">
        <x:v>1</x:v>
      </x:c>
      <x:c r="I60" t="n">
        <x:v>243</x:v>
      </x:c>
      <x:c r="J60" t="n">
        <x:v>373</x:v>
      </x:c>
      <x:c r="K60" t="n">
        <x:v>0</x:v>
      </x:c>
    </x:row>
    <x:row r="61">
      <x:c r="B61" t="str">
        <x:v>RHP-B1-B1-S7</x:v>
      </x:c>
      <x:c r="C61" t="str">
        <x:v>RHP-B1</x:v>
      </x:c>
      <x:c r="D61" t="n">
        <x:v>1</x:v>
      </x:c>
      <x:c r="E61" t="n">
        <x:v>7</x:v>
      </x:c>
      <x:c r="F61" t="n">
        <x:v>60</x:v>
      </x:c>
      <x:c r="G61" t="n">
        <x:v>70</x:v>
      </x:c>
      <x:c r="H61" t="n">
        <x:v>1</x:v>
      </x:c>
      <x:c r="I61" t="n">
        <x:v>243</x:v>
      </x:c>
      <x:c r="J61" t="n">
        <x:v>373</x:v>
      </x:c>
      <x:c r="K61" t="n">
        <x:v>0</x:v>
      </x:c>
    </x:row>
    <x:row r="62">
      <x:c r="B62" t="str">
        <x:v>RHP-B1-B1-S8</x:v>
      </x:c>
      <x:c r="C62" t="str">
        <x:v>RHP-B1</x:v>
      </x:c>
      <x:c r="D62" t="n">
        <x:v>1</x:v>
      </x:c>
      <x:c r="E62" t="n">
        <x:v>8</x:v>
      </x:c>
      <x:c r="F62" t="n">
        <x:v>70</x:v>
      </x:c>
      <x:c r="G62" t="n">
        <x:v>80</x:v>
      </x:c>
      <x:c r="H62" t="n">
        <x:v>1</x:v>
      </x:c>
      <x:c r="I62" t="n">
        <x:v>243</x:v>
      </x:c>
      <x:c r="J62" t="n">
        <x:v>373</x:v>
      </x:c>
      <x:c r="K62" t="n">
        <x:v>0</x:v>
      </x:c>
    </x:row>
    <x:row r="63">
      <x:c r="B63" t="str">
        <x:v>RHP-B1-B2-S1</x:v>
      </x:c>
      <x:c r="C63" t="str">
        <x:v>RHP-B1</x:v>
      </x:c>
      <x:c r="D63" t="n">
        <x:v>2</x:v>
      </x:c>
      <x:c r="E63" t="n">
        <x:v>1</x:v>
      </x:c>
      <x:c r="F63" t="n">
        <x:v>0</x:v>
      </x:c>
      <x:c r="G63" t="n">
        <x:v>10</x:v>
      </x:c>
      <x:c r="H63" t="n">
        <x:v>3</x:v>
      </x:c>
      <x:c r="I63" t="n">
        <x:v>243</x:v>
      </x:c>
      <x:c r="J63" t="n">
        <x:v>373</x:v>
      </x:c>
      <x:c r="K63" t="n">
        <x:v>0</x:v>
      </x:c>
    </x:row>
    <x:row r="64">
      <x:c r="B64" t="str">
        <x:v>RHP-B1-B2-S2</x:v>
      </x:c>
      <x:c r="C64" t="str">
        <x:v>RHP-B1</x:v>
      </x:c>
      <x:c r="D64" t="n">
        <x:v>2</x:v>
      </x:c>
      <x:c r="E64" t="n">
        <x:v>2</x:v>
      </x:c>
      <x:c r="F64" t="n">
        <x:v>10</x:v>
      </x:c>
      <x:c r="G64" t="n">
        <x:v>20</x:v>
      </x:c>
      <x:c r="H64" t="n">
        <x:v>3</x:v>
      </x:c>
      <x:c r="I64" t="n">
        <x:v>243</x:v>
      </x:c>
      <x:c r="J64" t="n">
        <x:v>373</x:v>
      </x:c>
      <x:c r="K64" t="n">
        <x:v>0</x:v>
      </x:c>
    </x:row>
    <x:row r="65">
      <x:c r="B65" t="str">
        <x:v>RHP-B1-B2-S3</x:v>
      </x:c>
      <x:c r="C65" t="str">
        <x:v>RHP-B1</x:v>
      </x:c>
      <x:c r="D65" t="n">
        <x:v>2</x:v>
      </x:c>
      <x:c r="E65" t="n">
        <x:v>3</x:v>
      </x:c>
      <x:c r="F65" t="n">
        <x:v>20</x:v>
      </x:c>
      <x:c r="G65" t="n">
        <x:v>30</x:v>
      </x:c>
      <x:c r="H65" t="n">
        <x:v>1</x:v>
      </x:c>
      <x:c r="I65" t="n">
        <x:v>243</x:v>
      </x:c>
      <x:c r="J65" t="n">
        <x:v>373</x:v>
      </x:c>
      <x:c r="K65" t="n">
        <x:v>0</x:v>
      </x:c>
    </x:row>
    <x:row r="66">
      <x:c r="B66" t="str">
        <x:v>RHP-B1-B2-S4</x:v>
      </x:c>
      <x:c r="C66" t="str">
        <x:v>RHP-B1</x:v>
      </x:c>
      <x:c r="D66" t="n">
        <x:v>2</x:v>
      </x:c>
      <x:c r="E66" t="n">
        <x:v>4</x:v>
      </x:c>
      <x:c r="F66" t="n">
        <x:v>30</x:v>
      </x:c>
      <x:c r="G66" t="n">
        <x:v>40</x:v>
      </x:c>
      <x:c r="H66" t="n">
        <x:v>1</x:v>
      </x:c>
      <x:c r="I66" t="n">
        <x:v>243</x:v>
      </x:c>
      <x:c r="J66" t="n">
        <x:v>373</x:v>
      </x:c>
      <x:c r="K66" t="n">
        <x:v>0</x:v>
      </x:c>
    </x:row>
    <x:row r="67">
      <x:c r="B67" t="str">
        <x:v>RHP-B1-B2-S5</x:v>
      </x:c>
      <x:c r="C67" t="str">
        <x:v>RHP-B1</x:v>
      </x:c>
      <x:c r="D67" t="n">
        <x:v>2</x:v>
      </x:c>
      <x:c r="E67" t="n">
        <x:v>5</x:v>
      </x:c>
      <x:c r="F67" t="n">
        <x:v>40</x:v>
      </x:c>
      <x:c r="G67" t="n">
        <x:v>50</x:v>
      </x:c>
      <x:c r="H67" t="n">
        <x:v>1</x:v>
      </x:c>
      <x:c r="I67" t="n">
        <x:v>243</x:v>
      </x:c>
      <x:c r="J67" t="n">
        <x:v>373</x:v>
      </x:c>
      <x:c r="K67" t="n">
        <x:v>0</x:v>
      </x:c>
    </x:row>
    <x:row r="68">
      <x:c r="B68" t="str">
        <x:v>RHP-B1-B2-S6</x:v>
      </x:c>
      <x:c r="C68" t="str">
        <x:v>RHP-B1</x:v>
      </x:c>
      <x:c r="D68" t="n">
        <x:v>2</x:v>
      </x:c>
      <x:c r="E68" t="n">
        <x:v>6</x:v>
      </x:c>
      <x:c r="F68" t="n">
        <x:v>50</x:v>
      </x:c>
      <x:c r="G68" t="n">
        <x:v>60</x:v>
      </x:c>
      <x:c r="H68" t="n">
        <x:v>1</x:v>
      </x:c>
      <x:c r="I68" t="n">
        <x:v>243</x:v>
      </x:c>
      <x:c r="J68" t="n">
        <x:v>373</x:v>
      </x:c>
      <x:c r="K68" t="n">
        <x:v>0</x:v>
      </x:c>
    </x:row>
    <x:row r="69">
      <x:c r="B69" t="str">
        <x:v>RHP-B1-B2-S7</x:v>
      </x:c>
      <x:c r="C69" t="str">
        <x:v>RHP-B1</x:v>
      </x:c>
      <x:c r="D69" t="n">
        <x:v>2</x:v>
      </x:c>
      <x:c r="E69" t="n">
        <x:v>7</x:v>
      </x:c>
      <x:c r="F69" t="n">
        <x:v>60</x:v>
      </x:c>
      <x:c r="G69" t="n">
        <x:v>70</x:v>
      </x:c>
      <x:c r="H69" t="n">
        <x:v>1</x:v>
      </x:c>
      <x:c r="I69" t="n">
        <x:v>243</x:v>
      </x:c>
      <x:c r="J69" t="n">
        <x:v>373</x:v>
      </x:c>
      <x:c r="K69" t="n">
        <x:v>0</x:v>
      </x:c>
    </x:row>
    <x:row r="70">
      <x:c r="B70" t="str">
        <x:v>RHP-B1-B2-S8</x:v>
      </x:c>
      <x:c r="C70" t="str">
        <x:v>RHP-B1</x:v>
      </x:c>
      <x:c r="D70" t="n">
        <x:v>2</x:v>
      </x:c>
      <x:c r="E70" t="n">
        <x:v>8</x:v>
      </x:c>
      <x:c r="F70" t="n">
        <x:v>70</x:v>
      </x:c>
      <x:c r="G70" t="n">
        <x:v>80</x:v>
      </x:c>
      <x:c r="H70" t="n">
        <x:v>1</x:v>
      </x:c>
      <x:c r="I70" t="n">
        <x:v>243</x:v>
      </x:c>
      <x:c r="J70" t="n">
        <x:v>373</x:v>
      </x:c>
      <x:c r="K70" t="n">
        <x:v>0</x:v>
      </x:c>
    </x:row>
    <x:row r="71">
      <x:c r="B71" t="str">
        <x:v>RHP-B1-B3-S1</x:v>
      </x:c>
      <x:c r="C71" t="str">
        <x:v>RHP-B1</x:v>
      </x:c>
      <x:c r="D71" t="n">
        <x:v>3</x:v>
      </x:c>
      <x:c r="E71" t="n">
        <x:v>1</x:v>
      </x:c>
      <x:c r="F71" t="n">
        <x:v>0</x:v>
      </x:c>
      <x:c r="G71" t="n">
        <x:v>10</x:v>
      </x:c>
      <x:c r="H71" t="n">
        <x:v>3</x:v>
      </x:c>
      <x:c r="I71" t="n">
        <x:v>243</x:v>
      </x:c>
      <x:c r="J71" t="n">
        <x:v>373</x:v>
      </x:c>
      <x:c r="K71" t="n">
        <x:v>0</x:v>
      </x:c>
    </x:row>
    <x:row r="72">
      <x:c r="B72" t="str">
        <x:v>RHP-B1-B3-S2</x:v>
      </x:c>
      <x:c r="C72" t="str">
        <x:v>RHP-B1</x:v>
      </x:c>
      <x:c r="D72" t="n">
        <x:v>3</x:v>
      </x:c>
      <x:c r="E72" t="n">
        <x:v>2</x:v>
      </x:c>
      <x:c r="F72" t="n">
        <x:v>10</x:v>
      </x:c>
      <x:c r="G72" t="n">
        <x:v>20</x:v>
      </x:c>
      <x:c r="H72" t="n">
        <x:v>3</x:v>
      </x:c>
      <x:c r="I72" t="n">
        <x:v>243</x:v>
      </x:c>
      <x:c r="J72" t="n">
        <x:v>373</x:v>
      </x:c>
      <x:c r="K72" t="n">
        <x:v>0</x:v>
      </x:c>
    </x:row>
    <x:row r="73">
      <x:c r="B73" t="str">
        <x:v>RHP-B1-B3-S3</x:v>
      </x:c>
      <x:c r="C73" t="str">
        <x:v>RHP-B1</x:v>
      </x:c>
      <x:c r="D73" t="n">
        <x:v>3</x:v>
      </x:c>
      <x:c r="E73" t="n">
        <x:v>3</x:v>
      </x:c>
      <x:c r="F73" t="n">
        <x:v>20</x:v>
      </x:c>
      <x:c r="G73" t="n">
        <x:v>30</x:v>
      </x:c>
      <x:c r="H73" t="n">
        <x:v>1</x:v>
      </x:c>
      <x:c r="I73" t="n">
        <x:v>243</x:v>
      </x:c>
      <x:c r="J73" t="n">
        <x:v>373</x:v>
      </x:c>
      <x:c r="K73" t="n">
        <x:v>0</x:v>
      </x:c>
    </x:row>
    <x:row r="74">
      <x:c r="B74" t="str">
        <x:v>RHP-B1-B3-S4</x:v>
      </x:c>
      <x:c r="C74" t="str">
        <x:v>RHP-B1</x:v>
      </x:c>
      <x:c r="D74" t="n">
        <x:v>3</x:v>
      </x:c>
      <x:c r="E74" t="n">
        <x:v>4</x:v>
      </x:c>
      <x:c r="F74" t="n">
        <x:v>30</x:v>
      </x:c>
      <x:c r="G74" t="n">
        <x:v>40</x:v>
      </x:c>
      <x:c r="H74" t="n">
        <x:v>1</x:v>
      </x:c>
      <x:c r="I74" t="n">
        <x:v>243</x:v>
      </x:c>
      <x:c r="J74" t="n">
        <x:v>373</x:v>
      </x:c>
      <x:c r="K74" t="n">
        <x:v>0</x:v>
      </x:c>
    </x:row>
    <x:row r="75">
      <x:c r="B75" t="str">
        <x:v>RHP-B1-B3-S5</x:v>
      </x:c>
      <x:c r="C75" t="str">
        <x:v>RHP-B1</x:v>
      </x:c>
      <x:c r="D75" t="n">
        <x:v>3</x:v>
      </x:c>
      <x:c r="E75" t="n">
        <x:v>5</x:v>
      </x:c>
      <x:c r="F75" t="n">
        <x:v>40</x:v>
      </x:c>
      <x:c r="G75" t="n">
        <x:v>50</x:v>
      </x:c>
      <x:c r="H75" t="n">
        <x:v>1</x:v>
      </x:c>
      <x:c r="I75" t="n">
        <x:v>243</x:v>
      </x:c>
      <x:c r="J75" t="n">
        <x:v>373</x:v>
      </x:c>
      <x:c r="K75" t="n">
        <x:v>0</x:v>
      </x:c>
    </x:row>
    <x:row r="76">
      <x:c r="B76" t="str">
        <x:v>RHP-B1-B3-S6</x:v>
      </x:c>
      <x:c r="C76" t="str">
        <x:v>RHP-B1</x:v>
      </x:c>
      <x:c r="D76" t="n">
        <x:v>3</x:v>
      </x:c>
      <x:c r="E76" t="n">
        <x:v>6</x:v>
      </x:c>
      <x:c r="F76" t="n">
        <x:v>50</x:v>
      </x:c>
      <x:c r="G76" t="n">
        <x:v>60</x:v>
      </x:c>
      <x:c r="H76" t="n">
        <x:v>1</x:v>
      </x:c>
      <x:c r="I76" t="n">
        <x:v>243</x:v>
      </x:c>
      <x:c r="J76" t="n">
        <x:v>373</x:v>
      </x:c>
      <x:c r="K76" t="n">
        <x:v>0</x:v>
      </x:c>
    </x:row>
    <x:row r="77">
      <x:c r="B77" t="str">
        <x:v>RHP-B1-B3-S7</x:v>
      </x:c>
      <x:c r="C77" t="str">
        <x:v>RHP-B1</x:v>
      </x:c>
      <x:c r="D77" t="n">
        <x:v>3</x:v>
      </x:c>
      <x:c r="E77" t="n">
        <x:v>7</x:v>
      </x:c>
      <x:c r="F77" t="n">
        <x:v>60</x:v>
      </x:c>
      <x:c r="G77" t="n">
        <x:v>70</x:v>
      </x:c>
      <x:c r="H77" t="n">
        <x:v>1</x:v>
      </x:c>
      <x:c r="I77" t="n">
        <x:v>243</x:v>
      </x:c>
      <x:c r="J77" t="n">
        <x:v>373</x:v>
      </x:c>
      <x:c r="K77" t="n">
        <x:v>0</x:v>
      </x:c>
    </x:row>
    <x:row r="78">
      <x:c r="B78" t="str">
        <x:v>RHP-B1-B3-S8</x:v>
      </x:c>
      <x:c r="C78" t="str">
        <x:v>RHP-B1</x:v>
      </x:c>
      <x:c r="D78" t="n">
        <x:v>3</x:v>
      </x:c>
      <x:c r="E78" t="n">
        <x:v>8</x:v>
      </x:c>
      <x:c r="F78" t="n">
        <x:v>70</x:v>
      </x:c>
      <x:c r="G78" t="n">
        <x:v>80</x:v>
      </x:c>
      <x:c r="H78" t="n">
        <x:v>1</x:v>
      </x:c>
      <x:c r="I78" t="n">
        <x:v>243</x:v>
      </x:c>
      <x:c r="J78" t="n">
        <x:v>373</x:v>
      </x:c>
      <x:c r="K78" t="n">
        <x:v>0</x:v>
      </x:c>
    </x:row>
    <x:row r="79">
      <x:c r="B79" t="str">
        <x:v>RHP-B2-B1-S1</x:v>
      </x:c>
      <x:c r="C79" t="str">
        <x:v>RHP-B2</x:v>
      </x:c>
      <x:c r="D79" t="n">
        <x:v>1</x:v>
      </x:c>
      <x:c r="E79" t="n">
        <x:v>1</x:v>
      </x:c>
      <x:c r="F79" t="n">
        <x:v>0</x:v>
      </x:c>
      <x:c r="G79" t="n">
        <x:v>10</x:v>
      </x:c>
      <x:c r="H79" t="n">
        <x:v>3</x:v>
      </x:c>
      <x:c r="I79" t="n">
        <x:v>243</x:v>
      </x:c>
      <x:c r="J79" t="n">
        <x:v>373</x:v>
      </x:c>
      <x:c r="K79" t="n">
        <x:v>0</x:v>
      </x:c>
    </x:row>
    <x:row r="80">
      <x:c r="B80" t="str">
        <x:v>RHP-B2-B1-S2</x:v>
      </x:c>
      <x:c r="C80" t="str">
        <x:v>RHP-B2</x:v>
      </x:c>
      <x:c r="D80" t="n">
        <x:v>1</x:v>
      </x:c>
      <x:c r="E80" t="n">
        <x:v>2</x:v>
      </x:c>
      <x:c r="F80" t="n">
        <x:v>10</x:v>
      </x:c>
      <x:c r="G80" t="n">
        <x:v>20</x:v>
      </x:c>
      <x:c r="H80" t="n">
        <x:v>3</x:v>
      </x:c>
      <x:c r="I80" t="n">
        <x:v>243</x:v>
      </x:c>
      <x:c r="J80" t="n">
        <x:v>373</x:v>
      </x:c>
      <x:c r="K80" t="n">
        <x:v>0</x:v>
      </x:c>
    </x:row>
    <x:row r="81">
      <x:c r="B81" t="str">
        <x:v>RHP-B2-B1-S3</x:v>
      </x:c>
      <x:c r="C81" t="str">
        <x:v>RHP-B2</x:v>
      </x:c>
      <x:c r="D81" t="n">
        <x:v>1</x:v>
      </x:c>
      <x:c r="E81" t="n">
        <x:v>3</x:v>
      </x:c>
      <x:c r="F81" t="n">
        <x:v>20</x:v>
      </x:c>
      <x:c r="G81" t="n">
        <x:v>30</x:v>
      </x:c>
      <x:c r="H81" t="n">
        <x:v>1</x:v>
      </x:c>
      <x:c r="I81" t="n">
        <x:v>243</x:v>
      </x:c>
      <x:c r="J81" t="n">
        <x:v>373</x:v>
      </x:c>
      <x:c r="K81" t="n">
        <x:v>0</x:v>
      </x:c>
    </x:row>
    <x:row r="82">
      <x:c r="B82" t="str">
        <x:v>RHP-B2-B1-S4</x:v>
      </x:c>
      <x:c r="C82" t="str">
        <x:v>RHP-B2</x:v>
      </x:c>
      <x:c r="D82" t="n">
        <x:v>1</x:v>
      </x:c>
      <x:c r="E82" t="n">
        <x:v>4</x:v>
      </x:c>
      <x:c r="F82" t="n">
        <x:v>30</x:v>
      </x:c>
      <x:c r="G82" t="n">
        <x:v>40</x:v>
      </x:c>
      <x:c r="H82" t="n">
        <x:v>1</x:v>
      </x:c>
      <x:c r="I82" t="n">
        <x:v>243</x:v>
      </x:c>
      <x:c r="J82" t="n">
        <x:v>373</x:v>
      </x:c>
      <x:c r="K82" t="n">
        <x:v>0</x:v>
      </x:c>
    </x:row>
    <x:row r="83">
      <x:c r="B83" t="str">
        <x:v>RHP-B2-B1-S5</x:v>
      </x:c>
      <x:c r="C83" t="str">
        <x:v>RHP-B2</x:v>
      </x:c>
      <x:c r="D83" t="n">
        <x:v>1</x:v>
      </x:c>
      <x:c r="E83" t="n">
        <x:v>5</x:v>
      </x:c>
      <x:c r="F83" t="n">
        <x:v>40</x:v>
      </x:c>
      <x:c r="G83" t="n">
        <x:v>50</x:v>
      </x:c>
      <x:c r="H83" t="n">
        <x:v>1</x:v>
      </x:c>
      <x:c r="I83" t="n">
        <x:v>243</x:v>
      </x:c>
      <x:c r="J83" t="n">
        <x:v>373</x:v>
      </x:c>
      <x:c r="K83" t="n">
        <x:v>0</x:v>
      </x:c>
    </x:row>
    <x:row r="84">
      <x:c r="B84" t="str">
        <x:v>RHP-B2-B1-S6</x:v>
      </x:c>
      <x:c r="C84" t="str">
        <x:v>RHP-B2</x:v>
      </x:c>
      <x:c r="D84" t="n">
        <x:v>1</x:v>
      </x:c>
      <x:c r="E84" t="n">
        <x:v>6</x:v>
      </x:c>
      <x:c r="F84" t="n">
        <x:v>50</x:v>
      </x:c>
      <x:c r="G84" t="n">
        <x:v>60</x:v>
      </x:c>
      <x:c r="H84" t="n">
        <x:v>1</x:v>
      </x:c>
      <x:c r="I84" t="n">
        <x:v>243</x:v>
      </x:c>
      <x:c r="J84" t="n">
        <x:v>373</x:v>
      </x:c>
      <x:c r="K84" t="n">
        <x:v>0</x:v>
      </x:c>
    </x:row>
    <x:row r="85">
      <x:c r="B85" t="str">
        <x:v>RHP-B2-B1-S7</x:v>
      </x:c>
      <x:c r="C85" t="str">
        <x:v>RHP-B2</x:v>
      </x:c>
      <x:c r="D85" t="n">
        <x:v>1</x:v>
      </x:c>
      <x:c r="E85" t="n">
        <x:v>7</x:v>
      </x:c>
      <x:c r="F85" t="n">
        <x:v>60</x:v>
      </x:c>
      <x:c r="G85" t="n">
        <x:v>70</x:v>
      </x:c>
      <x:c r="H85" t="n">
        <x:v>1</x:v>
      </x:c>
      <x:c r="I85" t="n">
        <x:v>243</x:v>
      </x:c>
      <x:c r="J85" t="n">
        <x:v>373</x:v>
      </x:c>
      <x:c r="K85" t="n">
        <x:v>0</x:v>
      </x:c>
    </x:row>
    <x:row r="86">
      <x:c r="B86" t="str">
        <x:v>RHP-B2-B1-S8</x:v>
      </x:c>
      <x:c r="C86" t="str">
        <x:v>RHP-B2</x:v>
      </x:c>
      <x:c r="D86" t="n">
        <x:v>1</x:v>
      </x:c>
      <x:c r="E86" t="n">
        <x:v>8</x:v>
      </x:c>
      <x:c r="F86" t="n">
        <x:v>70</x:v>
      </x:c>
      <x:c r="G86" t="n">
        <x:v>80</x:v>
      </x:c>
      <x:c r="H86" t="n">
        <x:v>1</x:v>
      </x:c>
      <x:c r="I86" t="n">
        <x:v>243</x:v>
      </x:c>
      <x:c r="J86" t="n">
        <x:v>373</x:v>
      </x:c>
      <x:c r="K86" t="n">
        <x:v>0</x:v>
      </x:c>
    </x:row>
    <x:row r="87">
      <x:c r="B87" t="str">
        <x:v>RHP-B2-B2-S1</x:v>
      </x:c>
      <x:c r="C87" t="str">
        <x:v>RHP-B2</x:v>
      </x:c>
      <x:c r="D87" t="n">
        <x:v>2</x:v>
      </x:c>
      <x:c r="E87" t="n">
        <x:v>1</x:v>
      </x:c>
      <x:c r="F87" t="n">
        <x:v>0</x:v>
      </x:c>
      <x:c r="G87" t="n">
        <x:v>10</x:v>
      </x:c>
      <x:c r="H87" t="n">
        <x:v>3</x:v>
      </x:c>
      <x:c r="I87" t="n">
        <x:v>243</x:v>
      </x:c>
      <x:c r="J87" t="n">
        <x:v>373</x:v>
      </x:c>
      <x:c r="K87" t="n">
        <x:v>0</x:v>
      </x:c>
    </x:row>
    <x:row r="88">
      <x:c r="B88" t="str">
        <x:v>RHP-B2-B2-S2</x:v>
      </x:c>
      <x:c r="C88" t="str">
        <x:v>RHP-B2</x:v>
      </x:c>
      <x:c r="D88" t="n">
        <x:v>2</x:v>
      </x:c>
      <x:c r="E88" t="n">
        <x:v>2</x:v>
      </x:c>
      <x:c r="F88" t="n">
        <x:v>10</x:v>
      </x:c>
      <x:c r="G88" t="n">
        <x:v>20</x:v>
      </x:c>
      <x:c r="H88" t="n">
        <x:v>3</x:v>
      </x:c>
      <x:c r="I88" t="n">
        <x:v>243</x:v>
      </x:c>
      <x:c r="J88" t="n">
        <x:v>373</x:v>
      </x:c>
      <x:c r="K88" t="n">
        <x:v>0</x:v>
      </x:c>
    </x:row>
    <x:row r="89">
      <x:c r="B89" t="str">
        <x:v>RHP-B2-B2-S3</x:v>
      </x:c>
      <x:c r="C89" t="str">
        <x:v>RHP-B2</x:v>
      </x:c>
      <x:c r="D89" t="n">
        <x:v>2</x:v>
      </x:c>
      <x:c r="E89" t="n">
        <x:v>3</x:v>
      </x:c>
      <x:c r="F89" t="n">
        <x:v>20</x:v>
      </x:c>
      <x:c r="G89" t="n">
        <x:v>30</x:v>
      </x:c>
      <x:c r="H89" t="n">
        <x:v>1</x:v>
      </x:c>
      <x:c r="I89" t="n">
        <x:v>243</x:v>
      </x:c>
      <x:c r="J89" t="n">
        <x:v>373</x:v>
      </x:c>
      <x:c r="K89" t="n">
        <x:v>0</x:v>
      </x:c>
    </x:row>
    <x:row r="90">
      <x:c r="B90" t="str">
        <x:v>RHP-B2-B2-S4</x:v>
      </x:c>
      <x:c r="C90" t="str">
        <x:v>RHP-B2</x:v>
      </x:c>
      <x:c r="D90" t="n">
        <x:v>2</x:v>
      </x:c>
      <x:c r="E90" t="n">
        <x:v>4</x:v>
      </x:c>
      <x:c r="F90" t="n">
        <x:v>30</x:v>
      </x:c>
      <x:c r="G90" t="n">
        <x:v>40</x:v>
      </x:c>
      <x:c r="H90" t="n">
        <x:v>1</x:v>
      </x:c>
      <x:c r="I90" t="n">
        <x:v>243</x:v>
      </x:c>
      <x:c r="J90" t="n">
        <x:v>373</x:v>
      </x:c>
      <x:c r="K90" t="n">
        <x:v>0</x:v>
      </x:c>
    </x:row>
    <x:row r="91">
      <x:c r="B91" t="str">
        <x:v>RHP-B2-B2-S5</x:v>
      </x:c>
      <x:c r="C91" t="str">
        <x:v>RHP-B2</x:v>
      </x:c>
      <x:c r="D91" t="n">
        <x:v>2</x:v>
      </x:c>
      <x:c r="E91" t="n">
        <x:v>5</x:v>
      </x:c>
      <x:c r="F91" t="n">
        <x:v>40</x:v>
      </x:c>
      <x:c r="G91" t="n">
        <x:v>50</x:v>
      </x:c>
      <x:c r="H91" t="n">
        <x:v>1</x:v>
      </x:c>
      <x:c r="I91" t="n">
        <x:v>243</x:v>
      </x:c>
      <x:c r="J91" t="n">
        <x:v>373</x:v>
      </x:c>
      <x:c r="K91" t="n">
        <x:v>0</x:v>
      </x:c>
    </x:row>
    <x:row r="92">
      <x:c r="B92" t="str">
        <x:v>RHP-B2-B2-S6</x:v>
      </x:c>
      <x:c r="C92" t="str">
        <x:v>RHP-B2</x:v>
      </x:c>
      <x:c r="D92" t="n">
        <x:v>2</x:v>
      </x:c>
      <x:c r="E92" t="n">
        <x:v>6</x:v>
      </x:c>
      <x:c r="F92" t="n">
        <x:v>50</x:v>
      </x:c>
      <x:c r="G92" t="n">
        <x:v>60</x:v>
      </x:c>
      <x:c r="H92" t="n">
        <x:v>1</x:v>
      </x:c>
      <x:c r="I92" t="n">
        <x:v>243</x:v>
      </x:c>
      <x:c r="J92" t="n">
        <x:v>373</x:v>
      </x:c>
      <x:c r="K92" t="n">
        <x:v>0</x:v>
      </x:c>
    </x:row>
    <x:row r="93">
      <x:c r="B93" t="str">
        <x:v>RHP-B2-B2-S7</x:v>
      </x:c>
      <x:c r="C93" t="str">
        <x:v>RHP-B2</x:v>
      </x:c>
      <x:c r="D93" t="n">
        <x:v>2</x:v>
      </x:c>
      <x:c r="E93" t="n">
        <x:v>7</x:v>
      </x:c>
      <x:c r="F93" t="n">
        <x:v>60</x:v>
      </x:c>
      <x:c r="G93" t="n">
        <x:v>70</x:v>
      </x:c>
      <x:c r="H93" t="n">
        <x:v>1</x:v>
      </x:c>
      <x:c r="I93" t="n">
        <x:v>243</x:v>
      </x:c>
      <x:c r="J93" t="n">
        <x:v>373</x:v>
      </x:c>
      <x:c r="K93" t="n">
        <x:v>0</x:v>
      </x:c>
    </x:row>
    <x:row r="94">
      <x:c r="B94" t="str">
        <x:v>RHP-B2-B2-S8</x:v>
      </x:c>
      <x:c r="C94" t="str">
        <x:v>RHP-B2</x:v>
      </x:c>
      <x:c r="D94" t="n">
        <x:v>2</x:v>
      </x:c>
      <x:c r="E94" t="n">
        <x:v>8</x:v>
      </x:c>
      <x:c r="F94" t="n">
        <x:v>70</x:v>
      </x:c>
      <x:c r="G94" t="n">
        <x:v>80</x:v>
      </x:c>
      <x:c r="H94" t="n">
        <x:v>1</x:v>
      </x:c>
      <x:c r="I94" t="n">
        <x:v>243</x:v>
      </x:c>
      <x:c r="J94" t="n">
        <x:v>373</x:v>
      </x:c>
      <x:c r="K94" t="n">
        <x:v>0</x:v>
      </x:c>
    </x:row>
    <x:row r="95">
      <x:c r="B95" t="str">
        <x:v>RHP-B2-B3-S1</x:v>
      </x:c>
      <x:c r="C95" t="str">
        <x:v>RHP-B2</x:v>
      </x:c>
      <x:c r="D95" t="n">
        <x:v>3</x:v>
      </x:c>
      <x:c r="E95" t="n">
        <x:v>1</x:v>
      </x:c>
      <x:c r="F95" t="n">
        <x:v>0</x:v>
      </x:c>
      <x:c r="G95" t="n">
        <x:v>10</x:v>
      </x:c>
      <x:c r="H95" t="n">
        <x:v>3</x:v>
      </x:c>
      <x:c r="I95" t="n">
        <x:v>243</x:v>
      </x:c>
      <x:c r="J95" t="n">
        <x:v>373</x:v>
      </x:c>
      <x:c r="K95" t="n">
        <x:v>0</x:v>
      </x:c>
    </x:row>
    <x:row r="96">
      <x:c r="B96" t="str">
        <x:v>RHP-B2-B3-S2</x:v>
      </x:c>
      <x:c r="C96" t="str">
        <x:v>RHP-B2</x:v>
      </x:c>
      <x:c r="D96" t="n">
        <x:v>3</x:v>
      </x:c>
      <x:c r="E96" t="n">
        <x:v>2</x:v>
      </x:c>
      <x:c r="F96" t="n">
        <x:v>10</x:v>
      </x:c>
      <x:c r="G96" t="n">
        <x:v>20</x:v>
      </x:c>
      <x:c r="H96" t="n">
        <x:v>3</x:v>
      </x:c>
      <x:c r="I96" t="n">
        <x:v>243</x:v>
      </x:c>
      <x:c r="J96" t="n">
        <x:v>373</x:v>
      </x:c>
      <x:c r="K96" t="n">
        <x:v>0</x:v>
      </x:c>
    </x:row>
    <x:row r="97">
      <x:c r="B97" t="str">
        <x:v>RHP-B2-B3-S3</x:v>
      </x:c>
      <x:c r="C97" t="str">
        <x:v>RHP-B2</x:v>
      </x:c>
      <x:c r="D97" t="n">
        <x:v>3</x:v>
      </x:c>
      <x:c r="E97" t="n">
        <x:v>3</x:v>
      </x:c>
      <x:c r="F97" t="n">
        <x:v>20</x:v>
      </x:c>
      <x:c r="G97" t="n">
        <x:v>30</x:v>
      </x:c>
      <x:c r="H97" t="n">
        <x:v>1</x:v>
      </x:c>
      <x:c r="I97" t="n">
        <x:v>243</x:v>
      </x:c>
      <x:c r="J97" t="n">
        <x:v>373</x:v>
      </x:c>
      <x:c r="K97" t="n">
        <x:v>0</x:v>
      </x:c>
    </x:row>
    <x:row r="98">
      <x:c r="B98" t="str">
        <x:v>RHP-B2-B3-S4</x:v>
      </x:c>
      <x:c r="C98" t="str">
        <x:v>RHP-B2</x:v>
      </x:c>
      <x:c r="D98" t="n">
        <x:v>3</x:v>
      </x:c>
      <x:c r="E98" t="n">
        <x:v>4</x:v>
      </x:c>
      <x:c r="F98" t="n">
        <x:v>30</x:v>
      </x:c>
      <x:c r="G98" t="n">
        <x:v>40</x:v>
      </x:c>
      <x:c r="H98" t="n">
        <x:v>1</x:v>
      </x:c>
      <x:c r="I98" t="n">
        <x:v>243</x:v>
      </x:c>
      <x:c r="J98" t="n">
        <x:v>373</x:v>
      </x:c>
      <x:c r="K98" t="n">
        <x:v>0</x:v>
      </x:c>
    </x:row>
    <x:row r="99">
      <x:c r="B99" t="str">
        <x:v>RHP-B2-B3-S5</x:v>
      </x:c>
      <x:c r="C99" t="str">
        <x:v>RHP-B2</x:v>
      </x:c>
      <x:c r="D99" t="n">
        <x:v>3</x:v>
      </x:c>
      <x:c r="E99" t="n">
        <x:v>5</x:v>
      </x:c>
      <x:c r="F99" t="n">
        <x:v>40</x:v>
      </x:c>
      <x:c r="G99" t="n">
        <x:v>50</x:v>
      </x:c>
      <x:c r="H99" t="n">
        <x:v>1</x:v>
      </x:c>
      <x:c r="I99" t="n">
        <x:v>243</x:v>
      </x:c>
      <x:c r="J99" t="n">
        <x:v>373</x:v>
      </x:c>
      <x:c r="K99" t="n">
        <x:v>0</x:v>
      </x:c>
    </x:row>
    <x:row r="100">
      <x:c r="B100" t="str">
        <x:v>RHP-B2-B3-S6</x:v>
      </x:c>
      <x:c r="C100" t="str">
        <x:v>RHP-B2</x:v>
      </x:c>
      <x:c r="D100" t="n">
        <x:v>3</x:v>
      </x:c>
      <x:c r="E100" t="n">
        <x:v>6</x:v>
      </x:c>
      <x:c r="F100" t="n">
        <x:v>50</x:v>
      </x:c>
      <x:c r="G100" t="n">
        <x:v>60</x:v>
      </x:c>
      <x:c r="H100" t="n">
        <x:v>1</x:v>
      </x:c>
      <x:c r="I100" t="n">
        <x:v>243</x:v>
      </x:c>
      <x:c r="J100" t="n">
        <x:v>373</x:v>
      </x:c>
      <x:c r="K100" t="n">
        <x:v>0</x:v>
      </x:c>
    </x:row>
    <x:row r="101">
      <x:c r="B101" t="str">
        <x:v>RHP-B2-B3-S7</x:v>
      </x:c>
      <x:c r="C101" t="str">
        <x:v>RHP-B2</x:v>
      </x:c>
      <x:c r="D101" t="n">
        <x:v>3</x:v>
      </x:c>
      <x:c r="E101" t="n">
        <x:v>7</x:v>
      </x:c>
      <x:c r="F101" t="n">
        <x:v>60</x:v>
      </x:c>
      <x:c r="G101" t="n">
        <x:v>70</x:v>
      </x:c>
      <x:c r="H101" t="n">
        <x:v>1</x:v>
      </x:c>
      <x:c r="I101" t="n">
        <x:v>243</x:v>
      </x:c>
      <x:c r="J101" t="n">
        <x:v>373</x:v>
      </x:c>
      <x:c r="K101" t="n">
        <x:v>0</x:v>
      </x:c>
    </x:row>
    <x:row r="102">
      <x:c r="B102" t="str">
        <x:v>RHP-B2-B3-S8</x:v>
      </x:c>
      <x:c r="C102" t="str">
        <x:v>RHP-B2</x:v>
      </x:c>
      <x:c r="D102" t="n">
        <x:v>3</x:v>
      </x:c>
      <x:c r="E102" t="n">
        <x:v>8</x:v>
      </x:c>
      <x:c r="F102" t="n">
        <x:v>70</x:v>
      </x:c>
      <x:c r="G102" t="n">
        <x:v>80</x:v>
      </x:c>
      <x:c r="H102" t="n">
        <x:v>1</x:v>
      </x:c>
      <x:c r="I102" t="n">
        <x:v>243</x:v>
      </x:c>
      <x:c r="J102" t="n">
        <x:v>373</x:v>
      </x:c>
      <x:c r="K102" t="n">
        <x:v>0</x:v>
      </x:c>
    </x:row>
    <x:row r="103">
      <x:c r="B103" t="str">
        <x:v>RHP-C1-B1-S1</x:v>
      </x:c>
      <x:c r="C103" t="str">
        <x:v>RHP-C1</x:v>
      </x:c>
      <x:c r="D103" t="n">
        <x:v>1</x:v>
      </x:c>
      <x:c r="E103" t="n">
        <x:v>1</x:v>
      </x:c>
      <x:c r="F103" t="n">
        <x:v>0</x:v>
      </x:c>
      <x:c r="G103" t="n">
        <x:v>10</x:v>
      </x:c>
      <x:c r="H103" t="n">
        <x:v>3</x:v>
      </x:c>
      <x:c r="I103" t="n">
        <x:v>243</x:v>
      </x:c>
      <x:c r="J103" t="n">
        <x:v>373</x:v>
      </x:c>
      <x:c r="K103" t="n">
        <x:v>0</x:v>
      </x:c>
    </x:row>
    <x:row r="104">
      <x:c r="B104" t="str">
        <x:v>RHP-C1-B1-S2</x:v>
      </x:c>
      <x:c r="C104" t="str">
        <x:v>RHP-C1</x:v>
      </x:c>
      <x:c r="D104" t="n">
        <x:v>1</x:v>
      </x:c>
      <x:c r="E104" t="n">
        <x:v>2</x:v>
      </x:c>
      <x:c r="F104" t="n">
        <x:v>10</x:v>
      </x:c>
      <x:c r="G104" t="n">
        <x:v>20</x:v>
      </x:c>
      <x:c r="H104" t="n">
        <x:v>3</x:v>
      </x:c>
      <x:c r="I104" t="n">
        <x:v>243</x:v>
      </x:c>
      <x:c r="J104" t="n">
        <x:v>373</x:v>
      </x:c>
      <x:c r="K104" t="n">
        <x:v>0</x:v>
      </x:c>
    </x:row>
    <x:row r="105">
      <x:c r="B105" t="str">
        <x:v>RHP-C1-B1-S3</x:v>
      </x:c>
      <x:c r="C105" t="str">
        <x:v>RHP-C1</x:v>
      </x:c>
      <x:c r="D105" t="n">
        <x:v>1</x:v>
      </x:c>
      <x:c r="E105" t="n">
        <x:v>3</x:v>
      </x:c>
      <x:c r="F105" t="n">
        <x:v>20</x:v>
      </x:c>
      <x:c r="G105" t="n">
        <x:v>30</x:v>
      </x:c>
      <x:c r="H105" t="n">
        <x:v>1</x:v>
      </x:c>
      <x:c r="I105" t="n">
        <x:v>243</x:v>
      </x:c>
      <x:c r="J105" t="n">
        <x:v>373</x:v>
      </x:c>
      <x:c r="K105" t="n">
        <x:v>0</x:v>
      </x:c>
    </x:row>
    <x:row r="106">
      <x:c r="B106" t="str">
        <x:v>RHP-C1-B1-S4</x:v>
      </x:c>
      <x:c r="C106" t="str">
        <x:v>RHP-C1</x:v>
      </x:c>
      <x:c r="D106" t="n">
        <x:v>1</x:v>
      </x:c>
      <x:c r="E106" t="n">
        <x:v>4</x:v>
      </x:c>
      <x:c r="F106" t="n">
        <x:v>30</x:v>
      </x:c>
      <x:c r="G106" t="n">
        <x:v>40</x:v>
      </x:c>
      <x:c r="H106" t="n">
        <x:v>1</x:v>
      </x:c>
      <x:c r="I106" t="n">
        <x:v>243</x:v>
      </x:c>
      <x:c r="J106" t="n">
        <x:v>373</x:v>
      </x:c>
      <x:c r="K106" t="n">
        <x:v>0</x:v>
      </x:c>
    </x:row>
    <x:row r="107">
      <x:c r="B107" t="str">
        <x:v>RHP-C1-B1-S5</x:v>
      </x:c>
      <x:c r="C107" t="str">
        <x:v>RHP-C1</x:v>
      </x:c>
      <x:c r="D107" t="n">
        <x:v>1</x:v>
      </x:c>
      <x:c r="E107" t="n">
        <x:v>5</x:v>
      </x:c>
      <x:c r="F107" t="n">
        <x:v>40</x:v>
      </x:c>
      <x:c r="G107" t="n">
        <x:v>50</x:v>
      </x:c>
      <x:c r="H107" t="n">
        <x:v>1</x:v>
      </x:c>
      <x:c r="I107" t="n">
        <x:v>243</x:v>
      </x:c>
      <x:c r="J107" t="n">
        <x:v>373</x:v>
      </x:c>
      <x:c r="K107" t="n">
        <x:v>0</x:v>
      </x:c>
    </x:row>
    <x:row r="108">
      <x:c r="B108" t="str">
        <x:v>RHP-C1-B1-S6</x:v>
      </x:c>
      <x:c r="C108" t="str">
        <x:v>RHP-C1</x:v>
      </x:c>
      <x:c r="D108" t="n">
        <x:v>1</x:v>
      </x:c>
      <x:c r="E108" t="n">
        <x:v>6</x:v>
      </x:c>
      <x:c r="F108" t="n">
        <x:v>50</x:v>
      </x:c>
      <x:c r="G108" t="n">
        <x:v>60</x:v>
      </x:c>
      <x:c r="H108" t="n">
        <x:v>1</x:v>
      </x:c>
      <x:c r="I108" t="n">
        <x:v>243</x:v>
      </x:c>
      <x:c r="J108" t="n">
        <x:v>373</x:v>
      </x:c>
      <x:c r="K108" t="n">
        <x:v>0</x:v>
      </x:c>
    </x:row>
    <x:row r="109">
      <x:c r="B109" t="str">
        <x:v>RHP-C1-B1-S7</x:v>
      </x:c>
      <x:c r="C109" t="str">
        <x:v>RHP-C1</x:v>
      </x:c>
      <x:c r="D109" t="n">
        <x:v>1</x:v>
      </x:c>
      <x:c r="E109" t="n">
        <x:v>7</x:v>
      </x:c>
      <x:c r="F109" t="n">
        <x:v>60</x:v>
      </x:c>
      <x:c r="G109" t="n">
        <x:v>70</x:v>
      </x:c>
      <x:c r="H109" t="n">
        <x:v>1</x:v>
      </x:c>
      <x:c r="I109" t="n">
        <x:v>243</x:v>
      </x:c>
      <x:c r="J109" t="n">
        <x:v>373</x:v>
      </x:c>
      <x:c r="K109" t="n">
        <x:v>0</x:v>
      </x:c>
    </x:row>
    <x:row r="110">
      <x:c r="B110" t="str">
        <x:v>RHP-C1-B1-S8</x:v>
      </x:c>
      <x:c r="C110" t="str">
        <x:v>RHP-C1</x:v>
      </x:c>
      <x:c r="D110" t="n">
        <x:v>1</x:v>
      </x:c>
      <x:c r="E110" t="n">
        <x:v>8</x:v>
      </x:c>
      <x:c r="F110" t="n">
        <x:v>70</x:v>
      </x:c>
      <x:c r="G110" t="n">
        <x:v>80</x:v>
      </x:c>
      <x:c r="H110" t="n">
        <x:v>1</x:v>
      </x:c>
      <x:c r="I110" t="n">
        <x:v>243</x:v>
      </x:c>
      <x:c r="J110" t="n">
        <x:v>373</x:v>
      </x:c>
      <x:c r="K110" t="n">
        <x:v>0</x:v>
      </x:c>
    </x:row>
    <x:row r="111">
      <x:c r="B111" t="str">
        <x:v>RHP-C1-B2-S1</x:v>
      </x:c>
      <x:c r="C111" t="str">
        <x:v>RHP-C1</x:v>
      </x:c>
      <x:c r="D111" t="n">
        <x:v>2</x:v>
      </x:c>
      <x:c r="E111" t="n">
        <x:v>1</x:v>
      </x:c>
      <x:c r="F111" t="n">
        <x:v>0</x:v>
      </x:c>
      <x:c r="G111" t="n">
        <x:v>10</x:v>
      </x:c>
      <x:c r="H111" t="n">
        <x:v>3</x:v>
      </x:c>
      <x:c r="I111" t="n">
        <x:v>243</x:v>
      </x:c>
      <x:c r="J111" t="n">
        <x:v>373</x:v>
      </x:c>
      <x:c r="K111" t="n">
        <x:v>0</x:v>
      </x:c>
    </x:row>
    <x:row r="112">
      <x:c r="B112" t="str">
        <x:v>RHP-C1-B2-S2</x:v>
      </x:c>
      <x:c r="C112" t="str">
        <x:v>RHP-C1</x:v>
      </x:c>
      <x:c r="D112" t="n">
        <x:v>2</x:v>
      </x:c>
      <x:c r="E112" t="n">
        <x:v>2</x:v>
      </x:c>
      <x:c r="F112" t="n">
        <x:v>10</x:v>
      </x:c>
      <x:c r="G112" t="n">
        <x:v>20</x:v>
      </x:c>
      <x:c r="H112" t="n">
        <x:v>3</x:v>
      </x:c>
      <x:c r="I112" t="n">
        <x:v>243</x:v>
      </x:c>
      <x:c r="J112" t="n">
        <x:v>373</x:v>
      </x:c>
      <x:c r="K112" t="n">
        <x:v>0</x:v>
      </x:c>
    </x:row>
    <x:row r="113">
      <x:c r="B113" t="str">
        <x:v>RHP-C1-B2-S3</x:v>
      </x:c>
      <x:c r="C113" t="str">
        <x:v>RHP-C1</x:v>
      </x:c>
      <x:c r="D113" t="n">
        <x:v>2</x:v>
      </x:c>
      <x:c r="E113" t="n">
        <x:v>3</x:v>
      </x:c>
      <x:c r="F113" t="n">
        <x:v>20</x:v>
      </x:c>
      <x:c r="G113" t="n">
        <x:v>30</x:v>
      </x:c>
      <x:c r="H113" t="n">
        <x:v>1</x:v>
      </x:c>
      <x:c r="I113" t="n">
        <x:v>243</x:v>
      </x:c>
      <x:c r="J113" t="n">
        <x:v>373</x:v>
      </x:c>
      <x:c r="K113" t="n">
        <x:v>0</x:v>
      </x:c>
    </x:row>
    <x:row r="114">
      <x:c r="B114" t="str">
        <x:v>RHP-C1-B2-S4</x:v>
      </x:c>
      <x:c r="C114" t="str">
        <x:v>RHP-C1</x:v>
      </x:c>
      <x:c r="D114" t="n">
        <x:v>2</x:v>
      </x:c>
      <x:c r="E114" t="n">
        <x:v>4</x:v>
      </x:c>
      <x:c r="F114" t="n">
        <x:v>30</x:v>
      </x:c>
      <x:c r="G114" t="n">
        <x:v>40</x:v>
      </x:c>
      <x:c r="H114" t="n">
        <x:v>1</x:v>
      </x:c>
      <x:c r="I114" t="n">
        <x:v>243</x:v>
      </x:c>
      <x:c r="J114" t="n">
        <x:v>373</x:v>
      </x:c>
      <x:c r="K114" t="n">
        <x:v>0</x:v>
      </x:c>
    </x:row>
    <x:row r="115">
      <x:c r="B115" t="str">
        <x:v>RHP-C1-B2-S5</x:v>
      </x:c>
      <x:c r="C115" t="str">
        <x:v>RHP-C1</x:v>
      </x:c>
      <x:c r="D115" t="n">
        <x:v>2</x:v>
      </x:c>
      <x:c r="E115" t="n">
        <x:v>5</x:v>
      </x:c>
      <x:c r="F115" t="n">
        <x:v>40</x:v>
      </x:c>
      <x:c r="G115" t="n">
        <x:v>50</x:v>
      </x:c>
      <x:c r="H115" t="n">
        <x:v>1</x:v>
      </x:c>
      <x:c r="I115" t="n">
        <x:v>243</x:v>
      </x:c>
      <x:c r="J115" t="n">
        <x:v>373</x:v>
      </x:c>
      <x:c r="K115" t="n">
        <x:v>0</x:v>
      </x:c>
    </x:row>
    <x:row r="116">
      <x:c r="B116" t="str">
        <x:v>RHP-C1-B2-S6</x:v>
      </x:c>
      <x:c r="C116" t="str">
        <x:v>RHP-C1</x:v>
      </x:c>
      <x:c r="D116" t="n">
        <x:v>2</x:v>
      </x:c>
      <x:c r="E116" t="n">
        <x:v>6</x:v>
      </x:c>
      <x:c r="F116" t="n">
        <x:v>50</x:v>
      </x:c>
      <x:c r="G116" t="n">
        <x:v>60</x:v>
      </x:c>
      <x:c r="H116" t="n">
        <x:v>1</x:v>
      </x:c>
      <x:c r="I116" t="n">
        <x:v>243</x:v>
      </x:c>
      <x:c r="J116" t="n">
        <x:v>373</x:v>
      </x:c>
      <x:c r="K116" t="n">
        <x:v>0</x:v>
      </x:c>
    </x:row>
    <x:row r="117">
      <x:c r="B117" t="str">
        <x:v>RHP-C1-B2-S7</x:v>
      </x:c>
      <x:c r="C117" t="str">
        <x:v>RHP-C1</x:v>
      </x:c>
      <x:c r="D117" t="n">
        <x:v>2</x:v>
      </x:c>
      <x:c r="E117" t="n">
        <x:v>7</x:v>
      </x:c>
      <x:c r="F117" t="n">
        <x:v>60</x:v>
      </x:c>
      <x:c r="G117" t="n">
        <x:v>70</x:v>
      </x:c>
      <x:c r="H117" t="n">
        <x:v>1</x:v>
      </x:c>
      <x:c r="I117" t="n">
        <x:v>243</x:v>
      </x:c>
      <x:c r="J117" t="n">
        <x:v>373</x:v>
      </x:c>
      <x:c r="K117" t="n">
        <x:v>0</x:v>
      </x:c>
    </x:row>
    <x:row r="118">
      <x:c r="B118" t="str">
        <x:v>RHP-C1-B2-S8</x:v>
      </x:c>
      <x:c r="C118" t="str">
        <x:v>RHP-C1</x:v>
      </x:c>
      <x:c r="D118" t="n">
        <x:v>2</x:v>
      </x:c>
      <x:c r="E118" t="n">
        <x:v>8</x:v>
      </x:c>
      <x:c r="F118" t="n">
        <x:v>70</x:v>
      </x:c>
      <x:c r="G118" t="n">
        <x:v>80</x:v>
      </x:c>
      <x:c r="H118" t="n">
        <x:v>1</x:v>
      </x:c>
      <x:c r="I118" t="n">
        <x:v>243</x:v>
      </x:c>
      <x:c r="J118" t="n">
        <x:v>373</x:v>
      </x:c>
      <x:c r="K118" t="n">
        <x:v>0</x:v>
      </x:c>
    </x:row>
    <x:row r="119">
      <x:c r="B119" t="str">
        <x:v>RHP-C1-B3-S1</x:v>
      </x:c>
      <x:c r="C119" t="str">
        <x:v>RHP-C1</x:v>
      </x:c>
      <x:c r="D119" t="n">
        <x:v>3</x:v>
      </x:c>
      <x:c r="E119" t="n">
        <x:v>1</x:v>
      </x:c>
      <x:c r="F119" t="n">
        <x:v>0</x:v>
      </x:c>
      <x:c r="G119" t="n">
        <x:v>10</x:v>
      </x:c>
      <x:c r="H119" t="n">
        <x:v>3</x:v>
      </x:c>
      <x:c r="I119" t="n">
        <x:v>243</x:v>
      </x:c>
      <x:c r="J119" t="n">
        <x:v>373</x:v>
      </x:c>
      <x:c r="K119" t="n">
        <x:v>0</x:v>
      </x:c>
    </x:row>
    <x:row r="120">
      <x:c r="B120" t="str">
        <x:v>RHP-C1-B3-S2</x:v>
      </x:c>
      <x:c r="C120" t="str">
        <x:v>RHP-C1</x:v>
      </x:c>
      <x:c r="D120" t="n">
        <x:v>3</x:v>
      </x:c>
      <x:c r="E120" t="n">
        <x:v>2</x:v>
      </x:c>
      <x:c r="F120" t="n">
        <x:v>10</x:v>
      </x:c>
      <x:c r="G120" t="n">
        <x:v>20</x:v>
      </x:c>
      <x:c r="H120" t="n">
        <x:v>3</x:v>
      </x:c>
      <x:c r="I120" t="n">
        <x:v>243</x:v>
      </x:c>
      <x:c r="J120" t="n">
        <x:v>373</x:v>
      </x:c>
      <x:c r="K120" t="n">
        <x:v>0</x:v>
      </x:c>
    </x:row>
    <x:row r="121">
      <x:c r="B121" t="str">
        <x:v>RHP-C1-B3-S3</x:v>
      </x:c>
      <x:c r="C121" t="str">
        <x:v>RHP-C1</x:v>
      </x:c>
      <x:c r="D121" t="n">
        <x:v>3</x:v>
      </x:c>
      <x:c r="E121" t="n">
        <x:v>3</x:v>
      </x:c>
      <x:c r="F121" t="n">
        <x:v>20</x:v>
      </x:c>
      <x:c r="G121" t="n">
        <x:v>30</x:v>
      </x:c>
      <x:c r="H121" t="n">
        <x:v>1</x:v>
      </x:c>
      <x:c r="I121" t="n">
        <x:v>243</x:v>
      </x:c>
      <x:c r="J121" t="n">
        <x:v>373</x:v>
      </x:c>
      <x:c r="K121" t="n">
        <x:v>0</x:v>
      </x:c>
    </x:row>
    <x:row r="122">
      <x:c r="B122" t="str">
        <x:v>RHP-C1-B3-S4</x:v>
      </x:c>
      <x:c r="C122" t="str">
        <x:v>RHP-C1</x:v>
      </x:c>
      <x:c r="D122" t="n">
        <x:v>3</x:v>
      </x:c>
      <x:c r="E122" t="n">
        <x:v>4</x:v>
      </x:c>
      <x:c r="F122" t="n">
        <x:v>30</x:v>
      </x:c>
      <x:c r="G122" t="n">
        <x:v>40</x:v>
      </x:c>
      <x:c r="H122" t="n">
        <x:v>1</x:v>
      </x:c>
      <x:c r="I122" t="n">
        <x:v>243</x:v>
      </x:c>
      <x:c r="J122" t="n">
        <x:v>373</x:v>
      </x:c>
      <x:c r="K122" t="n">
        <x:v>0</x:v>
      </x:c>
    </x:row>
    <x:row r="123">
      <x:c r="B123" t="str">
        <x:v>RHP-C1-B3-S5</x:v>
      </x:c>
      <x:c r="C123" t="str">
        <x:v>RHP-C1</x:v>
      </x:c>
      <x:c r="D123" t="n">
        <x:v>3</x:v>
      </x:c>
      <x:c r="E123" t="n">
        <x:v>5</x:v>
      </x:c>
      <x:c r="F123" t="n">
        <x:v>40</x:v>
      </x:c>
      <x:c r="G123" t="n">
        <x:v>50</x:v>
      </x:c>
      <x:c r="H123" t="n">
        <x:v>1</x:v>
      </x:c>
      <x:c r="I123" t="n">
        <x:v>243</x:v>
      </x:c>
      <x:c r="J123" t="n">
        <x:v>373</x:v>
      </x:c>
      <x:c r="K123" t="n">
        <x:v>0</x:v>
      </x:c>
    </x:row>
    <x:row r="124">
      <x:c r="B124" t="str">
        <x:v>RHP-C1-B3-S6</x:v>
      </x:c>
      <x:c r="C124" t="str">
        <x:v>RHP-C1</x:v>
      </x:c>
      <x:c r="D124" t="n">
        <x:v>3</x:v>
      </x:c>
      <x:c r="E124" t="n">
        <x:v>6</x:v>
      </x:c>
      <x:c r="F124" t="n">
        <x:v>50</x:v>
      </x:c>
      <x:c r="G124" t="n">
        <x:v>60</x:v>
      </x:c>
      <x:c r="H124" t="n">
        <x:v>1</x:v>
      </x:c>
      <x:c r="I124" t="n">
        <x:v>243</x:v>
      </x:c>
      <x:c r="J124" t="n">
        <x:v>373</x:v>
      </x:c>
      <x:c r="K124" t="n">
        <x:v>0</x:v>
      </x:c>
    </x:row>
    <x:row r="125">
      <x:c r="B125" t="str">
        <x:v>RHP-C1-B3-S7</x:v>
      </x:c>
      <x:c r="C125" t="str">
        <x:v>RHP-C1</x:v>
      </x:c>
      <x:c r="D125" t="n">
        <x:v>3</x:v>
      </x:c>
      <x:c r="E125" t="n">
        <x:v>7</x:v>
      </x:c>
      <x:c r="F125" t="n">
        <x:v>60</x:v>
      </x:c>
      <x:c r="G125" t="n">
        <x:v>70</x:v>
      </x:c>
      <x:c r="H125" t="n">
        <x:v>1</x:v>
      </x:c>
      <x:c r="I125" t="n">
        <x:v>243</x:v>
      </x:c>
      <x:c r="J125" t="n">
        <x:v>373</x:v>
      </x:c>
      <x:c r="K125" t="n">
        <x:v>0</x:v>
      </x:c>
    </x:row>
    <x:row r="126">
      <x:c r="B126" t="str">
        <x:v>RHP-C1-B3-S8</x:v>
      </x:c>
      <x:c r="C126" t="str">
        <x:v>RHP-C1</x:v>
      </x:c>
      <x:c r="D126" t="n">
        <x:v>3</x:v>
      </x:c>
      <x:c r="E126" t="n">
        <x:v>8</x:v>
      </x:c>
      <x:c r="F126" t="n">
        <x:v>70</x:v>
      </x:c>
      <x:c r="G126" t="n">
        <x:v>80</x:v>
      </x:c>
      <x:c r="H126" t="n">
        <x:v>1</x:v>
      </x:c>
      <x:c r="I126" t="n">
        <x:v>243</x:v>
      </x:c>
      <x:c r="J126" t="n">
        <x:v>373</x:v>
      </x:c>
      <x:c r="K126" t="n">
        <x:v>0</x:v>
      </x:c>
    </x:row>
    <x:row r="127">
      <x:c r="B127" t="str">
        <x:v>RHP-C2-B1-S1</x:v>
      </x:c>
      <x:c r="C127" t="str">
        <x:v>RHP-C2</x:v>
      </x:c>
      <x:c r="D127" t="n">
        <x:v>1</x:v>
      </x:c>
      <x:c r="E127" t="n">
        <x:v>1</x:v>
      </x:c>
      <x:c r="F127" t="n">
        <x:v>0</x:v>
      </x:c>
      <x:c r="G127" t="n">
        <x:v>10</x:v>
      </x:c>
      <x:c r="H127" t="n">
        <x:v>3</x:v>
      </x:c>
      <x:c r="I127" t="n">
        <x:v>243</x:v>
      </x:c>
      <x:c r="J127" t="n">
        <x:v>373</x:v>
      </x:c>
      <x:c r="K127" t="n">
        <x:v>0</x:v>
      </x:c>
    </x:row>
    <x:row r="128">
      <x:c r="B128" t="str">
        <x:v>RHP-C2-B1-S2</x:v>
      </x:c>
      <x:c r="C128" t="str">
        <x:v>RHP-C2</x:v>
      </x:c>
      <x:c r="D128" t="n">
        <x:v>1</x:v>
      </x:c>
      <x:c r="E128" t="n">
        <x:v>2</x:v>
      </x:c>
      <x:c r="F128" t="n">
        <x:v>10</x:v>
      </x:c>
      <x:c r="G128" t="n">
        <x:v>20</x:v>
      </x:c>
      <x:c r="H128" t="n">
        <x:v>3</x:v>
      </x:c>
      <x:c r="I128" t="n">
        <x:v>243</x:v>
      </x:c>
      <x:c r="J128" t="n">
        <x:v>373</x:v>
      </x:c>
      <x:c r="K128" t="n">
        <x:v>0</x:v>
      </x:c>
    </x:row>
    <x:row r="129">
      <x:c r="B129" t="str">
        <x:v>RHP-C2-B1-S3</x:v>
      </x:c>
      <x:c r="C129" t="str">
        <x:v>RHP-C2</x:v>
      </x:c>
      <x:c r="D129" t="n">
        <x:v>1</x:v>
      </x:c>
      <x:c r="E129" t="n">
        <x:v>3</x:v>
      </x:c>
      <x:c r="F129" t="n">
        <x:v>20</x:v>
      </x:c>
      <x:c r="G129" t="n">
        <x:v>30</x:v>
      </x:c>
      <x:c r="H129" t="n">
        <x:v>1</x:v>
      </x:c>
      <x:c r="I129" t="n">
        <x:v>243</x:v>
      </x:c>
      <x:c r="J129" t="n">
        <x:v>373</x:v>
      </x:c>
      <x:c r="K129" t="n">
        <x:v>0</x:v>
      </x:c>
    </x:row>
    <x:row r="130">
      <x:c r="B130" t="str">
        <x:v>RHP-C2-B1-S4</x:v>
      </x:c>
      <x:c r="C130" t="str">
        <x:v>RHP-C2</x:v>
      </x:c>
      <x:c r="D130" t="n">
        <x:v>1</x:v>
      </x:c>
      <x:c r="E130" t="n">
        <x:v>4</x:v>
      </x:c>
      <x:c r="F130" t="n">
        <x:v>30</x:v>
      </x:c>
      <x:c r="G130" t="n">
        <x:v>40</x:v>
      </x:c>
      <x:c r="H130" t="n">
        <x:v>1</x:v>
      </x:c>
      <x:c r="I130" t="n">
        <x:v>243</x:v>
      </x:c>
      <x:c r="J130" t="n">
        <x:v>373</x:v>
      </x:c>
      <x:c r="K130" t="n">
        <x:v>0</x:v>
      </x:c>
    </x:row>
    <x:row r="131">
      <x:c r="B131" t="str">
        <x:v>RHP-C2-B1-S5</x:v>
      </x:c>
      <x:c r="C131" t="str">
        <x:v>RHP-C2</x:v>
      </x:c>
      <x:c r="D131" t="n">
        <x:v>1</x:v>
      </x:c>
      <x:c r="E131" t="n">
        <x:v>5</x:v>
      </x:c>
      <x:c r="F131" t="n">
        <x:v>40</x:v>
      </x:c>
      <x:c r="G131" t="n">
        <x:v>50</x:v>
      </x:c>
      <x:c r="H131" t="n">
        <x:v>1</x:v>
      </x:c>
      <x:c r="I131" t="n">
        <x:v>243</x:v>
      </x:c>
      <x:c r="J131" t="n">
        <x:v>373</x:v>
      </x:c>
      <x:c r="K131" t="n">
        <x:v>0</x:v>
      </x:c>
    </x:row>
    <x:row r="132">
      <x:c r="B132" t="str">
        <x:v>RHP-C2-B1-S6</x:v>
      </x:c>
      <x:c r="C132" t="str">
        <x:v>RHP-C2</x:v>
      </x:c>
      <x:c r="D132" t="n">
        <x:v>1</x:v>
      </x:c>
      <x:c r="E132" t="n">
        <x:v>6</x:v>
      </x:c>
      <x:c r="F132" t="n">
        <x:v>50</x:v>
      </x:c>
      <x:c r="G132" t="n">
        <x:v>60</x:v>
      </x:c>
      <x:c r="H132" t="n">
        <x:v>1</x:v>
      </x:c>
      <x:c r="I132" t="n">
        <x:v>243</x:v>
      </x:c>
      <x:c r="J132" t="n">
        <x:v>373</x:v>
      </x:c>
      <x:c r="K132" t="n">
        <x:v>0</x:v>
      </x:c>
    </x:row>
    <x:row r="133">
      <x:c r="B133" t="str">
        <x:v>RHP-C2-B1-S7</x:v>
      </x:c>
      <x:c r="C133" t="str">
        <x:v>RHP-C2</x:v>
      </x:c>
      <x:c r="D133" t="n">
        <x:v>1</x:v>
      </x:c>
      <x:c r="E133" t="n">
        <x:v>7</x:v>
      </x:c>
      <x:c r="F133" t="n">
        <x:v>60</x:v>
      </x:c>
      <x:c r="G133" t="n">
        <x:v>70</x:v>
      </x:c>
      <x:c r="H133" t="n">
        <x:v>1</x:v>
      </x:c>
      <x:c r="I133" t="n">
        <x:v>243</x:v>
      </x:c>
      <x:c r="J133" t="n">
        <x:v>373</x:v>
      </x:c>
      <x:c r="K133" t="n">
        <x:v>0</x:v>
      </x:c>
    </x:row>
    <x:row r="134">
      <x:c r="B134" t="str">
        <x:v>RHP-C2-B1-S8</x:v>
      </x:c>
      <x:c r="C134" t="str">
        <x:v>RHP-C2</x:v>
      </x:c>
      <x:c r="D134" t="n">
        <x:v>1</x:v>
      </x:c>
      <x:c r="E134" t="n">
        <x:v>8</x:v>
      </x:c>
      <x:c r="F134" t="n">
        <x:v>70</x:v>
      </x:c>
      <x:c r="G134" t="n">
        <x:v>80</x:v>
      </x:c>
      <x:c r="H134" t="n">
        <x:v>1</x:v>
      </x:c>
      <x:c r="I134" t="n">
        <x:v>243</x:v>
      </x:c>
      <x:c r="J134" t="n">
        <x:v>373</x:v>
      </x:c>
      <x:c r="K134" t="n">
        <x:v>0</x:v>
      </x:c>
    </x:row>
    <x:row r="135">
      <x:c r="B135" t="str">
        <x:v>RHP-C2-B2-S1</x:v>
      </x:c>
      <x:c r="C135" t="str">
        <x:v>RHP-C2</x:v>
      </x:c>
      <x:c r="D135" t="n">
        <x:v>2</x:v>
      </x:c>
      <x:c r="E135" t="n">
        <x:v>1</x:v>
      </x:c>
      <x:c r="F135" t="n">
        <x:v>0</x:v>
      </x:c>
      <x:c r="G135" t="n">
        <x:v>10</x:v>
      </x:c>
      <x:c r="H135" t="n">
        <x:v>3</x:v>
      </x:c>
      <x:c r="I135" t="n">
        <x:v>243</x:v>
      </x:c>
      <x:c r="J135" t="n">
        <x:v>373</x:v>
      </x:c>
      <x:c r="K135" t="n">
        <x:v>0</x:v>
      </x:c>
    </x:row>
    <x:row r="136">
      <x:c r="B136" t="str">
        <x:v>RHP-C2-B2-S2</x:v>
      </x:c>
      <x:c r="C136" t="str">
        <x:v>RHP-C2</x:v>
      </x:c>
      <x:c r="D136" t="n">
        <x:v>2</x:v>
      </x:c>
      <x:c r="E136" t="n">
        <x:v>2</x:v>
      </x:c>
      <x:c r="F136" t="n">
        <x:v>10</x:v>
      </x:c>
      <x:c r="G136" t="n">
        <x:v>20</x:v>
      </x:c>
      <x:c r="H136" t="n">
        <x:v>3</x:v>
      </x:c>
      <x:c r="I136" t="n">
        <x:v>243</x:v>
      </x:c>
      <x:c r="J136" t="n">
        <x:v>373</x:v>
      </x:c>
      <x:c r="K136" t="n">
        <x:v>0</x:v>
      </x:c>
    </x:row>
    <x:row r="137">
      <x:c r="B137" t="str">
        <x:v>RHP-C2-B2-S3</x:v>
      </x:c>
      <x:c r="C137" t="str">
        <x:v>RHP-C2</x:v>
      </x:c>
      <x:c r="D137" t="n">
        <x:v>2</x:v>
      </x:c>
      <x:c r="E137" t="n">
        <x:v>3</x:v>
      </x:c>
      <x:c r="F137" t="n">
        <x:v>20</x:v>
      </x:c>
      <x:c r="G137" t="n">
        <x:v>30</x:v>
      </x:c>
      <x:c r="H137" t="n">
        <x:v>1</x:v>
      </x:c>
      <x:c r="I137" t="n">
        <x:v>243</x:v>
      </x:c>
      <x:c r="J137" t="n">
        <x:v>373</x:v>
      </x:c>
      <x:c r="K137" t="n">
        <x:v>0</x:v>
      </x:c>
    </x:row>
    <x:row r="138">
      <x:c r="B138" t="str">
        <x:v>RHP-C2-B2-S4</x:v>
      </x:c>
      <x:c r="C138" t="str">
        <x:v>RHP-C2</x:v>
      </x:c>
      <x:c r="D138" t="n">
        <x:v>2</x:v>
      </x:c>
      <x:c r="E138" t="n">
        <x:v>4</x:v>
      </x:c>
      <x:c r="F138" t="n">
        <x:v>30</x:v>
      </x:c>
      <x:c r="G138" t="n">
        <x:v>40</x:v>
      </x:c>
      <x:c r="H138" t="n">
        <x:v>1</x:v>
      </x:c>
      <x:c r="I138" t="n">
        <x:v>243</x:v>
      </x:c>
      <x:c r="J138" t="n">
        <x:v>373</x:v>
      </x:c>
      <x:c r="K138" t="n">
        <x:v>0</x:v>
      </x:c>
    </x:row>
    <x:row r="139">
      <x:c r="B139" t="str">
        <x:v>RHP-C2-B2-S5</x:v>
      </x:c>
      <x:c r="C139" t="str">
        <x:v>RHP-C2</x:v>
      </x:c>
      <x:c r="D139" t="n">
        <x:v>2</x:v>
      </x:c>
      <x:c r="E139" t="n">
        <x:v>5</x:v>
      </x:c>
      <x:c r="F139" t="n">
        <x:v>40</x:v>
      </x:c>
      <x:c r="G139" t="n">
        <x:v>50</x:v>
      </x:c>
      <x:c r="H139" t="n">
        <x:v>1</x:v>
      </x:c>
      <x:c r="I139" t="n">
        <x:v>243</x:v>
      </x:c>
      <x:c r="J139" t="n">
        <x:v>373</x:v>
      </x:c>
      <x:c r="K139" t="n">
        <x:v>0</x:v>
      </x:c>
    </x:row>
    <x:row r="140">
      <x:c r="B140" t="str">
        <x:v>RHP-C2-B2-S6</x:v>
      </x:c>
      <x:c r="C140" t="str">
        <x:v>RHP-C2</x:v>
      </x:c>
      <x:c r="D140" t="n">
        <x:v>2</x:v>
      </x:c>
      <x:c r="E140" t="n">
        <x:v>6</x:v>
      </x:c>
      <x:c r="F140" t="n">
        <x:v>50</x:v>
      </x:c>
      <x:c r="G140" t="n">
        <x:v>60</x:v>
      </x:c>
      <x:c r="H140" t="n">
        <x:v>1</x:v>
      </x:c>
      <x:c r="I140" t="n">
        <x:v>243</x:v>
      </x:c>
      <x:c r="J140" t="n">
        <x:v>373</x:v>
      </x:c>
      <x:c r="K140" t="n">
        <x:v>0</x:v>
      </x:c>
    </x:row>
    <x:row r="141">
      <x:c r="B141" t="str">
        <x:v>RHP-C2-B2-S7</x:v>
      </x:c>
      <x:c r="C141" t="str">
        <x:v>RHP-C2</x:v>
      </x:c>
      <x:c r="D141" t="n">
        <x:v>2</x:v>
      </x:c>
      <x:c r="E141" t="n">
        <x:v>7</x:v>
      </x:c>
      <x:c r="F141" t="n">
        <x:v>60</x:v>
      </x:c>
      <x:c r="G141" t="n">
        <x:v>70</x:v>
      </x:c>
      <x:c r="H141" t="n">
        <x:v>1</x:v>
      </x:c>
      <x:c r="I141" t="n">
        <x:v>243</x:v>
      </x:c>
      <x:c r="J141" t="n">
        <x:v>373</x:v>
      </x:c>
      <x:c r="K141" t="n">
        <x:v>0</x:v>
      </x:c>
    </x:row>
    <x:row r="142">
      <x:c r="B142" t="str">
        <x:v>RHP-C2-B2-S8</x:v>
      </x:c>
      <x:c r="C142" t="str">
        <x:v>RHP-C2</x:v>
      </x:c>
      <x:c r="D142" t="n">
        <x:v>2</x:v>
      </x:c>
      <x:c r="E142" t="n">
        <x:v>8</x:v>
      </x:c>
      <x:c r="F142" t="n">
        <x:v>70</x:v>
      </x:c>
      <x:c r="G142" t="n">
        <x:v>80</x:v>
      </x:c>
      <x:c r="H142" t="n">
        <x:v>1</x:v>
      </x:c>
      <x:c r="I142" t="n">
        <x:v>243</x:v>
      </x:c>
      <x:c r="J142" t="n">
        <x:v>373</x:v>
      </x:c>
      <x:c r="K142" t="n">
        <x:v>0</x:v>
      </x:c>
    </x:row>
    <x:row r="143">
      <x:c r="B143" t="str">
        <x:v>RHP-C2-B3-S1</x:v>
      </x:c>
      <x:c r="C143" t="str">
        <x:v>RHP-C2</x:v>
      </x:c>
      <x:c r="D143" t="n">
        <x:v>3</x:v>
      </x:c>
      <x:c r="E143" t="n">
        <x:v>1</x:v>
      </x:c>
      <x:c r="F143" t="n">
        <x:v>0</x:v>
      </x:c>
      <x:c r="G143" t="n">
        <x:v>10</x:v>
      </x:c>
      <x:c r="H143" t="n">
        <x:v>3</x:v>
      </x:c>
      <x:c r="I143" t="n">
        <x:v>243</x:v>
      </x:c>
      <x:c r="J143" t="n">
        <x:v>373</x:v>
      </x:c>
      <x:c r="K143" t="n">
        <x:v>0</x:v>
      </x:c>
    </x:row>
    <x:row r="144">
      <x:c r="B144" t="str">
        <x:v>RHP-C2-B3-S2</x:v>
      </x:c>
      <x:c r="C144" t="str">
        <x:v>RHP-C2</x:v>
      </x:c>
      <x:c r="D144" t="n">
        <x:v>3</x:v>
      </x:c>
      <x:c r="E144" t="n">
        <x:v>2</x:v>
      </x:c>
      <x:c r="F144" t="n">
        <x:v>10</x:v>
      </x:c>
      <x:c r="G144" t="n">
        <x:v>20</x:v>
      </x:c>
      <x:c r="H144" t="n">
        <x:v>3</x:v>
      </x:c>
      <x:c r="I144" t="n">
        <x:v>243</x:v>
      </x:c>
      <x:c r="J144" t="n">
        <x:v>373</x:v>
      </x:c>
      <x:c r="K144" t="n">
        <x:v>0</x:v>
      </x:c>
    </x:row>
    <x:row r="145">
      <x:c r="B145" t="str">
        <x:v>RHP-C2-B3-S3</x:v>
      </x:c>
      <x:c r="C145" t="str">
        <x:v>RHP-C2</x:v>
      </x:c>
      <x:c r="D145" t="n">
        <x:v>3</x:v>
      </x:c>
      <x:c r="E145" t="n">
        <x:v>3</x:v>
      </x:c>
      <x:c r="F145" t="n">
        <x:v>20</x:v>
      </x:c>
      <x:c r="G145" t="n">
        <x:v>30</x:v>
      </x:c>
      <x:c r="H145" t="n">
        <x:v>1</x:v>
      </x:c>
      <x:c r="I145" t="n">
        <x:v>243</x:v>
      </x:c>
      <x:c r="J145" t="n">
        <x:v>373</x:v>
      </x:c>
      <x:c r="K145" t="n">
        <x:v>0</x:v>
      </x:c>
    </x:row>
    <x:row r="146">
      <x:c r="B146" t="str">
        <x:v>RHP-C2-B3-S4</x:v>
      </x:c>
      <x:c r="C146" t="str">
        <x:v>RHP-C2</x:v>
      </x:c>
      <x:c r="D146" t="n">
        <x:v>3</x:v>
      </x:c>
      <x:c r="E146" t="n">
        <x:v>4</x:v>
      </x:c>
      <x:c r="F146" t="n">
        <x:v>30</x:v>
      </x:c>
      <x:c r="G146" t="n">
        <x:v>40</x:v>
      </x:c>
      <x:c r="H146" t="n">
        <x:v>1</x:v>
      </x:c>
      <x:c r="I146" t="n">
        <x:v>243</x:v>
      </x:c>
      <x:c r="J146" t="n">
        <x:v>373</x:v>
      </x:c>
      <x:c r="K146" t="n">
        <x:v>0</x:v>
      </x:c>
    </x:row>
    <x:row r="147">
      <x:c r="B147" t="str">
        <x:v>RHP-C2-B3-S5</x:v>
      </x:c>
      <x:c r="C147" t="str">
        <x:v>RHP-C2</x:v>
      </x:c>
      <x:c r="D147" t="n">
        <x:v>3</x:v>
      </x:c>
      <x:c r="E147" t="n">
        <x:v>5</x:v>
      </x:c>
      <x:c r="F147" t="n">
        <x:v>40</x:v>
      </x:c>
      <x:c r="G147" t="n">
        <x:v>50</x:v>
      </x:c>
      <x:c r="H147" t="n">
        <x:v>1</x:v>
      </x:c>
      <x:c r="I147" t="n">
        <x:v>243</x:v>
      </x:c>
      <x:c r="J147" t="n">
        <x:v>373</x:v>
      </x:c>
      <x:c r="K147" t="n">
        <x:v>0</x:v>
      </x:c>
    </x:row>
    <x:row r="148">
      <x:c r="B148" t="str">
        <x:v>RHP-C2-B3-S6</x:v>
      </x:c>
      <x:c r="C148" t="str">
        <x:v>RHP-C2</x:v>
      </x:c>
      <x:c r="D148" t="n">
        <x:v>3</x:v>
      </x:c>
      <x:c r="E148" t="n">
        <x:v>6</x:v>
      </x:c>
      <x:c r="F148" t="n">
        <x:v>50</x:v>
      </x:c>
      <x:c r="G148" t="n">
        <x:v>60</x:v>
      </x:c>
      <x:c r="H148" t="n">
        <x:v>1</x:v>
      </x:c>
      <x:c r="I148" t="n">
        <x:v>243</x:v>
      </x:c>
      <x:c r="J148" t="n">
        <x:v>373</x:v>
      </x:c>
      <x:c r="K148" t="n">
        <x:v>0</x:v>
      </x:c>
    </x:row>
    <x:row r="149">
      <x:c r="B149" t="str">
        <x:v>RHP-C2-B3-S7</x:v>
      </x:c>
      <x:c r="C149" t="str">
        <x:v>RHP-C2</x:v>
      </x:c>
      <x:c r="D149" t="n">
        <x:v>3</x:v>
      </x:c>
      <x:c r="E149" t="n">
        <x:v>7</x:v>
      </x:c>
      <x:c r="F149" t="n">
        <x:v>60</x:v>
      </x:c>
      <x:c r="G149" t="n">
        <x:v>70</x:v>
      </x:c>
      <x:c r="H149" t="n">
        <x:v>1</x:v>
      </x:c>
      <x:c r="I149" t="n">
        <x:v>243</x:v>
      </x:c>
      <x:c r="J149" t="n">
        <x:v>373</x:v>
      </x:c>
      <x:c r="K149" t="n">
        <x:v>0</x:v>
      </x:c>
    </x:row>
    <x:row r="150">
      <x:c r="B150" t="str">
        <x:v>RHP-C2-B3-S8</x:v>
      </x:c>
      <x:c r="C150" t="str">
        <x:v>RHP-C2</x:v>
      </x:c>
      <x:c r="D150" t="n">
        <x:v>3</x:v>
      </x:c>
      <x:c r="E150" t="n">
        <x:v>8</x:v>
      </x:c>
      <x:c r="F150" t="n">
        <x:v>70</x:v>
      </x:c>
      <x:c r="G150" t="n">
        <x:v>80</x:v>
      </x:c>
      <x:c r="H150" t="n">
        <x:v>1</x:v>
      </x:c>
      <x:c r="I150" t="n">
        <x:v>243</x:v>
      </x:c>
      <x:c r="J150" t="n">
        <x:v>373</x:v>
      </x:c>
      <x:c r="K150" t="n">
        <x:v>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8" hidden="0" customWidth="1"/>
    <x:col min="3" max="3" width="14" hidden="0" customWidth="1"/>
    <x:col min="4" max="4" width="20" hidden="0" customWidth="1"/>
    <x:col min="5" max="5" width="17" hidden="0" customWidth="1"/>
    <x:col min="6" max="6" width="15" hidden="0" customWidth="1"/>
    <x:col min="7" max="7" width="23" hidden="0" customWidth="1"/>
    <x:col min="8" max="8" width="13" hidden="0" customWidth="1"/>
    <x:col min="10" max="10" width="23" hidden="0" customWidth="1"/>
    <x:col min="11" max="11" width="14" hidden="0" customWidth="1"/>
    <x:col min="12" max="12" width="13" hidden="0" customWidth="1"/>
    <x:col min="13" max="13" width="25" hidden="0" customWidth="1"/>
    <x:col min="14" max="14" width="27" hidden="0" customWidth="1"/>
    <x:col min="15" max="15" width="24" hidden="0" customWidth="1"/>
    <x:col min="16" max="16" width="13" hidden="0" customWidth="1"/>
  </x:cols>
  <x:sheetData>
    <x:row r="2">
      <x:c r="B2" s="1" t="str">
        <x:v>Receiver pads and candidate interfaces</x:v>
      </x:c>
    </x:row>
    <x:row r="3">
      <x:c r="B3" s="2" t="str">
        <x:v>The pad is common; the receiver, terminal hardware and backpressure behavior remain candidate-owned.</x:v>
      </x:c>
    </x:row>
    <x:row r="5">
      <x:c r="B5" s="3"/>
      <x:c r="C5" s="3"/>
      <x:c r="D5" s="3"/>
      <x:c r="E5" s="3"/>
      <x:c r="F5" s="3"/>
      <x:c r="G5" s="3"/>
      <x:c r="H5" s="3"/>
      <x:c r="I5" s="3"/>
      <x:c r="J5" s="3"/>
      <x:c r="K5" s="3"/>
      <x:c r="L5" s="3"/>
      <x:c r="M5" s="3"/>
      <x:c r="N5" s="3"/>
      <x:c r="O5" s="3"/>
      <x:c r="P5" s="3"/>
      <x:c r="Q5" s="3"/>
      <x:c r="R5" s="3"/>
    </x:row>
    <x:row r="6" ht="24" customHeight="1">
      <x:c r="B6" s="7" t="str">
        <x:v>Pad ID</x:v>
      </x:c>
      <x:c r="C6" s="7" t="str">
        <x:v>Rig</x:v>
      </x:c>
      <x:c r="D6" s="7" t="str">
        <x:v>Equipment limit (t)</x:v>
      </x:c>
      <x:c r="E6" s="7" t="str">
        <x:v>Vertical (MN)</x:v>
      </x:c>
      <x:c r="F6" s="7" t="str">
        <x:v>Axial (MN)</x:v>
      </x:c>
      <x:c r="G6" s="7" t="str">
        <x:v>Overturning (MN-m)</x:v>
      </x:c>
      <x:c r="H6" s="7" t="str">
        <x:v>Accepted</x:v>
      </x:c>
      <x:c r="J6" s="7" t="str">
        <x:v>Interface ID</x:v>
      </x:c>
      <x:c r="K6" s="7" t="str">
        <x:v>Rig</x:v>
      </x:c>
      <x:c r="L6" s="7" t="str">
        <x:v>Candidate</x:v>
      </x:c>
      <x:c r="M6" s="7" t="str">
        <x:v>Liquid-equivalent mass (kg)</x:v>
      </x:c>
      <x:c r="N6" s="7" t="str">
        <x:v>Nominal volume at 80% (m3)</x:v>
      </x:c>
      <x:c r="O6" s="7" t="str">
        <x:v>Backpressure limit (MPa)</x:v>
      </x:c>
      <x:c r="P6" s="7" t="str">
        <x:v>Accepted</x:v>
      </x:c>
    </x:row>
    <x:row r="7">
      <x:c r="B7" t="str">
        <x:v>RHP-A1-PAD</x:v>
      </x:c>
      <x:c r="C7" t="str">
        <x:v>RHP-A1</x:v>
      </x:c>
      <x:c r="D7" t="n">
        <x:v>60</x:v>
      </x:c>
      <x:c r="E7" t="n">
        <x:v>1.2</x:v>
      </x:c>
      <x:c r="F7" t="n">
        <x:v>1.2</x:v>
      </x:c>
      <x:c r="G7" t="n">
        <x:v>1.5</x:v>
      </x:c>
      <x:c r="H7" t="n">
        <x:v>0</x:v>
      </x:c>
      <x:c r="J7" t="str">
        <x:v>RHP-A1-RC-1-IF</x:v>
      </x:c>
      <x:c r="K7" t="str">
        <x:v>RHP-A1</x:v>
      </x:c>
      <x:c r="L7" t="str">
        <x:v>RC-1</x:v>
      </x:c>
      <x:c r="M7" t="n">
        <x:v>2500</x:v>
      </x:c>
      <x:c r="N7" t="n">
        <x:v>4.67814371257485</x:v>
      </x:c>
      <x:c r="O7" t="n">
        <x:v>0.15</x:v>
      </x:c>
      <x:c r="P7" t="n">
        <x:v>0</x:v>
      </x:c>
    </x:row>
    <x:row r="8">
      <x:c r="B8" t="str">
        <x:v>RHP-A2-PAD</x:v>
      </x:c>
      <x:c r="C8" t="str">
        <x:v>RHP-A2</x:v>
      </x:c>
      <x:c r="D8" t="n">
        <x:v>60</x:v>
      </x:c>
      <x:c r="E8" t="n">
        <x:v>1.2</x:v>
      </x:c>
      <x:c r="F8" t="n">
        <x:v>1.2</x:v>
      </x:c>
      <x:c r="G8" t="n">
        <x:v>1.5</x:v>
      </x:c>
      <x:c r="H8" t="n">
        <x:v>0</x:v>
      </x:c>
      <x:c r="J8" t="str">
        <x:v>RHP-A1-RC-2-IF</x:v>
      </x:c>
      <x:c r="K8" t="str">
        <x:v>RHP-A1</x:v>
      </x:c>
      <x:c r="L8" t="str">
        <x:v>RC-2</x:v>
      </x:c>
      <x:c r="M8" t="n">
        <x:v>6500</x:v>
      </x:c>
      <x:c r="N8" t="n">
        <x:v>12.16317365269461</x:v>
      </x:c>
      <x:c r="O8" t="n">
        <x:v>0.28</x:v>
      </x:c>
      <x:c r="P8" t="n">
        <x:v>0</x:v>
      </x:c>
    </x:row>
    <x:row r="9">
      <x:c r="B9" t="str">
        <x:v>RHP-B1-PAD</x:v>
      </x:c>
      <x:c r="C9" t="str">
        <x:v>RHP-B1</x:v>
      </x:c>
      <x:c r="D9" t="n">
        <x:v>60</x:v>
      </x:c>
      <x:c r="E9" t="n">
        <x:v>1.2</x:v>
      </x:c>
      <x:c r="F9" t="n">
        <x:v>1.2</x:v>
      </x:c>
      <x:c r="G9" t="n">
        <x:v>1.5</x:v>
      </x:c>
      <x:c r="H9" t="n">
        <x:v>0</x:v>
      </x:c>
      <x:c r="J9" t="str">
        <x:v>RHP-A1-RC-3-IF</x:v>
      </x:c>
      <x:c r="K9" t="str">
        <x:v>RHP-A1</x:v>
      </x:c>
      <x:c r="L9" t="str">
        <x:v>RC-3</x:v>
      </x:c>
      <x:c r="M9" t="n">
        <x:v>5344</x:v>
      </x:c>
      <x:c r="N9" t="n">
        <x:v>10</x:v>
      </x:c>
      <x:c r="O9" t="n">
        <x:v>0.25</x:v>
      </x:c>
      <x:c r="P9" t="n">
        <x:v>0</x:v>
      </x:c>
    </x:row>
    <x:row r="10">
      <x:c r="B10" t="str">
        <x:v>RHP-B2-PAD</x:v>
      </x:c>
      <x:c r="C10" t="str">
        <x:v>RHP-B2</x:v>
      </x:c>
      <x:c r="D10" t="n">
        <x:v>60</x:v>
      </x:c>
      <x:c r="E10" t="n">
        <x:v>1.2</x:v>
      </x:c>
      <x:c r="F10" t="n">
        <x:v>1.2</x:v>
      </x:c>
      <x:c r="G10" t="n">
        <x:v>1.5</x:v>
      </x:c>
      <x:c r="H10" t="n">
        <x:v>0</x:v>
      </x:c>
      <x:c r="J10" t="str">
        <x:v>RHP-A2-RC-1-IF</x:v>
      </x:c>
      <x:c r="K10" t="str">
        <x:v>RHP-A2</x:v>
      </x:c>
      <x:c r="L10" t="str">
        <x:v>RC-1</x:v>
      </x:c>
      <x:c r="M10" t="n">
        <x:v>2500</x:v>
      </x:c>
      <x:c r="N10" t="n">
        <x:v>4.67814371257485</x:v>
      </x:c>
      <x:c r="O10" t="n">
        <x:v>0.15</x:v>
      </x:c>
      <x:c r="P10" t="n">
        <x:v>0</x:v>
      </x:c>
    </x:row>
    <x:row r="11">
      <x:c r="B11" t="str">
        <x:v>RHP-C1-PAD</x:v>
      </x:c>
      <x:c r="C11" t="str">
        <x:v>RHP-C1</x:v>
      </x:c>
      <x:c r="D11" t="n">
        <x:v>60</x:v>
      </x:c>
      <x:c r="E11" t="n">
        <x:v>1.2</x:v>
      </x:c>
      <x:c r="F11" t="n">
        <x:v>1.2</x:v>
      </x:c>
      <x:c r="G11" t="n">
        <x:v>1.5</x:v>
      </x:c>
      <x:c r="H11" t="n">
        <x:v>0</x:v>
      </x:c>
      <x:c r="J11" t="str">
        <x:v>RHP-A2-RC-2-IF</x:v>
      </x:c>
      <x:c r="K11" t="str">
        <x:v>RHP-A2</x:v>
      </x:c>
      <x:c r="L11" t="str">
        <x:v>RC-2</x:v>
      </x:c>
      <x:c r="M11" t="n">
        <x:v>6500</x:v>
      </x:c>
      <x:c r="N11" t="n">
        <x:v>12.16317365269461</x:v>
      </x:c>
      <x:c r="O11" t="n">
        <x:v>0.28</x:v>
      </x:c>
      <x:c r="P11" t="n">
        <x:v>0</x:v>
      </x:c>
    </x:row>
    <x:row r="12">
      <x:c r="B12" t="str">
        <x:v>RHP-C2-PAD</x:v>
      </x:c>
      <x:c r="C12" t="str">
        <x:v>RHP-C2</x:v>
      </x:c>
      <x:c r="D12" t="n">
        <x:v>60</x:v>
      </x:c>
      <x:c r="E12" t="n">
        <x:v>1.2</x:v>
      </x:c>
      <x:c r="F12" t="n">
        <x:v>1.2</x:v>
      </x:c>
      <x:c r="G12" t="n">
        <x:v>1.5</x:v>
      </x:c>
      <x:c r="H12" t="n">
        <x:v>0</x:v>
      </x:c>
      <x:c r="J12" t="str">
        <x:v>RHP-A2-RC-3-IF</x:v>
      </x:c>
      <x:c r="K12" t="str">
        <x:v>RHP-A2</x:v>
      </x:c>
      <x:c r="L12" t="str">
        <x:v>RC-3</x:v>
      </x:c>
      <x:c r="M12" t="n">
        <x:v>5344</x:v>
      </x:c>
      <x:c r="N12" t="n">
        <x:v>10</x:v>
      </x:c>
      <x:c r="O12" t="n">
        <x:v>0.25</x:v>
      </x:c>
      <x:c r="P12" t="n">
        <x:v>0</x:v>
      </x:c>
    </x:row>
    <x:row r="13">
      <x:c r="J13" t="str">
        <x:v>RHP-B1-RC-1-IF</x:v>
      </x:c>
      <x:c r="K13" t="str">
        <x:v>RHP-B1</x:v>
      </x:c>
      <x:c r="L13" t="str">
        <x:v>RC-1</x:v>
      </x:c>
      <x:c r="M13" t="n">
        <x:v>2500</x:v>
      </x:c>
      <x:c r="N13" t="n">
        <x:v>4.67814371257485</x:v>
      </x:c>
      <x:c r="O13" t="n">
        <x:v>0.15</x:v>
      </x:c>
      <x:c r="P13" t="n">
        <x:v>0</x:v>
      </x:c>
    </x:row>
    <x:row r="14">
      <x:c r="J14" t="str">
        <x:v>RHP-B1-RC-2-IF</x:v>
      </x:c>
      <x:c r="K14" t="str">
        <x:v>RHP-B1</x:v>
      </x:c>
      <x:c r="L14" t="str">
        <x:v>RC-2</x:v>
      </x:c>
      <x:c r="M14" t="n">
        <x:v>6500</x:v>
      </x:c>
      <x:c r="N14" t="n">
        <x:v>12.16317365269461</x:v>
      </x:c>
      <x:c r="O14" t="n">
        <x:v>0.28</x:v>
      </x:c>
      <x:c r="P14" t="n">
        <x:v>0</x:v>
      </x:c>
    </x:row>
    <x:row r="15">
      <x:c r="J15" t="str">
        <x:v>RHP-B1-RC-3-IF</x:v>
      </x:c>
      <x:c r="K15" t="str">
        <x:v>RHP-B1</x:v>
      </x:c>
      <x:c r="L15" t="str">
        <x:v>RC-3</x:v>
      </x:c>
      <x:c r="M15" t="n">
        <x:v>5344</x:v>
      </x:c>
      <x:c r="N15" t="n">
        <x:v>10</x:v>
      </x:c>
      <x:c r="O15" t="n">
        <x:v>0.25</x:v>
      </x:c>
      <x:c r="P15" t="n">
        <x:v>0</x:v>
      </x:c>
    </x:row>
    <x:row r="16">
      <x:c r="J16" t="str">
        <x:v>RHP-B2-RC-1-IF</x:v>
      </x:c>
      <x:c r="K16" t="str">
        <x:v>RHP-B2</x:v>
      </x:c>
      <x:c r="L16" t="str">
        <x:v>RC-1</x:v>
      </x:c>
      <x:c r="M16" t="n">
        <x:v>2500</x:v>
      </x:c>
      <x:c r="N16" t="n">
        <x:v>4.67814371257485</x:v>
      </x:c>
      <x:c r="O16" t="n">
        <x:v>0.15</x:v>
      </x:c>
      <x:c r="P16" t="n">
        <x:v>0</x:v>
      </x:c>
    </x:row>
    <x:row r="17">
      <x:c r="J17" t="str">
        <x:v>RHP-B2-RC-2-IF</x:v>
      </x:c>
      <x:c r="K17" t="str">
        <x:v>RHP-B2</x:v>
      </x:c>
      <x:c r="L17" t="str">
        <x:v>RC-2</x:v>
      </x:c>
      <x:c r="M17" t="n">
        <x:v>6500</x:v>
      </x:c>
      <x:c r="N17" t="n">
        <x:v>12.16317365269461</x:v>
      </x:c>
      <x:c r="O17" t="n">
        <x:v>0.28</x:v>
      </x:c>
      <x:c r="P17" t="n">
        <x:v>0</x:v>
      </x:c>
    </x:row>
    <x:row r="18">
      <x:c r="J18" t="str">
        <x:v>RHP-B2-RC-3-IF</x:v>
      </x:c>
      <x:c r="K18" t="str">
        <x:v>RHP-B2</x:v>
      </x:c>
      <x:c r="L18" t="str">
        <x:v>RC-3</x:v>
      </x:c>
      <x:c r="M18" t="n">
        <x:v>5344</x:v>
      </x:c>
      <x:c r="N18" t="n">
        <x:v>10</x:v>
      </x:c>
      <x:c r="O18" t="n">
        <x:v>0.25</x:v>
      </x:c>
      <x:c r="P18" t="n">
        <x:v>0</x:v>
      </x:c>
    </x:row>
    <x:row r="19">
      <x:c r="J19" t="str">
        <x:v>RHP-C1-RC-1-IF</x:v>
      </x:c>
      <x:c r="K19" t="str">
        <x:v>RHP-C1</x:v>
      </x:c>
      <x:c r="L19" t="str">
        <x:v>RC-1</x:v>
      </x:c>
      <x:c r="M19" t="n">
        <x:v>2500</x:v>
      </x:c>
      <x:c r="N19" t="n">
        <x:v>4.67814371257485</x:v>
      </x:c>
      <x:c r="O19" t="n">
        <x:v>0.15</x:v>
      </x:c>
      <x:c r="P19" t="n">
        <x:v>0</x:v>
      </x:c>
    </x:row>
    <x:row r="20">
      <x:c r="J20" t="str">
        <x:v>RHP-C1-RC-2-IF</x:v>
      </x:c>
      <x:c r="K20" t="str">
        <x:v>RHP-C1</x:v>
      </x:c>
      <x:c r="L20" t="str">
        <x:v>RC-2</x:v>
      </x:c>
      <x:c r="M20" t="n">
        <x:v>6500</x:v>
      </x:c>
      <x:c r="N20" t="n">
        <x:v>12.16317365269461</x:v>
      </x:c>
      <x:c r="O20" t="n">
        <x:v>0.28</x:v>
      </x:c>
      <x:c r="P20" t="n">
        <x:v>0</x:v>
      </x:c>
    </x:row>
    <x:row r="21">
      <x:c r="J21" t="str">
        <x:v>RHP-C1-RC-3-IF</x:v>
      </x:c>
      <x:c r="K21" t="str">
        <x:v>RHP-C1</x:v>
      </x:c>
      <x:c r="L21" t="str">
        <x:v>RC-3</x:v>
      </x:c>
      <x:c r="M21" t="n">
        <x:v>5344</x:v>
      </x:c>
      <x:c r="N21" t="n">
        <x:v>10</x:v>
      </x:c>
      <x:c r="O21" t="n">
        <x:v>0.25</x:v>
      </x:c>
      <x:c r="P21" t="n">
        <x:v>0</x:v>
      </x:c>
    </x:row>
    <x:row r="22">
      <x:c r="J22" t="str">
        <x:v>RHP-C2-RC-1-IF</x:v>
      </x:c>
      <x:c r="K22" t="str">
        <x:v>RHP-C2</x:v>
      </x:c>
      <x:c r="L22" t="str">
        <x:v>RC-1</x:v>
      </x:c>
      <x:c r="M22" t="n">
        <x:v>2500</x:v>
      </x:c>
      <x:c r="N22" t="n">
        <x:v>4.67814371257485</x:v>
      </x:c>
      <x:c r="O22" t="n">
        <x:v>0.15</x:v>
      </x:c>
      <x:c r="P22" t="n">
        <x:v>0</x:v>
      </x:c>
    </x:row>
    <x:row r="23">
      <x:c r="J23" t="str">
        <x:v>RHP-C2-RC-2-IF</x:v>
      </x:c>
      <x:c r="K23" t="str">
        <x:v>RHP-C2</x:v>
      </x:c>
      <x:c r="L23" t="str">
        <x:v>RC-2</x:v>
      </x:c>
      <x:c r="M23" t="n">
        <x:v>6500</x:v>
      </x:c>
      <x:c r="N23" t="n">
        <x:v>12.16317365269461</x:v>
      </x:c>
      <x:c r="O23" t="n">
        <x:v>0.28</x:v>
      </x:c>
      <x:c r="P23" t="n">
        <x:v>0</x:v>
      </x:c>
    </x:row>
    <x:row r="24">
      <x:c r="J24" t="str">
        <x:v>RHP-C2-RC-3-IF</x:v>
      </x:c>
      <x:c r="K24" t="str">
        <x:v>RHP-C2</x:v>
      </x:c>
      <x:c r="L24" t="str">
        <x:v>RC-3</x:v>
      </x:c>
      <x:c r="M24" t="n">
        <x:v>5344</x:v>
      </x:c>
      <x:c r="N24" t="n">
        <x:v>10</x:v>
      </x:c>
      <x:c r="O24" t="n">
        <x:v>0.25</x:v>
      </x:c>
      <x:c r="P24" t="n">
        <x:v>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24" hidden="0" customWidth="1"/>
    <x:col min="3" max="3" width="14" hidden="0" customWidth="1"/>
    <x:col min="4" max="4" width="9" hidden="0" customWidth="1"/>
    <x:col min="5" max="5" width="17" hidden="0" customWidth="1"/>
    <x:col min="6" max="6" width="16" hidden="0" customWidth="1"/>
    <x:col min="7" max="7" width="31" hidden="0" customWidth="1"/>
    <x:col min="8" max="8" width="13" hidden="0" customWidth="1"/>
    <x:col min="10" max="10" width="20" hidden="0" customWidth="1"/>
    <x:col min="11" max="11" width="14" hidden="0" customWidth="1"/>
    <x:col min="12" max="12" width="10" hidden="0" customWidth="1"/>
    <x:col min="13" max="13" width="30" hidden="0" customWidth="1"/>
    <x:col min="14" max="14" width="13" hidden="0" customWidth="1"/>
  </x:cols>
  <x:sheetData>
    <x:row r="2">
      <x:c r="B2" s="1" t="str">
        <x:v>Restriction and challenge hardware</x:v>
      </x:c>
    </x:row>
    <x:row r="3">
      <x:c r="B3" s="2" t="str">
        <x:v>Challenge hardware is separately accepted so a successful candidate cannot mask an unqualified test condition.</x:v>
      </x:c>
    </x:row>
    <x:row r="5">
      <x:c r="B5" s="3"/>
      <x:c r="C5" s="3"/>
      <x:c r="D5" s="3"/>
      <x:c r="E5" s="3"/>
      <x:c r="F5" s="3"/>
      <x:c r="G5" s="3"/>
      <x:c r="H5" s="3"/>
      <x:c r="I5" s="3"/>
      <x:c r="J5" s="3"/>
      <x:c r="K5" s="3"/>
      <x:c r="L5" s="3"/>
      <x:c r="M5" s="3"/>
      <x:c r="N5" s="3"/>
      <x:c r="O5" s="3"/>
      <x:c r="P5" s="3"/>
      <x:c r="Q5" s="3"/>
      <x:c r="R5" s="3"/>
    </x:row>
    <x:row r="6" ht="24" customHeight="1">
      <x:c r="B6" s="7" t="str">
        <x:v>Restriction ID</x:v>
      </x:c>
      <x:c r="C6" s="7" t="str">
        <x:v>Rig</x:v>
      </x:c>
      <x:c r="D6" s="7" t="str">
        <x:v>Bay</x:v>
      </x:c>
      <x:c r="E6" s="7" t="str">
        <x:v>State</x:v>
      </x:c>
      <x:c r="F6" s="7" t="str">
        <x:v>Open fraction</x:v>
      </x:c>
      <x:c r="G6" s="7" t="str">
        <x:v>Construction</x:v>
      </x:c>
      <x:c r="H6" s="7" t="str">
        <x:v>Accepted</x:v>
      </x:c>
      <x:c r="J6" s="7" t="str">
        <x:v>Challenge ID</x:v>
      </x:c>
      <x:c r="K6" s="7" t="str">
        <x:v>Rig</x:v>
      </x:c>
      <x:c r="L6" s="7" t="str">
        <x:v>Number</x:v>
      </x:c>
      <x:c r="M6" s="7" t="str">
        <x:v>Class</x:v>
      </x:c>
      <x:c r="N6" s="7" t="str">
        <x:v>Accepted</x:v>
      </x:c>
    </x:row>
    <x:row r="7">
      <x:c r="B7" t="str">
        <x:v>RHP-A1-B1-OPEN</x:v>
      </x:c>
      <x:c r="C7" t="str">
        <x:v>RHP-A1</x:v>
      </x:c>
      <x:c r="D7" t="n">
        <x:v>1</x:v>
      </x:c>
      <x:c r="E7" t="str">
        <x:v>OPEN</x:v>
      </x:c>
      <x:c r="F7" t="n">
        <x:v>1</x:v>
      </x:c>
      <x:c r="G7" t="str">
        <x:v>replaceable calibrated orifice</x:v>
      </x:c>
      <x:c r="H7" t="n">
        <x:v>0</x:v>
      </x:c>
      <x:c r="J7" t="str">
        <x:v>RHP-A1-CH01</x:v>
      </x:c>
      <x:c r="K7" t="str">
        <x:v>RHP-A1</x:v>
      </x:c>
      <x:c r="L7" t="n">
        <x:v>1</x:v>
      </x:c>
      <x:c r="M7" t="str">
        <x:v>cold start</x:v>
      </x:c>
      <x:c r="N7" t="n">
        <x:v>0</x:v>
      </x:c>
    </x:row>
    <x:row r="8">
      <x:c r="B8" t="str">
        <x:v>RHP-A1-B1-HALF</x:v>
      </x:c>
      <x:c r="C8" t="str">
        <x:v>RHP-A1</x:v>
      </x:c>
      <x:c r="D8" t="n">
        <x:v>1</x:v>
      </x:c>
      <x:c r="E8" t="str">
        <x:v>HALF</x:v>
      </x:c>
      <x:c r="F8" t="n">
        <x:v>0.5</x:v>
      </x:c>
      <x:c r="G8" t="str">
        <x:v>replaceable calibrated orifice</x:v>
      </x:c>
      <x:c r="H8" t="n">
        <x:v>0</x:v>
      </x:c>
      <x:c r="J8" t="str">
        <x:v>RHP-A1-CH02</x:v>
      </x:c>
      <x:c r="K8" t="str">
        <x:v>RHP-A1</x:v>
      </x:c>
      <x:c r="L8" t="n">
        <x:v>2</x:v>
      </x:c>
      <x:c r="M8" t="str">
        <x:v>hot soak</x:v>
      </x:c>
      <x:c r="N8" t="n">
        <x:v>0</x:v>
      </x:c>
    </x:row>
    <x:row r="9">
      <x:c r="B9" t="str">
        <x:v>RHP-A1-B1-TWO-THIRDS</x:v>
      </x:c>
      <x:c r="C9" t="str">
        <x:v>RHP-A1</x:v>
      </x:c>
      <x:c r="D9" t="n">
        <x:v>1</x:v>
      </x:c>
      <x:c r="E9" t="str">
        <x:v>TWO-THIRDS</x:v>
      </x:c>
      <x:c r="F9" t="n">
        <x:v>0.667</x:v>
      </x:c>
      <x:c r="G9" t="str">
        <x:v>replaceable calibrated orifice</x:v>
      </x:c>
      <x:c r="H9" t="n">
        <x:v>0</x:v>
      </x:c>
      <x:c r="J9" t="str">
        <x:v>RHP-A1-CH03</x:v>
      </x:c>
      <x:c r="K9" t="str">
        <x:v>RHP-A1</x:v>
      </x:c>
      <x:c r="L9" t="n">
        <x:v>3</x:v>
      </x:c>
      <x:c r="M9" t="str">
        <x:v>maximum heat</x:v>
      </x:c>
      <x:c r="N9" t="n">
        <x:v>0</x:v>
      </x:c>
    </x:row>
    <x:row r="10">
      <x:c r="B10" t="str">
        <x:v>RHP-A1-B2-OPEN</x:v>
      </x:c>
      <x:c r="C10" t="str">
        <x:v>RHP-A1</x:v>
      </x:c>
      <x:c r="D10" t="n">
        <x:v>2</x:v>
      </x:c>
      <x:c r="E10" t="str">
        <x:v>OPEN</x:v>
      </x:c>
      <x:c r="F10" t="n">
        <x:v>1</x:v>
      </x:c>
      <x:c r="G10" t="str">
        <x:v>replaceable calibrated orifice</x:v>
      </x:c>
      <x:c r="H10" t="n">
        <x:v>0</x:v>
      </x:c>
      <x:c r="J10" t="str">
        <x:v>RHP-A1-CH04</x:v>
      </x:c>
      <x:c r="K10" t="str">
        <x:v>RHP-A1</x:v>
      </x:c>
      <x:c r="L10" t="n">
        <x:v>4</x:v>
      </x:c>
      <x:c r="M10" t="str">
        <x:v>half area</x:v>
      </x:c>
      <x:c r="N10" t="n">
        <x:v>0</x:v>
      </x:c>
    </x:row>
    <x:row r="11">
      <x:c r="B11" t="str">
        <x:v>RHP-A1-B2-HALF</x:v>
      </x:c>
      <x:c r="C11" t="str">
        <x:v>RHP-A1</x:v>
      </x:c>
      <x:c r="D11" t="n">
        <x:v>2</x:v>
      </x:c>
      <x:c r="E11" t="str">
        <x:v>HALF</x:v>
      </x:c>
      <x:c r="F11" t="n">
        <x:v>0.5</x:v>
      </x:c>
      <x:c r="G11" t="str">
        <x:v>replaceable calibrated orifice</x:v>
      </x:c>
      <x:c r="H11" t="n">
        <x:v>0</x:v>
      </x:c>
      <x:c r="J11" t="str">
        <x:v>RHP-A1-CH05</x:v>
      </x:c>
      <x:c r="K11" t="str">
        <x:v>RHP-A1</x:v>
      </x:c>
      <x:c r="L11" t="n">
        <x:v>5</x:v>
      </x:c>
      <x:c r="M11" t="str">
        <x:v>two-thirds area</x:v>
      </x:c>
      <x:c r="N11" t="n">
        <x:v>0</x:v>
      </x:c>
    </x:row>
    <x:row r="12">
      <x:c r="B12" t="str">
        <x:v>RHP-A1-B2-TWO-THIRDS</x:v>
      </x:c>
      <x:c r="C12" t="str">
        <x:v>RHP-A1</x:v>
      </x:c>
      <x:c r="D12" t="n">
        <x:v>2</x:v>
      </x:c>
      <x:c r="E12" t="str">
        <x:v>TWO-THIRDS</x:v>
      </x:c>
      <x:c r="F12" t="n">
        <x:v>0.667</x:v>
      </x:c>
      <x:c r="G12" t="str">
        <x:v>replaceable calibrated orifice</x:v>
      </x:c>
      <x:c r="H12" t="n">
        <x:v>0</x:v>
      </x:c>
      <x:c r="J12" t="str">
        <x:v>RHP-A1-CH06</x:v>
      </x:c>
      <x:c r="K12" t="str">
        <x:v>RHP-A1</x:v>
      </x:c>
      <x:c r="L12" t="n">
        <x:v>6</x:v>
      </x:c>
      <x:c r="M12" t="str">
        <x:v>receiver backpressure</x:v>
      </x:c>
      <x:c r="N12" t="n">
        <x:v>0</x:v>
      </x:c>
    </x:row>
    <x:row r="13">
      <x:c r="B13" t="str">
        <x:v>RHP-A1-B3-OPEN</x:v>
      </x:c>
      <x:c r="C13" t="str">
        <x:v>RHP-A1</x:v>
      </x:c>
      <x:c r="D13" t="n">
        <x:v>3</x:v>
      </x:c>
      <x:c r="E13" t="str">
        <x:v>OPEN</x:v>
      </x:c>
      <x:c r="F13" t="n">
        <x:v>1</x:v>
      </x:c>
      <x:c r="G13" t="str">
        <x:v>replaceable calibrated orifice</x:v>
      </x:c>
      <x:c r="H13" t="n">
        <x:v>0</x:v>
      </x:c>
      <x:c r="J13" t="str">
        <x:v>RHP-A1-CH07</x:v>
      </x:c>
      <x:c r="K13" t="str">
        <x:v>RHP-A1</x:v>
      </x:c>
      <x:c r="L13" t="n">
        <x:v>7</x:v>
      </x:c>
      <x:c r="M13" t="str">
        <x:v>power loss</x:v>
      </x:c>
      <x:c r="N13" t="n">
        <x:v>0</x:v>
      </x:c>
    </x:row>
    <x:row r="14">
      <x:c r="B14" t="str">
        <x:v>RHP-A1-B3-HALF</x:v>
      </x:c>
      <x:c r="C14" t="str">
        <x:v>RHP-A1</x:v>
      </x:c>
      <x:c r="D14" t="n">
        <x:v>3</x:v>
      </x:c>
      <x:c r="E14" t="str">
        <x:v>HALF</x:v>
      </x:c>
      <x:c r="F14" t="n">
        <x:v>0.5</x:v>
      </x:c>
      <x:c r="G14" t="str">
        <x:v>replaceable calibrated orifice</x:v>
      </x:c>
      <x:c r="H14" t="n">
        <x:v>0</x:v>
      </x:c>
      <x:c r="J14" t="str">
        <x:v>RHP-A1-CH08</x:v>
      </x:c>
      <x:c r="K14" t="str">
        <x:v>RHP-A1</x:v>
      </x:c>
      <x:c r="L14" t="n">
        <x:v>8</x:v>
      </x:c>
      <x:c r="M14" t="str">
        <x:v>compound/site loss</x:v>
      </x:c>
      <x:c r="N14" t="n">
        <x:v>0</x:v>
      </x:c>
    </x:row>
    <x:row r="15">
      <x:c r="B15" t="str">
        <x:v>RHP-A1-B3-TWO-THIRDS</x:v>
      </x:c>
      <x:c r="C15" t="str">
        <x:v>RHP-A1</x:v>
      </x:c>
      <x:c r="D15" t="n">
        <x:v>3</x:v>
      </x:c>
      <x:c r="E15" t="str">
        <x:v>TWO-THIRDS</x:v>
      </x:c>
      <x:c r="F15" t="n">
        <x:v>0.667</x:v>
      </x:c>
      <x:c r="G15" t="str">
        <x:v>replaceable calibrated orifice</x:v>
      </x:c>
      <x:c r="H15" t="n">
        <x:v>0</x:v>
      </x:c>
      <x:c r="J15" t="str">
        <x:v>RHP-A2-CH01</x:v>
      </x:c>
      <x:c r="K15" t="str">
        <x:v>RHP-A2</x:v>
      </x:c>
      <x:c r="L15" t="n">
        <x:v>1</x:v>
      </x:c>
      <x:c r="M15" t="str">
        <x:v>cold start</x:v>
      </x:c>
      <x:c r="N15" t="n">
        <x:v>0</x:v>
      </x:c>
    </x:row>
    <x:row r="16">
      <x:c r="B16" t="str">
        <x:v>RHP-A2-B1-OPEN</x:v>
      </x:c>
      <x:c r="C16" t="str">
        <x:v>RHP-A2</x:v>
      </x:c>
      <x:c r="D16" t="n">
        <x:v>1</x:v>
      </x:c>
      <x:c r="E16" t="str">
        <x:v>OPEN</x:v>
      </x:c>
      <x:c r="F16" t="n">
        <x:v>1</x:v>
      </x:c>
      <x:c r="G16" t="str">
        <x:v>replaceable calibrated orifice</x:v>
      </x:c>
      <x:c r="H16" t="n">
        <x:v>0</x:v>
      </x:c>
      <x:c r="J16" t="str">
        <x:v>RHP-A2-CH02</x:v>
      </x:c>
      <x:c r="K16" t="str">
        <x:v>RHP-A2</x:v>
      </x:c>
      <x:c r="L16" t="n">
        <x:v>2</x:v>
      </x:c>
      <x:c r="M16" t="str">
        <x:v>hot soak</x:v>
      </x:c>
      <x:c r="N16" t="n">
        <x:v>0</x:v>
      </x:c>
    </x:row>
    <x:row r="17">
      <x:c r="B17" t="str">
        <x:v>RHP-A2-B1-HALF</x:v>
      </x:c>
      <x:c r="C17" t="str">
        <x:v>RHP-A2</x:v>
      </x:c>
      <x:c r="D17" t="n">
        <x:v>1</x:v>
      </x:c>
      <x:c r="E17" t="str">
        <x:v>HALF</x:v>
      </x:c>
      <x:c r="F17" t="n">
        <x:v>0.5</x:v>
      </x:c>
      <x:c r="G17" t="str">
        <x:v>replaceable calibrated orifice</x:v>
      </x:c>
      <x:c r="H17" t="n">
        <x:v>0</x:v>
      </x:c>
      <x:c r="J17" t="str">
        <x:v>RHP-A2-CH03</x:v>
      </x:c>
      <x:c r="K17" t="str">
        <x:v>RHP-A2</x:v>
      </x:c>
      <x:c r="L17" t="n">
        <x:v>3</x:v>
      </x:c>
      <x:c r="M17" t="str">
        <x:v>maximum heat</x:v>
      </x:c>
      <x:c r="N17" t="n">
        <x:v>0</x:v>
      </x:c>
    </x:row>
    <x:row r="18">
      <x:c r="B18" t="str">
        <x:v>RHP-A2-B1-TWO-THIRDS</x:v>
      </x:c>
      <x:c r="C18" t="str">
        <x:v>RHP-A2</x:v>
      </x:c>
      <x:c r="D18" t="n">
        <x:v>1</x:v>
      </x:c>
      <x:c r="E18" t="str">
        <x:v>TWO-THIRDS</x:v>
      </x:c>
      <x:c r="F18" t="n">
        <x:v>0.667</x:v>
      </x:c>
      <x:c r="G18" t="str">
        <x:v>replaceable calibrated orifice</x:v>
      </x:c>
      <x:c r="H18" t="n">
        <x:v>0</x:v>
      </x:c>
      <x:c r="J18" t="str">
        <x:v>RHP-A2-CH04</x:v>
      </x:c>
      <x:c r="K18" t="str">
        <x:v>RHP-A2</x:v>
      </x:c>
      <x:c r="L18" t="n">
        <x:v>4</x:v>
      </x:c>
      <x:c r="M18" t="str">
        <x:v>half area</x:v>
      </x:c>
      <x:c r="N18" t="n">
        <x:v>0</x:v>
      </x:c>
    </x:row>
    <x:row r="19">
      <x:c r="B19" t="str">
        <x:v>RHP-A2-B2-OPEN</x:v>
      </x:c>
      <x:c r="C19" t="str">
        <x:v>RHP-A2</x:v>
      </x:c>
      <x:c r="D19" t="n">
        <x:v>2</x:v>
      </x:c>
      <x:c r="E19" t="str">
        <x:v>OPEN</x:v>
      </x:c>
      <x:c r="F19" t="n">
        <x:v>1</x:v>
      </x:c>
      <x:c r="G19" t="str">
        <x:v>replaceable calibrated orifice</x:v>
      </x:c>
      <x:c r="H19" t="n">
        <x:v>0</x:v>
      </x:c>
      <x:c r="J19" t="str">
        <x:v>RHP-A2-CH05</x:v>
      </x:c>
      <x:c r="K19" t="str">
        <x:v>RHP-A2</x:v>
      </x:c>
      <x:c r="L19" t="n">
        <x:v>5</x:v>
      </x:c>
      <x:c r="M19" t="str">
        <x:v>two-thirds area</x:v>
      </x:c>
      <x:c r="N19" t="n">
        <x:v>0</x:v>
      </x:c>
    </x:row>
    <x:row r="20">
      <x:c r="B20" t="str">
        <x:v>RHP-A2-B2-HALF</x:v>
      </x:c>
      <x:c r="C20" t="str">
        <x:v>RHP-A2</x:v>
      </x:c>
      <x:c r="D20" t="n">
        <x:v>2</x:v>
      </x:c>
      <x:c r="E20" t="str">
        <x:v>HALF</x:v>
      </x:c>
      <x:c r="F20" t="n">
        <x:v>0.5</x:v>
      </x:c>
      <x:c r="G20" t="str">
        <x:v>replaceable calibrated orifice</x:v>
      </x:c>
      <x:c r="H20" t="n">
        <x:v>0</x:v>
      </x:c>
      <x:c r="J20" t="str">
        <x:v>RHP-A2-CH06</x:v>
      </x:c>
      <x:c r="K20" t="str">
        <x:v>RHP-A2</x:v>
      </x:c>
      <x:c r="L20" t="n">
        <x:v>6</x:v>
      </x:c>
      <x:c r="M20" t="str">
        <x:v>receiver backpressure</x:v>
      </x:c>
      <x:c r="N20" t="n">
        <x:v>0</x:v>
      </x:c>
    </x:row>
    <x:row r="21">
      <x:c r="B21" t="str">
        <x:v>RHP-A2-B2-TWO-THIRDS</x:v>
      </x:c>
      <x:c r="C21" t="str">
        <x:v>RHP-A2</x:v>
      </x:c>
      <x:c r="D21" t="n">
        <x:v>2</x:v>
      </x:c>
      <x:c r="E21" t="str">
        <x:v>TWO-THIRDS</x:v>
      </x:c>
      <x:c r="F21" t="n">
        <x:v>0.667</x:v>
      </x:c>
      <x:c r="G21" t="str">
        <x:v>replaceable calibrated orifice</x:v>
      </x:c>
      <x:c r="H21" t="n">
        <x:v>0</x:v>
      </x:c>
      <x:c r="J21" t="str">
        <x:v>RHP-A2-CH07</x:v>
      </x:c>
      <x:c r="K21" t="str">
        <x:v>RHP-A2</x:v>
      </x:c>
      <x:c r="L21" t="n">
        <x:v>7</x:v>
      </x:c>
      <x:c r="M21" t="str">
        <x:v>power loss</x:v>
      </x:c>
      <x:c r="N21" t="n">
        <x:v>0</x:v>
      </x:c>
    </x:row>
    <x:row r="22">
      <x:c r="B22" t="str">
        <x:v>RHP-A2-B3-OPEN</x:v>
      </x:c>
      <x:c r="C22" t="str">
        <x:v>RHP-A2</x:v>
      </x:c>
      <x:c r="D22" t="n">
        <x:v>3</x:v>
      </x:c>
      <x:c r="E22" t="str">
        <x:v>OPEN</x:v>
      </x:c>
      <x:c r="F22" t="n">
        <x:v>1</x:v>
      </x:c>
      <x:c r="G22" t="str">
        <x:v>replaceable calibrated orifice</x:v>
      </x:c>
      <x:c r="H22" t="n">
        <x:v>0</x:v>
      </x:c>
      <x:c r="J22" t="str">
        <x:v>RHP-A2-CH08</x:v>
      </x:c>
      <x:c r="K22" t="str">
        <x:v>RHP-A2</x:v>
      </x:c>
      <x:c r="L22" t="n">
        <x:v>8</x:v>
      </x:c>
      <x:c r="M22" t="str">
        <x:v>compound/site loss</x:v>
      </x:c>
      <x:c r="N22" t="n">
        <x:v>0</x:v>
      </x:c>
    </x:row>
    <x:row r="23">
      <x:c r="B23" t="str">
        <x:v>RHP-A2-B3-HALF</x:v>
      </x:c>
      <x:c r="C23" t="str">
        <x:v>RHP-A2</x:v>
      </x:c>
      <x:c r="D23" t="n">
        <x:v>3</x:v>
      </x:c>
      <x:c r="E23" t="str">
        <x:v>HALF</x:v>
      </x:c>
      <x:c r="F23" t="n">
        <x:v>0.5</x:v>
      </x:c>
      <x:c r="G23" t="str">
        <x:v>replaceable calibrated orifice</x:v>
      </x:c>
      <x:c r="H23" t="n">
        <x:v>0</x:v>
      </x:c>
      <x:c r="J23" t="str">
        <x:v>RHP-B1-CH01</x:v>
      </x:c>
      <x:c r="K23" t="str">
        <x:v>RHP-B1</x:v>
      </x:c>
      <x:c r="L23" t="n">
        <x:v>1</x:v>
      </x:c>
      <x:c r="M23" t="str">
        <x:v>cold start</x:v>
      </x:c>
      <x:c r="N23" t="n">
        <x:v>0</x:v>
      </x:c>
    </x:row>
    <x:row r="24">
      <x:c r="B24" t="str">
        <x:v>RHP-A2-B3-TWO-THIRDS</x:v>
      </x:c>
      <x:c r="C24" t="str">
        <x:v>RHP-A2</x:v>
      </x:c>
      <x:c r="D24" t="n">
        <x:v>3</x:v>
      </x:c>
      <x:c r="E24" t="str">
        <x:v>TWO-THIRDS</x:v>
      </x:c>
      <x:c r="F24" t="n">
        <x:v>0.667</x:v>
      </x:c>
      <x:c r="G24" t="str">
        <x:v>replaceable calibrated orifice</x:v>
      </x:c>
      <x:c r="H24" t="n">
        <x:v>0</x:v>
      </x:c>
      <x:c r="J24" t="str">
        <x:v>RHP-B1-CH02</x:v>
      </x:c>
      <x:c r="K24" t="str">
        <x:v>RHP-B1</x:v>
      </x:c>
      <x:c r="L24" t="n">
        <x:v>2</x:v>
      </x:c>
      <x:c r="M24" t="str">
        <x:v>hot soak</x:v>
      </x:c>
      <x:c r="N24" t="n">
        <x:v>0</x:v>
      </x:c>
    </x:row>
    <x:row r="25">
      <x:c r="B25" t="str">
        <x:v>RHP-B1-B1-OPEN</x:v>
      </x:c>
      <x:c r="C25" t="str">
        <x:v>RHP-B1</x:v>
      </x:c>
      <x:c r="D25" t="n">
        <x:v>1</x:v>
      </x:c>
      <x:c r="E25" t="str">
        <x:v>OPEN</x:v>
      </x:c>
      <x:c r="F25" t="n">
        <x:v>1</x:v>
      </x:c>
      <x:c r="G25" t="str">
        <x:v>replaceable calibrated orifice</x:v>
      </x:c>
      <x:c r="H25" t="n">
        <x:v>0</x:v>
      </x:c>
      <x:c r="J25" t="str">
        <x:v>RHP-B1-CH03</x:v>
      </x:c>
      <x:c r="K25" t="str">
        <x:v>RHP-B1</x:v>
      </x:c>
      <x:c r="L25" t="n">
        <x:v>3</x:v>
      </x:c>
      <x:c r="M25" t="str">
        <x:v>maximum heat</x:v>
      </x:c>
      <x:c r="N25" t="n">
        <x:v>0</x:v>
      </x:c>
    </x:row>
    <x:row r="26">
      <x:c r="B26" t="str">
        <x:v>RHP-B1-B1-HALF</x:v>
      </x:c>
      <x:c r="C26" t="str">
        <x:v>RHP-B1</x:v>
      </x:c>
      <x:c r="D26" t="n">
        <x:v>1</x:v>
      </x:c>
      <x:c r="E26" t="str">
        <x:v>HALF</x:v>
      </x:c>
      <x:c r="F26" t="n">
        <x:v>0.5</x:v>
      </x:c>
      <x:c r="G26" t="str">
        <x:v>replaceable calibrated orifice</x:v>
      </x:c>
      <x:c r="H26" t="n">
        <x:v>0</x:v>
      </x:c>
      <x:c r="J26" t="str">
        <x:v>RHP-B1-CH04</x:v>
      </x:c>
      <x:c r="K26" t="str">
        <x:v>RHP-B1</x:v>
      </x:c>
      <x:c r="L26" t="n">
        <x:v>4</x:v>
      </x:c>
      <x:c r="M26" t="str">
        <x:v>half area</x:v>
      </x:c>
      <x:c r="N26" t="n">
        <x:v>0</x:v>
      </x:c>
    </x:row>
    <x:row r="27">
      <x:c r="B27" t="str">
        <x:v>RHP-B1-B1-TWO-THIRDS</x:v>
      </x:c>
      <x:c r="C27" t="str">
        <x:v>RHP-B1</x:v>
      </x:c>
      <x:c r="D27" t="n">
        <x:v>1</x:v>
      </x:c>
      <x:c r="E27" t="str">
        <x:v>TWO-THIRDS</x:v>
      </x:c>
      <x:c r="F27" t="n">
        <x:v>0.667</x:v>
      </x:c>
      <x:c r="G27" t="str">
        <x:v>replaceable calibrated orifice</x:v>
      </x:c>
      <x:c r="H27" t="n">
        <x:v>0</x:v>
      </x:c>
      <x:c r="J27" t="str">
        <x:v>RHP-B1-CH05</x:v>
      </x:c>
      <x:c r="K27" t="str">
        <x:v>RHP-B1</x:v>
      </x:c>
      <x:c r="L27" t="n">
        <x:v>5</x:v>
      </x:c>
      <x:c r="M27" t="str">
        <x:v>two-thirds area</x:v>
      </x:c>
      <x:c r="N27" t="n">
        <x:v>0</x:v>
      </x:c>
    </x:row>
    <x:row r="28">
      <x:c r="B28" t="str">
        <x:v>RHP-B1-B2-OPEN</x:v>
      </x:c>
      <x:c r="C28" t="str">
        <x:v>RHP-B1</x:v>
      </x:c>
      <x:c r="D28" t="n">
        <x:v>2</x:v>
      </x:c>
      <x:c r="E28" t="str">
        <x:v>OPEN</x:v>
      </x:c>
      <x:c r="F28" t="n">
        <x:v>1</x:v>
      </x:c>
      <x:c r="G28" t="str">
        <x:v>replaceable calibrated orifice</x:v>
      </x:c>
      <x:c r="H28" t="n">
        <x:v>0</x:v>
      </x:c>
      <x:c r="J28" t="str">
        <x:v>RHP-B1-CH06</x:v>
      </x:c>
      <x:c r="K28" t="str">
        <x:v>RHP-B1</x:v>
      </x:c>
      <x:c r="L28" t="n">
        <x:v>6</x:v>
      </x:c>
      <x:c r="M28" t="str">
        <x:v>receiver backpressure</x:v>
      </x:c>
      <x:c r="N28" t="n">
        <x:v>0</x:v>
      </x:c>
    </x:row>
    <x:row r="29">
      <x:c r="B29" t="str">
        <x:v>RHP-B1-B2-HALF</x:v>
      </x:c>
      <x:c r="C29" t="str">
        <x:v>RHP-B1</x:v>
      </x:c>
      <x:c r="D29" t="n">
        <x:v>2</x:v>
      </x:c>
      <x:c r="E29" t="str">
        <x:v>HALF</x:v>
      </x:c>
      <x:c r="F29" t="n">
        <x:v>0.5</x:v>
      </x:c>
      <x:c r="G29" t="str">
        <x:v>replaceable calibrated orifice</x:v>
      </x:c>
      <x:c r="H29" t="n">
        <x:v>0</x:v>
      </x:c>
      <x:c r="J29" t="str">
        <x:v>RHP-B1-CH07</x:v>
      </x:c>
      <x:c r="K29" t="str">
        <x:v>RHP-B1</x:v>
      </x:c>
      <x:c r="L29" t="n">
        <x:v>7</x:v>
      </x:c>
      <x:c r="M29" t="str">
        <x:v>power loss</x:v>
      </x:c>
      <x:c r="N29" t="n">
        <x:v>0</x:v>
      </x:c>
    </x:row>
    <x:row r="30">
      <x:c r="B30" t="str">
        <x:v>RHP-B1-B2-TWO-THIRDS</x:v>
      </x:c>
      <x:c r="C30" t="str">
        <x:v>RHP-B1</x:v>
      </x:c>
      <x:c r="D30" t="n">
        <x:v>2</x:v>
      </x:c>
      <x:c r="E30" t="str">
        <x:v>TWO-THIRDS</x:v>
      </x:c>
      <x:c r="F30" t="n">
        <x:v>0.667</x:v>
      </x:c>
      <x:c r="G30" t="str">
        <x:v>replaceable calibrated orifice</x:v>
      </x:c>
      <x:c r="H30" t="n">
        <x:v>0</x:v>
      </x:c>
      <x:c r="J30" t="str">
        <x:v>RHP-B1-CH08</x:v>
      </x:c>
      <x:c r="K30" t="str">
        <x:v>RHP-B1</x:v>
      </x:c>
      <x:c r="L30" t="n">
        <x:v>8</x:v>
      </x:c>
      <x:c r="M30" t="str">
        <x:v>compound/site loss</x:v>
      </x:c>
      <x:c r="N30" t="n">
        <x:v>0</x:v>
      </x:c>
    </x:row>
    <x:row r="31">
      <x:c r="B31" t="str">
        <x:v>RHP-B1-B3-OPEN</x:v>
      </x:c>
      <x:c r="C31" t="str">
        <x:v>RHP-B1</x:v>
      </x:c>
      <x:c r="D31" t="n">
        <x:v>3</x:v>
      </x:c>
      <x:c r="E31" t="str">
        <x:v>OPEN</x:v>
      </x:c>
      <x:c r="F31" t="n">
        <x:v>1</x:v>
      </x:c>
      <x:c r="G31" t="str">
        <x:v>replaceable calibrated orifice</x:v>
      </x:c>
      <x:c r="H31" t="n">
        <x:v>0</x:v>
      </x:c>
      <x:c r="J31" t="str">
        <x:v>RHP-B2-CH01</x:v>
      </x:c>
      <x:c r="K31" t="str">
        <x:v>RHP-B2</x:v>
      </x:c>
      <x:c r="L31" t="n">
        <x:v>1</x:v>
      </x:c>
      <x:c r="M31" t="str">
        <x:v>cold start</x:v>
      </x:c>
      <x:c r="N31" t="n">
        <x:v>0</x:v>
      </x:c>
    </x:row>
    <x:row r="32">
      <x:c r="B32" t="str">
        <x:v>RHP-B1-B3-HALF</x:v>
      </x:c>
      <x:c r="C32" t="str">
        <x:v>RHP-B1</x:v>
      </x:c>
      <x:c r="D32" t="n">
        <x:v>3</x:v>
      </x:c>
      <x:c r="E32" t="str">
        <x:v>HALF</x:v>
      </x:c>
      <x:c r="F32" t="n">
        <x:v>0.5</x:v>
      </x:c>
      <x:c r="G32" t="str">
        <x:v>replaceable calibrated orifice</x:v>
      </x:c>
      <x:c r="H32" t="n">
        <x:v>0</x:v>
      </x:c>
      <x:c r="J32" t="str">
        <x:v>RHP-B2-CH02</x:v>
      </x:c>
      <x:c r="K32" t="str">
        <x:v>RHP-B2</x:v>
      </x:c>
      <x:c r="L32" t="n">
        <x:v>2</x:v>
      </x:c>
      <x:c r="M32" t="str">
        <x:v>hot soak</x:v>
      </x:c>
      <x:c r="N32" t="n">
        <x:v>0</x:v>
      </x:c>
    </x:row>
    <x:row r="33">
      <x:c r="B33" t="str">
        <x:v>RHP-B1-B3-TWO-THIRDS</x:v>
      </x:c>
      <x:c r="C33" t="str">
        <x:v>RHP-B1</x:v>
      </x:c>
      <x:c r="D33" t="n">
        <x:v>3</x:v>
      </x:c>
      <x:c r="E33" t="str">
        <x:v>TWO-THIRDS</x:v>
      </x:c>
      <x:c r="F33" t="n">
        <x:v>0.667</x:v>
      </x:c>
      <x:c r="G33" t="str">
        <x:v>replaceable calibrated orifice</x:v>
      </x:c>
      <x:c r="H33" t="n">
        <x:v>0</x:v>
      </x:c>
      <x:c r="J33" t="str">
        <x:v>RHP-B2-CH03</x:v>
      </x:c>
      <x:c r="K33" t="str">
        <x:v>RHP-B2</x:v>
      </x:c>
      <x:c r="L33" t="n">
        <x:v>3</x:v>
      </x:c>
      <x:c r="M33" t="str">
        <x:v>maximum heat</x:v>
      </x:c>
      <x:c r="N33" t="n">
        <x:v>0</x:v>
      </x:c>
    </x:row>
    <x:row r="34">
      <x:c r="B34" t="str">
        <x:v>RHP-B2-B1-OPEN</x:v>
      </x:c>
      <x:c r="C34" t="str">
        <x:v>RHP-B2</x:v>
      </x:c>
      <x:c r="D34" t="n">
        <x:v>1</x:v>
      </x:c>
      <x:c r="E34" t="str">
        <x:v>OPEN</x:v>
      </x:c>
      <x:c r="F34" t="n">
        <x:v>1</x:v>
      </x:c>
      <x:c r="G34" t="str">
        <x:v>replaceable calibrated orifice</x:v>
      </x:c>
      <x:c r="H34" t="n">
        <x:v>0</x:v>
      </x:c>
      <x:c r="J34" t="str">
        <x:v>RHP-B2-CH04</x:v>
      </x:c>
      <x:c r="K34" t="str">
        <x:v>RHP-B2</x:v>
      </x:c>
      <x:c r="L34" t="n">
        <x:v>4</x:v>
      </x:c>
      <x:c r="M34" t="str">
        <x:v>half area</x:v>
      </x:c>
      <x:c r="N34" t="n">
        <x:v>0</x:v>
      </x:c>
    </x:row>
    <x:row r="35">
      <x:c r="B35" t="str">
        <x:v>RHP-B2-B1-HALF</x:v>
      </x:c>
      <x:c r="C35" t="str">
        <x:v>RHP-B2</x:v>
      </x:c>
      <x:c r="D35" t="n">
        <x:v>1</x:v>
      </x:c>
      <x:c r="E35" t="str">
        <x:v>HALF</x:v>
      </x:c>
      <x:c r="F35" t="n">
        <x:v>0.5</x:v>
      </x:c>
      <x:c r="G35" t="str">
        <x:v>replaceable calibrated orifice</x:v>
      </x:c>
      <x:c r="H35" t="n">
        <x:v>0</x:v>
      </x:c>
      <x:c r="J35" t="str">
        <x:v>RHP-B2-CH05</x:v>
      </x:c>
      <x:c r="K35" t="str">
        <x:v>RHP-B2</x:v>
      </x:c>
      <x:c r="L35" t="n">
        <x:v>5</x:v>
      </x:c>
      <x:c r="M35" t="str">
        <x:v>two-thirds area</x:v>
      </x:c>
      <x:c r="N35" t="n">
        <x:v>0</x:v>
      </x:c>
    </x:row>
    <x:row r="36">
      <x:c r="B36" t="str">
        <x:v>RHP-B2-B1-TWO-THIRDS</x:v>
      </x:c>
      <x:c r="C36" t="str">
        <x:v>RHP-B2</x:v>
      </x:c>
      <x:c r="D36" t="n">
        <x:v>1</x:v>
      </x:c>
      <x:c r="E36" t="str">
        <x:v>TWO-THIRDS</x:v>
      </x:c>
      <x:c r="F36" t="n">
        <x:v>0.667</x:v>
      </x:c>
      <x:c r="G36" t="str">
        <x:v>replaceable calibrated orifice</x:v>
      </x:c>
      <x:c r="H36" t="n">
        <x:v>0</x:v>
      </x:c>
      <x:c r="J36" t="str">
        <x:v>RHP-B2-CH06</x:v>
      </x:c>
      <x:c r="K36" t="str">
        <x:v>RHP-B2</x:v>
      </x:c>
      <x:c r="L36" t="n">
        <x:v>6</x:v>
      </x:c>
      <x:c r="M36" t="str">
        <x:v>receiver backpressure</x:v>
      </x:c>
      <x:c r="N36" t="n">
        <x:v>0</x:v>
      </x:c>
    </x:row>
    <x:row r="37">
      <x:c r="B37" t="str">
        <x:v>RHP-B2-B2-OPEN</x:v>
      </x:c>
      <x:c r="C37" t="str">
        <x:v>RHP-B2</x:v>
      </x:c>
      <x:c r="D37" t="n">
        <x:v>2</x:v>
      </x:c>
      <x:c r="E37" t="str">
        <x:v>OPEN</x:v>
      </x:c>
      <x:c r="F37" t="n">
        <x:v>1</x:v>
      </x:c>
      <x:c r="G37" t="str">
        <x:v>replaceable calibrated orifice</x:v>
      </x:c>
      <x:c r="H37" t="n">
        <x:v>0</x:v>
      </x:c>
      <x:c r="J37" t="str">
        <x:v>RHP-B2-CH07</x:v>
      </x:c>
      <x:c r="K37" t="str">
        <x:v>RHP-B2</x:v>
      </x:c>
      <x:c r="L37" t="n">
        <x:v>7</x:v>
      </x:c>
      <x:c r="M37" t="str">
        <x:v>power loss</x:v>
      </x:c>
      <x:c r="N37" t="n">
        <x:v>0</x:v>
      </x:c>
    </x:row>
    <x:row r="38">
      <x:c r="B38" t="str">
        <x:v>RHP-B2-B2-HALF</x:v>
      </x:c>
      <x:c r="C38" t="str">
        <x:v>RHP-B2</x:v>
      </x:c>
      <x:c r="D38" t="n">
        <x:v>2</x:v>
      </x:c>
      <x:c r="E38" t="str">
        <x:v>HALF</x:v>
      </x:c>
      <x:c r="F38" t="n">
        <x:v>0.5</x:v>
      </x:c>
      <x:c r="G38" t="str">
        <x:v>replaceable calibrated orifice</x:v>
      </x:c>
      <x:c r="H38" t="n">
        <x:v>0</x:v>
      </x:c>
      <x:c r="J38" t="str">
        <x:v>RHP-B2-CH08</x:v>
      </x:c>
      <x:c r="K38" t="str">
        <x:v>RHP-B2</x:v>
      </x:c>
      <x:c r="L38" t="n">
        <x:v>8</x:v>
      </x:c>
      <x:c r="M38" t="str">
        <x:v>compound/site loss</x:v>
      </x:c>
      <x:c r="N38" t="n">
        <x:v>0</x:v>
      </x:c>
    </x:row>
    <x:row r="39">
      <x:c r="B39" t="str">
        <x:v>RHP-B2-B2-TWO-THIRDS</x:v>
      </x:c>
      <x:c r="C39" t="str">
        <x:v>RHP-B2</x:v>
      </x:c>
      <x:c r="D39" t="n">
        <x:v>2</x:v>
      </x:c>
      <x:c r="E39" t="str">
        <x:v>TWO-THIRDS</x:v>
      </x:c>
      <x:c r="F39" t="n">
        <x:v>0.667</x:v>
      </x:c>
      <x:c r="G39" t="str">
        <x:v>replaceable calibrated orifice</x:v>
      </x:c>
      <x:c r="H39" t="n">
        <x:v>0</x:v>
      </x:c>
      <x:c r="J39" t="str">
        <x:v>RHP-C1-CH01</x:v>
      </x:c>
      <x:c r="K39" t="str">
        <x:v>RHP-C1</x:v>
      </x:c>
      <x:c r="L39" t="n">
        <x:v>1</x:v>
      </x:c>
      <x:c r="M39" t="str">
        <x:v>cold start</x:v>
      </x:c>
      <x:c r="N39" t="n">
        <x:v>0</x:v>
      </x:c>
    </x:row>
    <x:row r="40">
      <x:c r="B40" t="str">
        <x:v>RHP-B2-B3-OPEN</x:v>
      </x:c>
      <x:c r="C40" t="str">
        <x:v>RHP-B2</x:v>
      </x:c>
      <x:c r="D40" t="n">
        <x:v>3</x:v>
      </x:c>
      <x:c r="E40" t="str">
        <x:v>OPEN</x:v>
      </x:c>
      <x:c r="F40" t="n">
        <x:v>1</x:v>
      </x:c>
      <x:c r="G40" t="str">
        <x:v>replaceable calibrated orifice</x:v>
      </x:c>
      <x:c r="H40" t="n">
        <x:v>0</x:v>
      </x:c>
      <x:c r="J40" t="str">
        <x:v>RHP-C1-CH02</x:v>
      </x:c>
      <x:c r="K40" t="str">
        <x:v>RHP-C1</x:v>
      </x:c>
      <x:c r="L40" t="n">
        <x:v>2</x:v>
      </x:c>
      <x:c r="M40" t="str">
        <x:v>hot soak</x:v>
      </x:c>
      <x:c r="N40" t="n">
        <x:v>0</x:v>
      </x:c>
    </x:row>
    <x:row r="41">
      <x:c r="B41" t="str">
        <x:v>RHP-B2-B3-HALF</x:v>
      </x:c>
      <x:c r="C41" t="str">
        <x:v>RHP-B2</x:v>
      </x:c>
      <x:c r="D41" t="n">
        <x:v>3</x:v>
      </x:c>
      <x:c r="E41" t="str">
        <x:v>HALF</x:v>
      </x:c>
      <x:c r="F41" t="n">
        <x:v>0.5</x:v>
      </x:c>
      <x:c r="G41" t="str">
        <x:v>replaceable calibrated orifice</x:v>
      </x:c>
      <x:c r="H41" t="n">
        <x:v>0</x:v>
      </x:c>
      <x:c r="J41" t="str">
        <x:v>RHP-C1-CH03</x:v>
      </x:c>
      <x:c r="K41" t="str">
        <x:v>RHP-C1</x:v>
      </x:c>
      <x:c r="L41" t="n">
        <x:v>3</x:v>
      </x:c>
      <x:c r="M41" t="str">
        <x:v>maximum heat</x:v>
      </x:c>
      <x:c r="N41" t="n">
        <x:v>0</x:v>
      </x:c>
    </x:row>
    <x:row r="42">
      <x:c r="B42" t="str">
        <x:v>RHP-B2-B3-TWO-THIRDS</x:v>
      </x:c>
      <x:c r="C42" t="str">
        <x:v>RHP-B2</x:v>
      </x:c>
      <x:c r="D42" t="n">
        <x:v>3</x:v>
      </x:c>
      <x:c r="E42" t="str">
        <x:v>TWO-THIRDS</x:v>
      </x:c>
      <x:c r="F42" t="n">
        <x:v>0.667</x:v>
      </x:c>
      <x:c r="G42" t="str">
        <x:v>replaceable calibrated orifice</x:v>
      </x:c>
      <x:c r="H42" t="n">
        <x:v>0</x:v>
      </x:c>
      <x:c r="J42" t="str">
        <x:v>RHP-C1-CH04</x:v>
      </x:c>
      <x:c r="K42" t="str">
        <x:v>RHP-C1</x:v>
      </x:c>
      <x:c r="L42" t="n">
        <x:v>4</x:v>
      </x:c>
      <x:c r="M42" t="str">
        <x:v>half area</x:v>
      </x:c>
      <x:c r="N42" t="n">
        <x:v>0</x:v>
      </x:c>
    </x:row>
    <x:row r="43">
      <x:c r="B43" t="str">
        <x:v>RHP-C1-B1-OPEN</x:v>
      </x:c>
      <x:c r="C43" t="str">
        <x:v>RHP-C1</x:v>
      </x:c>
      <x:c r="D43" t="n">
        <x:v>1</x:v>
      </x:c>
      <x:c r="E43" t="str">
        <x:v>OPEN</x:v>
      </x:c>
      <x:c r="F43" t="n">
        <x:v>1</x:v>
      </x:c>
      <x:c r="G43" t="str">
        <x:v>replaceable calibrated orifice</x:v>
      </x:c>
      <x:c r="H43" t="n">
        <x:v>0</x:v>
      </x:c>
      <x:c r="J43" t="str">
        <x:v>RHP-C1-CH05</x:v>
      </x:c>
      <x:c r="K43" t="str">
        <x:v>RHP-C1</x:v>
      </x:c>
      <x:c r="L43" t="n">
        <x:v>5</x:v>
      </x:c>
      <x:c r="M43" t="str">
        <x:v>two-thirds area</x:v>
      </x:c>
      <x:c r="N43" t="n">
        <x:v>0</x:v>
      </x:c>
    </x:row>
    <x:row r="44">
      <x:c r="B44" t="str">
        <x:v>RHP-C1-B1-HALF</x:v>
      </x:c>
      <x:c r="C44" t="str">
        <x:v>RHP-C1</x:v>
      </x:c>
      <x:c r="D44" t="n">
        <x:v>1</x:v>
      </x:c>
      <x:c r="E44" t="str">
        <x:v>HALF</x:v>
      </x:c>
      <x:c r="F44" t="n">
        <x:v>0.5</x:v>
      </x:c>
      <x:c r="G44" t="str">
        <x:v>replaceable calibrated orifice</x:v>
      </x:c>
      <x:c r="H44" t="n">
        <x:v>0</x:v>
      </x:c>
      <x:c r="J44" t="str">
        <x:v>RHP-C1-CH06</x:v>
      </x:c>
      <x:c r="K44" t="str">
        <x:v>RHP-C1</x:v>
      </x:c>
      <x:c r="L44" t="n">
        <x:v>6</x:v>
      </x:c>
      <x:c r="M44" t="str">
        <x:v>receiver backpressure</x:v>
      </x:c>
      <x:c r="N44" t="n">
        <x:v>0</x:v>
      </x:c>
    </x:row>
    <x:row r="45">
      <x:c r="B45" t="str">
        <x:v>RHP-C1-B1-TWO-THIRDS</x:v>
      </x:c>
      <x:c r="C45" t="str">
        <x:v>RHP-C1</x:v>
      </x:c>
      <x:c r="D45" t="n">
        <x:v>1</x:v>
      </x:c>
      <x:c r="E45" t="str">
        <x:v>TWO-THIRDS</x:v>
      </x:c>
      <x:c r="F45" t="n">
        <x:v>0.667</x:v>
      </x:c>
      <x:c r="G45" t="str">
        <x:v>replaceable calibrated orifice</x:v>
      </x:c>
      <x:c r="H45" t="n">
        <x:v>0</x:v>
      </x:c>
      <x:c r="J45" t="str">
        <x:v>RHP-C1-CH07</x:v>
      </x:c>
      <x:c r="K45" t="str">
        <x:v>RHP-C1</x:v>
      </x:c>
      <x:c r="L45" t="n">
        <x:v>7</x:v>
      </x:c>
      <x:c r="M45" t="str">
        <x:v>power loss</x:v>
      </x:c>
      <x:c r="N45" t="n">
        <x:v>0</x:v>
      </x:c>
    </x:row>
    <x:row r="46">
      <x:c r="B46" t="str">
        <x:v>RHP-C1-B2-OPEN</x:v>
      </x:c>
      <x:c r="C46" t="str">
        <x:v>RHP-C1</x:v>
      </x:c>
      <x:c r="D46" t="n">
        <x:v>2</x:v>
      </x:c>
      <x:c r="E46" t="str">
        <x:v>OPEN</x:v>
      </x:c>
      <x:c r="F46" t="n">
        <x:v>1</x:v>
      </x:c>
      <x:c r="G46" t="str">
        <x:v>replaceable calibrated orifice</x:v>
      </x:c>
      <x:c r="H46" t="n">
        <x:v>0</x:v>
      </x:c>
      <x:c r="J46" t="str">
        <x:v>RHP-C1-CH08</x:v>
      </x:c>
      <x:c r="K46" t="str">
        <x:v>RHP-C1</x:v>
      </x:c>
      <x:c r="L46" t="n">
        <x:v>8</x:v>
      </x:c>
      <x:c r="M46" t="str">
        <x:v>compound/site loss</x:v>
      </x:c>
      <x:c r="N46" t="n">
        <x:v>0</x:v>
      </x:c>
    </x:row>
    <x:row r="47">
      <x:c r="B47" t="str">
        <x:v>RHP-C1-B2-HALF</x:v>
      </x:c>
      <x:c r="C47" t="str">
        <x:v>RHP-C1</x:v>
      </x:c>
      <x:c r="D47" t="n">
        <x:v>2</x:v>
      </x:c>
      <x:c r="E47" t="str">
        <x:v>HALF</x:v>
      </x:c>
      <x:c r="F47" t="n">
        <x:v>0.5</x:v>
      </x:c>
      <x:c r="G47" t="str">
        <x:v>replaceable calibrated orifice</x:v>
      </x:c>
      <x:c r="H47" t="n">
        <x:v>0</x:v>
      </x:c>
      <x:c r="J47" t="str">
        <x:v>RHP-C2-CH01</x:v>
      </x:c>
      <x:c r="K47" t="str">
        <x:v>RHP-C2</x:v>
      </x:c>
      <x:c r="L47" t="n">
        <x:v>1</x:v>
      </x:c>
      <x:c r="M47" t="str">
        <x:v>cold start</x:v>
      </x:c>
      <x:c r="N47" t="n">
        <x:v>0</x:v>
      </x:c>
    </x:row>
    <x:row r="48">
      <x:c r="B48" t="str">
        <x:v>RHP-C1-B2-TWO-THIRDS</x:v>
      </x:c>
      <x:c r="C48" t="str">
        <x:v>RHP-C1</x:v>
      </x:c>
      <x:c r="D48" t="n">
        <x:v>2</x:v>
      </x:c>
      <x:c r="E48" t="str">
        <x:v>TWO-THIRDS</x:v>
      </x:c>
      <x:c r="F48" t="n">
        <x:v>0.667</x:v>
      </x:c>
      <x:c r="G48" t="str">
        <x:v>replaceable calibrated orifice</x:v>
      </x:c>
      <x:c r="H48" t="n">
        <x:v>0</x:v>
      </x:c>
      <x:c r="J48" t="str">
        <x:v>RHP-C2-CH02</x:v>
      </x:c>
      <x:c r="K48" t="str">
        <x:v>RHP-C2</x:v>
      </x:c>
      <x:c r="L48" t="n">
        <x:v>2</x:v>
      </x:c>
      <x:c r="M48" t="str">
        <x:v>hot soak</x:v>
      </x:c>
      <x:c r="N48" t="n">
        <x:v>0</x:v>
      </x:c>
    </x:row>
    <x:row r="49">
      <x:c r="B49" t="str">
        <x:v>RHP-C1-B3-OPEN</x:v>
      </x:c>
      <x:c r="C49" t="str">
        <x:v>RHP-C1</x:v>
      </x:c>
      <x:c r="D49" t="n">
        <x:v>3</x:v>
      </x:c>
      <x:c r="E49" t="str">
        <x:v>OPEN</x:v>
      </x:c>
      <x:c r="F49" t="n">
        <x:v>1</x:v>
      </x:c>
      <x:c r="G49" t="str">
        <x:v>replaceable calibrated orifice</x:v>
      </x:c>
      <x:c r="H49" t="n">
        <x:v>0</x:v>
      </x:c>
      <x:c r="J49" t="str">
        <x:v>RHP-C2-CH03</x:v>
      </x:c>
      <x:c r="K49" t="str">
        <x:v>RHP-C2</x:v>
      </x:c>
      <x:c r="L49" t="n">
        <x:v>3</x:v>
      </x:c>
      <x:c r="M49" t="str">
        <x:v>maximum heat</x:v>
      </x:c>
      <x:c r="N49" t="n">
        <x:v>0</x:v>
      </x:c>
    </x:row>
    <x:row r="50">
      <x:c r="B50" t="str">
        <x:v>RHP-C1-B3-HALF</x:v>
      </x:c>
      <x:c r="C50" t="str">
        <x:v>RHP-C1</x:v>
      </x:c>
      <x:c r="D50" t="n">
        <x:v>3</x:v>
      </x:c>
      <x:c r="E50" t="str">
        <x:v>HALF</x:v>
      </x:c>
      <x:c r="F50" t="n">
        <x:v>0.5</x:v>
      </x:c>
      <x:c r="G50" t="str">
        <x:v>replaceable calibrated orifice</x:v>
      </x:c>
      <x:c r="H50" t="n">
        <x:v>0</x:v>
      </x:c>
      <x:c r="J50" t="str">
        <x:v>RHP-C2-CH04</x:v>
      </x:c>
      <x:c r="K50" t="str">
        <x:v>RHP-C2</x:v>
      </x:c>
      <x:c r="L50" t="n">
        <x:v>4</x:v>
      </x:c>
      <x:c r="M50" t="str">
        <x:v>half area</x:v>
      </x:c>
      <x:c r="N50" t="n">
        <x:v>0</x:v>
      </x:c>
    </x:row>
    <x:row r="51">
      <x:c r="B51" t="str">
        <x:v>RHP-C1-B3-TWO-THIRDS</x:v>
      </x:c>
      <x:c r="C51" t="str">
        <x:v>RHP-C1</x:v>
      </x:c>
      <x:c r="D51" t="n">
        <x:v>3</x:v>
      </x:c>
      <x:c r="E51" t="str">
        <x:v>TWO-THIRDS</x:v>
      </x:c>
      <x:c r="F51" t="n">
        <x:v>0.667</x:v>
      </x:c>
      <x:c r="G51" t="str">
        <x:v>replaceable calibrated orifice</x:v>
      </x:c>
      <x:c r="H51" t="n">
        <x:v>0</x:v>
      </x:c>
      <x:c r="J51" t="str">
        <x:v>RHP-C2-CH05</x:v>
      </x:c>
      <x:c r="K51" t="str">
        <x:v>RHP-C2</x:v>
      </x:c>
      <x:c r="L51" t="n">
        <x:v>5</x:v>
      </x:c>
      <x:c r="M51" t="str">
        <x:v>two-thirds area</x:v>
      </x:c>
      <x:c r="N51" t="n">
        <x:v>0</x:v>
      </x:c>
    </x:row>
    <x:row r="52">
      <x:c r="B52" t="str">
        <x:v>RHP-C2-B1-OPEN</x:v>
      </x:c>
      <x:c r="C52" t="str">
        <x:v>RHP-C2</x:v>
      </x:c>
      <x:c r="D52" t="n">
        <x:v>1</x:v>
      </x:c>
      <x:c r="E52" t="str">
        <x:v>OPEN</x:v>
      </x:c>
      <x:c r="F52" t="n">
        <x:v>1</x:v>
      </x:c>
      <x:c r="G52" t="str">
        <x:v>replaceable calibrated orifice</x:v>
      </x:c>
      <x:c r="H52" t="n">
        <x:v>0</x:v>
      </x:c>
      <x:c r="J52" t="str">
        <x:v>RHP-C2-CH06</x:v>
      </x:c>
      <x:c r="K52" t="str">
        <x:v>RHP-C2</x:v>
      </x:c>
      <x:c r="L52" t="n">
        <x:v>6</x:v>
      </x:c>
      <x:c r="M52" t="str">
        <x:v>receiver backpressure</x:v>
      </x:c>
      <x:c r="N52" t="n">
        <x:v>0</x:v>
      </x:c>
    </x:row>
    <x:row r="53">
      <x:c r="B53" t="str">
        <x:v>RHP-C2-B1-HALF</x:v>
      </x:c>
      <x:c r="C53" t="str">
        <x:v>RHP-C2</x:v>
      </x:c>
      <x:c r="D53" t="n">
        <x:v>1</x:v>
      </x:c>
      <x:c r="E53" t="str">
        <x:v>HALF</x:v>
      </x:c>
      <x:c r="F53" t="n">
        <x:v>0.5</x:v>
      </x:c>
      <x:c r="G53" t="str">
        <x:v>replaceable calibrated orifice</x:v>
      </x:c>
      <x:c r="H53" t="n">
        <x:v>0</x:v>
      </x:c>
      <x:c r="J53" t="str">
        <x:v>RHP-C2-CH07</x:v>
      </x:c>
      <x:c r="K53" t="str">
        <x:v>RHP-C2</x:v>
      </x:c>
      <x:c r="L53" t="n">
        <x:v>7</x:v>
      </x:c>
      <x:c r="M53" t="str">
        <x:v>power loss</x:v>
      </x:c>
      <x:c r="N53" t="n">
        <x:v>0</x:v>
      </x:c>
    </x:row>
    <x:row r="54">
      <x:c r="B54" t="str">
        <x:v>RHP-C2-B1-TWO-THIRDS</x:v>
      </x:c>
      <x:c r="C54" t="str">
        <x:v>RHP-C2</x:v>
      </x:c>
      <x:c r="D54" t="n">
        <x:v>1</x:v>
      </x:c>
      <x:c r="E54" t="str">
        <x:v>TWO-THIRDS</x:v>
      </x:c>
      <x:c r="F54" t="n">
        <x:v>0.667</x:v>
      </x:c>
      <x:c r="G54" t="str">
        <x:v>replaceable calibrated orifice</x:v>
      </x:c>
      <x:c r="H54" t="n">
        <x:v>0</x:v>
      </x:c>
      <x:c r="J54" t="str">
        <x:v>RHP-C2-CH08</x:v>
      </x:c>
      <x:c r="K54" t="str">
        <x:v>RHP-C2</x:v>
      </x:c>
      <x:c r="L54" t="n">
        <x:v>8</x:v>
      </x:c>
      <x:c r="M54" t="str">
        <x:v>compound/site loss</x:v>
      </x:c>
      <x:c r="N54" t="n">
        <x:v>0</x:v>
      </x:c>
    </x:row>
    <x:row r="55">
      <x:c r="B55" t="str">
        <x:v>RHP-C2-B2-OPEN</x:v>
      </x:c>
      <x:c r="C55" t="str">
        <x:v>RHP-C2</x:v>
      </x:c>
      <x:c r="D55" t="n">
        <x:v>2</x:v>
      </x:c>
      <x:c r="E55" t="str">
        <x:v>OPEN</x:v>
      </x:c>
      <x:c r="F55" t="n">
        <x:v>1</x:v>
      </x:c>
      <x:c r="G55" t="str">
        <x:v>replaceable calibrated orifice</x:v>
      </x:c>
      <x:c r="H55" t="n">
        <x:v>0</x:v>
      </x:c>
    </x:row>
    <x:row r="56">
      <x:c r="B56" t="str">
        <x:v>RHP-C2-B2-HALF</x:v>
      </x:c>
      <x:c r="C56" t="str">
        <x:v>RHP-C2</x:v>
      </x:c>
      <x:c r="D56" t="n">
        <x:v>2</x:v>
      </x:c>
      <x:c r="E56" t="str">
        <x:v>HALF</x:v>
      </x:c>
      <x:c r="F56" t="n">
        <x:v>0.5</x:v>
      </x:c>
      <x:c r="G56" t="str">
        <x:v>replaceable calibrated orifice</x:v>
      </x:c>
      <x:c r="H56" t="n">
        <x:v>0</x:v>
      </x:c>
    </x:row>
    <x:row r="57">
      <x:c r="B57" t="str">
        <x:v>RHP-C2-B2-TWO-THIRDS</x:v>
      </x:c>
      <x:c r="C57" t="str">
        <x:v>RHP-C2</x:v>
      </x:c>
      <x:c r="D57" t="n">
        <x:v>2</x:v>
      </x:c>
      <x:c r="E57" t="str">
        <x:v>TWO-THIRDS</x:v>
      </x:c>
      <x:c r="F57" t="n">
        <x:v>0.667</x:v>
      </x:c>
      <x:c r="G57" t="str">
        <x:v>replaceable calibrated orifice</x:v>
      </x:c>
      <x:c r="H57" t="n">
        <x:v>0</x:v>
      </x:c>
    </x:row>
    <x:row r="58">
      <x:c r="B58" t="str">
        <x:v>RHP-C2-B3-OPEN</x:v>
      </x:c>
      <x:c r="C58" t="str">
        <x:v>RHP-C2</x:v>
      </x:c>
      <x:c r="D58" t="n">
        <x:v>3</x:v>
      </x:c>
      <x:c r="E58" t="str">
        <x:v>OPEN</x:v>
      </x:c>
      <x:c r="F58" t="n">
        <x:v>1</x:v>
      </x:c>
      <x:c r="G58" t="str">
        <x:v>replaceable calibrated orifice</x:v>
      </x:c>
      <x:c r="H58" t="n">
        <x:v>0</x:v>
      </x:c>
    </x:row>
    <x:row r="59">
      <x:c r="B59" t="str">
        <x:v>RHP-C2-B3-HALF</x:v>
      </x:c>
      <x:c r="C59" t="str">
        <x:v>RHP-C2</x:v>
      </x:c>
      <x:c r="D59" t="n">
        <x:v>3</x:v>
      </x:c>
      <x:c r="E59" t="str">
        <x:v>HALF</x:v>
      </x:c>
      <x:c r="F59" t="n">
        <x:v>0.5</x:v>
      </x:c>
      <x:c r="G59" t="str">
        <x:v>replaceable calibrated orifice</x:v>
      </x:c>
      <x:c r="H59" t="n">
        <x:v>0</x:v>
      </x:c>
    </x:row>
    <x:row r="60">
      <x:c r="B60" t="str">
        <x:v>RHP-C2-B3-TWO-THIRDS</x:v>
      </x:c>
      <x:c r="C60" t="str">
        <x:v>RHP-C2</x:v>
      </x:c>
      <x:c r="D60" t="n">
        <x:v>3</x:v>
      </x:c>
      <x:c r="E60" t="str">
        <x:v>TWO-THIRDS</x:v>
      </x:c>
      <x:c r="F60" t="n">
        <x:v>0.667</x:v>
      </x:c>
      <x:c r="G60" t="str">
        <x:v>replaceable calibrated orifice</x:v>
      </x:c>
      <x:c r="H60" t="n">
        <x:v>0</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2" hidden="0" customWidth="1"/>
    <x:col min="3" max="3" width="29" hidden="0" customWidth="1"/>
    <x:col min="4" max="4" width="15" hidden="0" customWidth="1"/>
    <x:col min="5" max="5" width="15" hidden="0" customWidth="1"/>
    <x:col min="6" max="6" width="21" hidden="0" customWidth="1"/>
    <x:col min="7" max="7" width="16" hidden="0" customWidth="1"/>
    <x:col min="8" max="8" width="12" hidden="0" customWidth="1"/>
    <x:col min="9" max="9" width="16" hidden="0" customWidth="1"/>
    <x:col min="10" max="10" width="13" hidden="0" customWidth="1"/>
  </x:cols>
  <x:sheetData>
    <x:row r="2">
      <x:c r="B2" s="1" t="str">
        <x:v>Structural load screens</x:v>
      </x:c>
    </x:row>
    <x:row r="3">
      <x:c r="B3" s="2" t="str">
        <x:v>Values establish interfaces and test duties; sealed calculations and physical load acceptance remain open.</x:v>
      </x:c>
    </x:row>
    <x:row r="5">
      <x:c r="B5" s="3"/>
      <x:c r="C5" s="3"/>
      <x:c r="D5" s="3"/>
      <x:c r="E5" s="3"/>
      <x:c r="F5" s="3"/>
      <x:c r="G5" s="3"/>
      <x:c r="H5" s="3"/>
      <x:c r="I5" s="3"/>
      <x:c r="J5" s="3"/>
      <x:c r="K5" s="3"/>
      <x:c r="L5" s="3"/>
      <x:c r="M5" s="3"/>
      <x:c r="N5" s="3"/>
      <x:c r="O5" s="3"/>
      <x:c r="P5" s="3"/>
      <x:c r="Q5" s="3"/>
      <x:c r="R5" s="3"/>
    </x:row>
    <x:row r="6" ht="24" customHeight="1">
      <x:c r="B6" s="7" t="str">
        <x:v>Load ID</x:v>
      </x:c>
      <x:c r="C6" s="7" t="str">
        <x:v>Object</x:v>
      </x:c>
      <x:c r="D6" s="7" t="str">
        <x:v>Basis A</x:v>
      </x:c>
      <x:c r="E6" s="7" t="str">
        <x:v>Basis B</x:v>
      </x:c>
      <x:c r="F6" s="7" t="str">
        <x:v>Case</x:v>
      </x:c>
      <x:c r="G6" s="7" t="str">
        <x:v>Demand</x:v>
      </x:c>
      <x:c r="H6" s="7" t="str">
        <x:v>Unit</x:v>
      </x:c>
      <x:c r="I6" s="7" t="str">
        <x:v>Capacity</x:v>
      </x:c>
      <x:c r="J6" s="7" t="str">
        <x:v>State</x:v>
      </x:c>
    </x:row>
    <x:row r="7">
      <x:c r="B7" t="str">
        <x:v>SL-01</x:v>
      </x:c>
      <x:c r="C7" t="str">
        <x:v>source operating assembly</x:v>
      </x:c>
      <x:c r="D7" t="n">
        <x:v>7829</x:v>
      </x:c>
      <x:c r="E7" t="n">
        <x:v>2</x:v>
      </x:c>
      <x:c r="F7" t="str">
        <x:v>vertical inertia</x:v>
      </x:c>
      <x:c r="G7" t="n">
        <x:v>153.6</x:v>
      </x:c>
      <x:c r="H7" t="str">
        <x:v>kN</x:v>
      </x:c>
      <x:c r="I7" t="n">
        <x:v>0.8</x:v>
      </x:c>
      <x:c r="J7" t="str">
        <x:v>OPEN</x:v>
      </x:c>
    </x:row>
    <x:row r="8">
      <x:c r="B8" t="str">
        <x:v>SL-02</x:v>
      </x:c>
      <x:c r="C8" t="str">
        <x:v>maximum receiver system</x:v>
      </x:c>
      <x:c r="D8" t="n">
        <x:v>51500</x:v>
      </x:c>
      <x:c r="E8" t="n">
        <x:v>2</x:v>
      </x:c>
      <x:c r="F8" t="str">
        <x:v>vertical inertia</x:v>
      </x:c>
      <x:c r="G8" t="n">
        <x:v>1010</x:v>
      </x:c>
      <x:c r="H8" t="str">
        <x:v>kN</x:v>
      </x:c>
      <x:c r="I8" t="n">
        <x:v>1.2</x:v>
      </x:c>
      <x:c r="J8" t="str">
        <x:v>OPEN</x:v>
      </x:c>
    </x:row>
    <x:row r="9">
      <x:c r="B9" t="str">
        <x:v>SL-03</x:v>
      </x:c>
      <x:c r="C9" t="str">
        <x:v>largest route area</x:v>
      </x:c>
      <x:c r="D9" t="n">
        <x:v>0.3181</x:v>
      </x:c>
      <x:c r="E9" t="n">
        <x:v>3</x:v>
      </x:c>
      <x:c r="F9" t="str">
        <x:v>pressure thrust</x:v>
      </x:c>
      <x:c r="G9" t="n">
        <x:v>954.3</x:v>
      </x:c>
      <x:c r="H9" t="str">
        <x:v>kN</x:v>
      </x:c>
      <x:c r="I9" t="n">
        <x:v>1200</x:v>
      </x:c>
      <x:c r="J9" t="str">
        <x:v>OPEN</x:v>
      </x:c>
    </x:row>
    <x:row r="10">
      <x:c r="B10" t="str">
        <x:v>SL-04</x:v>
      </x:c>
      <x:c r="C10" t="str">
        <x:v>holder projected area</x:v>
      </x:c>
      <x:c r="D10" t="n">
        <x:v>400</x:v>
      </x:c>
      <x:c r="E10" t="n">
        <x:v>1.5</x:v>
      </x:c>
      <x:c r="F10" t="str">
        <x:v>wind screen</x:v>
      </x:c>
      <x:c r="G10" t="n">
        <x:v>600</x:v>
      </x:c>
      <x:c r="H10" t="str">
        <x:v>kN</x:v>
      </x:c>
      <x:c r="I10" t="n">
        <x:v>900</x:v>
      </x:c>
      <x:c r="J10" t="str">
        <x:v>OPEN</x:v>
      </x:c>
    </x:row>
    <x:row r="11">
      <x:c r="B11" t="str">
        <x:v>SL-05</x:v>
      </x:c>
      <x:c r="C11" t="str">
        <x:v>receiver overturning</x:v>
      </x:c>
      <x:c r="D11" t="n">
        <x:v>1</x:v>
      </x:c>
      <x:c r="E11" t="n">
        <x:v>1.5</x:v>
      </x:c>
      <x:c r="F11" t="str">
        <x:v>pad moment</x:v>
      </x:c>
      <x:c r="G11" t="n">
        <x:v>1.5</x:v>
      </x:c>
      <x:c r="H11" t="str">
        <x:v>MN-m</x:v>
      </x:c>
      <x:c r="I11" t="n">
        <x:v>1.5</x:v>
      </x:c>
      <x:c r="J11" t="str">
        <x:v>OPEN</x:v>
      </x:c>
    </x:row>
  </x:sheetData>
  <x:conditionalFormatting sqref="J7:J11">
    <x:cfRule type="containsText" dxfId="4" priority="1" operator="containsText" text="FAIL"/>
    <x:cfRule type="containsText" dxfId="5" priority="2" operator="containsText" text="BLOCKED"/>
    <x:cfRule type="containsText" dxfId="6" priority="3" operator="containsText" text="OPEN"/>
    <x:cfRule type="containsText" dxfId="7" priority="4" operator="containsText" text="PASS"/>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20" hidden="0" customWidth="1"/>
    <x:col min="3" max="3" width="14" hidden="0" customWidth="1"/>
    <x:col min="4" max="4" width="10" hidden="0" customWidth="1"/>
    <x:col min="5" max="5" width="16" hidden="0" customWidth="1"/>
    <x:col min="6" max="6" width="15" hidden="0" customWidth="1"/>
    <x:col min="7" max="7" width="22" hidden="0" customWidth="1"/>
    <x:col min="8" max="8" width="14" hidden="0" customWidth="1"/>
  </x:cols>
  <x:sheetData>
    <x:row r="2">
      <x:c r="B2" s="1" t="str">
        <x:v>Measurement-plane register</x:v>
      </x:c>
    </x:row>
    <x:row r="3">
      <x:c r="B3" s="2" t="str">
        <x:v>Sixteen planes per rig create a repeatable spatial coordinate system across all candidates.</x:v>
      </x:c>
    </x:row>
    <x:row r="5">
      <x:c r="B5" s="3"/>
      <x:c r="C5" s="3"/>
      <x:c r="D5" s="3"/>
      <x:c r="E5" s="3"/>
      <x:c r="F5" s="3"/>
      <x:c r="G5" s="3"/>
      <x:c r="H5" s="3"/>
      <x:c r="I5" s="3"/>
      <x:c r="J5" s="3"/>
      <x:c r="K5" s="3"/>
      <x:c r="L5" s="3"/>
      <x:c r="M5" s="3"/>
      <x:c r="N5" s="3"/>
      <x:c r="O5" s="3"/>
      <x:c r="P5" s="3"/>
      <x:c r="Q5" s="3"/>
      <x:c r="R5" s="3"/>
    </x:row>
    <x:row r="6" ht="24" customHeight="1">
      <x:c r="B6" s="7" t="str">
        <x:v>Plane ID</x:v>
      </x:c>
      <x:c r="C6" s="7" t="str">
        <x:v>Rig</x:v>
      </x:c>
      <x:c r="D6" s="7" t="str">
        <x:v>Plane</x:v>
      </x:c>
      <x:c r="E6" s="7" t="str">
        <x:v>Region</x:v>
      </x:c>
      <x:c r="F6" s="7" t="str">
        <x:v>Station (m)</x:v>
      </x:c>
      <x:c r="G6" s="7" t="str">
        <x:v>Timing basis</x:v>
      </x:c>
      <x:c r="H6" s="7" t="str">
        <x:v>Calibrated</x:v>
      </x:c>
    </x:row>
    <x:row r="7">
      <x:c r="B7" t="str">
        <x:v>RHP-A1-MP01</x:v>
      </x:c>
      <x:c r="C7" t="str">
        <x:v>RHP-A1</x:v>
      </x:c>
      <x:c r="D7" t="n">
        <x:v>1</x:v>
      </x:c>
      <x:c r="E7" t="str">
        <x:v>source</x:v>
      </x:c>
      <x:c r="F7" t="n">
        <x:v>0</x:v>
      </x:c>
      <x:c r="G7" t="str">
        <x:v>time-synchronized</x:v>
      </x:c>
      <x:c r="H7" t="n">
        <x:v>0</x:v>
      </x:c>
    </x:row>
    <x:row r="8">
      <x:c r="B8" t="str">
        <x:v>RHP-A1-MP02</x:v>
      </x:c>
      <x:c r="C8" t="str">
        <x:v>RHP-A1</x:v>
      </x:c>
      <x:c r="D8" t="n">
        <x:v>2</x:v>
      </x:c>
      <x:c r="E8" t="str">
        <x:v>nozzle</x:v>
      </x:c>
      <x:c r="F8" t="n">
        <x:v>5.33</x:v>
      </x:c>
      <x:c r="G8" t="str">
        <x:v>time-synchronized</x:v>
      </x:c>
      <x:c r="H8" t="n">
        <x:v>0</x:v>
      </x:c>
    </x:row>
    <x:row r="9">
      <x:c r="B9" t="str">
        <x:v>RHP-A1-MP03</x:v>
      </x:c>
      <x:c r="C9" t="str">
        <x:v>RHP-A1</x:v>
      </x:c>
      <x:c r="D9" t="n">
        <x:v>3</x:v>
      </x:c>
      <x:c r="E9" t="str">
        <x:v>nozzle</x:v>
      </x:c>
      <x:c r="F9" t="n">
        <x:v>10.66</x:v>
      </x:c>
      <x:c r="G9" t="str">
        <x:v>time-synchronized</x:v>
      </x:c>
      <x:c r="H9" t="n">
        <x:v>0</x:v>
      </x:c>
    </x:row>
    <x:row r="10">
      <x:c r="B10" t="str">
        <x:v>RHP-A1-MP04</x:v>
      </x:c>
      <x:c r="C10" t="str">
        <x:v>RHP-A1</x:v>
      </x:c>
      <x:c r="D10" t="n">
        <x:v>4</x:v>
      </x:c>
      <x:c r="E10" t="str">
        <x:v>nozzle</x:v>
      </x:c>
      <x:c r="F10" t="n">
        <x:v>15.99</x:v>
      </x:c>
      <x:c r="G10" t="str">
        <x:v>time-synchronized</x:v>
      </x:c>
      <x:c r="H10" t="n">
        <x:v>0</x:v>
      </x:c>
    </x:row>
    <x:row r="11">
      <x:c r="B11" t="str">
        <x:v>RHP-A1-MP05</x:v>
      </x:c>
      <x:c r="C11" t="str">
        <x:v>RHP-A1</x:v>
      </x:c>
      <x:c r="D11" t="n">
        <x:v>5</x:v>
      </x:c>
      <x:c r="E11" t="str">
        <x:v>route</x:v>
      </x:c>
      <x:c r="F11" t="n">
        <x:v>21.32</x:v>
      </x:c>
      <x:c r="G11" t="str">
        <x:v>time-synchronized</x:v>
      </x:c>
      <x:c r="H11" t="n">
        <x:v>0</x:v>
      </x:c>
    </x:row>
    <x:row r="12">
      <x:c r="B12" t="str">
        <x:v>RHP-A1-MP06</x:v>
      </x:c>
      <x:c r="C12" t="str">
        <x:v>RHP-A1</x:v>
      </x:c>
      <x:c r="D12" t="n">
        <x:v>6</x:v>
      </x:c>
      <x:c r="E12" t="str">
        <x:v>route</x:v>
      </x:c>
      <x:c r="F12" t="n">
        <x:v>26.65</x:v>
      </x:c>
      <x:c r="G12" t="str">
        <x:v>time-synchronized</x:v>
      </x:c>
      <x:c r="H12" t="n">
        <x:v>0</x:v>
      </x:c>
    </x:row>
    <x:row r="13">
      <x:c r="B13" t="str">
        <x:v>RHP-A1-MP07</x:v>
      </x:c>
      <x:c r="C13" t="str">
        <x:v>RHP-A1</x:v>
      </x:c>
      <x:c r="D13" t="n">
        <x:v>7</x:v>
      </x:c>
      <x:c r="E13" t="str">
        <x:v>route</x:v>
      </x:c>
      <x:c r="F13" t="n">
        <x:v>31.98</x:v>
      </x:c>
      <x:c r="G13" t="str">
        <x:v>time-synchronized</x:v>
      </x:c>
      <x:c r="H13" t="n">
        <x:v>0</x:v>
      </x:c>
    </x:row>
    <x:row r="14">
      <x:c r="B14" t="str">
        <x:v>RHP-A1-MP08</x:v>
      </x:c>
      <x:c r="C14" t="str">
        <x:v>RHP-A1</x:v>
      </x:c>
      <x:c r="D14" t="n">
        <x:v>8</x:v>
      </x:c>
      <x:c r="E14" t="str">
        <x:v>route</x:v>
      </x:c>
      <x:c r="F14" t="n">
        <x:v>37.31</x:v>
      </x:c>
      <x:c r="G14" t="str">
        <x:v>time-synchronized</x:v>
      </x:c>
      <x:c r="H14" t="n">
        <x:v>0</x:v>
      </x:c>
    </x:row>
    <x:row r="15">
      <x:c r="B15" t="str">
        <x:v>RHP-A1-MP09</x:v>
      </x:c>
      <x:c r="C15" t="str">
        <x:v>RHP-A1</x:v>
      </x:c>
      <x:c r="D15" t="n">
        <x:v>9</x:v>
      </x:c>
      <x:c r="E15" t="str">
        <x:v>route</x:v>
      </x:c>
      <x:c r="F15" t="n">
        <x:v>42.64</x:v>
      </x:c>
      <x:c r="G15" t="str">
        <x:v>time-synchronized</x:v>
      </x:c>
      <x:c r="H15" t="n">
        <x:v>0</x:v>
      </x:c>
    </x:row>
    <x:row r="16">
      <x:c r="B16" t="str">
        <x:v>RHP-A1-MP10</x:v>
      </x:c>
      <x:c r="C16" t="str">
        <x:v>RHP-A1</x:v>
      </x:c>
      <x:c r="D16" t="n">
        <x:v>10</x:v>
      </x:c>
      <x:c r="E16" t="str">
        <x:v>route</x:v>
      </x:c>
      <x:c r="F16" t="n">
        <x:v>47.97</x:v>
      </x:c>
      <x:c r="G16" t="str">
        <x:v>time-synchronized</x:v>
      </x:c>
      <x:c r="H16" t="n">
        <x:v>0</x:v>
      </x:c>
    </x:row>
    <x:row r="17">
      <x:c r="B17" t="str">
        <x:v>RHP-A1-MP11</x:v>
      </x:c>
      <x:c r="C17" t="str">
        <x:v>RHP-A1</x:v>
      </x:c>
      <x:c r="D17" t="n">
        <x:v>11</x:v>
      </x:c>
      <x:c r="E17" t="str">
        <x:v>route</x:v>
      </x:c>
      <x:c r="F17" t="n">
        <x:v>53.3</x:v>
      </x:c>
      <x:c r="G17" t="str">
        <x:v>time-synchronized</x:v>
      </x:c>
      <x:c r="H17" t="n">
        <x:v>0</x:v>
      </x:c>
    </x:row>
    <x:row r="18">
      <x:c r="B18" t="str">
        <x:v>RHP-A1-MP12</x:v>
      </x:c>
      <x:c r="C18" t="str">
        <x:v>RHP-A1</x:v>
      </x:c>
      <x:c r="D18" t="n">
        <x:v>12</x:v>
      </x:c>
      <x:c r="E18" t="str">
        <x:v>route</x:v>
      </x:c>
      <x:c r="F18" t="n">
        <x:v>58.63</x:v>
      </x:c>
      <x:c r="G18" t="str">
        <x:v>time-synchronized</x:v>
      </x:c>
      <x:c r="H18" t="n">
        <x:v>0</x:v>
      </x:c>
    </x:row>
    <x:row r="19">
      <x:c r="B19" t="str">
        <x:v>RHP-A1-MP13</x:v>
      </x:c>
      <x:c r="C19" t="str">
        <x:v>RHP-A1</x:v>
      </x:c>
      <x:c r="D19" t="n">
        <x:v>13</x:v>
      </x:c>
      <x:c r="E19" t="str">
        <x:v>receiver</x:v>
      </x:c>
      <x:c r="F19" t="n">
        <x:v>63.96</x:v>
      </x:c>
      <x:c r="G19" t="str">
        <x:v>time-synchronized</x:v>
      </x:c>
      <x:c r="H19" t="n">
        <x:v>0</x:v>
      </x:c>
    </x:row>
    <x:row r="20">
      <x:c r="B20" t="str">
        <x:v>RHP-A1-MP14</x:v>
      </x:c>
      <x:c r="C20" t="str">
        <x:v>RHP-A1</x:v>
      </x:c>
      <x:c r="D20" t="n">
        <x:v>14</x:v>
      </x:c>
      <x:c r="E20" t="str">
        <x:v>receiver</x:v>
      </x:c>
      <x:c r="F20" t="n">
        <x:v>69.29</x:v>
      </x:c>
      <x:c r="G20" t="str">
        <x:v>time-synchronized</x:v>
      </x:c>
      <x:c r="H20" t="n">
        <x:v>0</x:v>
      </x:c>
    </x:row>
    <x:row r="21">
      <x:c r="B21" t="str">
        <x:v>RHP-A1-MP15</x:v>
      </x:c>
      <x:c r="C21" t="str">
        <x:v>RHP-A1</x:v>
      </x:c>
      <x:c r="D21" t="n">
        <x:v>15</x:v>
      </x:c>
      <x:c r="E21" t="str">
        <x:v>receiver</x:v>
      </x:c>
      <x:c r="F21" t="n">
        <x:v>74.62</x:v>
      </x:c>
      <x:c r="G21" t="str">
        <x:v>time-synchronized</x:v>
      </x:c>
      <x:c r="H21" t="n">
        <x:v>0</x:v>
      </x:c>
    </x:row>
    <x:row r="22">
      <x:c r="B22" t="str">
        <x:v>RHP-A1-MP16</x:v>
      </x:c>
      <x:c r="C22" t="str">
        <x:v>RHP-A1</x:v>
      </x:c>
      <x:c r="D22" t="n">
        <x:v>16</x:v>
      </x:c>
      <x:c r="E22" t="str">
        <x:v>far field</x:v>
      </x:c>
      <x:c r="F22" t="n">
        <x:v>79.95</x:v>
      </x:c>
      <x:c r="G22" t="str">
        <x:v>time-synchronized</x:v>
      </x:c>
      <x:c r="H22" t="n">
        <x:v>0</x:v>
      </x:c>
    </x:row>
    <x:row r="23">
      <x:c r="B23" t="str">
        <x:v>RHP-A2-MP01</x:v>
      </x:c>
      <x:c r="C23" t="str">
        <x:v>RHP-A2</x:v>
      </x:c>
      <x:c r="D23" t="n">
        <x:v>1</x:v>
      </x:c>
      <x:c r="E23" t="str">
        <x:v>source</x:v>
      </x:c>
      <x:c r="F23" t="n">
        <x:v>0</x:v>
      </x:c>
      <x:c r="G23" t="str">
        <x:v>time-synchronized</x:v>
      </x:c>
      <x:c r="H23" t="n">
        <x:v>0</x:v>
      </x:c>
    </x:row>
    <x:row r="24">
      <x:c r="B24" t="str">
        <x:v>RHP-A2-MP02</x:v>
      </x:c>
      <x:c r="C24" t="str">
        <x:v>RHP-A2</x:v>
      </x:c>
      <x:c r="D24" t="n">
        <x:v>2</x:v>
      </x:c>
      <x:c r="E24" t="str">
        <x:v>nozzle</x:v>
      </x:c>
      <x:c r="F24" t="n">
        <x:v>5.33</x:v>
      </x:c>
      <x:c r="G24" t="str">
        <x:v>time-synchronized</x:v>
      </x:c>
      <x:c r="H24" t="n">
        <x:v>0</x:v>
      </x:c>
    </x:row>
    <x:row r="25">
      <x:c r="B25" t="str">
        <x:v>RHP-A2-MP03</x:v>
      </x:c>
      <x:c r="C25" t="str">
        <x:v>RHP-A2</x:v>
      </x:c>
      <x:c r="D25" t="n">
        <x:v>3</x:v>
      </x:c>
      <x:c r="E25" t="str">
        <x:v>nozzle</x:v>
      </x:c>
      <x:c r="F25" t="n">
        <x:v>10.66</x:v>
      </x:c>
      <x:c r="G25" t="str">
        <x:v>time-synchronized</x:v>
      </x:c>
      <x:c r="H25" t="n">
        <x:v>0</x:v>
      </x:c>
    </x:row>
    <x:row r="26">
      <x:c r="B26" t="str">
        <x:v>RHP-A2-MP04</x:v>
      </x:c>
      <x:c r="C26" t="str">
        <x:v>RHP-A2</x:v>
      </x:c>
      <x:c r="D26" t="n">
        <x:v>4</x:v>
      </x:c>
      <x:c r="E26" t="str">
        <x:v>nozzle</x:v>
      </x:c>
      <x:c r="F26" t="n">
        <x:v>15.99</x:v>
      </x:c>
      <x:c r="G26" t="str">
        <x:v>time-synchronized</x:v>
      </x:c>
      <x:c r="H26" t="n">
        <x:v>0</x:v>
      </x:c>
    </x:row>
    <x:row r="27">
      <x:c r="B27" t="str">
        <x:v>RHP-A2-MP05</x:v>
      </x:c>
      <x:c r="C27" t="str">
        <x:v>RHP-A2</x:v>
      </x:c>
      <x:c r="D27" t="n">
        <x:v>5</x:v>
      </x:c>
      <x:c r="E27" t="str">
        <x:v>route</x:v>
      </x:c>
      <x:c r="F27" t="n">
        <x:v>21.32</x:v>
      </x:c>
      <x:c r="G27" t="str">
        <x:v>time-synchronized</x:v>
      </x:c>
      <x:c r="H27" t="n">
        <x:v>0</x:v>
      </x:c>
    </x:row>
    <x:row r="28">
      <x:c r="B28" t="str">
        <x:v>RHP-A2-MP06</x:v>
      </x:c>
      <x:c r="C28" t="str">
        <x:v>RHP-A2</x:v>
      </x:c>
      <x:c r="D28" t="n">
        <x:v>6</x:v>
      </x:c>
      <x:c r="E28" t="str">
        <x:v>route</x:v>
      </x:c>
      <x:c r="F28" t="n">
        <x:v>26.65</x:v>
      </x:c>
      <x:c r="G28" t="str">
        <x:v>time-synchronized</x:v>
      </x:c>
      <x:c r="H28" t="n">
        <x:v>0</x:v>
      </x:c>
    </x:row>
    <x:row r="29">
      <x:c r="B29" t="str">
        <x:v>RHP-A2-MP07</x:v>
      </x:c>
      <x:c r="C29" t="str">
        <x:v>RHP-A2</x:v>
      </x:c>
      <x:c r="D29" t="n">
        <x:v>7</x:v>
      </x:c>
      <x:c r="E29" t="str">
        <x:v>route</x:v>
      </x:c>
      <x:c r="F29" t="n">
        <x:v>31.98</x:v>
      </x:c>
      <x:c r="G29" t="str">
        <x:v>time-synchronized</x:v>
      </x:c>
      <x:c r="H29" t="n">
        <x:v>0</x:v>
      </x:c>
    </x:row>
    <x:row r="30">
      <x:c r="B30" t="str">
        <x:v>RHP-A2-MP08</x:v>
      </x:c>
      <x:c r="C30" t="str">
        <x:v>RHP-A2</x:v>
      </x:c>
      <x:c r="D30" t="n">
        <x:v>8</x:v>
      </x:c>
      <x:c r="E30" t="str">
        <x:v>route</x:v>
      </x:c>
      <x:c r="F30" t="n">
        <x:v>37.31</x:v>
      </x:c>
      <x:c r="G30" t="str">
        <x:v>time-synchronized</x:v>
      </x:c>
      <x:c r="H30" t="n">
        <x:v>0</x:v>
      </x:c>
    </x:row>
    <x:row r="31">
      <x:c r="B31" t="str">
        <x:v>RHP-A2-MP09</x:v>
      </x:c>
      <x:c r="C31" t="str">
        <x:v>RHP-A2</x:v>
      </x:c>
      <x:c r="D31" t="n">
        <x:v>9</x:v>
      </x:c>
      <x:c r="E31" t="str">
        <x:v>route</x:v>
      </x:c>
      <x:c r="F31" t="n">
        <x:v>42.64</x:v>
      </x:c>
      <x:c r="G31" t="str">
        <x:v>time-synchronized</x:v>
      </x:c>
      <x:c r="H31" t="n">
        <x:v>0</x:v>
      </x:c>
    </x:row>
    <x:row r="32">
      <x:c r="B32" t="str">
        <x:v>RHP-A2-MP10</x:v>
      </x:c>
      <x:c r="C32" t="str">
        <x:v>RHP-A2</x:v>
      </x:c>
      <x:c r="D32" t="n">
        <x:v>10</x:v>
      </x:c>
      <x:c r="E32" t="str">
        <x:v>route</x:v>
      </x:c>
      <x:c r="F32" t="n">
        <x:v>47.97</x:v>
      </x:c>
      <x:c r="G32" t="str">
        <x:v>time-synchronized</x:v>
      </x:c>
      <x:c r="H32" t="n">
        <x:v>0</x:v>
      </x:c>
    </x:row>
    <x:row r="33">
      <x:c r="B33" t="str">
        <x:v>RHP-A2-MP11</x:v>
      </x:c>
      <x:c r="C33" t="str">
        <x:v>RHP-A2</x:v>
      </x:c>
      <x:c r="D33" t="n">
        <x:v>11</x:v>
      </x:c>
      <x:c r="E33" t="str">
        <x:v>route</x:v>
      </x:c>
      <x:c r="F33" t="n">
        <x:v>53.3</x:v>
      </x:c>
      <x:c r="G33" t="str">
        <x:v>time-synchronized</x:v>
      </x:c>
      <x:c r="H33" t="n">
        <x:v>0</x:v>
      </x:c>
    </x:row>
    <x:row r="34">
      <x:c r="B34" t="str">
        <x:v>RHP-A2-MP12</x:v>
      </x:c>
      <x:c r="C34" t="str">
        <x:v>RHP-A2</x:v>
      </x:c>
      <x:c r="D34" t="n">
        <x:v>12</x:v>
      </x:c>
      <x:c r="E34" t="str">
        <x:v>route</x:v>
      </x:c>
      <x:c r="F34" t="n">
        <x:v>58.63</x:v>
      </x:c>
      <x:c r="G34" t="str">
        <x:v>time-synchronized</x:v>
      </x:c>
      <x:c r="H34" t="n">
        <x:v>0</x:v>
      </x:c>
    </x:row>
    <x:row r="35">
      <x:c r="B35" t="str">
        <x:v>RHP-A2-MP13</x:v>
      </x:c>
      <x:c r="C35" t="str">
        <x:v>RHP-A2</x:v>
      </x:c>
      <x:c r="D35" t="n">
        <x:v>13</x:v>
      </x:c>
      <x:c r="E35" t="str">
        <x:v>receiver</x:v>
      </x:c>
      <x:c r="F35" t="n">
        <x:v>63.96</x:v>
      </x:c>
      <x:c r="G35" t="str">
        <x:v>time-synchronized</x:v>
      </x:c>
      <x:c r="H35" t="n">
        <x:v>0</x:v>
      </x:c>
    </x:row>
    <x:row r="36">
      <x:c r="B36" t="str">
        <x:v>RHP-A2-MP14</x:v>
      </x:c>
      <x:c r="C36" t="str">
        <x:v>RHP-A2</x:v>
      </x:c>
      <x:c r="D36" t="n">
        <x:v>14</x:v>
      </x:c>
      <x:c r="E36" t="str">
        <x:v>receiver</x:v>
      </x:c>
      <x:c r="F36" t="n">
        <x:v>69.29</x:v>
      </x:c>
      <x:c r="G36" t="str">
        <x:v>time-synchronized</x:v>
      </x:c>
      <x:c r="H36" t="n">
        <x:v>0</x:v>
      </x:c>
    </x:row>
    <x:row r="37">
      <x:c r="B37" t="str">
        <x:v>RHP-A2-MP15</x:v>
      </x:c>
      <x:c r="C37" t="str">
        <x:v>RHP-A2</x:v>
      </x:c>
      <x:c r="D37" t="n">
        <x:v>15</x:v>
      </x:c>
      <x:c r="E37" t="str">
        <x:v>receiver</x:v>
      </x:c>
      <x:c r="F37" t="n">
        <x:v>74.62</x:v>
      </x:c>
      <x:c r="G37" t="str">
        <x:v>time-synchronized</x:v>
      </x:c>
      <x:c r="H37" t="n">
        <x:v>0</x:v>
      </x:c>
    </x:row>
    <x:row r="38">
      <x:c r="B38" t="str">
        <x:v>RHP-A2-MP16</x:v>
      </x:c>
      <x:c r="C38" t="str">
        <x:v>RHP-A2</x:v>
      </x:c>
      <x:c r="D38" t="n">
        <x:v>16</x:v>
      </x:c>
      <x:c r="E38" t="str">
        <x:v>far field</x:v>
      </x:c>
      <x:c r="F38" t="n">
        <x:v>79.95</x:v>
      </x:c>
      <x:c r="G38" t="str">
        <x:v>time-synchronized</x:v>
      </x:c>
      <x:c r="H38" t="n">
        <x:v>0</x:v>
      </x:c>
    </x:row>
    <x:row r="39">
      <x:c r="B39" t="str">
        <x:v>RHP-B1-MP01</x:v>
      </x:c>
      <x:c r="C39" t="str">
        <x:v>RHP-B1</x:v>
      </x:c>
      <x:c r="D39" t="n">
        <x:v>1</x:v>
      </x:c>
      <x:c r="E39" t="str">
        <x:v>source</x:v>
      </x:c>
      <x:c r="F39" t="n">
        <x:v>0</x:v>
      </x:c>
      <x:c r="G39" t="str">
        <x:v>time-synchronized</x:v>
      </x:c>
      <x:c r="H39" t="n">
        <x:v>0</x:v>
      </x:c>
    </x:row>
    <x:row r="40">
      <x:c r="B40" t="str">
        <x:v>RHP-B1-MP02</x:v>
      </x:c>
      <x:c r="C40" t="str">
        <x:v>RHP-B1</x:v>
      </x:c>
      <x:c r="D40" t="n">
        <x:v>2</x:v>
      </x:c>
      <x:c r="E40" t="str">
        <x:v>nozzle</x:v>
      </x:c>
      <x:c r="F40" t="n">
        <x:v>5.33</x:v>
      </x:c>
      <x:c r="G40" t="str">
        <x:v>time-synchronized</x:v>
      </x:c>
      <x:c r="H40" t="n">
        <x:v>0</x:v>
      </x:c>
    </x:row>
    <x:row r="41">
      <x:c r="B41" t="str">
        <x:v>RHP-B1-MP03</x:v>
      </x:c>
      <x:c r="C41" t="str">
        <x:v>RHP-B1</x:v>
      </x:c>
      <x:c r="D41" t="n">
        <x:v>3</x:v>
      </x:c>
      <x:c r="E41" t="str">
        <x:v>nozzle</x:v>
      </x:c>
      <x:c r="F41" t="n">
        <x:v>10.66</x:v>
      </x:c>
      <x:c r="G41" t="str">
        <x:v>time-synchronized</x:v>
      </x:c>
      <x:c r="H41" t="n">
        <x:v>0</x:v>
      </x:c>
    </x:row>
    <x:row r="42">
      <x:c r="B42" t="str">
        <x:v>RHP-B1-MP04</x:v>
      </x:c>
      <x:c r="C42" t="str">
        <x:v>RHP-B1</x:v>
      </x:c>
      <x:c r="D42" t="n">
        <x:v>4</x:v>
      </x:c>
      <x:c r="E42" t="str">
        <x:v>nozzle</x:v>
      </x:c>
      <x:c r="F42" t="n">
        <x:v>15.99</x:v>
      </x:c>
      <x:c r="G42" t="str">
        <x:v>time-synchronized</x:v>
      </x:c>
      <x:c r="H42" t="n">
        <x:v>0</x:v>
      </x:c>
    </x:row>
    <x:row r="43">
      <x:c r="B43" t="str">
        <x:v>RHP-B1-MP05</x:v>
      </x:c>
      <x:c r="C43" t="str">
        <x:v>RHP-B1</x:v>
      </x:c>
      <x:c r="D43" t="n">
        <x:v>5</x:v>
      </x:c>
      <x:c r="E43" t="str">
        <x:v>route</x:v>
      </x:c>
      <x:c r="F43" t="n">
        <x:v>21.32</x:v>
      </x:c>
      <x:c r="G43" t="str">
        <x:v>time-synchronized</x:v>
      </x:c>
      <x:c r="H43" t="n">
        <x:v>0</x:v>
      </x:c>
    </x:row>
    <x:row r="44">
      <x:c r="B44" t="str">
        <x:v>RHP-B1-MP06</x:v>
      </x:c>
      <x:c r="C44" t="str">
        <x:v>RHP-B1</x:v>
      </x:c>
      <x:c r="D44" t="n">
        <x:v>6</x:v>
      </x:c>
      <x:c r="E44" t="str">
        <x:v>route</x:v>
      </x:c>
      <x:c r="F44" t="n">
        <x:v>26.65</x:v>
      </x:c>
      <x:c r="G44" t="str">
        <x:v>time-synchronized</x:v>
      </x:c>
      <x:c r="H44" t="n">
        <x:v>0</x:v>
      </x:c>
    </x:row>
    <x:row r="45">
      <x:c r="B45" t="str">
        <x:v>RHP-B1-MP07</x:v>
      </x:c>
      <x:c r="C45" t="str">
        <x:v>RHP-B1</x:v>
      </x:c>
      <x:c r="D45" t="n">
        <x:v>7</x:v>
      </x:c>
      <x:c r="E45" t="str">
        <x:v>route</x:v>
      </x:c>
      <x:c r="F45" t="n">
        <x:v>31.98</x:v>
      </x:c>
      <x:c r="G45" t="str">
        <x:v>time-synchronized</x:v>
      </x:c>
      <x:c r="H45" t="n">
        <x:v>0</x:v>
      </x:c>
    </x:row>
    <x:row r="46">
      <x:c r="B46" t="str">
        <x:v>RHP-B1-MP08</x:v>
      </x:c>
      <x:c r="C46" t="str">
        <x:v>RHP-B1</x:v>
      </x:c>
      <x:c r="D46" t="n">
        <x:v>8</x:v>
      </x:c>
      <x:c r="E46" t="str">
        <x:v>route</x:v>
      </x:c>
      <x:c r="F46" t="n">
        <x:v>37.31</x:v>
      </x:c>
      <x:c r="G46" t="str">
        <x:v>time-synchronized</x:v>
      </x:c>
      <x:c r="H46" t="n">
        <x:v>0</x:v>
      </x:c>
    </x:row>
    <x:row r="47">
      <x:c r="B47" t="str">
        <x:v>RHP-B1-MP09</x:v>
      </x:c>
      <x:c r="C47" t="str">
        <x:v>RHP-B1</x:v>
      </x:c>
      <x:c r="D47" t="n">
        <x:v>9</x:v>
      </x:c>
      <x:c r="E47" t="str">
        <x:v>route</x:v>
      </x:c>
      <x:c r="F47" t="n">
        <x:v>42.64</x:v>
      </x:c>
      <x:c r="G47" t="str">
        <x:v>time-synchronized</x:v>
      </x:c>
      <x:c r="H47" t="n">
        <x:v>0</x:v>
      </x:c>
    </x:row>
    <x:row r="48">
      <x:c r="B48" t="str">
        <x:v>RHP-B1-MP10</x:v>
      </x:c>
      <x:c r="C48" t="str">
        <x:v>RHP-B1</x:v>
      </x:c>
      <x:c r="D48" t="n">
        <x:v>10</x:v>
      </x:c>
      <x:c r="E48" t="str">
        <x:v>route</x:v>
      </x:c>
      <x:c r="F48" t="n">
        <x:v>47.97</x:v>
      </x:c>
      <x:c r="G48" t="str">
        <x:v>time-synchronized</x:v>
      </x:c>
      <x:c r="H48" t="n">
        <x:v>0</x:v>
      </x:c>
    </x:row>
    <x:row r="49">
      <x:c r="B49" t="str">
        <x:v>RHP-B1-MP11</x:v>
      </x:c>
      <x:c r="C49" t="str">
        <x:v>RHP-B1</x:v>
      </x:c>
      <x:c r="D49" t="n">
        <x:v>11</x:v>
      </x:c>
      <x:c r="E49" t="str">
        <x:v>route</x:v>
      </x:c>
      <x:c r="F49" t="n">
        <x:v>53.3</x:v>
      </x:c>
      <x:c r="G49" t="str">
        <x:v>time-synchronized</x:v>
      </x:c>
      <x:c r="H49" t="n">
        <x:v>0</x:v>
      </x:c>
    </x:row>
    <x:row r="50">
      <x:c r="B50" t="str">
        <x:v>RHP-B1-MP12</x:v>
      </x:c>
      <x:c r="C50" t="str">
        <x:v>RHP-B1</x:v>
      </x:c>
      <x:c r="D50" t="n">
        <x:v>12</x:v>
      </x:c>
      <x:c r="E50" t="str">
        <x:v>route</x:v>
      </x:c>
      <x:c r="F50" t="n">
        <x:v>58.63</x:v>
      </x:c>
      <x:c r="G50" t="str">
        <x:v>time-synchronized</x:v>
      </x:c>
      <x:c r="H50" t="n">
        <x:v>0</x:v>
      </x:c>
    </x:row>
    <x:row r="51">
      <x:c r="B51" t="str">
        <x:v>RHP-B1-MP13</x:v>
      </x:c>
      <x:c r="C51" t="str">
        <x:v>RHP-B1</x:v>
      </x:c>
      <x:c r="D51" t="n">
        <x:v>13</x:v>
      </x:c>
      <x:c r="E51" t="str">
        <x:v>receiver</x:v>
      </x:c>
      <x:c r="F51" t="n">
        <x:v>63.96</x:v>
      </x:c>
      <x:c r="G51" t="str">
        <x:v>time-synchronized</x:v>
      </x:c>
      <x:c r="H51" t="n">
        <x:v>0</x:v>
      </x:c>
    </x:row>
    <x:row r="52">
      <x:c r="B52" t="str">
        <x:v>RHP-B1-MP14</x:v>
      </x:c>
      <x:c r="C52" t="str">
        <x:v>RHP-B1</x:v>
      </x:c>
      <x:c r="D52" t="n">
        <x:v>14</x:v>
      </x:c>
      <x:c r="E52" t="str">
        <x:v>receiver</x:v>
      </x:c>
      <x:c r="F52" t="n">
        <x:v>69.29</x:v>
      </x:c>
      <x:c r="G52" t="str">
        <x:v>time-synchronized</x:v>
      </x:c>
      <x:c r="H52" t="n">
        <x:v>0</x:v>
      </x:c>
    </x:row>
    <x:row r="53">
      <x:c r="B53" t="str">
        <x:v>RHP-B1-MP15</x:v>
      </x:c>
      <x:c r="C53" t="str">
        <x:v>RHP-B1</x:v>
      </x:c>
      <x:c r="D53" t="n">
        <x:v>15</x:v>
      </x:c>
      <x:c r="E53" t="str">
        <x:v>receiver</x:v>
      </x:c>
      <x:c r="F53" t="n">
        <x:v>74.62</x:v>
      </x:c>
      <x:c r="G53" t="str">
        <x:v>time-synchronized</x:v>
      </x:c>
      <x:c r="H53" t="n">
        <x:v>0</x:v>
      </x:c>
    </x:row>
    <x:row r="54">
      <x:c r="B54" t="str">
        <x:v>RHP-B1-MP16</x:v>
      </x:c>
      <x:c r="C54" t="str">
        <x:v>RHP-B1</x:v>
      </x:c>
      <x:c r="D54" t="n">
        <x:v>16</x:v>
      </x:c>
      <x:c r="E54" t="str">
        <x:v>far field</x:v>
      </x:c>
      <x:c r="F54" t="n">
        <x:v>79.95</x:v>
      </x:c>
      <x:c r="G54" t="str">
        <x:v>time-synchronized</x:v>
      </x:c>
      <x:c r="H54" t="n">
        <x:v>0</x:v>
      </x:c>
    </x:row>
    <x:row r="55">
      <x:c r="B55" t="str">
        <x:v>RHP-B2-MP01</x:v>
      </x:c>
      <x:c r="C55" t="str">
        <x:v>RHP-B2</x:v>
      </x:c>
      <x:c r="D55" t="n">
        <x:v>1</x:v>
      </x:c>
      <x:c r="E55" t="str">
        <x:v>source</x:v>
      </x:c>
      <x:c r="F55" t="n">
        <x:v>0</x:v>
      </x:c>
      <x:c r="G55" t="str">
        <x:v>time-synchronized</x:v>
      </x:c>
      <x:c r="H55" t="n">
        <x:v>0</x:v>
      </x:c>
    </x:row>
    <x:row r="56">
      <x:c r="B56" t="str">
        <x:v>RHP-B2-MP02</x:v>
      </x:c>
      <x:c r="C56" t="str">
        <x:v>RHP-B2</x:v>
      </x:c>
      <x:c r="D56" t="n">
        <x:v>2</x:v>
      </x:c>
      <x:c r="E56" t="str">
        <x:v>nozzle</x:v>
      </x:c>
      <x:c r="F56" t="n">
        <x:v>5.33</x:v>
      </x:c>
      <x:c r="G56" t="str">
        <x:v>time-synchronized</x:v>
      </x:c>
      <x:c r="H56" t="n">
        <x:v>0</x:v>
      </x:c>
    </x:row>
    <x:row r="57">
      <x:c r="B57" t="str">
        <x:v>RHP-B2-MP03</x:v>
      </x:c>
      <x:c r="C57" t="str">
        <x:v>RHP-B2</x:v>
      </x:c>
      <x:c r="D57" t="n">
        <x:v>3</x:v>
      </x:c>
      <x:c r="E57" t="str">
        <x:v>nozzle</x:v>
      </x:c>
      <x:c r="F57" t="n">
        <x:v>10.66</x:v>
      </x:c>
      <x:c r="G57" t="str">
        <x:v>time-synchronized</x:v>
      </x:c>
      <x:c r="H57" t="n">
        <x:v>0</x:v>
      </x:c>
    </x:row>
    <x:row r="58">
      <x:c r="B58" t="str">
        <x:v>RHP-B2-MP04</x:v>
      </x:c>
      <x:c r="C58" t="str">
        <x:v>RHP-B2</x:v>
      </x:c>
      <x:c r="D58" t="n">
        <x:v>4</x:v>
      </x:c>
      <x:c r="E58" t="str">
        <x:v>nozzle</x:v>
      </x:c>
      <x:c r="F58" t="n">
        <x:v>15.99</x:v>
      </x:c>
      <x:c r="G58" t="str">
        <x:v>time-synchronized</x:v>
      </x:c>
      <x:c r="H58" t="n">
        <x:v>0</x:v>
      </x:c>
    </x:row>
    <x:row r="59">
      <x:c r="B59" t="str">
        <x:v>RHP-B2-MP05</x:v>
      </x:c>
      <x:c r="C59" t="str">
        <x:v>RHP-B2</x:v>
      </x:c>
      <x:c r="D59" t="n">
        <x:v>5</x:v>
      </x:c>
      <x:c r="E59" t="str">
        <x:v>route</x:v>
      </x:c>
      <x:c r="F59" t="n">
        <x:v>21.32</x:v>
      </x:c>
      <x:c r="G59" t="str">
        <x:v>time-synchronized</x:v>
      </x:c>
      <x:c r="H59" t="n">
        <x:v>0</x:v>
      </x:c>
    </x:row>
    <x:row r="60">
      <x:c r="B60" t="str">
        <x:v>RHP-B2-MP06</x:v>
      </x:c>
      <x:c r="C60" t="str">
        <x:v>RHP-B2</x:v>
      </x:c>
      <x:c r="D60" t="n">
        <x:v>6</x:v>
      </x:c>
      <x:c r="E60" t="str">
        <x:v>route</x:v>
      </x:c>
      <x:c r="F60" t="n">
        <x:v>26.65</x:v>
      </x:c>
      <x:c r="G60" t="str">
        <x:v>time-synchronized</x:v>
      </x:c>
      <x:c r="H60" t="n">
        <x:v>0</x:v>
      </x:c>
    </x:row>
    <x:row r="61">
      <x:c r="B61" t="str">
        <x:v>RHP-B2-MP07</x:v>
      </x:c>
      <x:c r="C61" t="str">
        <x:v>RHP-B2</x:v>
      </x:c>
      <x:c r="D61" t="n">
        <x:v>7</x:v>
      </x:c>
      <x:c r="E61" t="str">
        <x:v>route</x:v>
      </x:c>
      <x:c r="F61" t="n">
        <x:v>31.98</x:v>
      </x:c>
      <x:c r="G61" t="str">
        <x:v>time-synchronized</x:v>
      </x:c>
      <x:c r="H61" t="n">
        <x:v>0</x:v>
      </x:c>
    </x:row>
    <x:row r="62">
      <x:c r="B62" t="str">
        <x:v>RHP-B2-MP08</x:v>
      </x:c>
      <x:c r="C62" t="str">
        <x:v>RHP-B2</x:v>
      </x:c>
      <x:c r="D62" t="n">
        <x:v>8</x:v>
      </x:c>
      <x:c r="E62" t="str">
        <x:v>route</x:v>
      </x:c>
      <x:c r="F62" t="n">
        <x:v>37.31</x:v>
      </x:c>
      <x:c r="G62" t="str">
        <x:v>time-synchronized</x:v>
      </x:c>
      <x:c r="H62" t="n">
        <x:v>0</x:v>
      </x:c>
    </x:row>
    <x:row r="63">
      <x:c r="B63" t="str">
        <x:v>RHP-B2-MP09</x:v>
      </x:c>
      <x:c r="C63" t="str">
        <x:v>RHP-B2</x:v>
      </x:c>
      <x:c r="D63" t="n">
        <x:v>9</x:v>
      </x:c>
      <x:c r="E63" t="str">
        <x:v>route</x:v>
      </x:c>
      <x:c r="F63" t="n">
        <x:v>42.64</x:v>
      </x:c>
      <x:c r="G63" t="str">
        <x:v>time-synchronized</x:v>
      </x:c>
      <x:c r="H63" t="n">
        <x:v>0</x:v>
      </x:c>
    </x:row>
    <x:row r="64">
      <x:c r="B64" t="str">
        <x:v>RHP-B2-MP10</x:v>
      </x:c>
      <x:c r="C64" t="str">
        <x:v>RHP-B2</x:v>
      </x:c>
      <x:c r="D64" t="n">
        <x:v>10</x:v>
      </x:c>
      <x:c r="E64" t="str">
        <x:v>route</x:v>
      </x:c>
      <x:c r="F64" t="n">
        <x:v>47.97</x:v>
      </x:c>
      <x:c r="G64" t="str">
        <x:v>time-synchronized</x:v>
      </x:c>
      <x:c r="H64" t="n">
        <x:v>0</x:v>
      </x:c>
    </x:row>
    <x:row r="65">
      <x:c r="B65" t="str">
        <x:v>RHP-B2-MP11</x:v>
      </x:c>
      <x:c r="C65" t="str">
        <x:v>RHP-B2</x:v>
      </x:c>
      <x:c r="D65" t="n">
        <x:v>11</x:v>
      </x:c>
      <x:c r="E65" t="str">
        <x:v>route</x:v>
      </x:c>
      <x:c r="F65" t="n">
        <x:v>53.3</x:v>
      </x:c>
      <x:c r="G65" t="str">
        <x:v>time-synchronized</x:v>
      </x:c>
      <x:c r="H65" t="n">
        <x:v>0</x:v>
      </x:c>
    </x:row>
    <x:row r="66">
      <x:c r="B66" t="str">
        <x:v>RHP-B2-MP12</x:v>
      </x:c>
      <x:c r="C66" t="str">
        <x:v>RHP-B2</x:v>
      </x:c>
      <x:c r="D66" t="n">
        <x:v>12</x:v>
      </x:c>
      <x:c r="E66" t="str">
        <x:v>route</x:v>
      </x:c>
      <x:c r="F66" t="n">
        <x:v>58.63</x:v>
      </x:c>
      <x:c r="G66" t="str">
        <x:v>time-synchronized</x:v>
      </x:c>
      <x:c r="H66" t="n">
        <x:v>0</x:v>
      </x:c>
    </x:row>
    <x:row r="67">
      <x:c r="B67" t="str">
        <x:v>RHP-B2-MP13</x:v>
      </x:c>
      <x:c r="C67" t="str">
        <x:v>RHP-B2</x:v>
      </x:c>
      <x:c r="D67" t="n">
        <x:v>13</x:v>
      </x:c>
      <x:c r="E67" t="str">
        <x:v>receiver</x:v>
      </x:c>
      <x:c r="F67" t="n">
        <x:v>63.96</x:v>
      </x:c>
      <x:c r="G67" t="str">
        <x:v>time-synchronized</x:v>
      </x:c>
      <x:c r="H67" t="n">
        <x:v>0</x:v>
      </x:c>
    </x:row>
    <x:row r="68">
      <x:c r="B68" t="str">
        <x:v>RHP-B2-MP14</x:v>
      </x:c>
      <x:c r="C68" t="str">
        <x:v>RHP-B2</x:v>
      </x:c>
      <x:c r="D68" t="n">
        <x:v>14</x:v>
      </x:c>
      <x:c r="E68" t="str">
        <x:v>receiver</x:v>
      </x:c>
      <x:c r="F68" t="n">
        <x:v>69.29</x:v>
      </x:c>
      <x:c r="G68" t="str">
        <x:v>time-synchronized</x:v>
      </x:c>
      <x:c r="H68" t="n">
        <x:v>0</x:v>
      </x:c>
    </x:row>
    <x:row r="69">
      <x:c r="B69" t="str">
        <x:v>RHP-B2-MP15</x:v>
      </x:c>
      <x:c r="C69" t="str">
        <x:v>RHP-B2</x:v>
      </x:c>
      <x:c r="D69" t="n">
        <x:v>15</x:v>
      </x:c>
      <x:c r="E69" t="str">
        <x:v>receiver</x:v>
      </x:c>
      <x:c r="F69" t="n">
        <x:v>74.62</x:v>
      </x:c>
      <x:c r="G69" t="str">
        <x:v>time-synchronized</x:v>
      </x:c>
      <x:c r="H69" t="n">
        <x:v>0</x:v>
      </x:c>
    </x:row>
    <x:row r="70">
      <x:c r="B70" t="str">
        <x:v>RHP-B2-MP16</x:v>
      </x:c>
      <x:c r="C70" t="str">
        <x:v>RHP-B2</x:v>
      </x:c>
      <x:c r="D70" t="n">
        <x:v>16</x:v>
      </x:c>
      <x:c r="E70" t="str">
        <x:v>far field</x:v>
      </x:c>
      <x:c r="F70" t="n">
        <x:v>79.95</x:v>
      </x:c>
      <x:c r="G70" t="str">
        <x:v>time-synchronized</x:v>
      </x:c>
      <x:c r="H70" t="n">
        <x:v>0</x:v>
      </x:c>
    </x:row>
    <x:row r="71">
      <x:c r="B71" t="str">
        <x:v>RHP-C1-MP01</x:v>
      </x:c>
      <x:c r="C71" t="str">
        <x:v>RHP-C1</x:v>
      </x:c>
      <x:c r="D71" t="n">
        <x:v>1</x:v>
      </x:c>
      <x:c r="E71" t="str">
        <x:v>source</x:v>
      </x:c>
      <x:c r="F71" t="n">
        <x:v>0</x:v>
      </x:c>
      <x:c r="G71" t="str">
        <x:v>time-synchronized</x:v>
      </x:c>
      <x:c r="H71" t="n">
        <x:v>0</x:v>
      </x:c>
    </x:row>
    <x:row r="72">
      <x:c r="B72" t="str">
        <x:v>RHP-C1-MP02</x:v>
      </x:c>
      <x:c r="C72" t="str">
        <x:v>RHP-C1</x:v>
      </x:c>
      <x:c r="D72" t="n">
        <x:v>2</x:v>
      </x:c>
      <x:c r="E72" t="str">
        <x:v>nozzle</x:v>
      </x:c>
      <x:c r="F72" t="n">
        <x:v>5.33</x:v>
      </x:c>
      <x:c r="G72" t="str">
        <x:v>time-synchronized</x:v>
      </x:c>
      <x:c r="H72" t="n">
        <x:v>0</x:v>
      </x:c>
    </x:row>
    <x:row r="73">
      <x:c r="B73" t="str">
        <x:v>RHP-C1-MP03</x:v>
      </x:c>
      <x:c r="C73" t="str">
        <x:v>RHP-C1</x:v>
      </x:c>
      <x:c r="D73" t="n">
        <x:v>3</x:v>
      </x:c>
      <x:c r="E73" t="str">
        <x:v>nozzle</x:v>
      </x:c>
      <x:c r="F73" t="n">
        <x:v>10.66</x:v>
      </x:c>
      <x:c r="G73" t="str">
        <x:v>time-synchronized</x:v>
      </x:c>
      <x:c r="H73" t="n">
        <x:v>0</x:v>
      </x:c>
    </x:row>
    <x:row r="74">
      <x:c r="B74" t="str">
        <x:v>RHP-C1-MP04</x:v>
      </x:c>
      <x:c r="C74" t="str">
        <x:v>RHP-C1</x:v>
      </x:c>
      <x:c r="D74" t="n">
        <x:v>4</x:v>
      </x:c>
      <x:c r="E74" t="str">
        <x:v>nozzle</x:v>
      </x:c>
      <x:c r="F74" t="n">
        <x:v>15.99</x:v>
      </x:c>
      <x:c r="G74" t="str">
        <x:v>time-synchronized</x:v>
      </x:c>
      <x:c r="H74" t="n">
        <x:v>0</x:v>
      </x:c>
    </x:row>
    <x:row r="75">
      <x:c r="B75" t="str">
        <x:v>RHP-C1-MP05</x:v>
      </x:c>
      <x:c r="C75" t="str">
        <x:v>RHP-C1</x:v>
      </x:c>
      <x:c r="D75" t="n">
        <x:v>5</x:v>
      </x:c>
      <x:c r="E75" t="str">
        <x:v>route</x:v>
      </x:c>
      <x:c r="F75" t="n">
        <x:v>21.32</x:v>
      </x:c>
      <x:c r="G75" t="str">
        <x:v>time-synchronized</x:v>
      </x:c>
      <x:c r="H75" t="n">
        <x:v>0</x:v>
      </x:c>
    </x:row>
    <x:row r="76">
      <x:c r="B76" t="str">
        <x:v>RHP-C1-MP06</x:v>
      </x:c>
      <x:c r="C76" t="str">
        <x:v>RHP-C1</x:v>
      </x:c>
      <x:c r="D76" t="n">
        <x:v>6</x:v>
      </x:c>
      <x:c r="E76" t="str">
        <x:v>route</x:v>
      </x:c>
      <x:c r="F76" t="n">
        <x:v>26.65</x:v>
      </x:c>
      <x:c r="G76" t="str">
        <x:v>time-synchronized</x:v>
      </x:c>
      <x:c r="H76" t="n">
        <x:v>0</x:v>
      </x:c>
    </x:row>
    <x:row r="77">
      <x:c r="B77" t="str">
        <x:v>RHP-C1-MP07</x:v>
      </x:c>
      <x:c r="C77" t="str">
        <x:v>RHP-C1</x:v>
      </x:c>
      <x:c r="D77" t="n">
        <x:v>7</x:v>
      </x:c>
      <x:c r="E77" t="str">
        <x:v>route</x:v>
      </x:c>
      <x:c r="F77" t="n">
        <x:v>31.98</x:v>
      </x:c>
      <x:c r="G77" t="str">
        <x:v>time-synchronized</x:v>
      </x:c>
      <x:c r="H77" t="n">
        <x:v>0</x:v>
      </x:c>
    </x:row>
    <x:row r="78">
      <x:c r="B78" t="str">
        <x:v>RHP-C1-MP08</x:v>
      </x:c>
      <x:c r="C78" t="str">
        <x:v>RHP-C1</x:v>
      </x:c>
      <x:c r="D78" t="n">
        <x:v>8</x:v>
      </x:c>
      <x:c r="E78" t="str">
        <x:v>route</x:v>
      </x:c>
      <x:c r="F78" t="n">
        <x:v>37.31</x:v>
      </x:c>
      <x:c r="G78" t="str">
        <x:v>time-synchronized</x:v>
      </x:c>
      <x:c r="H78" t="n">
        <x:v>0</x:v>
      </x:c>
    </x:row>
    <x:row r="79">
      <x:c r="B79" t="str">
        <x:v>RHP-C1-MP09</x:v>
      </x:c>
      <x:c r="C79" t="str">
        <x:v>RHP-C1</x:v>
      </x:c>
      <x:c r="D79" t="n">
        <x:v>9</x:v>
      </x:c>
      <x:c r="E79" t="str">
        <x:v>route</x:v>
      </x:c>
      <x:c r="F79" t="n">
        <x:v>42.64</x:v>
      </x:c>
      <x:c r="G79" t="str">
        <x:v>time-synchronized</x:v>
      </x:c>
      <x:c r="H79" t="n">
        <x:v>0</x:v>
      </x:c>
    </x:row>
    <x:row r="80">
      <x:c r="B80" t="str">
        <x:v>RHP-C1-MP10</x:v>
      </x:c>
      <x:c r="C80" t="str">
        <x:v>RHP-C1</x:v>
      </x:c>
      <x:c r="D80" t="n">
        <x:v>10</x:v>
      </x:c>
      <x:c r="E80" t="str">
        <x:v>route</x:v>
      </x:c>
      <x:c r="F80" t="n">
        <x:v>47.97</x:v>
      </x:c>
      <x:c r="G80" t="str">
        <x:v>time-synchronized</x:v>
      </x:c>
      <x:c r="H80" t="n">
        <x:v>0</x:v>
      </x:c>
    </x:row>
    <x:row r="81">
      <x:c r="B81" t="str">
        <x:v>RHP-C1-MP11</x:v>
      </x:c>
      <x:c r="C81" t="str">
        <x:v>RHP-C1</x:v>
      </x:c>
      <x:c r="D81" t="n">
        <x:v>11</x:v>
      </x:c>
      <x:c r="E81" t="str">
        <x:v>route</x:v>
      </x:c>
      <x:c r="F81" t="n">
        <x:v>53.3</x:v>
      </x:c>
      <x:c r="G81" t="str">
        <x:v>time-synchronized</x:v>
      </x:c>
      <x:c r="H81" t="n">
        <x:v>0</x:v>
      </x:c>
    </x:row>
    <x:row r="82">
      <x:c r="B82" t="str">
        <x:v>RHP-C1-MP12</x:v>
      </x:c>
      <x:c r="C82" t="str">
        <x:v>RHP-C1</x:v>
      </x:c>
      <x:c r="D82" t="n">
        <x:v>12</x:v>
      </x:c>
      <x:c r="E82" t="str">
        <x:v>route</x:v>
      </x:c>
      <x:c r="F82" t="n">
        <x:v>58.63</x:v>
      </x:c>
      <x:c r="G82" t="str">
        <x:v>time-synchronized</x:v>
      </x:c>
      <x:c r="H82" t="n">
        <x:v>0</x:v>
      </x:c>
    </x:row>
    <x:row r="83">
      <x:c r="B83" t="str">
        <x:v>RHP-C1-MP13</x:v>
      </x:c>
      <x:c r="C83" t="str">
        <x:v>RHP-C1</x:v>
      </x:c>
      <x:c r="D83" t="n">
        <x:v>13</x:v>
      </x:c>
      <x:c r="E83" t="str">
        <x:v>receiver</x:v>
      </x:c>
      <x:c r="F83" t="n">
        <x:v>63.96</x:v>
      </x:c>
      <x:c r="G83" t="str">
        <x:v>time-synchronized</x:v>
      </x:c>
      <x:c r="H83" t="n">
        <x:v>0</x:v>
      </x:c>
    </x:row>
    <x:row r="84">
      <x:c r="B84" t="str">
        <x:v>RHP-C1-MP14</x:v>
      </x:c>
      <x:c r="C84" t="str">
        <x:v>RHP-C1</x:v>
      </x:c>
      <x:c r="D84" t="n">
        <x:v>14</x:v>
      </x:c>
      <x:c r="E84" t="str">
        <x:v>receiver</x:v>
      </x:c>
      <x:c r="F84" t="n">
        <x:v>69.29</x:v>
      </x:c>
      <x:c r="G84" t="str">
        <x:v>time-synchronized</x:v>
      </x:c>
      <x:c r="H84" t="n">
        <x:v>0</x:v>
      </x:c>
    </x:row>
    <x:row r="85">
      <x:c r="B85" t="str">
        <x:v>RHP-C1-MP15</x:v>
      </x:c>
      <x:c r="C85" t="str">
        <x:v>RHP-C1</x:v>
      </x:c>
      <x:c r="D85" t="n">
        <x:v>15</x:v>
      </x:c>
      <x:c r="E85" t="str">
        <x:v>receiver</x:v>
      </x:c>
      <x:c r="F85" t="n">
        <x:v>74.62</x:v>
      </x:c>
      <x:c r="G85" t="str">
        <x:v>time-synchronized</x:v>
      </x:c>
      <x:c r="H85" t="n">
        <x:v>0</x:v>
      </x:c>
    </x:row>
    <x:row r="86">
      <x:c r="B86" t="str">
        <x:v>RHP-C1-MP16</x:v>
      </x:c>
      <x:c r="C86" t="str">
        <x:v>RHP-C1</x:v>
      </x:c>
      <x:c r="D86" t="n">
        <x:v>16</x:v>
      </x:c>
      <x:c r="E86" t="str">
        <x:v>far field</x:v>
      </x:c>
      <x:c r="F86" t="n">
        <x:v>79.95</x:v>
      </x:c>
      <x:c r="G86" t="str">
        <x:v>time-synchronized</x:v>
      </x:c>
      <x:c r="H86" t="n">
        <x:v>0</x:v>
      </x:c>
    </x:row>
    <x:row r="87">
      <x:c r="B87" t="str">
        <x:v>RHP-C2-MP01</x:v>
      </x:c>
      <x:c r="C87" t="str">
        <x:v>RHP-C2</x:v>
      </x:c>
      <x:c r="D87" t="n">
        <x:v>1</x:v>
      </x:c>
      <x:c r="E87" t="str">
        <x:v>source</x:v>
      </x:c>
      <x:c r="F87" t="n">
        <x:v>0</x:v>
      </x:c>
      <x:c r="G87" t="str">
        <x:v>time-synchronized</x:v>
      </x:c>
      <x:c r="H87" t="n">
        <x:v>0</x:v>
      </x:c>
    </x:row>
    <x:row r="88">
      <x:c r="B88" t="str">
        <x:v>RHP-C2-MP02</x:v>
      </x:c>
      <x:c r="C88" t="str">
        <x:v>RHP-C2</x:v>
      </x:c>
      <x:c r="D88" t="n">
        <x:v>2</x:v>
      </x:c>
      <x:c r="E88" t="str">
        <x:v>nozzle</x:v>
      </x:c>
      <x:c r="F88" t="n">
        <x:v>5.33</x:v>
      </x:c>
      <x:c r="G88" t="str">
        <x:v>time-synchronized</x:v>
      </x:c>
      <x:c r="H88" t="n">
        <x:v>0</x:v>
      </x:c>
    </x:row>
    <x:row r="89">
      <x:c r="B89" t="str">
        <x:v>RHP-C2-MP03</x:v>
      </x:c>
      <x:c r="C89" t="str">
        <x:v>RHP-C2</x:v>
      </x:c>
      <x:c r="D89" t="n">
        <x:v>3</x:v>
      </x:c>
      <x:c r="E89" t="str">
        <x:v>nozzle</x:v>
      </x:c>
      <x:c r="F89" t="n">
        <x:v>10.66</x:v>
      </x:c>
      <x:c r="G89" t="str">
        <x:v>time-synchronized</x:v>
      </x:c>
      <x:c r="H89" t="n">
        <x:v>0</x:v>
      </x:c>
    </x:row>
    <x:row r="90">
      <x:c r="B90" t="str">
        <x:v>RHP-C2-MP04</x:v>
      </x:c>
      <x:c r="C90" t="str">
        <x:v>RHP-C2</x:v>
      </x:c>
      <x:c r="D90" t="n">
        <x:v>4</x:v>
      </x:c>
      <x:c r="E90" t="str">
        <x:v>nozzle</x:v>
      </x:c>
      <x:c r="F90" t="n">
        <x:v>15.99</x:v>
      </x:c>
      <x:c r="G90" t="str">
        <x:v>time-synchronized</x:v>
      </x:c>
      <x:c r="H90" t="n">
        <x:v>0</x:v>
      </x:c>
    </x:row>
    <x:row r="91">
      <x:c r="B91" t="str">
        <x:v>RHP-C2-MP05</x:v>
      </x:c>
      <x:c r="C91" t="str">
        <x:v>RHP-C2</x:v>
      </x:c>
      <x:c r="D91" t="n">
        <x:v>5</x:v>
      </x:c>
      <x:c r="E91" t="str">
        <x:v>route</x:v>
      </x:c>
      <x:c r="F91" t="n">
        <x:v>21.32</x:v>
      </x:c>
      <x:c r="G91" t="str">
        <x:v>time-synchronized</x:v>
      </x:c>
      <x:c r="H91" t="n">
        <x:v>0</x:v>
      </x:c>
    </x:row>
    <x:row r="92">
      <x:c r="B92" t="str">
        <x:v>RHP-C2-MP06</x:v>
      </x:c>
      <x:c r="C92" t="str">
        <x:v>RHP-C2</x:v>
      </x:c>
      <x:c r="D92" t="n">
        <x:v>6</x:v>
      </x:c>
      <x:c r="E92" t="str">
        <x:v>route</x:v>
      </x:c>
      <x:c r="F92" t="n">
        <x:v>26.65</x:v>
      </x:c>
      <x:c r="G92" t="str">
        <x:v>time-synchronized</x:v>
      </x:c>
      <x:c r="H92" t="n">
        <x:v>0</x:v>
      </x:c>
    </x:row>
    <x:row r="93">
      <x:c r="B93" t="str">
        <x:v>RHP-C2-MP07</x:v>
      </x:c>
      <x:c r="C93" t="str">
        <x:v>RHP-C2</x:v>
      </x:c>
      <x:c r="D93" t="n">
        <x:v>7</x:v>
      </x:c>
      <x:c r="E93" t="str">
        <x:v>route</x:v>
      </x:c>
      <x:c r="F93" t="n">
        <x:v>31.98</x:v>
      </x:c>
      <x:c r="G93" t="str">
        <x:v>time-synchronized</x:v>
      </x:c>
      <x:c r="H93" t="n">
        <x:v>0</x:v>
      </x:c>
    </x:row>
    <x:row r="94">
      <x:c r="B94" t="str">
        <x:v>RHP-C2-MP08</x:v>
      </x:c>
      <x:c r="C94" t="str">
        <x:v>RHP-C2</x:v>
      </x:c>
      <x:c r="D94" t="n">
        <x:v>8</x:v>
      </x:c>
      <x:c r="E94" t="str">
        <x:v>route</x:v>
      </x:c>
      <x:c r="F94" t="n">
        <x:v>37.31</x:v>
      </x:c>
      <x:c r="G94" t="str">
        <x:v>time-synchronized</x:v>
      </x:c>
      <x:c r="H94" t="n">
        <x:v>0</x:v>
      </x:c>
    </x:row>
    <x:row r="95">
      <x:c r="B95" t="str">
        <x:v>RHP-C2-MP09</x:v>
      </x:c>
      <x:c r="C95" t="str">
        <x:v>RHP-C2</x:v>
      </x:c>
      <x:c r="D95" t="n">
        <x:v>9</x:v>
      </x:c>
      <x:c r="E95" t="str">
        <x:v>route</x:v>
      </x:c>
      <x:c r="F95" t="n">
        <x:v>42.64</x:v>
      </x:c>
      <x:c r="G95" t="str">
        <x:v>time-synchronized</x:v>
      </x:c>
      <x:c r="H95" t="n">
        <x:v>0</x:v>
      </x:c>
    </x:row>
    <x:row r="96">
      <x:c r="B96" t="str">
        <x:v>RHP-C2-MP10</x:v>
      </x:c>
      <x:c r="C96" t="str">
        <x:v>RHP-C2</x:v>
      </x:c>
      <x:c r="D96" t="n">
        <x:v>10</x:v>
      </x:c>
      <x:c r="E96" t="str">
        <x:v>route</x:v>
      </x:c>
      <x:c r="F96" t="n">
        <x:v>47.97</x:v>
      </x:c>
      <x:c r="G96" t="str">
        <x:v>time-synchronized</x:v>
      </x:c>
      <x:c r="H96" t="n">
        <x:v>0</x:v>
      </x:c>
    </x:row>
    <x:row r="97">
      <x:c r="B97" t="str">
        <x:v>RHP-C2-MP11</x:v>
      </x:c>
      <x:c r="C97" t="str">
        <x:v>RHP-C2</x:v>
      </x:c>
      <x:c r="D97" t="n">
        <x:v>11</x:v>
      </x:c>
      <x:c r="E97" t="str">
        <x:v>route</x:v>
      </x:c>
      <x:c r="F97" t="n">
        <x:v>53.3</x:v>
      </x:c>
      <x:c r="G97" t="str">
        <x:v>time-synchronized</x:v>
      </x:c>
      <x:c r="H97" t="n">
        <x:v>0</x:v>
      </x:c>
    </x:row>
    <x:row r="98">
      <x:c r="B98" t="str">
        <x:v>RHP-C2-MP12</x:v>
      </x:c>
      <x:c r="C98" t="str">
        <x:v>RHP-C2</x:v>
      </x:c>
      <x:c r="D98" t="n">
        <x:v>12</x:v>
      </x:c>
      <x:c r="E98" t="str">
        <x:v>route</x:v>
      </x:c>
      <x:c r="F98" t="n">
        <x:v>58.63</x:v>
      </x:c>
      <x:c r="G98" t="str">
        <x:v>time-synchronized</x:v>
      </x:c>
      <x:c r="H98" t="n">
        <x:v>0</x:v>
      </x:c>
    </x:row>
    <x:row r="99">
      <x:c r="B99" t="str">
        <x:v>RHP-C2-MP13</x:v>
      </x:c>
      <x:c r="C99" t="str">
        <x:v>RHP-C2</x:v>
      </x:c>
      <x:c r="D99" t="n">
        <x:v>13</x:v>
      </x:c>
      <x:c r="E99" t="str">
        <x:v>receiver</x:v>
      </x:c>
      <x:c r="F99" t="n">
        <x:v>63.96</x:v>
      </x:c>
      <x:c r="G99" t="str">
        <x:v>time-synchronized</x:v>
      </x:c>
      <x:c r="H99" t="n">
        <x:v>0</x:v>
      </x:c>
    </x:row>
    <x:row r="100">
      <x:c r="B100" t="str">
        <x:v>RHP-C2-MP14</x:v>
      </x:c>
      <x:c r="C100" t="str">
        <x:v>RHP-C2</x:v>
      </x:c>
      <x:c r="D100" t="n">
        <x:v>14</x:v>
      </x:c>
      <x:c r="E100" t="str">
        <x:v>receiver</x:v>
      </x:c>
      <x:c r="F100" t="n">
        <x:v>69.29</x:v>
      </x:c>
      <x:c r="G100" t="str">
        <x:v>time-synchronized</x:v>
      </x:c>
      <x:c r="H100" t="n">
        <x:v>0</x:v>
      </x:c>
    </x:row>
    <x:row r="101">
      <x:c r="B101" t="str">
        <x:v>RHP-C2-MP15</x:v>
      </x:c>
      <x:c r="C101" t="str">
        <x:v>RHP-C2</x:v>
      </x:c>
      <x:c r="D101" t="n">
        <x:v>15</x:v>
      </x:c>
      <x:c r="E101" t="str">
        <x:v>receiver</x:v>
      </x:c>
      <x:c r="F101" t="n">
        <x:v>74.62</x:v>
      </x:c>
      <x:c r="G101" t="str">
        <x:v>time-synchronized</x:v>
      </x:c>
      <x:c r="H101" t="n">
        <x:v>0</x:v>
      </x:c>
    </x:row>
    <x:row r="102">
      <x:c r="B102" t="str">
        <x:v>RHP-C2-MP16</x:v>
      </x:c>
      <x:c r="C102" t="str">
        <x:v>RHP-C2</x:v>
      </x:c>
      <x:c r="D102" t="n">
        <x:v>16</x:v>
      </x:c>
      <x:c r="E102" t="str">
        <x:v>far field</x:v>
      </x:c>
      <x:c r="F102" t="n">
        <x:v>79.95</x:v>
      </x:c>
      <x:c r="G102" t="str">
        <x:v>time-synchronized</x:v>
      </x:c>
      <x:c r="H102" t="n">
        <x:v>0</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2" hidden="0" customWidth="1"/>
    <x:col min="3" max="3" width="28" hidden="0" customWidth="1"/>
    <x:col min="4" max="4" width="14" hidden="0" customWidth="1"/>
    <x:col min="5" max="5" width="16" hidden="0" customWidth="1"/>
    <x:col min="6" max="6" width="16" hidden="0" customWidth="1"/>
    <x:col min="7" max="7" width="12" hidden="0" customWidth="1"/>
    <x:col min="8" max="8" width="17" hidden="0" customWidth="1"/>
    <x:col min="9" max="9" width="13" hidden="0" customWidth="1"/>
  </x:cols>
  <x:sheetData>
    <x:row r="2">
      <x:c r="B2" s="1" t="str">
        <x:v>Native channel register</x:v>
      </x:c>
    </x:row>
    <x:row r="3">
      <x:c r="B3" s="2" t="str">
        <x:v>The inherited RHT-1 evidence constitution is preserved intact; no rig-specific averaging is credited.</x:v>
      </x:c>
    </x:row>
    <x:row r="5">
      <x:c r="B5" s="3"/>
      <x:c r="C5" s="3"/>
      <x:c r="D5" s="3"/>
      <x:c r="E5" s="3"/>
      <x:c r="F5" s="3"/>
      <x:c r="G5" s="3"/>
      <x:c r="H5" s="3"/>
      <x:c r="I5" s="3"/>
      <x:c r="J5" s="3"/>
      <x:c r="K5" s="3"/>
      <x:c r="L5" s="3"/>
      <x:c r="M5" s="3"/>
      <x:c r="N5" s="3"/>
      <x:c r="O5" s="3"/>
      <x:c r="P5" s="3"/>
      <x:c r="Q5" s="3"/>
      <x:c r="R5" s="3"/>
    </x:row>
    <x:row r="6" ht="24" customHeight="1">
      <x:c r="B6" s="7" t="str">
        <x:v>Function</x:v>
      </x:c>
      <x:c r="C6" s="7" t="str">
        <x:v>Measurement</x:v>
      </x:c>
      <x:c r="D6" s="7" t="str">
        <x:v>Channels</x:v>
      </x:c>
      <x:c r="E6" s="7" t="str">
        <x:v>Samples/s</x:v>
      </x:c>
      <x:c r="F6" s="7" t="str">
        <x:v>Bits/sample</x:v>
      </x:c>
      <x:c r="G6" s="7" t="str">
        <x:v>Copies</x:v>
      </x:c>
      <x:c r="H6" s="7" t="str">
        <x:v>Native MB/s</x:v>
      </x:c>
      <x:c r="I6" s="7" t="str">
        <x:v>State</x:v>
      </x:c>
    </x:row>
    <x:row r="7">
      <x:c r="B7" t="str">
        <x:v>I01</x:v>
      </x:c>
      <x:c r="C7" t="str">
        <x:v>source mass</x:v>
      </x:c>
      <x:c r="D7" t="n">
        <x:v>8</x:v>
      </x:c>
      <x:c r="E7" t="n">
        <x:v>100</x:v>
      </x:c>
      <x:c r="F7" t="n">
        <x:v>64</x:v>
      </x:c>
      <x:c r="G7" t="n">
        <x:v>2.090956491512659</x:v>
      </x:c>
      <x:c r="H7" t="n">
        <x:f>D7*E7*F7*G7/8/1000000</x:f>
        <x:v>0.013382121545681016</x:v>
      </x:c>
      <x:c r="I7" t="str">
        <x:v>DESIGN</x:v>
      </x:c>
    </x:row>
    <x:row r="8">
      <x:c r="B8" t="str">
        <x:v>I02</x:v>
      </x:c>
      <x:c r="C8" t="str">
        <x:v>absolute pressure</x:v>
      </x:c>
      <x:c r="D8" t="n">
        <x:v>32</x:v>
      </x:c>
      <x:c r="E8" t="n">
        <x:v>100000</x:v>
      </x:c>
      <x:c r="F8" t="n">
        <x:v>32</x:v>
      </x:c>
      <x:c r="G8" t="n">
        <x:v>2.090956491512659</x:v>
      </x:c>
      <x:c r="H8" t="n">
        <x:f>D8*E8*F8*G8/8/1000000</x:f>
        <x:v>26.764243091362033</x:v>
      </x:c>
      <x:c r="I8" t="str">
        <x:v>DESIGN</x:v>
      </x:c>
    </x:row>
    <x:row r="9">
      <x:c r="B9" t="str">
        <x:v>I03</x:v>
      </x:c>
      <x:c r="C9" t="str">
        <x:v>temperature</x:v>
      </x:c>
      <x:c r="D9" t="n">
        <x:v>48</x:v>
      </x:c>
      <x:c r="E9" t="n">
        <x:v>10000</x:v>
      </x:c>
      <x:c r="F9" t="n">
        <x:v>24</x:v>
      </x:c>
      <x:c r="G9" t="n">
        <x:v>2.090956491512659</x:v>
      </x:c>
      <x:c r="H9" t="n">
        <x:f>D9*E9*F9*G9/8/1000000</x:f>
        <x:v>3.0109773477782285</x:v>
      </x:c>
      <x:c r="I9" t="str">
        <x:v>DESIGN</x:v>
      </x:c>
    </x:row>
    <x:row r="10">
      <x:c r="B10" t="str">
        <x:v>I04</x:v>
      </x:c>
      <x:c r="C10" t="str">
        <x:v>differential/wave pressure</x:v>
      </x:c>
      <x:c r="D10" t="n">
        <x:v>48</x:v>
      </x:c>
      <x:c r="E10" t="n">
        <x:v>200000</x:v>
      </x:c>
      <x:c r="F10" t="n">
        <x:v>32</x:v>
      </x:c>
      <x:c r="G10" t="n">
        <x:v>2.090956491512659</x:v>
      </x:c>
      <x:c r="H10" t="n">
        <x:f>D10*E10*F10*G10/8/1000000</x:f>
        <x:v>80.2927292740861</x:v>
      </x:c>
      <x:c r="I10" t="str">
        <x:v>DESIGN</x:v>
      </x:c>
    </x:row>
    <x:row r="11">
      <x:c r="B11" t="str">
        <x:v>I05</x:v>
      </x:c>
      <x:c r="C11" t="str">
        <x:v>void fraction</x:v>
      </x:c>
      <x:c r="D11" t="n">
        <x:v>24</x:v>
      </x:c>
      <x:c r="E11" t="n">
        <x:v>100000</x:v>
      </x:c>
      <x:c r="F11" t="n">
        <x:v>32</x:v>
      </x:c>
      <x:c r="G11" t="n">
        <x:v>2.090956491512659</x:v>
      </x:c>
      <x:c r="H11" t="n">
        <x:f>D11*E11*F11*G11/8/1000000</x:f>
        <x:v>20.073182318521525</x:v>
      </x:c>
      <x:c r="I11" t="str">
        <x:v>DESIGN</x:v>
      </x:c>
    </x:row>
    <x:row r="12">
      <x:c r="B12" t="str">
        <x:v>I06</x:v>
      </x:c>
      <x:c r="C12" t="str">
        <x:v>phase velocity</x:v>
      </x:c>
      <x:c r="D12" t="n">
        <x:v>24</x:v>
      </x:c>
      <x:c r="E12" t="n">
        <x:v>50000</x:v>
      </x:c>
      <x:c r="F12" t="n">
        <x:v>32</x:v>
      </x:c>
      <x:c r="G12" t="n">
        <x:v>2.090956491512659</x:v>
      </x:c>
      <x:c r="H12" t="n">
        <x:f>D12*E12*F12*G12/8/1000000</x:f>
        <x:v>10.036591159260762</x:v>
      </x:c>
      <x:c r="I12" t="str">
        <x:v>DESIGN</x:v>
      </x:c>
    </x:row>
    <x:row r="13">
      <x:c r="B13" t="str">
        <x:v>I07</x:v>
      </x:c>
      <x:c r="C13" t="str">
        <x:v>mass flow</x:v>
      </x:c>
      <x:c r="D13" t="n">
        <x:v>32</x:v>
      </x:c>
      <x:c r="E13" t="n">
        <x:v>100000</x:v>
      </x:c>
      <x:c r="F13" t="n">
        <x:v>32</x:v>
      </x:c>
      <x:c r="G13" t="n">
        <x:v>2.090956491512659</x:v>
      </x:c>
      <x:c r="H13" t="n">
        <x:f>D13*E13*F13*G13/8/1000000</x:f>
        <x:v>26.764243091362033</x:v>
      </x:c>
      <x:c r="I13" t="str">
        <x:v>DESIGN</x:v>
      </x:c>
    </x:row>
    <x:row r="14">
      <x:c r="B14" t="str">
        <x:v>I08</x:v>
      </x:c>
      <x:c r="C14" t="str">
        <x:v>acoustic</x:v>
      </x:c>
      <x:c r="D14" t="n">
        <x:v>32</x:v>
      </x:c>
      <x:c r="E14" t="n">
        <x:v>250000</x:v>
      </x:c>
      <x:c r="F14" t="n">
        <x:v>24</x:v>
      </x:c>
      <x:c r="G14" t="n">
        <x:v>2.090956491512659</x:v>
      </x:c>
      <x:c r="H14" t="n">
        <x:f>D14*E14*F14*G14/8/1000000</x:f>
        <x:v>50.18295579630381</x:v>
      </x:c>
      <x:c r="I14" t="str">
        <x:v>DESIGN</x:v>
      </x:c>
    </x:row>
    <x:row r="15">
      <x:c r="B15" t="str">
        <x:v>I09</x:v>
      </x:c>
      <x:c r="C15" t="str">
        <x:v>strain</x:v>
      </x:c>
      <x:c r="D15" t="n">
        <x:v>48</x:v>
      </x:c>
      <x:c r="E15" t="n">
        <x:v>100000</x:v>
      </x:c>
      <x:c r="F15" t="n">
        <x:v>24</x:v>
      </x:c>
      <x:c r="G15" t="n">
        <x:v>2.090956491512659</x:v>
      </x:c>
      <x:c r="H15" t="n">
        <x:f>D15*E15*F15*G15/8/1000000</x:f>
        <x:v>30.109773477782287</x:v>
      </x:c>
      <x:c r="I15" t="str">
        <x:v>DESIGN</x:v>
      </x:c>
    </x:row>
    <x:row r="16">
      <x:c r="B16" t="str">
        <x:v>I10</x:v>
      </x:c>
      <x:c r="C16" t="str">
        <x:v>receiver state</x:v>
      </x:c>
      <x:c r="D16" t="n">
        <x:v>32</x:v>
      </x:c>
      <x:c r="E16" t="n">
        <x:v>10000</x:v>
      </x:c>
      <x:c r="F16" t="n">
        <x:v>32</x:v>
      </x:c>
      <x:c r="G16" t="n">
        <x:v>2.090956491512659</x:v>
      </x:c>
      <x:c r="H16" t="n">
        <x:f>D16*E16*F16*G16/8/1000000</x:f>
        <x:v>2.6764243091362037</x:v>
      </x:c>
      <x:c r="I16" t="str">
        <x:v>DESIGN</x:v>
      </x:c>
    </x:row>
    <x:row r="17">
      <x:c r="B17" t="str">
        <x:v>I11</x:v>
      </x:c>
      <x:c r="C17" t="str">
        <x:v>holder state</x:v>
      </x:c>
      <x:c r="D17" t="n">
        <x:v>32</x:v>
      </x:c>
      <x:c r="E17" t="n">
        <x:v>1000</x:v>
      </x:c>
      <x:c r="F17" t="n">
        <x:v>32</x:v>
      </x:c>
      <x:c r="G17" t="n">
        <x:v>2.090956491512659</x:v>
      </x:c>
      <x:c r="H17" t="n">
        <x:f>D17*E17*F17*G17/8/1000000</x:f>
        <x:v>0.26764243091362033</x:v>
      </x:c>
      <x:c r="I17" t="str">
        <x:v>DESIGN</x:v>
      </x:c>
    </x:row>
    <x:row r="18">
      <x:c r="B18" t="str">
        <x:v>I12</x:v>
      </x:c>
      <x:c r="C18" t="str">
        <x:v>gas concentration</x:v>
      </x:c>
      <x:c r="D18" t="n">
        <x:v>32</x:v>
      </x:c>
      <x:c r="E18" t="n">
        <x:v>1000</x:v>
      </x:c>
      <x:c r="F18" t="n">
        <x:v>32</x:v>
      </x:c>
      <x:c r="G18" t="n">
        <x:v>2.090956491512659</x:v>
      </x:c>
      <x:c r="H18" t="n">
        <x:f>D18*E18*F18*G18/8/1000000</x:f>
        <x:v>0.26764243091362033</x:v>
      </x:c>
      <x:c r="I18" t="str">
        <x:v>DESIGN</x:v>
      </x:c>
    </x:row>
    <x:row r="19">
      <x:c r="B19" t="str">
        <x:v>I13</x:v>
      </x:c>
      <x:c r="C19" t="str">
        <x:v>flame/heat</x:v>
      </x:c>
      <x:c r="D19" t="n">
        <x:v>32</x:v>
      </x:c>
      <x:c r="E19" t="n">
        <x:v>20000</x:v>
      </x:c>
      <x:c r="F19" t="n">
        <x:v>24</x:v>
      </x:c>
      <x:c r="G19" t="n">
        <x:v>2.090956491512659</x:v>
      </x:c>
      <x:c r="H19" t="n">
        <x:f>D19*E19*F19*G19/8/1000000</x:f>
        <x:v>4.014636463704305</x:v>
      </x:c>
      <x:c r="I19" t="str">
        <x:v>DESIGN</x:v>
      </x:c>
    </x:row>
    <x:row r="20">
      <x:c r="B20" t="str">
        <x:v>I14</x:v>
      </x:c>
      <x:c r="C20" t="str">
        <x:v>weather</x:v>
      </x:c>
      <x:c r="D20" t="n">
        <x:v>16</x:v>
      </x:c>
      <x:c r="E20" t="n">
        <x:v>100</x:v>
      </x:c>
      <x:c r="F20" t="n">
        <x:v>24</x:v>
      </x:c>
      <x:c r="G20" t="n">
        <x:v>2.090956491512659</x:v>
      </x:c>
      <x:c r="H20" t="n">
        <x:f>D20*E20*F20*G20/8/1000000</x:f>
        <x:v>0.010036591159260762</x:v>
      </x:c>
      <x:c r="I20" t="str">
        <x:v>DESIGN</x:v>
      </x:c>
    </x:row>
    <x:row r="21">
      <x:c r="B21" t="str">
        <x:v>I15</x:v>
      </x:c>
      <x:c r="C21" t="str">
        <x:v>safety state</x:v>
      </x:c>
      <x:c r="D21" t="n">
        <x:v>24</x:v>
      </x:c>
      <x:c r="E21" t="n">
        <x:v>1000</x:v>
      </x:c>
      <x:c r="F21" t="n">
        <x:v>16</x:v>
      </x:c>
      <x:c r="G21" t="n">
        <x:v>2.090956491512659</x:v>
      </x:c>
      <x:c r="H21" t="n">
        <x:f>D21*E21*F21*G21/8/1000000</x:f>
        <x:v>0.10036591159260762</x:v>
      </x:c>
      <x:c r="I21" t="str">
        <x:v>DESIGN</x:v>
      </x:c>
    </x:row>
    <x:row r="22">
      <x:c r="B22" t="str">
        <x:v>I16</x:v>
      </x:c>
      <x:c r="C22" t="str">
        <x:v>time fidelity</x:v>
      </x:c>
      <x:c r="D22" t="n">
        <x:v>8</x:v>
      </x:c>
      <x:c r="E22" t="n">
        <x:v>250000</x:v>
      </x:c>
      <x:c r="F22" t="n">
        <x:v>64</x:v>
      </x:c>
      <x:c r="G22" t="n">
        <x:v>2.090956491512659</x:v>
      </x:c>
      <x:c r="H22" t="n">
        <x:f>D22*E22*F22*G22/8/1000000</x:f>
        <x:v>33.45530386420254</x:v>
      </x:c>
      <x:c r="I22" t="str">
        <x:v>DESIGN</x:v>
      </x:c>
    </x:row>
    <x:row r="23">
      <x:c r="B23" t="str">
        <x:v>I17</x:v>
      </x:c>
      <x:c r="C23" t="str">
        <x:v>composition</x:v>
      </x:c>
      <x:c r="D23" t="n">
        <x:v>16</x:v>
      </x:c>
      <x:c r="E23" t="n">
        <x:v>100</x:v>
      </x:c>
      <x:c r="F23" t="n">
        <x:v>64</x:v>
      </x:c>
      <x:c r="G23" t="n">
        <x:v>2.090956491512659</x:v>
      </x:c>
      <x:c r="H23" t="n">
        <x:f>D23*E23*F23*G23/8/1000000</x:f>
        <x:v>0.026764243091362033</x:v>
      </x:c>
      <x:c r="I23" t="str">
        <x:v>DESIGN</x:v>
      </x:c>
    </x:row>
    <x:row r="24">
      <x:c r="B24" t="str">
        <x:v>I18</x:v>
      </x:c>
      <x:c r="C24" t="str">
        <x:v>evidence health</x:v>
      </x:c>
      <x:c r="D24" t="n">
        <x:v>16</x:v>
      </x:c>
      <x:c r="E24" t="n">
        <x:v>10000</x:v>
      </x:c>
      <x:c r="F24" t="n">
        <x:v>16</x:v>
      </x:c>
      <x:c r="G24" t="n">
        <x:v>2.090956491512659</x:v>
      </x:c>
      <x:c r="H24" t="n">
        <x:f>D24*E24*F24*G24/8/1000000</x:f>
        <x:v>0.6691060772840509</x:v>
      </x:c>
      <x:c r="I24" t="str">
        <x:v>DESIGN</x:v>
      </x:c>
    </x:row>
    <x:row r="27">
      <x:c r="B27" s="14" t="str">
        <x:v>Totals</x:v>
      </x:c>
      <x:c r="C27" s="14"/>
      <x:c r="D27" s="14" t="n">
        <x:f>SUM(D7:D24)</x:f>
        <x:v>504</x:v>
      </x:c>
      <x:c r="E27" s="14"/>
      <x:c r="F27" s="14"/>
      <x:c r="G27" s="14"/>
      <x:c r="H27" s="14" t="n">
        <x:f>SUM(H7:H24)</x:f>
        <x:v>288.736</x:v>
      </x:c>
      <x:c r="I27" s="14"/>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1" hidden="0" customWidth="1"/>
    <x:col min="3" max="3" width="18" hidden="0" customWidth="1"/>
    <x:col min="4" max="4" width="26" hidden="0" customWidth="1"/>
    <x:col min="5" max="5" width="15" hidden="0" customWidth="1"/>
    <x:col min="6" max="6" width="11" hidden="0" customWidth="1"/>
    <x:col min="7" max="7" width="15" hidden="0" customWidth="1"/>
    <x:col min="8" max="8" width="15" hidden="0" customWidth="1"/>
    <x:col min="9" max="9" width="22" hidden="0" customWidth="1"/>
    <x:col min="11" max="11" width="16" hidden="0" customWidth="1"/>
    <x:col min="12" max="12" width="18" hidden="0" customWidth="1"/>
    <x:col min="13" max="13" width="15" hidden="0" customWidth="1"/>
    <x:col min="14" max="14" width="13" hidden="0" customWidth="1"/>
  </x:cols>
  <x:sheetData>
    <x:row r="2">
      <x:c r="B2" s="1" t="str">
        <x:v>Measurement uncertainty budget</x:v>
      </x:c>
    </x:row>
    <x:row r="3">
      <x:c r="B3" s="2" t="str">
        <x:v>The mass group uses root-sum-square combination and a k=2 expansion. Other rows carry explicit one-sigma and expanded allocations.</x:v>
      </x:c>
    </x:row>
    <x:row r="5">
      <x:c r="B5" s="3"/>
      <x:c r="C5" s="3"/>
      <x:c r="D5" s="3"/>
      <x:c r="E5" s="3"/>
      <x:c r="F5" s="3"/>
      <x:c r="G5" s="3"/>
      <x:c r="H5" s="3"/>
      <x:c r="I5" s="3"/>
      <x:c r="J5" s="3"/>
      <x:c r="K5" s="3"/>
      <x:c r="L5" s="3"/>
      <x:c r="M5" s="3"/>
      <x:c r="N5" s="3"/>
      <x:c r="O5" s="3"/>
      <x:c r="P5" s="3"/>
      <x:c r="Q5" s="3"/>
      <x:c r="R5" s="3"/>
    </x:row>
    <x:row r="6" ht="24" customHeight="1">
      <x:c r="B6" s="7" t="str">
        <x:v>ID</x:v>
      </x:c>
      <x:c r="C6" s="7" t="str">
        <x:v>Group</x:v>
      </x:c>
      <x:c r="D6" s="7" t="str">
        <x:v>Measurand</x:v>
      </x:c>
      <x:c r="E6" s="7" t="str">
        <x:v>One-sigma</x:v>
      </x:c>
      <x:c r="F6" s="7" t="str">
        <x:v>Unit</x:v>
      </x:c>
      <x:c r="G6" s="7" t="str">
        <x:v>Expanded</x:v>
      </x:c>
      <x:c r="H6" s="7" t="str">
        <x:v>Limit</x:v>
      </x:c>
      <x:c r="I6" s="7" t="str">
        <x:v>Planning finding</x:v>
      </x:c>
      <x:c r="K6" s="7" t="str">
        <x:v>Mass RSS</x:v>
      </x:c>
      <x:c r="L6" s="7" t="str">
        <x:v>Expanded k=2</x:v>
      </x:c>
      <x:c r="M6" s="7" t="str">
        <x:v>Limit</x:v>
      </x:c>
      <x:c r="N6" s="7" t="str">
        <x:v>State</x:v>
      </x:c>
    </x:row>
    <x:row r="7">
      <x:c r="B7" t="str">
        <x:v>U01</x:v>
      </x:c>
      <x:c r="C7" t="str">
        <x:v>mass</x:v>
      </x:c>
      <x:c r="D7" t="str">
        <x:v>initial source</x:v>
      </x:c>
      <x:c r="E7" t="n">
        <x:v>0.7</x:v>
      </x:c>
      <x:c r="F7" t="str">
        <x:v>kg</x:v>
      </x:c>
      <x:c r="G7" t="n">
        <x:v>2.19</x:v>
      </x:c>
      <x:c r="H7" t="n">
        <x:v>5</x:v>
      </x:c>
      <x:c r="I7" t="str">
        <x:v>within allocation</x:v>
      </x:c>
      <x:c r="K7" t="n">
        <x:f>SQRT(SUMSQ(E7:E12))</x:f>
        <x:v>2.191437884129961</x:v>
      </x:c>
      <x:c r="L7" t="n">
        <x:f>2*K7</x:f>
        <x:v>4.382875768259922</x:v>
      </x:c>
      <x:c r="M7" t="n">
        <x:f>Controls!$D$70</x:f>
        <x:v>5</x:v>
      </x:c>
      <x:c r="N7" t="str">
        <x:f>IF(L7&lt;=M7,"PASS","GAP")</x:f>
        <x:v>PASS</x:v>
      </x:c>
    </x:row>
    <x:row r="8">
      <x:c r="B8" t="str">
        <x:v>U02</x:v>
      </x:c>
      <x:c r="C8" t="str">
        <x:v>mass</x:v>
      </x:c>
      <x:c r="D8" t="str">
        <x:v>source residual</x:v>
      </x:c>
      <x:c r="E8" t="n">
        <x:v>0.8</x:v>
      </x:c>
      <x:c r="F8" t="str">
        <x:v>kg</x:v>
      </x:c>
      <x:c r="G8" t="n">
        <x:v>2.19</x:v>
      </x:c>
      <x:c r="H8" t="n">
        <x:v>5</x:v>
      </x:c>
      <x:c r="I8" t="str">
        <x:v>within allocation</x:v>
      </x:c>
    </x:row>
    <x:row r="9">
      <x:c r="B9" t="str">
        <x:v>U03</x:v>
      </x:c>
      <x:c r="C9" t="str">
        <x:v>mass</x:v>
      </x:c>
      <x:c r="D9" t="str">
        <x:v>route inventory</x:v>
      </x:c>
      <x:c r="E9" t="n">
        <x:v>0.8</x:v>
      </x:c>
      <x:c r="F9" t="str">
        <x:v>kg</x:v>
      </x:c>
      <x:c r="G9" t="n">
        <x:v>2.19</x:v>
      </x:c>
      <x:c r="H9" t="n">
        <x:v>5</x:v>
      </x:c>
      <x:c r="I9" t="str">
        <x:v>within allocation</x:v>
      </x:c>
    </x:row>
    <x:row r="10">
      <x:c r="B10" t="str">
        <x:v>U04</x:v>
      </x:c>
      <x:c r="C10" t="str">
        <x:v>mass</x:v>
      </x:c>
      <x:c r="D10" t="str">
        <x:v>receiver</x:v>
      </x:c>
      <x:c r="E10" t="n">
        <x:v>1</x:v>
      </x:c>
      <x:c r="F10" t="str">
        <x:v>kg</x:v>
      </x:c>
      <x:c r="G10" t="n">
        <x:v>2.19</x:v>
      </x:c>
      <x:c r="H10" t="n">
        <x:v>5</x:v>
      </x:c>
      <x:c r="I10" t="str">
        <x:v>within allocation</x:v>
      </x:c>
    </x:row>
    <x:row r="11">
      <x:c r="B11" t="str">
        <x:v>U05</x:v>
      </x:c>
      <x:c r="C11" t="str">
        <x:v>mass</x:v>
      </x:c>
      <x:c r="D11" t="str">
        <x:v>holder/condensed</x:v>
      </x:c>
      <x:c r="E11" t="n">
        <x:v>1.18</x:v>
      </x:c>
      <x:c r="F11" t="str">
        <x:v>kg</x:v>
      </x:c>
      <x:c r="G11" t="n">
        <x:v>2.19</x:v>
      </x:c>
      <x:c r="H11" t="n">
        <x:v>5</x:v>
      </x:c>
      <x:c r="I11" t="str">
        <x:v>within allocation</x:v>
      </x:c>
    </x:row>
    <x:row r="12">
      <x:c r="B12" t="str">
        <x:v>U06</x:v>
      </x:c>
      <x:c r="C12" t="str">
        <x:v>mass</x:v>
      </x:c>
      <x:c r="D12" t="str">
        <x:v>destroyed/products</x:v>
      </x:c>
      <x:c r="E12" t="n">
        <x:v>0.8</x:v>
      </x:c>
      <x:c r="F12" t="str">
        <x:v>kg</x:v>
      </x:c>
      <x:c r="G12" t="n">
        <x:v>2.19</x:v>
      </x:c>
      <x:c r="H12" t="n">
        <x:v>5</x:v>
      </x:c>
      <x:c r="I12" t="str">
        <x:v>within allocation</x:v>
      </x:c>
    </x:row>
    <x:row r="13">
      <x:c r="B13" t="str">
        <x:v>U07</x:v>
      </x:c>
      <x:c r="C13" t="str">
        <x:v>receiver state</x:v>
      </x:c>
      <x:c r="D13" t="str">
        <x:v>receiver pressure</x:v>
      </x:c>
      <x:c r="E13" t="n">
        <x:v>0.00125</x:v>
      </x:c>
      <x:c r="F13" t="str">
        <x:v>MPa</x:v>
      </x:c>
      <x:c r="G13" t="n">
        <x:v>0.0025</x:v>
      </x:c>
      <x:c r="H13" t="n">
        <x:v>0.005</x:v>
      </x:c>
      <x:c r="I13" t="str">
        <x:v>expanded k=2</x:v>
      </x:c>
    </x:row>
    <x:row r="14">
      <x:c r="B14" t="str">
        <x:v>U08</x:v>
      </x:c>
      <x:c r="C14" t="str">
        <x:v>source state</x:v>
      </x:c>
      <x:c r="D14" t="str">
        <x:v>source pressure</x:v>
      </x:c>
      <x:c r="E14" t="n">
        <x:v>0.0025</x:v>
      </x:c>
      <x:c r="F14" t="str">
        <x:v>MPa</x:v>
      </x:c>
      <x:c r="G14" t="n">
        <x:v>0.005</x:v>
      </x:c>
      <x:c r="H14" t="n">
        <x:v>0.01</x:v>
      </x:c>
      <x:c r="I14" t="str">
        <x:v>expanded k=2</x:v>
      </x:c>
    </x:row>
    <x:row r="15">
      <x:c r="B15" t="str">
        <x:v>U09</x:v>
      </x:c>
      <x:c r="C15" t="str">
        <x:v>wave state</x:v>
      </x:c>
      <x:c r="D15" t="str">
        <x:v>route wave</x:v>
      </x:c>
      <x:c r="E15" t="n">
        <x:v>0.005</x:v>
      </x:c>
      <x:c r="F15" t="str">
        <x:v>MPa</x:v>
      </x:c>
      <x:c r="G15" t="n">
        <x:v>0.01</x:v>
      </x:c>
      <x:c r="H15" t="n">
        <x:v>0.02</x:v>
      </x:c>
      <x:c r="I15" t="str">
        <x:v>expanded k=2</x:v>
      </x:c>
    </x:row>
    <x:row r="16">
      <x:c r="B16" t="str">
        <x:v>U10</x:v>
      </x:c>
      <x:c r="C16" t="str">
        <x:v>timing</x:v>
      </x:c>
      <x:c r="D16" t="str">
        <x:v>terminal time</x:v>
      </x:c>
      <x:c r="E16" t="n">
        <x:v>0.125</x:v>
      </x:c>
      <x:c r="F16" t="str">
        <x:v>s</x:v>
      </x:c>
      <x:c r="G16" t="n">
        <x:v>0.25</x:v>
      </x:c>
      <x:c r="H16" t="n">
        <x:v>0.5</x:v>
      </x:c>
      <x:c r="I16" t="str">
        <x:v>expanded k=2</x:v>
      </x:c>
    </x:row>
    <x:row r="17">
      <x:c r="B17" t="str">
        <x:v>U11</x:v>
      </x:c>
      <x:c r="C17" t="str">
        <x:v>geometry</x:v>
      </x:c>
      <x:c r="D17" t="str">
        <x:v>flow area</x:v>
      </x:c>
      <x:c r="E17" t="n">
        <x:v>0.15</x:v>
      </x:c>
      <x:c r="F17" t="str">
        <x:v>%</x:v>
      </x:c>
      <x:c r="G17" t="n">
        <x:v>0.3</x:v>
      </x:c>
      <x:c r="H17" t="n">
        <x:v>0.5</x:v>
      </x:c>
      <x:c r="I17" t="str">
        <x:v>expanded k=2</x:v>
      </x:c>
    </x:row>
    <x:row r="18">
      <x:c r="B18" t="str">
        <x:v>U12</x:v>
      </x:c>
      <x:c r="C18" t="str">
        <x:v>temperature</x:v>
      </x:c>
      <x:c r="D18" t="str">
        <x:v>source temperature</x:v>
      </x:c>
      <x:c r="E18" t="n">
        <x:v>0.125</x:v>
      </x:c>
      <x:c r="F18" t="str">
        <x:v>K</x:v>
      </x:c>
      <x:c r="G18" t="n">
        <x:v>0.25</x:v>
      </x:c>
      <x:c r="H18" t="n">
        <x:v>0.5</x:v>
      </x:c>
      <x:c r="I18" t="str">
        <x:v>expanded k=2</x:v>
      </x:c>
    </x:row>
    <x:row r="19">
      <x:c r="B19" t="str">
        <x:v>U13</x:v>
      </x:c>
      <x:c r="C19" t="str">
        <x:v>thermal</x:v>
      </x:c>
      <x:c r="D19" t="str">
        <x:v>heat flux</x:v>
      </x:c>
      <x:c r="E19" t="n">
        <x:v>1</x:v>
      </x:c>
      <x:c r="F19" t="str">
        <x:v>%</x:v>
      </x:c>
      <x:c r="G19" t="n">
        <x:v>2</x:v>
      </x:c>
      <x:c r="H19" t="n">
        <x:v>3</x:v>
      </x:c>
      <x:c r="I19" t="str">
        <x:v>expanded k=2</x:v>
      </x:c>
    </x:row>
  </x:sheetData>
  <x:conditionalFormatting sqref="N7:N7">
    <x:cfRule type="containsText" dxfId="8" priority="1" operator="containsText" text="FAIL"/>
    <x:cfRule type="containsText" dxfId="9" priority="2" operator="containsText" text="BLOCKED"/>
    <x:cfRule type="containsText" dxfId="10" priority="3" operator="containsText" text="OPEN"/>
    <x:cfRule type="containsText" dxfId="11" priority="4" operator="containsText" text="PASS"/>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2" max="2" width="28" hidden="0" customWidth="1"/>
    <x:col min="3" max="3" width="20" hidden="0" customWidth="1"/>
    <x:col min="4" max="4" width="14" hidden="0" customWidth="1"/>
    <x:col min="5" max="5" width="48" hidden="0" customWidth="1"/>
  </x:cols>
  <x:sheetData>
    <x:row r="2">
      <x:c r="B2" s="1" t="str">
        <x:v>Evidence volume and custody</x:v>
      </x:c>
    </x:row>
    <x:row r="3">
      <x:c r="B3" s="2" t="str">
        <x:v>All raw rates remain native. Reduced-rate tails are additive; copies and custody overhead are explicit.</x:v>
      </x:c>
    </x:row>
    <x:row r="5">
      <x:c r="B5" s="3"/>
      <x:c r="C5" s="3"/>
      <x:c r="D5" s="3"/>
      <x:c r="E5" s="3"/>
      <x:c r="F5" s="3"/>
      <x:c r="G5" s="3"/>
      <x:c r="H5" s="3"/>
      <x:c r="I5" s="3"/>
      <x:c r="J5" s="3"/>
      <x:c r="K5" s="3"/>
      <x:c r="L5" s="3"/>
      <x:c r="M5" s="3"/>
      <x:c r="N5" s="3"/>
      <x:c r="O5" s="3"/>
      <x:c r="P5" s="3"/>
      <x:c r="Q5" s="3"/>
      <x:c r="R5" s="3"/>
    </x:row>
    <x:row r="6" ht="24" customHeight="1">
      <x:c r="B6" s="7" t="str">
        <x:v>Quantity</x:v>
      </x:c>
      <x:c r="C6" s="7" t="str">
        <x:v>Formula/value</x:v>
      </x:c>
      <x:c r="D6" s="7" t="str">
        <x:v>Unit</x:v>
      </x:c>
      <x:c r="E6" s="7" t="str">
        <x:v>Interpretation</x:v>
      </x:c>
    </x:row>
    <x:row r="7">
      <x:c r="B7" t="str">
        <x:v>native channels</x:v>
      </x:c>
      <x:c r="C7" s="15" t="n">
        <x:f>'Channel Register'!D27</x:f>
        <x:v>504</x:v>
      </x:c>
      <x:c r="D7" t="str">
        <x:v>count</x:v>
      </x:c>
      <x:c r="E7" t="str">
        <x:v>preserved functions</x:v>
      </x:c>
    </x:row>
    <x:row r="8">
      <x:c r="B8" t="str">
        <x:v>aggregate native rate</x:v>
      </x:c>
      <x:c r="C8" s="15" t="n">
        <x:f>'Channel Register'!H27</x:f>
        <x:v>288.736</x:v>
      </x:c>
      <x:c r="D8" t="str">
        <x:v>MB/s</x:v>
      </x:c>
      <x:c r="E8" t="str">
        <x:v>uncompressed</x:v>
      </x:c>
    </x:row>
    <x:row r="9">
      <x:c r="B9" t="str">
        <x:v>full-rate payload</x:v>
      </x:c>
      <x:c r="C9" s="15" t="n">
        <x:f>C8*Controls!$D$33/1000</x:f>
        <x:v>86.6208</x:v>
      </x:c>
      <x:c r="D9" t="str">
        <x:v>GB</x:v>
      </x:c>
      <x:c r="E9" t="str">
        <x:v>300-second interval</x:v>
      </x:c>
    </x:row>
    <x:row r="10">
      <x:c r="B10" t="str">
        <x:v>tail payload</x:v>
      </x:c>
      <x:c r="C10" s="15" t="n">
        <x:f>C8*Controls!$D$35*Controls!$D$34/1000</x:f>
        <x:v>62.366976</x:v>
      </x:c>
      <x:c r="D10" t="str">
        <x:v>GB</x:v>
      </x:c>
      <x:c r="E10" t="str">
        <x:v>six-hour reduced-rate tail</x:v>
      </x:c>
    </x:row>
    <x:row r="11">
      <x:c r="B11" t="str">
        <x:v>event volume</x:v>
      </x:c>
      <x:c r="C11" s="15" t="n">
        <x:f>(C9+C10)*Controls!$D$36*Controls!$D$37</x:f>
        <x:v>402.2669952</x:v>
      </x:c>
      <x:c r="D11" t="str">
        <x:v>GB</x:v>
      </x:c>
      <x:c r="E11" t="str">
        <x:v>two originals plus custody</x:v>
      </x:c>
    </x:row>
    <x:row r="12">
      <x:c r="B12" t="str">
        <x:v>campaign raw</x:v>
      </x:c>
      <x:c r="C12" s="15" t="n">
        <x:f>C11*Controls!$D$38/1000</x:f>
        <x:v>123.0937005312</x:v>
      </x:c>
      <x:c r="D12" t="str">
        <x:v>TB</x:v>
      </x:c>
      <x:c r="E12" t="str">
        <x:v>registered events</x:v>
      </x:c>
    </x:row>
    <x:row r="13">
      <x:c r="B13" t="str">
        <x:v>campaign reserve</x:v>
      </x:c>
      <x:c r="C13" s="15" t="n">
        <x:f>C12*1.30</x:f>
        <x:v>160.02181069056002</x:v>
      </x:c>
      <x:c r="D13" t="str">
        <x:v>TB</x:v>
      </x:c>
      <x:c r="E13" t="str">
        <x:v>30 percent reserve</x:v>
      </x:c>
    </x:row>
    <x:row r="14">
      <x:c r="B14" t="str">
        <x:v>custody originals</x:v>
      </x:c>
      <x:c r="C14" s="15" t="n">
        <x:v>12</x:v>
      </x:c>
      <x:c r="D14" t="str">
        <x:v>count</x:v>
      </x:c>
      <x:c r="E14" t="str">
        <x:v>two per campus pair</x:v>
      </x:c>
    </x:row>
    <x:row r="15">
      <x:c r="B15" t="str">
        <x:v>accepted originals</x:v>
      </x:c>
      <x:c r="C15" s="15" t="n">
        <x:v>0</x:v>
      </x:c>
      <x:c r="D15" t="str">
        <x:v>count</x:v>
      </x:c>
      <x:c r="E15" t="str">
        <x:v>physical</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2" hidden="0" customWidth="1"/>
    <x:col min="3" max="3" width="30" hidden="0" customWidth="1"/>
    <x:col min="4" max="4" width="15" hidden="0" customWidth="1"/>
    <x:col min="5" max="5" width="23" hidden="0" customWidth="1"/>
    <x:col min="6" max="6" width="34" hidden="0" customWidth="1"/>
    <x:col min="7" max="7" width="16" hidden="0" customWidth="1"/>
    <x:col min="8" max="8" width="13" hidden="0" customWidth="1"/>
  </x:cols>
  <x:sheetData>
    <x:row r="2">
      <x:c r="B2" s="1" t="str">
        <x:v>Staged source-release sequence</x:v>
      </x:c>
    </x:row>
    <x:row r="3">
      <x:c r="B3" s="2" t="str">
        <x:v>Each stage requires a written disposition. No energetic stage receives implied authority from workbook completeness.</x:v>
      </x:c>
    </x:row>
    <x:row r="5">
      <x:c r="B5" s="3"/>
      <x:c r="C5" s="3"/>
      <x:c r="D5" s="3"/>
      <x:c r="E5" s="3"/>
      <x:c r="F5" s="3"/>
      <x:c r="G5" s="3"/>
      <x:c r="H5" s="3"/>
      <x:c r="I5" s="3"/>
      <x:c r="J5" s="3"/>
      <x:c r="K5" s="3"/>
      <x:c r="L5" s="3"/>
      <x:c r="M5" s="3"/>
      <x:c r="N5" s="3"/>
      <x:c r="O5" s="3"/>
      <x:c r="P5" s="3"/>
      <x:c r="Q5" s="3"/>
      <x:c r="R5" s="3"/>
    </x:row>
    <x:row r="6" ht="24" customHeight="1">
      <x:c r="B6" s="7" t="str">
        <x:v>Stage</x:v>
      </x:c>
      <x:c r="C6" s="7" t="str">
        <x:v>Name</x:v>
      </x:c>
      <x:c r="D6" s="7" t="str">
        <x:v>Inventory</x:v>
      </x:c>
      <x:c r="E6" s="7" t="str">
        <x:v>Medium</x:v>
      </x:c>
      <x:c r="F6" s="7" t="str">
        <x:v>Purpose</x:v>
      </x:c>
      <x:c r="G6" s="7" t="str">
        <x:v>Current class</x:v>
      </x:c>
      <x:c r="H6" s="7" t="str">
        <x:v>Accepted</x:v>
      </x:c>
    </x:row>
    <x:row r="7">
      <x:c r="B7" t="str">
        <x:v>SQ-00</x:v>
      </x:c>
      <x:c r="C7" t="str">
        <x:v>planning/empty mechanical</x:v>
      </x:c>
      <x:c r="D7" t="str">
        <x:v>0</x:v>
      </x:c>
      <x:c r="E7" t="str">
        <x:v>air/no process inventory</x:v>
      </x:c>
      <x:c r="F7" t="str">
        <x:v>geometry, restraints and dry interlocks</x:v>
      </x:c>
      <x:c r="G7" t="str">
        <x:v>planning only</x:v>
      </x:c>
      <x:c r="H7" t="n">
        <x:v>0</x:v>
      </x:c>
    </x:row>
    <x:row r="8">
      <x:c r="B8" t="str">
        <x:v>SQ-01</x:v>
      </x:c>
      <x:c r="C8" t="str">
        <x:v>hydrostatic</x:v>
      </x:c>
      <x:c r="D8" t="str">
        <x:v>0</x:v>
      </x:c>
      <x:c r="E8" t="str">
        <x:v>water</x:v>
      </x:c>
      <x:c r="F8" t="str">
        <x:v>shell, flange and route integrity</x:v>
      </x:c>
      <x:c r="G8" t="str">
        <x:v>physical</x:v>
      </x:c>
      <x:c r="H8" t="n">
        <x:v>0</x:v>
      </x:c>
    </x:row>
    <x:row r="9">
      <x:c r="B9" t="str">
        <x:v>SQ-02</x:v>
      </x:c>
      <x:c r="C9" t="str">
        <x:v>dry functional</x:v>
      </x:c>
      <x:c r="D9" t="str">
        <x:v>0</x:v>
      </x:c>
      <x:c r="E9" t="str">
        <x:v>nitrogen</x:v>
      </x:c>
      <x:c r="F9" t="str">
        <x:v>valves, timing and sensing</x:v>
      </x:c>
      <x:c r="G9" t="str">
        <x:v>physical</x:v>
      </x:c>
      <x:c r="H9" t="n">
        <x:v>0</x:v>
      </x:c>
    </x:row>
    <x:row r="10">
      <x:c r="B10" t="str">
        <x:v>SQ-03</x:v>
      </x:c>
      <x:c r="C10" t="str">
        <x:v>inert two-phase surrogate</x:v>
      </x:c>
      <x:c r="D10" t="str">
        <x:v>scaled</x:v>
      </x:c>
      <x:c r="E10" t="str">
        <x:v>inert surrogate</x:v>
      </x:c>
      <x:c r="F10" t="str">
        <x:v>phase and receiver diagnostics</x:v>
      </x:c>
      <x:c r="G10" t="str">
        <x:v>physical</x:v>
      </x:c>
      <x:c r="H10" t="n">
        <x:v>0</x:v>
      </x:c>
    </x:row>
    <x:row r="11">
      <x:c r="B11" t="str">
        <x:v>SQ-04</x:v>
      </x:c>
      <x:c r="C11" t="str">
        <x:v>cold soak</x:v>
      </x:c>
      <x:c r="D11" t="str">
        <x:v>0</x:v>
      </x:c>
      <x:c r="E11" t="str">
        <x:v>thermal simulant</x:v>
      </x:c>
      <x:c r="F11" t="str">
        <x:v>contraction, ice and insulation</x:v>
      </x:c>
      <x:c r="G11" t="str">
        <x:v>physical</x:v>
      </x:c>
      <x:c r="H11" t="n">
        <x:v>0</x:v>
      </x:c>
    </x:row>
    <x:row r="12">
      <x:c r="B12" t="str">
        <x:v>SQ-05</x:v>
      </x:c>
      <x:c r="C12" t="str">
        <x:v>C1Q quarter-source</x:v>
      </x:c>
      <x:c r="D12" t="str">
        <x:v>500 kg</x:v>
      </x:c>
      <x:c r="E12" t="str">
        <x:v>controlled source</x:v>
      </x:c>
      <x:c r="F12" t="str">
        <x:v>first energetic transient</x:v>
      </x:c>
      <x:c r="G12" t="str">
        <x:v>blocked</x:v>
      </x:c>
      <x:c r="H12" t="n">
        <x:v>0</x:v>
      </x:c>
    </x:row>
    <x:row r="13">
      <x:c r="B13" t="str">
        <x:v>SQ-06</x:v>
      </x:c>
      <x:c r="C13" t="str">
        <x:v>C1 full-source</x:v>
      </x:c>
      <x:c r="D13" t="str">
        <x:v>2,000 kg</x:v>
      </x:c>
      <x:c r="E13" t="str">
        <x:v>controlled source</x:v>
      </x:c>
      <x:c r="F13" t="str">
        <x:v>full transient</x:v>
      </x:c>
      <x:c r="G13" t="str">
        <x:v>blocked</x:v>
      </x:c>
      <x:c r="H13" t="n">
        <x:v>0</x:v>
      </x:c>
    </x:row>
    <x:row r="14">
      <x:c r="B14" t="str">
        <x:v>SQ-07</x:v>
      </x:c>
      <x:c r="C14" t="str">
        <x:v>compound/destructive</x:v>
      </x:c>
      <x:c r="D14" t="str">
        <x:v>2,000 kg</x:v>
      </x:c>
      <x:c r="E14" t="str">
        <x:v>controlled source</x:v>
      </x:c>
      <x:c r="F14" t="str">
        <x:v>failure containment</x:v>
      </x:c>
      <x:c r="G14" t="str">
        <x:v>blocked</x:v>
      </x:c>
      <x:c r="H14" t="n">
        <x:v>0</x:v>
      </x:c>
    </x:row>
    <x:row r="15">
      <x:c r="B15" t="str">
        <x:v>SQ-08</x:v>
      </x:c>
      <x:c r="C15" t="str">
        <x:v>recovery/reset</x:v>
      </x:c>
      <x:c r="D15" t="str">
        <x:v>residual</x:v>
      </x:c>
      <x:c r="E15" t="str">
        <x:v>site-specific</x:v>
      </x:c>
      <x:c r="F15" t="str">
        <x:v>custody and restoration</x:v>
      </x:c>
      <x:c r="G15" t="str">
        <x:v>physical</x:v>
      </x:c>
      <x:c r="H15" t="n">
        <x:v>0</x:v>
      </x:c>
    </x:row>
    <x:row r="16">
      <x:c r="B16" t="str">
        <x:v>SQ-09</x:v>
      </x:c>
      <x:c r="C16" t="str">
        <x:v>independent replication</x:v>
      </x:c>
      <x:c r="D16" t="str">
        <x:v>per protocol</x:v>
      </x:c>
      <x:c r="E16" t="str">
        <x:v>controlled source</x:v>
      </x:c>
      <x:c r="F16" t="str">
        <x:v>PTC-B/PTC-C agreement</x:v>
      </x:c>
      <x:c r="G16" t="str">
        <x:v>blocked</x:v>
      </x:c>
      <x:c r="H16" t="n">
        <x:v>0</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9" hidden="0" customWidth="1"/>
    <x:col min="3" max="3" width="14" hidden="0" customWidth="1"/>
    <x:col min="4" max="4" width="10" hidden="0" customWidth="1"/>
    <x:col min="5" max="5" width="32" hidden="0" customWidth="1"/>
    <x:col min="6" max="6" width="25" hidden="0" customWidth="1"/>
    <x:col min="7" max="7" width="43" hidden="0" customWidth="1"/>
    <x:col min="8" max="8" width="13" hidden="0" customWidth="1"/>
  </x:cols>
  <x:sheetData>
    <x:row r="2">
      <x:c r="B2" s="1" t="str">
        <x:v>Independent safety-path constitution</x:v>
      </x:c>
    </x:row>
    <x:row r="3">
      <x:c r="B3" s="2" t="str">
        <x:v>Every rig has three unlike initiation and actuation paths. Common final elements and remote-only safeing are prohibited.</x:v>
      </x:c>
    </x:row>
    <x:row r="5">
      <x:c r="B5" s="3"/>
      <x:c r="C5" s="3"/>
      <x:c r="D5" s="3"/>
      <x:c r="E5" s="3"/>
      <x:c r="F5" s="3"/>
      <x:c r="G5" s="3"/>
      <x:c r="H5" s="3"/>
      <x:c r="I5" s="3"/>
      <x:c r="J5" s="3"/>
      <x:c r="K5" s="3"/>
      <x:c r="L5" s="3"/>
      <x:c r="M5" s="3"/>
      <x:c r="N5" s="3"/>
      <x:c r="O5" s="3"/>
      <x:c r="P5" s="3"/>
      <x:c r="Q5" s="3"/>
      <x:c r="R5" s="3"/>
    </x:row>
    <x:row r="6" ht="24" customHeight="1">
      <x:c r="B6" s="7" t="str">
        <x:v>Path ID</x:v>
      </x:c>
      <x:c r="C6" s="7" t="str">
        <x:v>Rig</x:v>
      </x:c>
      <x:c r="D6" s="7" t="str">
        <x:v>Path</x:v>
      </x:c>
      <x:c r="E6" s="7" t="str">
        <x:v>Family</x:v>
      </x:c>
      <x:c r="F6" s="7" t="str">
        <x:v>Energy source</x:v>
      </x:c>
      <x:c r="G6" s="7" t="str">
        <x:v>Independence rule</x:v>
      </x:c>
      <x:c r="H6" s="7" t="str">
        <x:v>Accepted</x:v>
      </x:c>
    </x:row>
    <x:row r="7" ht="28" customHeight="1">
      <x:c r="B7" t="str">
        <x:v>RHP-A1-SP1</x:v>
      </x:c>
      <x:c r="C7" t="str">
        <x:v>RHP-A1</x:v>
      </x:c>
      <x:c r="D7" t="n">
        <x:v>1</x:v>
      </x:c>
      <x:c r="E7" t="str">
        <x:v>passive mechanical/thermal</x:v>
      </x:c>
      <x:c r="F7" t="str">
        <x:v>stored mechanical state</x:v>
      </x:c>
      <x:c r="G7" s="16" t="str">
        <x:v>local final element; no shared command path</x:v>
      </x:c>
      <x:c r="H7" t="n">
        <x:v>0</x:v>
      </x:c>
    </x:row>
    <x:row r="8" ht="28" customHeight="1">
      <x:c r="B8" t="str">
        <x:v>RHP-A1-SP2</x:v>
      </x:c>
      <x:c r="C8" t="str">
        <x:v>RHP-A1</x:v>
      </x:c>
      <x:c r="D8" t="n">
        <x:v>2</x:v>
      </x:c>
      <x:c r="E8" t="str">
        <x:v>analog hardwire DC</x:v>
      </x:c>
      <x:c r="F8" t="str">
        <x:v>separate DC supply</x:v>
      </x:c>
      <x:c r="G8" s="16" t="str">
        <x:v>local final element; no shared command path</x:v>
      </x:c>
      <x:c r="H8" t="n">
        <x:v>0</x:v>
      </x:c>
    </x:row>
    <x:row r="9" ht="28" customHeight="1">
      <x:c r="B9" t="str">
        <x:v>RHP-A1-SP3</x:v>
      </x:c>
      <x:c r="C9" t="str">
        <x:v>RHP-A1</x:v>
      </x:c>
      <x:c r="D9" t="n">
        <x:v>3</x:v>
      </x:c>
      <x:c r="E9" t="str">
        <x:v>diverse safety PLC/stored energy</x:v>
      </x:c>
      <x:c r="F9" t="str">
        <x:v>local stored energy</x:v>
      </x:c>
      <x:c r="G9" s="16" t="str">
        <x:v>local final element; no shared command path</x:v>
      </x:c>
      <x:c r="H9" t="n">
        <x:v>0</x:v>
      </x:c>
    </x:row>
    <x:row r="10" ht="28" customHeight="1">
      <x:c r="B10" t="str">
        <x:v>RHP-A2-SP1</x:v>
      </x:c>
      <x:c r="C10" t="str">
        <x:v>RHP-A2</x:v>
      </x:c>
      <x:c r="D10" t="n">
        <x:v>1</x:v>
      </x:c>
      <x:c r="E10" t="str">
        <x:v>passive mechanical/thermal</x:v>
      </x:c>
      <x:c r="F10" t="str">
        <x:v>stored mechanical state</x:v>
      </x:c>
      <x:c r="G10" s="16" t="str">
        <x:v>local final element; no shared command path</x:v>
      </x:c>
      <x:c r="H10" t="n">
        <x:v>0</x:v>
      </x:c>
    </x:row>
    <x:row r="11" ht="28" customHeight="1">
      <x:c r="B11" t="str">
        <x:v>RHP-A2-SP2</x:v>
      </x:c>
      <x:c r="C11" t="str">
        <x:v>RHP-A2</x:v>
      </x:c>
      <x:c r="D11" t="n">
        <x:v>2</x:v>
      </x:c>
      <x:c r="E11" t="str">
        <x:v>analog hardwire DC</x:v>
      </x:c>
      <x:c r="F11" t="str">
        <x:v>separate DC supply</x:v>
      </x:c>
      <x:c r="G11" s="16" t="str">
        <x:v>local final element; no shared command path</x:v>
      </x:c>
      <x:c r="H11" t="n">
        <x:v>0</x:v>
      </x:c>
    </x:row>
    <x:row r="12" ht="28" customHeight="1">
      <x:c r="B12" t="str">
        <x:v>RHP-A2-SP3</x:v>
      </x:c>
      <x:c r="C12" t="str">
        <x:v>RHP-A2</x:v>
      </x:c>
      <x:c r="D12" t="n">
        <x:v>3</x:v>
      </x:c>
      <x:c r="E12" t="str">
        <x:v>diverse safety PLC/stored energy</x:v>
      </x:c>
      <x:c r="F12" t="str">
        <x:v>local stored energy</x:v>
      </x:c>
      <x:c r="G12" s="16" t="str">
        <x:v>local final element; no shared command path</x:v>
      </x:c>
      <x:c r="H12" t="n">
        <x:v>0</x:v>
      </x:c>
    </x:row>
    <x:row r="13" ht="28" customHeight="1">
      <x:c r="B13" t="str">
        <x:v>RHP-B1-SP1</x:v>
      </x:c>
      <x:c r="C13" t="str">
        <x:v>RHP-B1</x:v>
      </x:c>
      <x:c r="D13" t="n">
        <x:v>1</x:v>
      </x:c>
      <x:c r="E13" t="str">
        <x:v>passive mechanical/thermal</x:v>
      </x:c>
      <x:c r="F13" t="str">
        <x:v>stored mechanical state</x:v>
      </x:c>
      <x:c r="G13" s="16" t="str">
        <x:v>local final element; no shared command path</x:v>
      </x:c>
      <x:c r="H13" t="n">
        <x:v>0</x:v>
      </x:c>
    </x:row>
    <x:row r="14" ht="28" customHeight="1">
      <x:c r="B14" t="str">
        <x:v>RHP-B1-SP2</x:v>
      </x:c>
      <x:c r="C14" t="str">
        <x:v>RHP-B1</x:v>
      </x:c>
      <x:c r="D14" t="n">
        <x:v>2</x:v>
      </x:c>
      <x:c r="E14" t="str">
        <x:v>analog hardwire DC</x:v>
      </x:c>
      <x:c r="F14" t="str">
        <x:v>separate DC supply</x:v>
      </x:c>
      <x:c r="G14" s="16" t="str">
        <x:v>local final element; no shared command path</x:v>
      </x:c>
      <x:c r="H14" t="n">
        <x:v>0</x:v>
      </x:c>
    </x:row>
    <x:row r="15" ht="28" customHeight="1">
      <x:c r="B15" t="str">
        <x:v>RHP-B1-SP3</x:v>
      </x:c>
      <x:c r="C15" t="str">
        <x:v>RHP-B1</x:v>
      </x:c>
      <x:c r="D15" t="n">
        <x:v>3</x:v>
      </x:c>
      <x:c r="E15" t="str">
        <x:v>diverse safety PLC/stored energy</x:v>
      </x:c>
      <x:c r="F15" t="str">
        <x:v>local stored energy</x:v>
      </x:c>
      <x:c r="G15" s="16" t="str">
        <x:v>local final element; no shared command path</x:v>
      </x:c>
      <x:c r="H15" t="n">
        <x:v>0</x:v>
      </x:c>
    </x:row>
    <x:row r="16" ht="28" customHeight="1">
      <x:c r="B16" t="str">
        <x:v>RHP-B2-SP1</x:v>
      </x:c>
      <x:c r="C16" t="str">
        <x:v>RHP-B2</x:v>
      </x:c>
      <x:c r="D16" t="n">
        <x:v>1</x:v>
      </x:c>
      <x:c r="E16" t="str">
        <x:v>passive mechanical/thermal</x:v>
      </x:c>
      <x:c r="F16" t="str">
        <x:v>stored mechanical state</x:v>
      </x:c>
      <x:c r="G16" s="16" t="str">
        <x:v>local final element; no shared command path</x:v>
      </x:c>
      <x:c r="H16" t="n">
        <x:v>0</x:v>
      </x:c>
    </x:row>
    <x:row r="17" ht="28" customHeight="1">
      <x:c r="B17" t="str">
        <x:v>RHP-B2-SP2</x:v>
      </x:c>
      <x:c r="C17" t="str">
        <x:v>RHP-B2</x:v>
      </x:c>
      <x:c r="D17" t="n">
        <x:v>2</x:v>
      </x:c>
      <x:c r="E17" t="str">
        <x:v>analog hardwire DC</x:v>
      </x:c>
      <x:c r="F17" t="str">
        <x:v>separate DC supply</x:v>
      </x:c>
      <x:c r="G17" s="16" t="str">
        <x:v>local final element; no shared command path</x:v>
      </x:c>
      <x:c r="H17" t="n">
        <x:v>0</x:v>
      </x:c>
    </x:row>
    <x:row r="18" ht="28" customHeight="1">
      <x:c r="B18" t="str">
        <x:v>RHP-B2-SP3</x:v>
      </x:c>
      <x:c r="C18" t="str">
        <x:v>RHP-B2</x:v>
      </x:c>
      <x:c r="D18" t="n">
        <x:v>3</x:v>
      </x:c>
      <x:c r="E18" t="str">
        <x:v>diverse safety PLC/stored energy</x:v>
      </x:c>
      <x:c r="F18" t="str">
        <x:v>local stored energy</x:v>
      </x:c>
      <x:c r="G18" s="16" t="str">
        <x:v>local final element; no shared command path</x:v>
      </x:c>
      <x:c r="H18" t="n">
        <x:v>0</x:v>
      </x:c>
    </x:row>
    <x:row r="19" ht="28" customHeight="1">
      <x:c r="B19" t="str">
        <x:v>RHP-C1-SP1</x:v>
      </x:c>
      <x:c r="C19" t="str">
        <x:v>RHP-C1</x:v>
      </x:c>
      <x:c r="D19" t="n">
        <x:v>1</x:v>
      </x:c>
      <x:c r="E19" t="str">
        <x:v>passive mechanical/thermal</x:v>
      </x:c>
      <x:c r="F19" t="str">
        <x:v>stored mechanical state</x:v>
      </x:c>
      <x:c r="G19" s="16" t="str">
        <x:v>local final element; no shared command path</x:v>
      </x:c>
      <x:c r="H19" t="n">
        <x:v>0</x:v>
      </x:c>
    </x:row>
    <x:row r="20" ht="28" customHeight="1">
      <x:c r="B20" t="str">
        <x:v>RHP-C1-SP2</x:v>
      </x:c>
      <x:c r="C20" t="str">
        <x:v>RHP-C1</x:v>
      </x:c>
      <x:c r="D20" t="n">
        <x:v>2</x:v>
      </x:c>
      <x:c r="E20" t="str">
        <x:v>analog hardwire DC</x:v>
      </x:c>
      <x:c r="F20" t="str">
        <x:v>separate DC supply</x:v>
      </x:c>
      <x:c r="G20" s="16" t="str">
        <x:v>local final element; no shared command path</x:v>
      </x:c>
      <x:c r="H20" t="n">
        <x:v>0</x:v>
      </x:c>
    </x:row>
    <x:row r="21" ht="28" customHeight="1">
      <x:c r="B21" t="str">
        <x:v>RHP-C1-SP3</x:v>
      </x:c>
      <x:c r="C21" t="str">
        <x:v>RHP-C1</x:v>
      </x:c>
      <x:c r="D21" t="n">
        <x:v>3</x:v>
      </x:c>
      <x:c r="E21" t="str">
        <x:v>diverse safety PLC/stored energy</x:v>
      </x:c>
      <x:c r="F21" t="str">
        <x:v>local stored energy</x:v>
      </x:c>
      <x:c r="G21" s="16" t="str">
        <x:v>local final element; no shared command path</x:v>
      </x:c>
      <x:c r="H21" t="n">
        <x:v>0</x:v>
      </x:c>
    </x:row>
    <x:row r="22" ht="28" customHeight="1">
      <x:c r="B22" t="str">
        <x:v>RHP-C2-SP1</x:v>
      </x:c>
      <x:c r="C22" t="str">
        <x:v>RHP-C2</x:v>
      </x:c>
      <x:c r="D22" t="n">
        <x:v>1</x:v>
      </x:c>
      <x:c r="E22" t="str">
        <x:v>passive mechanical/thermal</x:v>
      </x:c>
      <x:c r="F22" t="str">
        <x:v>stored mechanical state</x:v>
      </x:c>
      <x:c r="G22" s="16" t="str">
        <x:v>local final element; no shared command path</x:v>
      </x:c>
      <x:c r="H22" t="n">
        <x:v>0</x:v>
      </x:c>
    </x:row>
    <x:row r="23" ht="28" customHeight="1">
      <x:c r="B23" t="str">
        <x:v>RHP-C2-SP2</x:v>
      </x:c>
      <x:c r="C23" t="str">
        <x:v>RHP-C2</x:v>
      </x:c>
      <x:c r="D23" t="n">
        <x:v>2</x:v>
      </x:c>
      <x:c r="E23" t="str">
        <x:v>analog hardwire DC</x:v>
      </x:c>
      <x:c r="F23" t="str">
        <x:v>separate DC supply</x:v>
      </x:c>
      <x:c r="G23" s="16" t="str">
        <x:v>local final element; no shared command path</x:v>
      </x:c>
      <x:c r="H23" t="n">
        <x:v>0</x:v>
      </x:c>
    </x:row>
    <x:row r="24" ht="28" customHeight="1">
      <x:c r="B24" t="str">
        <x:v>RHP-C2-SP3</x:v>
      </x:c>
      <x:c r="C24" t="str">
        <x:v>RHP-C2</x:v>
      </x:c>
      <x:c r="D24" t="n">
        <x:v>3</x:v>
      </x:c>
      <x:c r="E24" t="str">
        <x:v>diverse safety PLC/stored energy</x:v>
      </x:c>
      <x:c r="F24" t="str">
        <x:v>local stored energy</x:v>
      </x:c>
      <x:c r="G24" s="16" t="str">
        <x:v>local final element; no shared command path</x:v>
      </x:c>
      <x:c r="H24" t="n">
        <x:v>0</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8" hidden="0" customWidth="1"/>
    <x:col min="3" max="3" width="14" hidden="0" customWidth="1"/>
    <x:col min="4" max="4" width="21" hidden="0" customWidth="1"/>
    <x:col min="5" max="5" width="28" hidden="0" customWidth="1"/>
    <x:col min="6" max="6" width="64" hidden="0" customWidth="1"/>
    <x:col min="7" max="7" width="13" hidden="0" customWidth="1"/>
  </x:cols>
  <x:sheetData>
    <x:row r="2">
      <x:c r="B2" s="1" t="str">
        <x:v>Rescue, recovery and custody packages</x:v>
      </x:c>
    </x:row>
    <x:row r="3">
      <x:c r="B3" s="2" t="str">
        <x:v>A rig cannot enter source service on the strength of a generic campus emergency plan.</x:v>
      </x:c>
    </x:row>
    <x:row r="5">
      <x:c r="B5" s="3"/>
      <x:c r="C5" s="3"/>
      <x:c r="D5" s="3"/>
      <x:c r="E5" s="3"/>
      <x:c r="F5" s="3"/>
      <x:c r="G5" s="3"/>
      <x:c r="H5" s="3"/>
      <x:c r="I5" s="3"/>
      <x:c r="J5" s="3"/>
      <x:c r="K5" s="3"/>
      <x:c r="L5" s="3"/>
      <x:c r="M5" s="3"/>
      <x:c r="N5" s="3"/>
      <x:c r="O5" s="3"/>
      <x:c r="P5" s="3"/>
      <x:c r="Q5" s="3"/>
      <x:c r="R5" s="3"/>
    </x:row>
    <x:row r="6" ht="24" customHeight="1">
      <x:c r="B6" s="7" t="str">
        <x:v>Package</x:v>
      </x:c>
      <x:c r="C6" s="7" t="str">
        <x:v>Rig</x:v>
      </x:c>
      <x:c r="D6" s="7" t="str">
        <x:v>Ownership</x:v>
      </x:c>
      <x:c r="E6" s="7" t="str">
        <x:v>Hazard scope</x:v>
      </x:c>
      <x:c r="F6" s="7" t="str">
        <x:v>Minimum content</x:v>
      </x:c>
      <x:c r="G6" s="7" t="str">
        <x:v>Accepted</x:v>
      </x:c>
    </x:row>
    <x:row r="7" ht="30" customHeight="1">
      <x:c r="B7" t="str">
        <x:v>RHP-A1-RR</x:v>
      </x:c>
      <x:c r="C7" t="str">
        <x:v>RHP-A1</x:v>
      </x:c>
      <x:c r="D7" t="str">
        <x:v>site-owned team</x:v>
      </x:c>
      <x:c r="E7" t="str">
        <x:v>cold/chemical/structural</x:v>
      </x:c>
      <x:c r="F7" s="16" t="str">
        <x:v>independent communications; casualty extraction; contaminated recovery</x:v>
      </x:c>
      <x:c r="G7" t="n">
        <x:v>0</x:v>
      </x:c>
    </x:row>
    <x:row r="8" ht="30" customHeight="1">
      <x:c r="B8" t="str">
        <x:v>RHP-A2-RR</x:v>
      </x:c>
      <x:c r="C8" t="str">
        <x:v>RHP-A2</x:v>
      </x:c>
      <x:c r="D8" t="str">
        <x:v>site-owned team</x:v>
      </x:c>
      <x:c r="E8" t="str">
        <x:v>cold/chemical/structural</x:v>
      </x:c>
      <x:c r="F8" s="16" t="str">
        <x:v>independent communications; casualty extraction; contaminated recovery</x:v>
      </x:c>
      <x:c r="G8" t="n">
        <x:v>0</x:v>
      </x:c>
    </x:row>
    <x:row r="9" ht="30" customHeight="1">
      <x:c r="B9" t="str">
        <x:v>RHP-B1-RR</x:v>
      </x:c>
      <x:c r="C9" t="str">
        <x:v>RHP-B1</x:v>
      </x:c>
      <x:c r="D9" t="str">
        <x:v>site-owned team</x:v>
      </x:c>
      <x:c r="E9" t="str">
        <x:v>cold/chemical/structural</x:v>
      </x:c>
      <x:c r="F9" s="16" t="str">
        <x:v>independent communications; casualty extraction; contaminated recovery</x:v>
      </x:c>
      <x:c r="G9" t="n">
        <x:v>0</x:v>
      </x:c>
    </x:row>
    <x:row r="10" ht="30" customHeight="1">
      <x:c r="B10" t="str">
        <x:v>RHP-B2-RR</x:v>
      </x:c>
      <x:c r="C10" t="str">
        <x:v>RHP-B2</x:v>
      </x:c>
      <x:c r="D10" t="str">
        <x:v>site-owned team</x:v>
      </x:c>
      <x:c r="E10" t="str">
        <x:v>cold/chemical/structural</x:v>
      </x:c>
      <x:c r="F10" s="16" t="str">
        <x:v>independent communications; casualty extraction; contaminated recovery</x:v>
      </x:c>
      <x:c r="G10" t="n">
        <x:v>0</x:v>
      </x:c>
    </x:row>
    <x:row r="11" ht="30" customHeight="1">
      <x:c r="B11" t="str">
        <x:v>RHP-C1-RR</x:v>
      </x:c>
      <x:c r="C11" t="str">
        <x:v>RHP-C1</x:v>
      </x:c>
      <x:c r="D11" t="str">
        <x:v>site-owned team</x:v>
      </x:c>
      <x:c r="E11" t="str">
        <x:v>cold/chemical/structural</x:v>
      </x:c>
      <x:c r="F11" s="16" t="str">
        <x:v>independent communications; casualty extraction; contaminated recovery</x:v>
      </x:c>
      <x:c r="G11" t="n">
        <x:v>0</x:v>
      </x:c>
    </x:row>
    <x:row r="12" ht="30" customHeight="1">
      <x:c r="B12" t="str">
        <x:v>RHP-C2-RR</x:v>
      </x:c>
      <x:c r="C12" t="str">
        <x:v>RHP-C2</x:v>
      </x:c>
      <x:c r="D12" t="str">
        <x:v>site-owned team</x:v>
      </x:c>
      <x:c r="E12" t="str">
        <x:v>cold/chemical/structural</x:v>
      </x:c>
      <x:c r="F12" s="16" t="str">
        <x:v>independent communications; casualty extraction; contaminated recovery</x:v>
      </x:c>
      <x:c r="G12" t="n">
        <x:v>0</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6" hidden="0" customWidth="1"/>
    <x:col min="3" max="3" width="23" hidden="0" customWidth="1"/>
    <x:col min="4" max="4" width="11" hidden="0" customWidth="1"/>
    <x:col min="5" max="5" width="40" hidden="0" customWidth="1"/>
    <x:col min="6" max="6" width="22" hidden="0" customWidth="1"/>
    <x:col min="7" max="7" width="13" hidden="0" customWidth="1"/>
  </x:cols>
  <x:sheetData>
    <x:row r="2">
      <x:c r="B2" s="1" t="str">
        <x:v>Controlled drawing register</x:v>
      </x:c>
    </x:row>
    <x:row r="3">
      <x:c r="B3" s="2" t="str">
        <x:v>Seventy-two internal sheets define the rig well enough to compete construction packages without selecting an architecture.</x:v>
      </x:c>
    </x:row>
    <x:row r="5">
      <x:c r="B5" s="3"/>
      <x:c r="C5" s="3"/>
      <x:c r="D5" s="3"/>
      <x:c r="E5" s="3"/>
      <x:c r="F5" s="3"/>
      <x:c r="G5" s="3"/>
      <x:c r="H5" s="3"/>
      <x:c r="I5" s="3"/>
      <x:c r="J5" s="3"/>
      <x:c r="K5" s="3"/>
      <x:c r="L5" s="3"/>
      <x:c r="M5" s="3"/>
      <x:c r="N5" s="3"/>
      <x:c r="O5" s="3"/>
      <x:c r="P5" s="3"/>
      <x:c r="Q5" s="3"/>
      <x:c r="R5" s="3"/>
    </x:row>
    <x:row r="6" ht="24" customHeight="1">
      <x:c r="B6" s="7" t="str">
        <x:v>Drawing</x:v>
      </x:c>
      <x:c r="C6" s="7" t="str">
        <x:v>Family</x:v>
      </x:c>
      <x:c r="D6" s="7" t="str">
        <x:v>Sequence</x:v>
      </x:c>
      <x:c r="E6" s="7" t="str">
        <x:v>Title</x:v>
      </x:c>
      <x:c r="F6" s="7" t="str">
        <x:v>Authority</x:v>
      </x:c>
      <x:c r="G6" s="7" t="str">
        <x:v>Complete</x:v>
      </x:c>
    </x:row>
    <x:row r="7">
      <x:c r="B7" t="str">
        <x:v>RHP-D001</x:v>
      </x:c>
      <x:c r="C7" t="str">
        <x:v>general</x:v>
      </x:c>
      <x:c r="D7" t="n">
        <x:v>1</x:v>
      </x:c>
      <x:c r="E7" t="str">
        <x:v>controlled general sheet 1</x:v>
      </x:c>
      <x:c r="F7" t="str">
        <x:v>internal design basis</x:v>
      </x:c>
      <x:c r="G7" t="n">
        <x:v>1</x:v>
      </x:c>
    </x:row>
    <x:row r="8">
      <x:c r="B8" t="str">
        <x:v>RHP-D002</x:v>
      </x:c>
      <x:c r="C8" t="str">
        <x:v>general</x:v>
      </x:c>
      <x:c r="D8" t="n">
        <x:v>2</x:v>
      </x:c>
      <x:c r="E8" t="str">
        <x:v>controlled general sheet 2</x:v>
      </x:c>
      <x:c r="F8" t="str">
        <x:v>internal design basis</x:v>
      </x:c>
      <x:c r="G8" t="n">
        <x:v>1</x:v>
      </x:c>
    </x:row>
    <x:row r="9">
      <x:c r="B9" t="str">
        <x:v>RHP-D003</x:v>
      </x:c>
      <x:c r="C9" t="str">
        <x:v>general</x:v>
      </x:c>
      <x:c r="D9" t="n">
        <x:v>3</x:v>
      </x:c>
      <x:c r="E9" t="str">
        <x:v>controlled general sheet 3</x:v>
      </x:c>
      <x:c r="F9" t="str">
        <x:v>internal design basis</x:v>
      </x:c>
      <x:c r="G9" t="n">
        <x:v>1</x:v>
      </x:c>
    </x:row>
    <x:row r="10">
      <x:c r="B10" t="str">
        <x:v>RHP-D004</x:v>
      </x:c>
      <x:c r="C10" t="str">
        <x:v>general</x:v>
      </x:c>
      <x:c r="D10" t="n">
        <x:v>4</x:v>
      </x:c>
      <x:c r="E10" t="str">
        <x:v>controlled general sheet 4</x:v>
      </x:c>
      <x:c r="F10" t="str">
        <x:v>internal design basis</x:v>
      </x:c>
      <x:c r="G10" t="n">
        <x:v>1</x:v>
      </x:c>
    </x:row>
    <x:row r="11">
      <x:c r="B11" t="str">
        <x:v>RHP-D005</x:v>
      </x:c>
      <x:c r="C11" t="str">
        <x:v>general</x:v>
      </x:c>
      <x:c r="D11" t="n">
        <x:v>5</x:v>
      </x:c>
      <x:c r="E11" t="str">
        <x:v>controlled general sheet 5</x:v>
      </x:c>
      <x:c r="F11" t="str">
        <x:v>internal design basis</x:v>
      </x:c>
      <x:c r="G11" t="n">
        <x:v>1</x:v>
      </x:c>
    </x:row>
    <x:row r="12">
      <x:c r="B12" t="str">
        <x:v>RHP-D006</x:v>
      </x:c>
      <x:c r="C12" t="str">
        <x:v>general</x:v>
      </x:c>
      <x:c r="D12" t="n">
        <x:v>6</x:v>
      </x:c>
      <x:c r="E12" t="str">
        <x:v>controlled general sheet 6</x:v>
      </x:c>
      <x:c r="F12" t="str">
        <x:v>internal design basis</x:v>
      </x:c>
      <x:c r="G12" t="n">
        <x:v>1</x:v>
      </x:c>
    </x:row>
    <x:row r="13">
      <x:c r="B13" t="str">
        <x:v>RHP-D007</x:v>
      </x:c>
      <x:c r="C13" t="str">
        <x:v>general</x:v>
      </x:c>
      <x:c r="D13" t="n">
        <x:v>7</x:v>
      </x:c>
      <x:c r="E13" t="str">
        <x:v>controlled general sheet 7</x:v>
      </x:c>
      <x:c r="F13" t="str">
        <x:v>internal design basis</x:v>
      </x:c>
      <x:c r="G13" t="n">
        <x:v>1</x:v>
      </x:c>
    </x:row>
    <x:row r="14">
      <x:c r="B14" t="str">
        <x:v>RHP-D008</x:v>
      </x:c>
      <x:c r="C14" t="str">
        <x:v>general</x:v>
      </x:c>
      <x:c r="D14" t="n">
        <x:v>8</x:v>
      </x:c>
      <x:c r="E14" t="str">
        <x:v>controlled general sheet 8</x:v>
      </x:c>
      <x:c r="F14" t="str">
        <x:v>internal design basis</x:v>
      </x:c>
      <x:c r="G14" t="n">
        <x:v>1</x:v>
      </x:c>
    </x:row>
    <x:row r="15">
      <x:c r="B15" t="str">
        <x:v>RHP-D009</x:v>
      </x:c>
      <x:c r="C15" t="str">
        <x:v>general</x:v>
      </x:c>
      <x:c r="D15" t="n">
        <x:v>9</x:v>
      </x:c>
      <x:c r="E15" t="str">
        <x:v>controlled general sheet 9</x:v>
      </x:c>
      <x:c r="F15" t="str">
        <x:v>internal design basis</x:v>
      </x:c>
      <x:c r="G15" t="n">
        <x:v>1</x:v>
      </x:c>
    </x:row>
    <x:row r="16">
      <x:c r="B16" t="str">
        <x:v>RHP-D010</x:v>
      </x:c>
      <x:c r="C16" t="str">
        <x:v>general</x:v>
      </x:c>
      <x:c r="D16" t="n">
        <x:v>10</x:v>
      </x:c>
      <x:c r="E16" t="str">
        <x:v>controlled general sheet 10</x:v>
      </x:c>
      <x:c r="F16" t="str">
        <x:v>internal design basis</x:v>
      </x:c>
      <x:c r="G16" t="n">
        <x:v>1</x:v>
      </x:c>
    </x:row>
    <x:row r="17">
      <x:c r="B17" t="str">
        <x:v>RHP-D011</x:v>
      </x:c>
      <x:c r="C17" t="str">
        <x:v>source vessel</x:v>
      </x:c>
      <x:c r="D17" t="n">
        <x:v>1</x:v>
      </x:c>
      <x:c r="E17" t="str">
        <x:v>controlled source vessel sheet 1</x:v>
      </x:c>
      <x:c r="F17" t="str">
        <x:v>internal design basis</x:v>
      </x:c>
      <x:c r="G17" t="n">
        <x:v>1</x:v>
      </x:c>
    </x:row>
    <x:row r="18">
      <x:c r="B18" t="str">
        <x:v>RHP-D012</x:v>
      </x:c>
      <x:c r="C18" t="str">
        <x:v>source vessel</x:v>
      </x:c>
      <x:c r="D18" t="n">
        <x:v>2</x:v>
      </x:c>
      <x:c r="E18" t="str">
        <x:v>controlled source vessel sheet 2</x:v>
      </x:c>
      <x:c r="F18" t="str">
        <x:v>internal design basis</x:v>
      </x:c>
      <x:c r="G18" t="n">
        <x:v>1</x:v>
      </x:c>
    </x:row>
    <x:row r="19">
      <x:c r="B19" t="str">
        <x:v>RHP-D013</x:v>
      </x:c>
      <x:c r="C19" t="str">
        <x:v>source vessel</x:v>
      </x:c>
      <x:c r="D19" t="n">
        <x:v>3</x:v>
      </x:c>
      <x:c r="E19" t="str">
        <x:v>controlled source vessel sheet 3</x:v>
      </x:c>
      <x:c r="F19" t="str">
        <x:v>internal design basis</x:v>
      </x:c>
      <x:c r="G19" t="n">
        <x:v>1</x:v>
      </x:c>
    </x:row>
    <x:row r="20">
      <x:c r="B20" t="str">
        <x:v>RHP-D014</x:v>
      </x:c>
      <x:c r="C20" t="str">
        <x:v>source vessel</x:v>
      </x:c>
      <x:c r="D20" t="n">
        <x:v>4</x:v>
      </x:c>
      <x:c r="E20" t="str">
        <x:v>controlled source vessel sheet 4</x:v>
      </x:c>
      <x:c r="F20" t="str">
        <x:v>internal design basis</x:v>
      </x:c>
      <x:c r="G20" t="n">
        <x:v>1</x:v>
      </x:c>
    </x:row>
    <x:row r="21">
      <x:c r="B21" t="str">
        <x:v>RHP-D015</x:v>
      </x:c>
      <x:c r="C21" t="str">
        <x:v>source vessel</x:v>
      </x:c>
      <x:c r="D21" t="n">
        <x:v>5</x:v>
      </x:c>
      <x:c r="E21" t="str">
        <x:v>controlled source vessel sheet 5</x:v>
      </x:c>
      <x:c r="F21" t="str">
        <x:v>internal design basis</x:v>
      </x:c>
      <x:c r="G21" t="n">
        <x:v>1</x:v>
      </x:c>
    </x:row>
    <x:row r="22">
      <x:c r="B22" t="str">
        <x:v>RHP-D016</x:v>
      </x:c>
      <x:c r="C22" t="str">
        <x:v>source vessel</x:v>
      </x:c>
      <x:c r="D22" t="n">
        <x:v>6</x:v>
      </x:c>
      <x:c r="E22" t="str">
        <x:v>controlled source vessel sheet 6</x:v>
      </x:c>
      <x:c r="F22" t="str">
        <x:v>internal design basis</x:v>
      </x:c>
      <x:c r="G22" t="n">
        <x:v>1</x:v>
      </x:c>
    </x:row>
    <x:row r="23">
      <x:c r="B23" t="str">
        <x:v>RHP-D017</x:v>
      </x:c>
      <x:c r="C23" t="str">
        <x:v>source vessel</x:v>
      </x:c>
      <x:c r="D23" t="n">
        <x:v>7</x:v>
      </x:c>
      <x:c r="E23" t="str">
        <x:v>controlled source vessel sheet 7</x:v>
      </x:c>
      <x:c r="F23" t="str">
        <x:v>internal design basis</x:v>
      </x:c>
      <x:c r="G23" t="n">
        <x:v>1</x:v>
      </x:c>
    </x:row>
    <x:row r="24">
      <x:c r="B24" t="str">
        <x:v>RHP-D018</x:v>
      </x:c>
      <x:c r="C24" t="str">
        <x:v>source vessel</x:v>
      </x:c>
      <x:c r="D24" t="n">
        <x:v>8</x:v>
      </x:c>
      <x:c r="E24" t="str">
        <x:v>controlled source vessel sheet 8</x:v>
      </x:c>
      <x:c r="F24" t="str">
        <x:v>internal design basis</x:v>
      </x:c>
      <x:c r="G24" t="n">
        <x:v>1</x:v>
      </x:c>
    </x:row>
    <x:row r="25">
      <x:c r="B25" t="str">
        <x:v>RHP-D019</x:v>
      </x:c>
      <x:c r="C25" t="str">
        <x:v>source vessel</x:v>
      </x:c>
      <x:c r="D25" t="n">
        <x:v>9</x:v>
      </x:c>
      <x:c r="E25" t="str">
        <x:v>controlled source vessel sheet 9</x:v>
      </x:c>
      <x:c r="F25" t="str">
        <x:v>internal design basis</x:v>
      </x:c>
      <x:c r="G25" t="n">
        <x:v>1</x:v>
      </x:c>
    </x:row>
    <x:row r="26">
      <x:c r="B26" t="str">
        <x:v>RHP-D020</x:v>
      </x:c>
      <x:c r="C26" t="str">
        <x:v>source vessel</x:v>
      </x:c>
      <x:c r="D26" t="n">
        <x:v>10</x:v>
      </x:c>
      <x:c r="E26" t="str">
        <x:v>controlled source vessel sheet 10</x:v>
      </x:c>
      <x:c r="F26" t="str">
        <x:v>internal design basis</x:v>
      </x:c>
      <x:c r="G26" t="n">
        <x:v>1</x:v>
      </x:c>
    </x:row>
    <x:row r="27">
      <x:c r="B27" t="str">
        <x:v>RHP-D021</x:v>
      </x:c>
      <x:c r="C27" t="str">
        <x:v>source vessel</x:v>
      </x:c>
      <x:c r="D27" t="n">
        <x:v>11</x:v>
      </x:c>
      <x:c r="E27" t="str">
        <x:v>controlled source vessel sheet 11</x:v>
      </x:c>
      <x:c r="F27" t="str">
        <x:v>internal design basis</x:v>
      </x:c>
      <x:c r="G27" t="n">
        <x:v>1</x:v>
      </x:c>
    </x:row>
    <x:row r="28">
      <x:c r="B28" t="str">
        <x:v>RHP-D022</x:v>
      </x:c>
      <x:c r="C28" t="str">
        <x:v>source vessel</x:v>
      </x:c>
      <x:c r="D28" t="n">
        <x:v>12</x:v>
      </x:c>
      <x:c r="E28" t="str">
        <x:v>controlled source vessel sheet 12</x:v>
      </x:c>
      <x:c r="F28" t="str">
        <x:v>internal design basis</x:v>
      </x:c>
      <x:c r="G28" t="n">
        <x:v>1</x:v>
      </x:c>
    </x:row>
    <x:row r="29">
      <x:c r="B29" t="str">
        <x:v>RHP-D023</x:v>
      </x:c>
      <x:c r="C29" t="str">
        <x:v>thermal boundary</x:v>
      </x:c>
      <x:c r="D29" t="n">
        <x:v>1</x:v>
      </x:c>
      <x:c r="E29" t="str">
        <x:v>controlled thermal boundary sheet 1</x:v>
      </x:c>
      <x:c r="F29" t="str">
        <x:v>internal design basis</x:v>
      </x:c>
      <x:c r="G29" t="n">
        <x:v>1</x:v>
      </x:c>
    </x:row>
    <x:row r="30">
      <x:c r="B30" t="str">
        <x:v>RHP-D024</x:v>
      </x:c>
      <x:c r="C30" t="str">
        <x:v>thermal boundary</x:v>
      </x:c>
      <x:c r="D30" t="n">
        <x:v>2</x:v>
      </x:c>
      <x:c r="E30" t="str">
        <x:v>controlled thermal boundary sheet 2</x:v>
      </x:c>
      <x:c r="F30" t="str">
        <x:v>internal design basis</x:v>
      </x:c>
      <x:c r="G30" t="n">
        <x:v>1</x:v>
      </x:c>
    </x:row>
    <x:row r="31">
      <x:c r="B31" t="str">
        <x:v>RHP-D025</x:v>
      </x:c>
      <x:c r="C31" t="str">
        <x:v>thermal boundary</x:v>
      </x:c>
      <x:c r="D31" t="n">
        <x:v>3</x:v>
      </x:c>
      <x:c r="E31" t="str">
        <x:v>controlled thermal boundary sheet 3</x:v>
      </x:c>
      <x:c r="F31" t="str">
        <x:v>internal design basis</x:v>
      </x:c>
      <x:c r="G31" t="n">
        <x:v>1</x:v>
      </x:c>
    </x:row>
    <x:row r="32">
      <x:c r="B32" t="str">
        <x:v>RHP-D026</x:v>
      </x:c>
      <x:c r="C32" t="str">
        <x:v>thermal boundary</x:v>
      </x:c>
      <x:c r="D32" t="n">
        <x:v>4</x:v>
      </x:c>
      <x:c r="E32" t="str">
        <x:v>controlled thermal boundary sheet 4</x:v>
      </x:c>
      <x:c r="F32" t="str">
        <x:v>internal design basis</x:v>
      </x:c>
      <x:c r="G32" t="n">
        <x:v>1</x:v>
      </x:c>
    </x:row>
    <x:row r="33">
      <x:c r="B33" t="str">
        <x:v>RHP-D027</x:v>
      </x:c>
      <x:c r="C33" t="str">
        <x:v>thermal boundary</x:v>
      </x:c>
      <x:c r="D33" t="n">
        <x:v>5</x:v>
      </x:c>
      <x:c r="E33" t="str">
        <x:v>controlled thermal boundary sheet 5</x:v>
      </x:c>
      <x:c r="F33" t="str">
        <x:v>internal design basis</x:v>
      </x:c>
      <x:c r="G33" t="n">
        <x:v>1</x:v>
      </x:c>
    </x:row>
    <x:row r="34">
      <x:c r="B34" t="str">
        <x:v>RHP-D028</x:v>
      </x:c>
      <x:c r="C34" t="str">
        <x:v>thermal boundary</x:v>
      </x:c>
      <x:c r="D34" t="n">
        <x:v>6</x:v>
      </x:c>
      <x:c r="E34" t="str">
        <x:v>controlled thermal boundary sheet 6</x:v>
      </x:c>
      <x:c r="F34" t="str">
        <x:v>internal design basis</x:v>
      </x:c>
      <x:c r="G34" t="n">
        <x:v>1</x:v>
      </x:c>
    </x:row>
    <x:row r="35">
      <x:c r="B35" t="str">
        <x:v>RHP-D029</x:v>
      </x:c>
      <x:c r="C35" t="str">
        <x:v>thermal boundary</x:v>
      </x:c>
      <x:c r="D35" t="n">
        <x:v>7</x:v>
      </x:c>
      <x:c r="E35" t="str">
        <x:v>controlled thermal boundary sheet 7</x:v>
      </x:c>
      <x:c r="F35" t="str">
        <x:v>internal design basis</x:v>
      </x:c>
      <x:c r="G35" t="n">
        <x:v>1</x:v>
      </x:c>
    </x:row>
    <x:row r="36">
      <x:c r="B36" t="str">
        <x:v>RHP-D030</x:v>
      </x:c>
      <x:c r="C36" t="str">
        <x:v>thermal boundary</x:v>
      </x:c>
      <x:c r="D36" t="n">
        <x:v>8</x:v>
      </x:c>
      <x:c r="E36" t="str">
        <x:v>controlled thermal boundary sheet 8</x:v>
      </x:c>
      <x:c r="F36" t="str">
        <x:v>internal design basis</x:v>
      </x:c>
      <x:c r="G36" t="n">
        <x:v>1</x:v>
      </x:c>
    </x:row>
    <x:row r="37">
      <x:c r="B37" t="str">
        <x:v>RHP-D031</x:v>
      </x:c>
      <x:c r="C37" t="str">
        <x:v>nozzle/cassette</x:v>
      </x:c>
      <x:c r="D37" t="n">
        <x:v>1</x:v>
      </x:c>
      <x:c r="E37" t="str">
        <x:v>controlled nozzle/cassette sheet 1</x:v>
      </x:c>
      <x:c r="F37" t="str">
        <x:v>internal design basis</x:v>
      </x:c>
      <x:c r="G37" t="n">
        <x:v>1</x:v>
      </x:c>
    </x:row>
    <x:row r="38">
      <x:c r="B38" t="str">
        <x:v>RHP-D032</x:v>
      </x:c>
      <x:c r="C38" t="str">
        <x:v>nozzle/cassette</x:v>
      </x:c>
      <x:c r="D38" t="n">
        <x:v>2</x:v>
      </x:c>
      <x:c r="E38" t="str">
        <x:v>controlled nozzle/cassette sheet 2</x:v>
      </x:c>
      <x:c r="F38" t="str">
        <x:v>internal design basis</x:v>
      </x:c>
      <x:c r="G38" t="n">
        <x:v>1</x:v>
      </x:c>
    </x:row>
    <x:row r="39">
      <x:c r="B39" t="str">
        <x:v>RHP-D033</x:v>
      </x:c>
      <x:c r="C39" t="str">
        <x:v>nozzle/cassette</x:v>
      </x:c>
      <x:c r="D39" t="n">
        <x:v>3</x:v>
      </x:c>
      <x:c r="E39" t="str">
        <x:v>controlled nozzle/cassette sheet 3</x:v>
      </x:c>
      <x:c r="F39" t="str">
        <x:v>internal design basis</x:v>
      </x:c>
      <x:c r="G39" t="n">
        <x:v>1</x:v>
      </x:c>
    </x:row>
    <x:row r="40">
      <x:c r="B40" t="str">
        <x:v>RHP-D034</x:v>
      </x:c>
      <x:c r="C40" t="str">
        <x:v>nozzle/cassette</x:v>
      </x:c>
      <x:c r="D40" t="n">
        <x:v>4</x:v>
      </x:c>
      <x:c r="E40" t="str">
        <x:v>controlled nozzle/cassette sheet 4</x:v>
      </x:c>
      <x:c r="F40" t="str">
        <x:v>internal design basis</x:v>
      </x:c>
      <x:c r="G40" t="n">
        <x:v>1</x:v>
      </x:c>
    </x:row>
    <x:row r="41">
      <x:c r="B41" t="str">
        <x:v>RHP-D035</x:v>
      </x:c>
      <x:c r="C41" t="str">
        <x:v>nozzle/cassette</x:v>
      </x:c>
      <x:c r="D41" t="n">
        <x:v>5</x:v>
      </x:c>
      <x:c r="E41" t="str">
        <x:v>controlled nozzle/cassette sheet 5</x:v>
      </x:c>
      <x:c r="F41" t="str">
        <x:v>internal design basis</x:v>
      </x:c>
      <x:c r="G41" t="n">
        <x:v>1</x:v>
      </x:c>
    </x:row>
    <x:row r="42">
      <x:c r="B42" t="str">
        <x:v>RHP-D036</x:v>
      </x:c>
      <x:c r="C42" t="str">
        <x:v>nozzle/cassette</x:v>
      </x:c>
      <x:c r="D42" t="n">
        <x:v>6</x:v>
      </x:c>
      <x:c r="E42" t="str">
        <x:v>controlled nozzle/cassette sheet 6</x:v>
      </x:c>
      <x:c r="F42" t="str">
        <x:v>internal design basis</x:v>
      </x:c>
      <x:c r="G42" t="n">
        <x:v>1</x:v>
      </x:c>
    </x:row>
    <x:row r="43">
      <x:c r="B43" t="str">
        <x:v>RHP-D037</x:v>
      </x:c>
      <x:c r="C43" t="str">
        <x:v>nozzle/cassette</x:v>
      </x:c>
      <x:c r="D43" t="n">
        <x:v>7</x:v>
      </x:c>
      <x:c r="E43" t="str">
        <x:v>controlled nozzle/cassette sheet 7</x:v>
      </x:c>
      <x:c r="F43" t="str">
        <x:v>internal design basis</x:v>
      </x:c>
      <x:c r="G43" t="n">
        <x:v>1</x:v>
      </x:c>
    </x:row>
    <x:row r="44">
      <x:c r="B44" t="str">
        <x:v>RHP-D038</x:v>
      </x:c>
      <x:c r="C44" t="str">
        <x:v>nozzle/cassette</x:v>
      </x:c>
      <x:c r="D44" t="n">
        <x:v>8</x:v>
      </x:c>
      <x:c r="E44" t="str">
        <x:v>controlled nozzle/cassette sheet 8</x:v>
      </x:c>
      <x:c r="F44" t="str">
        <x:v>internal design basis</x:v>
      </x:c>
      <x:c r="G44" t="n">
        <x:v>1</x:v>
      </x:c>
    </x:row>
    <x:row r="45">
      <x:c r="B45" t="str">
        <x:v>RHP-D039</x:v>
      </x:c>
      <x:c r="C45" t="str">
        <x:v>nozzle/cassette</x:v>
      </x:c>
      <x:c r="D45" t="n">
        <x:v>9</x:v>
      </x:c>
      <x:c r="E45" t="str">
        <x:v>controlled nozzle/cassette sheet 9</x:v>
      </x:c>
      <x:c r="F45" t="str">
        <x:v>internal design basis</x:v>
      </x:c>
      <x:c r="G45" t="n">
        <x:v>1</x:v>
      </x:c>
    </x:row>
    <x:row r="46">
      <x:c r="B46" t="str">
        <x:v>RHP-D040</x:v>
      </x:c>
      <x:c r="C46" t="str">
        <x:v>route gallery</x:v>
      </x:c>
      <x:c r="D46" t="n">
        <x:v>1</x:v>
      </x:c>
      <x:c r="E46" t="str">
        <x:v>controlled route gallery sheet 1</x:v>
      </x:c>
      <x:c r="F46" t="str">
        <x:v>internal design basis</x:v>
      </x:c>
      <x:c r="G46" t="n">
        <x:v>1</x:v>
      </x:c>
    </x:row>
    <x:row r="47">
      <x:c r="B47" t="str">
        <x:v>RHP-D041</x:v>
      </x:c>
      <x:c r="C47" t="str">
        <x:v>route gallery</x:v>
      </x:c>
      <x:c r="D47" t="n">
        <x:v>2</x:v>
      </x:c>
      <x:c r="E47" t="str">
        <x:v>controlled route gallery sheet 2</x:v>
      </x:c>
      <x:c r="F47" t="str">
        <x:v>internal design basis</x:v>
      </x:c>
      <x:c r="G47" t="n">
        <x:v>1</x:v>
      </x:c>
    </x:row>
    <x:row r="48">
      <x:c r="B48" t="str">
        <x:v>RHP-D042</x:v>
      </x:c>
      <x:c r="C48" t="str">
        <x:v>route gallery</x:v>
      </x:c>
      <x:c r="D48" t="n">
        <x:v>3</x:v>
      </x:c>
      <x:c r="E48" t="str">
        <x:v>controlled route gallery sheet 3</x:v>
      </x:c>
      <x:c r="F48" t="str">
        <x:v>internal design basis</x:v>
      </x:c>
      <x:c r="G48" t="n">
        <x:v>1</x:v>
      </x:c>
    </x:row>
    <x:row r="49">
      <x:c r="B49" t="str">
        <x:v>RHP-D043</x:v>
      </x:c>
      <x:c r="C49" t="str">
        <x:v>route gallery</x:v>
      </x:c>
      <x:c r="D49" t="n">
        <x:v>4</x:v>
      </x:c>
      <x:c r="E49" t="str">
        <x:v>controlled route gallery sheet 4</x:v>
      </x:c>
      <x:c r="F49" t="str">
        <x:v>internal design basis</x:v>
      </x:c>
      <x:c r="G49" t="n">
        <x:v>1</x:v>
      </x:c>
    </x:row>
    <x:row r="50">
      <x:c r="B50" t="str">
        <x:v>RHP-D044</x:v>
      </x:c>
      <x:c r="C50" t="str">
        <x:v>route gallery</x:v>
      </x:c>
      <x:c r="D50" t="n">
        <x:v>5</x:v>
      </x:c>
      <x:c r="E50" t="str">
        <x:v>controlled route gallery sheet 5</x:v>
      </x:c>
      <x:c r="F50" t="str">
        <x:v>internal design basis</x:v>
      </x:c>
      <x:c r="G50" t="n">
        <x:v>1</x:v>
      </x:c>
    </x:row>
    <x:row r="51">
      <x:c r="B51" t="str">
        <x:v>RHP-D045</x:v>
      </x:c>
      <x:c r="C51" t="str">
        <x:v>route gallery</x:v>
      </x:c>
      <x:c r="D51" t="n">
        <x:v>6</x:v>
      </x:c>
      <x:c r="E51" t="str">
        <x:v>controlled route gallery sheet 6</x:v>
      </x:c>
      <x:c r="F51" t="str">
        <x:v>internal design basis</x:v>
      </x:c>
      <x:c r="G51" t="n">
        <x:v>1</x:v>
      </x:c>
    </x:row>
    <x:row r="52">
      <x:c r="B52" t="str">
        <x:v>RHP-D046</x:v>
      </x:c>
      <x:c r="C52" t="str">
        <x:v>route gallery</x:v>
      </x:c>
      <x:c r="D52" t="n">
        <x:v>7</x:v>
      </x:c>
      <x:c r="E52" t="str">
        <x:v>controlled route gallery sheet 7</x:v>
      </x:c>
      <x:c r="F52" t="str">
        <x:v>internal design basis</x:v>
      </x:c>
      <x:c r="G52" t="n">
        <x:v>1</x:v>
      </x:c>
    </x:row>
    <x:row r="53">
      <x:c r="B53" t="str">
        <x:v>RHP-D047</x:v>
      </x:c>
      <x:c r="C53" t="str">
        <x:v>route gallery</x:v>
      </x:c>
      <x:c r="D53" t="n">
        <x:v>8</x:v>
      </x:c>
      <x:c r="E53" t="str">
        <x:v>controlled route gallery sheet 8</x:v>
      </x:c>
      <x:c r="F53" t="str">
        <x:v>internal design basis</x:v>
      </x:c>
      <x:c r="G53" t="n">
        <x:v>1</x:v>
      </x:c>
    </x:row>
    <x:row r="54">
      <x:c r="B54" t="str">
        <x:v>RHP-D048</x:v>
      </x:c>
      <x:c r="C54" t="str">
        <x:v>route gallery</x:v>
      </x:c>
      <x:c r="D54" t="n">
        <x:v>9</x:v>
      </x:c>
      <x:c r="E54" t="str">
        <x:v>controlled route gallery sheet 9</x:v>
      </x:c>
      <x:c r="F54" t="str">
        <x:v>internal design basis</x:v>
      </x:c>
      <x:c r="G54" t="n">
        <x:v>1</x:v>
      </x:c>
    </x:row>
    <x:row r="55">
      <x:c r="B55" t="str">
        <x:v>RHP-D049</x:v>
      </x:c>
      <x:c r="C55" t="str">
        <x:v>receiver/interface</x:v>
      </x:c>
      <x:c r="D55" t="n">
        <x:v>1</x:v>
      </x:c>
      <x:c r="E55" t="str">
        <x:v>controlled receiver/interface sheet 1</x:v>
      </x:c>
      <x:c r="F55" t="str">
        <x:v>internal design basis</x:v>
      </x:c>
      <x:c r="G55" t="n">
        <x:v>1</x:v>
      </x:c>
    </x:row>
    <x:row r="56">
      <x:c r="B56" t="str">
        <x:v>RHP-D050</x:v>
      </x:c>
      <x:c r="C56" t="str">
        <x:v>receiver/interface</x:v>
      </x:c>
      <x:c r="D56" t="n">
        <x:v>2</x:v>
      </x:c>
      <x:c r="E56" t="str">
        <x:v>controlled receiver/interface sheet 2</x:v>
      </x:c>
      <x:c r="F56" t="str">
        <x:v>internal design basis</x:v>
      </x:c>
      <x:c r="G56" t="n">
        <x:v>1</x:v>
      </x:c>
    </x:row>
    <x:row r="57">
      <x:c r="B57" t="str">
        <x:v>RHP-D051</x:v>
      </x:c>
      <x:c r="C57" t="str">
        <x:v>receiver/interface</x:v>
      </x:c>
      <x:c r="D57" t="n">
        <x:v>3</x:v>
      </x:c>
      <x:c r="E57" t="str">
        <x:v>controlled receiver/interface sheet 3</x:v>
      </x:c>
      <x:c r="F57" t="str">
        <x:v>internal design basis</x:v>
      </x:c>
      <x:c r="G57" t="n">
        <x:v>1</x:v>
      </x:c>
    </x:row>
    <x:row r="58">
      <x:c r="B58" t="str">
        <x:v>RHP-D052</x:v>
      </x:c>
      <x:c r="C58" t="str">
        <x:v>receiver/interface</x:v>
      </x:c>
      <x:c r="D58" t="n">
        <x:v>4</x:v>
      </x:c>
      <x:c r="E58" t="str">
        <x:v>controlled receiver/interface sheet 4</x:v>
      </x:c>
      <x:c r="F58" t="str">
        <x:v>internal design basis</x:v>
      </x:c>
      <x:c r="G58" t="n">
        <x:v>1</x:v>
      </x:c>
    </x:row>
    <x:row r="59">
      <x:c r="B59" t="str">
        <x:v>RHP-D053</x:v>
      </x:c>
      <x:c r="C59" t="str">
        <x:v>receiver/interface</x:v>
      </x:c>
      <x:c r="D59" t="n">
        <x:v>5</x:v>
      </x:c>
      <x:c r="E59" t="str">
        <x:v>controlled receiver/interface sheet 5</x:v>
      </x:c>
      <x:c r="F59" t="str">
        <x:v>internal design basis</x:v>
      </x:c>
      <x:c r="G59" t="n">
        <x:v>1</x:v>
      </x:c>
    </x:row>
    <x:row r="60">
      <x:c r="B60" t="str">
        <x:v>RHP-D054</x:v>
      </x:c>
      <x:c r="C60" t="str">
        <x:v>receiver/interface</x:v>
      </x:c>
      <x:c r="D60" t="n">
        <x:v>6</x:v>
      </x:c>
      <x:c r="E60" t="str">
        <x:v>controlled receiver/interface sheet 6</x:v>
      </x:c>
      <x:c r="F60" t="str">
        <x:v>internal design basis</x:v>
      </x:c>
      <x:c r="G60" t="n">
        <x:v>1</x:v>
      </x:c>
    </x:row>
    <x:row r="61">
      <x:c r="B61" t="str">
        <x:v>RHP-D055</x:v>
      </x:c>
      <x:c r="C61" t="str">
        <x:v>receiver/interface</x:v>
      </x:c>
      <x:c r="D61" t="n">
        <x:v>7</x:v>
      </x:c>
      <x:c r="E61" t="str">
        <x:v>controlled receiver/interface sheet 7</x:v>
      </x:c>
      <x:c r="F61" t="str">
        <x:v>internal design basis</x:v>
      </x:c>
      <x:c r="G61" t="n">
        <x:v>1</x:v>
      </x:c>
    </x:row>
    <x:row r="62">
      <x:c r="B62" t="str">
        <x:v>RHP-D056</x:v>
      </x:c>
      <x:c r="C62" t="str">
        <x:v>receiver/interface</x:v>
      </x:c>
      <x:c r="D62" t="n">
        <x:v>8</x:v>
      </x:c>
      <x:c r="E62" t="str">
        <x:v>controlled receiver/interface sheet 8</x:v>
      </x:c>
      <x:c r="F62" t="str">
        <x:v>internal design basis</x:v>
      </x:c>
      <x:c r="G62" t="n">
        <x:v>1</x:v>
      </x:c>
    </x:row>
    <x:row r="63">
      <x:c r="B63" t="str">
        <x:v>RHP-D057</x:v>
      </x:c>
      <x:c r="C63" t="str">
        <x:v>safety</x:v>
      </x:c>
      <x:c r="D63" t="n">
        <x:v>1</x:v>
      </x:c>
      <x:c r="E63" t="str">
        <x:v>controlled safety sheet 1</x:v>
      </x:c>
      <x:c r="F63" t="str">
        <x:v>internal design basis</x:v>
      </x:c>
      <x:c r="G63" t="n">
        <x:v>1</x:v>
      </x:c>
    </x:row>
    <x:row r="64">
      <x:c r="B64" t="str">
        <x:v>RHP-D058</x:v>
      </x:c>
      <x:c r="C64" t="str">
        <x:v>safety</x:v>
      </x:c>
      <x:c r="D64" t="n">
        <x:v>2</x:v>
      </x:c>
      <x:c r="E64" t="str">
        <x:v>controlled safety sheet 2</x:v>
      </x:c>
      <x:c r="F64" t="str">
        <x:v>internal design basis</x:v>
      </x:c>
      <x:c r="G64" t="n">
        <x:v>1</x:v>
      </x:c>
    </x:row>
    <x:row r="65">
      <x:c r="B65" t="str">
        <x:v>RHP-D059</x:v>
      </x:c>
      <x:c r="C65" t="str">
        <x:v>safety</x:v>
      </x:c>
      <x:c r="D65" t="n">
        <x:v>3</x:v>
      </x:c>
      <x:c r="E65" t="str">
        <x:v>controlled safety sheet 3</x:v>
      </x:c>
      <x:c r="F65" t="str">
        <x:v>internal design basis</x:v>
      </x:c>
      <x:c r="G65" t="n">
        <x:v>1</x:v>
      </x:c>
    </x:row>
    <x:row r="66">
      <x:c r="B66" t="str">
        <x:v>RHP-D060</x:v>
      </x:c>
      <x:c r="C66" t="str">
        <x:v>safety</x:v>
      </x:c>
      <x:c r="D66" t="n">
        <x:v>4</x:v>
      </x:c>
      <x:c r="E66" t="str">
        <x:v>controlled safety sheet 4</x:v>
      </x:c>
      <x:c r="F66" t="str">
        <x:v>internal design basis</x:v>
      </x:c>
      <x:c r="G66" t="n">
        <x:v>1</x:v>
      </x:c>
    </x:row>
    <x:row r="67">
      <x:c r="B67" t="str">
        <x:v>RHP-D061</x:v>
      </x:c>
      <x:c r="C67" t="str">
        <x:v>safety</x:v>
      </x:c>
      <x:c r="D67" t="n">
        <x:v>5</x:v>
      </x:c>
      <x:c r="E67" t="str">
        <x:v>controlled safety sheet 5</x:v>
      </x:c>
      <x:c r="F67" t="str">
        <x:v>internal design basis</x:v>
      </x:c>
      <x:c r="G67" t="n">
        <x:v>1</x:v>
      </x:c>
    </x:row>
    <x:row r="68">
      <x:c r="B68" t="str">
        <x:v>RHP-D062</x:v>
      </x:c>
      <x:c r="C68" t="str">
        <x:v>safety</x:v>
      </x:c>
      <x:c r="D68" t="n">
        <x:v>6</x:v>
      </x:c>
      <x:c r="E68" t="str">
        <x:v>controlled safety sheet 6</x:v>
      </x:c>
      <x:c r="F68" t="str">
        <x:v>internal design basis</x:v>
      </x:c>
      <x:c r="G68" t="n">
        <x:v>1</x:v>
      </x:c>
    </x:row>
    <x:row r="69">
      <x:c r="B69" t="str">
        <x:v>RHP-D063</x:v>
      </x:c>
      <x:c r="C69" t="str">
        <x:v>measurement</x:v>
      </x:c>
      <x:c r="D69" t="n">
        <x:v>1</x:v>
      </x:c>
      <x:c r="E69" t="str">
        <x:v>controlled measurement sheet 1</x:v>
      </x:c>
      <x:c r="F69" t="str">
        <x:v>internal design basis</x:v>
      </x:c>
      <x:c r="G69" t="n">
        <x:v>1</x:v>
      </x:c>
    </x:row>
    <x:row r="70">
      <x:c r="B70" t="str">
        <x:v>RHP-D064</x:v>
      </x:c>
      <x:c r="C70" t="str">
        <x:v>measurement</x:v>
      </x:c>
      <x:c r="D70" t="n">
        <x:v>2</x:v>
      </x:c>
      <x:c r="E70" t="str">
        <x:v>controlled measurement sheet 2</x:v>
      </x:c>
      <x:c r="F70" t="str">
        <x:v>internal design basis</x:v>
      </x:c>
      <x:c r="G70" t="n">
        <x:v>1</x:v>
      </x:c>
    </x:row>
    <x:row r="71">
      <x:c r="B71" t="str">
        <x:v>RHP-D065</x:v>
      </x:c>
      <x:c r="C71" t="str">
        <x:v>measurement</x:v>
      </x:c>
      <x:c r="D71" t="n">
        <x:v>3</x:v>
      </x:c>
      <x:c r="E71" t="str">
        <x:v>controlled measurement sheet 3</x:v>
      </x:c>
      <x:c r="F71" t="str">
        <x:v>internal design basis</x:v>
      </x:c>
      <x:c r="G71" t="n">
        <x:v>1</x:v>
      </x:c>
    </x:row>
    <x:row r="72">
      <x:c r="B72" t="str">
        <x:v>RHP-D066</x:v>
      </x:c>
      <x:c r="C72" t="str">
        <x:v>measurement</x:v>
      </x:c>
      <x:c r="D72" t="n">
        <x:v>4</x:v>
      </x:c>
      <x:c r="E72" t="str">
        <x:v>controlled measurement sheet 4</x:v>
      </x:c>
      <x:c r="F72" t="str">
        <x:v>internal design basis</x:v>
      </x:c>
      <x:c r="G72" t="n">
        <x:v>1</x:v>
      </x:c>
    </x:row>
    <x:row r="73">
      <x:c r="B73" t="str">
        <x:v>RHP-D067</x:v>
      </x:c>
      <x:c r="C73" t="str">
        <x:v>measurement</x:v>
      </x:c>
      <x:c r="D73" t="n">
        <x:v>5</x:v>
      </x:c>
      <x:c r="E73" t="str">
        <x:v>controlled measurement sheet 5</x:v>
      </x:c>
      <x:c r="F73" t="str">
        <x:v>internal design basis</x:v>
      </x:c>
      <x:c r="G73" t="n">
        <x:v>1</x:v>
      </x:c>
    </x:row>
    <x:row r="74">
      <x:c r="B74" t="str">
        <x:v>RHP-D068</x:v>
      </x:c>
      <x:c r="C74" t="str">
        <x:v>measurement</x:v>
      </x:c>
      <x:c r="D74" t="n">
        <x:v>6</x:v>
      </x:c>
      <x:c r="E74" t="str">
        <x:v>controlled measurement sheet 6</x:v>
      </x:c>
      <x:c r="F74" t="str">
        <x:v>internal design basis</x:v>
      </x:c>
      <x:c r="G74" t="n">
        <x:v>1</x:v>
      </x:c>
    </x:row>
    <x:row r="75">
      <x:c r="B75" t="str">
        <x:v>RHP-D069</x:v>
      </x:c>
      <x:c r="C75" t="str">
        <x:v>recovery</x:v>
      </x:c>
      <x:c r="D75" t="n">
        <x:v>1</x:v>
      </x:c>
      <x:c r="E75" t="str">
        <x:v>controlled recovery sheet 1</x:v>
      </x:c>
      <x:c r="F75" t="str">
        <x:v>internal design basis</x:v>
      </x:c>
      <x:c r="G75" t="n">
        <x:v>1</x:v>
      </x:c>
    </x:row>
    <x:row r="76">
      <x:c r="B76" t="str">
        <x:v>RHP-D070</x:v>
      </x:c>
      <x:c r="C76" t="str">
        <x:v>recovery</x:v>
      </x:c>
      <x:c r="D76" t="n">
        <x:v>2</x:v>
      </x:c>
      <x:c r="E76" t="str">
        <x:v>controlled recovery sheet 2</x:v>
      </x:c>
      <x:c r="F76" t="str">
        <x:v>internal design basis</x:v>
      </x:c>
      <x:c r="G76" t="n">
        <x:v>1</x:v>
      </x:c>
    </x:row>
    <x:row r="77">
      <x:c r="B77" t="str">
        <x:v>RHP-D071</x:v>
      </x:c>
      <x:c r="C77" t="str">
        <x:v>recovery</x:v>
      </x:c>
      <x:c r="D77" t="n">
        <x:v>3</x:v>
      </x:c>
      <x:c r="E77" t="str">
        <x:v>controlled recovery sheet 3</x:v>
      </x:c>
      <x:c r="F77" t="str">
        <x:v>internal design basis</x:v>
      </x:c>
      <x:c r="G77" t="n">
        <x:v>1</x:v>
      </x:c>
    </x:row>
    <x:row r="78">
      <x:c r="B78" t="str">
        <x:v>RHP-D072</x:v>
      </x:c>
      <x:c r="C78" t="str">
        <x:v>recovery</x:v>
      </x:c>
      <x:c r="D78" t="n">
        <x:v>4</x:v>
      </x:c>
      <x:c r="E78" t="str">
        <x:v>controlled recovery sheet 4</x:v>
      </x:c>
      <x:c r="F78" t="str">
        <x:v>internal design basis</x:v>
      </x:c>
      <x:c r="G78" t="n">
        <x:v>1</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8" hidden="0" customWidth="1"/>
    <x:col min="3" max="3" width="14" hidden="0" customWidth="1"/>
    <x:col min="4" max="4" width="29" hidden="0" customWidth="1"/>
    <x:col min="5" max="5" width="25" hidden="0" customWidth="1"/>
    <x:col min="6" max="6" width="57" hidden="0" customWidth="1"/>
    <x:col min="7" max="7" width="13" hidden="0" customWidth="1"/>
  </x:cols>
  <x:sheetData>
    <x:row r="2">
      <x:c r="B2" s="1" t="str">
        <x:v>Rig interface-control register</x:v>
      </x:c>
    </x:row>
    <x:row r="3">
      <x:c r="B3" s="2" t="str">
        <x:v>Forty-eight boundaries assign ownership before fabrication and preserve candidate independence.</x:v>
      </x:c>
    </x:row>
    <x:row r="5">
      <x:c r="B5" s="3"/>
      <x:c r="C5" s="3"/>
      <x:c r="D5" s="3"/>
      <x:c r="E5" s="3"/>
      <x:c r="F5" s="3"/>
      <x:c r="G5" s="3"/>
      <x:c r="H5" s="3"/>
      <x:c r="I5" s="3"/>
      <x:c r="J5" s="3"/>
      <x:c r="K5" s="3"/>
      <x:c r="L5" s="3"/>
      <x:c r="M5" s="3"/>
      <x:c r="N5" s="3"/>
      <x:c r="O5" s="3"/>
      <x:c r="P5" s="3"/>
      <x:c r="Q5" s="3"/>
      <x:c r="R5" s="3"/>
    </x:row>
    <x:row r="6" ht="24" customHeight="1">
      <x:c r="B6" s="7" t="str">
        <x:v>Interface</x:v>
      </x:c>
      <x:c r="C6" s="7" t="str">
        <x:v>Rig</x:v>
      </x:c>
      <x:c r="D6" s="7" t="str">
        <x:v>Boundary</x:v>
      </x:c>
      <x:c r="E6" s="7" t="str">
        <x:v>Owner</x:v>
      </x:c>
      <x:c r="F6" s="7" t="str">
        <x:v>Required definition</x:v>
      </x:c>
      <x:c r="G6" s="7" t="str">
        <x:v>Complete</x:v>
      </x:c>
    </x:row>
    <x:row r="7" ht="25" customHeight="1">
      <x:c r="B7" t="str">
        <x:v>RHP-A1-IF1</x:v>
      </x:c>
      <x:c r="C7" t="str">
        <x:v>RHP-A1</x:v>
      </x:c>
      <x:c r="D7" t="str">
        <x:v>source-to-flange</x:v>
      </x:c>
      <x:c r="E7" t="str">
        <x:v>public owner</x:v>
      </x:c>
      <x:c r="F7" s="16" t="str">
        <x:v>dimension, load, state, custody and release boundary</x:v>
      </x:c>
      <x:c r="G7" t="n">
        <x:v>1</x:v>
      </x:c>
    </x:row>
    <x:row r="8" ht="25" customHeight="1">
      <x:c r="B8" t="str">
        <x:v>RHP-A1-IF2</x:v>
      </x:c>
      <x:c r="C8" t="str">
        <x:v>RHP-A1</x:v>
      </x:c>
      <x:c r="D8" t="str">
        <x:v>flange-to-cassette</x:v>
      </x:c>
      <x:c r="E8" t="str">
        <x:v>public owner</x:v>
      </x:c>
      <x:c r="F8" s="16" t="str">
        <x:v>dimension, load, state, custody and release boundary</x:v>
      </x:c>
      <x:c r="G8" t="n">
        <x:v>1</x:v>
      </x:c>
    </x:row>
    <x:row r="9" ht="25" customHeight="1">
      <x:c r="B9" t="str">
        <x:v>RHP-A1-IF3</x:v>
      </x:c>
      <x:c r="C9" t="str">
        <x:v>RHP-A1</x:v>
      </x:c>
      <x:c r="D9" t="str">
        <x:v>cassette-to-route</x:v>
      </x:c>
      <x:c r="E9" t="str">
        <x:v>candidate/public split</x:v>
      </x:c>
      <x:c r="F9" s="16" t="str">
        <x:v>dimension, load, state, custody and release boundary</x:v>
      </x:c>
      <x:c r="G9" t="n">
        <x:v>1</x:v>
      </x:c>
    </x:row>
    <x:row r="10" ht="25" customHeight="1">
      <x:c r="B10" t="str">
        <x:v>RHP-A1-IF4</x:v>
      </x:c>
      <x:c r="C10" t="str">
        <x:v>RHP-A1</x:v>
      </x:c>
      <x:c r="D10" t="str">
        <x:v>route-to-restriction</x:v>
      </x:c>
      <x:c r="E10" t="str">
        <x:v>candidate/public split</x:v>
      </x:c>
      <x:c r="F10" s="16" t="str">
        <x:v>dimension, load, state, custody and release boundary</x:v>
      </x:c>
      <x:c r="G10" t="n">
        <x:v>1</x:v>
      </x:c>
    </x:row>
    <x:row r="11" ht="25" customHeight="1">
      <x:c r="B11" t="str">
        <x:v>RHP-A1-IF5</x:v>
      </x:c>
      <x:c r="C11" t="str">
        <x:v>RHP-A1</x:v>
      </x:c>
      <x:c r="D11" t="str">
        <x:v>route-to-receiver</x:v>
      </x:c>
      <x:c r="E11" t="str">
        <x:v>candidate/public split</x:v>
      </x:c>
      <x:c r="F11" s="16" t="str">
        <x:v>dimension, load, state, custody and release boundary</x:v>
      </x:c>
      <x:c r="G11" t="n">
        <x:v>1</x:v>
      </x:c>
    </x:row>
    <x:row r="12" ht="25" customHeight="1">
      <x:c r="B12" t="str">
        <x:v>RHP-A1-IF6</x:v>
      </x:c>
      <x:c r="C12" t="str">
        <x:v>RHP-A1</x:v>
      </x:c>
      <x:c r="D12" t="str">
        <x:v>receiver-to-holder</x:v>
      </x:c>
      <x:c r="E12" t="str">
        <x:v>candidate/public split</x:v>
      </x:c>
      <x:c r="F12" s="16" t="str">
        <x:v>dimension, load, state, custody and release boundary</x:v>
      </x:c>
      <x:c r="G12" t="n">
        <x:v>1</x:v>
      </x:c>
    </x:row>
    <x:row r="13" ht="25" customHeight="1">
      <x:c r="B13" t="str">
        <x:v>RHP-A1-IF7</x:v>
      </x:c>
      <x:c r="C13" t="str">
        <x:v>RHP-A1</x:v>
      </x:c>
      <x:c r="D13" t="str">
        <x:v>safety-to-final-element</x:v>
      </x:c>
      <x:c r="E13" t="str">
        <x:v>independent authority</x:v>
      </x:c>
      <x:c r="F13" s="16" t="str">
        <x:v>dimension, load, state, custody and release boundary</x:v>
      </x:c>
      <x:c r="G13" t="n">
        <x:v>1</x:v>
      </x:c>
    </x:row>
    <x:row r="14" ht="25" customHeight="1">
      <x:c r="B14" t="str">
        <x:v>RHP-A1-IF8</x:v>
      </x:c>
      <x:c r="C14" t="str">
        <x:v>RHP-A1</x:v>
      </x:c>
      <x:c r="D14" t="str">
        <x:v>evidence-to-custody</x:v>
      </x:c>
      <x:c r="E14" t="str">
        <x:v>independent authority</x:v>
      </x:c>
      <x:c r="F14" s="16" t="str">
        <x:v>dimension, load, state, custody and release boundary</x:v>
      </x:c>
      <x:c r="G14" t="n">
        <x:v>1</x:v>
      </x:c>
    </x:row>
    <x:row r="15" ht="25" customHeight="1">
      <x:c r="B15" t="str">
        <x:v>RHP-A2-IF1</x:v>
      </x:c>
      <x:c r="C15" t="str">
        <x:v>RHP-A2</x:v>
      </x:c>
      <x:c r="D15" t="str">
        <x:v>source-to-flange</x:v>
      </x:c>
      <x:c r="E15" t="str">
        <x:v>public owner</x:v>
      </x:c>
      <x:c r="F15" s="16" t="str">
        <x:v>dimension, load, state, custody and release boundary</x:v>
      </x:c>
      <x:c r="G15" t="n">
        <x:v>1</x:v>
      </x:c>
    </x:row>
    <x:row r="16" ht="25" customHeight="1">
      <x:c r="B16" t="str">
        <x:v>RHP-A2-IF2</x:v>
      </x:c>
      <x:c r="C16" t="str">
        <x:v>RHP-A2</x:v>
      </x:c>
      <x:c r="D16" t="str">
        <x:v>flange-to-cassette</x:v>
      </x:c>
      <x:c r="E16" t="str">
        <x:v>public owner</x:v>
      </x:c>
      <x:c r="F16" s="16" t="str">
        <x:v>dimension, load, state, custody and release boundary</x:v>
      </x:c>
      <x:c r="G16" t="n">
        <x:v>1</x:v>
      </x:c>
    </x:row>
    <x:row r="17" ht="25" customHeight="1">
      <x:c r="B17" t="str">
        <x:v>RHP-A2-IF3</x:v>
      </x:c>
      <x:c r="C17" t="str">
        <x:v>RHP-A2</x:v>
      </x:c>
      <x:c r="D17" t="str">
        <x:v>cassette-to-route</x:v>
      </x:c>
      <x:c r="E17" t="str">
        <x:v>candidate/public split</x:v>
      </x:c>
      <x:c r="F17" s="16" t="str">
        <x:v>dimension, load, state, custody and release boundary</x:v>
      </x:c>
      <x:c r="G17" t="n">
        <x:v>1</x:v>
      </x:c>
    </x:row>
    <x:row r="18" ht="25" customHeight="1">
      <x:c r="B18" t="str">
        <x:v>RHP-A2-IF4</x:v>
      </x:c>
      <x:c r="C18" t="str">
        <x:v>RHP-A2</x:v>
      </x:c>
      <x:c r="D18" t="str">
        <x:v>route-to-restriction</x:v>
      </x:c>
      <x:c r="E18" t="str">
        <x:v>candidate/public split</x:v>
      </x:c>
      <x:c r="F18" s="16" t="str">
        <x:v>dimension, load, state, custody and release boundary</x:v>
      </x:c>
      <x:c r="G18" t="n">
        <x:v>1</x:v>
      </x:c>
    </x:row>
    <x:row r="19" ht="25" customHeight="1">
      <x:c r="B19" t="str">
        <x:v>RHP-A2-IF5</x:v>
      </x:c>
      <x:c r="C19" t="str">
        <x:v>RHP-A2</x:v>
      </x:c>
      <x:c r="D19" t="str">
        <x:v>route-to-receiver</x:v>
      </x:c>
      <x:c r="E19" t="str">
        <x:v>candidate/public split</x:v>
      </x:c>
      <x:c r="F19" s="16" t="str">
        <x:v>dimension, load, state, custody and release boundary</x:v>
      </x:c>
      <x:c r="G19" t="n">
        <x:v>1</x:v>
      </x:c>
    </x:row>
    <x:row r="20" ht="25" customHeight="1">
      <x:c r="B20" t="str">
        <x:v>RHP-A2-IF6</x:v>
      </x:c>
      <x:c r="C20" t="str">
        <x:v>RHP-A2</x:v>
      </x:c>
      <x:c r="D20" t="str">
        <x:v>receiver-to-holder</x:v>
      </x:c>
      <x:c r="E20" t="str">
        <x:v>candidate/public split</x:v>
      </x:c>
      <x:c r="F20" s="16" t="str">
        <x:v>dimension, load, state, custody and release boundary</x:v>
      </x:c>
      <x:c r="G20" t="n">
        <x:v>1</x:v>
      </x:c>
    </x:row>
    <x:row r="21" ht="25" customHeight="1">
      <x:c r="B21" t="str">
        <x:v>RHP-A2-IF7</x:v>
      </x:c>
      <x:c r="C21" t="str">
        <x:v>RHP-A2</x:v>
      </x:c>
      <x:c r="D21" t="str">
        <x:v>safety-to-final-element</x:v>
      </x:c>
      <x:c r="E21" t="str">
        <x:v>independent authority</x:v>
      </x:c>
      <x:c r="F21" s="16" t="str">
        <x:v>dimension, load, state, custody and release boundary</x:v>
      </x:c>
      <x:c r="G21" t="n">
        <x:v>1</x:v>
      </x:c>
    </x:row>
    <x:row r="22" ht="25" customHeight="1">
      <x:c r="B22" t="str">
        <x:v>RHP-A2-IF8</x:v>
      </x:c>
      <x:c r="C22" t="str">
        <x:v>RHP-A2</x:v>
      </x:c>
      <x:c r="D22" t="str">
        <x:v>evidence-to-custody</x:v>
      </x:c>
      <x:c r="E22" t="str">
        <x:v>independent authority</x:v>
      </x:c>
      <x:c r="F22" s="16" t="str">
        <x:v>dimension, load, state, custody and release boundary</x:v>
      </x:c>
      <x:c r="G22" t="n">
        <x:v>1</x:v>
      </x:c>
    </x:row>
    <x:row r="23" ht="25" customHeight="1">
      <x:c r="B23" t="str">
        <x:v>RHP-B1-IF1</x:v>
      </x:c>
      <x:c r="C23" t="str">
        <x:v>RHP-B1</x:v>
      </x:c>
      <x:c r="D23" t="str">
        <x:v>source-to-flange</x:v>
      </x:c>
      <x:c r="E23" t="str">
        <x:v>public owner</x:v>
      </x:c>
      <x:c r="F23" s="16" t="str">
        <x:v>dimension, load, state, custody and release boundary</x:v>
      </x:c>
      <x:c r="G23" t="n">
        <x:v>1</x:v>
      </x:c>
    </x:row>
    <x:row r="24" ht="25" customHeight="1">
      <x:c r="B24" t="str">
        <x:v>RHP-B1-IF2</x:v>
      </x:c>
      <x:c r="C24" t="str">
        <x:v>RHP-B1</x:v>
      </x:c>
      <x:c r="D24" t="str">
        <x:v>flange-to-cassette</x:v>
      </x:c>
      <x:c r="E24" t="str">
        <x:v>public owner</x:v>
      </x:c>
      <x:c r="F24" s="16" t="str">
        <x:v>dimension, load, state, custody and release boundary</x:v>
      </x:c>
      <x:c r="G24" t="n">
        <x:v>1</x:v>
      </x:c>
    </x:row>
    <x:row r="25" ht="25" customHeight="1">
      <x:c r="B25" t="str">
        <x:v>RHP-B1-IF3</x:v>
      </x:c>
      <x:c r="C25" t="str">
        <x:v>RHP-B1</x:v>
      </x:c>
      <x:c r="D25" t="str">
        <x:v>cassette-to-route</x:v>
      </x:c>
      <x:c r="E25" t="str">
        <x:v>candidate/public split</x:v>
      </x:c>
      <x:c r="F25" s="16" t="str">
        <x:v>dimension, load, state, custody and release boundary</x:v>
      </x:c>
      <x:c r="G25" t="n">
        <x:v>1</x:v>
      </x:c>
    </x:row>
    <x:row r="26" ht="25" customHeight="1">
      <x:c r="B26" t="str">
        <x:v>RHP-B1-IF4</x:v>
      </x:c>
      <x:c r="C26" t="str">
        <x:v>RHP-B1</x:v>
      </x:c>
      <x:c r="D26" t="str">
        <x:v>route-to-restriction</x:v>
      </x:c>
      <x:c r="E26" t="str">
        <x:v>candidate/public split</x:v>
      </x:c>
      <x:c r="F26" s="16" t="str">
        <x:v>dimension, load, state, custody and release boundary</x:v>
      </x:c>
      <x:c r="G26" t="n">
        <x:v>1</x:v>
      </x:c>
    </x:row>
    <x:row r="27" ht="25" customHeight="1">
      <x:c r="B27" t="str">
        <x:v>RHP-B1-IF5</x:v>
      </x:c>
      <x:c r="C27" t="str">
        <x:v>RHP-B1</x:v>
      </x:c>
      <x:c r="D27" t="str">
        <x:v>route-to-receiver</x:v>
      </x:c>
      <x:c r="E27" t="str">
        <x:v>candidate/public split</x:v>
      </x:c>
      <x:c r="F27" s="16" t="str">
        <x:v>dimension, load, state, custody and release boundary</x:v>
      </x:c>
      <x:c r="G27" t="n">
        <x:v>1</x:v>
      </x:c>
    </x:row>
    <x:row r="28" ht="25" customHeight="1">
      <x:c r="B28" t="str">
        <x:v>RHP-B1-IF6</x:v>
      </x:c>
      <x:c r="C28" t="str">
        <x:v>RHP-B1</x:v>
      </x:c>
      <x:c r="D28" t="str">
        <x:v>receiver-to-holder</x:v>
      </x:c>
      <x:c r="E28" t="str">
        <x:v>candidate/public split</x:v>
      </x:c>
      <x:c r="F28" s="16" t="str">
        <x:v>dimension, load, state, custody and release boundary</x:v>
      </x:c>
      <x:c r="G28" t="n">
        <x:v>1</x:v>
      </x:c>
    </x:row>
    <x:row r="29" ht="25" customHeight="1">
      <x:c r="B29" t="str">
        <x:v>RHP-B1-IF7</x:v>
      </x:c>
      <x:c r="C29" t="str">
        <x:v>RHP-B1</x:v>
      </x:c>
      <x:c r="D29" t="str">
        <x:v>safety-to-final-element</x:v>
      </x:c>
      <x:c r="E29" t="str">
        <x:v>independent authority</x:v>
      </x:c>
      <x:c r="F29" s="16" t="str">
        <x:v>dimension, load, state, custody and release boundary</x:v>
      </x:c>
      <x:c r="G29" t="n">
        <x:v>1</x:v>
      </x:c>
    </x:row>
    <x:row r="30" ht="25" customHeight="1">
      <x:c r="B30" t="str">
        <x:v>RHP-B1-IF8</x:v>
      </x:c>
      <x:c r="C30" t="str">
        <x:v>RHP-B1</x:v>
      </x:c>
      <x:c r="D30" t="str">
        <x:v>evidence-to-custody</x:v>
      </x:c>
      <x:c r="E30" t="str">
        <x:v>independent authority</x:v>
      </x:c>
      <x:c r="F30" s="16" t="str">
        <x:v>dimension, load, state, custody and release boundary</x:v>
      </x:c>
      <x:c r="G30" t="n">
        <x:v>1</x:v>
      </x:c>
    </x:row>
    <x:row r="31" ht="25" customHeight="1">
      <x:c r="B31" t="str">
        <x:v>RHP-B2-IF1</x:v>
      </x:c>
      <x:c r="C31" t="str">
        <x:v>RHP-B2</x:v>
      </x:c>
      <x:c r="D31" t="str">
        <x:v>source-to-flange</x:v>
      </x:c>
      <x:c r="E31" t="str">
        <x:v>public owner</x:v>
      </x:c>
      <x:c r="F31" s="16" t="str">
        <x:v>dimension, load, state, custody and release boundary</x:v>
      </x:c>
      <x:c r="G31" t="n">
        <x:v>1</x:v>
      </x:c>
    </x:row>
    <x:row r="32" ht="25" customHeight="1">
      <x:c r="B32" t="str">
        <x:v>RHP-B2-IF2</x:v>
      </x:c>
      <x:c r="C32" t="str">
        <x:v>RHP-B2</x:v>
      </x:c>
      <x:c r="D32" t="str">
        <x:v>flange-to-cassette</x:v>
      </x:c>
      <x:c r="E32" t="str">
        <x:v>public owner</x:v>
      </x:c>
      <x:c r="F32" s="16" t="str">
        <x:v>dimension, load, state, custody and release boundary</x:v>
      </x:c>
      <x:c r="G32" t="n">
        <x:v>1</x:v>
      </x:c>
    </x:row>
    <x:row r="33" ht="25" customHeight="1">
      <x:c r="B33" t="str">
        <x:v>RHP-B2-IF3</x:v>
      </x:c>
      <x:c r="C33" t="str">
        <x:v>RHP-B2</x:v>
      </x:c>
      <x:c r="D33" t="str">
        <x:v>cassette-to-route</x:v>
      </x:c>
      <x:c r="E33" t="str">
        <x:v>candidate/public split</x:v>
      </x:c>
      <x:c r="F33" s="16" t="str">
        <x:v>dimension, load, state, custody and release boundary</x:v>
      </x:c>
      <x:c r="G33" t="n">
        <x:v>1</x:v>
      </x:c>
    </x:row>
    <x:row r="34" ht="25" customHeight="1">
      <x:c r="B34" t="str">
        <x:v>RHP-B2-IF4</x:v>
      </x:c>
      <x:c r="C34" t="str">
        <x:v>RHP-B2</x:v>
      </x:c>
      <x:c r="D34" t="str">
        <x:v>route-to-restriction</x:v>
      </x:c>
      <x:c r="E34" t="str">
        <x:v>candidate/public split</x:v>
      </x:c>
      <x:c r="F34" s="16" t="str">
        <x:v>dimension, load, state, custody and release boundary</x:v>
      </x:c>
      <x:c r="G34" t="n">
        <x:v>1</x:v>
      </x:c>
    </x:row>
    <x:row r="35" ht="25" customHeight="1">
      <x:c r="B35" t="str">
        <x:v>RHP-B2-IF5</x:v>
      </x:c>
      <x:c r="C35" t="str">
        <x:v>RHP-B2</x:v>
      </x:c>
      <x:c r="D35" t="str">
        <x:v>route-to-receiver</x:v>
      </x:c>
      <x:c r="E35" t="str">
        <x:v>candidate/public split</x:v>
      </x:c>
      <x:c r="F35" s="16" t="str">
        <x:v>dimension, load, state, custody and release boundary</x:v>
      </x:c>
      <x:c r="G35" t="n">
        <x:v>1</x:v>
      </x:c>
    </x:row>
    <x:row r="36" ht="25" customHeight="1">
      <x:c r="B36" t="str">
        <x:v>RHP-B2-IF6</x:v>
      </x:c>
      <x:c r="C36" t="str">
        <x:v>RHP-B2</x:v>
      </x:c>
      <x:c r="D36" t="str">
        <x:v>receiver-to-holder</x:v>
      </x:c>
      <x:c r="E36" t="str">
        <x:v>candidate/public split</x:v>
      </x:c>
      <x:c r="F36" s="16" t="str">
        <x:v>dimension, load, state, custody and release boundary</x:v>
      </x:c>
      <x:c r="G36" t="n">
        <x:v>1</x:v>
      </x:c>
    </x:row>
    <x:row r="37" ht="25" customHeight="1">
      <x:c r="B37" t="str">
        <x:v>RHP-B2-IF7</x:v>
      </x:c>
      <x:c r="C37" t="str">
        <x:v>RHP-B2</x:v>
      </x:c>
      <x:c r="D37" t="str">
        <x:v>safety-to-final-element</x:v>
      </x:c>
      <x:c r="E37" t="str">
        <x:v>independent authority</x:v>
      </x:c>
      <x:c r="F37" s="16" t="str">
        <x:v>dimension, load, state, custody and release boundary</x:v>
      </x:c>
      <x:c r="G37" t="n">
        <x:v>1</x:v>
      </x:c>
    </x:row>
    <x:row r="38" ht="25" customHeight="1">
      <x:c r="B38" t="str">
        <x:v>RHP-B2-IF8</x:v>
      </x:c>
      <x:c r="C38" t="str">
        <x:v>RHP-B2</x:v>
      </x:c>
      <x:c r="D38" t="str">
        <x:v>evidence-to-custody</x:v>
      </x:c>
      <x:c r="E38" t="str">
        <x:v>independent authority</x:v>
      </x:c>
      <x:c r="F38" s="16" t="str">
        <x:v>dimension, load, state, custody and release boundary</x:v>
      </x:c>
      <x:c r="G38" t="n">
        <x:v>1</x:v>
      </x:c>
    </x:row>
    <x:row r="39" ht="25" customHeight="1">
      <x:c r="B39" t="str">
        <x:v>RHP-C1-IF1</x:v>
      </x:c>
      <x:c r="C39" t="str">
        <x:v>RHP-C1</x:v>
      </x:c>
      <x:c r="D39" t="str">
        <x:v>source-to-flange</x:v>
      </x:c>
      <x:c r="E39" t="str">
        <x:v>public owner</x:v>
      </x:c>
      <x:c r="F39" s="16" t="str">
        <x:v>dimension, load, state, custody and release boundary</x:v>
      </x:c>
      <x:c r="G39" t="n">
        <x:v>1</x:v>
      </x:c>
    </x:row>
    <x:row r="40" ht="25" customHeight="1">
      <x:c r="B40" t="str">
        <x:v>RHP-C1-IF2</x:v>
      </x:c>
      <x:c r="C40" t="str">
        <x:v>RHP-C1</x:v>
      </x:c>
      <x:c r="D40" t="str">
        <x:v>flange-to-cassette</x:v>
      </x:c>
      <x:c r="E40" t="str">
        <x:v>public owner</x:v>
      </x:c>
      <x:c r="F40" s="16" t="str">
        <x:v>dimension, load, state, custody and release boundary</x:v>
      </x:c>
      <x:c r="G40" t="n">
        <x:v>1</x:v>
      </x:c>
    </x:row>
    <x:row r="41" ht="25" customHeight="1">
      <x:c r="B41" t="str">
        <x:v>RHP-C1-IF3</x:v>
      </x:c>
      <x:c r="C41" t="str">
        <x:v>RHP-C1</x:v>
      </x:c>
      <x:c r="D41" t="str">
        <x:v>cassette-to-route</x:v>
      </x:c>
      <x:c r="E41" t="str">
        <x:v>candidate/public split</x:v>
      </x:c>
      <x:c r="F41" s="16" t="str">
        <x:v>dimension, load, state, custody and release boundary</x:v>
      </x:c>
      <x:c r="G41" t="n">
        <x:v>1</x:v>
      </x:c>
    </x:row>
    <x:row r="42" ht="25" customHeight="1">
      <x:c r="B42" t="str">
        <x:v>RHP-C1-IF4</x:v>
      </x:c>
      <x:c r="C42" t="str">
        <x:v>RHP-C1</x:v>
      </x:c>
      <x:c r="D42" t="str">
        <x:v>route-to-restriction</x:v>
      </x:c>
      <x:c r="E42" t="str">
        <x:v>candidate/public split</x:v>
      </x:c>
      <x:c r="F42" s="16" t="str">
        <x:v>dimension, load, state, custody and release boundary</x:v>
      </x:c>
      <x:c r="G42" t="n">
        <x:v>1</x:v>
      </x:c>
    </x:row>
    <x:row r="43" ht="25" customHeight="1">
      <x:c r="B43" t="str">
        <x:v>RHP-C1-IF5</x:v>
      </x:c>
      <x:c r="C43" t="str">
        <x:v>RHP-C1</x:v>
      </x:c>
      <x:c r="D43" t="str">
        <x:v>route-to-receiver</x:v>
      </x:c>
      <x:c r="E43" t="str">
        <x:v>candidate/public split</x:v>
      </x:c>
      <x:c r="F43" s="16" t="str">
        <x:v>dimension, load, state, custody and release boundary</x:v>
      </x:c>
      <x:c r="G43" t="n">
        <x:v>1</x:v>
      </x:c>
    </x:row>
    <x:row r="44" ht="25" customHeight="1">
      <x:c r="B44" t="str">
        <x:v>RHP-C1-IF6</x:v>
      </x:c>
      <x:c r="C44" t="str">
        <x:v>RHP-C1</x:v>
      </x:c>
      <x:c r="D44" t="str">
        <x:v>receiver-to-holder</x:v>
      </x:c>
      <x:c r="E44" t="str">
        <x:v>candidate/public split</x:v>
      </x:c>
      <x:c r="F44" s="16" t="str">
        <x:v>dimension, load, state, custody and release boundary</x:v>
      </x:c>
      <x:c r="G44" t="n">
        <x:v>1</x:v>
      </x:c>
    </x:row>
    <x:row r="45" ht="25" customHeight="1">
      <x:c r="B45" t="str">
        <x:v>RHP-C1-IF7</x:v>
      </x:c>
      <x:c r="C45" t="str">
        <x:v>RHP-C1</x:v>
      </x:c>
      <x:c r="D45" t="str">
        <x:v>safety-to-final-element</x:v>
      </x:c>
      <x:c r="E45" t="str">
        <x:v>independent authority</x:v>
      </x:c>
      <x:c r="F45" s="16" t="str">
        <x:v>dimension, load, state, custody and release boundary</x:v>
      </x:c>
      <x:c r="G45" t="n">
        <x:v>1</x:v>
      </x:c>
    </x:row>
    <x:row r="46" ht="25" customHeight="1">
      <x:c r="B46" t="str">
        <x:v>RHP-C1-IF8</x:v>
      </x:c>
      <x:c r="C46" t="str">
        <x:v>RHP-C1</x:v>
      </x:c>
      <x:c r="D46" t="str">
        <x:v>evidence-to-custody</x:v>
      </x:c>
      <x:c r="E46" t="str">
        <x:v>independent authority</x:v>
      </x:c>
      <x:c r="F46" s="16" t="str">
        <x:v>dimension, load, state, custody and release boundary</x:v>
      </x:c>
      <x:c r="G46" t="n">
        <x:v>1</x:v>
      </x:c>
    </x:row>
    <x:row r="47" ht="25" customHeight="1">
      <x:c r="B47" t="str">
        <x:v>RHP-C2-IF1</x:v>
      </x:c>
      <x:c r="C47" t="str">
        <x:v>RHP-C2</x:v>
      </x:c>
      <x:c r="D47" t="str">
        <x:v>source-to-flange</x:v>
      </x:c>
      <x:c r="E47" t="str">
        <x:v>public owner</x:v>
      </x:c>
      <x:c r="F47" s="16" t="str">
        <x:v>dimension, load, state, custody and release boundary</x:v>
      </x:c>
      <x:c r="G47" t="n">
        <x:v>1</x:v>
      </x:c>
    </x:row>
    <x:row r="48" ht="25" customHeight="1">
      <x:c r="B48" t="str">
        <x:v>RHP-C2-IF2</x:v>
      </x:c>
      <x:c r="C48" t="str">
        <x:v>RHP-C2</x:v>
      </x:c>
      <x:c r="D48" t="str">
        <x:v>flange-to-cassette</x:v>
      </x:c>
      <x:c r="E48" t="str">
        <x:v>public owner</x:v>
      </x:c>
      <x:c r="F48" s="16" t="str">
        <x:v>dimension, load, state, custody and release boundary</x:v>
      </x:c>
      <x:c r="G48" t="n">
        <x:v>1</x:v>
      </x:c>
    </x:row>
    <x:row r="49" ht="25" customHeight="1">
      <x:c r="B49" t="str">
        <x:v>RHP-C2-IF3</x:v>
      </x:c>
      <x:c r="C49" t="str">
        <x:v>RHP-C2</x:v>
      </x:c>
      <x:c r="D49" t="str">
        <x:v>cassette-to-route</x:v>
      </x:c>
      <x:c r="E49" t="str">
        <x:v>candidate/public split</x:v>
      </x:c>
      <x:c r="F49" s="16" t="str">
        <x:v>dimension, load, state, custody and release boundary</x:v>
      </x:c>
      <x:c r="G49" t="n">
        <x:v>1</x:v>
      </x:c>
    </x:row>
    <x:row r="50" ht="25" customHeight="1">
      <x:c r="B50" t="str">
        <x:v>RHP-C2-IF4</x:v>
      </x:c>
      <x:c r="C50" t="str">
        <x:v>RHP-C2</x:v>
      </x:c>
      <x:c r="D50" t="str">
        <x:v>route-to-restriction</x:v>
      </x:c>
      <x:c r="E50" t="str">
        <x:v>candidate/public split</x:v>
      </x:c>
      <x:c r="F50" s="16" t="str">
        <x:v>dimension, load, state, custody and release boundary</x:v>
      </x:c>
      <x:c r="G50" t="n">
        <x:v>1</x:v>
      </x:c>
    </x:row>
    <x:row r="51" ht="25" customHeight="1">
      <x:c r="B51" t="str">
        <x:v>RHP-C2-IF5</x:v>
      </x:c>
      <x:c r="C51" t="str">
        <x:v>RHP-C2</x:v>
      </x:c>
      <x:c r="D51" t="str">
        <x:v>route-to-receiver</x:v>
      </x:c>
      <x:c r="E51" t="str">
        <x:v>candidate/public split</x:v>
      </x:c>
      <x:c r="F51" s="16" t="str">
        <x:v>dimension, load, state, custody and release boundary</x:v>
      </x:c>
      <x:c r="G51" t="n">
        <x:v>1</x:v>
      </x:c>
    </x:row>
    <x:row r="52" ht="25" customHeight="1">
      <x:c r="B52" t="str">
        <x:v>RHP-C2-IF6</x:v>
      </x:c>
      <x:c r="C52" t="str">
        <x:v>RHP-C2</x:v>
      </x:c>
      <x:c r="D52" t="str">
        <x:v>receiver-to-holder</x:v>
      </x:c>
      <x:c r="E52" t="str">
        <x:v>candidate/public split</x:v>
      </x:c>
      <x:c r="F52" s="16" t="str">
        <x:v>dimension, load, state, custody and release boundary</x:v>
      </x:c>
      <x:c r="G52" t="n">
        <x:v>1</x:v>
      </x:c>
    </x:row>
    <x:row r="53" ht="25" customHeight="1">
      <x:c r="B53" t="str">
        <x:v>RHP-C2-IF7</x:v>
      </x:c>
      <x:c r="C53" t="str">
        <x:v>RHP-C2</x:v>
      </x:c>
      <x:c r="D53" t="str">
        <x:v>safety-to-final-element</x:v>
      </x:c>
      <x:c r="E53" t="str">
        <x:v>independent authority</x:v>
      </x:c>
      <x:c r="F53" s="16" t="str">
        <x:v>dimension, load, state, custody and release boundary</x:v>
      </x:c>
      <x:c r="G53" t="n">
        <x:v>1</x:v>
      </x:c>
    </x:row>
    <x:row r="54" ht="25" customHeight="1">
      <x:c r="B54" t="str">
        <x:v>RHP-C2-IF8</x:v>
      </x:c>
      <x:c r="C54" t="str">
        <x:v>RHP-C2</x:v>
      </x:c>
      <x:c r="D54" t="str">
        <x:v>evidence-to-custody</x:v>
      </x:c>
      <x:c r="E54" t="str">
        <x:v>independent authority</x:v>
      </x:c>
      <x:c r="F54" s="16" t="str">
        <x:v>dimension, load, state, custody and release boundary</x:v>
      </x:c>
      <x:c r="G54" t="n">
        <x:v>1</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1" hidden="0" customWidth="1"/>
    <x:col min="3" max="3" width="36" hidden="0" customWidth="1"/>
    <x:col min="4" max="4" width="15" hidden="0" customWidth="1"/>
    <x:col min="5" max="5" width="15" hidden="0" customWidth="1"/>
    <x:col min="6" max="6" width="26" hidden="0" customWidth="1"/>
    <x:col min="7" max="7" width="34" hidden="0" customWidth="1"/>
    <x:col min="8" max="8" width="13" hidden="0" customWidth="1"/>
  </x:cols>
  <x:sheetData>
    <x:row r="2">
      <x:c r="B2" s="1" t="str">
        <x:v>Thirty-month rig realization schedule</x:v>
      </x:c>
    </x:row>
    <x:row r="3">
      <x:c r="B3" s="2" t="str">
        <x:v>The schedule ends at handover readiness; energetic execution remains governed by separate source-release authority.</x:v>
      </x:c>
    </x:row>
    <x:row r="5">
      <x:c r="B5" s="3"/>
      <x:c r="C5" s="3"/>
      <x:c r="D5" s="3"/>
      <x:c r="E5" s="3"/>
      <x:c r="F5" s="3"/>
      <x:c r="G5" s="3"/>
      <x:c r="H5" s="3"/>
      <x:c r="I5" s="3"/>
      <x:c r="J5" s="3"/>
      <x:c r="K5" s="3"/>
      <x:c r="L5" s="3"/>
      <x:c r="M5" s="3"/>
      <x:c r="N5" s="3"/>
      <x:c r="O5" s="3"/>
      <x:c r="P5" s="3"/>
      <x:c r="Q5" s="3"/>
      <x:c r="R5" s="3"/>
    </x:row>
    <x:row r="6" ht="24" customHeight="1">
      <x:c r="B6" s="7" t="str">
        <x:v>Phase</x:v>
      </x:c>
      <x:c r="C6" s="7" t="str">
        <x:v>Work package</x:v>
      </x:c>
      <x:c r="D6" s="7" t="str">
        <x:v>Start month</x:v>
      </x:c>
      <x:c r="E6" s="7" t="str">
        <x:v>End month</x:v>
      </x:c>
      <x:c r="F6" s="7" t="str">
        <x:v>Owner</x:v>
      </x:c>
      <x:c r="G6" s="7" t="str">
        <x:v>Exit evidence</x:v>
      </x:c>
      <x:c r="H6" s="7" t="str">
        <x:v>Complete</x:v>
      </x:c>
    </x:row>
    <x:row r="7">
      <x:c r="B7" t="str">
        <x:v>P01</x:v>
      </x:c>
      <x:c r="C7" t="str">
        <x:v>constitution and hazard basis</x:v>
      </x:c>
      <x:c r="D7" t="n">
        <x:v>1</x:v>
      </x:c>
      <x:c r="E7" t="n">
        <x:v>3</x:v>
      </x:c>
      <x:c r="F7" t="str">
        <x:v>authority</x:v>
      </x:c>
      <x:c r="G7" t="str">
        <x:v>controlled design basis</x:v>
      </x:c>
      <x:c r="H7" t="n">
        <x:v>1</x:v>
      </x:c>
    </x:row>
    <x:row r="8">
      <x:c r="B8" t="str">
        <x:v>P02</x:v>
      </x:c>
      <x:c r="C8" t="str">
        <x:v>site enabling</x:v>
      </x:c>
      <x:c r="D8" t="n">
        <x:v>2</x:v>
      </x:c>
      <x:c r="E8" t="n">
        <x:v>8</x:v>
      </x:c>
      <x:c r="F8" t="str">
        <x:v>campus owners</x:v>
      </x:c>
      <x:c r="G8" t="str">
        <x:v>civil readiness</x:v>
      </x:c>
      <x:c r="H8" t="n">
        <x:v>1</x:v>
      </x:c>
    </x:row>
    <x:row r="9">
      <x:c r="B9" t="str">
        <x:v>P03</x:v>
      </x:c>
      <x:c r="C9" t="str">
        <x:v>source-vessel design</x:v>
      </x:c>
      <x:c r="D9" t="n">
        <x:v>2</x:v>
      </x:c>
      <x:c r="E9" t="n">
        <x:v>9</x:v>
      </x:c>
      <x:c r="F9" t="str">
        <x:v>public rig integrator</x:v>
      </x:c>
      <x:c r="G9" t="str">
        <x:v>sealed package</x:v>
      </x:c>
      <x:c r="H9" t="n">
        <x:v>1</x:v>
      </x:c>
    </x:row>
    <x:row r="10">
      <x:c r="B10" t="str">
        <x:v>P04</x:v>
      </x:c>
      <x:c r="C10" t="str">
        <x:v>thermal-zone development</x:v>
      </x:c>
      <x:c r="D10" t="n">
        <x:v>3</x:v>
      </x:c>
      <x:c r="E10" t="n">
        <x:v>10</x:v>
      </x:c>
      <x:c r="F10" t="str">
        <x:v>thermal team</x:v>
      </x:c>
      <x:c r="G10" t="str">
        <x:v>metering package</x:v>
      </x:c>
      <x:c r="H10" t="n">
        <x:v>1</x:v>
      </x:c>
    </x:row>
    <x:row r="11">
      <x:c r="B11" t="str">
        <x:v>P05</x:v>
      </x:c>
      <x:c r="C11" t="str">
        <x:v>route-gallery build</x:v>
      </x:c>
      <x:c r="D11" t="n">
        <x:v>5</x:v>
      </x:c>
      <x:c r="E11" t="n">
        <x:v>14</x:v>
      </x:c>
      <x:c r="F11" t="str">
        <x:v>civil/mechanical</x:v>
      </x:c>
      <x:c r="G11" t="str">
        <x:v>three bays each</x:v>
      </x:c>
      <x:c r="H11" t="n">
        <x:v>1</x:v>
      </x:c>
    </x:row>
    <x:row r="12">
      <x:c r="B12" t="str">
        <x:v>P06</x:v>
      </x:c>
      <x:c r="C12" t="str">
        <x:v>receiver-pad build</x:v>
      </x:c>
      <x:c r="D12" t="n">
        <x:v>7</x:v>
      </x:c>
      <x:c r="E12" t="n">
        <x:v>15</x:v>
      </x:c>
      <x:c r="F12" t="str">
        <x:v>civil/mechanical</x:v>
      </x:c>
      <x:c r="G12" t="str">
        <x:v>load acceptance plan</x:v>
      </x:c>
      <x:c r="H12" t="n">
        <x:v>1</x:v>
      </x:c>
    </x:row>
    <x:row r="13">
      <x:c r="B13" t="str">
        <x:v>P07</x:v>
      </x:c>
      <x:c r="C13" t="str">
        <x:v>instrument integration</x:v>
      </x:c>
      <x:c r="D13" t="n">
        <x:v>9</x:v>
      </x:c>
      <x:c r="E13" t="n">
        <x:v>18</x:v>
      </x:c>
      <x:c r="F13" t="str">
        <x:v>evidence team</x:v>
      </x:c>
      <x:c r="G13" t="str">
        <x:v>plane calibration plan</x:v>
      </x:c>
      <x:c r="H13" t="n">
        <x:v>1</x:v>
      </x:c>
    </x:row>
    <x:row r="14">
      <x:c r="B14" t="str">
        <x:v>P08</x:v>
      </x:c>
      <x:c r="C14" t="str">
        <x:v>safety/rescue integration</x:v>
      </x:c>
      <x:c r="D14" t="n">
        <x:v>10</x:v>
      </x:c>
      <x:c r="E14" t="n">
        <x:v>19</x:v>
      </x:c>
      <x:c r="F14" t="str">
        <x:v>independent authority</x:v>
      </x:c>
      <x:c r="G14" t="str">
        <x:v>three paths each</x:v>
      </x:c>
      <x:c r="H14" t="n">
        <x:v>1</x:v>
      </x:c>
    </x:row>
    <x:row r="15">
      <x:c r="B15" t="str">
        <x:v>P09</x:v>
      </x:c>
      <x:c r="C15" t="str">
        <x:v>empty and hydro acceptance</x:v>
      </x:c>
      <x:c r="D15" t="n">
        <x:v>18</x:v>
      </x:c>
      <x:c r="E15" t="n">
        <x:v>22</x:v>
      </x:c>
      <x:c r="F15" t="str">
        <x:v>acceptance board</x:v>
      </x:c>
      <x:c r="G15" t="str">
        <x:v>rig acceptance</x:v>
      </x:c>
      <x:c r="H15" t="n">
        <x:v>1</x:v>
      </x:c>
    </x:row>
    <x:row r="16">
      <x:c r="B16" t="str">
        <x:v>P10</x:v>
      </x:c>
      <x:c r="C16" t="str">
        <x:v>dry and inert sequence</x:v>
      </x:c>
      <x:c r="D16" t="n">
        <x:v>21</x:v>
      </x:c>
      <x:c r="E16" t="n">
        <x:v>25</x:v>
      </x:c>
      <x:c r="F16" t="str">
        <x:v>source board</x:v>
      </x:c>
      <x:c r="G16" t="str">
        <x:v>stage dispositions</x:v>
      </x:c>
      <x:c r="H16" t="n">
        <x:v>1</x:v>
      </x:c>
    </x:row>
    <x:row r="17">
      <x:c r="B17" t="str">
        <x:v>P11</x:v>
      </x:c>
      <x:c r="C17" t="str">
        <x:v>cold and quarter-source readiness</x:v>
      </x:c>
      <x:c r="D17" t="n">
        <x:v>24</x:v>
      </x:c>
      <x:c r="E17" t="n">
        <x:v>28</x:v>
      </x:c>
      <x:c r="F17" t="str">
        <x:v>source board</x:v>
      </x:c>
      <x:c r="G17" t="str">
        <x:v>authority remains separate</x:v>
      </x:c>
      <x:c r="H17" t="n">
        <x:v>1</x:v>
      </x:c>
    </x:row>
    <x:row r="18">
      <x:c r="B18" t="str">
        <x:v>P12</x:v>
      </x:c>
      <x:c r="C18" t="str">
        <x:v>campaign handover</x:v>
      </x:c>
      <x:c r="D18" t="n">
        <x:v>28</x:v>
      </x:c>
      <x:c r="E18" t="n">
        <x:v>30</x:v>
      </x:c>
      <x:c r="F18" t="str">
        <x:v>RHT board</x:v>
      </x:c>
      <x:c r="G18" t="str">
        <x:v>configuration custody</x:v>
      </x:c>
      <x:c r="H18" t="n">
        <x:v>1</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40" hidden="0" customWidth="1"/>
    <x:col min="3" max="3" width="16" hidden="0" customWidth="1"/>
    <x:col min="4" max="4" width="15" hidden="0" customWidth="1"/>
    <x:col min="5" max="5" width="18" hidden="0" customWidth="1"/>
  </x:cols>
  <x:sheetData>
    <x:row r="2">
      <x:c r="B2" s="1" t="str">
        <x:v>Mission workforce</x:v>
      </x:c>
    </x:row>
    <x:row r="3">
      <x:c r="B3" s="2" t="str">
        <x:v>The establishment is dedicated to rig construction, safe operation and evidence custody; it is not a contractor labor estimate.</x:v>
      </x:c>
    </x:row>
    <x:row r="5">
      <x:c r="B5" s="3"/>
      <x:c r="C5" s="3"/>
      <x:c r="D5" s="3"/>
      <x:c r="E5" s="3"/>
      <x:c r="F5" s="3"/>
      <x:c r="G5" s="3"/>
      <x:c r="H5" s="3"/>
      <x:c r="I5" s="3"/>
      <x:c r="J5" s="3"/>
      <x:c r="K5" s="3"/>
      <x:c r="L5" s="3"/>
      <x:c r="M5" s="3"/>
      <x:c r="N5" s="3"/>
      <x:c r="O5" s="3"/>
      <x:c r="P5" s="3"/>
      <x:c r="Q5" s="3"/>
      <x:c r="R5" s="3"/>
    </x:row>
    <x:row r="6" ht="24" customHeight="1">
      <x:c r="B6" s="7" t="str">
        <x:v>Function</x:v>
      </x:c>
      <x:c r="C6" s="7" t="str">
        <x:v>Positions</x:v>
      </x:c>
      <x:c r="D6" s="7" t="str">
        <x:v>Share</x:v>
      </x:c>
      <x:c r="E6" s="7" t="str">
        <x:v>Planning state</x:v>
      </x:c>
    </x:row>
    <x:row r="7">
      <x:c r="B7" t="str">
        <x:v>physics and transient methods</x:v>
      </x:c>
      <x:c r="C7" t="n">
        <x:v>40</x:v>
      </x:c>
      <x:c r="D7" t="n">
        <x:f>C7/Controls!$D$40</x:f>
        <x:v>0.10752688172043011</x:v>
      </x:c>
      <x:c r="E7" t="str">
        <x:f>IF(C7&gt;0,"PASS","GAP")</x:f>
        <x:v>PASS</x:v>
      </x:c>
    </x:row>
    <x:row r="8">
      <x:c r="B8" t="str">
        <x:v>rig operations</x:v>
      </x:c>
      <x:c r="C8" t="n">
        <x:v>60</x:v>
      </x:c>
      <x:c r="D8" t="n">
        <x:f>C8/Controls!$D$40</x:f>
        <x:v>0.16129032258064516</x:v>
      </x:c>
      <x:c r="E8" t="str">
        <x:f>IF(C8&gt;0,"PASS","GAP")</x:f>
        <x:v>PASS</x:v>
      </x:c>
    </x:row>
    <x:row r="9">
      <x:c r="B9" t="str">
        <x:v>source/media operations</x:v>
      </x:c>
      <x:c r="C9" t="n">
        <x:v>32</x:v>
      </x:c>
      <x:c r="D9" t="n">
        <x:f>C9/Controls!$D$40</x:f>
        <x:v>0.08602150537634409</x:v>
      </x:c>
      <x:c r="E9" t="str">
        <x:f>IF(C9&gt;0,"PASS","GAP")</x:f>
        <x:v>PASS</x:v>
      </x:c>
    </x:row>
    <x:row r="10">
      <x:c r="B10" t="str">
        <x:v>instrumentation and evidence</x:v>
      </x:c>
      <x:c r="C10" t="n">
        <x:v>48</x:v>
      </x:c>
      <x:c r="D10" t="n">
        <x:f>C10/Controls!$D$40</x:f>
        <x:v>0.12903225806451613</x:v>
      </x:c>
      <x:c r="E10" t="str">
        <x:f>IF(C10&gt;0,"PASS","GAP")</x:f>
        <x:v>PASS</x:v>
      </x:c>
    </x:row>
    <x:row r="11">
      <x:c r="B11" t="str">
        <x:v>safety and rescue</x:v>
      </x:c>
      <x:c r="C11" t="n">
        <x:v>42</x:v>
      </x:c>
      <x:c r="D11" t="n">
        <x:f>C11/Controls!$D$40</x:f>
        <x:v>0.11290322580645161</x:v>
      </x:c>
      <x:c r="E11" t="str">
        <x:f>IF(C11&gt;0,"PASS","GAP")</x:f>
        <x:v>PASS</x:v>
      </x:c>
    </x:row>
    <x:row r="12">
      <x:c r="B12" t="str">
        <x:v>civil and mechanical</x:v>
      </x:c>
      <x:c r="C12" t="n">
        <x:v>46</x:v>
      </x:c>
      <x:c r="D12" t="n">
        <x:f>C12/Controls!$D$40</x:f>
        <x:v>0.12365591397849462</x:v>
      </x:c>
      <x:c r="E12" t="str">
        <x:f>IF(C12&gt;0,"PASS","GAP")</x:f>
        <x:v>PASS</x:v>
      </x:c>
    </x:row>
    <x:row r="13">
      <x:c r="B13" t="str">
        <x:v>thermal and process</x:v>
      </x:c>
      <x:c r="C13" t="n">
        <x:v>38</x:v>
      </x:c>
      <x:c r="D13" t="n">
        <x:f>C13/Controls!$D$40</x:f>
        <x:v>0.10215053763440861</x:v>
      </x:c>
      <x:c r="E13" t="str">
        <x:f>IF(C13&gt;0,"PASS","GAP")</x:f>
        <x:v>PASS</x:v>
      </x:c>
    </x:row>
    <x:row r="14">
      <x:c r="B14" t="str">
        <x:v>authority and data</x:v>
      </x:c>
      <x:c r="C14" t="n">
        <x:v>24</x:v>
      </x:c>
      <x:c r="D14" t="n">
        <x:f>C14/Controls!$D$40</x:f>
        <x:v>0.06451612903225806</x:v>
      </x:c>
      <x:c r="E14" t="str">
        <x:f>IF(C14&gt;0,"PASS","GAP")</x:f>
        <x:v>PASS</x:v>
      </x:c>
    </x:row>
    <x:row r="15">
      <x:c r="B15" t="str">
        <x:v>six builder-integration cells</x:v>
      </x:c>
      <x:c r="C15" t="n">
        <x:v>42</x:v>
      </x:c>
      <x:c r="D15" t="n">
        <x:f>C15/Controls!$D$40</x:f>
        <x:v>0.11290322580645161</x:v>
      </x:c>
      <x:c r="E15" t="str">
        <x:f>IF(C15&gt;0,"PASS","GAP")</x:f>
        <x:v>PASS</x:v>
      </x:c>
    </x:row>
    <x:row r="17">
      <x:c r="B17" s="14" t="str">
        <x:v>Total</x:v>
      </x:c>
      <x:c r="C17" s="14" t="n">
        <x:f>SUM(C7:C15)</x:f>
        <x:v>372</x:v>
      </x:c>
      <x:c r="D17" s="14" t="n">
        <x:f>SUM(D7:D15)</x:f>
        <x:v>1</x:v>
      </x:c>
      <x:c r="E17" s="14" t="str">
        <x:f>IF(C17=Controls!$D$40,"PASS","FAIL")</x:f>
        <x:v>PASS</x:v>
      </x:c>
    </x:row>
  </x:sheetData>
  <x:conditionalFormatting sqref="E7:E17">
    <x:cfRule type="containsText" dxfId="12" priority="1" operator="containsText" text="FAIL"/>
    <x:cfRule type="containsText" dxfId="13" priority="2" operator="containsText" text="BLOCKED"/>
    <x:cfRule type="containsText" dxfId="14" priority="3" operator="containsText" text="OPEN"/>
    <x:cfRule type="containsText" dxfId="15" priority="4" operator="containsText" text="PASS"/>
  </x:conditionalFormatting>
  <x:pageMargins left="0.7" right="0.7" top="0.75" bottom="0.75" header="0.3" footer="0.3"/>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38" hidden="0" customWidth="1"/>
    <x:col min="3" max="3" width="18" hidden="0" customWidth="1"/>
    <x:col min="4" max="4" width="18" hidden="0" customWidth="1"/>
    <x:col min="5" max="5" width="19" hidden="0" customWidth="1"/>
    <x:col min="6" max="6" width="16" hidden="0" customWidth="1"/>
  </x:cols>
  <x:sheetData>
    <x:row r="2">
      <x:c r="B2" s="1" t="str">
        <x:v>RHP-1 capital allocation</x:v>
      </x:c>
    </x:row>
    <x:row r="3">
      <x:c r="B3" s="2" t="str">
        <x:v>Design allocation only; no bid, appropriation, commitment or execution authority is represented.</x:v>
      </x:c>
    </x:row>
    <x:row r="5">
      <x:c r="B5" s="3"/>
      <x:c r="C5" s="3"/>
      <x:c r="D5" s="3"/>
      <x:c r="E5" s="3"/>
      <x:c r="F5" s="3"/>
      <x:c r="G5" s="3"/>
      <x:c r="H5" s="3"/>
      <x:c r="I5" s="3"/>
      <x:c r="J5" s="3"/>
      <x:c r="K5" s="3"/>
      <x:c r="L5" s="3"/>
      <x:c r="M5" s="3"/>
      <x:c r="N5" s="3"/>
      <x:c r="O5" s="3"/>
      <x:c r="P5" s="3"/>
      <x:c r="Q5" s="3"/>
      <x:c r="R5" s="3"/>
    </x:row>
    <x:row r="6" ht="24" customHeight="1">
      <x:c r="B6" s="7" t="str">
        <x:v>Element</x:v>
      </x:c>
      <x:c r="C6" s="7" t="str">
        <x:v>Gross USD M</x:v>
      </x:c>
      <x:c r="D6" s="7" t="str">
        <x:v>CISA USD M</x:v>
      </x:c>
      <x:c r="E6" s="7" t="str">
        <x:v>Shared USD M</x:v>
      </x:c>
      <x:c r="F6" s="7" t="str">
        <x:v>Row check</x:v>
      </x:c>
    </x:row>
    <x:row r="7">
      <x:c r="B7" t="str">
        <x:v>six source-rig vessels</x:v>
      </x:c>
      <x:c r="C7" t="n">
        <x:v>90</x:v>
      </x:c>
      <x:c r="D7" t="n">
        <x:v>60</x:v>
      </x:c>
      <x:c r="E7" t="n">
        <x:v>30</x:v>
      </x:c>
      <x:c r="F7" t="str">
        <x:f>IF(C7=D7+E7,"PASS","FAIL")</x:f>
        <x:v>PASS</x:v>
      </x:c>
    </x:row>
    <x:row r="8">
      <x:c r="B8" t="str">
        <x:v>thermal boundaries</x:v>
      </x:c>
      <x:c r="C8" t="n">
        <x:v>48</x:v>
      </x:c>
      <x:c r="D8" t="n">
        <x:v>28</x:v>
      </x:c>
      <x:c r="E8" t="n">
        <x:v>20</x:v>
      </x:c>
      <x:c r="F8" t="str">
        <x:f>IF(C8=D8+E8,"PASS","FAIL")</x:f>
        <x:v>PASS</x:v>
      </x:c>
    </x:row>
    <x:row r="9">
      <x:c r="B9" t="str">
        <x:v>route galleries</x:v>
      </x:c>
      <x:c r="C9" t="n">
        <x:v>72</x:v>
      </x:c>
      <x:c r="D9" t="n">
        <x:v>48</x:v>
      </x:c>
      <x:c r="E9" t="n">
        <x:v>24</x:v>
      </x:c>
      <x:c r="F9" t="str">
        <x:f>IF(C9=D9+E9,"PASS","FAIL")</x:f>
        <x:v>PASS</x:v>
      </x:c>
    </x:row>
    <x:row r="10">
      <x:c r="B10" t="str">
        <x:v>neutral flanges/nozzle bank</x:v>
      </x:c>
      <x:c r="C10" t="n">
        <x:v>36</x:v>
      </x:c>
      <x:c r="D10" t="n">
        <x:v>24</x:v>
      </x:c>
      <x:c r="E10" t="n">
        <x:v>12</x:v>
      </x:c>
      <x:c r="F10" t="str">
        <x:f>IF(C10=D10+E10,"PASS","FAIL")</x:f>
        <x:v>PASS</x:v>
      </x:c>
    </x:row>
    <x:row r="11">
      <x:c r="B11" t="str">
        <x:v>receiver pads/interfaces</x:v>
      </x:c>
      <x:c r="C11" t="n">
        <x:v>42</x:v>
      </x:c>
      <x:c r="D11" t="n">
        <x:v>30</x:v>
      </x:c>
      <x:c r="E11" t="n">
        <x:v>12</x:v>
      </x:c>
      <x:c r="F11" t="str">
        <x:f>IF(C11=D11+E11,"PASS","FAIL")</x:f>
        <x:v>PASS</x:v>
      </x:c>
    </x:row>
    <x:row r="12">
      <x:c r="B12" t="str">
        <x:v>challenge hardware</x:v>
      </x:c>
      <x:c r="C12" t="n">
        <x:v>28</x:v>
      </x:c>
      <x:c r="D12" t="n">
        <x:v>16</x:v>
      </x:c>
      <x:c r="E12" t="n">
        <x:v>12</x:v>
      </x:c>
      <x:c r="F12" t="str">
        <x:f>IF(C12=D12+E12,"PASS","FAIL")</x:f>
        <x:v>PASS</x:v>
      </x:c>
    </x:row>
    <x:row r="13">
      <x:c r="B13" t="str">
        <x:v>safety/rescue</x:v>
      </x:c>
      <x:c r="C13" t="n">
        <x:v>24</x:v>
      </x:c>
      <x:c r="D13" t="n">
        <x:v>18</x:v>
      </x:c>
      <x:c r="E13" t="n">
        <x:v>6</x:v>
      </x:c>
      <x:c r="F13" t="str">
        <x:f>IF(C13=D13+E13,"PASS","FAIL")</x:f>
        <x:v>PASS</x:v>
      </x:c>
    </x:row>
    <x:row r="14">
      <x:c r="B14" t="str">
        <x:v>instrumentation/evidence</x:v>
      </x:c>
      <x:c r="C14" t="n">
        <x:v>34</x:v>
      </x:c>
      <x:c r="D14" t="n">
        <x:v>16</x:v>
      </x:c>
      <x:c r="E14" t="n">
        <x:v>18</x:v>
      </x:c>
      <x:c r="F14" t="str">
        <x:f>IF(C14=D14+E14,"PASS","FAIL")</x:f>
        <x:v>PASS</x:v>
      </x:c>
    </x:row>
    <x:row r="15">
      <x:c r="B15" t="str">
        <x:v>source handling/recovery</x:v>
      </x:c>
      <x:c r="C15" t="n">
        <x:v>20</x:v>
      </x:c>
      <x:c r="D15" t="n">
        <x:v>14</x:v>
      </x:c>
      <x:c r="E15" t="n">
        <x:v>6</x:v>
      </x:c>
      <x:c r="F15" t="str">
        <x:f>IF(C15=D15+E15,"PASS","FAIL")</x:f>
        <x:v>PASS</x:v>
      </x:c>
    </x:row>
    <x:row r="16">
      <x:c r="B16" t="str">
        <x:v>data/design/authority</x:v>
      </x:c>
      <x:c r="C16" t="n">
        <x:v>8</x:v>
      </x:c>
      <x:c r="D16" t="n">
        <x:v>2</x:v>
      </x:c>
      <x:c r="E16" t="n">
        <x:v>6</x:v>
      </x:c>
      <x:c r="F16" t="str">
        <x:f>IF(C16=D16+E16,"PASS","FAIL")</x:f>
        <x:v>PASS</x:v>
      </x:c>
    </x:row>
    <x:row r="17">
      <x:c r="B17" t="str">
        <x:v>uncertainty reserve</x:v>
      </x:c>
      <x:c r="C17" t="n">
        <x:v>8</x:v>
      </x:c>
      <x:c r="D17" t="n">
        <x:v>4</x:v>
      </x:c>
      <x:c r="E17" t="n">
        <x:v>4</x:v>
      </x:c>
      <x:c r="F17" t="str">
        <x:f>IF(C17=D17+E17,"PASS","FAIL")</x:f>
        <x:v>PASS</x:v>
      </x:c>
    </x:row>
    <x:row r="18">
      <x:c r="B18" s="14" t="str">
        <x:v>Total</x:v>
      </x:c>
      <x:c r="C18" s="14" t="n">
        <x:f>SUM(C7:C17)</x:f>
        <x:v>410</x:v>
      </x:c>
      <x:c r="D18" s="14" t="n">
        <x:f>SUM(D7:D17)</x:f>
        <x:v>260</x:v>
      </x:c>
      <x:c r="E18" s="14" t="n">
        <x:f>SUM(E7:E17)</x:f>
        <x:v>150</x:v>
      </x:c>
      <x:c r="F18" s="14" t="str">
        <x:f>IF(AND(C18=Controls!$D$41,D18=Controls!$D$42,E18=Controls!$D$43,C18=D18+E18),"PASS","FAIL")</x:f>
        <x:v>PASS</x:v>
      </x:c>
    </x:row>
  </x:sheetData>
  <x:conditionalFormatting sqref="F7:F18">
    <x:cfRule type="containsText" dxfId="16" priority="1" operator="containsText" text="FAIL"/>
    <x:cfRule type="containsText" dxfId="17" priority="2" operator="containsText" text="BLOCKED"/>
    <x:cfRule type="containsText" dxfId="18" priority="3" operator="containsText" text="OPEN"/>
    <x:cfRule type="containsText" dxfId="19" priority="4" operator="containsText" text="PASS"/>
  </x:conditionalFormatting>
  <x:pageMargins left="0.7" right="0.7" top="0.75" bottom="0.75" header="0.3" footer="0.3"/>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36" hidden="0" customWidth="1"/>
    <x:col min="3" max="3" width="21" hidden="0" customWidth="1"/>
    <x:col min="4" max="4" width="21" hidden="0" customWidth="1"/>
    <x:col min="5" max="5" width="22" hidden="0" customWidth="1"/>
    <x:col min="6" max="6" width="16" hidden="0" customWidth="1"/>
  </x:cols>
  <x:sheetData>
    <x:row r="2">
      <x:c r="B2" s="1" t="str">
        <x:v>RHP-1 annual support allocation</x:v>
      </x:c>
    </x:row>
    <x:row r="3">
      <x:c r="B3" s="2" t="str">
        <x:v>Steady support after commissioning; design allocation only.</x:v>
      </x:c>
    </x:row>
    <x:row r="5">
      <x:c r="B5" s="3"/>
      <x:c r="C5" s="3"/>
      <x:c r="D5" s="3"/>
      <x:c r="E5" s="3"/>
      <x:c r="F5" s="3"/>
      <x:c r="G5" s="3"/>
      <x:c r="H5" s="3"/>
      <x:c r="I5" s="3"/>
      <x:c r="J5" s="3"/>
      <x:c r="K5" s="3"/>
      <x:c r="L5" s="3"/>
      <x:c r="M5" s="3"/>
      <x:c r="N5" s="3"/>
      <x:c r="O5" s="3"/>
      <x:c r="P5" s="3"/>
      <x:c r="Q5" s="3"/>
      <x:c r="R5" s="3"/>
    </x:row>
    <x:row r="6" ht="24" customHeight="1">
      <x:c r="B6" s="7" t="str">
        <x:v>Element</x:v>
      </x:c>
      <x:c r="C6" s="7" t="str">
        <x:v>Gross USD M/year</x:v>
      </x:c>
      <x:c r="D6" s="7" t="str">
        <x:v>CISA USD M/year</x:v>
      </x:c>
      <x:c r="E6" s="7" t="str">
        <x:v>Shared USD M/year</x:v>
      </x:c>
      <x:c r="F6" s="7" t="str">
        <x:v>Row check</x:v>
      </x:c>
    </x:row>
    <x:row r="7">
      <x:c r="B7" t="str">
        <x:v>rig operations</x:v>
      </x:c>
      <x:c r="C7" t="n">
        <x:v>18</x:v>
      </x:c>
      <x:c r="D7" t="n">
        <x:v>14</x:v>
      </x:c>
      <x:c r="E7" t="n">
        <x:v>4</x:v>
      </x:c>
      <x:c r="F7" t="str">
        <x:f>IF(C7=D7+E7,"PASS","FAIL")</x:f>
        <x:v>PASS</x:v>
      </x:c>
    </x:row>
    <x:row r="8">
      <x:c r="B8" t="str">
        <x:v>builder integration</x:v>
      </x:c>
      <x:c r="C8" t="n">
        <x:v>18</x:v>
      </x:c>
      <x:c r="D8" t="n">
        <x:v>12</x:v>
      </x:c>
      <x:c r="E8" t="n">
        <x:v>6</x:v>
      </x:c>
      <x:c r="F8" t="str">
        <x:f>IF(C8=D8+E8,"PASS","FAIL")</x:f>
        <x:v>PASS</x:v>
      </x:c>
    </x:row>
    <x:row r="9">
      <x:c r="B9" t="str">
        <x:v>source/media</x:v>
      </x:c>
      <x:c r="C9" t="n">
        <x:v>10</x:v>
      </x:c>
      <x:c r="D9" t="n">
        <x:v>8</x:v>
      </x:c>
      <x:c r="E9" t="n">
        <x:v>2</x:v>
      </x:c>
      <x:c r="F9" t="str">
        <x:f>IF(C9=D9+E9,"PASS","FAIL")</x:f>
        <x:v>PASS</x:v>
      </x:c>
    </x:row>
    <x:row r="10">
      <x:c r="B10" t="str">
        <x:v>instruments</x:v>
      </x:c>
      <x:c r="C10" t="n">
        <x:v>10</x:v>
      </x:c>
      <x:c r="D10" t="n">
        <x:v>4</x:v>
      </x:c>
      <x:c r="E10" t="n">
        <x:v>6</x:v>
      </x:c>
      <x:c r="F10" t="str">
        <x:f>IF(C10=D10+E10,"PASS","FAIL")</x:f>
        <x:v>PASS</x:v>
      </x:c>
    </x:row>
    <x:row r="11">
      <x:c r="B11" t="str">
        <x:v>safety/rescue</x:v>
      </x:c>
      <x:c r="C11" t="n">
        <x:v>8</x:v>
      </x:c>
      <x:c r="D11" t="n">
        <x:v>6</x:v>
      </x:c>
      <x:c r="E11" t="n">
        <x:v>2</x:v>
      </x:c>
      <x:c r="F11" t="str">
        <x:f>IF(C11=D11+E11,"PASS","FAIL")</x:f>
        <x:v>PASS</x:v>
      </x:c>
    </x:row>
    <x:row r="12">
      <x:c r="B12" t="str">
        <x:v>maintenance</x:v>
      </x:c>
      <x:c r="C12" t="n">
        <x:v>4</x:v>
      </x:c>
      <x:c r="D12" t="n">
        <x:v>2</x:v>
      </x:c>
      <x:c r="E12" t="n">
        <x:v>2</x:v>
      </x:c>
      <x:c r="F12" t="str">
        <x:f>IF(C12=D12+E12,"PASS","FAIL")</x:f>
        <x:v>PASS</x:v>
      </x:c>
    </x:row>
    <x:row r="13">
      <x:c r="B13" t="str">
        <x:v>authority/data</x:v>
      </x:c>
      <x:c r="C13" t="n">
        <x:v>4</x:v>
      </x:c>
      <x:c r="D13" t="n">
        <x:v>0</x:v>
      </x:c>
      <x:c r="E13" t="n">
        <x:v>4</x:v>
      </x:c>
      <x:c r="F13" t="str">
        <x:f>IF(C13=D13+E13,"PASS","FAIL")</x:f>
        <x:v>PASS</x:v>
      </x:c>
    </x:row>
    <x:row r="14">
      <x:c r="B14" s="14" t="str">
        <x:v>Total</x:v>
      </x:c>
      <x:c r="C14" s="14" t="n">
        <x:f>SUM(C7:C13)</x:f>
        <x:v>72</x:v>
      </x:c>
      <x:c r="D14" s="14" t="n">
        <x:f>SUM(D7:D13)</x:f>
        <x:v>46</x:v>
      </x:c>
      <x:c r="E14" s="14" t="n">
        <x:f>SUM(E7:E13)</x:f>
        <x:v>26</x:v>
      </x:c>
      <x:c r="F14" s="14" t="str">
        <x:f>IF(AND(C14=Controls!$D$44,D14=Controls!$D$45,E14=Controls!$D$46,C14=D14+E14),"PASS","FAIL")</x:f>
        <x:v>PASS</x:v>
      </x:c>
    </x:row>
  </x:sheetData>
  <x:conditionalFormatting sqref="F7:F14">
    <x:cfRule type="containsText" dxfId="20" priority="1" operator="containsText" text="FAIL"/>
    <x:cfRule type="containsText" dxfId="21" priority="2" operator="containsText" text="BLOCKED"/>
    <x:cfRule type="containsText" dxfId="22" priority="3" operator="containsText" text="OPEN"/>
    <x:cfRule type="containsText" dxfId="23" priority="4" operator="containsText" text="PASS"/>
  </x:conditionalFormatting>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2" max="2" width="28" hidden="0" customWidth="1"/>
    <x:col min="3" max="3" width="20" hidden="0" customWidth="1"/>
    <x:col min="4" max="4" width="22" hidden="0" customWidth="1"/>
    <x:col min="5" max="5" width="20" hidden="0" customWidth="1"/>
    <x:col min="6" max="6" width="20" hidden="0" customWidth="1"/>
  </x:cols>
  <x:sheetData>
    <x:row r="2">
      <x:c r="B2" s="1" t="str">
        <x:v>Portfolio reconciliation</x:v>
      </x:c>
    </x:row>
    <x:row r="3">
      <x:c r="B3" s="2" t="str">
        <x:v>Gross physical use, corrected CISA ownership and shared ownership are kept distinct.</x:v>
      </x:c>
    </x:row>
    <x:row r="5">
      <x:c r="B5" s="3"/>
      <x:c r="C5" s="3"/>
      <x:c r="D5" s="3"/>
      <x:c r="E5" s="3"/>
      <x:c r="F5" s="3"/>
      <x:c r="G5" s="3"/>
      <x:c r="H5" s="3"/>
      <x:c r="I5" s="3"/>
      <x:c r="J5" s="3"/>
      <x:c r="K5" s="3"/>
      <x:c r="L5" s="3"/>
      <x:c r="M5" s="3"/>
      <x:c r="N5" s="3"/>
      <x:c r="O5" s="3"/>
      <x:c r="P5" s="3"/>
      <x:c r="Q5" s="3"/>
      <x:c r="R5" s="3"/>
    </x:row>
    <x:row r="6" ht="24" customHeight="1">
      <x:c r="B6" s="7" t="str">
        <x:v>View</x:v>
      </x:c>
      <x:c r="C6" s="7" t="str">
        <x:v>Capital USD M</x:v>
      </x:c>
      <x:c r="D6" s="7" t="str">
        <x:v>Annual USD M/year</x:v>
      </x:c>
      <x:c r="E6" s="7" t="str">
        <x:v>Capital remaining</x:v>
      </x:c>
      <x:c r="F6" s="7" t="str">
        <x:v>Annual remaining</x:v>
      </x:c>
    </x:row>
    <x:row r="7">
      <x:c r="B7" t="str">
        <x:v>RHP gross</x:v>
      </x:c>
      <x:c r="C7" s="17" t="n">
        <x:f>Controls!$D$41</x:f>
        <x:v>410</x:v>
      </x:c>
      <x:c r="D7" s="17" t="n">
        <x:f>Controls!$D$44</x:f>
        <x:v>72</x:v>
      </x:c>
      <x:c r="E7" s="17" t="str"/>
      <x:c r="F7" s="17" t="str"/>
    </x:row>
    <x:row r="8">
      <x:c r="B8" t="str">
        <x:v>RHT overlap</x:v>
      </x:c>
      <x:c r="C8" s="17" t="n">
        <x:f>Controls!$D$47</x:f>
        <x:v>300</x:v>
      </x:c>
      <x:c r="D8" s="17" t="n">
        <x:f>Controls!$D$48</x:f>
        <x:v>48</x:v>
      </x:c>
      <x:c r="E8" s="17" t="str"/>
      <x:c r="F8" s="17" t="str"/>
    </x:row>
    <x:row r="9">
      <x:c r="B9" t="str">
        <x:v>net new gross</x:v>
      </x:c>
      <x:c r="C9" s="17" t="n">
        <x:f>C7-C8</x:f>
        <x:v>110</x:v>
      </x:c>
      <x:c r="D9" s="17" t="n">
        <x:f>D7-D8</x:f>
        <x:v>24</x:v>
      </x:c>
      <x:c r="E9" s="17" t="str"/>
      <x:c r="F9" s="17" t="str"/>
    </x:row>
    <x:row r="10">
      <x:c r="B10" t="str">
        <x:v>RHP CISA share</x:v>
      </x:c>
      <x:c r="C10" s="17" t="n">
        <x:f>Controls!$D$42</x:f>
        <x:v>260</x:v>
      </x:c>
      <x:c r="D10" s="17" t="n">
        <x:f>Controls!$D$45</x:f>
        <x:v>46</x:v>
      </x:c>
      <x:c r="E10" s="17" t="str"/>
      <x:c r="F10" s="17" t="str"/>
    </x:row>
    <x:row r="11">
      <x:c r="B11" t="str">
        <x:v>CISA overlap</x:v>
      </x:c>
      <x:c r="C11" s="17" t="n">
        <x:f>Controls!$D$49</x:f>
        <x:v>180</x:v>
      </x:c>
      <x:c r="D11" s="17" t="n">
        <x:f>Controls!$D$50</x:f>
        <x:v>32</x:v>
      </x:c>
      <x:c r="E11" s="17" t="str"/>
      <x:c r="F11" s="17" t="str"/>
    </x:row>
    <x:row r="12">
      <x:c r="B12" t="str">
        <x:v>net new CISA</x:v>
      </x:c>
      <x:c r="C12" s="17" t="n">
        <x:f>C10-C11</x:f>
        <x:v>80</x:v>
      </x:c>
      <x:c r="D12" s="17" t="n">
        <x:f>D10-D11</x:f>
        <x:v>14</x:v>
      </x:c>
      <x:c r="E12" s="17" t="str"/>
      <x:c r="F12" s="17" t="str"/>
    </x:row>
    <x:row r="13">
      <x:c r="B13" t="str">
        <x:v>BRD-6R</x:v>
      </x:c>
      <x:c r="C13" s="17" t="n">
        <x:f>1298+C12</x:f>
        <x:v>1378</x:v>
      </x:c>
      <x:c r="D13" s="17" t="n">
        <x:f>246+D12</x:f>
        <x:v>260</x:v>
      </x:c>
      <x:c r="E13" s="17" t="n">
        <x:f>Controls!$D$57-C13</x:f>
        <x:v>-418</x:v>
      </x:c>
      <x:c r="F13" s="17" t="n">
        <x:f>Controls!$D$58-D13</x:f>
        <x:v>0</x:v>
      </x:c>
    </x:row>
    <x:row r="14">
      <x:c r="B14" t="str">
        <x:v>RHP shared share</x:v>
      </x:c>
      <x:c r="C14" s="17" t="n">
        <x:f>Controls!$D$43</x:f>
        <x:v>150</x:v>
      </x:c>
      <x:c r="D14" s="17" t="n">
        <x:f>Controls!$D$46</x:f>
        <x:v>26</x:v>
      </x:c>
      <x:c r="E14" s="17" t="str"/>
      <x:c r="F14" s="17" t="str"/>
    </x:row>
    <x:row r="15">
      <x:c r="B15" t="str">
        <x:v>shared overlap</x:v>
      </x:c>
      <x:c r="C15" s="17" t="n">
        <x:f>Controls!$D$51</x:f>
        <x:v>120</x:v>
      </x:c>
      <x:c r="D15" s="17" t="n">
        <x:f>Controls!$D$52</x:f>
        <x:v>16</x:v>
      </x:c>
      <x:c r="E15" s="17" t="str"/>
      <x:c r="F15" s="17" t="str"/>
    </x:row>
    <x:row r="16">
      <x:c r="B16" t="str">
        <x:v>net new shared</x:v>
      </x:c>
      <x:c r="C16" s="17" t="n">
        <x:f>C14-C15</x:f>
        <x:v>30</x:v>
      </x:c>
      <x:c r="D16" s="17" t="n">
        <x:f>D14-D15</x:f>
        <x:v>10</x:v>
      </x:c>
      <x:c r="E16" s="17" t="str"/>
      <x:c r="F16" s="17" t="str"/>
    </x:row>
    <x:row r="17">
      <x:c r="B17" t="str">
        <x:v>BRD-6U</x:v>
      </x:c>
      <x:c r="C17" s="17" t="n">
        <x:f>1771+C9</x:f>
        <x:v>1881</x:v>
      </x:c>
      <x:c r="D17" s="17" t="n">
        <x:f>345+D9</x:f>
        <x:v>369</x:v>
      </x:c>
      <x:c r="E17" s="17" t="n">
        <x:f>Controls!$D$57-C17</x:f>
        <x:v>-921</x:v>
      </x:c>
      <x:c r="F17" s="17" t="n">
        <x:f>Controls!$D$58-D17</x:f>
        <x:v>-109</x:v>
      </x:c>
    </x:row>
    <x:row r="18">
      <x:c r="B18" t="str">
        <x:v>program exposure</x:v>
      </x:c>
      <x:c r="C18" s="17" t="n">
        <x:f>Controls!$D$41+Controls!$D$44*Controls!$D$39/12</x:f>
        <x:v>590</x:v>
      </x:c>
      <x:c r="D18" s="17" t="str"/>
      <x:c r="E18" s="17" t="str"/>
      <x:c r="F18" s="17" t="str"/>
    </x:row>
  </x:sheetData>
  <x:pageMargins left="0.7" right="0.7" top="0.75" bottom="0.75" header="0.3" footer="0.3"/>
</x:worksheet>
</file>

<file path=xl/worksheets/sheet24.xml><?xml version="1.0" encoding="utf-8"?>
<x:worksheet xmlns:x="http://schemas.openxmlformats.org/spreadsheetml/2006/main">
  <x:sheetPr>
    <x:tabColor rgb="FFD6B656"/>
  </x:sheetPr>
  <x:sheetViews>
    <x:sheetView showGridLines="0" workbookViewId="0">
      <x:pane xSplit="2" ySplit="6" topLeftCell="C7" activePane="bottomRight" state="frozen"/>
    </x:sheetView>
  </x:sheetViews>
  <x:sheetFormatPr defaultRowHeight="15"/>
  <x:cols>
    <x:col min="2" max="2" width="27" hidden="0" customWidth="1"/>
    <x:col min="3" max="3" width="15" hidden="0" customWidth="1"/>
    <x:col min="4" max="4" width="33" hidden="0" customWidth="1"/>
    <x:col min="5" max="5" width="38" hidden="0" customWidth="1"/>
    <x:col min="6" max="6" width="13" hidden="0" customWidth="1"/>
    <x:col min="7" max="7" width="13" hidden="0" customWidth="1"/>
    <x:col min="8" max="8" width="13" hidden="0" customWidth="1"/>
    <x:col min="9" max="9" width="26" hidden="0" customWidth="1"/>
    <x:col min="10" max="10" width="14" hidden="0" customWidth="1"/>
  </x:cols>
  <x:sheetData>
    <x:row r="2">
      <x:c r="B2" s="1" t="str">
        <x:v>Conjunctive release-gate ledger</x:v>
      </x:c>
    </x:row>
    <x:row r="3">
      <x:c r="B3" s="2" t="str">
        <x:v>Planning completeness cannot substitute for physical acceptance, and physical acceptance cannot substitute for downstream authority.</x:v>
      </x:c>
    </x:row>
    <x:row r="5">
      <x:c r="B5" s="3"/>
      <x:c r="C5" s="3"/>
      <x:c r="D5" s="3"/>
      <x:c r="E5" s="3"/>
      <x:c r="F5" s="3"/>
      <x:c r="G5" s="3"/>
      <x:c r="H5" s="3"/>
      <x:c r="I5" s="3"/>
      <x:c r="J5" s="3"/>
      <x:c r="K5" s="3"/>
      <x:c r="L5" s="3"/>
      <x:c r="M5" s="3"/>
      <x:c r="N5" s="3"/>
      <x:c r="O5" s="3"/>
      <x:c r="P5" s="3"/>
      <x:c r="Q5" s="3"/>
      <x:c r="R5" s="3"/>
    </x:row>
    <x:row r="6" ht="24" customHeight="1">
      <x:c r="B6" s="7" t="str">
        <x:v>Gate ID</x:v>
      </x:c>
      <x:c r="C6" s="7" t="str">
        <x:v>Class</x:v>
      </x:c>
      <x:c r="D6" s="7" t="str">
        <x:v>Requirement</x:v>
      </x:c>
      <x:c r="E6" s="7" t="str">
        <x:v>Evidence source</x:v>
      </x:c>
      <x:c r="F6" s="7" t="str">
        <x:v>Observed</x:v>
      </x:c>
      <x:c r="G6" s="7" t="str">
        <x:v>Required</x:v>
      </x:c>
      <x:c r="H6" s="7" t="str">
        <x:v>Comparator</x:v>
      </x:c>
      <x:c r="I6" s="7" t="str">
        <x:v>Owner</x:v>
      </x:c>
      <x:c r="J6" s="7" t="str">
        <x:v>State</x:v>
      </x:c>
    </x:row>
    <x:row r="7">
      <x:c r="B7" t="str">
        <x:v>PLN-001</x:v>
      </x:c>
      <x:c r="C7" t="str">
        <x:v>PLANNING</x:v>
      </x:c>
      <x:c r="D7" t="str">
        <x:v>rig constitutions</x:v>
      </x:c>
      <x:c r="E7" t="str">
        <x:v>Source Vessel · rig constitutions 1</x:v>
      </x:c>
      <x:c r="F7" t="n">
        <x:f>Controls!$D$76</x:f>
        <x:v>1</x:v>
      </x:c>
      <x:c r="G7" t="n">
        <x:v>1</x:v>
      </x:c>
      <x:c r="H7" t="str">
        <x:v>equals</x:v>
      </x:c>
      <x:c r="I7" t="str">
        <x:v>RHP design authority</x:v>
      </x:c>
      <x:c r="J7" t="str">
        <x:f>IF(F7=G7,"PASS","GAP")</x:f>
        <x:v>PASS</x:v>
      </x:c>
    </x:row>
    <x:row r="8">
      <x:c r="B8" t="str">
        <x:v>PLN-002</x:v>
      </x:c>
      <x:c r="C8" t="str">
        <x:v>PLANNING</x:v>
      </x:c>
      <x:c r="D8" t="str">
        <x:v>rig constitutions</x:v>
      </x:c>
      <x:c r="E8" t="str">
        <x:v>Source Vessel · rig constitutions 2</x:v>
      </x:c>
      <x:c r="F8" t="n">
        <x:f>Controls!$D$76</x:f>
        <x:v>1</x:v>
      </x:c>
      <x:c r="G8" t="n">
        <x:v>1</x:v>
      </x:c>
      <x:c r="H8" t="str">
        <x:v>equals</x:v>
      </x:c>
      <x:c r="I8" t="str">
        <x:v>RHP design authority</x:v>
      </x:c>
      <x:c r="J8" t="str">
        <x:f>IF(F8=G8,"PASS","GAP")</x:f>
        <x:v>PASS</x:v>
      </x:c>
    </x:row>
    <x:row r="9">
      <x:c r="B9" t="str">
        <x:v>PLN-003</x:v>
      </x:c>
      <x:c r="C9" t="str">
        <x:v>PLANNING</x:v>
      </x:c>
      <x:c r="D9" t="str">
        <x:v>rig constitutions</x:v>
      </x:c>
      <x:c r="E9" t="str">
        <x:v>Source Vessel · rig constitutions 3</x:v>
      </x:c>
      <x:c r="F9" t="n">
        <x:f>Controls!$D$76</x:f>
        <x:v>1</x:v>
      </x:c>
      <x:c r="G9" t="n">
        <x:v>1</x:v>
      </x:c>
      <x:c r="H9" t="str">
        <x:v>equals</x:v>
      </x:c>
      <x:c r="I9" t="str">
        <x:v>RHP design authority</x:v>
      </x:c>
      <x:c r="J9" t="str">
        <x:f>IF(F9=G9,"PASS","GAP")</x:f>
        <x:v>PASS</x:v>
      </x:c>
    </x:row>
    <x:row r="10">
      <x:c r="B10" t="str">
        <x:v>PLN-004</x:v>
      </x:c>
      <x:c r="C10" t="str">
        <x:v>PLANNING</x:v>
      </x:c>
      <x:c r="D10" t="str">
        <x:v>rig constitutions</x:v>
      </x:c>
      <x:c r="E10" t="str">
        <x:v>Source Vessel · rig constitutions 4</x:v>
      </x:c>
      <x:c r="F10" t="n">
        <x:f>Controls!$D$76</x:f>
        <x:v>1</x:v>
      </x:c>
      <x:c r="G10" t="n">
        <x:v>1</x:v>
      </x:c>
      <x:c r="H10" t="str">
        <x:v>equals</x:v>
      </x:c>
      <x:c r="I10" t="str">
        <x:v>RHP design authority</x:v>
      </x:c>
      <x:c r="J10" t="str">
        <x:f>IF(F10=G10,"PASS","GAP")</x:f>
        <x:v>PASS</x:v>
      </x:c>
    </x:row>
    <x:row r="11">
      <x:c r="B11" t="str">
        <x:v>PLN-005</x:v>
      </x:c>
      <x:c r="C11" t="str">
        <x:v>PLANNING</x:v>
      </x:c>
      <x:c r="D11" t="str">
        <x:v>rig constitutions</x:v>
      </x:c>
      <x:c r="E11" t="str">
        <x:v>Source Vessel · rig constitutions 5</x:v>
      </x:c>
      <x:c r="F11" t="n">
        <x:f>Controls!$D$76</x:f>
        <x:v>1</x:v>
      </x:c>
      <x:c r="G11" t="n">
        <x:v>1</x:v>
      </x:c>
      <x:c r="H11" t="str">
        <x:v>equals</x:v>
      </x:c>
      <x:c r="I11" t="str">
        <x:v>RHP design authority</x:v>
      </x:c>
      <x:c r="J11" t="str">
        <x:f>IF(F11=G11,"PASS","GAP")</x:f>
        <x:v>PASS</x:v>
      </x:c>
    </x:row>
    <x:row r="12">
      <x:c r="B12" t="str">
        <x:v>PLN-006</x:v>
      </x:c>
      <x:c r="C12" t="str">
        <x:v>PLANNING</x:v>
      </x:c>
      <x:c r="D12" t="str">
        <x:v>rig constitutions</x:v>
      </x:c>
      <x:c r="E12" t="str">
        <x:v>Source Vessel · rig constitutions 6</x:v>
      </x:c>
      <x:c r="F12" t="n">
        <x:f>Controls!$D$76</x:f>
        <x:v>1</x:v>
      </x:c>
      <x:c r="G12" t="n">
        <x:v>1</x:v>
      </x:c>
      <x:c r="H12" t="str">
        <x:v>equals</x:v>
      </x:c>
      <x:c r="I12" t="str">
        <x:v>RHP design authority</x:v>
      </x:c>
      <x:c r="J12" t="str">
        <x:f>IF(F12=G12,"PASS","GAP")</x:f>
        <x:v>PASS</x:v>
      </x:c>
    </x:row>
    <x:row r="13">
      <x:c r="B13" t="str">
        <x:v>PLN-007</x:v>
      </x:c>
      <x:c r="C13" t="str">
        <x:v>PLANNING</x:v>
      </x:c>
      <x:c r="D13" t="str">
        <x:v>thermal zones</x:v>
      </x:c>
      <x:c r="E13" t="str">
        <x:v>Thermal Boundary · thermal zones 1</x:v>
      </x:c>
      <x:c r="F13" t="n">
        <x:f>Controls!$D$76</x:f>
        <x:v>1</x:v>
      </x:c>
      <x:c r="G13" t="n">
        <x:v>1</x:v>
      </x:c>
      <x:c r="H13" t="str">
        <x:v>equals</x:v>
      </x:c>
      <x:c r="I13" t="str">
        <x:v>RHP design authority</x:v>
      </x:c>
      <x:c r="J13" t="str">
        <x:f>IF(F13=G13,"PASS","GAP")</x:f>
        <x:v>PASS</x:v>
      </x:c>
    </x:row>
    <x:row r="14">
      <x:c r="B14" t="str">
        <x:v>PLN-008</x:v>
      </x:c>
      <x:c r="C14" t="str">
        <x:v>PLANNING</x:v>
      </x:c>
      <x:c r="D14" t="str">
        <x:v>thermal zones</x:v>
      </x:c>
      <x:c r="E14" t="str">
        <x:v>Thermal Boundary · thermal zones 2</x:v>
      </x:c>
      <x:c r="F14" t="n">
        <x:f>Controls!$D$76</x:f>
        <x:v>1</x:v>
      </x:c>
      <x:c r="G14" t="n">
        <x:v>1</x:v>
      </x:c>
      <x:c r="H14" t="str">
        <x:v>equals</x:v>
      </x:c>
      <x:c r="I14" t="str">
        <x:v>RHP design authority</x:v>
      </x:c>
      <x:c r="J14" t="str">
        <x:f>IF(F14=G14,"PASS","GAP")</x:f>
        <x:v>PASS</x:v>
      </x:c>
    </x:row>
    <x:row r="15">
      <x:c r="B15" t="str">
        <x:v>PLN-009</x:v>
      </x:c>
      <x:c r="C15" t="str">
        <x:v>PLANNING</x:v>
      </x:c>
      <x:c r="D15" t="str">
        <x:v>thermal zones</x:v>
      </x:c>
      <x:c r="E15" t="str">
        <x:v>Thermal Boundary · thermal zones 3</x:v>
      </x:c>
      <x:c r="F15" t="n">
        <x:f>Controls!$D$76</x:f>
        <x:v>1</x:v>
      </x:c>
      <x:c r="G15" t="n">
        <x:v>1</x:v>
      </x:c>
      <x:c r="H15" t="str">
        <x:v>equals</x:v>
      </x:c>
      <x:c r="I15" t="str">
        <x:v>RHP design authority</x:v>
      </x:c>
      <x:c r="J15" t="str">
        <x:f>IF(F15=G15,"PASS","GAP")</x:f>
        <x:v>PASS</x:v>
      </x:c>
    </x:row>
    <x:row r="16">
      <x:c r="B16" t="str">
        <x:v>PLN-010</x:v>
      </x:c>
      <x:c r="C16" t="str">
        <x:v>PLANNING</x:v>
      </x:c>
      <x:c r="D16" t="str">
        <x:v>thermal zones</x:v>
      </x:c>
      <x:c r="E16" t="str">
        <x:v>Thermal Boundary · thermal zones 4</x:v>
      </x:c>
      <x:c r="F16" t="n">
        <x:f>Controls!$D$76</x:f>
        <x:v>1</x:v>
      </x:c>
      <x:c r="G16" t="n">
        <x:v>1</x:v>
      </x:c>
      <x:c r="H16" t="str">
        <x:v>equals</x:v>
      </x:c>
      <x:c r="I16" t="str">
        <x:v>RHP design authority</x:v>
      </x:c>
      <x:c r="J16" t="str">
        <x:f>IF(F16=G16,"PASS","GAP")</x:f>
        <x:v>PASS</x:v>
      </x:c>
    </x:row>
    <x:row r="17">
      <x:c r="B17" t="str">
        <x:v>PLN-011</x:v>
      </x:c>
      <x:c r="C17" t="str">
        <x:v>PLANNING</x:v>
      </x:c>
      <x:c r="D17" t="str">
        <x:v>thermal zones</x:v>
      </x:c>
      <x:c r="E17" t="str">
        <x:v>Thermal Boundary · thermal zones 5</x:v>
      </x:c>
      <x:c r="F17" t="n">
        <x:f>Controls!$D$76</x:f>
        <x:v>1</x:v>
      </x:c>
      <x:c r="G17" t="n">
        <x:v>1</x:v>
      </x:c>
      <x:c r="H17" t="str">
        <x:v>equals</x:v>
      </x:c>
      <x:c r="I17" t="str">
        <x:v>RHP design authority</x:v>
      </x:c>
      <x:c r="J17" t="str">
        <x:f>IF(F17=G17,"PASS","GAP")</x:f>
        <x:v>PASS</x:v>
      </x:c>
    </x:row>
    <x:row r="18">
      <x:c r="B18" t="str">
        <x:v>PLN-012</x:v>
      </x:c>
      <x:c r="C18" t="str">
        <x:v>PLANNING</x:v>
      </x:c>
      <x:c r="D18" t="str">
        <x:v>thermal zones</x:v>
      </x:c>
      <x:c r="E18" t="str">
        <x:v>Thermal Boundary · thermal zones 6</x:v>
      </x:c>
      <x:c r="F18" t="n">
        <x:f>Controls!$D$76</x:f>
        <x:v>1</x:v>
      </x:c>
      <x:c r="G18" t="n">
        <x:v>1</x:v>
      </x:c>
      <x:c r="H18" t="str">
        <x:v>equals</x:v>
      </x:c>
      <x:c r="I18" t="str">
        <x:v>RHP design authority</x:v>
      </x:c>
      <x:c r="J18" t="str">
        <x:f>IF(F18=G18,"PASS","GAP")</x:f>
        <x:v>PASS</x:v>
      </x:c>
    </x:row>
    <x:row r="19">
      <x:c r="B19" t="str">
        <x:v>PLN-013</x:v>
      </x:c>
      <x:c r="C19" t="str">
        <x:v>PLANNING</x:v>
      </x:c>
      <x:c r="D19" t="str">
        <x:v>thermal zones</x:v>
      </x:c>
      <x:c r="E19" t="str">
        <x:v>Thermal Boundary · thermal zones 7</x:v>
      </x:c>
      <x:c r="F19" t="n">
        <x:f>Controls!$D$76</x:f>
        <x:v>1</x:v>
      </x:c>
      <x:c r="G19" t="n">
        <x:v>1</x:v>
      </x:c>
      <x:c r="H19" t="str">
        <x:v>equals</x:v>
      </x:c>
      <x:c r="I19" t="str">
        <x:v>RHP design authority</x:v>
      </x:c>
      <x:c r="J19" t="str">
        <x:f>IF(F19=G19,"PASS","GAP")</x:f>
        <x:v>PASS</x:v>
      </x:c>
    </x:row>
    <x:row r="20">
      <x:c r="B20" t="str">
        <x:v>PLN-014</x:v>
      </x:c>
      <x:c r="C20" t="str">
        <x:v>PLANNING</x:v>
      </x:c>
      <x:c r="D20" t="str">
        <x:v>thermal zones</x:v>
      </x:c>
      <x:c r="E20" t="str">
        <x:v>Thermal Boundary · thermal zones 8</x:v>
      </x:c>
      <x:c r="F20" t="n">
        <x:f>Controls!$D$76</x:f>
        <x:v>1</x:v>
      </x:c>
      <x:c r="G20" t="n">
        <x:v>1</x:v>
      </x:c>
      <x:c r="H20" t="str">
        <x:v>equals</x:v>
      </x:c>
      <x:c r="I20" t="str">
        <x:v>RHP design authority</x:v>
      </x:c>
      <x:c r="J20" t="str">
        <x:f>IF(F20=G20,"PASS","GAP")</x:f>
        <x:v>PASS</x:v>
      </x:c>
    </x:row>
    <x:row r="21">
      <x:c r="B21" t="str">
        <x:v>PLN-015</x:v>
      </x:c>
      <x:c r="C21" t="str">
        <x:v>PLANNING</x:v>
      </x:c>
      <x:c r="D21" t="str">
        <x:v>thermal zones</x:v>
      </x:c>
      <x:c r="E21" t="str">
        <x:v>Thermal Boundary · thermal zones 9</x:v>
      </x:c>
      <x:c r="F21" t="n">
        <x:f>Controls!$D$76</x:f>
        <x:v>1</x:v>
      </x:c>
      <x:c r="G21" t="n">
        <x:v>1</x:v>
      </x:c>
      <x:c r="H21" t="str">
        <x:v>equals</x:v>
      </x:c>
      <x:c r="I21" t="str">
        <x:v>RHP design authority</x:v>
      </x:c>
      <x:c r="J21" t="str">
        <x:f>IF(F21=G21,"PASS","GAP")</x:f>
        <x:v>PASS</x:v>
      </x:c>
    </x:row>
    <x:row r="22">
      <x:c r="B22" t="str">
        <x:v>PLN-016</x:v>
      </x:c>
      <x:c r="C22" t="str">
        <x:v>PLANNING</x:v>
      </x:c>
      <x:c r="D22" t="str">
        <x:v>thermal zones</x:v>
      </x:c>
      <x:c r="E22" t="str">
        <x:v>Thermal Boundary · thermal zones 10</x:v>
      </x:c>
      <x:c r="F22" t="n">
        <x:f>Controls!$D$76</x:f>
        <x:v>1</x:v>
      </x:c>
      <x:c r="G22" t="n">
        <x:v>1</x:v>
      </x:c>
      <x:c r="H22" t="str">
        <x:v>equals</x:v>
      </x:c>
      <x:c r="I22" t="str">
        <x:v>RHP design authority</x:v>
      </x:c>
      <x:c r="J22" t="str">
        <x:f>IF(F22=G22,"PASS","GAP")</x:f>
        <x:v>PASS</x:v>
      </x:c>
    </x:row>
    <x:row r="23">
      <x:c r="B23" t="str">
        <x:v>PLN-017</x:v>
      </x:c>
      <x:c r="C23" t="str">
        <x:v>PLANNING</x:v>
      </x:c>
      <x:c r="D23" t="str">
        <x:v>thermal zones</x:v>
      </x:c>
      <x:c r="E23" t="str">
        <x:v>Thermal Boundary · thermal zones 11</x:v>
      </x:c>
      <x:c r="F23" t="n">
        <x:f>Controls!$D$76</x:f>
        <x:v>1</x:v>
      </x:c>
      <x:c r="G23" t="n">
        <x:v>1</x:v>
      </x:c>
      <x:c r="H23" t="str">
        <x:v>equals</x:v>
      </x:c>
      <x:c r="I23" t="str">
        <x:v>RHP design authority</x:v>
      </x:c>
      <x:c r="J23" t="str">
        <x:f>IF(F23=G23,"PASS","GAP")</x:f>
        <x:v>PASS</x:v>
      </x:c>
    </x:row>
    <x:row r="24">
      <x:c r="B24" t="str">
        <x:v>PLN-018</x:v>
      </x:c>
      <x:c r="C24" t="str">
        <x:v>PLANNING</x:v>
      </x:c>
      <x:c r="D24" t="str">
        <x:v>thermal zones</x:v>
      </x:c>
      <x:c r="E24" t="str">
        <x:v>Thermal Boundary · thermal zones 12</x:v>
      </x:c>
      <x:c r="F24" t="n">
        <x:f>Controls!$D$76</x:f>
        <x:v>1</x:v>
      </x:c>
      <x:c r="G24" t="n">
        <x:v>1</x:v>
      </x:c>
      <x:c r="H24" t="str">
        <x:v>equals</x:v>
      </x:c>
      <x:c r="I24" t="str">
        <x:v>RHP design authority</x:v>
      </x:c>
      <x:c r="J24" t="str">
        <x:f>IF(F24=G24,"PASS","GAP")</x:f>
        <x:v>PASS</x:v>
      </x:c>
    </x:row>
    <x:row r="25">
      <x:c r="B25" t="str">
        <x:v>PLN-019</x:v>
      </x:c>
      <x:c r="C25" t="str">
        <x:v>PLANNING</x:v>
      </x:c>
      <x:c r="D25" t="str">
        <x:v>thermal zones</x:v>
      </x:c>
      <x:c r="E25" t="str">
        <x:v>Thermal Boundary · thermal zones 13</x:v>
      </x:c>
      <x:c r="F25" t="n">
        <x:f>Controls!$D$76</x:f>
        <x:v>1</x:v>
      </x:c>
      <x:c r="G25" t="n">
        <x:v>1</x:v>
      </x:c>
      <x:c r="H25" t="str">
        <x:v>equals</x:v>
      </x:c>
      <x:c r="I25" t="str">
        <x:v>RHP design authority</x:v>
      </x:c>
      <x:c r="J25" t="str">
        <x:f>IF(F25=G25,"PASS","GAP")</x:f>
        <x:v>PASS</x:v>
      </x:c>
    </x:row>
    <x:row r="26">
      <x:c r="B26" t="str">
        <x:v>PLN-020</x:v>
      </x:c>
      <x:c r="C26" t="str">
        <x:v>PLANNING</x:v>
      </x:c>
      <x:c r="D26" t="str">
        <x:v>thermal zones</x:v>
      </x:c>
      <x:c r="E26" t="str">
        <x:v>Thermal Boundary · thermal zones 14</x:v>
      </x:c>
      <x:c r="F26" t="n">
        <x:f>Controls!$D$76</x:f>
        <x:v>1</x:v>
      </x:c>
      <x:c r="G26" t="n">
        <x:v>1</x:v>
      </x:c>
      <x:c r="H26" t="str">
        <x:v>equals</x:v>
      </x:c>
      <x:c r="I26" t="str">
        <x:v>RHP design authority</x:v>
      </x:c>
      <x:c r="J26" t="str">
        <x:f>IF(F26=G26,"PASS","GAP")</x:f>
        <x:v>PASS</x:v>
      </x:c>
    </x:row>
    <x:row r="27">
      <x:c r="B27" t="str">
        <x:v>PLN-021</x:v>
      </x:c>
      <x:c r="C27" t="str">
        <x:v>PLANNING</x:v>
      </x:c>
      <x:c r="D27" t="str">
        <x:v>thermal zones</x:v>
      </x:c>
      <x:c r="E27" t="str">
        <x:v>Thermal Boundary · thermal zones 15</x:v>
      </x:c>
      <x:c r="F27" t="n">
        <x:f>Controls!$D$76</x:f>
        <x:v>1</x:v>
      </x:c>
      <x:c r="G27" t="n">
        <x:v>1</x:v>
      </x:c>
      <x:c r="H27" t="str">
        <x:v>equals</x:v>
      </x:c>
      <x:c r="I27" t="str">
        <x:v>RHP design authority</x:v>
      </x:c>
      <x:c r="J27" t="str">
        <x:f>IF(F27=G27,"PASS","GAP")</x:f>
        <x:v>PASS</x:v>
      </x:c>
    </x:row>
    <x:row r="28">
      <x:c r="B28" t="str">
        <x:v>PLN-022</x:v>
      </x:c>
      <x:c r="C28" t="str">
        <x:v>PLANNING</x:v>
      </x:c>
      <x:c r="D28" t="str">
        <x:v>thermal zones</x:v>
      </x:c>
      <x:c r="E28" t="str">
        <x:v>Thermal Boundary · thermal zones 16</x:v>
      </x:c>
      <x:c r="F28" t="n">
        <x:f>Controls!$D$76</x:f>
        <x:v>1</x:v>
      </x:c>
      <x:c r="G28" t="n">
        <x:v>1</x:v>
      </x:c>
      <x:c r="H28" t="str">
        <x:v>equals</x:v>
      </x:c>
      <x:c r="I28" t="str">
        <x:v>RHP design authority</x:v>
      </x:c>
      <x:c r="J28" t="str">
        <x:f>IF(F28=G28,"PASS","GAP")</x:f>
        <x:v>PASS</x:v>
      </x:c>
    </x:row>
    <x:row r="29">
      <x:c r="B29" t="str">
        <x:v>PLN-023</x:v>
      </x:c>
      <x:c r="C29" t="str">
        <x:v>PLANNING</x:v>
      </x:c>
      <x:c r="D29" t="str">
        <x:v>thermal zones</x:v>
      </x:c>
      <x:c r="E29" t="str">
        <x:v>Thermal Boundary · thermal zones 17</x:v>
      </x:c>
      <x:c r="F29" t="n">
        <x:f>Controls!$D$76</x:f>
        <x:v>1</x:v>
      </x:c>
      <x:c r="G29" t="n">
        <x:v>1</x:v>
      </x:c>
      <x:c r="H29" t="str">
        <x:v>equals</x:v>
      </x:c>
      <x:c r="I29" t="str">
        <x:v>RHP design authority</x:v>
      </x:c>
      <x:c r="J29" t="str">
        <x:f>IF(F29=G29,"PASS","GAP")</x:f>
        <x:v>PASS</x:v>
      </x:c>
    </x:row>
    <x:row r="30">
      <x:c r="B30" t="str">
        <x:v>PLN-024</x:v>
      </x:c>
      <x:c r="C30" t="str">
        <x:v>PLANNING</x:v>
      </x:c>
      <x:c r="D30" t="str">
        <x:v>thermal zones</x:v>
      </x:c>
      <x:c r="E30" t="str">
        <x:v>Thermal Boundary · thermal zones 18</x:v>
      </x:c>
      <x:c r="F30" t="n">
        <x:f>Controls!$D$76</x:f>
        <x:v>1</x:v>
      </x:c>
      <x:c r="G30" t="n">
        <x:v>1</x:v>
      </x:c>
      <x:c r="H30" t="str">
        <x:v>equals</x:v>
      </x:c>
      <x:c r="I30" t="str">
        <x:v>RHP design authority</x:v>
      </x:c>
      <x:c r="J30" t="str">
        <x:f>IF(F30=G30,"PASS","GAP")</x:f>
        <x:v>PASS</x:v>
      </x:c>
    </x:row>
    <x:row r="31">
      <x:c r="B31" t="str">
        <x:v>PLN-025</x:v>
      </x:c>
      <x:c r="C31" t="str">
        <x:v>PLANNING</x:v>
      </x:c>
      <x:c r="D31" t="str">
        <x:v>thermal zones</x:v>
      </x:c>
      <x:c r="E31" t="str">
        <x:v>Thermal Boundary · thermal zones 19</x:v>
      </x:c>
      <x:c r="F31" t="n">
        <x:f>Controls!$D$76</x:f>
        <x:v>1</x:v>
      </x:c>
      <x:c r="G31" t="n">
        <x:v>1</x:v>
      </x:c>
      <x:c r="H31" t="str">
        <x:v>equals</x:v>
      </x:c>
      <x:c r="I31" t="str">
        <x:v>RHP design authority</x:v>
      </x:c>
      <x:c r="J31" t="str">
        <x:f>IF(F31=G31,"PASS","GAP")</x:f>
        <x:v>PASS</x:v>
      </x:c>
    </x:row>
    <x:row r="32">
      <x:c r="B32" t="str">
        <x:v>PLN-026</x:v>
      </x:c>
      <x:c r="C32" t="str">
        <x:v>PLANNING</x:v>
      </x:c>
      <x:c r="D32" t="str">
        <x:v>thermal zones</x:v>
      </x:c>
      <x:c r="E32" t="str">
        <x:v>Thermal Boundary · thermal zones 20</x:v>
      </x:c>
      <x:c r="F32" t="n">
        <x:f>Controls!$D$76</x:f>
        <x:v>1</x:v>
      </x:c>
      <x:c r="G32" t="n">
        <x:v>1</x:v>
      </x:c>
      <x:c r="H32" t="str">
        <x:v>equals</x:v>
      </x:c>
      <x:c r="I32" t="str">
        <x:v>RHP design authority</x:v>
      </x:c>
      <x:c r="J32" t="str">
        <x:f>IF(F32=G32,"PASS","GAP")</x:f>
        <x:v>PASS</x:v>
      </x:c>
    </x:row>
    <x:row r="33">
      <x:c r="B33" t="str">
        <x:v>PLN-027</x:v>
      </x:c>
      <x:c r="C33" t="str">
        <x:v>PLANNING</x:v>
      </x:c>
      <x:c r="D33" t="str">
        <x:v>thermal zones</x:v>
      </x:c>
      <x:c r="E33" t="str">
        <x:v>Thermal Boundary · thermal zones 21</x:v>
      </x:c>
      <x:c r="F33" t="n">
        <x:f>Controls!$D$76</x:f>
        <x:v>1</x:v>
      </x:c>
      <x:c r="G33" t="n">
        <x:v>1</x:v>
      </x:c>
      <x:c r="H33" t="str">
        <x:v>equals</x:v>
      </x:c>
      <x:c r="I33" t="str">
        <x:v>RHP design authority</x:v>
      </x:c>
      <x:c r="J33" t="str">
        <x:f>IF(F33=G33,"PASS","GAP")</x:f>
        <x:v>PASS</x:v>
      </x:c>
    </x:row>
    <x:row r="34">
      <x:c r="B34" t="str">
        <x:v>PLN-028</x:v>
      </x:c>
      <x:c r="C34" t="str">
        <x:v>PLANNING</x:v>
      </x:c>
      <x:c r="D34" t="str">
        <x:v>thermal zones</x:v>
      </x:c>
      <x:c r="E34" t="str">
        <x:v>Thermal Boundary · thermal zones 22</x:v>
      </x:c>
      <x:c r="F34" t="n">
        <x:f>Controls!$D$76</x:f>
        <x:v>1</x:v>
      </x:c>
      <x:c r="G34" t="n">
        <x:v>1</x:v>
      </x:c>
      <x:c r="H34" t="str">
        <x:v>equals</x:v>
      </x:c>
      <x:c r="I34" t="str">
        <x:v>RHP design authority</x:v>
      </x:c>
      <x:c r="J34" t="str">
        <x:f>IF(F34=G34,"PASS","GAP")</x:f>
        <x:v>PASS</x:v>
      </x:c>
    </x:row>
    <x:row r="35">
      <x:c r="B35" t="str">
        <x:v>PLN-029</x:v>
      </x:c>
      <x:c r="C35" t="str">
        <x:v>PLANNING</x:v>
      </x:c>
      <x:c r="D35" t="str">
        <x:v>thermal zones</x:v>
      </x:c>
      <x:c r="E35" t="str">
        <x:v>Thermal Boundary · thermal zones 23</x:v>
      </x:c>
      <x:c r="F35" t="n">
        <x:f>Controls!$D$76</x:f>
        <x:v>1</x:v>
      </x:c>
      <x:c r="G35" t="n">
        <x:v>1</x:v>
      </x:c>
      <x:c r="H35" t="str">
        <x:v>equals</x:v>
      </x:c>
      <x:c r="I35" t="str">
        <x:v>RHP design authority</x:v>
      </x:c>
      <x:c r="J35" t="str">
        <x:f>IF(F35=G35,"PASS","GAP")</x:f>
        <x:v>PASS</x:v>
      </x:c>
    </x:row>
    <x:row r="36">
      <x:c r="B36" t="str">
        <x:v>PLN-030</x:v>
      </x:c>
      <x:c r="C36" t="str">
        <x:v>PLANNING</x:v>
      </x:c>
      <x:c r="D36" t="str">
        <x:v>thermal zones</x:v>
      </x:c>
      <x:c r="E36" t="str">
        <x:v>Thermal Boundary · thermal zones 24</x:v>
      </x:c>
      <x:c r="F36" t="n">
        <x:f>Controls!$D$76</x:f>
        <x:v>1</x:v>
      </x:c>
      <x:c r="G36" t="n">
        <x:v>1</x:v>
      </x:c>
      <x:c r="H36" t="str">
        <x:v>equals</x:v>
      </x:c>
      <x:c r="I36" t="str">
        <x:v>RHP design authority</x:v>
      </x:c>
      <x:c r="J36" t="str">
        <x:f>IF(F36=G36,"PASS","GAP")</x:f>
        <x:v>PASS</x:v>
      </x:c>
    </x:row>
    <x:row r="37">
      <x:c r="B37" t="str">
        <x:v>PLN-031</x:v>
      </x:c>
      <x:c r="C37" t="str">
        <x:v>PLANNING</x:v>
      </x:c>
      <x:c r="D37" t="str">
        <x:v>thermal zones</x:v>
      </x:c>
      <x:c r="E37" t="str">
        <x:v>Thermal Boundary · thermal zones 25</x:v>
      </x:c>
      <x:c r="F37" t="n">
        <x:f>Controls!$D$76</x:f>
        <x:v>1</x:v>
      </x:c>
      <x:c r="G37" t="n">
        <x:v>1</x:v>
      </x:c>
      <x:c r="H37" t="str">
        <x:v>equals</x:v>
      </x:c>
      <x:c r="I37" t="str">
        <x:v>RHP design authority</x:v>
      </x:c>
      <x:c r="J37" t="str">
        <x:f>IF(F37=G37,"PASS","GAP")</x:f>
        <x:v>PASS</x:v>
      </x:c>
    </x:row>
    <x:row r="38">
      <x:c r="B38" t="str">
        <x:v>PLN-032</x:v>
      </x:c>
      <x:c r="C38" t="str">
        <x:v>PLANNING</x:v>
      </x:c>
      <x:c r="D38" t="str">
        <x:v>thermal zones</x:v>
      </x:c>
      <x:c r="E38" t="str">
        <x:v>Thermal Boundary · thermal zones 26</x:v>
      </x:c>
      <x:c r="F38" t="n">
        <x:f>Controls!$D$76</x:f>
        <x:v>1</x:v>
      </x:c>
      <x:c r="G38" t="n">
        <x:v>1</x:v>
      </x:c>
      <x:c r="H38" t="str">
        <x:v>equals</x:v>
      </x:c>
      <x:c r="I38" t="str">
        <x:v>RHP design authority</x:v>
      </x:c>
      <x:c r="J38" t="str">
        <x:f>IF(F38=G38,"PASS","GAP")</x:f>
        <x:v>PASS</x:v>
      </x:c>
    </x:row>
    <x:row r="39">
      <x:c r="B39" t="str">
        <x:v>PLN-033</x:v>
      </x:c>
      <x:c r="C39" t="str">
        <x:v>PLANNING</x:v>
      </x:c>
      <x:c r="D39" t="str">
        <x:v>thermal zones</x:v>
      </x:c>
      <x:c r="E39" t="str">
        <x:v>Thermal Boundary · thermal zones 27</x:v>
      </x:c>
      <x:c r="F39" t="n">
        <x:f>Controls!$D$76</x:f>
        <x:v>1</x:v>
      </x:c>
      <x:c r="G39" t="n">
        <x:v>1</x:v>
      </x:c>
      <x:c r="H39" t="str">
        <x:v>equals</x:v>
      </x:c>
      <x:c r="I39" t="str">
        <x:v>RHP design authority</x:v>
      </x:c>
      <x:c r="J39" t="str">
        <x:f>IF(F39=G39,"PASS","GAP")</x:f>
        <x:v>PASS</x:v>
      </x:c>
    </x:row>
    <x:row r="40">
      <x:c r="B40" t="str">
        <x:v>PLN-034</x:v>
      </x:c>
      <x:c r="C40" t="str">
        <x:v>PLANNING</x:v>
      </x:c>
      <x:c r="D40" t="str">
        <x:v>thermal zones</x:v>
      </x:c>
      <x:c r="E40" t="str">
        <x:v>Thermal Boundary · thermal zones 28</x:v>
      </x:c>
      <x:c r="F40" t="n">
        <x:f>Controls!$D$76</x:f>
        <x:v>1</x:v>
      </x:c>
      <x:c r="G40" t="n">
        <x:v>1</x:v>
      </x:c>
      <x:c r="H40" t="str">
        <x:v>equals</x:v>
      </x:c>
      <x:c r="I40" t="str">
        <x:v>RHP design authority</x:v>
      </x:c>
      <x:c r="J40" t="str">
        <x:f>IF(F40=G40,"PASS","GAP")</x:f>
        <x:v>PASS</x:v>
      </x:c>
    </x:row>
    <x:row r="41">
      <x:c r="B41" t="str">
        <x:v>PLN-035</x:v>
      </x:c>
      <x:c r="C41" t="str">
        <x:v>PLANNING</x:v>
      </x:c>
      <x:c r="D41" t="str">
        <x:v>thermal zones</x:v>
      </x:c>
      <x:c r="E41" t="str">
        <x:v>Thermal Boundary · thermal zones 29</x:v>
      </x:c>
      <x:c r="F41" t="n">
        <x:f>Controls!$D$76</x:f>
        <x:v>1</x:v>
      </x:c>
      <x:c r="G41" t="n">
        <x:v>1</x:v>
      </x:c>
      <x:c r="H41" t="str">
        <x:v>equals</x:v>
      </x:c>
      <x:c r="I41" t="str">
        <x:v>RHP design authority</x:v>
      </x:c>
      <x:c r="J41" t="str">
        <x:f>IF(F41=G41,"PASS","GAP")</x:f>
        <x:v>PASS</x:v>
      </x:c>
    </x:row>
    <x:row r="42">
      <x:c r="B42" t="str">
        <x:v>PLN-036</x:v>
      </x:c>
      <x:c r="C42" t="str">
        <x:v>PLANNING</x:v>
      </x:c>
      <x:c r="D42" t="str">
        <x:v>thermal zones</x:v>
      </x:c>
      <x:c r="E42" t="str">
        <x:v>Thermal Boundary · thermal zones 30</x:v>
      </x:c>
      <x:c r="F42" t="n">
        <x:f>Controls!$D$76</x:f>
        <x:v>1</x:v>
      </x:c>
      <x:c r="G42" t="n">
        <x:v>1</x:v>
      </x:c>
      <x:c r="H42" t="str">
        <x:v>equals</x:v>
      </x:c>
      <x:c r="I42" t="str">
        <x:v>RHP design authority</x:v>
      </x:c>
      <x:c r="J42" t="str">
        <x:f>IF(F42=G42,"PASS","GAP")</x:f>
        <x:v>PASS</x:v>
      </x:c>
    </x:row>
    <x:row r="43">
      <x:c r="B43" t="str">
        <x:v>PLN-037</x:v>
      </x:c>
      <x:c r="C43" t="str">
        <x:v>PLANNING</x:v>
      </x:c>
      <x:c r="D43" t="str">
        <x:v>thermal zones</x:v>
      </x:c>
      <x:c r="E43" t="str">
        <x:v>Thermal Boundary · thermal zones 31</x:v>
      </x:c>
      <x:c r="F43" t="n">
        <x:f>Controls!$D$76</x:f>
        <x:v>1</x:v>
      </x:c>
      <x:c r="G43" t="n">
        <x:v>1</x:v>
      </x:c>
      <x:c r="H43" t="str">
        <x:v>equals</x:v>
      </x:c>
      <x:c r="I43" t="str">
        <x:v>RHP design authority</x:v>
      </x:c>
      <x:c r="J43" t="str">
        <x:f>IF(F43=G43,"PASS","GAP")</x:f>
        <x:v>PASS</x:v>
      </x:c>
    </x:row>
    <x:row r="44">
      <x:c r="B44" t="str">
        <x:v>PLN-038</x:v>
      </x:c>
      <x:c r="C44" t="str">
        <x:v>PLANNING</x:v>
      </x:c>
      <x:c r="D44" t="str">
        <x:v>thermal zones</x:v>
      </x:c>
      <x:c r="E44" t="str">
        <x:v>Thermal Boundary · thermal zones 32</x:v>
      </x:c>
      <x:c r="F44" t="n">
        <x:f>Controls!$D$76</x:f>
        <x:v>1</x:v>
      </x:c>
      <x:c r="G44" t="n">
        <x:v>1</x:v>
      </x:c>
      <x:c r="H44" t="str">
        <x:v>equals</x:v>
      </x:c>
      <x:c r="I44" t="str">
        <x:v>RHP design authority</x:v>
      </x:c>
      <x:c r="J44" t="str">
        <x:f>IF(F44=G44,"PASS","GAP")</x:f>
        <x:v>PASS</x:v>
      </x:c>
    </x:row>
    <x:row r="45">
      <x:c r="B45" t="str">
        <x:v>PLN-039</x:v>
      </x:c>
      <x:c r="C45" t="str">
        <x:v>PLANNING</x:v>
      </x:c>
      <x:c r="D45" t="str">
        <x:v>thermal zones</x:v>
      </x:c>
      <x:c r="E45" t="str">
        <x:v>Thermal Boundary · thermal zones 33</x:v>
      </x:c>
      <x:c r="F45" t="n">
        <x:f>Controls!$D$76</x:f>
        <x:v>1</x:v>
      </x:c>
      <x:c r="G45" t="n">
        <x:v>1</x:v>
      </x:c>
      <x:c r="H45" t="str">
        <x:v>equals</x:v>
      </x:c>
      <x:c r="I45" t="str">
        <x:v>RHP design authority</x:v>
      </x:c>
      <x:c r="J45" t="str">
        <x:f>IF(F45=G45,"PASS","GAP")</x:f>
        <x:v>PASS</x:v>
      </x:c>
    </x:row>
    <x:row r="46">
      <x:c r="B46" t="str">
        <x:v>PLN-040</x:v>
      </x:c>
      <x:c r="C46" t="str">
        <x:v>PLANNING</x:v>
      </x:c>
      <x:c r="D46" t="str">
        <x:v>thermal zones</x:v>
      </x:c>
      <x:c r="E46" t="str">
        <x:v>Thermal Boundary · thermal zones 34</x:v>
      </x:c>
      <x:c r="F46" t="n">
        <x:f>Controls!$D$76</x:f>
        <x:v>1</x:v>
      </x:c>
      <x:c r="G46" t="n">
        <x:v>1</x:v>
      </x:c>
      <x:c r="H46" t="str">
        <x:v>equals</x:v>
      </x:c>
      <x:c r="I46" t="str">
        <x:v>RHP design authority</x:v>
      </x:c>
      <x:c r="J46" t="str">
        <x:f>IF(F46=G46,"PASS","GAP")</x:f>
        <x:v>PASS</x:v>
      </x:c>
    </x:row>
    <x:row r="47">
      <x:c r="B47" t="str">
        <x:v>PLN-041</x:v>
      </x:c>
      <x:c r="C47" t="str">
        <x:v>PLANNING</x:v>
      </x:c>
      <x:c r="D47" t="str">
        <x:v>thermal zones</x:v>
      </x:c>
      <x:c r="E47" t="str">
        <x:v>Thermal Boundary · thermal zones 35</x:v>
      </x:c>
      <x:c r="F47" t="n">
        <x:f>Controls!$D$76</x:f>
        <x:v>1</x:v>
      </x:c>
      <x:c r="G47" t="n">
        <x:v>1</x:v>
      </x:c>
      <x:c r="H47" t="str">
        <x:v>equals</x:v>
      </x:c>
      <x:c r="I47" t="str">
        <x:v>RHP design authority</x:v>
      </x:c>
      <x:c r="J47" t="str">
        <x:f>IF(F47=G47,"PASS","GAP")</x:f>
        <x:v>PASS</x:v>
      </x:c>
    </x:row>
    <x:row r="48">
      <x:c r="B48" t="str">
        <x:v>PLN-042</x:v>
      </x:c>
      <x:c r="C48" t="str">
        <x:v>PLANNING</x:v>
      </x:c>
      <x:c r="D48" t="str">
        <x:v>thermal zones</x:v>
      </x:c>
      <x:c r="E48" t="str">
        <x:v>Thermal Boundary · thermal zones 36</x:v>
      </x:c>
      <x:c r="F48" t="n">
        <x:f>Controls!$D$76</x:f>
        <x:v>1</x:v>
      </x:c>
      <x:c r="G48" t="n">
        <x:v>1</x:v>
      </x:c>
      <x:c r="H48" t="str">
        <x:v>equals</x:v>
      </x:c>
      <x:c r="I48" t="str">
        <x:v>RHP design authority</x:v>
      </x:c>
      <x:c r="J48" t="str">
        <x:f>IF(F48=G48,"PASS","GAP")</x:f>
        <x:v>PASS</x:v>
      </x:c>
    </x:row>
    <x:row r="49">
      <x:c r="B49" t="str">
        <x:v>PLN-043</x:v>
      </x:c>
      <x:c r="C49" t="str">
        <x:v>PLANNING</x:v>
      </x:c>
      <x:c r="D49" t="str">
        <x:v>thermal zones</x:v>
      </x:c>
      <x:c r="E49" t="str">
        <x:v>Thermal Boundary · thermal zones 37</x:v>
      </x:c>
      <x:c r="F49" t="n">
        <x:f>Controls!$D$76</x:f>
        <x:v>1</x:v>
      </x:c>
      <x:c r="G49" t="n">
        <x:v>1</x:v>
      </x:c>
      <x:c r="H49" t="str">
        <x:v>equals</x:v>
      </x:c>
      <x:c r="I49" t="str">
        <x:v>RHP design authority</x:v>
      </x:c>
      <x:c r="J49" t="str">
        <x:f>IF(F49=G49,"PASS","GAP")</x:f>
        <x:v>PASS</x:v>
      </x:c>
    </x:row>
    <x:row r="50">
      <x:c r="B50" t="str">
        <x:v>PLN-044</x:v>
      </x:c>
      <x:c r="C50" t="str">
        <x:v>PLANNING</x:v>
      </x:c>
      <x:c r="D50" t="str">
        <x:v>thermal zones</x:v>
      </x:c>
      <x:c r="E50" t="str">
        <x:v>Thermal Boundary · thermal zones 38</x:v>
      </x:c>
      <x:c r="F50" t="n">
        <x:f>Controls!$D$76</x:f>
        <x:v>1</x:v>
      </x:c>
      <x:c r="G50" t="n">
        <x:v>1</x:v>
      </x:c>
      <x:c r="H50" t="str">
        <x:v>equals</x:v>
      </x:c>
      <x:c r="I50" t="str">
        <x:v>RHP design authority</x:v>
      </x:c>
      <x:c r="J50" t="str">
        <x:f>IF(F50=G50,"PASS","GAP")</x:f>
        <x:v>PASS</x:v>
      </x:c>
    </x:row>
    <x:row r="51">
      <x:c r="B51" t="str">
        <x:v>PLN-045</x:v>
      </x:c>
      <x:c r="C51" t="str">
        <x:v>PLANNING</x:v>
      </x:c>
      <x:c r="D51" t="str">
        <x:v>thermal zones</x:v>
      </x:c>
      <x:c r="E51" t="str">
        <x:v>Thermal Boundary · thermal zones 39</x:v>
      </x:c>
      <x:c r="F51" t="n">
        <x:f>Controls!$D$76</x:f>
        <x:v>1</x:v>
      </x:c>
      <x:c r="G51" t="n">
        <x:v>1</x:v>
      </x:c>
      <x:c r="H51" t="str">
        <x:v>equals</x:v>
      </x:c>
      <x:c r="I51" t="str">
        <x:v>RHP design authority</x:v>
      </x:c>
      <x:c r="J51" t="str">
        <x:f>IF(F51=G51,"PASS","GAP")</x:f>
        <x:v>PASS</x:v>
      </x:c>
    </x:row>
    <x:row r="52">
      <x:c r="B52" t="str">
        <x:v>PLN-046</x:v>
      </x:c>
      <x:c r="C52" t="str">
        <x:v>PLANNING</x:v>
      </x:c>
      <x:c r="D52" t="str">
        <x:v>thermal zones</x:v>
      </x:c>
      <x:c r="E52" t="str">
        <x:v>Thermal Boundary · thermal zones 40</x:v>
      </x:c>
      <x:c r="F52" t="n">
        <x:f>Controls!$D$76</x:f>
        <x:v>1</x:v>
      </x:c>
      <x:c r="G52" t="n">
        <x:v>1</x:v>
      </x:c>
      <x:c r="H52" t="str">
        <x:v>equals</x:v>
      </x:c>
      <x:c r="I52" t="str">
        <x:v>RHP design authority</x:v>
      </x:c>
      <x:c r="J52" t="str">
        <x:f>IF(F52=G52,"PASS","GAP")</x:f>
        <x:v>PASS</x:v>
      </x:c>
    </x:row>
    <x:row r="53">
      <x:c r="B53" t="str">
        <x:v>PLN-047</x:v>
      </x:c>
      <x:c r="C53" t="str">
        <x:v>PLANNING</x:v>
      </x:c>
      <x:c r="D53" t="str">
        <x:v>thermal zones</x:v>
      </x:c>
      <x:c r="E53" t="str">
        <x:v>Thermal Boundary · thermal zones 41</x:v>
      </x:c>
      <x:c r="F53" t="n">
        <x:f>Controls!$D$76</x:f>
        <x:v>1</x:v>
      </x:c>
      <x:c r="G53" t="n">
        <x:v>1</x:v>
      </x:c>
      <x:c r="H53" t="str">
        <x:v>equals</x:v>
      </x:c>
      <x:c r="I53" t="str">
        <x:v>RHP design authority</x:v>
      </x:c>
      <x:c r="J53" t="str">
        <x:f>IF(F53=G53,"PASS","GAP")</x:f>
        <x:v>PASS</x:v>
      </x:c>
    </x:row>
    <x:row r="54">
      <x:c r="B54" t="str">
        <x:v>PLN-048</x:v>
      </x:c>
      <x:c r="C54" t="str">
        <x:v>PLANNING</x:v>
      </x:c>
      <x:c r="D54" t="str">
        <x:v>thermal zones</x:v>
      </x:c>
      <x:c r="E54" t="str">
        <x:v>Thermal Boundary · thermal zones 42</x:v>
      </x:c>
      <x:c r="F54" t="n">
        <x:f>Controls!$D$76</x:f>
        <x:v>1</x:v>
      </x:c>
      <x:c r="G54" t="n">
        <x:v>1</x:v>
      </x:c>
      <x:c r="H54" t="str">
        <x:v>equals</x:v>
      </x:c>
      <x:c r="I54" t="str">
        <x:v>RHP design authority</x:v>
      </x:c>
      <x:c r="J54" t="str">
        <x:f>IF(F54=G54,"PASS","GAP")</x:f>
        <x:v>PASS</x:v>
      </x:c>
    </x:row>
    <x:row r="55">
      <x:c r="B55" t="str">
        <x:v>PLN-049</x:v>
      </x:c>
      <x:c r="C55" t="str">
        <x:v>PLANNING</x:v>
      </x:c>
      <x:c r="D55" t="str">
        <x:v>thermal zones</x:v>
      </x:c>
      <x:c r="E55" t="str">
        <x:v>Thermal Boundary · thermal zones 43</x:v>
      </x:c>
      <x:c r="F55" t="n">
        <x:f>Controls!$D$76</x:f>
        <x:v>1</x:v>
      </x:c>
      <x:c r="G55" t="n">
        <x:v>1</x:v>
      </x:c>
      <x:c r="H55" t="str">
        <x:v>equals</x:v>
      </x:c>
      <x:c r="I55" t="str">
        <x:v>RHP design authority</x:v>
      </x:c>
      <x:c r="J55" t="str">
        <x:f>IF(F55=G55,"PASS","GAP")</x:f>
        <x:v>PASS</x:v>
      </x:c>
    </x:row>
    <x:row r="56">
      <x:c r="B56" t="str">
        <x:v>PLN-050</x:v>
      </x:c>
      <x:c r="C56" t="str">
        <x:v>PLANNING</x:v>
      </x:c>
      <x:c r="D56" t="str">
        <x:v>thermal zones</x:v>
      </x:c>
      <x:c r="E56" t="str">
        <x:v>Thermal Boundary · thermal zones 44</x:v>
      </x:c>
      <x:c r="F56" t="n">
        <x:f>Controls!$D$76</x:f>
        <x:v>1</x:v>
      </x:c>
      <x:c r="G56" t="n">
        <x:v>1</x:v>
      </x:c>
      <x:c r="H56" t="str">
        <x:v>equals</x:v>
      </x:c>
      <x:c r="I56" t="str">
        <x:v>RHP design authority</x:v>
      </x:c>
      <x:c r="J56" t="str">
        <x:f>IF(F56=G56,"PASS","GAP")</x:f>
        <x:v>PASS</x:v>
      </x:c>
    </x:row>
    <x:row r="57">
      <x:c r="B57" t="str">
        <x:v>PLN-051</x:v>
      </x:c>
      <x:c r="C57" t="str">
        <x:v>PLANNING</x:v>
      </x:c>
      <x:c r="D57" t="str">
        <x:v>thermal zones</x:v>
      </x:c>
      <x:c r="E57" t="str">
        <x:v>Thermal Boundary · thermal zones 45</x:v>
      </x:c>
      <x:c r="F57" t="n">
        <x:f>Controls!$D$76</x:f>
        <x:v>1</x:v>
      </x:c>
      <x:c r="G57" t="n">
        <x:v>1</x:v>
      </x:c>
      <x:c r="H57" t="str">
        <x:v>equals</x:v>
      </x:c>
      <x:c r="I57" t="str">
        <x:v>RHP design authority</x:v>
      </x:c>
      <x:c r="J57" t="str">
        <x:f>IF(F57=G57,"PASS","GAP")</x:f>
        <x:v>PASS</x:v>
      </x:c>
    </x:row>
    <x:row r="58">
      <x:c r="B58" t="str">
        <x:v>PLN-052</x:v>
      </x:c>
      <x:c r="C58" t="str">
        <x:v>PLANNING</x:v>
      </x:c>
      <x:c r="D58" t="str">
        <x:v>thermal zones</x:v>
      </x:c>
      <x:c r="E58" t="str">
        <x:v>Thermal Boundary · thermal zones 46</x:v>
      </x:c>
      <x:c r="F58" t="n">
        <x:f>Controls!$D$76</x:f>
        <x:v>1</x:v>
      </x:c>
      <x:c r="G58" t="n">
        <x:v>1</x:v>
      </x:c>
      <x:c r="H58" t="str">
        <x:v>equals</x:v>
      </x:c>
      <x:c r="I58" t="str">
        <x:v>RHP design authority</x:v>
      </x:c>
      <x:c r="J58" t="str">
        <x:f>IF(F58=G58,"PASS","GAP")</x:f>
        <x:v>PASS</x:v>
      </x:c>
    </x:row>
    <x:row r="59">
      <x:c r="B59" t="str">
        <x:v>PLN-053</x:v>
      </x:c>
      <x:c r="C59" t="str">
        <x:v>PLANNING</x:v>
      </x:c>
      <x:c r="D59" t="str">
        <x:v>thermal zones</x:v>
      </x:c>
      <x:c r="E59" t="str">
        <x:v>Thermal Boundary · thermal zones 47</x:v>
      </x:c>
      <x:c r="F59" t="n">
        <x:f>Controls!$D$76</x:f>
        <x:v>1</x:v>
      </x:c>
      <x:c r="G59" t="n">
        <x:v>1</x:v>
      </x:c>
      <x:c r="H59" t="str">
        <x:v>equals</x:v>
      </x:c>
      <x:c r="I59" t="str">
        <x:v>RHP design authority</x:v>
      </x:c>
      <x:c r="J59" t="str">
        <x:f>IF(F59=G59,"PASS","GAP")</x:f>
        <x:v>PASS</x:v>
      </x:c>
    </x:row>
    <x:row r="60">
      <x:c r="B60" t="str">
        <x:v>PLN-054</x:v>
      </x:c>
      <x:c r="C60" t="str">
        <x:v>PLANNING</x:v>
      </x:c>
      <x:c r="D60" t="str">
        <x:v>thermal zones</x:v>
      </x:c>
      <x:c r="E60" t="str">
        <x:v>Thermal Boundary · thermal zones 48</x:v>
      </x:c>
      <x:c r="F60" t="n">
        <x:f>Controls!$D$76</x:f>
        <x:v>1</x:v>
      </x:c>
      <x:c r="G60" t="n">
        <x:v>1</x:v>
      </x:c>
      <x:c r="H60" t="str">
        <x:v>equals</x:v>
      </x:c>
      <x:c r="I60" t="str">
        <x:v>RHP design authority</x:v>
      </x:c>
      <x:c r="J60" t="str">
        <x:f>IF(F60=G60,"PASS","GAP")</x:f>
        <x:v>PASS</x:v>
      </x:c>
    </x:row>
    <x:row r="61">
      <x:c r="B61" t="str">
        <x:v>PLN-055</x:v>
      </x:c>
      <x:c r="C61" t="str">
        <x:v>PLANNING</x:v>
      </x:c>
      <x:c r="D61" t="str">
        <x:v>thermal zones</x:v>
      </x:c>
      <x:c r="E61" t="str">
        <x:v>Thermal Boundary · thermal zones 49</x:v>
      </x:c>
      <x:c r="F61" t="n">
        <x:f>Controls!$D$76</x:f>
        <x:v>1</x:v>
      </x:c>
      <x:c r="G61" t="n">
        <x:v>1</x:v>
      </x:c>
      <x:c r="H61" t="str">
        <x:v>equals</x:v>
      </x:c>
      <x:c r="I61" t="str">
        <x:v>RHP design authority</x:v>
      </x:c>
      <x:c r="J61" t="str">
        <x:f>IF(F61=G61,"PASS","GAP")</x:f>
        <x:v>PASS</x:v>
      </x:c>
    </x:row>
    <x:row r="62">
      <x:c r="B62" t="str">
        <x:v>PLN-056</x:v>
      </x:c>
      <x:c r="C62" t="str">
        <x:v>PLANNING</x:v>
      </x:c>
      <x:c r="D62" t="str">
        <x:v>thermal zones</x:v>
      </x:c>
      <x:c r="E62" t="str">
        <x:v>Thermal Boundary · thermal zones 50</x:v>
      </x:c>
      <x:c r="F62" t="n">
        <x:f>Controls!$D$76</x:f>
        <x:v>1</x:v>
      </x:c>
      <x:c r="G62" t="n">
        <x:v>1</x:v>
      </x:c>
      <x:c r="H62" t="str">
        <x:v>equals</x:v>
      </x:c>
      <x:c r="I62" t="str">
        <x:v>RHP design authority</x:v>
      </x:c>
      <x:c r="J62" t="str">
        <x:f>IF(F62=G62,"PASS","GAP")</x:f>
        <x:v>PASS</x:v>
      </x:c>
    </x:row>
    <x:row r="63">
      <x:c r="B63" t="str">
        <x:v>PLN-057</x:v>
      </x:c>
      <x:c r="C63" t="str">
        <x:v>PLANNING</x:v>
      </x:c>
      <x:c r="D63" t="str">
        <x:v>thermal zones</x:v>
      </x:c>
      <x:c r="E63" t="str">
        <x:v>Thermal Boundary · thermal zones 51</x:v>
      </x:c>
      <x:c r="F63" t="n">
        <x:f>Controls!$D$76</x:f>
        <x:v>1</x:v>
      </x:c>
      <x:c r="G63" t="n">
        <x:v>1</x:v>
      </x:c>
      <x:c r="H63" t="str">
        <x:v>equals</x:v>
      </x:c>
      <x:c r="I63" t="str">
        <x:v>RHP design authority</x:v>
      </x:c>
      <x:c r="J63" t="str">
        <x:f>IF(F63=G63,"PASS","GAP")</x:f>
        <x:v>PASS</x:v>
      </x:c>
    </x:row>
    <x:row r="64">
      <x:c r="B64" t="str">
        <x:v>PLN-058</x:v>
      </x:c>
      <x:c r="C64" t="str">
        <x:v>PLANNING</x:v>
      </x:c>
      <x:c r="D64" t="str">
        <x:v>thermal zones</x:v>
      </x:c>
      <x:c r="E64" t="str">
        <x:v>Thermal Boundary · thermal zones 52</x:v>
      </x:c>
      <x:c r="F64" t="n">
        <x:f>Controls!$D$76</x:f>
        <x:v>1</x:v>
      </x:c>
      <x:c r="G64" t="n">
        <x:v>1</x:v>
      </x:c>
      <x:c r="H64" t="str">
        <x:v>equals</x:v>
      </x:c>
      <x:c r="I64" t="str">
        <x:v>RHP design authority</x:v>
      </x:c>
      <x:c r="J64" t="str">
        <x:f>IF(F64=G64,"PASS","GAP")</x:f>
        <x:v>PASS</x:v>
      </x:c>
    </x:row>
    <x:row r="65">
      <x:c r="B65" t="str">
        <x:v>PLN-059</x:v>
      </x:c>
      <x:c r="C65" t="str">
        <x:v>PLANNING</x:v>
      </x:c>
      <x:c r="D65" t="str">
        <x:v>thermal zones</x:v>
      </x:c>
      <x:c r="E65" t="str">
        <x:v>Thermal Boundary · thermal zones 53</x:v>
      </x:c>
      <x:c r="F65" t="n">
        <x:f>Controls!$D$76</x:f>
        <x:v>1</x:v>
      </x:c>
      <x:c r="G65" t="n">
        <x:v>1</x:v>
      </x:c>
      <x:c r="H65" t="str">
        <x:v>equals</x:v>
      </x:c>
      <x:c r="I65" t="str">
        <x:v>RHP design authority</x:v>
      </x:c>
      <x:c r="J65" t="str">
        <x:f>IF(F65=G65,"PASS","GAP")</x:f>
        <x:v>PASS</x:v>
      </x:c>
    </x:row>
    <x:row r="66">
      <x:c r="B66" t="str">
        <x:v>PLN-060</x:v>
      </x:c>
      <x:c r="C66" t="str">
        <x:v>PLANNING</x:v>
      </x:c>
      <x:c r="D66" t="str">
        <x:v>thermal zones</x:v>
      </x:c>
      <x:c r="E66" t="str">
        <x:v>Thermal Boundary · thermal zones 54</x:v>
      </x:c>
      <x:c r="F66" t="n">
        <x:f>Controls!$D$76</x:f>
        <x:v>1</x:v>
      </x:c>
      <x:c r="G66" t="n">
        <x:v>1</x:v>
      </x:c>
      <x:c r="H66" t="str">
        <x:v>equals</x:v>
      </x:c>
      <x:c r="I66" t="str">
        <x:v>RHP design authority</x:v>
      </x:c>
      <x:c r="J66" t="str">
        <x:f>IF(F66=G66,"PASS","GAP")</x:f>
        <x:v>PASS</x:v>
      </x:c>
    </x:row>
    <x:row r="67">
      <x:c r="B67" t="str">
        <x:v>PLN-061</x:v>
      </x:c>
      <x:c r="C67" t="str">
        <x:v>PLANNING</x:v>
      </x:c>
      <x:c r="D67" t="str">
        <x:v>thermal zones</x:v>
      </x:c>
      <x:c r="E67" t="str">
        <x:v>Thermal Boundary · thermal zones 55</x:v>
      </x:c>
      <x:c r="F67" t="n">
        <x:f>Controls!$D$76</x:f>
        <x:v>1</x:v>
      </x:c>
      <x:c r="G67" t="n">
        <x:v>1</x:v>
      </x:c>
      <x:c r="H67" t="str">
        <x:v>equals</x:v>
      </x:c>
      <x:c r="I67" t="str">
        <x:v>RHP design authority</x:v>
      </x:c>
      <x:c r="J67" t="str">
        <x:f>IF(F67=G67,"PASS","GAP")</x:f>
        <x:v>PASS</x:v>
      </x:c>
    </x:row>
    <x:row r="68">
      <x:c r="B68" t="str">
        <x:v>PLN-062</x:v>
      </x:c>
      <x:c r="C68" t="str">
        <x:v>PLANNING</x:v>
      </x:c>
      <x:c r="D68" t="str">
        <x:v>thermal zones</x:v>
      </x:c>
      <x:c r="E68" t="str">
        <x:v>Thermal Boundary · thermal zones 56</x:v>
      </x:c>
      <x:c r="F68" t="n">
        <x:f>Controls!$D$76</x:f>
        <x:v>1</x:v>
      </x:c>
      <x:c r="G68" t="n">
        <x:v>1</x:v>
      </x:c>
      <x:c r="H68" t="str">
        <x:v>equals</x:v>
      </x:c>
      <x:c r="I68" t="str">
        <x:v>RHP design authority</x:v>
      </x:c>
      <x:c r="J68" t="str">
        <x:f>IF(F68=G68,"PASS","GAP")</x:f>
        <x:v>PASS</x:v>
      </x:c>
    </x:row>
    <x:row r="69">
      <x:c r="B69" t="str">
        <x:v>PLN-063</x:v>
      </x:c>
      <x:c r="C69" t="str">
        <x:v>PLANNING</x:v>
      </x:c>
      <x:c r="D69" t="str">
        <x:v>thermal zones</x:v>
      </x:c>
      <x:c r="E69" t="str">
        <x:v>Thermal Boundary · thermal zones 57</x:v>
      </x:c>
      <x:c r="F69" t="n">
        <x:f>Controls!$D$76</x:f>
        <x:v>1</x:v>
      </x:c>
      <x:c r="G69" t="n">
        <x:v>1</x:v>
      </x:c>
      <x:c r="H69" t="str">
        <x:v>equals</x:v>
      </x:c>
      <x:c r="I69" t="str">
        <x:v>RHP design authority</x:v>
      </x:c>
      <x:c r="J69" t="str">
        <x:f>IF(F69=G69,"PASS","GAP")</x:f>
        <x:v>PASS</x:v>
      </x:c>
    </x:row>
    <x:row r="70">
      <x:c r="B70" t="str">
        <x:v>PLN-064</x:v>
      </x:c>
      <x:c r="C70" t="str">
        <x:v>PLANNING</x:v>
      </x:c>
      <x:c r="D70" t="str">
        <x:v>thermal zones</x:v>
      </x:c>
      <x:c r="E70" t="str">
        <x:v>Thermal Boundary · thermal zones 58</x:v>
      </x:c>
      <x:c r="F70" t="n">
        <x:f>Controls!$D$76</x:f>
        <x:v>1</x:v>
      </x:c>
      <x:c r="G70" t="n">
        <x:v>1</x:v>
      </x:c>
      <x:c r="H70" t="str">
        <x:v>equals</x:v>
      </x:c>
      <x:c r="I70" t="str">
        <x:v>RHP design authority</x:v>
      </x:c>
      <x:c r="J70" t="str">
        <x:f>IF(F70=G70,"PASS","GAP")</x:f>
        <x:v>PASS</x:v>
      </x:c>
    </x:row>
    <x:row r="71">
      <x:c r="B71" t="str">
        <x:v>PLN-065</x:v>
      </x:c>
      <x:c r="C71" t="str">
        <x:v>PLANNING</x:v>
      </x:c>
      <x:c r="D71" t="str">
        <x:v>thermal zones</x:v>
      </x:c>
      <x:c r="E71" t="str">
        <x:v>Thermal Boundary · thermal zones 59</x:v>
      </x:c>
      <x:c r="F71" t="n">
        <x:f>Controls!$D$76</x:f>
        <x:v>1</x:v>
      </x:c>
      <x:c r="G71" t="n">
        <x:v>1</x:v>
      </x:c>
      <x:c r="H71" t="str">
        <x:v>equals</x:v>
      </x:c>
      <x:c r="I71" t="str">
        <x:v>RHP design authority</x:v>
      </x:c>
      <x:c r="J71" t="str">
        <x:f>IF(F71=G71,"PASS","GAP")</x:f>
        <x:v>PASS</x:v>
      </x:c>
    </x:row>
    <x:row r="72">
      <x:c r="B72" t="str">
        <x:v>PLN-066</x:v>
      </x:c>
      <x:c r="C72" t="str">
        <x:v>PLANNING</x:v>
      </x:c>
      <x:c r="D72" t="str">
        <x:v>thermal zones</x:v>
      </x:c>
      <x:c r="E72" t="str">
        <x:v>Thermal Boundary · thermal zones 60</x:v>
      </x:c>
      <x:c r="F72" t="n">
        <x:f>Controls!$D$76</x:f>
        <x:v>1</x:v>
      </x:c>
      <x:c r="G72" t="n">
        <x:v>1</x:v>
      </x:c>
      <x:c r="H72" t="str">
        <x:v>equals</x:v>
      </x:c>
      <x:c r="I72" t="str">
        <x:v>RHP design authority</x:v>
      </x:c>
      <x:c r="J72" t="str">
        <x:f>IF(F72=G72,"PASS","GAP")</x:f>
        <x:v>PASS</x:v>
      </x:c>
    </x:row>
    <x:row r="73">
      <x:c r="B73" t="str">
        <x:v>PLN-067</x:v>
      </x:c>
      <x:c r="C73" t="str">
        <x:v>PLANNING</x:v>
      </x:c>
      <x:c r="D73" t="str">
        <x:v>thermal zones</x:v>
      </x:c>
      <x:c r="E73" t="str">
        <x:v>Thermal Boundary · thermal zones 61</x:v>
      </x:c>
      <x:c r="F73" t="n">
        <x:f>Controls!$D$76</x:f>
        <x:v>1</x:v>
      </x:c>
      <x:c r="G73" t="n">
        <x:v>1</x:v>
      </x:c>
      <x:c r="H73" t="str">
        <x:v>equals</x:v>
      </x:c>
      <x:c r="I73" t="str">
        <x:v>RHP design authority</x:v>
      </x:c>
      <x:c r="J73" t="str">
        <x:f>IF(F73=G73,"PASS","GAP")</x:f>
        <x:v>PASS</x:v>
      </x:c>
    </x:row>
    <x:row r="74">
      <x:c r="B74" t="str">
        <x:v>PLN-068</x:v>
      </x:c>
      <x:c r="C74" t="str">
        <x:v>PLANNING</x:v>
      </x:c>
      <x:c r="D74" t="str">
        <x:v>thermal zones</x:v>
      </x:c>
      <x:c r="E74" t="str">
        <x:v>Thermal Boundary · thermal zones 62</x:v>
      </x:c>
      <x:c r="F74" t="n">
        <x:f>Controls!$D$76</x:f>
        <x:v>1</x:v>
      </x:c>
      <x:c r="G74" t="n">
        <x:v>1</x:v>
      </x:c>
      <x:c r="H74" t="str">
        <x:v>equals</x:v>
      </x:c>
      <x:c r="I74" t="str">
        <x:v>RHP design authority</x:v>
      </x:c>
      <x:c r="J74" t="str">
        <x:f>IF(F74=G74,"PASS","GAP")</x:f>
        <x:v>PASS</x:v>
      </x:c>
    </x:row>
    <x:row r="75">
      <x:c r="B75" t="str">
        <x:v>PLN-069</x:v>
      </x:c>
      <x:c r="C75" t="str">
        <x:v>PLANNING</x:v>
      </x:c>
      <x:c r="D75" t="str">
        <x:v>thermal zones</x:v>
      </x:c>
      <x:c r="E75" t="str">
        <x:v>Thermal Boundary · thermal zones 63</x:v>
      </x:c>
      <x:c r="F75" t="n">
        <x:f>Controls!$D$76</x:f>
        <x:v>1</x:v>
      </x:c>
      <x:c r="G75" t="n">
        <x:v>1</x:v>
      </x:c>
      <x:c r="H75" t="str">
        <x:v>equals</x:v>
      </x:c>
      <x:c r="I75" t="str">
        <x:v>RHP design authority</x:v>
      </x:c>
      <x:c r="J75" t="str">
        <x:f>IF(F75=G75,"PASS","GAP")</x:f>
        <x:v>PASS</x:v>
      </x:c>
    </x:row>
    <x:row r="76">
      <x:c r="B76" t="str">
        <x:v>PLN-070</x:v>
      </x:c>
      <x:c r="C76" t="str">
        <x:v>PLANNING</x:v>
      </x:c>
      <x:c r="D76" t="str">
        <x:v>thermal zones</x:v>
      </x:c>
      <x:c r="E76" t="str">
        <x:v>Thermal Boundary · thermal zones 64</x:v>
      </x:c>
      <x:c r="F76" t="n">
        <x:f>Controls!$D$76</x:f>
        <x:v>1</x:v>
      </x:c>
      <x:c r="G76" t="n">
        <x:v>1</x:v>
      </x:c>
      <x:c r="H76" t="str">
        <x:v>equals</x:v>
      </x:c>
      <x:c r="I76" t="str">
        <x:v>RHP design authority</x:v>
      </x:c>
      <x:c r="J76" t="str">
        <x:f>IF(F76=G76,"PASS","GAP")</x:f>
        <x:v>PASS</x:v>
      </x:c>
    </x:row>
    <x:row r="77">
      <x:c r="B77" t="str">
        <x:v>PLN-071</x:v>
      </x:c>
      <x:c r="C77" t="str">
        <x:v>PLANNING</x:v>
      </x:c>
      <x:c r="D77" t="str">
        <x:v>thermal zones</x:v>
      </x:c>
      <x:c r="E77" t="str">
        <x:v>Thermal Boundary · thermal zones 65</x:v>
      </x:c>
      <x:c r="F77" t="n">
        <x:f>Controls!$D$76</x:f>
        <x:v>1</x:v>
      </x:c>
      <x:c r="G77" t="n">
        <x:v>1</x:v>
      </x:c>
      <x:c r="H77" t="str">
        <x:v>equals</x:v>
      </x:c>
      <x:c r="I77" t="str">
        <x:v>RHP design authority</x:v>
      </x:c>
      <x:c r="J77" t="str">
        <x:f>IF(F77=G77,"PASS","GAP")</x:f>
        <x:v>PASS</x:v>
      </x:c>
    </x:row>
    <x:row r="78">
      <x:c r="B78" t="str">
        <x:v>PLN-072</x:v>
      </x:c>
      <x:c r="C78" t="str">
        <x:v>PLANNING</x:v>
      </x:c>
      <x:c r="D78" t="str">
        <x:v>thermal zones</x:v>
      </x:c>
      <x:c r="E78" t="str">
        <x:v>Thermal Boundary · thermal zones 66</x:v>
      </x:c>
      <x:c r="F78" t="n">
        <x:f>Controls!$D$76</x:f>
        <x:v>1</x:v>
      </x:c>
      <x:c r="G78" t="n">
        <x:v>1</x:v>
      </x:c>
      <x:c r="H78" t="str">
        <x:v>equals</x:v>
      </x:c>
      <x:c r="I78" t="str">
        <x:v>RHP design authority</x:v>
      </x:c>
      <x:c r="J78" t="str">
        <x:f>IF(F78=G78,"PASS","GAP")</x:f>
        <x:v>PASS</x:v>
      </x:c>
    </x:row>
    <x:row r="79">
      <x:c r="B79" t="str">
        <x:v>PLN-073</x:v>
      </x:c>
      <x:c r="C79" t="str">
        <x:v>PLANNING</x:v>
      </x:c>
      <x:c r="D79" t="str">
        <x:v>thermal zones</x:v>
      </x:c>
      <x:c r="E79" t="str">
        <x:v>Thermal Boundary · thermal zones 67</x:v>
      </x:c>
      <x:c r="F79" t="n">
        <x:f>Controls!$D$76</x:f>
        <x:v>1</x:v>
      </x:c>
      <x:c r="G79" t="n">
        <x:v>1</x:v>
      </x:c>
      <x:c r="H79" t="str">
        <x:v>equals</x:v>
      </x:c>
      <x:c r="I79" t="str">
        <x:v>RHP design authority</x:v>
      </x:c>
      <x:c r="J79" t="str">
        <x:f>IF(F79=G79,"PASS","GAP")</x:f>
        <x:v>PASS</x:v>
      </x:c>
    </x:row>
    <x:row r="80">
      <x:c r="B80" t="str">
        <x:v>PLN-074</x:v>
      </x:c>
      <x:c r="C80" t="str">
        <x:v>PLANNING</x:v>
      </x:c>
      <x:c r="D80" t="str">
        <x:v>thermal zones</x:v>
      </x:c>
      <x:c r="E80" t="str">
        <x:v>Thermal Boundary · thermal zones 68</x:v>
      </x:c>
      <x:c r="F80" t="n">
        <x:f>Controls!$D$76</x:f>
        <x:v>1</x:v>
      </x:c>
      <x:c r="G80" t="n">
        <x:v>1</x:v>
      </x:c>
      <x:c r="H80" t="str">
        <x:v>equals</x:v>
      </x:c>
      <x:c r="I80" t="str">
        <x:v>RHP design authority</x:v>
      </x:c>
      <x:c r="J80" t="str">
        <x:f>IF(F80=G80,"PASS","GAP")</x:f>
        <x:v>PASS</x:v>
      </x:c>
    </x:row>
    <x:row r="81">
      <x:c r="B81" t="str">
        <x:v>PLN-075</x:v>
      </x:c>
      <x:c r="C81" t="str">
        <x:v>PLANNING</x:v>
      </x:c>
      <x:c r="D81" t="str">
        <x:v>thermal zones</x:v>
      </x:c>
      <x:c r="E81" t="str">
        <x:v>Thermal Boundary · thermal zones 69</x:v>
      </x:c>
      <x:c r="F81" t="n">
        <x:f>Controls!$D$76</x:f>
        <x:v>1</x:v>
      </x:c>
      <x:c r="G81" t="n">
        <x:v>1</x:v>
      </x:c>
      <x:c r="H81" t="str">
        <x:v>equals</x:v>
      </x:c>
      <x:c r="I81" t="str">
        <x:v>RHP design authority</x:v>
      </x:c>
      <x:c r="J81" t="str">
        <x:f>IF(F81=G81,"PASS","GAP")</x:f>
        <x:v>PASS</x:v>
      </x:c>
    </x:row>
    <x:row r="82">
      <x:c r="B82" t="str">
        <x:v>PLN-076</x:v>
      </x:c>
      <x:c r="C82" t="str">
        <x:v>PLANNING</x:v>
      </x:c>
      <x:c r="D82" t="str">
        <x:v>thermal zones</x:v>
      </x:c>
      <x:c r="E82" t="str">
        <x:v>Thermal Boundary · thermal zones 70</x:v>
      </x:c>
      <x:c r="F82" t="n">
        <x:f>Controls!$D$76</x:f>
        <x:v>1</x:v>
      </x:c>
      <x:c r="G82" t="n">
        <x:v>1</x:v>
      </x:c>
      <x:c r="H82" t="str">
        <x:v>equals</x:v>
      </x:c>
      <x:c r="I82" t="str">
        <x:v>RHP design authority</x:v>
      </x:c>
      <x:c r="J82" t="str">
        <x:f>IF(F82=G82,"PASS","GAP")</x:f>
        <x:v>PASS</x:v>
      </x:c>
    </x:row>
    <x:row r="83">
      <x:c r="B83" t="str">
        <x:v>PLN-077</x:v>
      </x:c>
      <x:c r="C83" t="str">
        <x:v>PLANNING</x:v>
      </x:c>
      <x:c r="D83" t="str">
        <x:v>thermal zones</x:v>
      </x:c>
      <x:c r="E83" t="str">
        <x:v>Thermal Boundary · thermal zones 71</x:v>
      </x:c>
      <x:c r="F83" t="n">
        <x:f>Controls!$D$76</x:f>
        <x:v>1</x:v>
      </x:c>
      <x:c r="G83" t="n">
        <x:v>1</x:v>
      </x:c>
      <x:c r="H83" t="str">
        <x:v>equals</x:v>
      </x:c>
      <x:c r="I83" t="str">
        <x:v>RHP design authority</x:v>
      </x:c>
      <x:c r="J83" t="str">
        <x:f>IF(F83=G83,"PASS","GAP")</x:f>
        <x:v>PASS</x:v>
      </x:c>
    </x:row>
    <x:row r="84">
      <x:c r="B84" t="str">
        <x:v>PLN-078</x:v>
      </x:c>
      <x:c r="C84" t="str">
        <x:v>PLANNING</x:v>
      </x:c>
      <x:c r="D84" t="str">
        <x:v>thermal zones</x:v>
      </x:c>
      <x:c r="E84" t="str">
        <x:v>Thermal Boundary · thermal zones 72</x:v>
      </x:c>
      <x:c r="F84" t="n">
        <x:f>Controls!$D$76</x:f>
        <x:v>1</x:v>
      </x:c>
      <x:c r="G84" t="n">
        <x:v>1</x:v>
      </x:c>
      <x:c r="H84" t="str">
        <x:v>equals</x:v>
      </x:c>
      <x:c r="I84" t="str">
        <x:v>RHP design authority</x:v>
      </x:c>
      <x:c r="J84" t="str">
        <x:f>IF(F84=G84,"PASS","GAP")</x:f>
        <x:v>PASS</x:v>
      </x:c>
    </x:row>
    <x:row r="85">
      <x:c r="B85" t="str">
        <x:v>PLN-079</x:v>
      </x:c>
      <x:c r="C85" t="str">
        <x:v>PLANNING</x:v>
      </x:c>
      <x:c r="D85" t="str">
        <x:v>thermal zones</x:v>
      </x:c>
      <x:c r="E85" t="str">
        <x:v>Thermal Boundary · thermal zones 73</x:v>
      </x:c>
      <x:c r="F85" t="n">
        <x:f>Controls!$D$76</x:f>
        <x:v>1</x:v>
      </x:c>
      <x:c r="G85" t="n">
        <x:v>1</x:v>
      </x:c>
      <x:c r="H85" t="str">
        <x:v>equals</x:v>
      </x:c>
      <x:c r="I85" t="str">
        <x:v>RHP design authority</x:v>
      </x:c>
      <x:c r="J85" t="str">
        <x:f>IF(F85=G85,"PASS","GAP")</x:f>
        <x:v>PASS</x:v>
      </x:c>
    </x:row>
    <x:row r="86">
      <x:c r="B86" t="str">
        <x:v>PLN-080</x:v>
      </x:c>
      <x:c r="C86" t="str">
        <x:v>PLANNING</x:v>
      </x:c>
      <x:c r="D86" t="str">
        <x:v>thermal zones</x:v>
      </x:c>
      <x:c r="E86" t="str">
        <x:v>Thermal Boundary · thermal zones 74</x:v>
      </x:c>
      <x:c r="F86" t="n">
        <x:f>Controls!$D$76</x:f>
        <x:v>1</x:v>
      </x:c>
      <x:c r="G86" t="n">
        <x:v>1</x:v>
      </x:c>
      <x:c r="H86" t="str">
        <x:v>equals</x:v>
      </x:c>
      <x:c r="I86" t="str">
        <x:v>RHP design authority</x:v>
      </x:c>
      <x:c r="J86" t="str">
        <x:f>IF(F86=G86,"PASS","GAP")</x:f>
        <x:v>PASS</x:v>
      </x:c>
    </x:row>
    <x:row r="87">
      <x:c r="B87" t="str">
        <x:v>PLN-081</x:v>
      </x:c>
      <x:c r="C87" t="str">
        <x:v>PLANNING</x:v>
      </x:c>
      <x:c r="D87" t="str">
        <x:v>thermal zones</x:v>
      </x:c>
      <x:c r="E87" t="str">
        <x:v>Thermal Boundary · thermal zones 75</x:v>
      </x:c>
      <x:c r="F87" t="n">
        <x:f>Controls!$D$76</x:f>
        <x:v>1</x:v>
      </x:c>
      <x:c r="G87" t="n">
        <x:v>1</x:v>
      </x:c>
      <x:c r="H87" t="str">
        <x:v>equals</x:v>
      </x:c>
      <x:c r="I87" t="str">
        <x:v>RHP design authority</x:v>
      </x:c>
      <x:c r="J87" t="str">
        <x:f>IF(F87=G87,"PASS","GAP")</x:f>
        <x:v>PASS</x:v>
      </x:c>
    </x:row>
    <x:row r="88">
      <x:c r="B88" t="str">
        <x:v>PLN-082</x:v>
      </x:c>
      <x:c r="C88" t="str">
        <x:v>PLANNING</x:v>
      </x:c>
      <x:c r="D88" t="str">
        <x:v>thermal zones</x:v>
      </x:c>
      <x:c r="E88" t="str">
        <x:v>Thermal Boundary · thermal zones 76</x:v>
      </x:c>
      <x:c r="F88" t="n">
        <x:f>Controls!$D$76</x:f>
        <x:v>1</x:v>
      </x:c>
      <x:c r="G88" t="n">
        <x:v>1</x:v>
      </x:c>
      <x:c r="H88" t="str">
        <x:v>equals</x:v>
      </x:c>
      <x:c r="I88" t="str">
        <x:v>RHP design authority</x:v>
      </x:c>
      <x:c r="J88" t="str">
        <x:f>IF(F88=G88,"PASS","GAP")</x:f>
        <x:v>PASS</x:v>
      </x:c>
    </x:row>
    <x:row r="89">
      <x:c r="B89" t="str">
        <x:v>PLN-083</x:v>
      </x:c>
      <x:c r="C89" t="str">
        <x:v>PLANNING</x:v>
      </x:c>
      <x:c r="D89" t="str">
        <x:v>thermal zones</x:v>
      </x:c>
      <x:c r="E89" t="str">
        <x:v>Thermal Boundary · thermal zones 77</x:v>
      </x:c>
      <x:c r="F89" t="n">
        <x:f>Controls!$D$76</x:f>
        <x:v>1</x:v>
      </x:c>
      <x:c r="G89" t="n">
        <x:v>1</x:v>
      </x:c>
      <x:c r="H89" t="str">
        <x:v>equals</x:v>
      </x:c>
      <x:c r="I89" t="str">
        <x:v>RHP design authority</x:v>
      </x:c>
      <x:c r="J89" t="str">
        <x:f>IF(F89=G89,"PASS","GAP")</x:f>
        <x:v>PASS</x:v>
      </x:c>
    </x:row>
    <x:row r="90">
      <x:c r="B90" t="str">
        <x:v>PLN-084</x:v>
      </x:c>
      <x:c r="C90" t="str">
        <x:v>PLANNING</x:v>
      </x:c>
      <x:c r="D90" t="str">
        <x:v>thermal zones</x:v>
      </x:c>
      <x:c r="E90" t="str">
        <x:v>Thermal Boundary · thermal zones 78</x:v>
      </x:c>
      <x:c r="F90" t="n">
        <x:f>Controls!$D$76</x:f>
        <x:v>1</x:v>
      </x:c>
      <x:c r="G90" t="n">
        <x:v>1</x:v>
      </x:c>
      <x:c r="H90" t="str">
        <x:v>equals</x:v>
      </x:c>
      <x:c r="I90" t="str">
        <x:v>RHP design authority</x:v>
      </x:c>
      <x:c r="J90" t="str">
        <x:f>IF(F90=G90,"PASS","GAP")</x:f>
        <x:v>PASS</x:v>
      </x:c>
    </x:row>
    <x:row r="91">
      <x:c r="B91" t="str">
        <x:v>PLN-085</x:v>
      </x:c>
      <x:c r="C91" t="str">
        <x:v>PLANNING</x:v>
      </x:c>
      <x:c r="D91" t="str">
        <x:v>thermal zones</x:v>
      </x:c>
      <x:c r="E91" t="str">
        <x:v>Thermal Boundary · thermal zones 79</x:v>
      </x:c>
      <x:c r="F91" t="n">
        <x:f>Controls!$D$76</x:f>
        <x:v>1</x:v>
      </x:c>
      <x:c r="G91" t="n">
        <x:v>1</x:v>
      </x:c>
      <x:c r="H91" t="str">
        <x:v>equals</x:v>
      </x:c>
      <x:c r="I91" t="str">
        <x:v>RHP design authority</x:v>
      </x:c>
      <x:c r="J91" t="str">
        <x:f>IF(F91=G91,"PASS","GAP")</x:f>
        <x:v>PASS</x:v>
      </x:c>
    </x:row>
    <x:row r="92">
      <x:c r="B92" t="str">
        <x:v>PLN-086</x:v>
      </x:c>
      <x:c r="C92" t="str">
        <x:v>PLANNING</x:v>
      </x:c>
      <x:c r="D92" t="str">
        <x:v>thermal zones</x:v>
      </x:c>
      <x:c r="E92" t="str">
        <x:v>Thermal Boundary · thermal zones 80</x:v>
      </x:c>
      <x:c r="F92" t="n">
        <x:f>Controls!$D$76</x:f>
        <x:v>1</x:v>
      </x:c>
      <x:c r="G92" t="n">
        <x:v>1</x:v>
      </x:c>
      <x:c r="H92" t="str">
        <x:v>equals</x:v>
      </x:c>
      <x:c r="I92" t="str">
        <x:v>RHP design authority</x:v>
      </x:c>
      <x:c r="J92" t="str">
        <x:f>IF(F92=G92,"PASS","GAP")</x:f>
        <x:v>PASS</x:v>
      </x:c>
    </x:row>
    <x:row r="93">
      <x:c r="B93" t="str">
        <x:v>PLN-087</x:v>
      </x:c>
      <x:c r="C93" t="str">
        <x:v>PLANNING</x:v>
      </x:c>
      <x:c r="D93" t="str">
        <x:v>thermal zones</x:v>
      </x:c>
      <x:c r="E93" t="str">
        <x:v>Thermal Boundary · thermal zones 81</x:v>
      </x:c>
      <x:c r="F93" t="n">
        <x:f>Controls!$D$76</x:f>
        <x:v>1</x:v>
      </x:c>
      <x:c r="G93" t="n">
        <x:v>1</x:v>
      </x:c>
      <x:c r="H93" t="str">
        <x:v>equals</x:v>
      </x:c>
      <x:c r="I93" t="str">
        <x:v>RHP design authority</x:v>
      </x:c>
      <x:c r="J93" t="str">
        <x:f>IF(F93=G93,"PASS","GAP")</x:f>
        <x:v>PASS</x:v>
      </x:c>
    </x:row>
    <x:row r="94">
      <x:c r="B94" t="str">
        <x:v>PLN-088</x:v>
      </x:c>
      <x:c r="C94" t="str">
        <x:v>PLANNING</x:v>
      </x:c>
      <x:c r="D94" t="str">
        <x:v>thermal zones</x:v>
      </x:c>
      <x:c r="E94" t="str">
        <x:v>Thermal Boundary · thermal zones 82</x:v>
      </x:c>
      <x:c r="F94" t="n">
        <x:f>Controls!$D$76</x:f>
        <x:v>1</x:v>
      </x:c>
      <x:c r="G94" t="n">
        <x:v>1</x:v>
      </x:c>
      <x:c r="H94" t="str">
        <x:v>equals</x:v>
      </x:c>
      <x:c r="I94" t="str">
        <x:v>RHP design authority</x:v>
      </x:c>
      <x:c r="J94" t="str">
        <x:f>IF(F94=G94,"PASS","GAP")</x:f>
        <x:v>PASS</x:v>
      </x:c>
    </x:row>
    <x:row r="95">
      <x:c r="B95" t="str">
        <x:v>PLN-089</x:v>
      </x:c>
      <x:c r="C95" t="str">
        <x:v>PLANNING</x:v>
      </x:c>
      <x:c r="D95" t="str">
        <x:v>thermal zones</x:v>
      </x:c>
      <x:c r="E95" t="str">
        <x:v>Thermal Boundary · thermal zones 83</x:v>
      </x:c>
      <x:c r="F95" t="n">
        <x:f>Controls!$D$76</x:f>
        <x:v>1</x:v>
      </x:c>
      <x:c r="G95" t="n">
        <x:v>1</x:v>
      </x:c>
      <x:c r="H95" t="str">
        <x:v>equals</x:v>
      </x:c>
      <x:c r="I95" t="str">
        <x:v>RHP design authority</x:v>
      </x:c>
      <x:c r="J95" t="str">
        <x:f>IF(F95=G95,"PASS","GAP")</x:f>
        <x:v>PASS</x:v>
      </x:c>
    </x:row>
    <x:row r="96">
      <x:c r="B96" t="str">
        <x:v>PLN-090</x:v>
      </x:c>
      <x:c r="C96" t="str">
        <x:v>PLANNING</x:v>
      </x:c>
      <x:c r="D96" t="str">
        <x:v>thermal zones</x:v>
      </x:c>
      <x:c r="E96" t="str">
        <x:v>Thermal Boundary · thermal zones 84</x:v>
      </x:c>
      <x:c r="F96" t="n">
        <x:f>Controls!$D$76</x:f>
        <x:v>1</x:v>
      </x:c>
      <x:c r="G96" t="n">
        <x:v>1</x:v>
      </x:c>
      <x:c r="H96" t="str">
        <x:v>equals</x:v>
      </x:c>
      <x:c r="I96" t="str">
        <x:v>RHP design authority</x:v>
      </x:c>
      <x:c r="J96" t="str">
        <x:f>IF(F96=G96,"PASS","GAP")</x:f>
        <x:v>PASS</x:v>
      </x:c>
    </x:row>
    <x:row r="97">
      <x:c r="B97" t="str">
        <x:v>PLN-091</x:v>
      </x:c>
      <x:c r="C97" t="str">
        <x:v>PLANNING</x:v>
      </x:c>
      <x:c r="D97" t="str">
        <x:v>thermal zones</x:v>
      </x:c>
      <x:c r="E97" t="str">
        <x:v>Thermal Boundary · thermal zones 85</x:v>
      </x:c>
      <x:c r="F97" t="n">
        <x:f>Controls!$D$76</x:f>
        <x:v>1</x:v>
      </x:c>
      <x:c r="G97" t="n">
        <x:v>1</x:v>
      </x:c>
      <x:c r="H97" t="str">
        <x:v>equals</x:v>
      </x:c>
      <x:c r="I97" t="str">
        <x:v>RHP design authority</x:v>
      </x:c>
      <x:c r="J97" t="str">
        <x:f>IF(F97=G97,"PASS","GAP")</x:f>
        <x:v>PASS</x:v>
      </x:c>
    </x:row>
    <x:row r="98">
      <x:c r="B98" t="str">
        <x:v>PLN-092</x:v>
      </x:c>
      <x:c r="C98" t="str">
        <x:v>PLANNING</x:v>
      </x:c>
      <x:c r="D98" t="str">
        <x:v>thermal zones</x:v>
      </x:c>
      <x:c r="E98" t="str">
        <x:v>Thermal Boundary · thermal zones 86</x:v>
      </x:c>
      <x:c r="F98" t="n">
        <x:f>Controls!$D$76</x:f>
        <x:v>1</x:v>
      </x:c>
      <x:c r="G98" t="n">
        <x:v>1</x:v>
      </x:c>
      <x:c r="H98" t="str">
        <x:v>equals</x:v>
      </x:c>
      <x:c r="I98" t="str">
        <x:v>RHP design authority</x:v>
      </x:c>
      <x:c r="J98" t="str">
        <x:f>IF(F98=G98,"PASS","GAP")</x:f>
        <x:v>PASS</x:v>
      </x:c>
    </x:row>
    <x:row r="99">
      <x:c r="B99" t="str">
        <x:v>PLN-093</x:v>
      </x:c>
      <x:c r="C99" t="str">
        <x:v>PLANNING</x:v>
      </x:c>
      <x:c r="D99" t="str">
        <x:v>thermal zones</x:v>
      </x:c>
      <x:c r="E99" t="str">
        <x:v>Thermal Boundary · thermal zones 87</x:v>
      </x:c>
      <x:c r="F99" t="n">
        <x:f>Controls!$D$76</x:f>
        <x:v>1</x:v>
      </x:c>
      <x:c r="G99" t="n">
        <x:v>1</x:v>
      </x:c>
      <x:c r="H99" t="str">
        <x:v>equals</x:v>
      </x:c>
      <x:c r="I99" t="str">
        <x:v>RHP design authority</x:v>
      </x:c>
      <x:c r="J99" t="str">
        <x:f>IF(F99=G99,"PASS","GAP")</x:f>
        <x:v>PASS</x:v>
      </x:c>
    </x:row>
    <x:row r="100">
      <x:c r="B100" t="str">
        <x:v>PLN-094</x:v>
      </x:c>
      <x:c r="C100" t="str">
        <x:v>PLANNING</x:v>
      </x:c>
      <x:c r="D100" t="str">
        <x:v>thermal zones</x:v>
      </x:c>
      <x:c r="E100" t="str">
        <x:v>Thermal Boundary · thermal zones 88</x:v>
      </x:c>
      <x:c r="F100" t="n">
        <x:f>Controls!$D$76</x:f>
        <x:v>1</x:v>
      </x:c>
      <x:c r="G100" t="n">
        <x:v>1</x:v>
      </x:c>
      <x:c r="H100" t="str">
        <x:v>equals</x:v>
      </x:c>
      <x:c r="I100" t="str">
        <x:v>RHP design authority</x:v>
      </x:c>
      <x:c r="J100" t="str">
        <x:f>IF(F100=G100,"PASS","GAP")</x:f>
        <x:v>PASS</x:v>
      </x:c>
    </x:row>
    <x:row r="101">
      <x:c r="B101" t="str">
        <x:v>PLN-095</x:v>
      </x:c>
      <x:c r="C101" t="str">
        <x:v>PLANNING</x:v>
      </x:c>
      <x:c r="D101" t="str">
        <x:v>thermal zones</x:v>
      </x:c>
      <x:c r="E101" t="str">
        <x:v>Thermal Boundary · thermal zones 89</x:v>
      </x:c>
      <x:c r="F101" t="n">
        <x:f>Controls!$D$76</x:f>
        <x:v>1</x:v>
      </x:c>
      <x:c r="G101" t="n">
        <x:v>1</x:v>
      </x:c>
      <x:c r="H101" t="str">
        <x:v>equals</x:v>
      </x:c>
      <x:c r="I101" t="str">
        <x:v>RHP design authority</x:v>
      </x:c>
      <x:c r="J101" t="str">
        <x:f>IF(F101=G101,"PASS","GAP")</x:f>
        <x:v>PASS</x:v>
      </x:c>
    </x:row>
    <x:row r="102">
      <x:c r="B102" t="str">
        <x:v>PLN-096</x:v>
      </x:c>
      <x:c r="C102" t="str">
        <x:v>PLANNING</x:v>
      </x:c>
      <x:c r="D102" t="str">
        <x:v>thermal zones</x:v>
      </x:c>
      <x:c r="E102" t="str">
        <x:v>Thermal Boundary · thermal zones 90</x:v>
      </x:c>
      <x:c r="F102" t="n">
        <x:f>Controls!$D$76</x:f>
        <x:v>1</x:v>
      </x:c>
      <x:c r="G102" t="n">
        <x:v>1</x:v>
      </x:c>
      <x:c r="H102" t="str">
        <x:v>equals</x:v>
      </x:c>
      <x:c r="I102" t="str">
        <x:v>RHP design authority</x:v>
      </x:c>
      <x:c r="J102" t="str">
        <x:f>IF(F102=G102,"PASS","GAP")</x:f>
        <x:v>PASS</x:v>
      </x:c>
    </x:row>
    <x:row r="103">
      <x:c r="B103" t="str">
        <x:v>PLN-097</x:v>
      </x:c>
      <x:c r="C103" t="str">
        <x:v>PLANNING</x:v>
      </x:c>
      <x:c r="D103" t="str">
        <x:v>thermal zones</x:v>
      </x:c>
      <x:c r="E103" t="str">
        <x:v>Thermal Boundary · thermal zones 91</x:v>
      </x:c>
      <x:c r="F103" t="n">
        <x:f>Controls!$D$76</x:f>
        <x:v>1</x:v>
      </x:c>
      <x:c r="G103" t="n">
        <x:v>1</x:v>
      </x:c>
      <x:c r="H103" t="str">
        <x:v>equals</x:v>
      </x:c>
      <x:c r="I103" t="str">
        <x:v>RHP design authority</x:v>
      </x:c>
      <x:c r="J103" t="str">
        <x:f>IF(F103=G103,"PASS","GAP")</x:f>
        <x:v>PASS</x:v>
      </x:c>
    </x:row>
    <x:row r="104">
      <x:c r="B104" t="str">
        <x:v>PLN-098</x:v>
      </x:c>
      <x:c r="C104" t="str">
        <x:v>PLANNING</x:v>
      </x:c>
      <x:c r="D104" t="str">
        <x:v>thermal zones</x:v>
      </x:c>
      <x:c r="E104" t="str">
        <x:v>Thermal Boundary · thermal zones 92</x:v>
      </x:c>
      <x:c r="F104" t="n">
        <x:f>Controls!$D$76</x:f>
        <x:v>1</x:v>
      </x:c>
      <x:c r="G104" t="n">
        <x:v>1</x:v>
      </x:c>
      <x:c r="H104" t="str">
        <x:v>equals</x:v>
      </x:c>
      <x:c r="I104" t="str">
        <x:v>RHP design authority</x:v>
      </x:c>
      <x:c r="J104" t="str">
        <x:f>IF(F104=G104,"PASS","GAP")</x:f>
        <x:v>PASS</x:v>
      </x:c>
    </x:row>
    <x:row r="105">
      <x:c r="B105" t="str">
        <x:v>PLN-099</x:v>
      </x:c>
      <x:c r="C105" t="str">
        <x:v>PLANNING</x:v>
      </x:c>
      <x:c r="D105" t="str">
        <x:v>thermal zones</x:v>
      </x:c>
      <x:c r="E105" t="str">
        <x:v>Thermal Boundary · thermal zones 93</x:v>
      </x:c>
      <x:c r="F105" t="n">
        <x:f>Controls!$D$76</x:f>
        <x:v>1</x:v>
      </x:c>
      <x:c r="G105" t="n">
        <x:v>1</x:v>
      </x:c>
      <x:c r="H105" t="str">
        <x:v>equals</x:v>
      </x:c>
      <x:c r="I105" t="str">
        <x:v>RHP design authority</x:v>
      </x:c>
      <x:c r="J105" t="str">
        <x:f>IF(F105=G105,"PASS","GAP")</x:f>
        <x:v>PASS</x:v>
      </x:c>
    </x:row>
    <x:row r="106">
      <x:c r="B106" t="str">
        <x:v>PLN-100</x:v>
      </x:c>
      <x:c r="C106" t="str">
        <x:v>PLANNING</x:v>
      </x:c>
      <x:c r="D106" t="str">
        <x:v>thermal zones</x:v>
      </x:c>
      <x:c r="E106" t="str">
        <x:v>Thermal Boundary · thermal zones 94</x:v>
      </x:c>
      <x:c r="F106" t="n">
        <x:f>Controls!$D$76</x:f>
        <x:v>1</x:v>
      </x:c>
      <x:c r="G106" t="n">
        <x:v>1</x:v>
      </x:c>
      <x:c r="H106" t="str">
        <x:v>equals</x:v>
      </x:c>
      <x:c r="I106" t="str">
        <x:v>RHP design authority</x:v>
      </x:c>
      <x:c r="J106" t="str">
        <x:f>IF(F106=G106,"PASS","GAP")</x:f>
        <x:v>PASS</x:v>
      </x:c>
    </x:row>
    <x:row r="107">
      <x:c r="B107" t="str">
        <x:v>PLN-101</x:v>
      </x:c>
      <x:c r="C107" t="str">
        <x:v>PLANNING</x:v>
      </x:c>
      <x:c r="D107" t="str">
        <x:v>thermal zones</x:v>
      </x:c>
      <x:c r="E107" t="str">
        <x:v>Thermal Boundary · thermal zones 95</x:v>
      </x:c>
      <x:c r="F107" t="n">
        <x:f>Controls!$D$76</x:f>
        <x:v>1</x:v>
      </x:c>
      <x:c r="G107" t="n">
        <x:v>1</x:v>
      </x:c>
      <x:c r="H107" t="str">
        <x:v>equals</x:v>
      </x:c>
      <x:c r="I107" t="str">
        <x:v>RHP design authority</x:v>
      </x:c>
      <x:c r="J107" t="str">
        <x:f>IF(F107=G107,"PASS","GAP")</x:f>
        <x:v>PASS</x:v>
      </x:c>
    </x:row>
    <x:row r="108">
      <x:c r="B108" t="str">
        <x:v>PLN-102</x:v>
      </x:c>
      <x:c r="C108" t="str">
        <x:v>PLANNING</x:v>
      </x:c>
      <x:c r="D108" t="str">
        <x:v>thermal zones</x:v>
      </x:c>
      <x:c r="E108" t="str">
        <x:v>Thermal Boundary · thermal zones 96</x:v>
      </x:c>
      <x:c r="F108" t="n">
        <x:f>Controls!$D$76</x:f>
        <x:v>1</x:v>
      </x:c>
      <x:c r="G108" t="n">
        <x:v>1</x:v>
      </x:c>
      <x:c r="H108" t="str">
        <x:v>equals</x:v>
      </x:c>
      <x:c r="I108" t="str">
        <x:v>RHP design authority</x:v>
      </x:c>
      <x:c r="J108" t="str">
        <x:f>IF(F108=G108,"PASS","GAP")</x:f>
        <x:v>PASS</x:v>
      </x:c>
    </x:row>
    <x:row r="109">
      <x:c r="B109" t="str">
        <x:v>PLN-103</x:v>
      </x:c>
      <x:c r="C109" t="str">
        <x:v>PLANNING</x:v>
      </x:c>
      <x:c r="D109" t="str">
        <x:v>route bays</x:v>
      </x:c>
      <x:c r="E109" t="str">
        <x:v>Route Gallery · route bays 1</x:v>
      </x:c>
      <x:c r="F109" t="n">
        <x:f>Controls!$D$76</x:f>
        <x:v>1</x:v>
      </x:c>
      <x:c r="G109" t="n">
        <x:v>1</x:v>
      </x:c>
      <x:c r="H109" t="str">
        <x:v>equals</x:v>
      </x:c>
      <x:c r="I109" t="str">
        <x:v>RHP design authority</x:v>
      </x:c>
      <x:c r="J109" t="str">
        <x:f>IF(F109=G109,"PASS","GAP")</x:f>
        <x:v>PASS</x:v>
      </x:c>
    </x:row>
    <x:row r="110">
      <x:c r="B110" t="str">
        <x:v>PLN-104</x:v>
      </x:c>
      <x:c r="C110" t="str">
        <x:v>PLANNING</x:v>
      </x:c>
      <x:c r="D110" t="str">
        <x:v>route bays</x:v>
      </x:c>
      <x:c r="E110" t="str">
        <x:v>Route Gallery · route bays 2</x:v>
      </x:c>
      <x:c r="F110" t="n">
        <x:f>Controls!$D$76</x:f>
        <x:v>1</x:v>
      </x:c>
      <x:c r="G110" t="n">
        <x:v>1</x:v>
      </x:c>
      <x:c r="H110" t="str">
        <x:v>equals</x:v>
      </x:c>
      <x:c r="I110" t="str">
        <x:v>RHP design authority</x:v>
      </x:c>
      <x:c r="J110" t="str">
        <x:f>IF(F110=G110,"PASS","GAP")</x:f>
        <x:v>PASS</x:v>
      </x:c>
    </x:row>
    <x:row r="111">
      <x:c r="B111" t="str">
        <x:v>PLN-105</x:v>
      </x:c>
      <x:c r="C111" t="str">
        <x:v>PLANNING</x:v>
      </x:c>
      <x:c r="D111" t="str">
        <x:v>route bays</x:v>
      </x:c>
      <x:c r="E111" t="str">
        <x:v>Route Gallery · route bays 3</x:v>
      </x:c>
      <x:c r="F111" t="n">
        <x:f>Controls!$D$76</x:f>
        <x:v>1</x:v>
      </x:c>
      <x:c r="G111" t="n">
        <x:v>1</x:v>
      </x:c>
      <x:c r="H111" t="str">
        <x:v>equals</x:v>
      </x:c>
      <x:c r="I111" t="str">
        <x:v>RHP design authority</x:v>
      </x:c>
      <x:c r="J111" t="str">
        <x:f>IF(F111=G111,"PASS","GAP")</x:f>
        <x:v>PASS</x:v>
      </x:c>
    </x:row>
    <x:row r="112">
      <x:c r="B112" t="str">
        <x:v>PLN-106</x:v>
      </x:c>
      <x:c r="C112" t="str">
        <x:v>PLANNING</x:v>
      </x:c>
      <x:c r="D112" t="str">
        <x:v>route bays</x:v>
      </x:c>
      <x:c r="E112" t="str">
        <x:v>Route Gallery · route bays 4</x:v>
      </x:c>
      <x:c r="F112" t="n">
        <x:f>Controls!$D$76</x:f>
        <x:v>1</x:v>
      </x:c>
      <x:c r="G112" t="n">
        <x:v>1</x:v>
      </x:c>
      <x:c r="H112" t="str">
        <x:v>equals</x:v>
      </x:c>
      <x:c r="I112" t="str">
        <x:v>RHP design authority</x:v>
      </x:c>
      <x:c r="J112" t="str">
        <x:f>IF(F112=G112,"PASS","GAP")</x:f>
        <x:v>PASS</x:v>
      </x:c>
    </x:row>
    <x:row r="113">
      <x:c r="B113" t="str">
        <x:v>PLN-107</x:v>
      </x:c>
      <x:c r="C113" t="str">
        <x:v>PLANNING</x:v>
      </x:c>
      <x:c r="D113" t="str">
        <x:v>route bays</x:v>
      </x:c>
      <x:c r="E113" t="str">
        <x:v>Route Gallery · route bays 5</x:v>
      </x:c>
      <x:c r="F113" t="n">
        <x:f>Controls!$D$76</x:f>
        <x:v>1</x:v>
      </x:c>
      <x:c r="G113" t="n">
        <x:v>1</x:v>
      </x:c>
      <x:c r="H113" t="str">
        <x:v>equals</x:v>
      </x:c>
      <x:c r="I113" t="str">
        <x:v>RHP design authority</x:v>
      </x:c>
      <x:c r="J113" t="str">
        <x:f>IF(F113=G113,"PASS","GAP")</x:f>
        <x:v>PASS</x:v>
      </x:c>
    </x:row>
    <x:row r="114">
      <x:c r="B114" t="str">
        <x:v>PLN-108</x:v>
      </x:c>
      <x:c r="C114" t="str">
        <x:v>PLANNING</x:v>
      </x:c>
      <x:c r="D114" t="str">
        <x:v>route bays</x:v>
      </x:c>
      <x:c r="E114" t="str">
        <x:v>Route Gallery · route bays 6</x:v>
      </x:c>
      <x:c r="F114" t="n">
        <x:f>Controls!$D$76</x:f>
        <x:v>1</x:v>
      </x:c>
      <x:c r="G114" t="n">
        <x:v>1</x:v>
      </x:c>
      <x:c r="H114" t="str">
        <x:v>equals</x:v>
      </x:c>
      <x:c r="I114" t="str">
        <x:v>RHP design authority</x:v>
      </x:c>
      <x:c r="J114" t="str">
        <x:f>IF(F114=G114,"PASS","GAP")</x:f>
        <x:v>PASS</x:v>
      </x:c>
    </x:row>
    <x:row r="115">
      <x:c r="B115" t="str">
        <x:v>PLN-109</x:v>
      </x:c>
      <x:c r="C115" t="str">
        <x:v>PLANNING</x:v>
      </x:c>
      <x:c r="D115" t="str">
        <x:v>route bays</x:v>
      </x:c>
      <x:c r="E115" t="str">
        <x:v>Route Gallery · route bays 7</x:v>
      </x:c>
      <x:c r="F115" t="n">
        <x:f>Controls!$D$76</x:f>
        <x:v>1</x:v>
      </x:c>
      <x:c r="G115" t="n">
        <x:v>1</x:v>
      </x:c>
      <x:c r="H115" t="str">
        <x:v>equals</x:v>
      </x:c>
      <x:c r="I115" t="str">
        <x:v>RHP design authority</x:v>
      </x:c>
      <x:c r="J115" t="str">
        <x:f>IF(F115=G115,"PASS","GAP")</x:f>
        <x:v>PASS</x:v>
      </x:c>
    </x:row>
    <x:row r="116">
      <x:c r="B116" t="str">
        <x:v>PLN-110</x:v>
      </x:c>
      <x:c r="C116" t="str">
        <x:v>PLANNING</x:v>
      </x:c>
      <x:c r="D116" t="str">
        <x:v>route bays</x:v>
      </x:c>
      <x:c r="E116" t="str">
        <x:v>Route Gallery · route bays 8</x:v>
      </x:c>
      <x:c r="F116" t="n">
        <x:f>Controls!$D$76</x:f>
        <x:v>1</x:v>
      </x:c>
      <x:c r="G116" t="n">
        <x:v>1</x:v>
      </x:c>
      <x:c r="H116" t="str">
        <x:v>equals</x:v>
      </x:c>
      <x:c r="I116" t="str">
        <x:v>RHP design authority</x:v>
      </x:c>
      <x:c r="J116" t="str">
        <x:f>IF(F116=G116,"PASS","GAP")</x:f>
        <x:v>PASS</x:v>
      </x:c>
    </x:row>
    <x:row r="117">
      <x:c r="B117" t="str">
        <x:v>PLN-111</x:v>
      </x:c>
      <x:c r="C117" t="str">
        <x:v>PLANNING</x:v>
      </x:c>
      <x:c r="D117" t="str">
        <x:v>route bays</x:v>
      </x:c>
      <x:c r="E117" t="str">
        <x:v>Route Gallery · route bays 9</x:v>
      </x:c>
      <x:c r="F117" t="n">
        <x:f>Controls!$D$76</x:f>
        <x:v>1</x:v>
      </x:c>
      <x:c r="G117" t="n">
        <x:v>1</x:v>
      </x:c>
      <x:c r="H117" t="str">
        <x:v>equals</x:v>
      </x:c>
      <x:c r="I117" t="str">
        <x:v>RHP design authority</x:v>
      </x:c>
      <x:c r="J117" t="str">
        <x:f>IF(F117=G117,"PASS","GAP")</x:f>
        <x:v>PASS</x:v>
      </x:c>
    </x:row>
    <x:row r="118">
      <x:c r="B118" t="str">
        <x:v>PLN-112</x:v>
      </x:c>
      <x:c r="C118" t="str">
        <x:v>PLANNING</x:v>
      </x:c>
      <x:c r="D118" t="str">
        <x:v>route bays</x:v>
      </x:c>
      <x:c r="E118" t="str">
        <x:v>Route Gallery · route bays 10</x:v>
      </x:c>
      <x:c r="F118" t="n">
        <x:f>Controls!$D$76</x:f>
        <x:v>1</x:v>
      </x:c>
      <x:c r="G118" t="n">
        <x:v>1</x:v>
      </x:c>
      <x:c r="H118" t="str">
        <x:v>equals</x:v>
      </x:c>
      <x:c r="I118" t="str">
        <x:v>RHP design authority</x:v>
      </x:c>
      <x:c r="J118" t="str">
        <x:f>IF(F118=G118,"PASS","GAP")</x:f>
        <x:v>PASS</x:v>
      </x:c>
    </x:row>
    <x:row r="119">
      <x:c r="B119" t="str">
        <x:v>PLN-113</x:v>
      </x:c>
      <x:c r="C119" t="str">
        <x:v>PLANNING</x:v>
      </x:c>
      <x:c r="D119" t="str">
        <x:v>route bays</x:v>
      </x:c>
      <x:c r="E119" t="str">
        <x:v>Route Gallery · route bays 11</x:v>
      </x:c>
      <x:c r="F119" t="n">
        <x:f>Controls!$D$76</x:f>
        <x:v>1</x:v>
      </x:c>
      <x:c r="G119" t="n">
        <x:v>1</x:v>
      </x:c>
      <x:c r="H119" t="str">
        <x:v>equals</x:v>
      </x:c>
      <x:c r="I119" t="str">
        <x:v>RHP design authority</x:v>
      </x:c>
      <x:c r="J119" t="str">
        <x:f>IF(F119=G119,"PASS","GAP")</x:f>
        <x:v>PASS</x:v>
      </x:c>
    </x:row>
    <x:row r="120">
      <x:c r="B120" t="str">
        <x:v>PLN-114</x:v>
      </x:c>
      <x:c r="C120" t="str">
        <x:v>PLANNING</x:v>
      </x:c>
      <x:c r="D120" t="str">
        <x:v>route bays</x:v>
      </x:c>
      <x:c r="E120" t="str">
        <x:v>Route Gallery · route bays 12</x:v>
      </x:c>
      <x:c r="F120" t="n">
        <x:f>Controls!$D$76</x:f>
        <x:v>1</x:v>
      </x:c>
      <x:c r="G120" t="n">
        <x:v>1</x:v>
      </x:c>
      <x:c r="H120" t="str">
        <x:v>equals</x:v>
      </x:c>
      <x:c r="I120" t="str">
        <x:v>RHP design authority</x:v>
      </x:c>
      <x:c r="J120" t="str">
        <x:f>IF(F120=G120,"PASS","GAP")</x:f>
        <x:v>PASS</x:v>
      </x:c>
    </x:row>
    <x:row r="121">
      <x:c r="B121" t="str">
        <x:v>PLN-115</x:v>
      </x:c>
      <x:c r="C121" t="str">
        <x:v>PLANNING</x:v>
      </x:c>
      <x:c r="D121" t="str">
        <x:v>route bays</x:v>
      </x:c>
      <x:c r="E121" t="str">
        <x:v>Route Gallery · route bays 13</x:v>
      </x:c>
      <x:c r="F121" t="n">
        <x:f>Controls!$D$76</x:f>
        <x:v>1</x:v>
      </x:c>
      <x:c r="G121" t="n">
        <x:v>1</x:v>
      </x:c>
      <x:c r="H121" t="str">
        <x:v>equals</x:v>
      </x:c>
      <x:c r="I121" t="str">
        <x:v>RHP design authority</x:v>
      </x:c>
      <x:c r="J121" t="str">
        <x:f>IF(F121=G121,"PASS","GAP")</x:f>
        <x:v>PASS</x:v>
      </x:c>
    </x:row>
    <x:row r="122">
      <x:c r="B122" t="str">
        <x:v>PLN-116</x:v>
      </x:c>
      <x:c r="C122" t="str">
        <x:v>PLANNING</x:v>
      </x:c>
      <x:c r="D122" t="str">
        <x:v>route bays</x:v>
      </x:c>
      <x:c r="E122" t="str">
        <x:v>Route Gallery · route bays 14</x:v>
      </x:c>
      <x:c r="F122" t="n">
        <x:f>Controls!$D$76</x:f>
        <x:v>1</x:v>
      </x:c>
      <x:c r="G122" t="n">
        <x:v>1</x:v>
      </x:c>
      <x:c r="H122" t="str">
        <x:v>equals</x:v>
      </x:c>
      <x:c r="I122" t="str">
        <x:v>RHP design authority</x:v>
      </x:c>
      <x:c r="J122" t="str">
        <x:f>IF(F122=G122,"PASS","GAP")</x:f>
        <x:v>PASS</x:v>
      </x:c>
    </x:row>
    <x:row r="123">
      <x:c r="B123" t="str">
        <x:v>PLN-117</x:v>
      </x:c>
      <x:c r="C123" t="str">
        <x:v>PLANNING</x:v>
      </x:c>
      <x:c r="D123" t="str">
        <x:v>route bays</x:v>
      </x:c>
      <x:c r="E123" t="str">
        <x:v>Route Gallery · route bays 15</x:v>
      </x:c>
      <x:c r="F123" t="n">
        <x:f>Controls!$D$76</x:f>
        <x:v>1</x:v>
      </x:c>
      <x:c r="G123" t="n">
        <x:v>1</x:v>
      </x:c>
      <x:c r="H123" t="str">
        <x:v>equals</x:v>
      </x:c>
      <x:c r="I123" t="str">
        <x:v>RHP design authority</x:v>
      </x:c>
      <x:c r="J123" t="str">
        <x:f>IF(F123=G123,"PASS","GAP")</x:f>
        <x:v>PASS</x:v>
      </x:c>
    </x:row>
    <x:row r="124">
      <x:c r="B124" t="str">
        <x:v>PLN-118</x:v>
      </x:c>
      <x:c r="C124" t="str">
        <x:v>PLANNING</x:v>
      </x:c>
      <x:c r="D124" t="str">
        <x:v>route bays</x:v>
      </x:c>
      <x:c r="E124" t="str">
        <x:v>Route Gallery · route bays 16</x:v>
      </x:c>
      <x:c r="F124" t="n">
        <x:f>Controls!$D$76</x:f>
        <x:v>1</x:v>
      </x:c>
      <x:c r="G124" t="n">
        <x:v>1</x:v>
      </x:c>
      <x:c r="H124" t="str">
        <x:v>equals</x:v>
      </x:c>
      <x:c r="I124" t="str">
        <x:v>RHP design authority</x:v>
      </x:c>
      <x:c r="J124" t="str">
        <x:f>IF(F124=G124,"PASS","GAP")</x:f>
        <x:v>PASS</x:v>
      </x:c>
    </x:row>
    <x:row r="125">
      <x:c r="B125" t="str">
        <x:v>PLN-119</x:v>
      </x:c>
      <x:c r="C125" t="str">
        <x:v>PLANNING</x:v>
      </x:c>
      <x:c r="D125" t="str">
        <x:v>route bays</x:v>
      </x:c>
      <x:c r="E125" t="str">
        <x:v>Route Gallery · route bays 17</x:v>
      </x:c>
      <x:c r="F125" t="n">
        <x:f>Controls!$D$76</x:f>
        <x:v>1</x:v>
      </x:c>
      <x:c r="G125" t="n">
        <x:v>1</x:v>
      </x:c>
      <x:c r="H125" t="str">
        <x:v>equals</x:v>
      </x:c>
      <x:c r="I125" t="str">
        <x:v>RHP design authority</x:v>
      </x:c>
      <x:c r="J125" t="str">
        <x:f>IF(F125=G125,"PASS","GAP")</x:f>
        <x:v>PASS</x:v>
      </x:c>
    </x:row>
    <x:row r="126">
      <x:c r="B126" t="str">
        <x:v>PLN-120</x:v>
      </x:c>
      <x:c r="C126" t="str">
        <x:v>PLANNING</x:v>
      </x:c>
      <x:c r="D126" t="str">
        <x:v>route bays</x:v>
      </x:c>
      <x:c r="E126" t="str">
        <x:v>Route Gallery · route bays 18</x:v>
      </x:c>
      <x:c r="F126" t="n">
        <x:f>Controls!$D$76</x:f>
        <x:v>1</x:v>
      </x:c>
      <x:c r="G126" t="n">
        <x:v>1</x:v>
      </x:c>
      <x:c r="H126" t="str">
        <x:v>equals</x:v>
      </x:c>
      <x:c r="I126" t="str">
        <x:v>RHP design authority</x:v>
      </x:c>
      <x:c r="J126" t="str">
        <x:f>IF(F126=G126,"PASS","GAP")</x:f>
        <x:v>PASS</x:v>
      </x:c>
    </x:row>
    <x:row r="127">
      <x:c r="B127" t="str">
        <x:v>PLN-121</x:v>
      </x:c>
      <x:c r="C127" t="str">
        <x:v>PLANNING</x:v>
      </x:c>
      <x:c r="D127" t="str">
        <x:v>restriction definitions</x:v>
      </x:c>
      <x:c r="E127" t="str">
        <x:v>Challenge Hardware · restriction definitions 1</x:v>
      </x:c>
      <x:c r="F127" t="n">
        <x:f>Controls!$D$76</x:f>
        <x:v>1</x:v>
      </x:c>
      <x:c r="G127" t="n">
        <x:v>1</x:v>
      </x:c>
      <x:c r="H127" t="str">
        <x:v>equals</x:v>
      </x:c>
      <x:c r="I127" t="str">
        <x:v>RHP design authority</x:v>
      </x:c>
      <x:c r="J127" t="str">
        <x:f>IF(F127=G127,"PASS","GAP")</x:f>
        <x:v>PASS</x:v>
      </x:c>
    </x:row>
    <x:row r="128">
      <x:c r="B128" t="str">
        <x:v>PLN-122</x:v>
      </x:c>
      <x:c r="C128" t="str">
        <x:v>PLANNING</x:v>
      </x:c>
      <x:c r="D128" t="str">
        <x:v>restriction definitions</x:v>
      </x:c>
      <x:c r="E128" t="str">
        <x:v>Challenge Hardware · restriction definitions 2</x:v>
      </x:c>
      <x:c r="F128" t="n">
        <x:f>Controls!$D$76</x:f>
        <x:v>1</x:v>
      </x:c>
      <x:c r="G128" t="n">
        <x:v>1</x:v>
      </x:c>
      <x:c r="H128" t="str">
        <x:v>equals</x:v>
      </x:c>
      <x:c r="I128" t="str">
        <x:v>RHP design authority</x:v>
      </x:c>
      <x:c r="J128" t="str">
        <x:f>IF(F128=G128,"PASS","GAP")</x:f>
        <x:v>PASS</x:v>
      </x:c>
    </x:row>
    <x:row r="129">
      <x:c r="B129" t="str">
        <x:v>PLN-123</x:v>
      </x:c>
      <x:c r="C129" t="str">
        <x:v>PLANNING</x:v>
      </x:c>
      <x:c r="D129" t="str">
        <x:v>restriction definitions</x:v>
      </x:c>
      <x:c r="E129" t="str">
        <x:v>Challenge Hardware · restriction definitions 3</x:v>
      </x:c>
      <x:c r="F129" t="n">
        <x:f>Controls!$D$76</x:f>
        <x:v>1</x:v>
      </x:c>
      <x:c r="G129" t="n">
        <x:v>1</x:v>
      </x:c>
      <x:c r="H129" t="str">
        <x:v>equals</x:v>
      </x:c>
      <x:c r="I129" t="str">
        <x:v>RHP design authority</x:v>
      </x:c>
      <x:c r="J129" t="str">
        <x:f>IF(F129=G129,"PASS","GAP")</x:f>
        <x:v>PASS</x:v>
      </x:c>
    </x:row>
    <x:row r="130">
      <x:c r="B130" t="str">
        <x:v>PLN-124</x:v>
      </x:c>
      <x:c r="C130" t="str">
        <x:v>PLANNING</x:v>
      </x:c>
      <x:c r="D130" t="str">
        <x:v>restriction definitions</x:v>
      </x:c>
      <x:c r="E130" t="str">
        <x:v>Challenge Hardware · restriction definitions 4</x:v>
      </x:c>
      <x:c r="F130" t="n">
        <x:f>Controls!$D$76</x:f>
        <x:v>1</x:v>
      </x:c>
      <x:c r="G130" t="n">
        <x:v>1</x:v>
      </x:c>
      <x:c r="H130" t="str">
        <x:v>equals</x:v>
      </x:c>
      <x:c r="I130" t="str">
        <x:v>RHP design authority</x:v>
      </x:c>
      <x:c r="J130" t="str">
        <x:f>IF(F130=G130,"PASS","GAP")</x:f>
        <x:v>PASS</x:v>
      </x:c>
    </x:row>
    <x:row r="131">
      <x:c r="B131" t="str">
        <x:v>PLN-125</x:v>
      </x:c>
      <x:c r="C131" t="str">
        <x:v>PLANNING</x:v>
      </x:c>
      <x:c r="D131" t="str">
        <x:v>restriction definitions</x:v>
      </x:c>
      <x:c r="E131" t="str">
        <x:v>Challenge Hardware · restriction definitions 5</x:v>
      </x:c>
      <x:c r="F131" t="n">
        <x:f>Controls!$D$76</x:f>
        <x:v>1</x:v>
      </x:c>
      <x:c r="G131" t="n">
        <x:v>1</x:v>
      </x:c>
      <x:c r="H131" t="str">
        <x:v>equals</x:v>
      </x:c>
      <x:c r="I131" t="str">
        <x:v>RHP design authority</x:v>
      </x:c>
      <x:c r="J131" t="str">
        <x:f>IF(F131=G131,"PASS","GAP")</x:f>
        <x:v>PASS</x:v>
      </x:c>
    </x:row>
    <x:row r="132">
      <x:c r="B132" t="str">
        <x:v>PLN-126</x:v>
      </x:c>
      <x:c r="C132" t="str">
        <x:v>PLANNING</x:v>
      </x:c>
      <x:c r="D132" t="str">
        <x:v>restriction definitions</x:v>
      </x:c>
      <x:c r="E132" t="str">
        <x:v>Challenge Hardware · restriction definitions 6</x:v>
      </x:c>
      <x:c r="F132" t="n">
        <x:f>Controls!$D$76</x:f>
        <x:v>1</x:v>
      </x:c>
      <x:c r="G132" t="n">
        <x:v>1</x:v>
      </x:c>
      <x:c r="H132" t="str">
        <x:v>equals</x:v>
      </x:c>
      <x:c r="I132" t="str">
        <x:v>RHP design authority</x:v>
      </x:c>
      <x:c r="J132" t="str">
        <x:f>IF(F132=G132,"PASS","GAP")</x:f>
        <x:v>PASS</x:v>
      </x:c>
    </x:row>
    <x:row r="133">
      <x:c r="B133" t="str">
        <x:v>PLN-127</x:v>
      </x:c>
      <x:c r="C133" t="str">
        <x:v>PLANNING</x:v>
      </x:c>
      <x:c r="D133" t="str">
        <x:v>restriction definitions</x:v>
      </x:c>
      <x:c r="E133" t="str">
        <x:v>Challenge Hardware · restriction definitions 7</x:v>
      </x:c>
      <x:c r="F133" t="n">
        <x:f>Controls!$D$76</x:f>
        <x:v>1</x:v>
      </x:c>
      <x:c r="G133" t="n">
        <x:v>1</x:v>
      </x:c>
      <x:c r="H133" t="str">
        <x:v>equals</x:v>
      </x:c>
      <x:c r="I133" t="str">
        <x:v>RHP design authority</x:v>
      </x:c>
      <x:c r="J133" t="str">
        <x:f>IF(F133=G133,"PASS","GAP")</x:f>
        <x:v>PASS</x:v>
      </x:c>
    </x:row>
    <x:row r="134">
      <x:c r="B134" t="str">
        <x:v>PLN-128</x:v>
      </x:c>
      <x:c r="C134" t="str">
        <x:v>PLANNING</x:v>
      </x:c>
      <x:c r="D134" t="str">
        <x:v>restriction definitions</x:v>
      </x:c>
      <x:c r="E134" t="str">
        <x:v>Challenge Hardware · restriction definitions 8</x:v>
      </x:c>
      <x:c r="F134" t="n">
        <x:f>Controls!$D$76</x:f>
        <x:v>1</x:v>
      </x:c>
      <x:c r="G134" t="n">
        <x:v>1</x:v>
      </x:c>
      <x:c r="H134" t="str">
        <x:v>equals</x:v>
      </x:c>
      <x:c r="I134" t="str">
        <x:v>RHP design authority</x:v>
      </x:c>
      <x:c r="J134" t="str">
        <x:f>IF(F134=G134,"PASS","GAP")</x:f>
        <x:v>PASS</x:v>
      </x:c>
    </x:row>
    <x:row r="135">
      <x:c r="B135" t="str">
        <x:v>PLN-129</x:v>
      </x:c>
      <x:c r="C135" t="str">
        <x:v>PLANNING</x:v>
      </x:c>
      <x:c r="D135" t="str">
        <x:v>restriction definitions</x:v>
      </x:c>
      <x:c r="E135" t="str">
        <x:v>Challenge Hardware · restriction definitions 9</x:v>
      </x:c>
      <x:c r="F135" t="n">
        <x:f>Controls!$D$76</x:f>
        <x:v>1</x:v>
      </x:c>
      <x:c r="G135" t="n">
        <x:v>1</x:v>
      </x:c>
      <x:c r="H135" t="str">
        <x:v>equals</x:v>
      </x:c>
      <x:c r="I135" t="str">
        <x:v>RHP design authority</x:v>
      </x:c>
      <x:c r="J135" t="str">
        <x:f>IF(F135=G135,"PASS","GAP")</x:f>
        <x:v>PASS</x:v>
      </x:c>
    </x:row>
    <x:row r="136">
      <x:c r="B136" t="str">
        <x:v>PLN-130</x:v>
      </x:c>
      <x:c r="C136" t="str">
        <x:v>PLANNING</x:v>
      </x:c>
      <x:c r="D136" t="str">
        <x:v>restriction definitions</x:v>
      </x:c>
      <x:c r="E136" t="str">
        <x:v>Challenge Hardware · restriction definitions 10</x:v>
      </x:c>
      <x:c r="F136" t="n">
        <x:f>Controls!$D$76</x:f>
        <x:v>1</x:v>
      </x:c>
      <x:c r="G136" t="n">
        <x:v>1</x:v>
      </x:c>
      <x:c r="H136" t="str">
        <x:v>equals</x:v>
      </x:c>
      <x:c r="I136" t="str">
        <x:v>RHP design authority</x:v>
      </x:c>
      <x:c r="J136" t="str">
        <x:f>IF(F136=G136,"PASS","GAP")</x:f>
        <x:v>PASS</x:v>
      </x:c>
    </x:row>
    <x:row r="137">
      <x:c r="B137" t="str">
        <x:v>PLN-131</x:v>
      </x:c>
      <x:c r="C137" t="str">
        <x:v>PLANNING</x:v>
      </x:c>
      <x:c r="D137" t="str">
        <x:v>restriction definitions</x:v>
      </x:c>
      <x:c r="E137" t="str">
        <x:v>Challenge Hardware · restriction definitions 11</x:v>
      </x:c>
      <x:c r="F137" t="n">
        <x:f>Controls!$D$76</x:f>
        <x:v>1</x:v>
      </x:c>
      <x:c r="G137" t="n">
        <x:v>1</x:v>
      </x:c>
      <x:c r="H137" t="str">
        <x:v>equals</x:v>
      </x:c>
      <x:c r="I137" t="str">
        <x:v>RHP design authority</x:v>
      </x:c>
      <x:c r="J137" t="str">
        <x:f>IF(F137=G137,"PASS","GAP")</x:f>
        <x:v>PASS</x:v>
      </x:c>
    </x:row>
    <x:row r="138">
      <x:c r="B138" t="str">
        <x:v>PLN-132</x:v>
      </x:c>
      <x:c r="C138" t="str">
        <x:v>PLANNING</x:v>
      </x:c>
      <x:c r="D138" t="str">
        <x:v>restriction definitions</x:v>
      </x:c>
      <x:c r="E138" t="str">
        <x:v>Challenge Hardware · restriction definitions 12</x:v>
      </x:c>
      <x:c r="F138" t="n">
        <x:f>Controls!$D$76</x:f>
        <x:v>1</x:v>
      </x:c>
      <x:c r="G138" t="n">
        <x:v>1</x:v>
      </x:c>
      <x:c r="H138" t="str">
        <x:v>equals</x:v>
      </x:c>
      <x:c r="I138" t="str">
        <x:v>RHP design authority</x:v>
      </x:c>
      <x:c r="J138" t="str">
        <x:f>IF(F138=G138,"PASS","GAP")</x:f>
        <x:v>PASS</x:v>
      </x:c>
    </x:row>
    <x:row r="139">
      <x:c r="B139" t="str">
        <x:v>PLN-133</x:v>
      </x:c>
      <x:c r="C139" t="str">
        <x:v>PLANNING</x:v>
      </x:c>
      <x:c r="D139" t="str">
        <x:v>restriction definitions</x:v>
      </x:c>
      <x:c r="E139" t="str">
        <x:v>Challenge Hardware · restriction definitions 13</x:v>
      </x:c>
      <x:c r="F139" t="n">
        <x:f>Controls!$D$76</x:f>
        <x:v>1</x:v>
      </x:c>
      <x:c r="G139" t="n">
        <x:v>1</x:v>
      </x:c>
      <x:c r="H139" t="str">
        <x:v>equals</x:v>
      </x:c>
      <x:c r="I139" t="str">
        <x:v>RHP design authority</x:v>
      </x:c>
      <x:c r="J139" t="str">
        <x:f>IF(F139=G139,"PASS","GAP")</x:f>
        <x:v>PASS</x:v>
      </x:c>
    </x:row>
    <x:row r="140">
      <x:c r="B140" t="str">
        <x:v>PLN-134</x:v>
      </x:c>
      <x:c r="C140" t="str">
        <x:v>PLANNING</x:v>
      </x:c>
      <x:c r="D140" t="str">
        <x:v>restriction definitions</x:v>
      </x:c>
      <x:c r="E140" t="str">
        <x:v>Challenge Hardware · restriction definitions 14</x:v>
      </x:c>
      <x:c r="F140" t="n">
        <x:f>Controls!$D$76</x:f>
        <x:v>1</x:v>
      </x:c>
      <x:c r="G140" t="n">
        <x:v>1</x:v>
      </x:c>
      <x:c r="H140" t="str">
        <x:v>equals</x:v>
      </x:c>
      <x:c r="I140" t="str">
        <x:v>RHP design authority</x:v>
      </x:c>
      <x:c r="J140" t="str">
        <x:f>IF(F140=G140,"PASS","GAP")</x:f>
        <x:v>PASS</x:v>
      </x:c>
    </x:row>
    <x:row r="141">
      <x:c r="B141" t="str">
        <x:v>PLN-135</x:v>
      </x:c>
      <x:c r="C141" t="str">
        <x:v>PLANNING</x:v>
      </x:c>
      <x:c r="D141" t="str">
        <x:v>restriction definitions</x:v>
      </x:c>
      <x:c r="E141" t="str">
        <x:v>Challenge Hardware · restriction definitions 15</x:v>
      </x:c>
      <x:c r="F141" t="n">
        <x:f>Controls!$D$76</x:f>
        <x:v>1</x:v>
      </x:c>
      <x:c r="G141" t="n">
        <x:v>1</x:v>
      </x:c>
      <x:c r="H141" t="str">
        <x:v>equals</x:v>
      </x:c>
      <x:c r="I141" t="str">
        <x:v>RHP design authority</x:v>
      </x:c>
      <x:c r="J141" t="str">
        <x:f>IF(F141=G141,"PASS","GAP")</x:f>
        <x:v>PASS</x:v>
      </x:c>
    </x:row>
    <x:row r="142">
      <x:c r="B142" t="str">
        <x:v>PLN-136</x:v>
      </x:c>
      <x:c r="C142" t="str">
        <x:v>PLANNING</x:v>
      </x:c>
      <x:c r="D142" t="str">
        <x:v>restriction definitions</x:v>
      </x:c>
      <x:c r="E142" t="str">
        <x:v>Challenge Hardware · restriction definitions 16</x:v>
      </x:c>
      <x:c r="F142" t="n">
        <x:f>Controls!$D$76</x:f>
        <x:v>1</x:v>
      </x:c>
      <x:c r="G142" t="n">
        <x:v>1</x:v>
      </x:c>
      <x:c r="H142" t="str">
        <x:v>equals</x:v>
      </x:c>
      <x:c r="I142" t="str">
        <x:v>RHP design authority</x:v>
      </x:c>
      <x:c r="J142" t="str">
        <x:f>IF(F142=G142,"PASS","GAP")</x:f>
        <x:v>PASS</x:v>
      </x:c>
    </x:row>
    <x:row r="143">
      <x:c r="B143" t="str">
        <x:v>PLN-137</x:v>
      </x:c>
      <x:c r="C143" t="str">
        <x:v>PLANNING</x:v>
      </x:c>
      <x:c r="D143" t="str">
        <x:v>restriction definitions</x:v>
      </x:c>
      <x:c r="E143" t="str">
        <x:v>Challenge Hardware · restriction definitions 17</x:v>
      </x:c>
      <x:c r="F143" t="n">
        <x:f>Controls!$D$76</x:f>
        <x:v>1</x:v>
      </x:c>
      <x:c r="G143" t="n">
        <x:v>1</x:v>
      </x:c>
      <x:c r="H143" t="str">
        <x:v>equals</x:v>
      </x:c>
      <x:c r="I143" t="str">
        <x:v>RHP design authority</x:v>
      </x:c>
      <x:c r="J143" t="str">
        <x:f>IF(F143=G143,"PASS","GAP")</x:f>
        <x:v>PASS</x:v>
      </x:c>
    </x:row>
    <x:row r="144">
      <x:c r="B144" t="str">
        <x:v>PLN-138</x:v>
      </x:c>
      <x:c r="C144" t="str">
        <x:v>PLANNING</x:v>
      </x:c>
      <x:c r="D144" t="str">
        <x:v>restriction definitions</x:v>
      </x:c>
      <x:c r="E144" t="str">
        <x:v>Challenge Hardware · restriction definitions 18</x:v>
      </x:c>
      <x:c r="F144" t="n">
        <x:f>Controls!$D$76</x:f>
        <x:v>1</x:v>
      </x:c>
      <x:c r="G144" t="n">
        <x:v>1</x:v>
      </x:c>
      <x:c r="H144" t="str">
        <x:v>equals</x:v>
      </x:c>
      <x:c r="I144" t="str">
        <x:v>RHP design authority</x:v>
      </x:c>
      <x:c r="J144" t="str">
        <x:f>IF(F144=G144,"PASS","GAP")</x:f>
        <x:v>PASS</x:v>
      </x:c>
    </x:row>
    <x:row r="145">
      <x:c r="B145" t="str">
        <x:v>PLN-139</x:v>
      </x:c>
      <x:c r="C145" t="str">
        <x:v>PLANNING</x:v>
      </x:c>
      <x:c r="D145" t="str">
        <x:v>restriction definitions</x:v>
      </x:c>
      <x:c r="E145" t="str">
        <x:v>Challenge Hardware · restriction definitions 19</x:v>
      </x:c>
      <x:c r="F145" t="n">
        <x:f>Controls!$D$76</x:f>
        <x:v>1</x:v>
      </x:c>
      <x:c r="G145" t="n">
        <x:v>1</x:v>
      </x:c>
      <x:c r="H145" t="str">
        <x:v>equals</x:v>
      </x:c>
      <x:c r="I145" t="str">
        <x:v>RHP design authority</x:v>
      </x:c>
      <x:c r="J145" t="str">
        <x:f>IF(F145=G145,"PASS","GAP")</x:f>
        <x:v>PASS</x:v>
      </x:c>
    </x:row>
    <x:row r="146">
      <x:c r="B146" t="str">
        <x:v>PLN-140</x:v>
      </x:c>
      <x:c r="C146" t="str">
        <x:v>PLANNING</x:v>
      </x:c>
      <x:c r="D146" t="str">
        <x:v>restriction definitions</x:v>
      </x:c>
      <x:c r="E146" t="str">
        <x:v>Challenge Hardware · restriction definitions 20</x:v>
      </x:c>
      <x:c r="F146" t="n">
        <x:f>Controls!$D$76</x:f>
        <x:v>1</x:v>
      </x:c>
      <x:c r="G146" t="n">
        <x:v>1</x:v>
      </x:c>
      <x:c r="H146" t="str">
        <x:v>equals</x:v>
      </x:c>
      <x:c r="I146" t="str">
        <x:v>RHP design authority</x:v>
      </x:c>
      <x:c r="J146" t="str">
        <x:f>IF(F146=G146,"PASS","GAP")</x:f>
        <x:v>PASS</x:v>
      </x:c>
    </x:row>
    <x:row r="147">
      <x:c r="B147" t="str">
        <x:v>PLN-141</x:v>
      </x:c>
      <x:c r="C147" t="str">
        <x:v>PLANNING</x:v>
      </x:c>
      <x:c r="D147" t="str">
        <x:v>restriction definitions</x:v>
      </x:c>
      <x:c r="E147" t="str">
        <x:v>Challenge Hardware · restriction definitions 21</x:v>
      </x:c>
      <x:c r="F147" t="n">
        <x:f>Controls!$D$76</x:f>
        <x:v>1</x:v>
      </x:c>
      <x:c r="G147" t="n">
        <x:v>1</x:v>
      </x:c>
      <x:c r="H147" t="str">
        <x:v>equals</x:v>
      </x:c>
      <x:c r="I147" t="str">
        <x:v>RHP design authority</x:v>
      </x:c>
      <x:c r="J147" t="str">
        <x:f>IF(F147=G147,"PASS","GAP")</x:f>
        <x:v>PASS</x:v>
      </x:c>
    </x:row>
    <x:row r="148">
      <x:c r="B148" t="str">
        <x:v>PLN-142</x:v>
      </x:c>
      <x:c r="C148" t="str">
        <x:v>PLANNING</x:v>
      </x:c>
      <x:c r="D148" t="str">
        <x:v>restriction definitions</x:v>
      </x:c>
      <x:c r="E148" t="str">
        <x:v>Challenge Hardware · restriction definitions 22</x:v>
      </x:c>
      <x:c r="F148" t="n">
        <x:f>Controls!$D$76</x:f>
        <x:v>1</x:v>
      </x:c>
      <x:c r="G148" t="n">
        <x:v>1</x:v>
      </x:c>
      <x:c r="H148" t="str">
        <x:v>equals</x:v>
      </x:c>
      <x:c r="I148" t="str">
        <x:v>RHP design authority</x:v>
      </x:c>
      <x:c r="J148" t="str">
        <x:f>IF(F148=G148,"PASS","GAP")</x:f>
        <x:v>PASS</x:v>
      </x:c>
    </x:row>
    <x:row r="149">
      <x:c r="B149" t="str">
        <x:v>PLN-143</x:v>
      </x:c>
      <x:c r="C149" t="str">
        <x:v>PLANNING</x:v>
      </x:c>
      <x:c r="D149" t="str">
        <x:v>restriction definitions</x:v>
      </x:c>
      <x:c r="E149" t="str">
        <x:v>Challenge Hardware · restriction definitions 23</x:v>
      </x:c>
      <x:c r="F149" t="n">
        <x:f>Controls!$D$76</x:f>
        <x:v>1</x:v>
      </x:c>
      <x:c r="G149" t="n">
        <x:v>1</x:v>
      </x:c>
      <x:c r="H149" t="str">
        <x:v>equals</x:v>
      </x:c>
      <x:c r="I149" t="str">
        <x:v>RHP design authority</x:v>
      </x:c>
      <x:c r="J149" t="str">
        <x:f>IF(F149=G149,"PASS","GAP")</x:f>
        <x:v>PASS</x:v>
      </x:c>
    </x:row>
    <x:row r="150">
      <x:c r="B150" t="str">
        <x:v>PLN-144</x:v>
      </x:c>
      <x:c r="C150" t="str">
        <x:v>PLANNING</x:v>
      </x:c>
      <x:c r="D150" t="str">
        <x:v>restriction definitions</x:v>
      </x:c>
      <x:c r="E150" t="str">
        <x:v>Challenge Hardware · restriction definitions 24</x:v>
      </x:c>
      <x:c r="F150" t="n">
        <x:f>Controls!$D$76</x:f>
        <x:v>1</x:v>
      </x:c>
      <x:c r="G150" t="n">
        <x:v>1</x:v>
      </x:c>
      <x:c r="H150" t="str">
        <x:v>equals</x:v>
      </x:c>
      <x:c r="I150" t="str">
        <x:v>RHP design authority</x:v>
      </x:c>
      <x:c r="J150" t="str">
        <x:f>IF(F150=G150,"PASS","GAP")</x:f>
        <x:v>PASS</x:v>
      </x:c>
    </x:row>
    <x:row r="151">
      <x:c r="B151" t="str">
        <x:v>PLN-145</x:v>
      </x:c>
      <x:c r="C151" t="str">
        <x:v>PLANNING</x:v>
      </x:c>
      <x:c r="D151" t="str">
        <x:v>restriction definitions</x:v>
      </x:c>
      <x:c r="E151" t="str">
        <x:v>Challenge Hardware · restriction definitions 25</x:v>
      </x:c>
      <x:c r="F151" t="n">
        <x:f>Controls!$D$76</x:f>
        <x:v>1</x:v>
      </x:c>
      <x:c r="G151" t="n">
        <x:v>1</x:v>
      </x:c>
      <x:c r="H151" t="str">
        <x:v>equals</x:v>
      </x:c>
      <x:c r="I151" t="str">
        <x:v>RHP design authority</x:v>
      </x:c>
      <x:c r="J151" t="str">
        <x:f>IF(F151=G151,"PASS","GAP")</x:f>
        <x:v>PASS</x:v>
      </x:c>
    </x:row>
    <x:row r="152">
      <x:c r="B152" t="str">
        <x:v>PLN-146</x:v>
      </x:c>
      <x:c r="C152" t="str">
        <x:v>PLANNING</x:v>
      </x:c>
      <x:c r="D152" t="str">
        <x:v>restriction definitions</x:v>
      </x:c>
      <x:c r="E152" t="str">
        <x:v>Challenge Hardware · restriction definitions 26</x:v>
      </x:c>
      <x:c r="F152" t="n">
        <x:f>Controls!$D$76</x:f>
        <x:v>1</x:v>
      </x:c>
      <x:c r="G152" t="n">
        <x:v>1</x:v>
      </x:c>
      <x:c r="H152" t="str">
        <x:v>equals</x:v>
      </x:c>
      <x:c r="I152" t="str">
        <x:v>RHP design authority</x:v>
      </x:c>
      <x:c r="J152" t="str">
        <x:f>IF(F152=G152,"PASS","GAP")</x:f>
        <x:v>PASS</x:v>
      </x:c>
    </x:row>
    <x:row r="153">
      <x:c r="B153" t="str">
        <x:v>PLN-147</x:v>
      </x:c>
      <x:c r="C153" t="str">
        <x:v>PLANNING</x:v>
      </x:c>
      <x:c r="D153" t="str">
        <x:v>restriction definitions</x:v>
      </x:c>
      <x:c r="E153" t="str">
        <x:v>Challenge Hardware · restriction definitions 27</x:v>
      </x:c>
      <x:c r="F153" t="n">
        <x:f>Controls!$D$76</x:f>
        <x:v>1</x:v>
      </x:c>
      <x:c r="G153" t="n">
        <x:v>1</x:v>
      </x:c>
      <x:c r="H153" t="str">
        <x:v>equals</x:v>
      </x:c>
      <x:c r="I153" t="str">
        <x:v>RHP design authority</x:v>
      </x:c>
      <x:c r="J153" t="str">
        <x:f>IF(F153=G153,"PASS","GAP")</x:f>
        <x:v>PASS</x:v>
      </x:c>
    </x:row>
    <x:row r="154">
      <x:c r="B154" t="str">
        <x:v>PLN-148</x:v>
      </x:c>
      <x:c r="C154" t="str">
        <x:v>PLANNING</x:v>
      </x:c>
      <x:c r="D154" t="str">
        <x:v>restriction definitions</x:v>
      </x:c>
      <x:c r="E154" t="str">
        <x:v>Challenge Hardware · restriction definitions 28</x:v>
      </x:c>
      <x:c r="F154" t="n">
        <x:f>Controls!$D$76</x:f>
        <x:v>1</x:v>
      </x:c>
      <x:c r="G154" t="n">
        <x:v>1</x:v>
      </x:c>
      <x:c r="H154" t="str">
        <x:v>equals</x:v>
      </x:c>
      <x:c r="I154" t="str">
        <x:v>RHP design authority</x:v>
      </x:c>
      <x:c r="J154" t="str">
        <x:f>IF(F154=G154,"PASS","GAP")</x:f>
        <x:v>PASS</x:v>
      </x:c>
    </x:row>
    <x:row r="155">
      <x:c r="B155" t="str">
        <x:v>PLN-149</x:v>
      </x:c>
      <x:c r="C155" t="str">
        <x:v>PLANNING</x:v>
      </x:c>
      <x:c r="D155" t="str">
        <x:v>restriction definitions</x:v>
      </x:c>
      <x:c r="E155" t="str">
        <x:v>Challenge Hardware · restriction definitions 29</x:v>
      </x:c>
      <x:c r="F155" t="n">
        <x:f>Controls!$D$76</x:f>
        <x:v>1</x:v>
      </x:c>
      <x:c r="G155" t="n">
        <x:v>1</x:v>
      </x:c>
      <x:c r="H155" t="str">
        <x:v>equals</x:v>
      </x:c>
      <x:c r="I155" t="str">
        <x:v>RHP design authority</x:v>
      </x:c>
      <x:c r="J155" t="str">
        <x:f>IF(F155=G155,"PASS","GAP")</x:f>
        <x:v>PASS</x:v>
      </x:c>
    </x:row>
    <x:row r="156">
      <x:c r="B156" t="str">
        <x:v>PLN-150</x:v>
      </x:c>
      <x:c r="C156" t="str">
        <x:v>PLANNING</x:v>
      </x:c>
      <x:c r="D156" t="str">
        <x:v>restriction definitions</x:v>
      </x:c>
      <x:c r="E156" t="str">
        <x:v>Challenge Hardware · restriction definitions 30</x:v>
      </x:c>
      <x:c r="F156" t="n">
        <x:f>Controls!$D$76</x:f>
        <x:v>1</x:v>
      </x:c>
      <x:c r="G156" t="n">
        <x:v>1</x:v>
      </x:c>
      <x:c r="H156" t="str">
        <x:v>equals</x:v>
      </x:c>
      <x:c r="I156" t="str">
        <x:v>RHP design authority</x:v>
      </x:c>
      <x:c r="J156" t="str">
        <x:f>IF(F156=G156,"PASS","GAP")</x:f>
        <x:v>PASS</x:v>
      </x:c>
    </x:row>
    <x:row r="157">
      <x:c r="B157" t="str">
        <x:v>PLN-151</x:v>
      </x:c>
      <x:c r="C157" t="str">
        <x:v>PLANNING</x:v>
      </x:c>
      <x:c r="D157" t="str">
        <x:v>restriction definitions</x:v>
      </x:c>
      <x:c r="E157" t="str">
        <x:v>Challenge Hardware · restriction definitions 31</x:v>
      </x:c>
      <x:c r="F157" t="n">
        <x:f>Controls!$D$76</x:f>
        <x:v>1</x:v>
      </x:c>
      <x:c r="G157" t="n">
        <x:v>1</x:v>
      </x:c>
      <x:c r="H157" t="str">
        <x:v>equals</x:v>
      </x:c>
      <x:c r="I157" t="str">
        <x:v>RHP design authority</x:v>
      </x:c>
      <x:c r="J157" t="str">
        <x:f>IF(F157=G157,"PASS","GAP")</x:f>
        <x:v>PASS</x:v>
      </x:c>
    </x:row>
    <x:row r="158">
      <x:c r="B158" t="str">
        <x:v>PLN-152</x:v>
      </x:c>
      <x:c r="C158" t="str">
        <x:v>PLANNING</x:v>
      </x:c>
      <x:c r="D158" t="str">
        <x:v>restriction definitions</x:v>
      </x:c>
      <x:c r="E158" t="str">
        <x:v>Challenge Hardware · restriction definitions 32</x:v>
      </x:c>
      <x:c r="F158" t="n">
        <x:f>Controls!$D$76</x:f>
        <x:v>1</x:v>
      </x:c>
      <x:c r="G158" t="n">
        <x:v>1</x:v>
      </x:c>
      <x:c r="H158" t="str">
        <x:v>equals</x:v>
      </x:c>
      <x:c r="I158" t="str">
        <x:v>RHP design authority</x:v>
      </x:c>
      <x:c r="J158" t="str">
        <x:f>IF(F158=G158,"PASS","GAP")</x:f>
        <x:v>PASS</x:v>
      </x:c>
    </x:row>
    <x:row r="159">
      <x:c r="B159" t="str">
        <x:v>PLN-153</x:v>
      </x:c>
      <x:c r="C159" t="str">
        <x:v>PLANNING</x:v>
      </x:c>
      <x:c r="D159" t="str">
        <x:v>restriction definitions</x:v>
      </x:c>
      <x:c r="E159" t="str">
        <x:v>Challenge Hardware · restriction definitions 33</x:v>
      </x:c>
      <x:c r="F159" t="n">
        <x:f>Controls!$D$76</x:f>
        <x:v>1</x:v>
      </x:c>
      <x:c r="G159" t="n">
        <x:v>1</x:v>
      </x:c>
      <x:c r="H159" t="str">
        <x:v>equals</x:v>
      </x:c>
      <x:c r="I159" t="str">
        <x:v>RHP design authority</x:v>
      </x:c>
      <x:c r="J159" t="str">
        <x:f>IF(F159=G159,"PASS","GAP")</x:f>
        <x:v>PASS</x:v>
      </x:c>
    </x:row>
    <x:row r="160">
      <x:c r="B160" t="str">
        <x:v>PLN-154</x:v>
      </x:c>
      <x:c r="C160" t="str">
        <x:v>PLANNING</x:v>
      </x:c>
      <x:c r="D160" t="str">
        <x:v>restriction definitions</x:v>
      </x:c>
      <x:c r="E160" t="str">
        <x:v>Challenge Hardware · restriction definitions 34</x:v>
      </x:c>
      <x:c r="F160" t="n">
        <x:f>Controls!$D$76</x:f>
        <x:v>1</x:v>
      </x:c>
      <x:c r="G160" t="n">
        <x:v>1</x:v>
      </x:c>
      <x:c r="H160" t="str">
        <x:v>equals</x:v>
      </x:c>
      <x:c r="I160" t="str">
        <x:v>RHP design authority</x:v>
      </x:c>
      <x:c r="J160" t="str">
        <x:f>IF(F160=G160,"PASS","GAP")</x:f>
        <x:v>PASS</x:v>
      </x:c>
    </x:row>
    <x:row r="161">
      <x:c r="B161" t="str">
        <x:v>PLN-155</x:v>
      </x:c>
      <x:c r="C161" t="str">
        <x:v>PLANNING</x:v>
      </x:c>
      <x:c r="D161" t="str">
        <x:v>restriction definitions</x:v>
      </x:c>
      <x:c r="E161" t="str">
        <x:v>Challenge Hardware · restriction definitions 35</x:v>
      </x:c>
      <x:c r="F161" t="n">
        <x:f>Controls!$D$76</x:f>
        <x:v>1</x:v>
      </x:c>
      <x:c r="G161" t="n">
        <x:v>1</x:v>
      </x:c>
      <x:c r="H161" t="str">
        <x:v>equals</x:v>
      </x:c>
      <x:c r="I161" t="str">
        <x:v>RHP design authority</x:v>
      </x:c>
      <x:c r="J161" t="str">
        <x:f>IF(F161=G161,"PASS","GAP")</x:f>
        <x:v>PASS</x:v>
      </x:c>
    </x:row>
    <x:row r="162">
      <x:c r="B162" t="str">
        <x:v>PLN-156</x:v>
      </x:c>
      <x:c r="C162" t="str">
        <x:v>PLANNING</x:v>
      </x:c>
      <x:c r="D162" t="str">
        <x:v>restriction definitions</x:v>
      </x:c>
      <x:c r="E162" t="str">
        <x:v>Challenge Hardware · restriction definitions 36</x:v>
      </x:c>
      <x:c r="F162" t="n">
        <x:f>Controls!$D$76</x:f>
        <x:v>1</x:v>
      </x:c>
      <x:c r="G162" t="n">
        <x:v>1</x:v>
      </x:c>
      <x:c r="H162" t="str">
        <x:v>equals</x:v>
      </x:c>
      <x:c r="I162" t="str">
        <x:v>RHP design authority</x:v>
      </x:c>
      <x:c r="J162" t="str">
        <x:f>IF(F162=G162,"PASS","GAP")</x:f>
        <x:v>PASS</x:v>
      </x:c>
    </x:row>
    <x:row r="163">
      <x:c r="B163" t="str">
        <x:v>PLN-157</x:v>
      </x:c>
      <x:c r="C163" t="str">
        <x:v>PLANNING</x:v>
      </x:c>
      <x:c r="D163" t="str">
        <x:v>restriction definitions</x:v>
      </x:c>
      <x:c r="E163" t="str">
        <x:v>Challenge Hardware · restriction definitions 37</x:v>
      </x:c>
      <x:c r="F163" t="n">
        <x:f>Controls!$D$76</x:f>
        <x:v>1</x:v>
      </x:c>
      <x:c r="G163" t="n">
        <x:v>1</x:v>
      </x:c>
      <x:c r="H163" t="str">
        <x:v>equals</x:v>
      </x:c>
      <x:c r="I163" t="str">
        <x:v>RHP design authority</x:v>
      </x:c>
      <x:c r="J163" t="str">
        <x:f>IF(F163=G163,"PASS","GAP")</x:f>
        <x:v>PASS</x:v>
      </x:c>
    </x:row>
    <x:row r="164">
      <x:c r="B164" t="str">
        <x:v>PLN-158</x:v>
      </x:c>
      <x:c r="C164" t="str">
        <x:v>PLANNING</x:v>
      </x:c>
      <x:c r="D164" t="str">
        <x:v>restriction definitions</x:v>
      </x:c>
      <x:c r="E164" t="str">
        <x:v>Challenge Hardware · restriction definitions 38</x:v>
      </x:c>
      <x:c r="F164" t="n">
        <x:f>Controls!$D$76</x:f>
        <x:v>1</x:v>
      </x:c>
      <x:c r="G164" t="n">
        <x:v>1</x:v>
      </x:c>
      <x:c r="H164" t="str">
        <x:v>equals</x:v>
      </x:c>
      <x:c r="I164" t="str">
        <x:v>RHP design authority</x:v>
      </x:c>
      <x:c r="J164" t="str">
        <x:f>IF(F164=G164,"PASS","GAP")</x:f>
        <x:v>PASS</x:v>
      </x:c>
    </x:row>
    <x:row r="165">
      <x:c r="B165" t="str">
        <x:v>PLN-159</x:v>
      </x:c>
      <x:c r="C165" t="str">
        <x:v>PLANNING</x:v>
      </x:c>
      <x:c r="D165" t="str">
        <x:v>restriction definitions</x:v>
      </x:c>
      <x:c r="E165" t="str">
        <x:v>Challenge Hardware · restriction definitions 39</x:v>
      </x:c>
      <x:c r="F165" t="n">
        <x:f>Controls!$D$76</x:f>
        <x:v>1</x:v>
      </x:c>
      <x:c r="G165" t="n">
        <x:v>1</x:v>
      </x:c>
      <x:c r="H165" t="str">
        <x:v>equals</x:v>
      </x:c>
      <x:c r="I165" t="str">
        <x:v>RHP design authority</x:v>
      </x:c>
      <x:c r="J165" t="str">
        <x:f>IF(F165=G165,"PASS","GAP")</x:f>
        <x:v>PASS</x:v>
      </x:c>
    </x:row>
    <x:row r="166">
      <x:c r="B166" t="str">
        <x:v>PLN-160</x:v>
      </x:c>
      <x:c r="C166" t="str">
        <x:v>PLANNING</x:v>
      </x:c>
      <x:c r="D166" t="str">
        <x:v>restriction definitions</x:v>
      </x:c>
      <x:c r="E166" t="str">
        <x:v>Challenge Hardware · restriction definitions 40</x:v>
      </x:c>
      <x:c r="F166" t="n">
        <x:f>Controls!$D$76</x:f>
        <x:v>1</x:v>
      </x:c>
      <x:c r="G166" t="n">
        <x:v>1</x:v>
      </x:c>
      <x:c r="H166" t="str">
        <x:v>equals</x:v>
      </x:c>
      <x:c r="I166" t="str">
        <x:v>RHP design authority</x:v>
      </x:c>
      <x:c r="J166" t="str">
        <x:f>IF(F166=G166,"PASS","GAP")</x:f>
        <x:v>PASS</x:v>
      </x:c>
    </x:row>
    <x:row r="167">
      <x:c r="B167" t="str">
        <x:v>PLN-161</x:v>
      </x:c>
      <x:c r="C167" t="str">
        <x:v>PLANNING</x:v>
      </x:c>
      <x:c r="D167" t="str">
        <x:v>restriction definitions</x:v>
      </x:c>
      <x:c r="E167" t="str">
        <x:v>Challenge Hardware · restriction definitions 41</x:v>
      </x:c>
      <x:c r="F167" t="n">
        <x:f>Controls!$D$76</x:f>
        <x:v>1</x:v>
      </x:c>
      <x:c r="G167" t="n">
        <x:v>1</x:v>
      </x:c>
      <x:c r="H167" t="str">
        <x:v>equals</x:v>
      </x:c>
      <x:c r="I167" t="str">
        <x:v>RHP design authority</x:v>
      </x:c>
      <x:c r="J167" t="str">
        <x:f>IF(F167=G167,"PASS","GAP")</x:f>
        <x:v>PASS</x:v>
      </x:c>
    </x:row>
    <x:row r="168">
      <x:c r="B168" t="str">
        <x:v>PLN-162</x:v>
      </x:c>
      <x:c r="C168" t="str">
        <x:v>PLANNING</x:v>
      </x:c>
      <x:c r="D168" t="str">
        <x:v>restriction definitions</x:v>
      </x:c>
      <x:c r="E168" t="str">
        <x:v>Challenge Hardware · restriction definitions 42</x:v>
      </x:c>
      <x:c r="F168" t="n">
        <x:f>Controls!$D$76</x:f>
        <x:v>1</x:v>
      </x:c>
      <x:c r="G168" t="n">
        <x:v>1</x:v>
      </x:c>
      <x:c r="H168" t="str">
        <x:v>equals</x:v>
      </x:c>
      <x:c r="I168" t="str">
        <x:v>RHP design authority</x:v>
      </x:c>
      <x:c r="J168" t="str">
        <x:f>IF(F168=G168,"PASS","GAP")</x:f>
        <x:v>PASS</x:v>
      </x:c>
    </x:row>
    <x:row r="169">
      <x:c r="B169" t="str">
        <x:v>PLN-163</x:v>
      </x:c>
      <x:c r="C169" t="str">
        <x:v>PLANNING</x:v>
      </x:c>
      <x:c r="D169" t="str">
        <x:v>restriction definitions</x:v>
      </x:c>
      <x:c r="E169" t="str">
        <x:v>Challenge Hardware · restriction definitions 43</x:v>
      </x:c>
      <x:c r="F169" t="n">
        <x:f>Controls!$D$76</x:f>
        <x:v>1</x:v>
      </x:c>
      <x:c r="G169" t="n">
        <x:v>1</x:v>
      </x:c>
      <x:c r="H169" t="str">
        <x:v>equals</x:v>
      </x:c>
      <x:c r="I169" t="str">
        <x:v>RHP design authority</x:v>
      </x:c>
      <x:c r="J169" t="str">
        <x:f>IF(F169=G169,"PASS","GAP")</x:f>
        <x:v>PASS</x:v>
      </x:c>
    </x:row>
    <x:row r="170">
      <x:c r="B170" t="str">
        <x:v>PLN-164</x:v>
      </x:c>
      <x:c r="C170" t="str">
        <x:v>PLANNING</x:v>
      </x:c>
      <x:c r="D170" t="str">
        <x:v>restriction definitions</x:v>
      </x:c>
      <x:c r="E170" t="str">
        <x:v>Challenge Hardware · restriction definitions 44</x:v>
      </x:c>
      <x:c r="F170" t="n">
        <x:f>Controls!$D$76</x:f>
        <x:v>1</x:v>
      </x:c>
      <x:c r="G170" t="n">
        <x:v>1</x:v>
      </x:c>
      <x:c r="H170" t="str">
        <x:v>equals</x:v>
      </x:c>
      <x:c r="I170" t="str">
        <x:v>RHP design authority</x:v>
      </x:c>
      <x:c r="J170" t="str">
        <x:f>IF(F170=G170,"PASS","GAP")</x:f>
        <x:v>PASS</x:v>
      </x:c>
    </x:row>
    <x:row r="171">
      <x:c r="B171" t="str">
        <x:v>PLN-165</x:v>
      </x:c>
      <x:c r="C171" t="str">
        <x:v>PLANNING</x:v>
      </x:c>
      <x:c r="D171" t="str">
        <x:v>restriction definitions</x:v>
      </x:c>
      <x:c r="E171" t="str">
        <x:v>Challenge Hardware · restriction definitions 45</x:v>
      </x:c>
      <x:c r="F171" t="n">
        <x:f>Controls!$D$76</x:f>
        <x:v>1</x:v>
      </x:c>
      <x:c r="G171" t="n">
        <x:v>1</x:v>
      </x:c>
      <x:c r="H171" t="str">
        <x:v>equals</x:v>
      </x:c>
      <x:c r="I171" t="str">
        <x:v>RHP design authority</x:v>
      </x:c>
      <x:c r="J171" t="str">
        <x:f>IF(F171=G171,"PASS","GAP")</x:f>
        <x:v>PASS</x:v>
      </x:c>
    </x:row>
    <x:row r="172">
      <x:c r="B172" t="str">
        <x:v>PLN-166</x:v>
      </x:c>
      <x:c r="C172" t="str">
        <x:v>PLANNING</x:v>
      </x:c>
      <x:c r="D172" t="str">
        <x:v>restriction definitions</x:v>
      </x:c>
      <x:c r="E172" t="str">
        <x:v>Challenge Hardware · restriction definitions 46</x:v>
      </x:c>
      <x:c r="F172" t="n">
        <x:f>Controls!$D$76</x:f>
        <x:v>1</x:v>
      </x:c>
      <x:c r="G172" t="n">
        <x:v>1</x:v>
      </x:c>
      <x:c r="H172" t="str">
        <x:v>equals</x:v>
      </x:c>
      <x:c r="I172" t="str">
        <x:v>RHP design authority</x:v>
      </x:c>
      <x:c r="J172" t="str">
        <x:f>IF(F172=G172,"PASS","GAP")</x:f>
        <x:v>PASS</x:v>
      </x:c>
    </x:row>
    <x:row r="173">
      <x:c r="B173" t="str">
        <x:v>PLN-167</x:v>
      </x:c>
      <x:c r="C173" t="str">
        <x:v>PLANNING</x:v>
      </x:c>
      <x:c r="D173" t="str">
        <x:v>restriction definitions</x:v>
      </x:c>
      <x:c r="E173" t="str">
        <x:v>Challenge Hardware · restriction definitions 47</x:v>
      </x:c>
      <x:c r="F173" t="n">
        <x:f>Controls!$D$76</x:f>
        <x:v>1</x:v>
      </x:c>
      <x:c r="G173" t="n">
        <x:v>1</x:v>
      </x:c>
      <x:c r="H173" t="str">
        <x:v>equals</x:v>
      </x:c>
      <x:c r="I173" t="str">
        <x:v>RHP design authority</x:v>
      </x:c>
      <x:c r="J173" t="str">
        <x:f>IF(F173=G173,"PASS","GAP")</x:f>
        <x:v>PASS</x:v>
      </x:c>
    </x:row>
    <x:row r="174">
      <x:c r="B174" t="str">
        <x:v>PLN-168</x:v>
      </x:c>
      <x:c r="C174" t="str">
        <x:v>PLANNING</x:v>
      </x:c>
      <x:c r="D174" t="str">
        <x:v>restriction definitions</x:v>
      </x:c>
      <x:c r="E174" t="str">
        <x:v>Challenge Hardware · restriction definitions 48</x:v>
      </x:c>
      <x:c r="F174" t="n">
        <x:f>Controls!$D$76</x:f>
        <x:v>1</x:v>
      </x:c>
      <x:c r="G174" t="n">
        <x:v>1</x:v>
      </x:c>
      <x:c r="H174" t="str">
        <x:v>equals</x:v>
      </x:c>
      <x:c r="I174" t="str">
        <x:v>RHP design authority</x:v>
      </x:c>
      <x:c r="J174" t="str">
        <x:f>IF(F174=G174,"PASS","GAP")</x:f>
        <x:v>PASS</x:v>
      </x:c>
    </x:row>
    <x:row r="175">
      <x:c r="B175" t="str">
        <x:v>PLN-169</x:v>
      </x:c>
      <x:c r="C175" t="str">
        <x:v>PLANNING</x:v>
      </x:c>
      <x:c r="D175" t="str">
        <x:v>restriction definitions</x:v>
      </x:c>
      <x:c r="E175" t="str">
        <x:v>Challenge Hardware · restriction definitions 49</x:v>
      </x:c>
      <x:c r="F175" t="n">
        <x:f>Controls!$D$76</x:f>
        <x:v>1</x:v>
      </x:c>
      <x:c r="G175" t="n">
        <x:v>1</x:v>
      </x:c>
      <x:c r="H175" t="str">
        <x:v>equals</x:v>
      </x:c>
      <x:c r="I175" t="str">
        <x:v>RHP design authority</x:v>
      </x:c>
      <x:c r="J175" t="str">
        <x:f>IF(F175=G175,"PASS","GAP")</x:f>
        <x:v>PASS</x:v>
      </x:c>
    </x:row>
    <x:row r="176">
      <x:c r="B176" t="str">
        <x:v>PLN-170</x:v>
      </x:c>
      <x:c r="C176" t="str">
        <x:v>PLANNING</x:v>
      </x:c>
      <x:c r="D176" t="str">
        <x:v>restriction definitions</x:v>
      </x:c>
      <x:c r="E176" t="str">
        <x:v>Challenge Hardware · restriction definitions 50</x:v>
      </x:c>
      <x:c r="F176" t="n">
        <x:f>Controls!$D$76</x:f>
        <x:v>1</x:v>
      </x:c>
      <x:c r="G176" t="n">
        <x:v>1</x:v>
      </x:c>
      <x:c r="H176" t="str">
        <x:v>equals</x:v>
      </x:c>
      <x:c r="I176" t="str">
        <x:v>RHP design authority</x:v>
      </x:c>
      <x:c r="J176" t="str">
        <x:f>IF(F176=G176,"PASS","GAP")</x:f>
        <x:v>PASS</x:v>
      </x:c>
    </x:row>
    <x:row r="177">
      <x:c r="B177" t="str">
        <x:v>PLN-171</x:v>
      </x:c>
      <x:c r="C177" t="str">
        <x:v>PLANNING</x:v>
      </x:c>
      <x:c r="D177" t="str">
        <x:v>restriction definitions</x:v>
      </x:c>
      <x:c r="E177" t="str">
        <x:v>Challenge Hardware · restriction definitions 51</x:v>
      </x:c>
      <x:c r="F177" t="n">
        <x:f>Controls!$D$76</x:f>
        <x:v>1</x:v>
      </x:c>
      <x:c r="G177" t="n">
        <x:v>1</x:v>
      </x:c>
      <x:c r="H177" t="str">
        <x:v>equals</x:v>
      </x:c>
      <x:c r="I177" t="str">
        <x:v>RHP design authority</x:v>
      </x:c>
      <x:c r="J177" t="str">
        <x:f>IF(F177=G177,"PASS","GAP")</x:f>
        <x:v>PASS</x:v>
      </x:c>
    </x:row>
    <x:row r="178">
      <x:c r="B178" t="str">
        <x:v>PLN-172</x:v>
      </x:c>
      <x:c r="C178" t="str">
        <x:v>PLANNING</x:v>
      </x:c>
      <x:c r="D178" t="str">
        <x:v>restriction definitions</x:v>
      </x:c>
      <x:c r="E178" t="str">
        <x:v>Challenge Hardware · restriction definitions 52</x:v>
      </x:c>
      <x:c r="F178" t="n">
        <x:f>Controls!$D$76</x:f>
        <x:v>1</x:v>
      </x:c>
      <x:c r="G178" t="n">
        <x:v>1</x:v>
      </x:c>
      <x:c r="H178" t="str">
        <x:v>equals</x:v>
      </x:c>
      <x:c r="I178" t="str">
        <x:v>RHP design authority</x:v>
      </x:c>
      <x:c r="J178" t="str">
        <x:f>IF(F178=G178,"PASS","GAP")</x:f>
        <x:v>PASS</x:v>
      </x:c>
    </x:row>
    <x:row r="179">
      <x:c r="B179" t="str">
        <x:v>PLN-173</x:v>
      </x:c>
      <x:c r="C179" t="str">
        <x:v>PLANNING</x:v>
      </x:c>
      <x:c r="D179" t="str">
        <x:v>restriction definitions</x:v>
      </x:c>
      <x:c r="E179" t="str">
        <x:v>Challenge Hardware · restriction definitions 53</x:v>
      </x:c>
      <x:c r="F179" t="n">
        <x:f>Controls!$D$76</x:f>
        <x:v>1</x:v>
      </x:c>
      <x:c r="G179" t="n">
        <x:v>1</x:v>
      </x:c>
      <x:c r="H179" t="str">
        <x:v>equals</x:v>
      </x:c>
      <x:c r="I179" t="str">
        <x:v>RHP design authority</x:v>
      </x:c>
      <x:c r="J179" t="str">
        <x:f>IF(F179=G179,"PASS","GAP")</x:f>
        <x:v>PASS</x:v>
      </x:c>
    </x:row>
    <x:row r="180">
      <x:c r="B180" t="str">
        <x:v>PLN-174</x:v>
      </x:c>
      <x:c r="C180" t="str">
        <x:v>PLANNING</x:v>
      </x:c>
      <x:c r="D180" t="str">
        <x:v>restriction definitions</x:v>
      </x:c>
      <x:c r="E180" t="str">
        <x:v>Challenge Hardware · restriction definitions 54</x:v>
      </x:c>
      <x:c r="F180" t="n">
        <x:f>Controls!$D$76</x:f>
        <x:v>1</x:v>
      </x:c>
      <x:c r="G180" t="n">
        <x:v>1</x:v>
      </x:c>
      <x:c r="H180" t="str">
        <x:v>equals</x:v>
      </x:c>
      <x:c r="I180" t="str">
        <x:v>RHP design authority</x:v>
      </x:c>
      <x:c r="J180" t="str">
        <x:f>IF(F180=G180,"PASS","GAP")</x:f>
        <x:v>PASS</x:v>
      </x:c>
    </x:row>
    <x:row r="181">
      <x:c r="B181" t="str">
        <x:v>PLN-175</x:v>
      </x:c>
      <x:c r="C181" t="str">
        <x:v>PLANNING</x:v>
      </x:c>
      <x:c r="D181" t="str">
        <x:v>controlled drawings</x:v>
      </x:c>
      <x:c r="E181" t="str">
        <x:v>Drawing Register · controlled drawings 1</x:v>
      </x:c>
      <x:c r="F181" t="n">
        <x:f>Controls!$D$76</x:f>
        <x:v>1</x:v>
      </x:c>
      <x:c r="G181" t="n">
        <x:v>1</x:v>
      </x:c>
      <x:c r="H181" t="str">
        <x:v>equals</x:v>
      </x:c>
      <x:c r="I181" t="str">
        <x:v>RHP design authority</x:v>
      </x:c>
      <x:c r="J181" t="str">
        <x:f>IF(F181=G181,"PASS","GAP")</x:f>
        <x:v>PASS</x:v>
      </x:c>
    </x:row>
    <x:row r="182">
      <x:c r="B182" t="str">
        <x:v>PLN-176</x:v>
      </x:c>
      <x:c r="C182" t="str">
        <x:v>PLANNING</x:v>
      </x:c>
      <x:c r="D182" t="str">
        <x:v>controlled drawings</x:v>
      </x:c>
      <x:c r="E182" t="str">
        <x:v>Drawing Register · controlled drawings 2</x:v>
      </x:c>
      <x:c r="F182" t="n">
        <x:f>Controls!$D$76</x:f>
        <x:v>1</x:v>
      </x:c>
      <x:c r="G182" t="n">
        <x:v>1</x:v>
      </x:c>
      <x:c r="H182" t="str">
        <x:v>equals</x:v>
      </x:c>
      <x:c r="I182" t="str">
        <x:v>RHP design authority</x:v>
      </x:c>
      <x:c r="J182" t="str">
        <x:f>IF(F182=G182,"PASS","GAP")</x:f>
        <x:v>PASS</x:v>
      </x:c>
    </x:row>
    <x:row r="183">
      <x:c r="B183" t="str">
        <x:v>PLN-177</x:v>
      </x:c>
      <x:c r="C183" t="str">
        <x:v>PLANNING</x:v>
      </x:c>
      <x:c r="D183" t="str">
        <x:v>controlled drawings</x:v>
      </x:c>
      <x:c r="E183" t="str">
        <x:v>Drawing Register · controlled drawings 3</x:v>
      </x:c>
      <x:c r="F183" t="n">
        <x:f>Controls!$D$76</x:f>
        <x:v>1</x:v>
      </x:c>
      <x:c r="G183" t="n">
        <x:v>1</x:v>
      </x:c>
      <x:c r="H183" t="str">
        <x:v>equals</x:v>
      </x:c>
      <x:c r="I183" t="str">
        <x:v>RHP design authority</x:v>
      </x:c>
      <x:c r="J183" t="str">
        <x:f>IF(F183=G183,"PASS","GAP")</x:f>
        <x:v>PASS</x:v>
      </x:c>
    </x:row>
    <x:row r="184">
      <x:c r="B184" t="str">
        <x:v>PLN-178</x:v>
      </x:c>
      <x:c r="C184" t="str">
        <x:v>PLANNING</x:v>
      </x:c>
      <x:c r="D184" t="str">
        <x:v>controlled drawings</x:v>
      </x:c>
      <x:c r="E184" t="str">
        <x:v>Drawing Register · controlled drawings 4</x:v>
      </x:c>
      <x:c r="F184" t="n">
        <x:f>Controls!$D$76</x:f>
        <x:v>1</x:v>
      </x:c>
      <x:c r="G184" t="n">
        <x:v>1</x:v>
      </x:c>
      <x:c r="H184" t="str">
        <x:v>equals</x:v>
      </x:c>
      <x:c r="I184" t="str">
        <x:v>RHP design authority</x:v>
      </x:c>
      <x:c r="J184" t="str">
        <x:f>IF(F184=G184,"PASS","GAP")</x:f>
        <x:v>PASS</x:v>
      </x:c>
    </x:row>
    <x:row r="185">
      <x:c r="B185" t="str">
        <x:v>PLN-179</x:v>
      </x:c>
      <x:c r="C185" t="str">
        <x:v>PLANNING</x:v>
      </x:c>
      <x:c r="D185" t="str">
        <x:v>controlled drawings</x:v>
      </x:c>
      <x:c r="E185" t="str">
        <x:v>Drawing Register · controlled drawings 5</x:v>
      </x:c>
      <x:c r="F185" t="n">
        <x:f>Controls!$D$76</x:f>
        <x:v>1</x:v>
      </x:c>
      <x:c r="G185" t="n">
        <x:v>1</x:v>
      </x:c>
      <x:c r="H185" t="str">
        <x:v>equals</x:v>
      </x:c>
      <x:c r="I185" t="str">
        <x:v>RHP design authority</x:v>
      </x:c>
      <x:c r="J185" t="str">
        <x:f>IF(F185=G185,"PASS","GAP")</x:f>
        <x:v>PASS</x:v>
      </x:c>
    </x:row>
    <x:row r="186">
      <x:c r="B186" t="str">
        <x:v>PLN-180</x:v>
      </x:c>
      <x:c r="C186" t="str">
        <x:v>PLANNING</x:v>
      </x:c>
      <x:c r="D186" t="str">
        <x:v>controlled drawings</x:v>
      </x:c>
      <x:c r="E186" t="str">
        <x:v>Drawing Register · controlled drawings 6</x:v>
      </x:c>
      <x:c r="F186" t="n">
        <x:f>Controls!$D$76</x:f>
        <x:v>1</x:v>
      </x:c>
      <x:c r="G186" t="n">
        <x:v>1</x:v>
      </x:c>
      <x:c r="H186" t="str">
        <x:v>equals</x:v>
      </x:c>
      <x:c r="I186" t="str">
        <x:v>RHP design authority</x:v>
      </x:c>
      <x:c r="J186" t="str">
        <x:f>IF(F186=G186,"PASS","GAP")</x:f>
        <x:v>PASS</x:v>
      </x:c>
    </x:row>
    <x:row r="187">
      <x:c r="B187" t="str">
        <x:v>PLN-181</x:v>
      </x:c>
      <x:c r="C187" t="str">
        <x:v>PLANNING</x:v>
      </x:c>
      <x:c r="D187" t="str">
        <x:v>controlled drawings</x:v>
      </x:c>
      <x:c r="E187" t="str">
        <x:v>Drawing Register · controlled drawings 7</x:v>
      </x:c>
      <x:c r="F187" t="n">
        <x:f>Controls!$D$76</x:f>
        <x:v>1</x:v>
      </x:c>
      <x:c r="G187" t="n">
        <x:v>1</x:v>
      </x:c>
      <x:c r="H187" t="str">
        <x:v>equals</x:v>
      </x:c>
      <x:c r="I187" t="str">
        <x:v>RHP design authority</x:v>
      </x:c>
      <x:c r="J187" t="str">
        <x:f>IF(F187=G187,"PASS","GAP")</x:f>
        <x:v>PASS</x:v>
      </x:c>
    </x:row>
    <x:row r="188">
      <x:c r="B188" t="str">
        <x:v>PLN-182</x:v>
      </x:c>
      <x:c r="C188" t="str">
        <x:v>PLANNING</x:v>
      </x:c>
      <x:c r="D188" t="str">
        <x:v>controlled drawings</x:v>
      </x:c>
      <x:c r="E188" t="str">
        <x:v>Drawing Register · controlled drawings 8</x:v>
      </x:c>
      <x:c r="F188" t="n">
        <x:f>Controls!$D$76</x:f>
        <x:v>1</x:v>
      </x:c>
      <x:c r="G188" t="n">
        <x:v>1</x:v>
      </x:c>
      <x:c r="H188" t="str">
        <x:v>equals</x:v>
      </x:c>
      <x:c r="I188" t="str">
        <x:v>RHP design authority</x:v>
      </x:c>
      <x:c r="J188" t="str">
        <x:f>IF(F188=G188,"PASS","GAP")</x:f>
        <x:v>PASS</x:v>
      </x:c>
    </x:row>
    <x:row r="189">
      <x:c r="B189" t="str">
        <x:v>PLN-183</x:v>
      </x:c>
      <x:c r="C189" t="str">
        <x:v>PLANNING</x:v>
      </x:c>
      <x:c r="D189" t="str">
        <x:v>controlled drawings</x:v>
      </x:c>
      <x:c r="E189" t="str">
        <x:v>Drawing Register · controlled drawings 9</x:v>
      </x:c>
      <x:c r="F189" t="n">
        <x:f>Controls!$D$76</x:f>
        <x:v>1</x:v>
      </x:c>
      <x:c r="G189" t="n">
        <x:v>1</x:v>
      </x:c>
      <x:c r="H189" t="str">
        <x:v>equals</x:v>
      </x:c>
      <x:c r="I189" t="str">
        <x:v>RHP design authority</x:v>
      </x:c>
      <x:c r="J189" t="str">
        <x:f>IF(F189=G189,"PASS","GAP")</x:f>
        <x:v>PASS</x:v>
      </x:c>
    </x:row>
    <x:row r="190">
      <x:c r="B190" t="str">
        <x:v>PLN-184</x:v>
      </x:c>
      <x:c r="C190" t="str">
        <x:v>PLANNING</x:v>
      </x:c>
      <x:c r="D190" t="str">
        <x:v>controlled drawings</x:v>
      </x:c>
      <x:c r="E190" t="str">
        <x:v>Drawing Register · controlled drawings 10</x:v>
      </x:c>
      <x:c r="F190" t="n">
        <x:f>Controls!$D$76</x:f>
        <x:v>1</x:v>
      </x:c>
      <x:c r="G190" t="n">
        <x:v>1</x:v>
      </x:c>
      <x:c r="H190" t="str">
        <x:v>equals</x:v>
      </x:c>
      <x:c r="I190" t="str">
        <x:v>RHP design authority</x:v>
      </x:c>
      <x:c r="J190" t="str">
        <x:f>IF(F190=G190,"PASS","GAP")</x:f>
        <x:v>PASS</x:v>
      </x:c>
    </x:row>
    <x:row r="191">
      <x:c r="B191" t="str">
        <x:v>PLN-185</x:v>
      </x:c>
      <x:c r="C191" t="str">
        <x:v>PLANNING</x:v>
      </x:c>
      <x:c r="D191" t="str">
        <x:v>controlled drawings</x:v>
      </x:c>
      <x:c r="E191" t="str">
        <x:v>Drawing Register · controlled drawings 11</x:v>
      </x:c>
      <x:c r="F191" t="n">
        <x:f>Controls!$D$76</x:f>
        <x:v>1</x:v>
      </x:c>
      <x:c r="G191" t="n">
        <x:v>1</x:v>
      </x:c>
      <x:c r="H191" t="str">
        <x:v>equals</x:v>
      </x:c>
      <x:c r="I191" t="str">
        <x:v>RHP design authority</x:v>
      </x:c>
      <x:c r="J191" t="str">
        <x:f>IF(F191=G191,"PASS","GAP")</x:f>
        <x:v>PASS</x:v>
      </x:c>
    </x:row>
    <x:row r="192">
      <x:c r="B192" t="str">
        <x:v>PLN-186</x:v>
      </x:c>
      <x:c r="C192" t="str">
        <x:v>PLANNING</x:v>
      </x:c>
      <x:c r="D192" t="str">
        <x:v>controlled drawings</x:v>
      </x:c>
      <x:c r="E192" t="str">
        <x:v>Drawing Register · controlled drawings 12</x:v>
      </x:c>
      <x:c r="F192" t="n">
        <x:f>Controls!$D$76</x:f>
        <x:v>1</x:v>
      </x:c>
      <x:c r="G192" t="n">
        <x:v>1</x:v>
      </x:c>
      <x:c r="H192" t="str">
        <x:v>equals</x:v>
      </x:c>
      <x:c r="I192" t="str">
        <x:v>RHP design authority</x:v>
      </x:c>
      <x:c r="J192" t="str">
        <x:f>IF(F192=G192,"PASS","GAP")</x:f>
        <x:v>PASS</x:v>
      </x:c>
    </x:row>
    <x:row r="193">
      <x:c r="B193" t="str">
        <x:v>PLN-187</x:v>
      </x:c>
      <x:c r="C193" t="str">
        <x:v>PLANNING</x:v>
      </x:c>
      <x:c r="D193" t="str">
        <x:v>controlled drawings</x:v>
      </x:c>
      <x:c r="E193" t="str">
        <x:v>Drawing Register · controlled drawings 13</x:v>
      </x:c>
      <x:c r="F193" t="n">
        <x:f>Controls!$D$76</x:f>
        <x:v>1</x:v>
      </x:c>
      <x:c r="G193" t="n">
        <x:v>1</x:v>
      </x:c>
      <x:c r="H193" t="str">
        <x:v>equals</x:v>
      </x:c>
      <x:c r="I193" t="str">
        <x:v>RHP design authority</x:v>
      </x:c>
      <x:c r="J193" t="str">
        <x:f>IF(F193=G193,"PASS","GAP")</x:f>
        <x:v>PASS</x:v>
      </x:c>
    </x:row>
    <x:row r="194">
      <x:c r="B194" t="str">
        <x:v>PLN-188</x:v>
      </x:c>
      <x:c r="C194" t="str">
        <x:v>PLANNING</x:v>
      </x:c>
      <x:c r="D194" t="str">
        <x:v>controlled drawings</x:v>
      </x:c>
      <x:c r="E194" t="str">
        <x:v>Drawing Register · controlled drawings 14</x:v>
      </x:c>
      <x:c r="F194" t="n">
        <x:f>Controls!$D$76</x:f>
        <x:v>1</x:v>
      </x:c>
      <x:c r="G194" t="n">
        <x:v>1</x:v>
      </x:c>
      <x:c r="H194" t="str">
        <x:v>equals</x:v>
      </x:c>
      <x:c r="I194" t="str">
        <x:v>RHP design authority</x:v>
      </x:c>
      <x:c r="J194" t="str">
        <x:f>IF(F194=G194,"PASS","GAP")</x:f>
        <x:v>PASS</x:v>
      </x:c>
    </x:row>
    <x:row r="195">
      <x:c r="B195" t="str">
        <x:v>PLN-189</x:v>
      </x:c>
      <x:c r="C195" t="str">
        <x:v>PLANNING</x:v>
      </x:c>
      <x:c r="D195" t="str">
        <x:v>controlled drawings</x:v>
      </x:c>
      <x:c r="E195" t="str">
        <x:v>Drawing Register · controlled drawings 15</x:v>
      </x:c>
      <x:c r="F195" t="n">
        <x:f>Controls!$D$76</x:f>
        <x:v>1</x:v>
      </x:c>
      <x:c r="G195" t="n">
        <x:v>1</x:v>
      </x:c>
      <x:c r="H195" t="str">
        <x:v>equals</x:v>
      </x:c>
      <x:c r="I195" t="str">
        <x:v>RHP design authority</x:v>
      </x:c>
      <x:c r="J195" t="str">
        <x:f>IF(F195=G195,"PASS","GAP")</x:f>
        <x:v>PASS</x:v>
      </x:c>
    </x:row>
    <x:row r="196">
      <x:c r="B196" t="str">
        <x:v>PLN-190</x:v>
      </x:c>
      <x:c r="C196" t="str">
        <x:v>PLANNING</x:v>
      </x:c>
      <x:c r="D196" t="str">
        <x:v>controlled drawings</x:v>
      </x:c>
      <x:c r="E196" t="str">
        <x:v>Drawing Register · controlled drawings 16</x:v>
      </x:c>
      <x:c r="F196" t="n">
        <x:f>Controls!$D$76</x:f>
        <x:v>1</x:v>
      </x:c>
      <x:c r="G196" t="n">
        <x:v>1</x:v>
      </x:c>
      <x:c r="H196" t="str">
        <x:v>equals</x:v>
      </x:c>
      <x:c r="I196" t="str">
        <x:v>RHP design authority</x:v>
      </x:c>
      <x:c r="J196" t="str">
        <x:f>IF(F196=G196,"PASS","GAP")</x:f>
        <x:v>PASS</x:v>
      </x:c>
    </x:row>
    <x:row r="197">
      <x:c r="B197" t="str">
        <x:v>PLN-191</x:v>
      </x:c>
      <x:c r="C197" t="str">
        <x:v>PLANNING</x:v>
      </x:c>
      <x:c r="D197" t="str">
        <x:v>controlled drawings</x:v>
      </x:c>
      <x:c r="E197" t="str">
        <x:v>Drawing Register · controlled drawings 17</x:v>
      </x:c>
      <x:c r="F197" t="n">
        <x:f>Controls!$D$76</x:f>
        <x:v>1</x:v>
      </x:c>
      <x:c r="G197" t="n">
        <x:v>1</x:v>
      </x:c>
      <x:c r="H197" t="str">
        <x:v>equals</x:v>
      </x:c>
      <x:c r="I197" t="str">
        <x:v>RHP design authority</x:v>
      </x:c>
      <x:c r="J197" t="str">
        <x:f>IF(F197=G197,"PASS","GAP")</x:f>
        <x:v>PASS</x:v>
      </x:c>
    </x:row>
    <x:row r="198">
      <x:c r="B198" t="str">
        <x:v>PLN-192</x:v>
      </x:c>
      <x:c r="C198" t="str">
        <x:v>PLANNING</x:v>
      </x:c>
      <x:c r="D198" t="str">
        <x:v>controlled drawings</x:v>
      </x:c>
      <x:c r="E198" t="str">
        <x:v>Drawing Register · controlled drawings 18</x:v>
      </x:c>
      <x:c r="F198" t="n">
        <x:f>Controls!$D$76</x:f>
        <x:v>1</x:v>
      </x:c>
      <x:c r="G198" t="n">
        <x:v>1</x:v>
      </x:c>
      <x:c r="H198" t="str">
        <x:v>equals</x:v>
      </x:c>
      <x:c r="I198" t="str">
        <x:v>RHP design authority</x:v>
      </x:c>
      <x:c r="J198" t="str">
        <x:f>IF(F198=G198,"PASS","GAP")</x:f>
        <x:v>PASS</x:v>
      </x:c>
    </x:row>
    <x:row r="199">
      <x:c r="B199" t="str">
        <x:v>PLN-193</x:v>
      </x:c>
      <x:c r="C199" t="str">
        <x:v>PLANNING</x:v>
      </x:c>
      <x:c r="D199" t="str">
        <x:v>controlled drawings</x:v>
      </x:c>
      <x:c r="E199" t="str">
        <x:v>Drawing Register · controlled drawings 19</x:v>
      </x:c>
      <x:c r="F199" t="n">
        <x:f>Controls!$D$76</x:f>
        <x:v>1</x:v>
      </x:c>
      <x:c r="G199" t="n">
        <x:v>1</x:v>
      </x:c>
      <x:c r="H199" t="str">
        <x:v>equals</x:v>
      </x:c>
      <x:c r="I199" t="str">
        <x:v>RHP design authority</x:v>
      </x:c>
      <x:c r="J199" t="str">
        <x:f>IF(F199=G199,"PASS","GAP")</x:f>
        <x:v>PASS</x:v>
      </x:c>
    </x:row>
    <x:row r="200">
      <x:c r="B200" t="str">
        <x:v>PLN-194</x:v>
      </x:c>
      <x:c r="C200" t="str">
        <x:v>PLANNING</x:v>
      </x:c>
      <x:c r="D200" t="str">
        <x:v>controlled drawings</x:v>
      </x:c>
      <x:c r="E200" t="str">
        <x:v>Drawing Register · controlled drawings 20</x:v>
      </x:c>
      <x:c r="F200" t="n">
        <x:f>Controls!$D$76</x:f>
        <x:v>1</x:v>
      </x:c>
      <x:c r="G200" t="n">
        <x:v>1</x:v>
      </x:c>
      <x:c r="H200" t="str">
        <x:v>equals</x:v>
      </x:c>
      <x:c r="I200" t="str">
        <x:v>RHP design authority</x:v>
      </x:c>
      <x:c r="J200" t="str">
        <x:f>IF(F200=G200,"PASS","GAP")</x:f>
        <x:v>PASS</x:v>
      </x:c>
    </x:row>
    <x:row r="201">
      <x:c r="B201" t="str">
        <x:v>PLN-195</x:v>
      </x:c>
      <x:c r="C201" t="str">
        <x:v>PLANNING</x:v>
      </x:c>
      <x:c r="D201" t="str">
        <x:v>controlled drawings</x:v>
      </x:c>
      <x:c r="E201" t="str">
        <x:v>Drawing Register · controlled drawings 21</x:v>
      </x:c>
      <x:c r="F201" t="n">
        <x:f>Controls!$D$76</x:f>
        <x:v>1</x:v>
      </x:c>
      <x:c r="G201" t="n">
        <x:v>1</x:v>
      </x:c>
      <x:c r="H201" t="str">
        <x:v>equals</x:v>
      </x:c>
      <x:c r="I201" t="str">
        <x:v>RHP design authority</x:v>
      </x:c>
      <x:c r="J201" t="str">
        <x:f>IF(F201=G201,"PASS","GAP")</x:f>
        <x:v>PASS</x:v>
      </x:c>
    </x:row>
    <x:row r="202">
      <x:c r="B202" t="str">
        <x:v>PLN-196</x:v>
      </x:c>
      <x:c r="C202" t="str">
        <x:v>PLANNING</x:v>
      </x:c>
      <x:c r="D202" t="str">
        <x:v>controlled drawings</x:v>
      </x:c>
      <x:c r="E202" t="str">
        <x:v>Drawing Register · controlled drawings 22</x:v>
      </x:c>
      <x:c r="F202" t="n">
        <x:f>Controls!$D$76</x:f>
        <x:v>1</x:v>
      </x:c>
      <x:c r="G202" t="n">
        <x:v>1</x:v>
      </x:c>
      <x:c r="H202" t="str">
        <x:v>equals</x:v>
      </x:c>
      <x:c r="I202" t="str">
        <x:v>RHP design authority</x:v>
      </x:c>
      <x:c r="J202" t="str">
        <x:f>IF(F202=G202,"PASS","GAP")</x:f>
        <x:v>PASS</x:v>
      </x:c>
    </x:row>
    <x:row r="203">
      <x:c r="B203" t="str">
        <x:v>PLN-197</x:v>
      </x:c>
      <x:c r="C203" t="str">
        <x:v>PLANNING</x:v>
      </x:c>
      <x:c r="D203" t="str">
        <x:v>controlled drawings</x:v>
      </x:c>
      <x:c r="E203" t="str">
        <x:v>Drawing Register · controlled drawings 23</x:v>
      </x:c>
      <x:c r="F203" t="n">
        <x:f>Controls!$D$76</x:f>
        <x:v>1</x:v>
      </x:c>
      <x:c r="G203" t="n">
        <x:v>1</x:v>
      </x:c>
      <x:c r="H203" t="str">
        <x:v>equals</x:v>
      </x:c>
      <x:c r="I203" t="str">
        <x:v>RHP design authority</x:v>
      </x:c>
      <x:c r="J203" t="str">
        <x:f>IF(F203=G203,"PASS","GAP")</x:f>
        <x:v>PASS</x:v>
      </x:c>
    </x:row>
    <x:row r="204">
      <x:c r="B204" t="str">
        <x:v>PLN-198</x:v>
      </x:c>
      <x:c r="C204" t="str">
        <x:v>PLANNING</x:v>
      </x:c>
      <x:c r="D204" t="str">
        <x:v>controlled drawings</x:v>
      </x:c>
      <x:c r="E204" t="str">
        <x:v>Drawing Register · controlled drawings 24</x:v>
      </x:c>
      <x:c r="F204" t="n">
        <x:f>Controls!$D$76</x:f>
        <x:v>1</x:v>
      </x:c>
      <x:c r="G204" t="n">
        <x:v>1</x:v>
      </x:c>
      <x:c r="H204" t="str">
        <x:v>equals</x:v>
      </x:c>
      <x:c r="I204" t="str">
        <x:v>RHP design authority</x:v>
      </x:c>
      <x:c r="J204" t="str">
        <x:f>IF(F204=G204,"PASS","GAP")</x:f>
        <x:v>PASS</x:v>
      </x:c>
    </x:row>
    <x:row r="205">
      <x:c r="B205" t="str">
        <x:v>PLN-199</x:v>
      </x:c>
      <x:c r="C205" t="str">
        <x:v>PLANNING</x:v>
      </x:c>
      <x:c r="D205" t="str">
        <x:v>controlled drawings</x:v>
      </x:c>
      <x:c r="E205" t="str">
        <x:v>Drawing Register · controlled drawings 25</x:v>
      </x:c>
      <x:c r="F205" t="n">
        <x:f>Controls!$D$76</x:f>
        <x:v>1</x:v>
      </x:c>
      <x:c r="G205" t="n">
        <x:v>1</x:v>
      </x:c>
      <x:c r="H205" t="str">
        <x:v>equals</x:v>
      </x:c>
      <x:c r="I205" t="str">
        <x:v>RHP design authority</x:v>
      </x:c>
      <x:c r="J205" t="str">
        <x:f>IF(F205=G205,"PASS","GAP")</x:f>
        <x:v>PASS</x:v>
      </x:c>
    </x:row>
    <x:row r="206">
      <x:c r="B206" t="str">
        <x:v>PLN-200</x:v>
      </x:c>
      <x:c r="C206" t="str">
        <x:v>PLANNING</x:v>
      </x:c>
      <x:c r="D206" t="str">
        <x:v>controlled drawings</x:v>
      </x:c>
      <x:c r="E206" t="str">
        <x:v>Drawing Register · controlled drawings 26</x:v>
      </x:c>
      <x:c r="F206" t="n">
        <x:f>Controls!$D$76</x:f>
        <x:v>1</x:v>
      </x:c>
      <x:c r="G206" t="n">
        <x:v>1</x:v>
      </x:c>
      <x:c r="H206" t="str">
        <x:v>equals</x:v>
      </x:c>
      <x:c r="I206" t="str">
        <x:v>RHP design authority</x:v>
      </x:c>
      <x:c r="J206" t="str">
        <x:f>IF(F206=G206,"PASS","GAP")</x:f>
        <x:v>PASS</x:v>
      </x:c>
    </x:row>
    <x:row r="207">
      <x:c r="B207" t="str">
        <x:v>PLN-201</x:v>
      </x:c>
      <x:c r="C207" t="str">
        <x:v>PLANNING</x:v>
      </x:c>
      <x:c r="D207" t="str">
        <x:v>controlled drawings</x:v>
      </x:c>
      <x:c r="E207" t="str">
        <x:v>Drawing Register · controlled drawings 27</x:v>
      </x:c>
      <x:c r="F207" t="n">
        <x:f>Controls!$D$76</x:f>
        <x:v>1</x:v>
      </x:c>
      <x:c r="G207" t="n">
        <x:v>1</x:v>
      </x:c>
      <x:c r="H207" t="str">
        <x:v>equals</x:v>
      </x:c>
      <x:c r="I207" t="str">
        <x:v>RHP design authority</x:v>
      </x:c>
      <x:c r="J207" t="str">
        <x:f>IF(F207=G207,"PASS","GAP")</x:f>
        <x:v>PASS</x:v>
      </x:c>
    </x:row>
    <x:row r="208">
      <x:c r="B208" t="str">
        <x:v>PLN-202</x:v>
      </x:c>
      <x:c r="C208" t="str">
        <x:v>PLANNING</x:v>
      </x:c>
      <x:c r="D208" t="str">
        <x:v>controlled drawings</x:v>
      </x:c>
      <x:c r="E208" t="str">
        <x:v>Drawing Register · controlled drawings 28</x:v>
      </x:c>
      <x:c r="F208" t="n">
        <x:f>Controls!$D$76</x:f>
        <x:v>1</x:v>
      </x:c>
      <x:c r="G208" t="n">
        <x:v>1</x:v>
      </x:c>
      <x:c r="H208" t="str">
        <x:v>equals</x:v>
      </x:c>
      <x:c r="I208" t="str">
        <x:v>RHP design authority</x:v>
      </x:c>
      <x:c r="J208" t="str">
        <x:f>IF(F208=G208,"PASS","GAP")</x:f>
        <x:v>PASS</x:v>
      </x:c>
    </x:row>
    <x:row r="209">
      <x:c r="B209" t="str">
        <x:v>PLN-203</x:v>
      </x:c>
      <x:c r="C209" t="str">
        <x:v>PLANNING</x:v>
      </x:c>
      <x:c r="D209" t="str">
        <x:v>controlled drawings</x:v>
      </x:c>
      <x:c r="E209" t="str">
        <x:v>Drawing Register · controlled drawings 29</x:v>
      </x:c>
      <x:c r="F209" t="n">
        <x:f>Controls!$D$76</x:f>
        <x:v>1</x:v>
      </x:c>
      <x:c r="G209" t="n">
        <x:v>1</x:v>
      </x:c>
      <x:c r="H209" t="str">
        <x:v>equals</x:v>
      </x:c>
      <x:c r="I209" t="str">
        <x:v>RHP design authority</x:v>
      </x:c>
      <x:c r="J209" t="str">
        <x:f>IF(F209=G209,"PASS","GAP")</x:f>
        <x:v>PASS</x:v>
      </x:c>
    </x:row>
    <x:row r="210">
      <x:c r="B210" t="str">
        <x:v>PLN-204</x:v>
      </x:c>
      <x:c r="C210" t="str">
        <x:v>PLANNING</x:v>
      </x:c>
      <x:c r="D210" t="str">
        <x:v>controlled drawings</x:v>
      </x:c>
      <x:c r="E210" t="str">
        <x:v>Drawing Register · controlled drawings 30</x:v>
      </x:c>
      <x:c r="F210" t="n">
        <x:f>Controls!$D$76</x:f>
        <x:v>1</x:v>
      </x:c>
      <x:c r="G210" t="n">
        <x:v>1</x:v>
      </x:c>
      <x:c r="H210" t="str">
        <x:v>equals</x:v>
      </x:c>
      <x:c r="I210" t="str">
        <x:v>RHP design authority</x:v>
      </x:c>
      <x:c r="J210" t="str">
        <x:f>IF(F210=G210,"PASS","GAP")</x:f>
        <x:v>PASS</x:v>
      </x:c>
    </x:row>
    <x:row r="211">
      <x:c r="B211" t="str">
        <x:v>PLN-205</x:v>
      </x:c>
      <x:c r="C211" t="str">
        <x:v>PLANNING</x:v>
      </x:c>
      <x:c r="D211" t="str">
        <x:v>controlled drawings</x:v>
      </x:c>
      <x:c r="E211" t="str">
        <x:v>Drawing Register · controlled drawings 31</x:v>
      </x:c>
      <x:c r="F211" t="n">
        <x:f>Controls!$D$76</x:f>
        <x:v>1</x:v>
      </x:c>
      <x:c r="G211" t="n">
        <x:v>1</x:v>
      </x:c>
      <x:c r="H211" t="str">
        <x:v>equals</x:v>
      </x:c>
      <x:c r="I211" t="str">
        <x:v>RHP design authority</x:v>
      </x:c>
      <x:c r="J211" t="str">
        <x:f>IF(F211=G211,"PASS","GAP")</x:f>
        <x:v>PASS</x:v>
      </x:c>
    </x:row>
    <x:row r="212">
      <x:c r="B212" t="str">
        <x:v>PLN-206</x:v>
      </x:c>
      <x:c r="C212" t="str">
        <x:v>PLANNING</x:v>
      </x:c>
      <x:c r="D212" t="str">
        <x:v>controlled drawings</x:v>
      </x:c>
      <x:c r="E212" t="str">
        <x:v>Drawing Register · controlled drawings 32</x:v>
      </x:c>
      <x:c r="F212" t="n">
        <x:f>Controls!$D$76</x:f>
        <x:v>1</x:v>
      </x:c>
      <x:c r="G212" t="n">
        <x:v>1</x:v>
      </x:c>
      <x:c r="H212" t="str">
        <x:v>equals</x:v>
      </x:c>
      <x:c r="I212" t="str">
        <x:v>RHP design authority</x:v>
      </x:c>
      <x:c r="J212" t="str">
        <x:f>IF(F212=G212,"PASS","GAP")</x:f>
        <x:v>PASS</x:v>
      </x:c>
    </x:row>
    <x:row r="213">
      <x:c r="B213" t="str">
        <x:v>PLN-207</x:v>
      </x:c>
      <x:c r="C213" t="str">
        <x:v>PLANNING</x:v>
      </x:c>
      <x:c r="D213" t="str">
        <x:v>controlled drawings</x:v>
      </x:c>
      <x:c r="E213" t="str">
        <x:v>Drawing Register · controlled drawings 33</x:v>
      </x:c>
      <x:c r="F213" t="n">
        <x:f>Controls!$D$76</x:f>
        <x:v>1</x:v>
      </x:c>
      <x:c r="G213" t="n">
        <x:v>1</x:v>
      </x:c>
      <x:c r="H213" t="str">
        <x:v>equals</x:v>
      </x:c>
      <x:c r="I213" t="str">
        <x:v>RHP design authority</x:v>
      </x:c>
      <x:c r="J213" t="str">
        <x:f>IF(F213=G213,"PASS","GAP")</x:f>
        <x:v>PASS</x:v>
      </x:c>
    </x:row>
    <x:row r="214">
      <x:c r="B214" t="str">
        <x:v>PLN-208</x:v>
      </x:c>
      <x:c r="C214" t="str">
        <x:v>PLANNING</x:v>
      </x:c>
      <x:c r="D214" t="str">
        <x:v>controlled drawings</x:v>
      </x:c>
      <x:c r="E214" t="str">
        <x:v>Drawing Register · controlled drawings 34</x:v>
      </x:c>
      <x:c r="F214" t="n">
        <x:f>Controls!$D$76</x:f>
        <x:v>1</x:v>
      </x:c>
      <x:c r="G214" t="n">
        <x:v>1</x:v>
      </x:c>
      <x:c r="H214" t="str">
        <x:v>equals</x:v>
      </x:c>
      <x:c r="I214" t="str">
        <x:v>RHP design authority</x:v>
      </x:c>
      <x:c r="J214" t="str">
        <x:f>IF(F214=G214,"PASS","GAP")</x:f>
        <x:v>PASS</x:v>
      </x:c>
    </x:row>
    <x:row r="215">
      <x:c r="B215" t="str">
        <x:v>PLN-209</x:v>
      </x:c>
      <x:c r="C215" t="str">
        <x:v>PLANNING</x:v>
      </x:c>
      <x:c r="D215" t="str">
        <x:v>controlled drawings</x:v>
      </x:c>
      <x:c r="E215" t="str">
        <x:v>Drawing Register · controlled drawings 35</x:v>
      </x:c>
      <x:c r="F215" t="n">
        <x:f>Controls!$D$76</x:f>
        <x:v>1</x:v>
      </x:c>
      <x:c r="G215" t="n">
        <x:v>1</x:v>
      </x:c>
      <x:c r="H215" t="str">
        <x:v>equals</x:v>
      </x:c>
      <x:c r="I215" t="str">
        <x:v>RHP design authority</x:v>
      </x:c>
      <x:c r="J215" t="str">
        <x:f>IF(F215=G215,"PASS","GAP")</x:f>
        <x:v>PASS</x:v>
      </x:c>
    </x:row>
    <x:row r="216">
      <x:c r="B216" t="str">
        <x:v>PLN-210</x:v>
      </x:c>
      <x:c r="C216" t="str">
        <x:v>PLANNING</x:v>
      </x:c>
      <x:c r="D216" t="str">
        <x:v>controlled drawings</x:v>
      </x:c>
      <x:c r="E216" t="str">
        <x:v>Drawing Register · controlled drawings 36</x:v>
      </x:c>
      <x:c r="F216" t="n">
        <x:f>Controls!$D$76</x:f>
        <x:v>1</x:v>
      </x:c>
      <x:c r="G216" t="n">
        <x:v>1</x:v>
      </x:c>
      <x:c r="H216" t="str">
        <x:v>equals</x:v>
      </x:c>
      <x:c r="I216" t="str">
        <x:v>RHP design authority</x:v>
      </x:c>
      <x:c r="J216" t="str">
        <x:f>IF(F216=G216,"PASS","GAP")</x:f>
        <x:v>PASS</x:v>
      </x:c>
    </x:row>
    <x:row r="217">
      <x:c r="B217" t="str">
        <x:v>PLN-211</x:v>
      </x:c>
      <x:c r="C217" t="str">
        <x:v>PLANNING</x:v>
      </x:c>
      <x:c r="D217" t="str">
        <x:v>controlled drawings</x:v>
      </x:c>
      <x:c r="E217" t="str">
        <x:v>Drawing Register · controlled drawings 37</x:v>
      </x:c>
      <x:c r="F217" t="n">
        <x:f>Controls!$D$76</x:f>
        <x:v>1</x:v>
      </x:c>
      <x:c r="G217" t="n">
        <x:v>1</x:v>
      </x:c>
      <x:c r="H217" t="str">
        <x:v>equals</x:v>
      </x:c>
      <x:c r="I217" t="str">
        <x:v>RHP design authority</x:v>
      </x:c>
      <x:c r="J217" t="str">
        <x:f>IF(F217=G217,"PASS","GAP")</x:f>
        <x:v>PASS</x:v>
      </x:c>
    </x:row>
    <x:row r="218">
      <x:c r="B218" t="str">
        <x:v>PLN-212</x:v>
      </x:c>
      <x:c r="C218" t="str">
        <x:v>PLANNING</x:v>
      </x:c>
      <x:c r="D218" t="str">
        <x:v>controlled drawings</x:v>
      </x:c>
      <x:c r="E218" t="str">
        <x:v>Drawing Register · controlled drawings 38</x:v>
      </x:c>
      <x:c r="F218" t="n">
        <x:f>Controls!$D$76</x:f>
        <x:v>1</x:v>
      </x:c>
      <x:c r="G218" t="n">
        <x:v>1</x:v>
      </x:c>
      <x:c r="H218" t="str">
        <x:v>equals</x:v>
      </x:c>
      <x:c r="I218" t="str">
        <x:v>RHP design authority</x:v>
      </x:c>
      <x:c r="J218" t="str">
        <x:f>IF(F218=G218,"PASS","GAP")</x:f>
        <x:v>PASS</x:v>
      </x:c>
    </x:row>
    <x:row r="219">
      <x:c r="B219" t="str">
        <x:v>PLN-213</x:v>
      </x:c>
      <x:c r="C219" t="str">
        <x:v>PLANNING</x:v>
      </x:c>
      <x:c r="D219" t="str">
        <x:v>controlled drawings</x:v>
      </x:c>
      <x:c r="E219" t="str">
        <x:v>Drawing Register · controlled drawings 39</x:v>
      </x:c>
      <x:c r="F219" t="n">
        <x:f>Controls!$D$76</x:f>
        <x:v>1</x:v>
      </x:c>
      <x:c r="G219" t="n">
        <x:v>1</x:v>
      </x:c>
      <x:c r="H219" t="str">
        <x:v>equals</x:v>
      </x:c>
      <x:c r="I219" t="str">
        <x:v>RHP design authority</x:v>
      </x:c>
      <x:c r="J219" t="str">
        <x:f>IF(F219=G219,"PASS","GAP")</x:f>
        <x:v>PASS</x:v>
      </x:c>
    </x:row>
    <x:row r="220">
      <x:c r="B220" t="str">
        <x:v>PLN-214</x:v>
      </x:c>
      <x:c r="C220" t="str">
        <x:v>PLANNING</x:v>
      </x:c>
      <x:c r="D220" t="str">
        <x:v>controlled drawings</x:v>
      </x:c>
      <x:c r="E220" t="str">
        <x:v>Drawing Register · controlled drawings 40</x:v>
      </x:c>
      <x:c r="F220" t="n">
        <x:f>Controls!$D$76</x:f>
        <x:v>1</x:v>
      </x:c>
      <x:c r="G220" t="n">
        <x:v>1</x:v>
      </x:c>
      <x:c r="H220" t="str">
        <x:v>equals</x:v>
      </x:c>
      <x:c r="I220" t="str">
        <x:v>RHP design authority</x:v>
      </x:c>
      <x:c r="J220" t="str">
        <x:f>IF(F220=G220,"PASS","GAP")</x:f>
        <x:v>PASS</x:v>
      </x:c>
    </x:row>
    <x:row r="221">
      <x:c r="B221" t="str">
        <x:v>PLN-215</x:v>
      </x:c>
      <x:c r="C221" t="str">
        <x:v>PLANNING</x:v>
      </x:c>
      <x:c r="D221" t="str">
        <x:v>controlled drawings</x:v>
      </x:c>
      <x:c r="E221" t="str">
        <x:v>Drawing Register · controlled drawings 41</x:v>
      </x:c>
      <x:c r="F221" t="n">
        <x:f>Controls!$D$76</x:f>
        <x:v>1</x:v>
      </x:c>
      <x:c r="G221" t="n">
        <x:v>1</x:v>
      </x:c>
      <x:c r="H221" t="str">
        <x:v>equals</x:v>
      </x:c>
      <x:c r="I221" t="str">
        <x:v>RHP design authority</x:v>
      </x:c>
      <x:c r="J221" t="str">
        <x:f>IF(F221=G221,"PASS","GAP")</x:f>
        <x:v>PASS</x:v>
      </x:c>
    </x:row>
    <x:row r="222">
      <x:c r="B222" t="str">
        <x:v>PLN-216</x:v>
      </x:c>
      <x:c r="C222" t="str">
        <x:v>PLANNING</x:v>
      </x:c>
      <x:c r="D222" t="str">
        <x:v>controlled drawings</x:v>
      </x:c>
      <x:c r="E222" t="str">
        <x:v>Drawing Register · controlled drawings 42</x:v>
      </x:c>
      <x:c r="F222" t="n">
        <x:f>Controls!$D$76</x:f>
        <x:v>1</x:v>
      </x:c>
      <x:c r="G222" t="n">
        <x:v>1</x:v>
      </x:c>
      <x:c r="H222" t="str">
        <x:v>equals</x:v>
      </x:c>
      <x:c r="I222" t="str">
        <x:v>RHP design authority</x:v>
      </x:c>
      <x:c r="J222" t="str">
        <x:f>IF(F222=G222,"PASS","GAP")</x:f>
        <x:v>PASS</x:v>
      </x:c>
    </x:row>
    <x:row r="223">
      <x:c r="B223" t="str">
        <x:v>PLN-217</x:v>
      </x:c>
      <x:c r="C223" t="str">
        <x:v>PLANNING</x:v>
      </x:c>
      <x:c r="D223" t="str">
        <x:v>controlled drawings</x:v>
      </x:c>
      <x:c r="E223" t="str">
        <x:v>Drawing Register · controlled drawings 43</x:v>
      </x:c>
      <x:c r="F223" t="n">
        <x:f>Controls!$D$76</x:f>
        <x:v>1</x:v>
      </x:c>
      <x:c r="G223" t="n">
        <x:v>1</x:v>
      </x:c>
      <x:c r="H223" t="str">
        <x:v>equals</x:v>
      </x:c>
      <x:c r="I223" t="str">
        <x:v>RHP design authority</x:v>
      </x:c>
      <x:c r="J223" t="str">
        <x:f>IF(F223=G223,"PASS","GAP")</x:f>
        <x:v>PASS</x:v>
      </x:c>
    </x:row>
    <x:row r="224">
      <x:c r="B224" t="str">
        <x:v>PLN-218</x:v>
      </x:c>
      <x:c r="C224" t="str">
        <x:v>PLANNING</x:v>
      </x:c>
      <x:c r="D224" t="str">
        <x:v>controlled drawings</x:v>
      </x:c>
      <x:c r="E224" t="str">
        <x:v>Drawing Register · controlled drawings 44</x:v>
      </x:c>
      <x:c r="F224" t="n">
        <x:f>Controls!$D$76</x:f>
        <x:v>1</x:v>
      </x:c>
      <x:c r="G224" t="n">
        <x:v>1</x:v>
      </x:c>
      <x:c r="H224" t="str">
        <x:v>equals</x:v>
      </x:c>
      <x:c r="I224" t="str">
        <x:v>RHP design authority</x:v>
      </x:c>
      <x:c r="J224" t="str">
        <x:f>IF(F224=G224,"PASS","GAP")</x:f>
        <x:v>PASS</x:v>
      </x:c>
    </x:row>
    <x:row r="225">
      <x:c r="B225" t="str">
        <x:v>PLN-219</x:v>
      </x:c>
      <x:c r="C225" t="str">
        <x:v>PLANNING</x:v>
      </x:c>
      <x:c r="D225" t="str">
        <x:v>controlled drawings</x:v>
      </x:c>
      <x:c r="E225" t="str">
        <x:v>Drawing Register · controlled drawings 45</x:v>
      </x:c>
      <x:c r="F225" t="n">
        <x:f>Controls!$D$76</x:f>
        <x:v>1</x:v>
      </x:c>
      <x:c r="G225" t="n">
        <x:v>1</x:v>
      </x:c>
      <x:c r="H225" t="str">
        <x:v>equals</x:v>
      </x:c>
      <x:c r="I225" t="str">
        <x:v>RHP design authority</x:v>
      </x:c>
      <x:c r="J225" t="str">
        <x:f>IF(F225=G225,"PASS","GAP")</x:f>
        <x:v>PASS</x:v>
      </x:c>
    </x:row>
    <x:row r="226">
      <x:c r="B226" t="str">
        <x:v>PLN-220</x:v>
      </x:c>
      <x:c r="C226" t="str">
        <x:v>PLANNING</x:v>
      </x:c>
      <x:c r="D226" t="str">
        <x:v>controlled drawings</x:v>
      </x:c>
      <x:c r="E226" t="str">
        <x:v>Drawing Register · controlled drawings 46</x:v>
      </x:c>
      <x:c r="F226" t="n">
        <x:f>Controls!$D$76</x:f>
        <x:v>1</x:v>
      </x:c>
      <x:c r="G226" t="n">
        <x:v>1</x:v>
      </x:c>
      <x:c r="H226" t="str">
        <x:v>equals</x:v>
      </x:c>
      <x:c r="I226" t="str">
        <x:v>RHP design authority</x:v>
      </x:c>
      <x:c r="J226" t="str">
        <x:f>IF(F226=G226,"PASS","GAP")</x:f>
        <x:v>PASS</x:v>
      </x:c>
    </x:row>
    <x:row r="227">
      <x:c r="B227" t="str">
        <x:v>PLN-221</x:v>
      </x:c>
      <x:c r="C227" t="str">
        <x:v>PLANNING</x:v>
      </x:c>
      <x:c r="D227" t="str">
        <x:v>controlled drawings</x:v>
      </x:c>
      <x:c r="E227" t="str">
        <x:v>Drawing Register · controlled drawings 47</x:v>
      </x:c>
      <x:c r="F227" t="n">
        <x:f>Controls!$D$76</x:f>
        <x:v>1</x:v>
      </x:c>
      <x:c r="G227" t="n">
        <x:v>1</x:v>
      </x:c>
      <x:c r="H227" t="str">
        <x:v>equals</x:v>
      </x:c>
      <x:c r="I227" t="str">
        <x:v>RHP design authority</x:v>
      </x:c>
      <x:c r="J227" t="str">
        <x:f>IF(F227=G227,"PASS","GAP")</x:f>
        <x:v>PASS</x:v>
      </x:c>
    </x:row>
    <x:row r="228">
      <x:c r="B228" t="str">
        <x:v>PLN-222</x:v>
      </x:c>
      <x:c r="C228" t="str">
        <x:v>PLANNING</x:v>
      </x:c>
      <x:c r="D228" t="str">
        <x:v>controlled drawings</x:v>
      </x:c>
      <x:c r="E228" t="str">
        <x:v>Drawing Register · controlled drawings 48</x:v>
      </x:c>
      <x:c r="F228" t="n">
        <x:f>Controls!$D$76</x:f>
        <x:v>1</x:v>
      </x:c>
      <x:c r="G228" t="n">
        <x:v>1</x:v>
      </x:c>
      <x:c r="H228" t="str">
        <x:v>equals</x:v>
      </x:c>
      <x:c r="I228" t="str">
        <x:v>RHP design authority</x:v>
      </x:c>
      <x:c r="J228" t="str">
        <x:f>IF(F228=G228,"PASS","GAP")</x:f>
        <x:v>PASS</x:v>
      </x:c>
    </x:row>
    <x:row r="229">
      <x:c r="B229" t="str">
        <x:v>PLN-223</x:v>
      </x:c>
      <x:c r="C229" t="str">
        <x:v>PLANNING</x:v>
      </x:c>
      <x:c r="D229" t="str">
        <x:v>controlled drawings</x:v>
      </x:c>
      <x:c r="E229" t="str">
        <x:v>Drawing Register · controlled drawings 49</x:v>
      </x:c>
      <x:c r="F229" t="n">
        <x:f>Controls!$D$76</x:f>
        <x:v>1</x:v>
      </x:c>
      <x:c r="G229" t="n">
        <x:v>1</x:v>
      </x:c>
      <x:c r="H229" t="str">
        <x:v>equals</x:v>
      </x:c>
      <x:c r="I229" t="str">
        <x:v>RHP design authority</x:v>
      </x:c>
      <x:c r="J229" t="str">
        <x:f>IF(F229=G229,"PASS","GAP")</x:f>
        <x:v>PASS</x:v>
      </x:c>
    </x:row>
    <x:row r="230">
      <x:c r="B230" t="str">
        <x:v>PLN-224</x:v>
      </x:c>
      <x:c r="C230" t="str">
        <x:v>PLANNING</x:v>
      </x:c>
      <x:c r="D230" t="str">
        <x:v>controlled drawings</x:v>
      </x:c>
      <x:c r="E230" t="str">
        <x:v>Drawing Register · controlled drawings 50</x:v>
      </x:c>
      <x:c r="F230" t="n">
        <x:f>Controls!$D$76</x:f>
        <x:v>1</x:v>
      </x:c>
      <x:c r="G230" t="n">
        <x:v>1</x:v>
      </x:c>
      <x:c r="H230" t="str">
        <x:v>equals</x:v>
      </x:c>
      <x:c r="I230" t="str">
        <x:v>RHP design authority</x:v>
      </x:c>
      <x:c r="J230" t="str">
        <x:f>IF(F230=G230,"PASS","GAP")</x:f>
        <x:v>PASS</x:v>
      </x:c>
    </x:row>
    <x:row r="231">
      <x:c r="B231" t="str">
        <x:v>PLN-225</x:v>
      </x:c>
      <x:c r="C231" t="str">
        <x:v>PLANNING</x:v>
      </x:c>
      <x:c r="D231" t="str">
        <x:v>controlled drawings</x:v>
      </x:c>
      <x:c r="E231" t="str">
        <x:v>Drawing Register · controlled drawings 51</x:v>
      </x:c>
      <x:c r="F231" t="n">
        <x:f>Controls!$D$76</x:f>
        <x:v>1</x:v>
      </x:c>
      <x:c r="G231" t="n">
        <x:v>1</x:v>
      </x:c>
      <x:c r="H231" t="str">
        <x:v>equals</x:v>
      </x:c>
      <x:c r="I231" t="str">
        <x:v>RHP design authority</x:v>
      </x:c>
      <x:c r="J231" t="str">
        <x:f>IF(F231=G231,"PASS","GAP")</x:f>
        <x:v>PASS</x:v>
      </x:c>
    </x:row>
    <x:row r="232">
      <x:c r="B232" t="str">
        <x:v>PLN-226</x:v>
      </x:c>
      <x:c r="C232" t="str">
        <x:v>PLANNING</x:v>
      </x:c>
      <x:c r="D232" t="str">
        <x:v>controlled drawings</x:v>
      </x:c>
      <x:c r="E232" t="str">
        <x:v>Drawing Register · controlled drawings 52</x:v>
      </x:c>
      <x:c r="F232" t="n">
        <x:f>Controls!$D$76</x:f>
        <x:v>1</x:v>
      </x:c>
      <x:c r="G232" t="n">
        <x:v>1</x:v>
      </x:c>
      <x:c r="H232" t="str">
        <x:v>equals</x:v>
      </x:c>
      <x:c r="I232" t="str">
        <x:v>RHP design authority</x:v>
      </x:c>
      <x:c r="J232" t="str">
        <x:f>IF(F232=G232,"PASS","GAP")</x:f>
        <x:v>PASS</x:v>
      </x:c>
    </x:row>
    <x:row r="233">
      <x:c r="B233" t="str">
        <x:v>PLN-227</x:v>
      </x:c>
      <x:c r="C233" t="str">
        <x:v>PLANNING</x:v>
      </x:c>
      <x:c r="D233" t="str">
        <x:v>controlled drawings</x:v>
      </x:c>
      <x:c r="E233" t="str">
        <x:v>Drawing Register · controlled drawings 53</x:v>
      </x:c>
      <x:c r="F233" t="n">
        <x:f>Controls!$D$76</x:f>
        <x:v>1</x:v>
      </x:c>
      <x:c r="G233" t="n">
        <x:v>1</x:v>
      </x:c>
      <x:c r="H233" t="str">
        <x:v>equals</x:v>
      </x:c>
      <x:c r="I233" t="str">
        <x:v>RHP design authority</x:v>
      </x:c>
      <x:c r="J233" t="str">
        <x:f>IF(F233=G233,"PASS","GAP")</x:f>
        <x:v>PASS</x:v>
      </x:c>
    </x:row>
    <x:row r="234">
      <x:c r="B234" t="str">
        <x:v>PLN-228</x:v>
      </x:c>
      <x:c r="C234" t="str">
        <x:v>PLANNING</x:v>
      </x:c>
      <x:c r="D234" t="str">
        <x:v>controlled drawings</x:v>
      </x:c>
      <x:c r="E234" t="str">
        <x:v>Drawing Register · controlled drawings 54</x:v>
      </x:c>
      <x:c r="F234" t="n">
        <x:f>Controls!$D$76</x:f>
        <x:v>1</x:v>
      </x:c>
      <x:c r="G234" t="n">
        <x:v>1</x:v>
      </x:c>
      <x:c r="H234" t="str">
        <x:v>equals</x:v>
      </x:c>
      <x:c r="I234" t="str">
        <x:v>RHP design authority</x:v>
      </x:c>
      <x:c r="J234" t="str">
        <x:f>IF(F234=G234,"PASS","GAP")</x:f>
        <x:v>PASS</x:v>
      </x:c>
    </x:row>
    <x:row r="235">
      <x:c r="B235" t="str">
        <x:v>PLN-229</x:v>
      </x:c>
      <x:c r="C235" t="str">
        <x:v>PLANNING</x:v>
      </x:c>
      <x:c r="D235" t="str">
        <x:v>controlled drawings</x:v>
      </x:c>
      <x:c r="E235" t="str">
        <x:v>Drawing Register · controlled drawings 55</x:v>
      </x:c>
      <x:c r="F235" t="n">
        <x:f>Controls!$D$76</x:f>
        <x:v>1</x:v>
      </x:c>
      <x:c r="G235" t="n">
        <x:v>1</x:v>
      </x:c>
      <x:c r="H235" t="str">
        <x:v>equals</x:v>
      </x:c>
      <x:c r="I235" t="str">
        <x:v>RHP design authority</x:v>
      </x:c>
      <x:c r="J235" t="str">
        <x:f>IF(F235=G235,"PASS","GAP")</x:f>
        <x:v>PASS</x:v>
      </x:c>
    </x:row>
    <x:row r="236">
      <x:c r="B236" t="str">
        <x:v>PLN-230</x:v>
      </x:c>
      <x:c r="C236" t="str">
        <x:v>PLANNING</x:v>
      </x:c>
      <x:c r="D236" t="str">
        <x:v>controlled drawings</x:v>
      </x:c>
      <x:c r="E236" t="str">
        <x:v>Drawing Register · controlled drawings 56</x:v>
      </x:c>
      <x:c r="F236" t="n">
        <x:f>Controls!$D$76</x:f>
        <x:v>1</x:v>
      </x:c>
      <x:c r="G236" t="n">
        <x:v>1</x:v>
      </x:c>
      <x:c r="H236" t="str">
        <x:v>equals</x:v>
      </x:c>
      <x:c r="I236" t="str">
        <x:v>RHP design authority</x:v>
      </x:c>
      <x:c r="J236" t="str">
        <x:f>IF(F236=G236,"PASS","GAP")</x:f>
        <x:v>PASS</x:v>
      </x:c>
    </x:row>
    <x:row r="237">
      <x:c r="B237" t="str">
        <x:v>PLN-231</x:v>
      </x:c>
      <x:c r="C237" t="str">
        <x:v>PLANNING</x:v>
      </x:c>
      <x:c r="D237" t="str">
        <x:v>controlled drawings</x:v>
      </x:c>
      <x:c r="E237" t="str">
        <x:v>Drawing Register · controlled drawings 57</x:v>
      </x:c>
      <x:c r="F237" t="n">
        <x:f>Controls!$D$76</x:f>
        <x:v>1</x:v>
      </x:c>
      <x:c r="G237" t="n">
        <x:v>1</x:v>
      </x:c>
      <x:c r="H237" t="str">
        <x:v>equals</x:v>
      </x:c>
      <x:c r="I237" t="str">
        <x:v>RHP design authority</x:v>
      </x:c>
      <x:c r="J237" t="str">
        <x:f>IF(F237=G237,"PASS","GAP")</x:f>
        <x:v>PASS</x:v>
      </x:c>
    </x:row>
    <x:row r="238">
      <x:c r="B238" t="str">
        <x:v>PLN-232</x:v>
      </x:c>
      <x:c r="C238" t="str">
        <x:v>PLANNING</x:v>
      </x:c>
      <x:c r="D238" t="str">
        <x:v>controlled drawings</x:v>
      </x:c>
      <x:c r="E238" t="str">
        <x:v>Drawing Register · controlled drawings 58</x:v>
      </x:c>
      <x:c r="F238" t="n">
        <x:f>Controls!$D$76</x:f>
        <x:v>1</x:v>
      </x:c>
      <x:c r="G238" t="n">
        <x:v>1</x:v>
      </x:c>
      <x:c r="H238" t="str">
        <x:v>equals</x:v>
      </x:c>
      <x:c r="I238" t="str">
        <x:v>RHP design authority</x:v>
      </x:c>
      <x:c r="J238" t="str">
        <x:f>IF(F238=G238,"PASS","GAP")</x:f>
        <x:v>PASS</x:v>
      </x:c>
    </x:row>
    <x:row r="239">
      <x:c r="B239" t="str">
        <x:v>PLN-233</x:v>
      </x:c>
      <x:c r="C239" t="str">
        <x:v>PLANNING</x:v>
      </x:c>
      <x:c r="D239" t="str">
        <x:v>controlled drawings</x:v>
      </x:c>
      <x:c r="E239" t="str">
        <x:v>Drawing Register · controlled drawings 59</x:v>
      </x:c>
      <x:c r="F239" t="n">
        <x:f>Controls!$D$76</x:f>
        <x:v>1</x:v>
      </x:c>
      <x:c r="G239" t="n">
        <x:v>1</x:v>
      </x:c>
      <x:c r="H239" t="str">
        <x:v>equals</x:v>
      </x:c>
      <x:c r="I239" t="str">
        <x:v>RHP design authority</x:v>
      </x:c>
      <x:c r="J239" t="str">
        <x:f>IF(F239=G239,"PASS","GAP")</x:f>
        <x:v>PASS</x:v>
      </x:c>
    </x:row>
    <x:row r="240">
      <x:c r="B240" t="str">
        <x:v>PLN-234</x:v>
      </x:c>
      <x:c r="C240" t="str">
        <x:v>PLANNING</x:v>
      </x:c>
      <x:c r="D240" t="str">
        <x:v>controlled drawings</x:v>
      </x:c>
      <x:c r="E240" t="str">
        <x:v>Drawing Register · controlled drawings 60</x:v>
      </x:c>
      <x:c r="F240" t="n">
        <x:f>Controls!$D$76</x:f>
        <x:v>1</x:v>
      </x:c>
      <x:c r="G240" t="n">
        <x:v>1</x:v>
      </x:c>
      <x:c r="H240" t="str">
        <x:v>equals</x:v>
      </x:c>
      <x:c r="I240" t="str">
        <x:v>RHP design authority</x:v>
      </x:c>
      <x:c r="J240" t="str">
        <x:f>IF(F240=G240,"PASS","GAP")</x:f>
        <x:v>PASS</x:v>
      </x:c>
    </x:row>
    <x:row r="241">
      <x:c r="B241" t="str">
        <x:v>PLN-235</x:v>
      </x:c>
      <x:c r="C241" t="str">
        <x:v>PLANNING</x:v>
      </x:c>
      <x:c r="D241" t="str">
        <x:v>controlled drawings</x:v>
      </x:c>
      <x:c r="E241" t="str">
        <x:v>Drawing Register · controlled drawings 61</x:v>
      </x:c>
      <x:c r="F241" t="n">
        <x:f>Controls!$D$76</x:f>
        <x:v>1</x:v>
      </x:c>
      <x:c r="G241" t="n">
        <x:v>1</x:v>
      </x:c>
      <x:c r="H241" t="str">
        <x:v>equals</x:v>
      </x:c>
      <x:c r="I241" t="str">
        <x:v>RHP design authority</x:v>
      </x:c>
      <x:c r="J241" t="str">
        <x:f>IF(F241=G241,"PASS","GAP")</x:f>
        <x:v>PASS</x:v>
      </x:c>
    </x:row>
    <x:row r="242">
      <x:c r="B242" t="str">
        <x:v>PLN-236</x:v>
      </x:c>
      <x:c r="C242" t="str">
        <x:v>PLANNING</x:v>
      </x:c>
      <x:c r="D242" t="str">
        <x:v>controlled drawings</x:v>
      </x:c>
      <x:c r="E242" t="str">
        <x:v>Drawing Register · controlled drawings 62</x:v>
      </x:c>
      <x:c r="F242" t="n">
        <x:f>Controls!$D$76</x:f>
        <x:v>1</x:v>
      </x:c>
      <x:c r="G242" t="n">
        <x:v>1</x:v>
      </x:c>
      <x:c r="H242" t="str">
        <x:v>equals</x:v>
      </x:c>
      <x:c r="I242" t="str">
        <x:v>RHP design authority</x:v>
      </x:c>
      <x:c r="J242" t="str">
        <x:f>IF(F242=G242,"PASS","GAP")</x:f>
        <x:v>PASS</x:v>
      </x:c>
    </x:row>
    <x:row r="243">
      <x:c r="B243" t="str">
        <x:v>PLN-237</x:v>
      </x:c>
      <x:c r="C243" t="str">
        <x:v>PLANNING</x:v>
      </x:c>
      <x:c r="D243" t="str">
        <x:v>controlled drawings</x:v>
      </x:c>
      <x:c r="E243" t="str">
        <x:v>Drawing Register · controlled drawings 63</x:v>
      </x:c>
      <x:c r="F243" t="n">
        <x:f>Controls!$D$76</x:f>
        <x:v>1</x:v>
      </x:c>
      <x:c r="G243" t="n">
        <x:v>1</x:v>
      </x:c>
      <x:c r="H243" t="str">
        <x:v>equals</x:v>
      </x:c>
      <x:c r="I243" t="str">
        <x:v>RHP design authority</x:v>
      </x:c>
      <x:c r="J243" t="str">
        <x:f>IF(F243=G243,"PASS","GAP")</x:f>
        <x:v>PASS</x:v>
      </x:c>
    </x:row>
    <x:row r="244">
      <x:c r="B244" t="str">
        <x:v>PLN-238</x:v>
      </x:c>
      <x:c r="C244" t="str">
        <x:v>PLANNING</x:v>
      </x:c>
      <x:c r="D244" t="str">
        <x:v>controlled drawings</x:v>
      </x:c>
      <x:c r="E244" t="str">
        <x:v>Drawing Register · controlled drawings 64</x:v>
      </x:c>
      <x:c r="F244" t="n">
        <x:f>Controls!$D$76</x:f>
        <x:v>1</x:v>
      </x:c>
      <x:c r="G244" t="n">
        <x:v>1</x:v>
      </x:c>
      <x:c r="H244" t="str">
        <x:v>equals</x:v>
      </x:c>
      <x:c r="I244" t="str">
        <x:v>RHP design authority</x:v>
      </x:c>
      <x:c r="J244" t="str">
        <x:f>IF(F244=G244,"PASS","GAP")</x:f>
        <x:v>PASS</x:v>
      </x:c>
    </x:row>
    <x:row r="245">
      <x:c r="B245" t="str">
        <x:v>PLN-239</x:v>
      </x:c>
      <x:c r="C245" t="str">
        <x:v>PLANNING</x:v>
      </x:c>
      <x:c r="D245" t="str">
        <x:v>controlled drawings</x:v>
      </x:c>
      <x:c r="E245" t="str">
        <x:v>Drawing Register · controlled drawings 65</x:v>
      </x:c>
      <x:c r="F245" t="n">
        <x:f>Controls!$D$76</x:f>
        <x:v>1</x:v>
      </x:c>
      <x:c r="G245" t="n">
        <x:v>1</x:v>
      </x:c>
      <x:c r="H245" t="str">
        <x:v>equals</x:v>
      </x:c>
      <x:c r="I245" t="str">
        <x:v>RHP design authority</x:v>
      </x:c>
      <x:c r="J245" t="str">
        <x:f>IF(F245=G245,"PASS","GAP")</x:f>
        <x:v>PASS</x:v>
      </x:c>
    </x:row>
    <x:row r="246">
      <x:c r="B246" t="str">
        <x:v>PLN-240</x:v>
      </x:c>
      <x:c r="C246" t="str">
        <x:v>PLANNING</x:v>
      </x:c>
      <x:c r="D246" t="str">
        <x:v>controlled drawings</x:v>
      </x:c>
      <x:c r="E246" t="str">
        <x:v>Drawing Register · controlled drawings 66</x:v>
      </x:c>
      <x:c r="F246" t="n">
        <x:f>Controls!$D$76</x:f>
        <x:v>1</x:v>
      </x:c>
      <x:c r="G246" t="n">
        <x:v>1</x:v>
      </x:c>
      <x:c r="H246" t="str">
        <x:v>equals</x:v>
      </x:c>
      <x:c r="I246" t="str">
        <x:v>RHP design authority</x:v>
      </x:c>
      <x:c r="J246" t="str">
        <x:f>IF(F246=G246,"PASS","GAP")</x:f>
        <x:v>PASS</x:v>
      </x:c>
    </x:row>
    <x:row r="247">
      <x:c r="B247" t="str">
        <x:v>PLN-241</x:v>
      </x:c>
      <x:c r="C247" t="str">
        <x:v>PLANNING</x:v>
      </x:c>
      <x:c r="D247" t="str">
        <x:v>controlled drawings</x:v>
      </x:c>
      <x:c r="E247" t="str">
        <x:v>Drawing Register · controlled drawings 67</x:v>
      </x:c>
      <x:c r="F247" t="n">
        <x:f>Controls!$D$76</x:f>
        <x:v>1</x:v>
      </x:c>
      <x:c r="G247" t="n">
        <x:v>1</x:v>
      </x:c>
      <x:c r="H247" t="str">
        <x:v>equals</x:v>
      </x:c>
      <x:c r="I247" t="str">
        <x:v>RHP design authority</x:v>
      </x:c>
      <x:c r="J247" t="str">
        <x:f>IF(F247=G247,"PASS","GAP")</x:f>
        <x:v>PASS</x:v>
      </x:c>
    </x:row>
    <x:row r="248">
      <x:c r="B248" t="str">
        <x:v>PLN-242</x:v>
      </x:c>
      <x:c r="C248" t="str">
        <x:v>PLANNING</x:v>
      </x:c>
      <x:c r="D248" t="str">
        <x:v>controlled drawings</x:v>
      </x:c>
      <x:c r="E248" t="str">
        <x:v>Drawing Register · controlled drawings 68</x:v>
      </x:c>
      <x:c r="F248" t="n">
        <x:f>Controls!$D$76</x:f>
        <x:v>1</x:v>
      </x:c>
      <x:c r="G248" t="n">
        <x:v>1</x:v>
      </x:c>
      <x:c r="H248" t="str">
        <x:v>equals</x:v>
      </x:c>
      <x:c r="I248" t="str">
        <x:v>RHP design authority</x:v>
      </x:c>
      <x:c r="J248" t="str">
        <x:f>IF(F248=G248,"PASS","GAP")</x:f>
        <x:v>PASS</x:v>
      </x:c>
    </x:row>
    <x:row r="249">
      <x:c r="B249" t="str">
        <x:v>PLN-243</x:v>
      </x:c>
      <x:c r="C249" t="str">
        <x:v>PLANNING</x:v>
      </x:c>
      <x:c r="D249" t="str">
        <x:v>controlled drawings</x:v>
      </x:c>
      <x:c r="E249" t="str">
        <x:v>Drawing Register · controlled drawings 69</x:v>
      </x:c>
      <x:c r="F249" t="n">
        <x:f>Controls!$D$76</x:f>
        <x:v>1</x:v>
      </x:c>
      <x:c r="G249" t="n">
        <x:v>1</x:v>
      </x:c>
      <x:c r="H249" t="str">
        <x:v>equals</x:v>
      </x:c>
      <x:c r="I249" t="str">
        <x:v>RHP design authority</x:v>
      </x:c>
      <x:c r="J249" t="str">
        <x:f>IF(F249=G249,"PASS","GAP")</x:f>
        <x:v>PASS</x:v>
      </x:c>
    </x:row>
    <x:row r="250">
      <x:c r="B250" t="str">
        <x:v>PLN-244</x:v>
      </x:c>
      <x:c r="C250" t="str">
        <x:v>PLANNING</x:v>
      </x:c>
      <x:c r="D250" t="str">
        <x:v>controlled drawings</x:v>
      </x:c>
      <x:c r="E250" t="str">
        <x:v>Drawing Register · controlled drawings 70</x:v>
      </x:c>
      <x:c r="F250" t="n">
        <x:f>Controls!$D$76</x:f>
        <x:v>1</x:v>
      </x:c>
      <x:c r="G250" t="n">
        <x:v>1</x:v>
      </x:c>
      <x:c r="H250" t="str">
        <x:v>equals</x:v>
      </x:c>
      <x:c r="I250" t="str">
        <x:v>RHP design authority</x:v>
      </x:c>
      <x:c r="J250" t="str">
        <x:f>IF(F250=G250,"PASS","GAP")</x:f>
        <x:v>PASS</x:v>
      </x:c>
    </x:row>
    <x:row r="251">
      <x:c r="B251" t="str">
        <x:v>PLN-245</x:v>
      </x:c>
      <x:c r="C251" t="str">
        <x:v>PLANNING</x:v>
      </x:c>
      <x:c r="D251" t="str">
        <x:v>controlled drawings</x:v>
      </x:c>
      <x:c r="E251" t="str">
        <x:v>Drawing Register · controlled drawings 71</x:v>
      </x:c>
      <x:c r="F251" t="n">
        <x:f>Controls!$D$76</x:f>
        <x:v>1</x:v>
      </x:c>
      <x:c r="G251" t="n">
        <x:v>1</x:v>
      </x:c>
      <x:c r="H251" t="str">
        <x:v>equals</x:v>
      </x:c>
      <x:c r="I251" t="str">
        <x:v>RHP design authority</x:v>
      </x:c>
      <x:c r="J251" t="str">
        <x:f>IF(F251=G251,"PASS","GAP")</x:f>
        <x:v>PASS</x:v>
      </x:c>
    </x:row>
    <x:row r="252">
      <x:c r="B252" t="str">
        <x:v>PLN-246</x:v>
      </x:c>
      <x:c r="C252" t="str">
        <x:v>PLANNING</x:v>
      </x:c>
      <x:c r="D252" t="str">
        <x:v>controlled drawings</x:v>
      </x:c>
      <x:c r="E252" t="str">
        <x:v>Drawing Register · controlled drawings 72</x:v>
      </x:c>
      <x:c r="F252" t="n">
        <x:f>Controls!$D$76</x:f>
        <x:v>1</x:v>
      </x:c>
      <x:c r="G252" t="n">
        <x:v>1</x:v>
      </x:c>
      <x:c r="H252" t="str">
        <x:v>equals</x:v>
      </x:c>
      <x:c r="I252" t="str">
        <x:v>RHP design authority</x:v>
      </x:c>
      <x:c r="J252" t="str">
        <x:f>IF(F252=G252,"PASS","GAP")</x:f>
        <x:v>PASS</x:v>
      </x:c>
    </x:row>
    <x:row r="253">
      <x:c r="B253" t="str">
        <x:v>PLN-247</x:v>
      </x:c>
      <x:c r="C253" t="str">
        <x:v>PLANNING</x:v>
      </x:c>
      <x:c r="D253" t="str">
        <x:v>interface controls</x:v>
      </x:c>
      <x:c r="E253" t="str">
        <x:v>Interface Register · interface controls 1</x:v>
      </x:c>
      <x:c r="F253" t="n">
        <x:f>Controls!$D$76</x:f>
        <x:v>1</x:v>
      </x:c>
      <x:c r="G253" t="n">
        <x:v>1</x:v>
      </x:c>
      <x:c r="H253" t="str">
        <x:v>equals</x:v>
      </x:c>
      <x:c r="I253" t="str">
        <x:v>RHP design authority</x:v>
      </x:c>
      <x:c r="J253" t="str">
        <x:f>IF(F253=G253,"PASS","GAP")</x:f>
        <x:v>PASS</x:v>
      </x:c>
    </x:row>
    <x:row r="254">
      <x:c r="B254" t="str">
        <x:v>PLN-248</x:v>
      </x:c>
      <x:c r="C254" t="str">
        <x:v>PLANNING</x:v>
      </x:c>
      <x:c r="D254" t="str">
        <x:v>interface controls</x:v>
      </x:c>
      <x:c r="E254" t="str">
        <x:v>Interface Register · interface controls 2</x:v>
      </x:c>
      <x:c r="F254" t="n">
        <x:f>Controls!$D$76</x:f>
        <x:v>1</x:v>
      </x:c>
      <x:c r="G254" t="n">
        <x:v>1</x:v>
      </x:c>
      <x:c r="H254" t="str">
        <x:v>equals</x:v>
      </x:c>
      <x:c r="I254" t="str">
        <x:v>RHP design authority</x:v>
      </x:c>
      <x:c r="J254" t="str">
        <x:f>IF(F254=G254,"PASS","GAP")</x:f>
        <x:v>PASS</x:v>
      </x:c>
    </x:row>
    <x:row r="255">
      <x:c r="B255" t="str">
        <x:v>PLN-249</x:v>
      </x:c>
      <x:c r="C255" t="str">
        <x:v>PLANNING</x:v>
      </x:c>
      <x:c r="D255" t="str">
        <x:v>interface controls</x:v>
      </x:c>
      <x:c r="E255" t="str">
        <x:v>Interface Register · interface controls 3</x:v>
      </x:c>
      <x:c r="F255" t="n">
        <x:f>Controls!$D$76</x:f>
        <x:v>1</x:v>
      </x:c>
      <x:c r="G255" t="n">
        <x:v>1</x:v>
      </x:c>
      <x:c r="H255" t="str">
        <x:v>equals</x:v>
      </x:c>
      <x:c r="I255" t="str">
        <x:v>RHP design authority</x:v>
      </x:c>
      <x:c r="J255" t="str">
        <x:f>IF(F255=G255,"PASS","GAP")</x:f>
        <x:v>PASS</x:v>
      </x:c>
    </x:row>
    <x:row r="256">
      <x:c r="B256" t="str">
        <x:v>PLN-250</x:v>
      </x:c>
      <x:c r="C256" t="str">
        <x:v>PLANNING</x:v>
      </x:c>
      <x:c r="D256" t="str">
        <x:v>interface controls</x:v>
      </x:c>
      <x:c r="E256" t="str">
        <x:v>Interface Register · interface controls 4</x:v>
      </x:c>
      <x:c r="F256" t="n">
        <x:f>Controls!$D$76</x:f>
        <x:v>1</x:v>
      </x:c>
      <x:c r="G256" t="n">
        <x:v>1</x:v>
      </x:c>
      <x:c r="H256" t="str">
        <x:v>equals</x:v>
      </x:c>
      <x:c r="I256" t="str">
        <x:v>RHP design authority</x:v>
      </x:c>
      <x:c r="J256" t="str">
        <x:f>IF(F256=G256,"PASS","GAP")</x:f>
        <x:v>PASS</x:v>
      </x:c>
    </x:row>
    <x:row r="257">
      <x:c r="B257" t="str">
        <x:v>PLN-251</x:v>
      </x:c>
      <x:c r="C257" t="str">
        <x:v>PLANNING</x:v>
      </x:c>
      <x:c r="D257" t="str">
        <x:v>interface controls</x:v>
      </x:c>
      <x:c r="E257" t="str">
        <x:v>Interface Register · interface controls 5</x:v>
      </x:c>
      <x:c r="F257" t="n">
        <x:f>Controls!$D$76</x:f>
        <x:v>1</x:v>
      </x:c>
      <x:c r="G257" t="n">
        <x:v>1</x:v>
      </x:c>
      <x:c r="H257" t="str">
        <x:v>equals</x:v>
      </x:c>
      <x:c r="I257" t="str">
        <x:v>RHP design authority</x:v>
      </x:c>
      <x:c r="J257" t="str">
        <x:f>IF(F257=G257,"PASS","GAP")</x:f>
        <x:v>PASS</x:v>
      </x:c>
    </x:row>
    <x:row r="258">
      <x:c r="B258" t="str">
        <x:v>PLN-252</x:v>
      </x:c>
      <x:c r="C258" t="str">
        <x:v>PLANNING</x:v>
      </x:c>
      <x:c r="D258" t="str">
        <x:v>interface controls</x:v>
      </x:c>
      <x:c r="E258" t="str">
        <x:v>Interface Register · interface controls 6</x:v>
      </x:c>
      <x:c r="F258" t="n">
        <x:f>Controls!$D$76</x:f>
        <x:v>1</x:v>
      </x:c>
      <x:c r="G258" t="n">
        <x:v>1</x:v>
      </x:c>
      <x:c r="H258" t="str">
        <x:v>equals</x:v>
      </x:c>
      <x:c r="I258" t="str">
        <x:v>RHP design authority</x:v>
      </x:c>
      <x:c r="J258" t="str">
        <x:f>IF(F258=G258,"PASS","GAP")</x:f>
        <x:v>PASS</x:v>
      </x:c>
    </x:row>
    <x:row r="259">
      <x:c r="B259" t="str">
        <x:v>PLN-253</x:v>
      </x:c>
      <x:c r="C259" t="str">
        <x:v>PLANNING</x:v>
      </x:c>
      <x:c r="D259" t="str">
        <x:v>interface controls</x:v>
      </x:c>
      <x:c r="E259" t="str">
        <x:v>Interface Register · interface controls 7</x:v>
      </x:c>
      <x:c r="F259" t="n">
        <x:f>Controls!$D$76</x:f>
        <x:v>1</x:v>
      </x:c>
      <x:c r="G259" t="n">
        <x:v>1</x:v>
      </x:c>
      <x:c r="H259" t="str">
        <x:v>equals</x:v>
      </x:c>
      <x:c r="I259" t="str">
        <x:v>RHP design authority</x:v>
      </x:c>
      <x:c r="J259" t="str">
        <x:f>IF(F259=G259,"PASS","GAP")</x:f>
        <x:v>PASS</x:v>
      </x:c>
    </x:row>
    <x:row r="260">
      <x:c r="B260" t="str">
        <x:v>PLN-254</x:v>
      </x:c>
      <x:c r="C260" t="str">
        <x:v>PLANNING</x:v>
      </x:c>
      <x:c r="D260" t="str">
        <x:v>interface controls</x:v>
      </x:c>
      <x:c r="E260" t="str">
        <x:v>Interface Register · interface controls 8</x:v>
      </x:c>
      <x:c r="F260" t="n">
        <x:f>Controls!$D$76</x:f>
        <x:v>1</x:v>
      </x:c>
      <x:c r="G260" t="n">
        <x:v>1</x:v>
      </x:c>
      <x:c r="H260" t="str">
        <x:v>equals</x:v>
      </x:c>
      <x:c r="I260" t="str">
        <x:v>RHP design authority</x:v>
      </x:c>
      <x:c r="J260" t="str">
        <x:f>IF(F260=G260,"PASS","GAP")</x:f>
        <x:v>PASS</x:v>
      </x:c>
    </x:row>
    <x:row r="261">
      <x:c r="B261" t="str">
        <x:v>PLN-255</x:v>
      </x:c>
      <x:c r="C261" t="str">
        <x:v>PLANNING</x:v>
      </x:c>
      <x:c r="D261" t="str">
        <x:v>interface controls</x:v>
      </x:c>
      <x:c r="E261" t="str">
        <x:v>Interface Register · interface controls 9</x:v>
      </x:c>
      <x:c r="F261" t="n">
        <x:f>Controls!$D$76</x:f>
        <x:v>1</x:v>
      </x:c>
      <x:c r="G261" t="n">
        <x:v>1</x:v>
      </x:c>
      <x:c r="H261" t="str">
        <x:v>equals</x:v>
      </x:c>
      <x:c r="I261" t="str">
        <x:v>RHP design authority</x:v>
      </x:c>
      <x:c r="J261" t="str">
        <x:f>IF(F261=G261,"PASS","GAP")</x:f>
        <x:v>PASS</x:v>
      </x:c>
    </x:row>
    <x:row r="262">
      <x:c r="B262" t="str">
        <x:v>PLN-256</x:v>
      </x:c>
      <x:c r="C262" t="str">
        <x:v>PLANNING</x:v>
      </x:c>
      <x:c r="D262" t="str">
        <x:v>interface controls</x:v>
      </x:c>
      <x:c r="E262" t="str">
        <x:v>Interface Register · interface controls 10</x:v>
      </x:c>
      <x:c r="F262" t="n">
        <x:f>Controls!$D$76</x:f>
        <x:v>1</x:v>
      </x:c>
      <x:c r="G262" t="n">
        <x:v>1</x:v>
      </x:c>
      <x:c r="H262" t="str">
        <x:v>equals</x:v>
      </x:c>
      <x:c r="I262" t="str">
        <x:v>RHP design authority</x:v>
      </x:c>
      <x:c r="J262" t="str">
        <x:f>IF(F262=G262,"PASS","GAP")</x:f>
        <x:v>PASS</x:v>
      </x:c>
    </x:row>
    <x:row r="263">
      <x:c r="B263" t="str">
        <x:v>PLN-257</x:v>
      </x:c>
      <x:c r="C263" t="str">
        <x:v>PLANNING</x:v>
      </x:c>
      <x:c r="D263" t="str">
        <x:v>interface controls</x:v>
      </x:c>
      <x:c r="E263" t="str">
        <x:v>Interface Register · interface controls 11</x:v>
      </x:c>
      <x:c r="F263" t="n">
        <x:f>Controls!$D$76</x:f>
        <x:v>1</x:v>
      </x:c>
      <x:c r="G263" t="n">
        <x:v>1</x:v>
      </x:c>
      <x:c r="H263" t="str">
        <x:v>equals</x:v>
      </x:c>
      <x:c r="I263" t="str">
        <x:v>RHP design authority</x:v>
      </x:c>
      <x:c r="J263" t="str">
        <x:f>IF(F263=G263,"PASS","GAP")</x:f>
        <x:v>PASS</x:v>
      </x:c>
    </x:row>
    <x:row r="264">
      <x:c r="B264" t="str">
        <x:v>PLN-258</x:v>
      </x:c>
      <x:c r="C264" t="str">
        <x:v>PLANNING</x:v>
      </x:c>
      <x:c r="D264" t="str">
        <x:v>interface controls</x:v>
      </x:c>
      <x:c r="E264" t="str">
        <x:v>Interface Register · interface controls 12</x:v>
      </x:c>
      <x:c r="F264" t="n">
        <x:f>Controls!$D$76</x:f>
        <x:v>1</x:v>
      </x:c>
      <x:c r="G264" t="n">
        <x:v>1</x:v>
      </x:c>
      <x:c r="H264" t="str">
        <x:v>equals</x:v>
      </x:c>
      <x:c r="I264" t="str">
        <x:v>RHP design authority</x:v>
      </x:c>
      <x:c r="J264" t="str">
        <x:f>IF(F264=G264,"PASS","GAP")</x:f>
        <x:v>PASS</x:v>
      </x:c>
    </x:row>
    <x:row r="265">
      <x:c r="B265" t="str">
        <x:v>PLN-259</x:v>
      </x:c>
      <x:c r="C265" t="str">
        <x:v>PLANNING</x:v>
      </x:c>
      <x:c r="D265" t="str">
        <x:v>interface controls</x:v>
      </x:c>
      <x:c r="E265" t="str">
        <x:v>Interface Register · interface controls 13</x:v>
      </x:c>
      <x:c r="F265" t="n">
        <x:f>Controls!$D$76</x:f>
        <x:v>1</x:v>
      </x:c>
      <x:c r="G265" t="n">
        <x:v>1</x:v>
      </x:c>
      <x:c r="H265" t="str">
        <x:v>equals</x:v>
      </x:c>
      <x:c r="I265" t="str">
        <x:v>RHP design authority</x:v>
      </x:c>
      <x:c r="J265" t="str">
        <x:f>IF(F265=G265,"PASS","GAP")</x:f>
        <x:v>PASS</x:v>
      </x:c>
    </x:row>
    <x:row r="266">
      <x:c r="B266" t="str">
        <x:v>PLN-260</x:v>
      </x:c>
      <x:c r="C266" t="str">
        <x:v>PLANNING</x:v>
      </x:c>
      <x:c r="D266" t="str">
        <x:v>interface controls</x:v>
      </x:c>
      <x:c r="E266" t="str">
        <x:v>Interface Register · interface controls 14</x:v>
      </x:c>
      <x:c r="F266" t="n">
        <x:f>Controls!$D$76</x:f>
        <x:v>1</x:v>
      </x:c>
      <x:c r="G266" t="n">
        <x:v>1</x:v>
      </x:c>
      <x:c r="H266" t="str">
        <x:v>equals</x:v>
      </x:c>
      <x:c r="I266" t="str">
        <x:v>RHP design authority</x:v>
      </x:c>
      <x:c r="J266" t="str">
        <x:f>IF(F266=G266,"PASS","GAP")</x:f>
        <x:v>PASS</x:v>
      </x:c>
    </x:row>
    <x:row r="267">
      <x:c r="B267" t="str">
        <x:v>PLN-261</x:v>
      </x:c>
      <x:c r="C267" t="str">
        <x:v>PLANNING</x:v>
      </x:c>
      <x:c r="D267" t="str">
        <x:v>interface controls</x:v>
      </x:c>
      <x:c r="E267" t="str">
        <x:v>Interface Register · interface controls 15</x:v>
      </x:c>
      <x:c r="F267" t="n">
        <x:f>Controls!$D$76</x:f>
        <x:v>1</x:v>
      </x:c>
      <x:c r="G267" t="n">
        <x:v>1</x:v>
      </x:c>
      <x:c r="H267" t="str">
        <x:v>equals</x:v>
      </x:c>
      <x:c r="I267" t="str">
        <x:v>RHP design authority</x:v>
      </x:c>
      <x:c r="J267" t="str">
        <x:f>IF(F267=G267,"PASS","GAP")</x:f>
        <x:v>PASS</x:v>
      </x:c>
    </x:row>
    <x:row r="268">
      <x:c r="B268" t="str">
        <x:v>PLN-262</x:v>
      </x:c>
      <x:c r="C268" t="str">
        <x:v>PLANNING</x:v>
      </x:c>
      <x:c r="D268" t="str">
        <x:v>interface controls</x:v>
      </x:c>
      <x:c r="E268" t="str">
        <x:v>Interface Register · interface controls 16</x:v>
      </x:c>
      <x:c r="F268" t="n">
        <x:f>Controls!$D$76</x:f>
        <x:v>1</x:v>
      </x:c>
      <x:c r="G268" t="n">
        <x:v>1</x:v>
      </x:c>
      <x:c r="H268" t="str">
        <x:v>equals</x:v>
      </x:c>
      <x:c r="I268" t="str">
        <x:v>RHP design authority</x:v>
      </x:c>
      <x:c r="J268" t="str">
        <x:f>IF(F268=G268,"PASS","GAP")</x:f>
        <x:v>PASS</x:v>
      </x:c>
    </x:row>
    <x:row r="269">
      <x:c r="B269" t="str">
        <x:v>PLN-263</x:v>
      </x:c>
      <x:c r="C269" t="str">
        <x:v>PLANNING</x:v>
      </x:c>
      <x:c r="D269" t="str">
        <x:v>interface controls</x:v>
      </x:c>
      <x:c r="E269" t="str">
        <x:v>Interface Register · interface controls 17</x:v>
      </x:c>
      <x:c r="F269" t="n">
        <x:f>Controls!$D$76</x:f>
        <x:v>1</x:v>
      </x:c>
      <x:c r="G269" t="n">
        <x:v>1</x:v>
      </x:c>
      <x:c r="H269" t="str">
        <x:v>equals</x:v>
      </x:c>
      <x:c r="I269" t="str">
        <x:v>RHP design authority</x:v>
      </x:c>
      <x:c r="J269" t="str">
        <x:f>IF(F269=G269,"PASS","GAP")</x:f>
        <x:v>PASS</x:v>
      </x:c>
    </x:row>
    <x:row r="270">
      <x:c r="B270" t="str">
        <x:v>PLN-264</x:v>
      </x:c>
      <x:c r="C270" t="str">
        <x:v>PLANNING</x:v>
      </x:c>
      <x:c r="D270" t="str">
        <x:v>interface controls</x:v>
      </x:c>
      <x:c r="E270" t="str">
        <x:v>Interface Register · interface controls 18</x:v>
      </x:c>
      <x:c r="F270" t="n">
        <x:f>Controls!$D$76</x:f>
        <x:v>1</x:v>
      </x:c>
      <x:c r="G270" t="n">
        <x:v>1</x:v>
      </x:c>
      <x:c r="H270" t="str">
        <x:v>equals</x:v>
      </x:c>
      <x:c r="I270" t="str">
        <x:v>RHP design authority</x:v>
      </x:c>
      <x:c r="J270" t="str">
        <x:f>IF(F270=G270,"PASS","GAP")</x:f>
        <x:v>PASS</x:v>
      </x:c>
    </x:row>
    <x:row r="271">
      <x:c r="B271" t="str">
        <x:v>PLN-265</x:v>
      </x:c>
      <x:c r="C271" t="str">
        <x:v>PLANNING</x:v>
      </x:c>
      <x:c r="D271" t="str">
        <x:v>interface controls</x:v>
      </x:c>
      <x:c r="E271" t="str">
        <x:v>Interface Register · interface controls 19</x:v>
      </x:c>
      <x:c r="F271" t="n">
        <x:f>Controls!$D$76</x:f>
        <x:v>1</x:v>
      </x:c>
      <x:c r="G271" t="n">
        <x:v>1</x:v>
      </x:c>
      <x:c r="H271" t="str">
        <x:v>equals</x:v>
      </x:c>
      <x:c r="I271" t="str">
        <x:v>RHP design authority</x:v>
      </x:c>
      <x:c r="J271" t="str">
        <x:f>IF(F271=G271,"PASS","GAP")</x:f>
        <x:v>PASS</x:v>
      </x:c>
    </x:row>
    <x:row r="272">
      <x:c r="B272" t="str">
        <x:v>PLN-266</x:v>
      </x:c>
      <x:c r="C272" t="str">
        <x:v>PLANNING</x:v>
      </x:c>
      <x:c r="D272" t="str">
        <x:v>interface controls</x:v>
      </x:c>
      <x:c r="E272" t="str">
        <x:v>Interface Register · interface controls 20</x:v>
      </x:c>
      <x:c r="F272" t="n">
        <x:f>Controls!$D$76</x:f>
        <x:v>1</x:v>
      </x:c>
      <x:c r="G272" t="n">
        <x:v>1</x:v>
      </x:c>
      <x:c r="H272" t="str">
        <x:v>equals</x:v>
      </x:c>
      <x:c r="I272" t="str">
        <x:v>RHP design authority</x:v>
      </x:c>
      <x:c r="J272" t="str">
        <x:f>IF(F272=G272,"PASS","GAP")</x:f>
        <x:v>PASS</x:v>
      </x:c>
    </x:row>
    <x:row r="273">
      <x:c r="B273" t="str">
        <x:v>PLN-267</x:v>
      </x:c>
      <x:c r="C273" t="str">
        <x:v>PLANNING</x:v>
      </x:c>
      <x:c r="D273" t="str">
        <x:v>interface controls</x:v>
      </x:c>
      <x:c r="E273" t="str">
        <x:v>Interface Register · interface controls 21</x:v>
      </x:c>
      <x:c r="F273" t="n">
        <x:f>Controls!$D$76</x:f>
        <x:v>1</x:v>
      </x:c>
      <x:c r="G273" t="n">
        <x:v>1</x:v>
      </x:c>
      <x:c r="H273" t="str">
        <x:v>equals</x:v>
      </x:c>
      <x:c r="I273" t="str">
        <x:v>RHP design authority</x:v>
      </x:c>
      <x:c r="J273" t="str">
        <x:f>IF(F273=G273,"PASS","GAP")</x:f>
        <x:v>PASS</x:v>
      </x:c>
    </x:row>
    <x:row r="274">
      <x:c r="B274" t="str">
        <x:v>PLN-268</x:v>
      </x:c>
      <x:c r="C274" t="str">
        <x:v>PLANNING</x:v>
      </x:c>
      <x:c r="D274" t="str">
        <x:v>interface controls</x:v>
      </x:c>
      <x:c r="E274" t="str">
        <x:v>Interface Register · interface controls 22</x:v>
      </x:c>
      <x:c r="F274" t="n">
        <x:f>Controls!$D$76</x:f>
        <x:v>1</x:v>
      </x:c>
      <x:c r="G274" t="n">
        <x:v>1</x:v>
      </x:c>
      <x:c r="H274" t="str">
        <x:v>equals</x:v>
      </x:c>
      <x:c r="I274" t="str">
        <x:v>RHP design authority</x:v>
      </x:c>
      <x:c r="J274" t="str">
        <x:f>IF(F274=G274,"PASS","GAP")</x:f>
        <x:v>PASS</x:v>
      </x:c>
    </x:row>
    <x:row r="275">
      <x:c r="B275" t="str">
        <x:v>PLN-269</x:v>
      </x:c>
      <x:c r="C275" t="str">
        <x:v>PLANNING</x:v>
      </x:c>
      <x:c r="D275" t="str">
        <x:v>interface controls</x:v>
      </x:c>
      <x:c r="E275" t="str">
        <x:v>Interface Register · interface controls 23</x:v>
      </x:c>
      <x:c r="F275" t="n">
        <x:f>Controls!$D$76</x:f>
        <x:v>1</x:v>
      </x:c>
      <x:c r="G275" t="n">
        <x:v>1</x:v>
      </x:c>
      <x:c r="H275" t="str">
        <x:v>equals</x:v>
      </x:c>
      <x:c r="I275" t="str">
        <x:v>RHP design authority</x:v>
      </x:c>
      <x:c r="J275" t="str">
        <x:f>IF(F275=G275,"PASS","GAP")</x:f>
        <x:v>PASS</x:v>
      </x:c>
    </x:row>
    <x:row r="276">
      <x:c r="B276" t="str">
        <x:v>PLN-270</x:v>
      </x:c>
      <x:c r="C276" t="str">
        <x:v>PLANNING</x:v>
      </x:c>
      <x:c r="D276" t="str">
        <x:v>interface controls</x:v>
      </x:c>
      <x:c r="E276" t="str">
        <x:v>Interface Register · interface controls 24</x:v>
      </x:c>
      <x:c r="F276" t="n">
        <x:f>Controls!$D$76</x:f>
        <x:v>1</x:v>
      </x:c>
      <x:c r="G276" t="n">
        <x:v>1</x:v>
      </x:c>
      <x:c r="H276" t="str">
        <x:v>equals</x:v>
      </x:c>
      <x:c r="I276" t="str">
        <x:v>RHP design authority</x:v>
      </x:c>
      <x:c r="J276" t="str">
        <x:f>IF(F276=G276,"PASS","GAP")</x:f>
        <x:v>PASS</x:v>
      </x:c>
    </x:row>
    <x:row r="277">
      <x:c r="B277" t="str">
        <x:v>PLN-271</x:v>
      </x:c>
      <x:c r="C277" t="str">
        <x:v>PLANNING</x:v>
      </x:c>
      <x:c r="D277" t="str">
        <x:v>interface controls</x:v>
      </x:c>
      <x:c r="E277" t="str">
        <x:v>Interface Register · interface controls 25</x:v>
      </x:c>
      <x:c r="F277" t="n">
        <x:f>Controls!$D$76</x:f>
        <x:v>1</x:v>
      </x:c>
      <x:c r="G277" t="n">
        <x:v>1</x:v>
      </x:c>
      <x:c r="H277" t="str">
        <x:v>equals</x:v>
      </x:c>
      <x:c r="I277" t="str">
        <x:v>RHP design authority</x:v>
      </x:c>
      <x:c r="J277" t="str">
        <x:f>IF(F277=G277,"PASS","GAP")</x:f>
        <x:v>PASS</x:v>
      </x:c>
    </x:row>
    <x:row r="278">
      <x:c r="B278" t="str">
        <x:v>PLN-272</x:v>
      </x:c>
      <x:c r="C278" t="str">
        <x:v>PLANNING</x:v>
      </x:c>
      <x:c r="D278" t="str">
        <x:v>interface controls</x:v>
      </x:c>
      <x:c r="E278" t="str">
        <x:v>Interface Register · interface controls 26</x:v>
      </x:c>
      <x:c r="F278" t="n">
        <x:f>Controls!$D$76</x:f>
        <x:v>1</x:v>
      </x:c>
      <x:c r="G278" t="n">
        <x:v>1</x:v>
      </x:c>
      <x:c r="H278" t="str">
        <x:v>equals</x:v>
      </x:c>
      <x:c r="I278" t="str">
        <x:v>RHP design authority</x:v>
      </x:c>
      <x:c r="J278" t="str">
        <x:f>IF(F278=G278,"PASS","GAP")</x:f>
        <x:v>PASS</x:v>
      </x:c>
    </x:row>
    <x:row r="279">
      <x:c r="B279" t="str">
        <x:v>PLN-273</x:v>
      </x:c>
      <x:c r="C279" t="str">
        <x:v>PLANNING</x:v>
      </x:c>
      <x:c r="D279" t="str">
        <x:v>interface controls</x:v>
      </x:c>
      <x:c r="E279" t="str">
        <x:v>Interface Register · interface controls 27</x:v>
      </x:c>
      <x:c r="F279" t="n">
        <x:f>Controls!$D$76</x:f>
        <x:v>1</x:v>
      </x:c>
      <x:c r="G279" t="n">
        <x:v>1</x:v>
      </x:c>
      <x:c r="H279" t="str">
        <x:v>equals</x:v>
      </x:c>
      <x:c r="I279" t="str">
        <x:v>RHP design authority</x:v>
      </x:c>
      <x:c r="J279" t="str">
        <x:f>IF(F279=G279,"PASS","GAP")</x:f>
        <x:v>PASS</x:v>
      </x:c>
    </x:row>
    <x:row r="280">
      <x:c r="B280" t="str">
        <x:v>PLN-274</x:v>
      </x:c>
      <x:c r="C280" t="str">
        <x:v>PLANNING</x:v>
      </x:c>
      <x:c r="D280" t="str">
        <x:v>interface controls</x:v>
      </x:c>
      <x:c r="E280" t="str">
        <x:v>Interface Register · interface controls 28</x:v>
      </x:c>
      <x:c r="F280" t="n">
        <x:f>Controls!$D$76</x:f>
        <x:v>1</x:v>
      </x:c>
      <x:c r="G280" t="n">
        <x:v>1</x:v>
      </x:c>
      <x:c r="H280" t="str">
        <x:v>equals</x:v>
      </x:c>
      <x:c r="I280" t="str">
        <x:v>RHP design authority</x:v>
      </x:c>
      <x:c r="J280" t="str">
        <x:f>IF(F280=G280,"PASS","GAP")</x:f>
        <x:v>PASS</x:v>
      </x:c>
    </x:row>
    <x:row r="281">
      <x:c r="B281" t="str">
        <x:v>PLN-275</x:v>
      </x:c>
      <x:c r="C281" t="str">
        <x:v>PLANNING</x:v>
      </x:c>
      <x:c r="D281" t="str">
        <x:v>interface controls</x:v>
      </x:c>
      <x:c r="E281" t="str">
        <x:v>Interface Register · interface controls 29</x:v>
      </x:c>
      <x:c r="F281" t="n">
        <x:f>Controls!$D$76</x:f>
        <x:v>1</x:v>
      </x:c>
      <x:c r="G281" t="n">
        <x:v>1</x:v>
      </x:c>
      <x:c r="H281" t="str">
        <x:v>equals</x:v>
      </x:c>
      <x:c r="I281" t="str">
        <x:v>RHP design authority</x:v>
      </x:c>
      <x:c r="J281" t="str">
        <x:f>IF(F281=G281,"PASS","GAP")</x:f>
        <x:v>PASS</x:v>
      </x:c>
    </x:row>
    <x:row r="282">
      <x:c r="B282" t="str">
        <x:v>PLN-276</x:v>
      </x:c>
      <x:c r="C282" t="str">
        <x:v>PLANNING</x:v>
      </x:c>
      <x:c r="D282" t="str">
        <x:v>interface controls</x:v>
      </x:c>
      <x:c r="E282" t="str">
        <x:v>Interface Register · interface controls 30</x:v>
      </x:c>
      <x:c r="F282" t="n">
        <x:f>Controls!$D$76</x:f>
        <x:v>1</x:v>
      </x:c>
      <x:c r="G282" t="n">
        <x:v>1</x:v>
      </x:c>
      <x:c r="H282" t="str">
        <x:v>equals</x:v>
      </x:c>
      <x:c r="I282" t="str">
        <x:v>RHP design authority</x:v>
      </x:c>
      <x:c r="J282" t="str">
        <x:f>IF(F282=G282,"PASS","GAP")</x:f>
        <x:v>PASS</x:v>
      </x:c>
    </x:row>
    <x:row r="283">
      <x:c r="B283" t="str">
        <x:v>PLN-277</x:v>
      </x:c>
      <x:c r="C283" t="str">
        <x:v>PLANNING</x:v>
      </x:c>
      <x:c r="D283" t="str">
        <x:v>interface controls</x:v>
      </x:c>
      <x:c r="E283" t="str">
        <x:v>Interface Register · interface controls 31</x:v>
      </x:c>
      <x:c r="F283" t="n">
        <x:f>Controls!$D$76</x:f>
        <x:v>1</x:v>
      </x:c>
      <x:c r="G283" t="n">
        <x:v>1</x:v>
      </x:c>
      <x:c r="H283" t="str">
        <x:v>equals</x:v>
      </x:c>
      <x:c r="I283" t="str">
        <x:v>RHP design authority</x:v>
      </x:c>
      <x:c r="J283" t="str">
        <x:f>IF(F283=G283,"PASS","GAP")</x:f>
        <x:v>PASS</x:v>
      </x:c>
    </x:row>
    <x:row r="284">
      <x:c r="B284" t="str">
        <x:v>PLN-278</x:v>
      </x:c>
      <x:c r="C284" t="str">
        <x:v>PLANNING</x:v>
      </x:c>
      <x:c r="D284" t="str">
        <x:v>interface controls</x:v>
      </x:c>
      <x:c r="E284" t="str">
        <x:v>Interface Register · interface controls 32</x:v>
      </x:c>
      <x:c r="F284" t="n">
        <x:f>Controls!$D$76</x:f>
        <x:v>1</x:v>
      </x:c>
      <x:c r="G284" t="n">
        <x:v>1</x:v>
      </x:c>
      <x:c r="H284" t="str">
        <x:v>equals</x:v>
      </x:c>
      <x:c r="I284" t="str">
        <x:v>RHP design authority</x:v>
      </x:c>
      <x:c r="J284" t="str">
        <x:f>IF(F284=G284,"PASS","GAP")</x:f>
        <x:v>PASS</x:v>
      </x:c>
    </x:row>
    <x:row r="285">
      <x:c r="B285" t="str">
        <x:v>PLN-279</x:v>
      </x:c>
      <x:c r="C285" t="str">
        <x:v>PLANNING</x:v>
      </x:c>
      <x:c r="D285" t="str">
        <x:v>interface controls</x:v>
      </x:c>
      <x:c r="E285" t="str">
        <x:v>Interface Register · interface controls 33</x:v>
      </x:c>
      <x:c r="F285" t="n">
        <x:f>Controls!$D$76</x:f>
        <x:v>1</x:v>
      </x:c>
      <x:c r="G285" t="n">
        <x:v>1</x:v>
      </x:c>
      <x:c r="H285" t="str">
        <x:v>equals</x:v>
      </x:c>
      <x:c r="I285" t="str">
        <x:v>RHP design authority</x:v>
      </x:c>
      <x:c r="J285" t="str">
        <x:f>IF(F285=G285,"PASS","GAP")</x:f>
        <x:v>PASS</x:v>
      </x:c>
    </x:row>
    <x:row r="286">
      <x:c r="B286" t="str">
        <x:v>PLN-280</x:v>
      </x:c>
      <x:c r="C286" t="str">
        <x:v>PLANNING</x:v>
      </x:c>
      <x:c r="D286" t="str">
        <x:v>interface controls</x:v>
      </x:c>
      <x:c r="E286" t="str">
        <x:v>Interface Register · interface controls 34</x:v>
      </x:c>
      <x:c r="F286" t="n">
        <x:f>Controls!$D$76</x:f>
        <x:v>1</x:v>
      </x:c>
      <x:c r="G286" t="n">
        <x:v>1</x:v>
      </x:c>
      <x:c r="H286" t="str">
        <x:v>equals</x:v>
      </x:c>
      <x:c r="I286" t="str">
        <x:v>RHP design authority</x:v>
      </x:c>
      <x:c r="J286" t="str">
        <x:f>IF(F286=G286,"PASS","GAP")</x:f>
        <x:v>PASS</x:v>
      </x:c>
    </x:row>
    <x:row r="287">
      <x:c r="B287" t="str">
        <x:v>PLN-281</x:v>
      </x:c>
      <x:c r="C287" t="str">
        <x:v>PLANNING</x:v>
      </x:c>
      <x:c r="D287" t="str">
        <x:v>interface controls</x:v>
      </x:c>
      <x:c r="E287" t="str">
        <x:v>Interface Register · interface controls 35</x:v>
      </x:c>
      <x:c r="F287" t="n">
        <x:f>Controls!$D$76</x:f>
        <x:v>1</x:v>
      </x:c>
      <x:c r="G287" t="n">
        <x:v>1</x:v>
      </x:c>
      <x:c r="H287" t="str">
        <x:v>equals</x:v>
      </x:c>
      <x:c r="I287" t="str">
        <x:v>RHP design authority</x:v>
      </x:c>
      <x:c r="J287" t="str">
        <x:f>IF(F287=G287,"PASS","GAP")</x:f>
        <x:v>PASS</x:v>
      </x:c>
    </x:row>
    <x:row r="288">
      <x:c r="B288" t="str">
        <x:v>PLN-282</x:v>
      </x:c>
      <x:c r="C288" t="str">
        <x:v>PLANNING</x:v>
      </x:c>
      <x:c r="D288" t="str">
        <x:v>interface controls</x:v>
      </x:c>
      <x:c r="E288" t="str">
        <x:v>Interface Register · interface controls 36</x:v>
      </x:c>
      <x:c r="F288" t="n">
        <x:f>Controls!$D$76</x:f>
        <x:v>1</x:v>
      </x:c>
      <x:c r="G288" t="n">
        <x:v>1</x:v>
      </x:c>
      <x:c r="H288" t="str">
        <x:v>equals</x:v>
      </x:c>
      <x:c r="I288" t="str">
        <x:v>RHP design authority</x:v>
      </x:c>
      <x:c r="J288" t="str">
        <x:f>IF(F288=G288,"PASS","GAP")</x:f>
        <x:v>PASS</x:v>
      </x:c>
    </x:row>
    <x:row r="289">
      <x:c r="B289" t="str">
        <x:v>PLN-283</x:v>
      </x:c>
      <x:c r="C289" t="str">
        <x:v>PLANNING</x:v>
      </x:c>
      <x:c r="D289" t="str">
        <x:v>interface controls</x:v>
      </x:c>
      <x:c r="E289" t="str">
        <x:v>Interface Register · interface controls 37</x:v>
      </x:c>
      <x:c r="F289" t="n">
        <x:f>Controls!$D$76</x:f>
        <x:v>1</x:v>
      </x:c>
      <x:c r="G289" t="n">
        <x:v>1</x:v>
      </x:c>
      <x:c r="H289" t="str">
        <x:v>equals</x:v>
      </x:c>
      <x:c r="I289" t="str">
        <x:v>RHP design authority</x:v>
      </x:c>
      <x:c r="J289" t="str">
        <x:f>IF(F289=G289,"PASS","GAP")</x:f>
        <x:v>PASS</x:v>
      </x:c>
    </x:row>
    <x:row r="290">
      <x:c r="B290" t="str">
        <x:v>PLN-284</x:v>
      </x:c>
      <x:c r="C290" t="str">
        <x:v>PLANNING</x:v>
      </x:c>
      <x:c r="D290" t="str">
        <x:v>interface controls</x:v>
      </x:c>
      <x:c r="E290" t="str">
        <x:v>Interface Register · interface controls 38</x:v>
      </x:c>
      <x:c r="F290" t="n">
        <x:f>Controls!$D$76</x:f>
        <x:v>1</x:v>
      </x:c>
      <x:c r="G290" t="n">
        <x:v>1</x:v>
      </x:c>
      <x:c r="H290" t="str">
        <x:v>equals</x:v>
      </x:c>
      <x:c r="I290" t="str">
        <x:v>RHP design authority</x:v>
      </x:c>
      <x:c r="J290" t="str">
        <x:f>IF(F290=G290,"PASS","GAP")</x:f>
        <x:v>PASS</x:v>
      </x:c>
    </x:row>
    <x:row r="291">
      <x:c r="B291" t="str">
        <x:v>PLN-285</x:v>
      </x:c>
      <x:c r="C291" t="str">
        <x:v>PLANNING</x:v>
      </x:c>
      <x:c r="D291" t="str">
        <x:v>interface controls</x:v>
      </x:c>
      <x:c r="E291" t="str">
        <x:v>Interface Register · interface controls 39</x:v>
      </x:c>
      <x:c r="F291" t="n">
        <x:f>Controls!$D$76</x:f>
        <x:v>1</x:v>
      </x:c>
      <x:c r="G291" t="n">
        <x:v>1</x:v>
      </x:c>
      <x:c r="H291" t="str">
        <x:v>equals</x:v>
      </x:c>
      <x:c r="I291" t="str">
        <x:v>RHP design authority</x:v>
      </x:c>
      <x:c r="J291" t="str">
        <x:f>IF(F291=G291,"PASS","GAP")</x:f>
        <x:v>PASS</x:v>
      </x:c>
    </x:row>
    <x:row r="292">
      <x:c r="B292" t="str">
        <x:v>PLN-286</x:v>
      </x:c>
      <x:c r="C292" t="str">
        <x:v>PLANNING</x:v>
      </x:c>
      <x:c r="D292" t="str">
        <x:v>interface controls</x:v>
      </x:c>
      <x:c r="E292" t="str">
        <x:v>Interface Register · interface controls 40</x:v>
      </x:c>
      <x:c r="F292" t="n">
        <x:f>Controls!$D$76</x:f>
        <x:v>1</x:v>
      </x:c>
      <x:c r="G292" t="n">
        <x:v>1</x:v>
      </x:c>
      <x:c r="H292" t="str">
        <x:v>equals</x:v>
      </x:c>
      <x:c r="I292" t="str">
        <x:v>RHP design authority</x:v>
      </x:c>
      <x:c r="J292" t="str">
        <x:f>IF(F292=G292,"PASS","GAP")</x:f>
        <x:v>PASS</x:v>
      </x:c>
    </x:row>
    <x:row r="293">
      <x:c r="B293" t="str">
        <x:v>PLN-287</x:v>
      </x:c>
      <x:c r="C293" t="str">
        <x:v>PLANNING</x:v>
      </x:c>
      <x:c r="D293" t="str">
        <x:v>interface controls</x:v>
      </x:c>
      <x:c r="E293" t="str">
        <x:v>Interface Register · interface controls 41</x:v>
      </x:c>
      <x:c r="F293" t="n">
        <x:f>Controls!$D$76</x:f>
        <x:v>1</x:v>
      </x:c>
      <x:c r="G293" t="n">
        <x:v>1</x:v>
      </x:c>
      <x:c r="H293" t="str">
        <x:v>equals</x:v>
      </x:c>
      <x:c r="I293" t="str">
        <x:v>RHP design authority</x:v>
      </x:c>
      <x:c r="J293" t="str">
        <x:f>IF(F293=G293,"PASS","GAP")</x:f>
        <x:v>PASS</x:v>
      </x:c>
    </x:row>
    <x:row r="294">
      <x:c r="B294" t="str">
        <x:v>PLN-288</x:v>
      </x:c>
      <x:c r="C294" t="str">
        <x:v>PLANNING</x:v>
      </x:c>
      <x:c r="D294" t="str">
        <x:v>interface controls</x:v>
      </x:c>
      <x:c r="E294" t="str">
        <x:v>Interface Register · interface controls 42</x:v>
      </x:c>
      <x:c r="F294" t="n">
        <x:f>Controls!$D$76</x:f>
        <x:v>1</x:v>
      </x:c>
      <x:c r="G294" t="n">
        <x:v>1</x:v>
      </x:c>
      <x:c r="H294" t="str">
        <x:v>equals</x:v>
      </x:c>
      <x:c r="I294" t="str">
        <x:v>RHP design authority</x:v>
      </x:c>
      <x:c r="J294" t="str">
        <x:f>IF(F294=G294,"PASS","GAP")</x:f>
        <x:v>PASS</x:v>
      </x:c>
    </x:row>
    <x:row r="295">
      <x:c r="B295" t="str">
        <x:v>PLN-289</x:v>
      </x:c>
      <x:c r="C295" t="str">
        <x:v>PLANNING</x:v>
      </x:c>
      <x:c r="D295" t="str">
        <x:v>interface controls</x:v>
      </x:c>
      <x:c r="E295" t="str">
        <x:v>Interface Register · interface controls 43</x:v>
      </x:c>
      <x:c r="F295" t="n">
        <x:f>Controls!$D$76</x:f>
        <x:v>1</x:v>
      </x:c>
      <x:c r="G295" t="n">
        <x:v>1</x:v>
      </x:c>
      <x:c r="H295" t="str">
        <x:v>equals</x:v>
      </x:c>
      <x:c r="I295" t="str">
        <x:v>RHP design authority</x:v>
      </x:c>
      <x:c r="J295" t="str">
        <x:f>IF(F295=G295,"PASS","GAP")</x:f>
        <x:v>PASS</x:v>
      </x:c>
    </x:row>
    <x:row r="296">
      <x:c r="B296" t="str">
        <x:v>PLN-290</x:v>
      </x:c>
      <x:c r="C296" t="str">
        <x:v>PLANNING</x:v>
      </x:c>
      <x:c r="D296" t="str">
        <x:v>interface controls</x:v>
      </x:c>
      <x:c r="E296" t="str">
        <x:v>Interface Register · interface controls 44</x:v>
      </x:c>
      <x:c r="F296" t="n">
        <x:f>Controls!$D$76</x:f>
        <x:v>1</x:v>
      </x:c>
      <x:c r="G296" t="n">
        <x:v>1</x:v>
      </x:c>
      <x:c r="H296" t="str">
        <x:v>equals</x:v>
      </x:c>
      <x:c r="I296" t="str">
        <x:v>RHP design authority</x:v>
      </x:c>
      <x:c r="J296" t="str">
        <x:f>IF(F296=G296,"PASS","GAP")</x:f>
        <x:v>PASS</x:v>
      </x:c>
    </x:row>
    <x:row r="297">
      <x:c r="B297" t="str">
        <x:v>PLN-291</x:v>
      </x:c>
      <x:c r="C297" t="str">
        <x:v>PLANNING</x:v>
      </x:c>
      <x:c r="D297" t="str">
        <x:v>interface controls</x:v>
      </x:c>
      <x:c r="E297" t="str">
        <x:v>Interface Register · interface controls 45</x:v>
      </x:c>
      <x:c r="F297" t="n">
        <x:f>Controls!$D$76</x:f>
        <x:v>1</x:v>
      </x:c>
      <x:c r="G297" t="n">
        <x:v>1</x:v>
      </x:c>
      <x:c r="H297" t="str">
        <x:v>equals</x:v>
      </x:c>
      <x:c r="I297" t="str">
        <x:v>RHP design authority</x:v>
      </x:c>
      <x:c r="J297" t="str">
        <x:f>IF(F297=G297,"PASS","GAP")</x:f>
        <x:v>PASS</x:v>
      </x:c>
    </x:row>
    <x:row r="298">
      <x:c r="B298" t="str">
        <x:v>PLN-292</x:v>
      </x:c>
      <x:c r="C298" t="str">
        <x:v>PLANNING</x:v>
      </x:c>
      <x:c r="D298" t="str">
        <x:v>interface controls</x:v>
      </x:c>
      <x:c r="E298" t="str">
        <x:v>Interface Register · interface controls 46</x:v>
      </x:c>
      <x:c r="F298" t="n">
        <x:f>Controls!$D$76</x:f>
        <x:v>1</x:v>
      </x:c>
      <x:c r="G298" t="n">
        <x:v>1</x:v>
      </x:c>
      <x:c r="H298" t="str">
        <x:v>equals</x:v>
      </x:c>
      <x:c r="I298" t="str">
        <x:v>RHP design authority</x:v>
      </x:c>
      <x:c r="J298" t="str">
        <x:f>IF(F298=G298,"PASS","GAP")</x:f>
        <x:v>PASS</x:v>
      </x:c>
    </x:row>
    <x:row r="299">
      <x:c r="B299" t="str">
        <x:v>PLN-293</x:v>
      </x:c>
      <x:c r="C299" t="str">
        <x:v>PLANNING</x:v>
      </x:c>
      <x:c r="D299" t="str">
        <x:v>interface controls</x:v>
      </x:c>
      <x:c r="E299" t="str">
        <x:v>Interface Register · interface controls 47</x:v>
      </x:c>
      <x:c r="F299" t="n">
        <x:f>Controls!$D$76</x:f>
        <x:v>1</x:v>
      </x:c>
      <x:c r="G299" t="n">
        <x:v>1</x:v>
      </x:c>
      <x:c r="H299" t="str">
        <x:v>equals</x:v>
      </x:c>
      <x:c r="I299" t="str">
        <x:v>RHP design authority</x:v>
      </x:c>
      <x:c r="J299" t="str">
        <x:f>IF(F299=G299,"PASS","GAP")</x:f>
        <x:v>PASS</x:v>
      </x:c>
    </x:row>
    <x:row r="300">
      <x:c r="B300" t="str">
        <x:v>PLN-294</x:v>
      </x:c>
      <x:c r="C300" t="str">
        <x:v>PLANNING</x:v>
      </x:c>
      <x:c r="D300" t="str">
        <x:v>interface controls</x:v>
      </x:c>
      <x:c r="E300" t="str">
        <x:v>Interface Register · interface controls 48</x:v>
      </x:c>
      <x:c r="F300" t="n">
        <x:f>Controls!$D$76</x:f>
        <x:v>1</x:v>
      </x:c>
      <x:c r="G300" t="n">
        <x:v>1</x:v>
      </x:c>
      <x:c r="H300" t="str">
        <x:v>equals</x:v>
      </x:c>
      <x:c r="I300" t="str">
        <x:v>RHP design authority</x:v>
      </x:c>
      <x:c r="J300" t="str">
        <x:f>IF(F300=G300,"PASS","GAP")</x:f>
        <x:v>PASS</x:v>
      </x:c>
    </x:row>
    <x:row r="301">
      <x:c r="B301" t="str">
        <x:v>PLN-295</x:v>
      </x:c>
      <x:c r="C301" t="str">
        <x:v>PLANNING</x:v>
      </x:c>
      <x:c r="D301" t="str">
        <x:v>measurement planes</x:v>
      </x:c>
      <x:c r="E301" t="str">
        <x:v>Measurement Planes · measurement planes 1</x:v>
      </x:c>
      <x:c r="F301" t="n">
        <x:f>Controls!$D$76</x:f>
        <x:v>1</x:v>
      </x:c>
      <x:c r="G301" t="n">
        <x:v>1</x:v>
      </x:c>
      <x:c r="H301" t="str">
        <x:v>equals</x:v>
      </x:c>
      <x:c r="I301" t="str">
        <x:v>RHP design authority</x:v>
      </x:c>
      <x:c r="J301" t="str">
        <x:f>IF(F301=G301,"PASS","GAP")</x:f>
        <x:v>PASS</x:v>
      </x:c>
    </x:row>
    <x:row r="302">
      <x:c r="B302" t="str">
        <x:v>PLN-296</x:v>
      </x:c>
      <x:c r="C302" t="str">
        <x:v>PLANNING</x:v>
      </x:c>
      <x:c r="D302" t="str">
        <x:v>measurement planes</x:v>
      </x:c>
      <x:c r="E302" t="str">
        <x:v>Measurement Planes · measurement planes 2</x:v>
      </x:c>
      <x:c r="F302" t="n">
        <x:f>Controls!$D$76</x:f>
        <x:v>1</x:v>
      </x:c>
      <x:c r="G302" t="n">
        <x:v>1</x:v>
      </x:c>
      <x:c r="H302" t="str">
        <x:v>equals</x:v>
      </x:c>
      <x:c r="I302" t="str">
        <x:v>RHP design authority</x:v>
      </x:c>
      <x:c r="J302" t="str">
        <x:f>IF(F302=G302,"PASS","GAP")</x:f>
        <x:v>PASS</x:v>
      </x:c>
    </x:row>
    <x:row r="303">
      <x:c r="B303" t="str">
        <x:v>PLN-297</x:v>
      </x:c>
      <x:c r="C303" t="str">
        <x:v>PLANNING</x:v>
      </x:c>
      <x:c r="D303" t="str">
        <x:v>measurement planes</x:v>
      </x:c>
      <x:c r="E303" t="str">
        <x:v>Measurement Planes · measurement planes 3</x:v>
      </x:c>
      <x:c r="F303" t="n">
        <x:f>Controls!$D$76</x:f>
        <x:v>1</x:v>
      </x:c>
      <x:c r="G303" t="n">
        <x:v>1</x:v>
      </x:c>
      <x:c r="H303" t="str">
        <x:v>equals</x:v>
      </x:c>
      <x:c r="I303" t="str">
        <x:v>RHP design authority</x:v>
      </x:c>
      <x:c r="J303" t="str">
        <x:f>IF(F303=G303,"PASS","GAP")</x:f>
        <x:v>PASS</x:v>
      </x:c>
    </x:row>
    <x:row r="304">
      <x:c r="B304" t="str">
        <x:v>PLN-298</x:v>
      </x:c>
      <x:c r="C304" t="str">
        <x:v>PLANNING</x:v>
      </x:c>
      <x:c r="D304" t="str">
        <x:v>measurement planes</x:v>
      </x:c>
      <x:c r="E304" t="str">
        <x:v>Measurement Planes · measurement planes 4</x:v>
      </x:c>
      <x:c r="F304" t="n">
        <x:f>Controls!$D$76</x:f>
        <x:v>1</x:v>
      </x:c>
      <x:c r="G304" t="n">
        <x:v>1</x:v>
      </x:c>
      <x:c r="H304" t="str">
        <x:v>equals</x:v>
      </x:c>
      <x:c r="I304" t="str">
        <x:v>RHP design authority</x:v>
      </x:c>
      <x:c r="J304" t="str">
        <x:f>IF(F304=G304,"PASS","GAP")</x:f>
        <x:v>PASS</x:v>
      </x:c>
    </x:row>
    <x:row r="305">
      <x:c r="B305" t="str">
        <x:v>PLN-299</x:v>
      </x:c>
      <x:c r="C305" t="str">
        <x:v>PLANNING</x:v>
      </x:c>
      <x:c r="D305" t="str">
        <x:v>measurement planes</x:v>
      </x:c>
      <x:c r="E305" t="str">
        <x:v>Measurement Planes · measurement planes 5</x:v>
      </x:c>
      <x:c r="F305" t="n">
        <x:f>Controls!$D$76</x:f>
        <x:v>1</x:v>
      </x:c>
      <x:c r="G305" t="n">
        <x:v>1</x:v>
      </x:c>
      <x:c r="H305" t="str">
        <x:v>equals</x:v>
      </x:c>
      <x:c r="I305" t="str">
        <x:v>RHP design authority</x:v>
      </x:c>
      <x:c r="J305" t="str">
        <x:f>IF(F305=G305,"PASS","GAP")</x:f>
        <x:v>PASS</x:v>
      </x:c>
    </x:row>
    <x:row r="306">
      <x:c r="B306" t="str">
        <x:v>PLN-300</x:v>
      </x:c>
      <x:c r="C306" t="str">
        <x:v>PLANNING</x:v>
      </x:c>
      <x:c r="D306" t="str">
        <x:v>measurement planes</x:v>
      </x:c>
      <x:c r="E306" t="str">
        <x:v>Measurement Planes · measurement planes 6</x:v>
      </x:c>
      <x:c r="F306" t="n">
        <x:f>Controls!$D$76</x:f>
        <x:v>1</x:v>
      </x:c>
      <x:c r="G306" t="n">
        <x:v>1</x:v>
      </x:c>
      <x:c r="H306" t="str">
        <x:v>equals</x:v>
      </x:c>
      <x:c r="I306" t="str">
        <x:v>RHP design authority</x:v>
      </x:c>
      <x:c r="J306" t="str">
        <x:f>IF(F306=G306,"PASS","GAP")</x:f>
        <x:v>PASS</x:v>
      </x:c>
    </x:row>
    <x:row r="307">
      <x:c r="B307" t="str">
        <x:v>PLN-301</x:v>
      </x:c>
      <x:c r="C307" t="str">
        <x:v>PLANNING</x:v>
      </x:c>
      <x:c r="D307" t="str">
        <x:v>measurement planes</x:v>
      </x:c>
      <x:c r="E307" t="str">
        <x:v>Measurement Planes · measurement planes 7</x:v>
      </x:c>
      <x:c r="F307" t="n">
        <x:f>Controls!$D$76</x:f>
        <x:v>1</x:v>
      </x:c>
      <x:c r="G307" t="n">
        <x:v>1</x:v>
      </x:c>
      <x:c r="H307" t="str">
        <x:v>equals</x:v>
      </x:c>
      <x:c r="I307" t="str">
        <x:v>RHP design authority</x:v>
      </x:c>
      <x:c r="J307" t="str">
        <x:f>IF(F307=G307,"PASS","GAP")</x:f>
        <x:v>PASS</x:v>
      </x:c>
    </x:row>
    <x:row r="308">
      <x:c r="B308" t="str">
        <x:v>PLN-302</x:v>
      </x:c>
      <x:c r="C308" t="str">
        <x:v>PLANNING</x:v>
      </x:c>
      <x:c r="D308" t="str">
        <x:v>measurement planes</x:v>
      </x:c>
      <x:c r="E308" t="str">
        <x:v>Measurement Planes · measurement planes 8</x:v>
      </x:c>
      <x:c r="F308" t="n">
        <x:f>Controls!$D$76</x:f>
        <x:v>1</x:v>
      </x:c>
      <x:c r="G308" t="n">
        <x:v>1</x:v>
      </x:c>
      <x:c r="H308" t="str">
        <x:v>equals</x:v>
      </x:c>
      <x:c r="I308" t="str">
        <x:v>RHP design authority</x:v>
      </x:c>
      <x:c r="J308" t="str">
        <x:f>IF(F308=G308,"PASS","GAP")</x:f>
        <x:v>PASS</x:v>
      </x:c>
    </x:row>
    <x:row r="309">
      <x:c r="B309" t="str">
        <x:v>PLN-303</x:v>
      </x:c>
      <x:c r="C309" t="str">
        <x:v>PLANNING</x:v>
      </x:c>
      <x:c r="D309" t="str">
        <x:v>measurement planes</x:v>
      </x:c>
      <x:c r="E309" t="str">
        <x:v>Measurement Planes · measurement planes 9</x:v>
      </x:c>
      <x:c r="F309" t="n">
        <x:f>Controls!$D$76</x:f>
        <x:v>1</x:v>
      </x:c>
      <x:c r="G309" t="n">
        <x:v>1</x:v>
      </x:c>
      <x:c r="H309" t="str">
        <x:v>equals</x:v>
      </x:c>
      <x:c r="I309" t="str">
        <x:v>RHP design authority</x:v>
      </x:c>
      <x:c r="J309" t="str">
        <x:f>IF(F309=G309,"PASS","GAP")</x:f>
        <x:v>PASS</x:v>
      </x:c>
    </x:row>
    <x:row r="310">
      <x:c r="B310" t="str">
        <x:v>PLN-304</x:v>
      </x:c>
      <x:c r="C310" t="str">
        <x:v>PLANNING</x:v>
      </x:c>
      <x:c r="D310" t="str">
        <x:v>measurement planes</x:v>
      </x:c>
      <x:c r="E310" t="str">
        <x:v>Measurement Planes · measurement planes 10</x:v>
      </x:c>
      <x:c r="F310" t="n">
        <x:f>Controls!$D$76</x:f>
        <x:v>1</x:v>
      </x:c>
      <x:c r="G310" t="n">
        <x:v>1</x:v>
      </x:c>
      <x:c r="H310" t="str">
        <x:v>equals</x:v>
      </x:c>
      <x:c r="I310" t="str">
        <x:v>RHP design authority</x:v>
      </x:c>
      <x:c r="J310" t="str">
        <x:f>IF(F310=G310,"PASS","GAP")</x:f>
        <x:v>PASS</x:v>
      </x:c>
    </x:row>
    <x:row r="311">
      <x:c r="B311" t="str">
        <x:v>PLN-305</x:v>
      </x:c>
      <x:c r="C311" t="str">
        <x:v>PLANNING</x:v>
      </x:c>
      <x:c r="D311" t="str">
        <x:v>measurement planes</x:v>
      </x:c>
      <x:c r="E311" t="str">
        <x:v>Measurement Planes · measurement planes 11</x:v>
      </x:c>
      <x:c r="F311" t="n">
        <x:f>Controls!$D$76</x:f>
        <x:v>1</x:v>
      </x:c>
      <x:c r="G311" t="n">
        <x:v>1</x:v>
      </x:c>
      <x:c r="H311" t="str">
        <x:v>equals</x:v>
      </x:c>
      <x:c r="I311" t="str">
        <x:v>RHP design authority</x:v>
      </x:c>
      <x:c r="J311" t="str">
        <x:f>IF(F311=G311,"PASS","GAP")</x:f>
        <x:v>PASS</x:v>
      </x:c>
    </x:row>
    <x:row r="312">
      <x:c r="B312" t="str">
        <x:v>PLN-306</x:v>
      </x:c>
      <x:c r="C312" t="str">
        <x:v>PLANNING</x:v>
      </x:c>
      <x:c r="D312" t="str">
        <x:v>measurement planes</x:v>
      </x:c>
      <x:c r="E312" t="str">
        <x:v>Measurement Planes · measurement planes 12</x:v>
      </x:c>
      <x:c r="F312" t="n">
        <x:f>Controls!$D$76</x:f>
        <x:v>1</x:v>
      </x:c>
      <x:c r="G312" t="n">
        <x:v>1</x:v>
      </x:c>
      <x:c r="H312" t="str">
        <x:v>equals</x:v>
      </x:c>
      <x:c r="I312" t="str">
        <x:v>RHP design authority</x:v>
      </x:c>
      <x:c r="J312" t="str">
        <x:f>IF(F312=G312,"PASS","GAP")</x:f>
        <x:v>PASS</x:v>
      </x:c>
    </x:row>
    <x:row r="313">
      <x:c r="B313" t="str">
        <x:v>PLN-307</x:v>
      </x:c>
      <x:c r="C313" t="str">
        <x:v>PLANNING</x:v>
      </x:c>
      <x:c r="D313" t="str">
        <x:v>measurement planes</x:v>
      </x:c>
      <x:c r="E313" t="str">
        <x:v>Measurement Planes · measurement planes 13</x:v>
      </x:c>
      <x:c r="F313" t="n">
        <x:f>Controls!$D$76</x:f>
        <x:v>1</x:v>
      </x:c>
      <x:c r="G313" t="n">
        <x:v>1</x:v>
      </x:c>
      <x:c r="H313" t="str">
        <x:v>equals</x:v>
      </x:c>
      <x:c r="I313" t="str">
        <x:v>RHP design authority</x:v>
      </x:c>
      <x:c r="J313" t="str">
        <x:f>IF(F313=G313,"PASS","GAP")</x:f>
        <x:v>PASS</x:v>
      </x:c>
    </x:row>
    <x:row r="314">
      <x:c r="B314" t="str">
        <x:v>PLN-308</x:v>
      </x:c>
      <x:c r="C314" t="str">
        <x:v>PLANNING</x:v>
      </x:c>
      <x:c r="D314" t="str">
        <x:v>measurement planes</x:v>
      </x:c>
      <x:c r="E314" t="str">
        <x:v>Measurement Planes · measurement planes 14</x:v>
      </x:c>
      <x:c r="F314" t="n">
        <x:f>Controls!$D$76</x:f>
        <x:v>1</x:v>
      </x:c>
      <x:c r="G314" t="n">
        <x:v>1</x:v>
      </x:c>
      <x:c r="H314" t="str">
        <x:v>equals</x:v>
      </x:c>
      <x:c r="I314" t="str">
        <x:v>RHP design authority</x:v>
      </x:c>
      <x:c r="J314" t="str">
        <x:f>IF(F314=G314,"PASS","GAP")</x:f>
        <x:v>PASS</x:v>
      </x:c>
    </x:row>
    <x:row r="315">
      <x:c r="B315" t="str">
        <x:v>PLN-309</x:v>
      </x:c>
      <x:c r="C315" t="str">
        <x:v>PLANNING</x:v>
      </x:c>
      <x:c r="D315" t="str">
        <x:v>measurement planes</x:v>
      </x:c>
      <x:c r="E315" t="str">
        <x:v>Measurement Planes · measurement planes 15</x:v>
      </x:c>
      <x:c r="F315" t="n">
        <x:f>Controls!$D$76</x:f>
        <x:v>1</x:v>
      </x:c>
      <x:c r="G315" t="n">
        <x:v>1</x:v>
      </x:c>
      <x:c r="H315" t="str">
        <x:v>equals</x:v>
      </x:c>
      <x:c r="I315" t="str">
        <x:v>RHP design authority</x:v>
      </x:c>
      <x:c r="J315" t="str">
        <x:f>IF(F315=G315,"PASS","GAP")</x:f>
        <x:v>PASS</x:v>
      </x:c>
    </x:row>
    <x:row r="316">
      <x:c r="B316" t="str">
        <x:v>PLN-310</x:v>
      </x:c>
      <x:c r="C316" t="str">
        <x:v>PLANNING</x:v>
      </x:c>
      <x:c r="D316" t="str">
        <x:v>measurement planes</x:v>
      </x:c>
      <x:c r="E316" t="str">
        <x:v>Measurement Planes · measurement planes 16</x:v>
      </x:c>
      <x:c r="F316" t="n">
        <x:f>Controls!$D$76</x:f>
        <x:v>1</x:v>
      </x:c>
      <x:c r="G316" t="n">
        <x:v>1</x:v>
      </x:c>
      <x:c r="H316" t="str">
        <x:v>equals</x:v>
      </x:c>
      <x:c r="I316" t="str">
        <x:v>RHP design authority</x:v>
      </x:c>
      <x:c r="J316" t="str">
        <x:f>IF(F316=G316,"PASS","GAP")</x:f>
        <x:v>PASS</x:v>
      </x:c>
    </x:row>
    <x:row r="317">
      <x:c r="B317" t="str">
        <x:v>PLN-311</x:v>
      </x:c>
      <x:c r="C317" t="str">
        <x:v>PLANNING</x:v>
      </x:c>
      <x:c r="D317" t="str">
        <x:v>channel functions</x:v>
      </x:c>
      <x:c r="E317" t="str">
        <x:v>Channel Register · channel functions 1</x:v>
      </x:c>
      <x:c r="F317" t="n">
        <x:f>Controls!$D$76</x:f>
        <x:v>1</x:v>
      </x:c>
      <x:c r="G317" t="n">
        <x:v>1</x:v>
      </x:c>
      <x:c r="H317" t="str">
        <x:v>equals</x:v>
      </x:c>
      <x:c r="I317" t="str">
        <x:v>RHP design authority</x:v>
      </x:c>
      <x:c r="J317" t="str">
        <x:f>IF(F317=G317,"PASS","GAP")</x:f>
        <x:v>PASS</x:v>
      </x:c>
    </x:row>
    <x:row r="318">
      <x:c r="B318" t="str">
        <x:v>PLN-312</x:v>
      </x:c>
      <x:c r="C318" t="str">
        <x:v>PLANNING</x:v>
      </x:c>
      <x:c r="D318" t="str">
        <x:v>channel functions</x:v>
      </x:c>
      <x:c r="E318" t="str">
        <x:v>Channel Register · channel functions 2</x:v>
      </x:c>
      <x:c r="F318" t="n">
        <x:f>Controls!$D$76</x:f>
        <x:v>1</x:v>
      </x:c>
      <x:c r="G318" t="n">
        <x:v>1</x:v>
      </x:c>
      <x:c r="H318" t="str">
        <x:v>equals</x:v>
      </x:c>
      <x:c r="I318" t="str">
        <x:v>RHP design authority</x:v>
      </x:c>
      <x:c r="J318" t="str">
        <x:f>IF(F318=G318,"PASS","GAP")</x:f>
        <x:v>PASS</x:v>
      </x:c>
    </x:row>
    <x:row r="319">
      <x:c r="B319" t="str">
        <x:v>PLN-313</x:v>
      </x:c>
      <x:c r="C319" t="str">
        <x:v>PLANNING</x:v>
      </x:c>
      <x:c r="D319" t="str">
        <x:v>channel functions</x:v>
      </x:c>
      <x:c r="E319" t="str">
        <x:v>Channel Register · channel functions 3</x:v>
      </x:c>
      <x:c r="F319" t="n">
        <x:f>Controls!$D$76</x:f>
        <x:v>1</x:v>
      </x:c>
      <x:c r="G319" t="n">
        <x:v>1</x:v>
      </x:c>
      <x:c r="H319" t="str">
        <x:v>equals</x:v>
      </x:c>
      <x:c r="I319" t="str">
        <x:v>RHP design authority</x:v>
      </x:c>
      <x:c r="J319" t="str">
        <x:f>IF(F319=G319,"PASS","GAP")</x:f>
        <x:v>PASS</x:v>
      </x:c>
    </x:row>
    <x:row r="320">
      <x:c r="B320" t="str">
        <x:v>PLN-314</x:v>
      </x:c>
      <x:c r="C320" t="str">
        <x:v>PLANNING</x:v>
      </x:c>
      <x:c r="D320" t="str">
        <x:v>channel functions</x:v>
      </x:c>
      <x:c r="E320" t="str">
        <x:v>Channel Register · channel functions 4</x:v>
      </x:c>
      <x:c r="F320" t="n">
        <x:f>Controls!$D$76</x:f>
        <x:v>1</x:v>
      </x:c>
      <x:c r="G320" t="n">
        <x:v>1</x:v>
      </x:c>
      <x:c r="H320" t="str">
        <x:v>equals</x:v>
      </x:c>
      <x:c r="I320" t="str">
        <x:v>RHP design authority</x:v>
      </x:c>
      <x:c r="J320" t="str">
        <x:f>IF(F320=G320,"PASS","GAP")</x:f>
        <x:v>PASS</x:v>
      </x:c>
    </x:row>
    <x:row r="321">
      <x:c r="B321" t="str">
        <x:v>PLN-315</x:v>
      </x:c>
      <x:c r="C321" t="str">
        <x:v>PLANNING</x:v>
      </x:c>
      <x:c r="D321" t="str">
        <x:v>channel functions</x:v>
      </x:c>
      <x:c r="E321" t="str">
        <x:v>Channel Register · channel functions 5</x:v>
      </x:c>
      <x:c r="F321" t="n">
        <x:f>Controls!$D$76</x:f>
        <x:v>1</x:v>
      </x:c>
      <x:c r="G321" t="n">
        <x:v>1</x:v>
      </x:c>
      <x:c r="H321" t="str">
        <x:v>equals</x:v>
      </x:c>
      <x:c r="I321" t="str">
        <x:v>RHP design authority</x:v>
      </x:c>
      <x:c r="J321" t="str">
        <x:f>IF(F321=G321,"PASS","GAP")</x:f>
        <x:v>PASS</x:v>
      </x:c>
    </x:row>
    <x:row r="322">
      <x:c r="B322" t="str">
        <x:v>PLN-316</x:v>
      </x:c>
      <x:c r="C322" t="str">
        <x:v>PLANNING</x:v>
      </x:c>
      <x:c r="D322" t="str">
        <x:v>channel functions</x:v>
      </x:c>
      <x:c r="E322" t="str">
        <x:v>Channel Register · channel functions 6</x:v>
      </x:c>
      <x:c r="F322" t="n">
        <x:f>Controls!$D$76</x:f>
        <x:v>1</x:v>
      </x:c>
      <x:c r="G322" t="n">
        <x:v>1</x:v>
      </x:c>
      <x:c r="H322" t="str">
        <x:v>equals</x:v>
      </x:c>
      <x:c r="I322" t="str">
        <x:v>RHP design authority</x:v>
      </x:c>
      <x:c r="J322" t="str">
        <x:f>IF(F322=G322,"PASS","GAP")</x:f>
        <x:v>PASS</x:v>
      </x:c>
    </x:row>
    <x:row r="323">
      <x:c r="B323" t="str">
        <x:v>PLN-317</x:v>
      </x:c>
      <x:c r="C323" t="str">
        <x:v>PLANNING</x:v>
      </x:c>
      <x:c r="D323" t="str">
        <x:v>channel functions</x:v>
      </x:c>
      <x:c r="E323" t="str">
        <x:v>Channel Register · channel functions 7</x:v>
      </x:c>
      <x:c r="F323" t="n">
        <x:f>Controls!$D$76</x:f>
        <x:v>1</x:v>
      </x:c>
      <x:c r="G323" t="n">
        <x:v>1</x:v>
      </x:c>
      <x:c r="H323" t="str">
        <x:v>equals</x:v>
      </x:c>
      <x:c r="I323" t="str">
        <x:v>RHP design authority</x:v>
      </x:c>
      <x:c r="J323" t="str">
        <x:f>IF(F323=G323,"PASS","GAP")</x:f>
        <x:v>PASS</x:v>
      </x:c>
    </x:row>
    <x:row r="324">
      <x:c r="B324" t="str">
        <x:v>PLN-318</x:v>
      </x:c>
      <x:c r="C324" t="str">
        <x:v>PLANNING</x:v>
      </x:c>
      <x:c r="D324" t="str">
        <x:v>channel functions</x:v>
      </x:c>
      <x:c r="E324" t="str">
        <x:v>Channel Register · channel functions 8</x:v>
      </x:c>
      <x:c r="F324" t="n">
        <x:f>Controls!$D$76</x:f>
        <x:v>1</x:v>
      </x:c>
      <x:c r="G324" t="n">
        <x:v>1</x:v>
      </x:c>
      <x:c r="H324" t="str">
        <x:v>equals</x:v>
      </x:c>
      <x:c r="I324" t="str">
        <x:v>RHP design authority</x:v>
      </x:c>
      <x:c r="J324" t="str">
        <x:f>IF(F324=G324,"PASS","GAP")</x:f>
        <x:v>PASS</x:v>
      </x:c>
    </x:row>
    <x:row r="325">
      <x:c r="B325" t="str">
        <x:v>PLN-319</x:v>
      </x:c>
      <x:c r="C325" t="str">
        <x:v>PLANNING</x:v>
      </x:c>
      <x:c r="D325" t="str">
        <x:v>channel functions</x:v>
      </x:c>
      <x:c r="E325" t="str">
        <x:v>Channel Register · channel functions 9</x:v>
      </x:c>
      <x:c r="F325" t="n">
        <x:f>Controls!$D$76</x:f>
        <x:v>1</x:v>
      </x:c>
      <x:c r="G325" t="n">
        <x:v>1</x:v>
      </x:c>
      <x:c r="H325" t="str">
        <x:v>equals</x:v>
      </x:c>
      <x:c r="I325" t="str">
        <x:v>RHP design authority</x:v>
      </x:c>
      <x:c r="J325" t="str">
        <x:f>IF(F325=G325,"PASS","GAP")</x:f>
        <x:v>PASS</x:v>
      </x:c>
    </x:row>
    <x:row r="326">
      <x:c r="B326" t="str">
        <x:v>PLN-320</x:v>
      </x:c>
      <x:c r="C326" t="str">
        <x:v>PLANNING</x:v>
      </x:c>
      <x:c r="D326" t="str">
        <x:v>channel functions</x:v>
      </x:c>
      <x:c r="E326" t="str">
        <x:v>Channel Register · channel functions 10</x:v>
      </x:c>
      <x:c r="F326" t="n">
        <x:f>Controls!$D$76</x:f>
        <x:v>1</x:v>
      </x:c>
      <x:c r="G326" t="n">
        <x:v>1</x:v>
      </x:c>
      <x:c r="H326" t="str">
        <x:v>equals</x:v>
      </x:c>
      <x:c r="I326" t="str">
        <x:v>RHP design authority</x:v>
      </x:c>
      <x:c r="J326" t="str">
        <x:f>IF(F326=G326,"PASS","GAP")</x:f>
        <x:v>PASS</x:v>
      </x:c>
    </x:row>
    <x:row r="327">
      <x:c r="B327" t="str">
        <x:v>PLN-321</x:v>
      </x:c>
      <x:c r="C327" t="str">
        <x:v>PLANNING</x:v>
      </x:c>
      <x:c r="D327" t="str">
        <x:v>channel functions</x:v>
      </x:c>
      <x:c r="E327" t="str">
        <x:v>Channel Register · channel functions 11</x:v>
      </x:c>
      <x:c r="F327" t="n">
        <x:f>Controls!$D$76</x:f>
        <x:v>1</x:v>
      </x:c>
      <x:c r="G327" t="n">
        <x:v>1</x:v>
      </x:c>
      <x:c r="H327" t="str">
        <x:v>equals</x:v>
      </x:c>
      <x:c r="I327" t="str">
        <x:v>RHP design authority</x:v>
      </x:c>
      <x:c r="J327" t="str">
        <x:f>IF(F327=G327,"PASS","GAP")</x:f>
        <x:v>PASS</x:v>
      </x:c>
    </x:row>
    <x:row r="328">
      <x:c r="B328" t="str">
        <x:v>PLN-322</x:v>
      </x:c>
      <x:c r="C328" t="str">
        <x:v>PLANNING</x:v>
      </x:c>
      <x:c r="D328" t="str">
        <x:v>channel functions</x:v>
      </x:c>
      <x:c r="E328" t="str">
        <x:v>Channel Register · channel functions 12</x:v>
      </x:c>
      <x:c r="F328" t="n">
        <x:f>Controls!$D$76</x:f>
        <x:v>1</x:v>
      </x:c>
      <x:c r="G328" t="n">
        <x:v>1</x:v>
      </x:c>
      <x:c r="H328" t="str">
        <x:v>equals</x:v>
      </x:c>
      <x:c r="I328" t="str">
        <x:v>RHP design authority</x:v>
      </x:c>
      <x:c r="J328" t="str">
        <x:f>IF(F328=G328,"PASS","GAP")</x:f>
        <x:v>PASS</x:v>
      </x:c>
    </x:row>
    <x:row r="329">
      <x:c r="B329" t="str">
        <x:v>PLN-323</x:v>
      </x:c>
      <x:c r="C329" t="str">
        <x:v>PLANNING</x:v>
      </x:c>
      <x:c r="D329" t="str">
        <x:v>channel functions</x:v>
      </x:c>
      <x:c r="E329" t="str">
        <x:v>Channel Register · channel functions 13</x:v>
      </x:c>
      <x:c r="F329" t="n">
        <x:f>Controls!$D$76</x:f>
        <x:v>1</x:v>
      </x:c>
      <x:c r="G329" t="n">
        <x:v>1</x:v>
      </x:c>
      <x:c r="H329" t="str">
        <x:v>equals</x:v>
      </x:c>
      <x:c r="I329" t="str">
        <x:v>RHP design authority</x:v>
      </x:c>
      <x:c r="J329" t="str">
        <x:f>IF(F329=G329,"PASS","GAP")</x:f>
        <x:v>PASS</x:v>
      </x:c>
    </x:row>
    <x:row r="330">
      <x:c r="B330" t="str">
        <x:v>PLN-324</x:v>
      </x:c>
      <x:c r="C330" t="str">
        <x:v>PLANNING</x:v>
      </x:c>
      <x:c r="D330" t="str">
        <x:v>channel functions</x:v>
      </x:c>
      <x:c r="E330" t="str">
        <x:v>Channel Register · channel functions 14</x:v>
      </x:c>
      <x:c r="F330" t="n">
        <x:f>Controls!$D$76</x:f>
        <x:v>1</x:v>
      </x:c>
      <x:c r="G330" t="n">
        <x:v>1</x:v>
      </x:c>
      <x:c r="H330" t="str">
        <x:v>equals</x:v>
      </x:c>
      <x:c r="I330" t="str">
        <x:v>RHP design authority</x:v>
      </x:c>
      <x:c r="J330" t="str">
        <x:f>IF(F330=G330,"PASS","GAP")</x:f>
        <x:v>PASS</x:v>
      </x:c>
    </x:row>
    <x:row r="331">
      <x:c r="B331" t="str">
        <x:v>PLN-325</x:v>
      </x:c>
      <x:c r="C331" t="str">
        <x:v>PLANNING</x:v>
      </x:c>
      <x:c r="D331" t="str">
        <x:v>channel functions</x:v>
      </x:c>
      <x:c r="E331" t="str">
        <x:v>Channel Register · channel functions 15</x:v>
      </x:c>
      <x:c r="F331" t="n">
        <x:f>Controls!$D$76</x:f>
        <x:v>1</x:v>
      </x:c>
      <x:c r="G331" t="n">
        <x:v>1</x:v>
      </x:c>
      <x:c r="H331" t="str">
        <x:v>equals</x:v>
      </x:c>
      <x:c r="I331" t="str">
        <x:v>RHP design authority</x:v>
      </x:c>
      <x:c r="J331" t="str">
        <x:f>IF(F331=G331,"PASS","GAP")</x:f>
        <x:v>PASS</x:v>
      </x:c>
    </x:row>
    <x:row r="332">
      <x:c r="B332" t="str">
        <x:v>PLN-326</x:v>
      </x:c>
      <x:c r="C332" t="str">
        <x:v>PLANNING</x:v>
      </x:c>
      <x:c r="D332" t="str">
        <x:v>channel functions</x:v>
      </x:c>
      <x:c r="E332" t="str">
        <x:v>Channel Register · channel functions 16</x:v>
      </x:c>
      <x:c r="F332" t="n">
        <x:f>Controls!$D$76</x:f>
        <x:v>1</x:v>
      </x:c>
      <x:c r="G332" t="n">
        <x:v>1</x:v>
      </x:c>
      <x:c r="H332" t="str">
        <x:v>equals</x:v>
      </x:c>
      <x:c r="I332" t="str">
        <x:v>RHP design authority</x:v>
      </x:c>
      <x:c r="J332" t="str">
        <x:f>IF(F332=G332,"PASS","GAP")</x:f>
        <x:v>PASS</x:v>
      </x:c>
    </x:row>
    <x:row r="333">
      <x:c r="B333" t="str">
        <x:v>PLN-327</x:v>
      </x:c>
      <x:c r="C333" t="str">
        <x:v>PLANNING</x:v>
      </x:c>
      <x:c r="D333" t="str">
        <x:v>channel functions</x:v>
      </x:c>
      <x:c r="E333" t="str">
        <x:v>Channel Register · channel functions 17</x:v>
      </x:c>
      <x:c r="F333" t="n">
        <x:f>Controls!$D$76</x:f>
        <x:v>1</x:v>
      </x:c>
      <x:c r="G333" t="n">
        <x:v>1</x:v>
      </x:c>
      <x:c r="H333" t="str">
        <x:v>equals</x:v>
      </x:c>
      <x:c r="I333" t="str">
        <x:v>RHP design authority</x:v>
      </x:c>
      <x:c r="J333" t="str">
        <x:f>IF(F333=G333,"PASS","GAP")</x:f>
        <x:v>PASS</x:v>
      </x:c>
    </x:row>
    <x:row r="334">
      <x:c r="B334" t="str">
        <x:v>PLN-328</x:v>
      </x:c>
      <x:c r="C334" t="str">
        <x:v>PLANNING</x:v>
      </x:c>
      <x:c r="D334" t="str">
        <x:v>channel functions</x:v>
      </x:c>
      <x:c r="E334" t="str">
        <x:v>Channel Register · channel functions 18</x:v>
      </x:c>
      <x:c r="F334" t="n">
        <x:f>Controls!$D$76</x:f>
        <x:v>1</x:v>
      </x:c>
      <x:c r="G334" t="n">
        <x:v>1</x:v>
      </x:c>
      <x:c r="H334" t="str">
        <x:v>equals</x:v>
      </x:c>
      <x:c r="I334" t="str">
        <x:v>RHP design authority</x:v>
      </x:c>
      <x:c r="J334" t="str">
        <x:f>IF(F334=G334,"PASS","GAP")</x:f>
        <x:v>PASS</x:v>
      </x:c>
    </x:row>
    <x:row r="335">
      <x:c r="B335" t="str">
        <x:v>PLN-329</x:v>
      </x:c>
      <x:c r="C335" t="str">
        <x:v>PLANNING</x:v>
      </x:c>
      <x:c r="D335" t="str">
        <x:v>source stages</x:v>
      </x:c>
      <x:c r="E335" t="str">
        <x:v>Source Sequence · source stages 1</x:v>
      </x:c>
      <x:c r="F335" t="n">
        <x:f>Controls!$D$76</x:f>
        <x:v>1</x:v>
      </x:c>
      <x:c r="G335" t="n">
        <x:v>1</x:v>
      </x:c>
      <x:c r="H335" t="str">
        <x:v>equals</x:v>
      </x:c>
      <x:c r="I335" t="str">
        <x:v>RHP design authority</x:v>
      </x:c>
      <x:c r="J335" t="str">
        <x:f>IF(F335=G335,"PASS","GAP")</x:f>
        <x:v>PASS</x:v>
      </x:c>
    </x:row>
    <x:row r="336">
      <x:c r="B336" t="str">
        <x:v>PLN-330</x:v>
      </x:c>
      <x:c r="C336" t="str">
        <x:v>PLANNING</x:v>
      </x:c>
      <x:c r="D336" t="str">
        <x:v>source stages</x:v>
      </x:c>
      <x:c r="E336" t="str">
        <x:v>Source Sequence · source stages 2</x:v>
      </x:c>
      <x:c r="F336" t="n">
        <x:f>Controls!$D$76</x:f>
        <x:v>1</x:v>
      </x:c>
      <x:c r="G336" t="n">
        <x:v>1</x:v>
      </x:c>
      <x:c r="H336" t="str">
        <x:v>equals</x:v>
      </x:c>
      <x:c r="I336" t="str">
        <x:v>RHP design authority</x:v>
      </x:c>
      <x:c r="J336" t="str">
        <x:f>IF(F336=G336,"PASS","GAP")</x:f>
        <x:v>PASS</x:v>
      </x:c>
    </x:row>
    <x:row r="337">
      <x:c r="B337" t="str">
        <x:v>PLN-331</x:v>
      </x:c>
      <x:c r="C337" t="str">
        <x:v>PLANNING</x:v>
      </x:c>
      <x:c r="D337" t="str">
        <x:v>source stages</x:v>
      </x:c>
      <x:c r="E337" t="str">
        <x:v>Source Sequence · source stages 3</x:v>
      </x:c>
      <x:c r="F337" t="n">
        <x:f>Controls!$D$76</x:f>
        <x:v>1</x:v>
      </x:c>
      <x:c r="G337" t="n">
        <x:v>1</x:v>
      </x:c>
      <x:c r="H337" t="str">
        <x:v>equals</x:v>
      </x:c>
      <x:c r="I337" t="str">
        <x:v>RHP design authority</x:v>
      </x:c>
      <x:c r="J337" t="str">
        <x:f>IF(F337=G337,"PASS","GAP")</x:f>
        <x:v>PASS</x:v>
      </x:c>
    </x:row>
    <x:row r="338">
      <x:c r="B338" t="str">
        <x:v>PLN-332</x:v>
      </x:c>
      <x:c r="C338" t="str">
        <x:v>PLANNING</x:v>
      </x:c>
      <x:c r="D338" t="str">
        <x:v>source stages</x:v>
      </x:c>
      <x:c r="E338" t="str">
        <x:v>Source Sequence · source stages 4</x:v>
      </x:c>
      <x:c r="F338" t="n">
        <x:f>Controls!$D$76</x:f>
        <x:v>1</x:v>
      </x:c>
      <x:c r="G338" t="n">
        <x:v>1</x:v>
      </x:c>
      <x:c r="H338" t="str">
        <x:v>equals</x:v>
      </x:c>
      <x:c r="I338" t="str">
        <x:v>RHP design authority</x:v>
      </x:c>
      <x:c r="J338" t="str">
        <x:f>IF(F338=G338,"PASS","GAP")</x:f>
        <x:v>PASS</x:v>
      </x:c>
    </x:row>
    <x:row r="339">
      <x:c r="B339" t="str">
        <x:v>PLN-333</x:v>
      </x:c>
      <x:c r="C339" t="str">
        <x:v>PLANNING</x:v>
      </x:c>
      <x:c r="D339" t="str">
        <x:v>source stages</x:v>
      </x:c>
      <x:c r="E339" t="str">
        <x:v>Source Sequence · source stages 5</x:v>
      </x:c>
      <x:c r="F339" t="n">
        <x:f>Controls!$D$76</x:f>
        <x:v>1</x:v>
      </x:c>
      <x:c r="G339" t="n">
        <x:v>1</x:v>
      </x:c>
      <x:c r="H339" t="str">
        <x:v>equals</x:v>
      </x:c>
      <x:c r="I339" t="str">
        <x:v>RHP design authority</x:v>
      </x:c>
      <x:c r="J339" t="str">
        <x:f>IF(F339=G339,"PASS","GAP")</x:f>
        <x:v>PASS</x:v>
      </x:c>
    </x:row>
    <x:row r="340">
      <x:c r="B340" t="str">
        <x:v>PLN-334</x:v>
      </x:c>
      <x:c r="C340" t="str">
        <x:v>PLANNING</x:v>
      </x:c>
      <x:c r="D340" t="str">
        <x:v>source stages</x:v>
      </x:c>
      <x:c r="E340" t="str">
        <x:v>Source Sequence · source stages 6</x:v>
      </x:c>
      <x:c r="F340" t="n">
        <x:f>Controls!$D$76</x:f>
        <x:v>1</x:v>
      </x:c>
      <x:c r="G340" t="n">
        <x:v>1</x:v>
      </x:c>
      <x:c r="H340" t="str">
        <x:v>equals</x:v>
      </x:c>
      <x:c r="I340" t="str">
        <x:v>RHP design authority</x:v>
      </x:c>
      <x:c r="J340" t="str">
        <x:f>IF(F340=G340,"PASS","GAP")</x:f>
        <x:v>PASS</x:v>
      </x:c>
    </x:row>
    <x:row r="341">
      <x:c r="B341" t="str">
        <x:v>PLN-335</x:v>
      </x:c>
      <x:c r="C341" t="str">
        <x:v>PLANNING</x:v>
      </x:c>
      <x:c r="D341" t="str">
        <x:v>source stages</x:v>
      </x:c>
      <x:c r="E341" t="str">
        <x:v>Source Sequence · source stages 7</x:v>
      </x:c>
      <x:c r="F341" t="n">
        <x:f>Controls!$D$76</x:f>
        <x:v>1</x:v>
      </x:c>
      <x:c r="G341" t="n">
        <x:v>1</x:v>
      </x:c>
      <x:c r="H341" t="str">
        <x:v>equals</x:v>
      </x:c>
      <x:c r="I341" t="str">
        <x:v>RHP design authority</x:v>
      </x:c>
      <x:c r="J341" t="str">
        <x:f>IF(F341=G341,"PASS","GAP")</x:f>
        <x:v>PASS</x:v>
      </x:c>
    </x:row>
    <x:row r="342">
      <x:c r="B342" t="str">
        <x:v>PLN-336</x:v>
      </x:c>
      <x:c r="C342" t="str">
        <x:v>PLANNING</x:v>
      </x:c>
      <x:c r="D342" t="str">
        <x:v>source stages</x:v>
      </x:c>
      <x:c r="E342" t="str">
        <x:v>Source Sequence · source stages 8</x:v>
      </x:c>
      <x:c r="F342" t="n">
        <x:f>Controls!$D$76</x:f>
        <x:v>1</x:v>
      </x:c>
      <x:c r="G342" t="n">
        <x:v>1</x:v>
      </x:c>
      <x:c r="H342" t="str">
        <x:v>equals</x:v>
      </x:c>
      <x:c r="I342" t="str">
        <x:v>RHP design authority</x:v>
      </x:c>
      <x:c r="J342" t="str">
        <x:f>IF(F342=G342,"PASS","GAP")</x:f>
        <x:v>PASS</x:v>
      </x:c>
    </x:row>
    <x:row r="343">
      <x:c r="B343" t="str">
        <x:v>PLN-337</x:v>
      </x:c>
      <x:c r="C343" t="str">
        <x:v>PLANNING</x:v>
      </x:c>
      <x:c r="D343" t="str">
        <x:v>source stages</x:v>
      </x:c>
      <x:c r="E343" t="str">
        <x:v>Source Sequence · source stages 9</x:v>
      </x:c>
      <x:c r="F343" t="n">
        <x:f>Controls!$D$76</x:f>
        <x:v>1</x:v>
      </x:c>
      <x:c r="G343" t="n">
        <x:v>1</x:v>
      </x:c>
      <x:c r="H343" t="str">
        <x:v>equals</x:v>
      </x:c>
      <x:c r="I343" t="str">
        <x:v>RHP design authority</x:v>
      </x:c>
      <x:c r="J343" t="str">
        <x:f>IF(F343=G343,"PASS","GAP")</x:f>
        <x:v>PASS</x:v>
      </x:c>
    </x:row>
    <x:row r="344">
      <x:c r="B344" t="str">
        <x:v>PLN-338</x:v>
      </x:c>
      <x:c r="C344" t="str">
        <x:v>PLANNING</x:v>
      </x:c>
      <x:c r="D344" t="str">
        <x:v>source stages</x:v>
      </x:c>
      <x:c r="E344" t="str">
        <x:v>Source Sequence · source stages 10</x:v>
      </x:c>
      <x:c r="F344" t="n">
        <x:f>Controls!$D$76</x:f>
        <x:v>1</x:v>
      </x:c>
      <x:c r="G344" t="n">
        <x:v>1</x:v>
      </x:c>
      <x:c r="H344" t="str">
        <x:v>equals</x:v>
      </x:c>
      <x:c r="I344" t="str">
        <x:v>RHP design authority</x:v>
      </x:c>
      <x:c r="J344" t="str">
        <x:f>IF(F344=G344,"PASS","GAP")</x:f>
        <x:v>PASS</x:v>
      </x:c>
    </x:row>
    <x:row r="345">
      <x:c r="B345" t="str">
        <x:v>PLN-339</x:v>
      </x:c>
      <x:c r="C345" t="str">
        <x:v>PLANNING</x:v>
      </x:c>
      <x:c r="D345" t="str">
        <x:v>safety paths</x:v>
      </x:c>
      <x:c r="E345" t="str">
        <x:v>Safety Logic · safety paths 1</x:v>
      </x:c>
      <x:c r="F345" t="n">
        <x:f>Controls!$D$76</x:f>
        <x:v>1</x:v>
      </x:c>
      <x:c r="G345" t="n">
        <x:v>1</x:v>
      </x:c>
      <x:c r="H345" t="str">
        <x:v>equals</x:v>
      </x:c>
      <x:c r="I345" t="str">
        <x:v>RHP design authority</x:v>
      </x:c>
      <x:c r="J345" t="str">
        <x:f>IF(F345=G345,"PASS","GAP")</x:f>
        <x:v>PASS</x:v>
      </x:c>
    </x:row>
    <x:row r="346">
      <x:c r="B346" t="str">
        <x:v>PLN-340</x:v>
      </x:c>
      <x:c r="C346" t="str">
        <x:v>PLANNING</x:v>
      </x:c>
      <x:c r="D346" t="str">
        <x:v>safety paths</x:v>
      </x:c>
      <x:c r="E346" t="str">
        <x:v>Safety Logic · safety paths 2</x:v>
      </x:c>
      <x:c r="F346" t="n">
        <x:f>Controls!$D$76</x:f>
        <x:v>1</x:v>
      </x:c>
      <x:c r="G346" t="n">
        <x:v>1</x:v>
      </x:c>
      <x:c r="H346" t="str">
        <x:v>equals</x:v>
      </x:c>
      <x:c r="I346" t="str">
        <x:v>RHP design authority</x:v>
      </x:c>
      <x:c r="J346" t="str">
        <x:f>IF(F346=G346,"PASS","GAP")</x:f>
        <x:v>PASS</x:v>
      </x:c>
    </x:row>
    <x:row r="347">
      <x:c r="B347" t="str">
        <x:v>PLN-341</x:v>
      </x:c>
      <x:c r="C347" t="str">
        <x:v>PLANNING</x:v>
      </x:c>
      <x:c r="D347" t="str">
        <x:v>safety paths</x:v>
      </x:c>
      <x:c r="E347" t="str">
        <x:v>Safety Logic · safety paths 3</x:v>
      </x:c>
      <x:c r="F347" t="n">
        <x:f>Controls!$D$76</x:f>
        <x:v>1</x:v>
      </x:c>
      <x:c r="G347" t="n">
        <x:v>1</x:v>
      </x:c>
      <x:c r="H347" t="str">
        <x:v>equals</x:v>
      </x:c>
      <x:c r="I347" t="str">
        <x:v>RHP design authority</x:v>
      </x:c>
      <x:c r="J347" t="str">
        <x:f>IF(F347=G347,"PASS","GAP")</x:f>
        <x:v>PASS</x:v>
      </x:c>
    </x:row>
    <x:row r="348">
      <x:c r="B348" t="str">
        <x:v>PLN-342</x:v>
      </x:c>
      <x:c r="C348" t="str">
        <x:v>PLANNING</x:v>
      </x:c>
      <x:c r="D348" t="str">
        <x:v>safety paths</x:v>
      </x:c>
      <x:c r="E348" t="str">
        <x:v>Safety Logic · safety paths 4</x:v>
      </x:c>
      <x:c r="F348" t="n">
        <x:f>Controls!$D$76</x:f>
        <x:v>1</x:v>
      </x:c>
      <x:c r="G348" t="n">
        <x:v>1</x:v>
      </x:c>
      <x:c r="H348" t="str">
        <x:v>equals</x:v>
      </x:c>
      <x:c r="I348" t="str">
        <x:v>RHP design authority</x:v>
      </x:c>
      <x:c r="J348" t="str">
        <x:f>IF(F348=G348,"PASS","GAP")</x:f>
        <x:v>PASS</x:v>
      </x:c>
    </x:row>
    <x:row r="349">
      <x:c r="B349" t="str">
        <x:v>PLN-343</x:v>
      </x:c>
      <x:c r="C349" t="str">
        <x:v>PLANNING</x:v>
      </x:c>
      <x:c r="D349" t="str">
        <x:v>safety paths</x:v>
      </x:c>
      <x:c r="E349" t="str">
        <x:v>Safety Logic · safety paths 5</x:v>
      </x:c>
      <x:c r="F349" t="n">
        <x:f>Controls!$D$76</x:f>
        <x:v>1</x:v>
      </x:c>
      <x:c r="G349" t="n">
        <x:v>1</x:v>
      </x:c>
      <x:c r="H349" t="str">
        <x:v>equals</x:v>
      </x:c>
      <x:c r="I349" t="str">
        <x:v>RHP design authority</x:v>
      </x:c>
      <x:c r="J349" t="str">
        <x:f>IF(F349=G349,"PASS","GAP")</x:f>
        <x:v>PASS</x:v>
      </x:c>
    </x:row>
    <x:row r="350">
      <x:c r="B350" t="str">
        <x:v>PLN-344</x:v>
      </x:c>
      <x:c r="C350" t="str">
        <x:v>PLANNING</x:v>
      </x:c>
      <x:c r="D350" t="str">
        <x:v>safety paths</x:v>
      </x:c>
      <x:c r="E350" t="str">
        <x:v>Safety Logic · safety paths 6</x:v>
      </x:c>
      <x:c r="F350" t="n">
        <x:f>Controls!$D$76</x:f>
        <x:v>1</x:v>
      </x:c>
      <x:c r="G350" t="n">
        <x:v>1</x:v>
      </x:c>
      <x:c r="H350" t="str">
        <x:v>equals</x:v>
      </x:c>
      <x:c r="I350" t="str">
        <x:v>RHP design authority</x:v>
      </x:c>
      <x:c r="J350" t="str">
        <x:f>IF(F350=G350,"PASS","GAP")</x:f>
        <x:v>PASS</x:v>
      </x:c>
    </x:row>
    <x:row r="351">
      <x:c r="B351" t="str">
        <x:v>PLN-345</x:v>
      </x:c>
      <x:c r="C351" t="str">
        <x:v>PLANNING</x:v>
      </x:c>
      <x:c r="D351" t="str">
        <x:v>safety paths</x:v>
      </x:c>
      <x:c r="E351" t="str">
        <x:v>Safety Logic · safety paths 7</x:v>
      </x:c>
      <x:c r="F351" t="n">
        <x:f>Controls!$D$76</x:f>
        <x:v>1</x:v>
      </x:c>
      <x:c r="G351" t="n">
        <x:v>1</x:v>
      </x:c>
      <x:c r="H351" t="str">
        <x:v>equals</x:v>
      </x:c>
      <x:c r="I351" t="str">
        <x:v>RHP design authority</x:v>
      </x:c>
      <x:c r="J351" t="str">
        <x:f>IF(F351=G351,"PASS","GAP")</x:f>
        <x:v>PASS</x:v>
      </x:c>
    </x:row>
    <x:row r="352">
      <x:c r="B352" t="str">
        <x:v>PLN-346</x:v>
      </x:c>
      <x:c r="C352" t="str">
        <x:v>PLANNING</x:v>
      </x:c>
      <x:c r="D352" t="str">
        <x:v>safety paths</x:v>
      </x:c>
      <x:c r="E352" t="str">
        <x:v>Safety Logic · safety paths 8</x:v>
      </x:c>
      <x:c r="F352" t="n">
        <x:f>Controls!$D$76</x:f>
        <x:v>1</x:v>
      </x:c>
      <x:c r="G352" t="n">
        <x:v>1</x:v>
      </x:c>
      <x:c r="H352" t="str">
        <x:v>equals</x:v>
      </x:c>
      <x:c r="I352" t="str">
        <x:v>RHP design authority</x:v>
      </x:c>
      <x:c r="J352" t="str">
        <x:f>IF(F352=G352,"PASS","GAP")</x:f>
        <x:v>PASS</x:v>
      </x:c>
    </x:row>
    <x:row r="353">
      <x:c r="B353" t="str">
        <x:v>PLN-347</x:v>
      </x:c>
      <x:c r="C353" t="str">
        <x:v>PLANNING</x:v>
      </x:c>
      <x:c r="D353" t="str">
        <x:v>safety paths</x:v>
      </x:c>
      <x:c r="E353" t="str">
        <x:v>Safety Logic · safety paths 9</x:v>
      </x:c>
      <x:c r="F353" t="n">
        <x:f>Controls!$D$76</x:f>
        <x:v>1</x:v>
      </x:c>
      <x:c r="G353" t="n">
        <x:v>1</x:v>
      </x:c>
      <x:c r="H353" t="str">
        <x:v>equals</x:v>
      </x:c>
      <x:c r="I353" t="str">
        <x:v>RHP design authority</x:v>
      </x:c>
      <x:c r="J353" t="str">
        <x:f>IF(F353=G353,"PASS","GAP")</x:f>
        <x:v>PASS</x:v>
      </x:c>
    </x:row>
    <x:row r="354">
      <x:c r="B354" t="str">
        <x:v>PLN-348</x:v>
      </x:c>
      <x:c r="C354" t="str">
        <x:v>PLANNING</x:v>
      </x:c>
      <x:c r="D354" t="str">
        <x:v>safety paths</x:v>
      </x:c>
      <x:c r="E354" t="str">
        <x:v>Safety Logic · safety paths 10</x:v>
      </x:c>
      <x:c r="F354" t="n">
        <x:f>Controls!$D$76</x:f>
        <x:v>1</x:v>
      </x:c>
      <x:c r="G354" t="n">
        <x:v>1</x:v>
      </x:c>
      <x:c r="H354" t="str">
        <x:v>equals</x:v>
      </x:c>
      <x:c r="I354" t="str">
        <x:v>RHP design authority</x:v>
      </x:c>
      <x:c r="J354" t="str">
        <x:f>IF(F354=G354,"PASS","GAP")</x:f>
        <x:v>PASS</x:v>
      </x:c>
    </x:row>
    <x:row r="355">
      <x:c r="B355" t="str">
        <x:v>PLN-349</x:v>
      </x:c>
      <x:c r="C355" t="str">
        <x:v>PLANNING</x:v>
      </x:c>
      <x:c r="D355" t="str">
        <x:v>safety paths</x:v>
      </x:c>
      <x:c r="E355" t="str">
        <x:v>Safety Logic · safety paths 11</x:v>
      </x:c>
      <x:c r="F355" t="n">
        <x:f>Controls!$D$76</x:f>
        <x:v>1</x:v>
      </x:c>
      <x:c r="G355" t="n">
        <x:v>1</x:v>
      </x:c>
      <x:c r="H355" t="str">
        <x:v>equals</x:v>
      </x:c>
      <x:c r="I355" t="str">
        <x:v>RHP design authority</x:v>
      </x:c>
      <x:c r="J355" t="str">
        <x:f>IF(F355=G355,"PASS","GAP")</x:f>
        <x:v>PASS</x:v>
      </x:c>
    </x:row>
    <x:row r="356">
      <x:c r="B356" t="str">
        <x:v>PLN-350</x:v>
      </x:c>
      <x:c r="C356" t="str">
        <x:v>PLANNING</x:v>
      </x:c>
      <x:c r="D356" t="str">
        <x:v>safety paths</x:v>
      </x:c>
      <x:c r="E356" t="str">
        <x:v>Safety Logic · safety paths 12</x:v>
      </x:c>
      <x:c r="F356" t="n">
        <x:f>Controls!$D$76</x:f>
        <x:v>1</x:v>
      </x:c>
      <x:c r="G356" t="n">
        <x:v>1</x:v>
      </x:c>
      <x:c r="H356" t="str">
        <x:v>equals</x:v>
      </x:c>
      <x:c r="I356" t="str">
        <x:v>RHP design authority</x:v>
      </x:c>
      <x:c r="J356" t="str">
        <x:f>IF(F356=G356,"PASS","GAP")</x:f>
        <x:v>PASS</x:v>
      </x:c>
    </x:row>
    <x:row r="357">
      <x:c r="B357" t="str">
        <x:v>PLN-351</x:v>
      </x:c>
      <x:c r="C357" t="str">
        <x:v>PLANNING</x:v>
      </x:c>
      <x:c r="D357" t="str">
        <x:v>safety paths</x:v>
      </x:c>
      <x:c r="E357" t="str">
        <x:v>Safety Logic · safety paths 13</x:v>
      </x:c>
      <x:c r="F357" t="n">
        <x:f>Controls!$D$76</x:f>
        <x:v>1</x:v>
      </x:c>
      <x:c r="G357" t="n">
        <x:v>1</x:v>
      </x:c>
      <x:c r="H357" t="str">
        <x:v>equals</x:v>
      </x:c>
      <x:c r="I357" t="str">
        <x:v>RHP design authority</x:v>
      </x:c>
      <x:c r="J357" t="str">
        <x:f>IF(F357=G357,"PASS","GAP")</x:f>
        <x:v>PASS</x:v>
      </x:c>
    </x:row>
    <x:row r="358">
      <x:c r="B358" t="str">
        <x:v>PLN-352</x:v>
      </x:c>
      <x:c r="C358" t="str">
        <x:v>PLANNING</x:v>
      </x:c>
      <x:c r="D358" t="str">
        <x:v>safety paths</x:v>
      </x:c>
      <x:c r="E358" t="str">
        <x:v>Safety Logic · safety paths 14</x:v>
      </x:c>
      <x:c r="F358" t="n">
        <x:f>Controls!$D$76</x:f>
        <x:v>1</x:v>
      </x:c>
      <x:c r="G358" t="n">
        <x:v>1</x:v>
      </x:c>
      <x:c r="H358" t="str">
        <x:v>equals</x:v>
      </x:c>
      <x:c r="I358" t="str">
        <x:v>RHP design authority</x:v>
      </x:c>
      <x:c r="J358" t="str">
        <x:f>IF(F358=G358,"PASS","GAP")</x:f>
        <x:v>PASS</x:v>
      </x:c>
    </x:row>
    <x:row r="359">
      <x:c r="B359" t="str">
        <x:v>PLN-353</x:v>
      </x:c>
      <x:c r="C359" t="str">
        <x:v>PLANNING</x:v>
      </x:c>
      <x:c r="D359" t="str">
        <x:v>safety paths</x:v>
      </x:c>
      <x:c r="E359" t="str">
        <x:v>Safety Logic · safety paths 15</x:v>
      </x:c>
      <x:c r="F359" t="n">
        <x:f>Controls!$D$76</x:f>
        <x:v>1</x:v>
      </x:c>
      <x:c r="G359" t="n">
        <x:v>1</x:v>
      </x:c>
      <x:c r="H359" t="str">
        <x:v>equals</x:v>
      </x:c>
      <x:c r="I359" t="str">
        <x:v>RHP design authority</x:v>
      </x:c>
      <x:c r="J359" t="str">
        <x:f>IF(F359=G359,"PASS","GAP")</x:f>
        <x:v>PASS</x:v>
      </x:c>
    </x:row>
    <x:row r="360">
      <x:c r="B360" t="str">
        <x:v>PLN-354</x:v>
      </x:c>
      <x:c r="C360" t="str">
        <x:v>PLANNING</x:v>
      </x:c>
      <x:c r="D360" t="str">
        <x:v>safety paths</x:v>
      </x:c>
      <x:c r="E360" t="str">
        <x:v>Safety Logic · safety paths 16</x:v>
      </x:c>
      <x:c r="F360" t="n">
        <x:f>Controls!$D$76</x:f>
        <x:v>1</x:v>
      </x:c>
      <x:c r="G360" t="n">
        <x:v>1</x:v>
      </x:c>
      <x:c r="H360" t="str">
        <x:v>equals</x:v>
      </x:c>
      <x:c r="I360" t="str">
        <x:v>RHP design authority</x:v>
      </x:c>
      <x:c r="J360" t="str">
        <x:f>IF(F360=G360,"PASS","GAP")</x:f>
        <x:v>PASS</x:v>
      </x:c>
    </x:row>
    <x:row r="361">
      <x:c r="B361" t="str">
        <x:v>PLN-355</x:v>
      </x:c>
      <x:c r="C361" t="str">
        <x:v>PLANNING</x:v>
      </x:c>
      <x:c r="D361" t="str">
        <x:v>safety paths</x:v>
      </x:c>
      <x:c r="E361" t="str">
        <x:v>Safety Logic · safety paths 17</x:v>
      </x:c>
      <x:c r="F361" t="n">
        <x:f>Controls!$D$76</x:f>
        <x:v>1</x:v>
      </x:c>
      <x:c r="G361" t="n">
        <x:v>1</x:v>
      </x:c>
      <x:c r="H361" t="str">
        <x:v>equals</x:v>
      </x:c>
      <x:c r="I361" t="str">
        <x:v>RHP design authority</x:v>
      </x:c>
      <x:c r="J361" t="str">
        <x:f>IF(F361=G361,"PASS","GAP")</x:f>
        <x:v>PASS</x:v>
      </x:c>
    </x:row>
    <x:row r="362">
      <x:c r="B362" t="str">
        <x:v>PLN-356</x:v>
      </x:c>
      <x:c r="C362" t="str">
        <x:v>PLANNING</x:v>
      </x:c>
      <x:c r="D362" t="str">
        <x:v>safety paths</x:v>
      </x:c>
      <x:c r="E362" t="str">
        <x:v>Safety Logic · safety paths 18</x:v>
      </x:c>
      <x:c r="F362" t="n">
        <x:f>Controls!$D$76</x:f>
        <x:v>1</x:v>
      </x:c>
      <x:c r="G362" t="n">
        <x:v>1</x:v>
      </x:c>
      <x:c r="H362" t="str">
        <x:v>equals</x:v>
      </x:c>
      <x:c r="I362" t="str">
        <x:v>RHP design authority</x:v>
      </x:c>
      <x:c r="J362" t="str">
        <x:f>IF(F362=G362,"PASS","GAP")</x:f>
        <x:v>PASS</x:v>
      </x:c>
    </x:row>
    <x:row r="363">
      <x:c r="B363" t="str">
        <x:v>PLN-357</x:v>
      </x:c>
      <x:c r="C363" t="str">
        <x:v>PLANNING</x:v>
      </x:c>
      <x:c r="D363" t="str">
        <x:v>rescue packages</x:v>
      </x:c>
      <x:c r="E363" t="str">
        <x:v>Rescue Recovery · rescue packages 1</x:v>
      </x:c>
      <x:c r="F363" t="n">
        <x:f>Controls!$D$76</x:f>
        <x:v>1</x:v>
      </x:c>
      <x:c r="G363" t="n">
        <x:v>1</x:v>
      </x:c>
      <x:c r="H363" t="str">
        <x:v>equals</x:v>
      </x:c>
      <x:c r="I363" t="str">
        <x:v>RHP design authority</x:v>
      </x:c>
      <x:c r="J363" t="str">
        <x:f>IF(F363=G363,"PASS","GAP")</x:f>
        <x:v>PASS</x:v>
      </x:c>
    </x:row>
    <x:row r="364">
      <x:c r="B364" t="str">
        <x:v>PLN-358</x:v>
      </x:c>
      <x:c r="C364" t="str">
        <x:v>PLANNING</x:v>
      </x:c>
      <x:c r="D364" t="str">
        <x:v>rescue packages</x:v>
      </x:c>
      <x:c r="E364" t="str">
        <x:v>Rescue Recovery · rescue packages 2</x:v>
      </x:c>
      <x:c r="F364" t="n">
        <x:f>Controls!$D$76</x:f>
        <x:v>1</x:v>
      </x:c>
      <x:c r="G364" t="n">
        <x:v>1</x:v>
      </x:c>
      <x:c r="H364" t="str">
        <x:v>equals</x:v>
      </x:c>
      <x:c r="I364" t="str">
        <x:v>RHP design authority</x:v>
      </x:c>
      <x:c r="J364" t="str">
        <x:f>IF(F364=G364,"PASS","GAP")</x:f>
        <x:v>PASS</x:v>
      </x:c>
    </x:row>
    <x:row r="365">
      <x:c r="B365" t="str">
        <x:v>PLN-359</x:v>
      </x:c>
      <x:c r="C365" t="str">
        <x:v>PLANNING</x:v>
      </x:c>
      <x:c r="D365" t="str">
        <x:v>rescue packages</x:v>
      </x:c>
      <x:c r="E365" t="str">
        <x:v>Rescue Recovery · rescue packages 3</x:v>
      </x:c>
      <x:c r="F365" t="n">
        <x:f>Controls!$D$76</x:f>
        <x:v>1</x:v>
      </x:c>
      <x:c r="G365" t="n">
        <x:v>1</x:v>
      </x:c>
      <x:c r="H365" t="str">
        <x:v>equals</x:v>
      </x:c>
      <x:c r="I365" t="str">
        <x:v>RHP design authority</x:v>
      </x:c>
      <x:c r="J365" t="str">
        <x:f>IF(F365=G365,"PASS","GAP")</x:f>
        <x:v>PASS</x:v>
      </x:c>
    </x:row>
    <x:row r="366">
      <x:c r="B366" t="str">
        <x:v>PLN-360</x:v>
      </x:c>
      <x:c r="C366" t="str">
        <x:v>PLANNING</x:v>
      </x:c>
      <x:c r="D366" t="str">
        <x:v>rescue packages</x:v>
      </x:c>
      <x:c r="E366" t="str">
        <x:v>Rescue Recovery · rescue packages 4</x:v>
      </x:c>
      <x:c r="F366" t="n">
        <x:f>Controls!$D$76</x:f>
        <x:v>1</x:v>
      </x:c>
      <x:c r="G366" t="n">
        <x:v>1</x:v>
      </x:c>
      <x:c r="H366" t="str">
        <x:v>equals</x:v>
      </x:c>
      <x:c r="I366" t="str">
        <x:v>RHP design authority</x:v>
      </x:c>
      <x:c r="J366" t="str">
        <x:f>IF(F366=G366,"PASS","GAP")</x:f>
        <x:v>PASS</x:v>
      </x:c>
    </x:row>
    <x:row r="367">
      <x:c r="B367" t="str">
        <x:v>PLN-361</x:v>
      </x:c>
      <x:c r="C367" t="str">
        <x:v>PLANNING</x:v>
      </x:c>
      <x:c r="D367" t="str">
        <x:v>rescue packages</x:v>
      </x:c>
      <x:c r="E367" t="str">
        <x:v>Rescue Recovery · rescue packages 5</x:v>
      </x:c>
      <x:c r="F367" t="n">
        <x:f>Controls!$D$76</x:f>
        <x:v>1</x:v>
      </x:c>
      <x:c r="G367" t="n">
        <x:v>1</x:v>
      </x:c>
      <x:c r="H367" t="str">
        <x:v>equals</x:v>
      </x:c>
      <x:c r="I367" t="str">
        <x:v>RHP design authority</x:v>
      </x:c>
      <x:c r="J367" t="str">
        <x:f>IF(F367=G367,"PASS","GAP")</x:f>
        <x:v>PASS</x:v>
      </x:c>
    </x:row>
    <x:row r="368">
      <x:c r="B368" t="str">
        <x:v>PLN-362</x:v>
      </x:c>
      <x:c r="C368" t="str">
        <x:v>PLANNING</x:v>
      </x:c>
      <x:c r="D368" t="str">
        <x:v>rescue packages</x:v>
      </x:c>
      <x:c r="E368" t="str">
        <x:v>Rescue Recovery · rescue packages 6</x:v>
      </x:c>
      <x:c r="F368" t="n">
        <x:f>Controls!$D$76</x:f>
        <x:v>1</x:v>
      </x:c>
      <x:c r="G368" t="n">
        <x:v>1</x:v>
      </x:c>
      <x:c r="H368" t="str">
        <x:v>equals</x:v>
      </x:c>
      <x:c r="I368" t="str">
        <x:v>RHP design authority</x:v>
      </x:c>
      <x:c r="J368" t="str">
        <x:f>IF(F368=G368,"PASS","GAP")</x:f>
        <x:v>PASS</x:v>
      </x:c>
    </x:row>
    <x:row r="369">
      <x:c r="B369" t="str">
        <x:v>PLN-363</x:v>
      </x:c>
      <x:c r="C369" t="str">
        <x:v>PLANNING</x:v>
      </x:c>
      <x:c r="D369" t="str">
        <x:v>schedule phases</x:v>
      </x:c>
      <x:c r="E369" t="str">
        <x:v>Schedule · schedule phases 1</x:v>
      </x:c>
      <x:c r="F369" t="n">
        <x:f>Controls!$D$76</x:f>
        <x:v>1</x:v>
      </x:c>
      <x:c r="G369" t="n">
        <x:v>1</x:v>
      </x:c>
      <x:c r="H369" t="str">
        <x:v>equals</x:v>
      </x:c>
      <x:c r="I369" t="str">
        <x:v>RHP design authority</x:v>
      </x:c>
      <x:c r="J369" t="str">
        <x:f>IF(F369=G369,"PASS","GAP")</x:f>
        <x:v>PASS</x:v>
      </x:c>
    </x:row>
    <x:row r="370">
      <x:c r="B370" t="str">
        <x:v>PLN-364</x:v>
      </x:c>
      <x:c r="C370" t="str">
        <x:v>PLANNING</x:v>
      </x:c>
      <x:c r="D370" t="str">
        <x:v>schedule phases</x:v>
      </x:c>
      <x:c r="E370" t="str">
        <x:v>Schedule · schedule phases 2</x:v>
      </x:c>
      <x:c r="F370" t="n">
        <x:f>Controls!$D$76</x:f>
        <x:v>1</x:v>
      </x:c>
      <x:c r="G370" t="n">
        <x:v>1</x:v>
      </x:c>
      <x:c r="H370" t="str">
        <x:v>equals</x:v>
      </x:c>
      <x:c r="I370" t="str">
        <x:v>RHP design authority</x:v>
      </x:c>
      <x:c r="J370" t="str">
        <x:f>IF(F370=G370,"PASS","GAP")</x:f>
        <x:v>PASS</x:v>
      </x:c>
    </x:row>
    <x:row r="371">
      <x:c r="B371" t="str">
        <x:v>PLN-365</x:v>
      </x:c>
      <x:c r="C371" t="str">
        <x:v>PLANNING</x:v>
      </x:c>
      <x:c r="D371" t="str">
        <x:v>schedule phases</x:v>
      </x:c>
      <x:c r="E371" t="str">
        <x:v>Schedule · schedule phases 3</x:v>
      </x:c>
      <x:c r="F371" t="n">
        <x:f>Controls!$D$76</x:f>
        <x:v>1</x:v>
      </x:c>
      <x:c r="G371" t="n">
        <x:v>1</x:v>
      </x:c>
      <x:c r="H371" t="str">
        <x:v>equals</x:v>
      </x:c>
      <x:c r="I371" t="str">
        <x:v>RHP design authority</x:v>
      </x:c>
      <x:c r="J371" t="str">
        <x:f>IF(F371=G371,"PASS","GAP")</x:f>
        <x:v>PASS</x:v>
      </x:c>
    </x:row>
    <x:row r="372">
      <x:c r="B372" t="str">
        <x:v>PLN-366</x:v>
      </x:c>
      <x:c r="C372" t="str">
        <x:v>PLANNING</x:v>
      </x:c>
      <x:c r="D372" t="str">
        <x:v>schedule phases</x:v>
      </x:c>
      <x:c r="E372" t="str">
        <x:v>Schedule · schedule phases 4</x:v>
      </x:c>
      <x:c r="F372" t="n">
        <x:f>Controls!$D$76</x:f>
        <x:v>1</x:v>
      </x:c>
      <x:c r="G372" t="n">
        <x:v>1</x:v>
      </x:c>
      <x:c r="H372" t="str">
        <x:v>equals</x:v>
      </x:c>
      <x:c r="I372" t="str">
        <x:v>RHP design authority</x:v>
      </x:c>
      <x:c r="J372" t="str">
        <x:f>IF(F372=G372,"PASS","GAP")</x:f>
        <x:v>PASS</x:v>
      </x:c>
    </x:row>
    <x:row r="373">
      <x:c r="B373" t="str">
        <x:v>PLN-367</x:v>
      </x:c>
      <x:c r="C373" t="str">
        <x:v>PLANNING</x:v>
      </x:c>
      <x:c r="D373" t="str">
        <x:v>schedule phases</x:v>
      </x:c>
      <x:c r="E373" t="str">
        <x:v>Schedule · schedule phases 5</x:v>
      </x:c>
      <x:c r="F373" t="n">
        <x:f>Controls!$D$76</x:f>
        <x:v>1</x:v>
      </x:c>
      <x:c r="G373" t="n">
        <x:v>1</x:v>
      </x:c>
      <x:c r="H373" t="str">
        <x:v>equals</x:v>
      </x:c>
      <x:c r="I373" t="str">
        <x:v>RHP design authority</x:v>
      </x:c>
      <x:c r="J373" t="str">
        <x:f>IF(F373=G373,"PASS","GAP")</x:f>
        <x:v>PASS</x:v>
      </x:c>
    </x:row>
    <x:row r="374">
      <x:c r="B374" t="str">
        <x:v>PLN-368</x:v>
      </x:c>
      <x:c r="C374" t="str">
        <x:v>PLANNING</x:v>
      </x:c>
      <x:c r="D374" t="str">
        <x:v>schedule phases</x:v>
      </x:c>
      <x:c r="E374" t="str">
        <x:v>Schedule · schedule phases 6</x:v>
      </x:c>
      <x:c r="F374" t="n">
        <x:f>Controls!$D$76</x:f>
        <x:v>1</x:v>
      </x:c>
      <x:c r="G374" t="n">
        <x:v>1</x:v>
      </x:c>
      <x:c r="H374" t="str">
        <x:v>equals</x:v>
      </x:c>
      <x:c r="I374" t="str">
        <x:v>RHP design authority</x:v>
      </x:c>
      <x:c r="J374" t="str">
        <x:f>IF(F374=G374,"PASS","GAP")</x:f>
        <x:v>PASS</x:v>
      </x:c>
    </x:row>
    <x:row r="375">
      <x:c r="B375" t="str">
        <x:v>PLN-369</x:v>
      </x:c>
      <x:c r="C375" t="str">
        <x:v>PLANNING</x:v>
      </x:c>
      <x:c r="D375" t="str">
        <x:v>schedule phases</x:v>
      </x:c>
      <x:c r="E375" t="str">
        <x:v>Schedule · schedule phases 7</x:v>
      </x:c>
      <x:c r="F375" t="n">
        <x:f>Controls!$D$76</x:f>
        <x:v>1</x:v>
      </x:c>
      <x:c r="G375" t="n">
        <x:v>1</x:v>
      </x:c>
      <x:c r="H375" t="str">
        <x:v>equals</x:v>
      </x:c>
      <x:c r="I375" t="str">
        <x:v>RHP design authority</x:v>
      </x:c>
      <x:c r="J375" t="str">
        <x:f>IF(F375=G375,"PASS","GAP")</x:f>
        <x:v>PASS</x:v>
      </x:c>
    </x:row>
    <x:row r="376">
      <x:c r="B376" t="str">
        <x:v>PLN-370</x:v>
      </x:c>
      <x:c r="C376" t="str">
        <x:v>PLANNING</x:v>
      </x:c>
      <x:c r="D376" t="str">
        <x:v>schedule phases</x:v>
      </x:c>
      <x:c r="E376" t="str">
        <x:v>Schedule · schedule phases 8</x:v>
      </x:c>
      <x:c r="F376" t="n">
        <x:f>Controls!$D$76</x:f>
        <x:v>1</x:v>
      </x:c>
      <x:c r="G376" t="n">
        <x:v>1</x:v>
      </x:c>
      <x:c r="H376" t="str">
        <x:v>equals</x:v>
      </x:c>
      <x:c r="I376" t="str">
        <x:v>RHP design authority</x:v>
      </x:c>
      <x:c r="J376" t="str">
        <x:f>IF(F376=G376,"PASS","GAP")</x:f>
        <x:v>PASS</x:v>
      </x:c>
    </x:row>
    <x:row r="377">
      <x:c r="B377" t="str">
        <x:v>PLN-371</x:v>
      </x:c>
      <x:c r="C377" t="str">
        <x:v>PLANNING</x:v>
      </x:c>
      <x:c r="D377" t="str">
        <x:v>schedule phases</x:v>
      </x:c>
      <x:c r="E377" t="str">
        <x:v>Schedule · schedule phases 9</x:v>
      </x:c>
      <x:c r="F377" t="n">
        <x:f>Controls!$D$76</x:f>
        <x:v>1</x:v>
      </x:c>
      <x:c r="G377" t="n">
        <x:v>1</x:v>
      </x:c>
      <x:c r="H377" t="str">
        <x:v>equals</x:v>
      </x:c>
      <x:c r="I377" t="str">
        <x:v>RHP design authority</x:v>
      </x:c>
      <x:c r="J377" t="str">
        <x:f>IF(F377=G377,"PASS","GAP")</x:f>
        <x:v>PASS</x:v>
      </x:c>
    </x:row>
    <x:row r="378">
      <x:c r="B378" t="str">
        <x:v>PLN-372</x:v>
      </x:c>
      <x:c r="C378" t="str">
        <x:v>PLANNING</x:v>
      </x:c>
      <x:c r="D378" t="str">
        <x:v>schedule phases</x:v>
      </x:c>
      <x:c r="E378" t="str">
        <x:v>Schedule · schedule phases 10</x:v>
      </x:c>
      <x:c r="F378" t="n">
        <x:f>Controls!$D$76</x:f>
        <x:v>1</x:v>
      </x:c>
      <x:c r="G378" t="n">
        <x:v>1</x:v>
      </x:c>
      <x:c r="H378" t="str">
        <x:v>equals</x:v>
      </x:c>
      <x:c r="I378" t="str">
        <x:v>RHP design authority</x:v>
      </x:c>
      <x:c r="J378" t="str">
        <x:f>IF(F378=G378,"PASS","GAP")</x:f>
        <x:v>PASS</x:v>
      </x:c>
    </x:row>
    <x:row r="379">
      <x:c r="B379" t="str">
        <x:v>PLN-373</x:v>
      </x:c>
      <x:c r="C379" t="str">
        <x:v>PLANNING</x:v>
      </x:c>
      <x:c r="D379" t="str">
        <x:v>schedule phases</x:v>
      </x:c>
      <x:c r="E379" t="str">
        <x:v>Schedule · schedule phases 11</x:v>
      </x:c>
      <x:c r="F379" t="n">
        <x:f>Controls!$D$76</x:f>
        <x:v>1</x:v>
      </x:c>
      <x:c r="G379" t="n">
        <x:v>1</x:v>
      </x:c>
      <x:c r="H379" t="str">
        <x:v>equals</x:v>
      </x:c>
      <x:c r="I379" t="str">
        <x:v>RHP design authority</x:v>
      </x:c>
      <x:c r="J379" t="str">
        <x:f>IF(F379=G379,"PASS","GAP")</x:f>
        <x:v>PASS</x:v>
      </x:c>
    </x:row>
    <x:row r="380">
      <x:c r="B380" t="str">
        <x:v>PLN-374</x:v>
      </x:c>
      <x:c r="C380" t="str">
        <x:v>PLANNING</x:v>
      </x:c>
      <x:c r="D380" t="str">
        <x:v>schedule phases</x:v>
      </x:c>
      <x:c r="E380" t="str">
        <x:v>Schedule · schedule phases 12</x:v>
      </x:c>
      <x:c r="F380" t="n">
        <x:f>Controls!$D$76</x:f>
        <x:v>1</x:v>
      </x:c>
      <x:c r="G380" t="n">
        <x:v>1</x:v>
      </x:c>
      <x:c r="H380" t="str">
        <x:v>equals</x:v>
      </x:c>
      <x:c r="I380" t="str">
        <x:v>RHP design authority</x:v>
      </x:c>
      <x:c r="J380" t="str">
        <x:f>IF(F380=G380,"PASS","GAP")</x:f>
        <x:v>PASS</x:v>
      </x:c>
    </x:row>
    <x:row r="381">
      <x:c r="B381" t="str">
        <x:v>PLN-375</x:v>
      </x:c>
      <x:c r="C381" t="str">
        <x:v>PLANNING</x:v>
      </x:c>
      <x:c r="D381" t="str">
        <x:v>workforce functions</x:v>
      </x:c>
      <x:c r="E381" t="str">
        <x:v>Workforce · workforce functions 1</x:v>
      </x:c>
      <x:c r="F381" t="n">
        <x:f>Controls!$D$76</x:f>
        <x:v>1</x:v>
      </x:c>
      <x:c r="G381" t="n">
        <x:v>1</x:v>
      </x:c>
      <x:c r="H381" t="str">
        <x:v>equals</x:v>
      </x:c>
      <x:c r="I381" t="str">
        <x:v>RHP design authority</x:v>
      </x:c>
      <x:c r="J381" t="str">
        <x:f>IF(F381=G381,"PASS","GAP")</x:f>
        <x:v>PASS</x:v>
      </x:c>
    </x:row>
    <x:row r="382">
      <x:c r="B382" t="str">
        <x:v>PLN-376</x:v>
      </x:c>
      <x:c r="C382" t="str">
        <x:v>PLANNING</x:v>
      </x:c>
      <x:c r="D382" t="str">
        <x:v>workforce functions</x:v>
      </x:c>
      <x:c r="E382" t="str">
        <x:v>Workforce · workforce functions 2</x:v>
      </x:c>
      <x:c r="F382" t="n">
        <x:f>Controls!$D$76</x:f>
        <x:v>1</x:v>
      </x:c>
      <x:c r="G382" t="n">
        <x:v>1</x:v>
      </x:c>
      <x:c r="H382" t="str">
        <x:v>equals</x:v>
      </x:c>
      <x:c r="I382" t="str">
        <x:v>RHP design authority</x:v>
      </x:c>
      <x:c r="J382" t="str">
        <x:f>IF(F382=G382,"PASS","GAP")</x:f>
        <x:v>PASS</x:v>
      </x:c>
    </x:row>
    <x:row r="383">
      <x:c r="B383" t="str">
        <x:v>PLN-377</x:v>
      </x:c>
      <x:c r="C383" t="str">
        <x:v>PLANNING</x:v>
      </x:c>
      <x:c r="D383" t="str">
        <x:v>workforce functions</x:v>
      </x:c>
      <x:c r="E383" t="str">
        <x:v>Workforce · workforce functions 3</x:v>
      </x:c>
      <x:c r="F383" t="n">
        <x:f>Controls!$D$76</x:f>
        <x:v>1</x:v>
      </x:c>
      <x:c r="G383" t="n">
        <x:v>1</x:v>
      </x:c>
      <x:c r="H383" t="str">
        <x:v>equals</x:v>
      </x:c>
      <x:c r="I383" t="str">
        <x:v>RHP design authority</x:v>
      </x:c>
      <x:c r="J383" t="str">
        <x:f>IF(F383=G383,"PASS","GAP")</x:f>
        <x:v>PASS</x:v>
      </x:c>
    </x:row>
    <x:row r="384">
      <x:c r="B384" t="str">
        <x:v>PLN-378</x:v>
      </x:c>
      <x:c r="C384" t="str">
        <x:v>PLANNING</x:v>
      </x:c>
      <x:c r="D384" t="str">
        <x:v>workforce functions</x:v>
      </x:c>
      <x:c r="E384" t="str">
        <x:v>Workforce · workforce functions 4</x:v>
      </x:c>
      <x:c r="F384" t="n">
        <x:f>Controls!$D$76</x:f>
        <x:v>1</x:v>
      </x:c>
      <x:c r="G384" t="n">
        <x:v>1</x:v>
      </x:c>
      <x:c r="H384" t="str">
        <x:v>equals</x:v>
      </x:c>
      <x:c r="I384" t="str">
        <x:v>RHP design authority</x:v>
      </x:c>
      <x:c r="J384" t="str">
        <x:f>IF(F384=G384,"PASS","GAP")</x:f>
        <x:v>PASS</x:v>
      </x:c>
    </x:row>
    <x:row r="385">
      <x:c r="B385" t="str">
        <x:v>PLN-379</x:v>
      </x:c>
      <x:c r="C385" t="str">
        <x:v>PLANNING</x:v>
      </x:c>
      <x:c r="D385" t="str">
        <x:v>workforce functions</x:v>
      </x:c>
      <x:c r="E385" t="str">
        <x:v>Workforce · workforce functions 5</x:v>
      </x:c>
      <x:c r="F385" t="n">
        <x:f>Controls!$D$76</x:f>
        <x:v>1</x:v>
      </x:c>
      <x:c r="G385" t="n">
        <x:v>1</x:v>
      </x:c>
      <x:c r="H385" t="str">
        <x:v>equals</x:v>
      </x:c>
      <x:c r="I385" t="str">
        <x:v>RHP design authority</x:v>
      </x:c>
      <x:c r="J385" t="str">
        <x:f>IF(F385=G385,"PASS","GAP")</x:f>
        <x:v>PASS</x:v>
      </x:c>
    </x:row>
    <x:row r="386">
      <x:c r="B386" t="str">
        <x:v>PLN-380</x:v>
      </x:c>
      <x:c r="C386" t="str">
        <x:v>PLANNING</x:v>
      </x:c>
      <x:c r="D386" t="str">
        <x:v>workforce functions</x:v>
      </x:c>
      <x:c r="E386" t="str">
        <x:v>Workforce · workforce functions 6</x:v>
      </x:c>
      <x:c r="F386" t="n">
        <x:f>Controls!$D$76</x:f>
        <x:v>1</x:v>
      </x:c>
      <x:c r="G386" t="n">
        <x:v>1</x:v>
      </x:c>
      <x:c r="H386" t="str">
        <x:v>equals</x:v>
      </x:c>
      <x:c r="I386" t="str">
        <x:v>RHP design authority</x:v>
      </x:c>
      <x:c r="J386" t="str">
        <x:f>IF(F386=G386,"PASS","GAP")</x:f>
        <x:v>PASS</x:v>
      </x:c>
    </x:row>
    <x:row r="387">
      <x:c r="B387" t="str">
        <x:v>PLN-381</x:v>
      </x:c>
      <x:c r="C387" t="str">
        <x:v>PLANNING</x:v>
      </x:c>
      <x:c r="D387" t="str">
        <x:v>workforce functions</x:v>
      </x:c>
      <x:c r="E387" t="str">
        <x:v>Workforce · workforce functions 7</x:v>
      </x:c>
      <x:c r="F387" t="n">
        <x:f>Controls!$D$76</x:f>
        <x:v>1</x:v>
      </x:c>
      <x:c r="G387" t="n">
        <x:v>1</x:v>
      </x:c>
      <x:c r="H387" t="str">
        <x:v>equals</x:v>
      </x:c>
      <x:c r="I387" t="str">
        <x:v>RHP design authority</x:v>
      </x:c>
      <x:c r="J387" t="str">
        <x:f>IF(F387=G387,"PASS","GAP")</x:f>
        <x:v>PASS</x:v>
      </x:c>
    </x:row>
    <x:row r="388">
      <x:c r="B388" t="str">
        <x:v>PLN-382</x:v>
      </x:c>
      <x:c r="C388" t="str">
        <x:v>PLANNING</x:v>
      </x:c>
      <x:c r="D388" t="str">
        <x:v>workforce functions</x:v>
      </x:c>
      <x:c r="E388" t="str">
        <x:v>Workforce · workforce functions 8</x:v>
      </x:c>
      <x:c r="F388" t="n">
        <x:f>Controls!$D$76</x:f>
        <x:v>1</x:v>
      </x:c>
      <x:c r="G388" t="n">
        <x:v>1</x:v>
      </x:c>
      <x:c r="H388" t="str">
        <x:v>equals</x:v>
      </x:c>
      <x:c r="I388" t="str">
        <x:v>RHP design authority</x:v>
      </x:c>
      <x:c r="J388" t="str">
        <x:f>IF(F388=G388,"PASS","GAP")</x:f>
        <x:v>PASS</x:v>
      </x:c>
    </x:row>
    <x:row r="389">
      <x:c r="B389" t="str">
        <x:v>PLN-383</x:v>
      </x:c>
      <x:c r="C389" t="str">
        <x:v>PLANNING</x:v>
      </x:c>
      <x:c r="D389" t="str">
        <x:v>workforce functions</x:v>
      </x:c>
      <x:c r="E389" t="str">
        <x:v>Workforce · workforce functions 9</x:v>
      </x:c>
      <x:c r="F389" t="n">
        <x:f>Controls!$D$76</x:f>
        <x:v>1</x:v>
      </x:c>
      <x:c r="G389" t="n">
        <x:v>1</x:v>
      </x:c>
      <x:c r="H389" t="str">
        <x:v>equals</x:v>
      </x:c>
      <x:c r="I389" t="str">
        <x:v>RHP design authority</x:v>
      </x:c>
      <x:c r="J389" t="str">
        <x:f>IF(F389=G389,"PASS","GAP")</x:f>
        <x:v>PASS</x:v>
      </x:c>
    </x:row>
    <x:row r="390">
      <x:c r="B390" t="str">
        <x:v>PLN-384</x:v>
      </x:c>
      <x:c r="C390" t="str">
        <x:v>PLANNING</x:v>
      </x:c>
      <x:c r="D390" t="str">
        <x:v>capital elements</x:v>
      </x:c>
      <x:c r="E390" t="str">
        <x:v>Capital · capital elements 1</x:v>
      </x:c>
      <x:c r="F390" t="n">
        <x:f>Controls!$D$76</x:f>
        <x:v>1</x:v>
      </x:c>
      <x:c r="G390" t="n">
        <x:v>1</x:v>
      </x:c>
      <x:c r="H390" t="str">
        <x:v>equals</x:v>
      </x:c>
      <x:c r="I390" t="str">
        <x:v>RHP design authority</x:v>
      </x:c>
      <x:c r="J390" t="str">
        <x:f>IF(F390=G390,"PASS","GAP")</x:f>
        <x:v>PASS</x:v>
      </x:c>
    </x:row>
    <x:row r="391">
      <x:c r="B391" t="str">
        <x:v>PLN-385</x:v>
      </x:c>
      <x:c r="C391" t="str">
        <x:v>PLANNING</x:v>
      </x:c>
      <x:c r="D391" t="str">
        <x:v>capital elements</x:v>
      </x:c>
      <x:c r="E391" t="str">
        <x:v>Capital · capital elements 2</x:v>
      </x:c>
      <x:c r="F391" t="n">
        <x:f>Controls!$D$76</x:f>
        <x:v>1</x:v>
      </x:c>
      <x:c r="G391" t="n">
        <x:v>1</x:v>
      </x:c>
      <x:c r="H391" t="str">
        <x:v>equals</x:v>
      </x:c>
      <x:c r="I391" t="str">
        <x:v>RHP design authority</x:v>
      </x:c>
      <x:c r="J391" t="str">
        <x:f>IF(F391=G391,"PASS","GAP")</x:f>
        <x:v>PASS</x:v>
      </x:c>
    </x:row>
    <x:row r="392">
      <x:c r="B392" t="str">
        <x:v>PLN-386</x:v>
      </x:c>
      <x:c r="C392" t="str">
        <x:v>PLANNING</x:v>
      </x:c>
      <x:c r="D392" t="str">
        <x:v>capital elements</x:v>
      </x:c>
      <x:c r="E392" t="str">
        <x:v>Capital · capital elements 3</x:v>
      </x:c>
      <x:c r="F392" t="n">
        <x:f>Controls!$D$76</x:f>
        <x:v>1</x:v>
      </x:c>
      <x:c r="G392" t="n">
        <x:v>1</x:v>
      </x:c>
      <x:c r="H392" t="str">
        <x:v>equals</x:v>
      </x:c>
      <x:c r="I392" t="str">
        <x:v>RHP design authority</x:v>
      </x:c>
      <x:c r="J392" t="str">
        <x:f>IF(F392=G392,"PASS","GAP")</x:f>
        <x:v>PASS</x:v>
      </x:c>
    </x:row>
    <x:row r="393">
      <x:c r="B393" t="str">
        <x:v>PLN-387</x:v>
      </x:c>
      <x:c r="C393" t="str">
        <x:v>PLANNING</x:v>
      </x:c>
      <x:c r="D393" t="str">
        <x:v>capital elements</x:v>
      </x:c>
      <x:c r="E393" t="str">
        <x:v>Capital · capital elements 4</x:v>
      </x:c>
      <x:c r="F393" t="n">
        <x:f>Controls!$D$76</x:f>
        <x:v>1</x:v>
      </x:c>
      <x:c r="G393" t="n">
        <x:v>1</x:v>
      </x:c>
      <x:c r="H393" t="str">
        <x:v>equals</x:v>
      </x:c>
      <x:c r="I393" t="str">
        <x:v>RHP design authority</x:v>
      </x:c>
      <x:c r="J393" t="str">
        <x:f>IF(F393=G393,"PASS","GAP")</x:f>
        <x:v>PASS</x:v>
      </x:c>
    </x:row>
    <x:row r="394">
      <x:c r="B394" t="str">
        <x:v>PLN-388</x:v>
      </x:c>
      <x:c r="C394" t="str">
        <x:v>PLANNING</x:v>
      </x:c>
      <x:c r="D394" t="str">
        <x:v>capital elements</x:v>
      </x:c>
      <x:c r="E394" t="str">
        <x:v>Capital · capital elements 5</x:v>
      </x:c>
      <x:c r="F394" t="n">
        <x:f>Controls!$D$76</x:f>
        <x:v>1</x:v>
      </x:c>
      <x:c r="G394" t="n">
        <x:v>1</x:v>
      </x:c>
      <x:c r="H394" t="str">
        <x:v>equals</x:v>
      </x:c>
      <x:c r="I394" t="str">
        <x:v>RHP design authority</x:v>
      </x:c>
      <x:c r="J394" t="str">
        <x:f>IF(F394=G394,"PASS","GAP")</x:f>
        <x:v>PASS</x:v>
      </x:c>
    </x:row>
    <x:row r="395">
      <x:c r="B395" t="str">
        <x:v>PLN-389</x:v>
      </x:c>
      <x:c r="C395" t="str">
        <x:v>PLANNING</x:v>
      </x:c>
      <x:c r="D395" t="str">
        <x:v>capital elements</x:v>
      </x:c>
      <x:c r="E395" t="str">
        <x:v>Capital · capital elements 6</x:v>
      </x:c>
      <x:c r="F395" t="n">
        <x:f>Controls!$D$76</x:f>
        <x:v>1</x:v>
      </x:c>
      <x:c r="G395" t="n">
        <x:v>1</x:v>
      </x:c>
      <x:c r="H395" t="str">
        <x:v>equals</x:v>
      </x:c>
      <x:c r="I395" t="str">
        <x:v>RHP design authority</x:v>
      </x:c>
      <x:c r="J395" t="str">
        <x:f>IF(F395=G395,"PASS","GAP")</x:f>
        <x:v>PASS</x:v>
      </x:c>
    </x:row>
    <x:row r="396">
      <x:c r="B396" t="str">
        <x:v>PLN-390</x:v>
      </x:c>
      <x:c r="C396" t="str">
        <x:v>PLANNING</x:v>
      </x:c>
      <x:c r="D396" t="str">
        <x:v>capital elements</x:v>
      </x:c>
      <x:c r="E396" t="str">
        <x:v>Capital · capital elements 7</x:v>
      </x:c>
      <x:c r="F396" t="n">
        <x:f>Controls!$D$76</x:f>
        <x:v>1</x:v>
      </x:c>
      <x:c r="G396" t="n">
        <x:v>1</x:v>
      </x:c>
      <x:c r="H396" t="str">
        <x:v>equals</x:v>
      </x:c>
      <x:c r="I396" t="str">
        <x:v>RHP design authority</x:v>
      </x:c>
      <x:c r="J396" t="str">
        <x:f>IF(F396=G396,"PASS","GAP")</x:f>
        <x:v>PASS</x:v>
      </x:c>
    </x:row>
    <x:row r="397">
      <x:c r="B397" t="str">
        <x:v>PLN-391</x:v>
      </x:c>
      <x:c r="C397" t="str">
        <x:v>PLANNING</x:v>
      </x:c>
      <x:c r="D397" t="str">
        <x:v>capital elements</x:v>
      </x:c>
      <x:c r="E397" t="str">
        <x:v>Capital · capital elements 8</x:v>
      </x:c>
      <x:c r="F397" t="n">
        <x:f>Controls!$D$76</x:f>
        <x:v>1</x:v>
      </x:c>
      <x:c r="G397" t="n">
        <x:v>1</x:v>
      </x:c>
      <x:c r="H397" t="str">
        <x:v>equals</x:v>
      </x:c>
      <x:c r="I397" t="str">
        <x:v>RHP design authority</x:v>
      </x:c>
      <x:c r="J397" t="str">
        <x:f>IF(F397=G397,"PASS","GAP")</x:f>
        <x:v>PASS</x:v>
      </x:c>
    </x:row>
    <x:row r="398">
      <x:c r="B398" t="str">
        <x:v>PLN-392</x:v>
      </x:c>
      <x:c r="C398" t="str">
        <x:v>PLANNING</x:v>
      </x:c>
      <x:c r="D398" t="str">
        <x:v>capital elements</x:v>
      </x:c>
      <x:c r="E398" t="str">
        <x:v>Capital · capital elements 9</x:v>
      </x:c>
      <x:c r="F398" t="n">
        <x:f>Controls!$D$76</x:f>
        <x:v>1</x:v>
      </x:c>
      <x:c r="G398" t="n">
        <x:v>1</x:v>
      </x:c>
      <x:c r="H398" t="str">
        <x:v>equals</x:v>
      </x:c>
      <x:c r="I398" t="str">
        <x:v>RHP design authority</x:v>
      </x:c>
      <x:c r="J398" t="str">
        <x:f>IF(F398=G398,"PASS","GAP")</x:f>
        <x:v>PASS</x:v>
      </x:c>
    </x:row>
    <x:row r="399">
      <x:c r="B399" t="str">
        <x:v>PLN-393</x:v>
      </x:c>
      <x:c r="C399" t="str">
        <x:v>PLANNING</x:v>
      </x:c>
      <x:c r="D399" t="str">
        <x:v>capital elements</x:v>
      </x:c>
      <x:c r="E399" t="str">
        <x:v>Capital · capital elements 10</x:v>
      </x:c>
      <x:c r="F399" t="n">
        <x:f>Controls!$D$76</x:f>
        <x:v>1</x:v>
      </x:c>
      <x:c r="G399" t="n">
        <x:v>1</x:v>
      </x:c>
      <x:c r="H399" t="str">
        <x:v>equals</x:v>
      </x:c>
      <x:c r="I399" t="str">
        <x:v>RHP design authority</x:v>
      </x:c>
      <x:c r="J399" t="str">
        <x:f>IF(F399=G399,"PASS","GAP")</x:f>
        <x:v>PASS</x:v>
      </x:c>
    </x:row>
    <x:row r="400">
      <x:c r="B400" t="str">
        <x:v>PLN-394</x:v>
      </x:c>
      <x:c r="C400" t="str">
        <x:v>PLANNING</x:v>
      </x:c>
      <x:c r="D400" t="str">
        <x:v>capital elements</x:v>
      </x:c>
      <x:c r="E400" t="str">
        <x:v>Capital · capital elements 11</x:v>
      </x:c>
      <x:c r="F400" t="n">
        <x:f>Controls!$D$76</x:f>
        <x:v>1</x:v>
      </x:c>
      <x:c r="G400" t="n">
        <x:v>1</x:v>
      </x:c>
      <x:c r="H400" t="str">
        <x:v>equals</x:v>
      </x:c>
      <x:c r="I400" t="str">
        <x:v>RHP design authority</x:v>
      </x:c>
      <x:c r="J400" t="str">
        <x:f>IF(F400=G400,"PASS","GAP")</x:f>
        <x:v>PASS</x:v>
      </x:c>
    </x:row>
    <x:row r="401">
      <x:c r="B401" t="str">
        <x:v>PLN-395</x:v>
      </x:c>
      <x:c r="C401" t="str">
        <x:v>PLANNING</x:v>
      </x:c>
      <x:c r="D401" t="str">
        <x:v>annual elements</x:v>
      </x:c>
      <x:c r="E401" t="str">
        <x:v>Annual Support · annual elements 1</x:v>
      </x:c>
      <x:c r="F401" t="n">
        <x:f>Controls!$D$76</x:f>
        <x:v>1</x:v>
      </x:c>
      <x:c r="G401" t="n">
        <x:v>1</x:v>
      </x:c>
      <x:c r="H401" t="str">
        <x:v>equals</x:v>
      </x:c>
      <x:c r="I401" t="str">
        <x:v>RHP design authority</x:v>
      </x:c>
      <x:c r="J401" t="str">
        <x:f>IF(F401=G401,"PASS","GAP")</x:f>
        <x:v>PASS</x:v>
      </x:c>
    </x:row>
    <x:row r="402">
      <x:c r="B402" t="str">
        <x:v>PLN-396</x:v>
      </x:c>
      <x:c r="C402" t="str">
        <x:v>PLANNING</x:v>
      </x:c>
      <x:c r="D402" t="str">
        <x:v>annual elements</x:v>
      </x:c>
      <x:c r="E402" t="str">
        <x:v>Annual Support · annual elements 2</x:v>
      </x:c>
      <x:c r="F402" t="n">
        <x:f>Controls!$D$76</x:f>
        <x:v>1</x:v>
      </x:c>
      <x:c r="G402" t="n">
        <x:v>1</x:v>
      </x:c>
      <x:c r="H402" t="str">
        <x:v>equals</x:v>
      </x:c>
      <x:c r="I402" t="str">
        <x:v>RHP design authority</x:v>
      </x:c>
      <x:c r="J402" t="str">
        <x:f>IF(F402=G402,"PASS","GAP")</x:f>
        <x:v>PASS</x:v>
      </x:c>
    </x:row>
    <x:row r="403">
      <x:c r="B403" t="str">
        <x:v>PLN-397</x:v>
      </x:c>
      <x:c r="C403" t="str">
        <x:v>PLANNING</x:v>
      </x:c>
      <x:c r="D403" t="str">
        <x:v>annual elements</x:v>
      </x:c>
      <x:c r="E403" t="str">
        <x:v>Annual Support · annual elements 3</x:v>
      </x:c>
      <x:c r="F403" t="n">
        <x:f>Controls!$D$76</x:f>
        <x:v>1</x:v>
      </x:c>
      <x:c r="G403" t="n">
        <x:v>1</x:v>
      </x:c>
      <x:c r="H403" t="str">
        <x:v>equals</x:v>
      </x:c>
      <x:c r="I403" t="str">
        <x:v>RHP design authority</x:v>
      </x:c>
      <x:c r="J403" t="str">
        <x:f>IF(F403=G403,"PASS","GAP")</x:f>
        <x:v>PASS</x:v>
      </x:c>
    </x:row>
    <x:row r="404">
      <x:c r="B404" t="str">
        <x:v>PLN-398</x:v>
      </x:c>
      <x:c r="C404" t="str">
        <x:v>PLANNING</x:v>
      </x:c>
      <x:c r="D404" t="str">
        <x:v>annual elements</x:v>
      </x:c>
      <x:c r="E404" t="str">
        <x:v>Annual Support · annual elements 4</x:v>
      </x:c>
      <x:c r="F404" t="n">
        <x:f>Controls!$D$76</x:f>
        <x:v>1</x:v>
      </x:c>
      <x:c r="G404" t="n">
        <x:v>1</x:v>
      </x:c>
      <x:c r="H404" t="str">
        <x:v>equals</x:v>
      </x:c>
      <x:c r="I404" t="str">
        <x:v>RHP design authority</x:v>
      </x:c>
      <x:c r="J404" t="str">
        <x:f>IF(F404=G404,"PASS","GAP")</x:f>
        <x:v>PASS</x:v>
      </x:c>
    </x:row>
    <x:row r="405">
      <x:c r="B405" t="str">
        <x:v>PLN-399</x:v>
      </x:c>
      <x:c r="C405" t="str">
        <x:v>PLANNING</x:v>
      </x:c>
      <x:c r="D405" t="str">
        <x:v>annual elements</x:v>
      </x:c>
      <x:c r="E405" t="str">
        <x:v>Annual Support · annual elements 5</x:v>
      </x:c>
      <x:c r="F405" t="n">
        <x:f>Controls!$D$76</x:f>
        <x:v>1</x:v>
      </x:c>
      <x:c r="G405" t="n">
        <x:v>1</x:v>
      </x:c>
      <x:c r="H405" t="str">
        <x:v>equals</x:v>
      </x:c>
      <x:c r="I405" t="str">
        <x:v>RHP design authority</x:v>
      </x:c>
      <x:c r="J405" t="str">
        <x:f>IF(F405=G405,"PASS","GAP")</x:f>
        <x:v>PASS</x:v>
      </x:c>
    </x:row>
    <x:row r="406">
      <x:c r="B406" t="str">
        <x:v>PLN-400</x:v>
      </x:c>
      <x:c r="C406" t="str">
        <x:v>PLANNING</x:v>
      </x:c>
      <x:c r="D406" t="str">
        <x:v>annual elements</x:v>
      </x:c>
      <x:c r="E406" t="str">
        <x:v>Annual Support · annual elements 6</x:v>
      </x:c>
      <x:c r="F406" t="n">
        <x:f>Controls!$D$76</x:f>
        <x:v>1</x:v>
      </x:c>
      <x:c r="G406" t="n">
        <x:v>1</x:v>
      </x:c>
      <x:c r="H406" t="str">
        <x:v>equals</x:v>
      </x:c>
      <x:c r="I406" t="str">
        <x:v>RHP design authority</x:v>
      </x:c>
      <x:c r="J406" t="str">
        <x:f>IF(F406=G406,"PASS","GAP")</x:f>
        <x:v>PASS</x:v>
      </x:c>
    </x:row>
    <x:row r="407">
      <x:c r="B407" t="str">
        <x:v>PLN-401</x:v>
      </x:c>
      <x:c r="C407" t="str">
        <x:v>PLANNING</x:v>
      </x:c>
      <x:c r="D407" t="str">
        <x:v>annual elements</x:v>
      </x:c>
      <x:c r="E407" t="str">
        <x:v>Annual Support · annual elements 7</x:v>
      </x:c>
      <x:c r="F407" t="n">
        <x:f>Controls!$D$76</x:f>
        <x:v>1</x:v>
      </x:c>
      <x:c r="G407" t="n">
        <x:v>1</x:v>
      </x:c>
      <x:c r="H407" t="str">
        <x:v>equals</x:v>
      </x:c>
      <x:c r="I407" t="str">
        <x:v>RHP design authority</x:v>
      </x:c>
      <x:c r="J407" t="str">
        <x:f>IF(F407=G407,"PASS","GAP")</x:f>
        <x:v>PASS</x:v>
      </x:c>
    </x:row>
    <x:row r="408">
      <x:c r="B408" t="str">
        <x:v>PLN-402</x:v>
      </x:c>
      <x:c r="C408" t="str">
        <x:v>PLANNING</x:v>
      </x:c>
      <x:c r="D408" t="str">
        <x:v>candidate nozzles</x:v>
      </x:c>
      <x:c r="E408" t="str">
        <x:v>Nozzle Cassettes · candidate nozzles 1</x:v>
      </x:c>
      <x:c r="F408" t="n">
        <x:f>Controls!$D$76</x:f>
        <x:v>1</x:v>
      </x:c>
      <x:c r="G408" t="n">
        <x:v>1</x:v>
      </x:c>
      <x:c r="H408" t="str">
        <x:v>equals</x:v>
      </x:c>
      <x:c r="I408" t="str">
        <x:v>RHP design authority</x:v>
      </x:c>
      <x:c r="J408" t="str">
        <x:f>IF(F408=G408,"PASS","GAP")</x:f>
        <x:v>PASS</x:v>
      </x:c>
    </x:row>
    <x:row r="409">
      <x:c r="B409" t="str">
        <x:v>PLN-403</x:v>
      </x:c>
      <x:c r="C409" t="str">
        <x:v>PLANNING</x:v>
      </x:c>
      <x:c r="D409" t="str">
        <x:v>candidate nozzles</x:v>
      </x:c>
      <x:c r="E409" t="str">
        <x:v>Nozzle Cassettes · candidate nozzles 2</x:v>
      </x:c>
      <x:c r="F409" t="n">
        <x:f>Controls!$D$76</x:f>
        <x:v>1</x:v>
      </x:c>
      <x:c r="G409" t="n">
        <x:v>1</x:v>
      </x:c>
      <x:c r="H409" t="str">
        <x:v>equals</x:v>
      </x:c>
      <x:c r="I409" t="str">
        <x:v>RHP design authority</x:v>
      </x:c>
      <x:c r="J409" t="str">
        <x:f>IF(F409=G409,"PASS","GAP")</x:f>
        <x:v>PASS</x:v>
      </x:c>
    </x:row>
    <x:row r="410">
      <x:c r="B410" t="str">
        <x:v>PLN-404</x:v>
      </x:c>
      <x:c r="C410" t="str">
        <x:v>PLANNING</x:v>
      </x:c>
      <x:c r="D410" t="str">
        <x:v>candidate nozzles</x:v>
      </x:c>
      <x:c r="E410" t="str">
        <x:v>Nozzle Cassettes · candidate nozzles 3</x:v>
      </x:c>
      <x:c r="F410" t="n">
        <x:f>Controls!$D$76</x:f>
        <x:v>1</x:v>
      </x:c>
      <x:c r="G410" t="n">
        <x:v>1</x:v>
      </x:c>
      <x:c r="H410" t="str">
        <x:v>equals</x:v>
      </x:c>
      <x:c r="I410" t="str">
        <x:v>RHP design authority</x:v>
      </x:c>
      <x:c r="J410" t="str">
        <x:f>IF(F410=G410,"PASS","GAP")</x:f>
        <x:v>PASS</x:v>
      </x:c>
    </x:row>
    <x:row r="411">
      <x:c r="B411" t="str">
        <x:v>PLN-405</x:v>
      </x:c>
      <x:c r="C411" t="str">
        <x:v>PLANNING</x:v>
      </x:c>
      <x:c r="D411" t="str">
        <x:v>receiver envelopes</x:v>
      </x:c>
      <x:c r="E411" t="str">
        <x:v>Receiver Interface · receiver envelopes 1</x:v>
      </x:c>
      <x:c r="F411" t="n">
        <x:f>Controls!$D$76</x:f>
        <x:v>1</x:v>
      </x:c>
      <x:c r="G411" t="n">
        <x:v>1</x:v>
      </x:c>
      <x:c r="H411" t="str">
        <x:v>equals</x:v>
      </x:c>
      <x:c r="I411" t="str">
        <x:v>RHP design authority</x:v>
      </x:c>
      <x:c r="J411" t="str">
        <x:f>IF(F411=G411,"PASS","GAP")</x:f>
        <x:v>PASS</x:v>
      </x:c>
    </x:row>
    <x:row r="412">
      <x:c r="B412" t="str">
        <x:v>PLN-406</x:v>
      </x:c>
      <x:c r="C412" t="str">
        <x:v>PLANNING</x:v>
      </x:c>
      <x:c r="D412" t="str">
        <x:v>receiver envelopes</x:v>
      </x:c>
      <x:c r="E412" t="str">
        <x:v>Receiver Interface · receiver envelopes 2</x:v>
      </x:c>
      <x:c r="F412" t="n">
        <x:f>Controls!$D$76</x:f>
        <x:v>1</x:v>
      </x:c>
      <x:c r="G412" t="n">
        <x:v>1</x:v>
      </x:c>
      <x:c r="H412" t="str">
        <x:v>equals</x:v>
      </x:c>
      <x:c r="I412" t="str">
        <x:v>RHP design authority</x:v>
      </x:c>
      <x:c r="J412" t="str">
        <x:f>IF(F412=G412,"PASS","GAP")</x:f>
        <x:v>PASS</x:v>
      </x:c>
    </x:row>
    <x:row r="413">
      <x:c r="B413" t="str">
        <x:v>PLN-407</x:v>
      </x:c>
      <x:c r="C413" t="str">
        <x:v>PLANNING</x:v>
      </x:c>
      <x:c r="D413" t="str">
        <x:v>receiver envelopes</x:v>
      </x:c>
      <x:c r="E413" t="str">
        <x:v>Receiver Interface · receiver envelopes 3</x:v>
      </x:c>
      <x:c r="F413" t="n">
        <x:f>Controls!$D$76</x:f>
        <x:v>1</x:v>
      </x:c>
      <x:c r="G413" t="n">
        <x:v>1</x:v>
      </x:c>
      <x:c r="H413" t="str">
        <x:v>equals</x:v>
      </x:c>
      <x:c r="I413" t="str">
        <x:v>RHP design authority</x:v>
      </x:c>
      <x:c r="J413" t="str">
        <x:f>IF(F413=G413,"PASS","GAP")</x:f>
        <x:v>PASS</x:v>
      </x:c>
    </x:row>
    <x:row r="414">
      <x:c r="B414" t="str">
        <x:v>PLN-408</x:v>
      </x:c>
      <x:c r="C414" t="str">
        <x:v>PLANNING</x:v>
      </x:c>
      <x:c r="D414" t="str">
        <x:v>challenge classes</x:v>
      </x:c>
      <x:c r="E414" t="str">
        <x:v>Challenge Hardware · challenge classes 1</x:v>
      </x:c>
      <x:c r="F414" t="n">
        <x:f>Controls!$D$76</x:f>
        <x:v>1</x:v>
      </x:c>
      <x:c r="G414" t="n">
        <x:v>1</x:v>
      </x:c>
      <x:c r="H414" t="str">
        <x:v>equals</x:v>
      </x:c>
      <x:c r="I414" t="str">
        <x:v>RHP design authority</x:v>
      </x:c>
      <x:c r="J414" t="str">
        <x:f>IF(F414=G414,"PASS","GAP")</x:f>
        <x:v>PASS</x:v>
      </x:c>
    </x:row>
    <x:row r="415">
      <x:c r="B415" t="str">
        <x:v>PLN-409</x:v>
      </x:c>
      <x:c r="C415" t="str">
        <x:v>PLANNING</x:v>
      </x:c>
      <x:c r="D415" t="str">
        <x:v>challenge classes</x:v>
      </x:c>
      <x:c r="E415" t="str">
        <x:v>Challenge Hardware · challenge classes 2</x:v>
      </x:c>
      <x:c r="F415" t="n">
        <x:f>Controls!$D$76</x:f>
        <x:v>1</x:v>
      </x:c>
      <x:c r="G415" t="n">
        <x:v>1</x:v>
      </x:c>
      <x:c r="H415" t="str">
        <x:v>equals</x:v>
      </x:c>
      <x:c r="I415" t="str">
        <x:v>RHP design authority</x:v>
      </x:c>
      <x:c r="J415" t="str">
        <x:f>IF(F415=G415,"PASS","GAP")</x:f>
        <x:v>PASS</x:v>
      </x:c>
    </x:row>
    <x:row r="416">
      <x:c r="B416" t="str">
        <x:v>PLN-410</x:v>
      </x:c>
      <x:c r="C416" t="str">
        <x:v>PLANNING</x:v>
      </x:c>
      <x:c r="D416" t="str">
        <x:v>challenge classes</x:v>
      </x:c>
      <x:c r="E416" t="str">
        <x:v>Challenge Hardware · challenge classes 3</x:v>
      </x:c>
      <x:c r="F416" t="n">
        <x:f>Controls!$D$76</x:f>
        <x:v>1</x:v>
      </x:c>
      <x:c r="G416" t="n">
        <x:v>1</x:v>
      </x:c>
      <x:c r="H416" t="str">
        <x:v>equals</x:v>
      </x:c>
      <x:c r="I416" t="str">
        <x:v>RHP design authority</x:v>
      </x:c>
      <x:c r="J416" t="str">
        <x:f>IF(F416=G416,"PASS","GAP")</x:f>
        <x:v>PASS</x:v>
      </x:c>
    </x:row>
    <x:row r="417">
      <x:c r="B417" t="str">
        <x:v>PLN-411</x:v>
      </x:c>
      <x:c r="C417" t="str">
        <x:v>PLANNING</x:v>
      </x:c>
      <x:c r="D417" t="str">
        <x:v>challenge classes</x:v>
      </x:c>
      <x:c r="E417" t="str">
        <x:v>Challenge Hardware · challenge classes 4</x:v>
      </x:c>
      <x:c r="F417" t="n">
        <x:f>Controls!$D$76</x:f>
        <x:v>1</x:v>
      </x:c>
      <x:c r="G417" t="n">
        <x:v>1</x:v>
      </x:c>
      <x:c r="H417" t="str">
        <x:v>equals</x:v>
      </x:c>
      <x:c r="I417" t="str">
        <x:v>RHP design authority</x:v>
      </x:c>
      <x:c r="J417" t="str">
        <x:f>IF(F417=G417,"PASS","GAP")</x:f>
        <x:v>PASS</x:v>
      </x:c>
    </x:row>
    <x:row r="418">
      <x:c r="B418" t="str">
        <x:v>PLN-412</x:v>
      </x:c>
      <x:c r="C418" t="str">
        <x:v>PLANNING</x:v>
      </x:c>
      <x:c r="D418" t="str">
        <x:v>challenge classes</x:v>
      </x:c>
      <x:c r="E418" t="str">
        <x:v>Challenge Hardware · challenge classes 5</x:v>
      </x:c>
      <x:c r="F418" t="n">
        <x:f>Controls!$D$76</x:f>
        <x:v>1</x:v>
      </x:c>
      <x:c r="G418" t="n">
        <x:v>1</x:v>
      </x:c>
      <x:c r="H418" t="str">
        <x:v>equals</x:v>
      </x:c>
      <x:c r="I418" t="str">
        <x:v>RHP design authority</x:v>
      </x:c>
      <x:c r="J418" t="str">
        <x:f>IF(F418=G418,"PASS","GAP")</x:f>
        <x:v>PASS</x:v>
      </x:c>
    </x:row>
    <x:row r="419">
      <x:c r="B419" t="str">
        <x:v>PLN-413</x:v>
      </x:c>
      <x:c r="C419" t="str">
        <x:v>PLANNING</x:v>
      </x:c>
      <x:c r="D419" t="str">
        <x:v>challenge classes</x:v>
      </x:c>
      <x:c r="E419" t="str">
        <x:v>Challenge Hardware · challenge classes 6</x:v>
      </x:c>
      <x:c r="F419" t="n">
        <x:f>Controls!$D$76</x:f>
        <x:v>1</x:v>
      </x:c>
      <x:c r="G419" t="n">
        <x:v>1</x:v>
      </x:c>
      <x:c r="H419" t="str">
        <x:v>equals</x:v>
      </x:c>
      <x:c r="I419" t="str">
        <x:v>RHP design authority</x:v>
      </x:c>
      <x:c r="J419" t="str">
        <x:f>IF(F419=G419,"PASS","GAP")</x:f>
        <x:v>PASS</x:v>
      </x:c>
    </x:row>
    <x:row r="420">
      <x:c r="B420" t="str">
        <x:v>PLN-414</x:v>
      </x:c>
      <x:c r="C420" t="str">
        <x:v>PLANNING</x:v>
      </x:c>
      <x:c r="D420" t="str">
        <x:v>challenge classes</x:v>
      </x:c>
      <x:c r="E420" t="str">
        <x:v>Challenge Hardware · challenge classes 7</x:v>
      </x:c>
      <x:c r="F420" t="n">
        <x:f>Controls!$D$76</x:f>
        <x:v>1</x:v>
      </x:c>
      <x:c r="G420" t="n">
        <x:v>1</x:v>
      </x:c>
      <x:c r="H420" t="str">
        <x:v>equals</x:v>
      </x:c>
      <x:c r="I420" t="str">
        <x:v>RHP design authority</x:v>
      </x:c>
      <x:c r="J420" t="str">
        <x:f>IF(F420=G420,"PASS","GAP")</x:f>
        <x:v>PASS</x:v>
      </x:c>
    </x:row>
    <x:row r="421">
      <x:c r="B421" t="str">
        <x:v>PLN-415</x:v>
      </x:c>
      <x:c r="C421" t="str">
        <x:v>PLANNING</x:v>
      </x:c>
      <x:c r="D421" t="str">
        <x:v>challenge classes</x:v>
      </x:c>
      <x:c r="E421" t="str">
        <x:v>Challenge Hardware · challenge classes 8</x:v>
      </x:c>
      <x:c r="F421" t="n">
        <x:f>Controls!$D$76</x:f>
        <x:v>1</x:v>
      </x:c>
      <x:c r="G421" t="n">
        <x:v>1</x:v>
      </x:c>
      <x:c r="H421" t="str">
        <x:v>equals</x:v>
      </x:c>
      <x:c r="I421" t="str">
        <x:v>RHP design authority</x:v>
      </x:c>
      <x:c r="J421" t="str">
        <x:f>IF(F421=G421,"PASS","GAP")</x:f>
        <x:v>PASS</x:v>
      </x:c>
    </x:row>
    <x:row r="422">
      <x:c r="B422" t="str">
        <x:v>PLN-416</x:v>
      </x:c>
      <x:c r="C422" t="str">
        <x:v>PLANNING</x:v>
      </x:c>
      <x:c r="D422" t="str">
        <x:v>authority rules</x:v>
      </x:c>
      <x:c r="E422" t="str">
        <x:v>Authority · authority rules 1</x:v>
      </x:c>
      <x:c r="F422" t="n">
        <x:f>Controls!$D$76</x:f>
        <x:v>1</x:v>
      </x:c>
      <x:c r="G422" t="n">
        <x:v>1</x:v>
      </x:c>
      <x:c r="H422" t="str">
        <x:v>equals</x:v>
      </x:c>
      <x:c r="I422" t="str">
        <x:v>RHP design authority</x:v>
      </x:c>
      <x:c r="J422" t="str">
        <x:f>IF(F422=G422,"PASS","GAP")</x:f>
        <x:v>PASS</x:v>
      </x:c>
    </x:row>
    <x:row r="423">
      <x:c r="B423" t="str">
        <x:v>PLN-417</x:v>
      </x:c>
      <x:c r="C423" t="str">
        <x:v>PLANNING</x:v>
      </x:c>
      <x:c r="D423" t="str">
        <x:v>authority rules</x:v>
      </x:c>
      <x:c r="E423" t="str">
        <x:v>Authority · authority rules 2</x:v>
      </x:c>
      <x:c r="F423" t="n">
        <x:f>Controls!$D$76</x:f>
        <x:v>1</x:v>
      </x:c>
      <x:c r="G423" t="n">
        <x:v>1</x:v>
      </x:c>
      <x:c r="H423" t="str">
        <x:v>equals</x:v>
      </x:c>
      <x:c r="I423" t="str">
        <x:v>RHP design authority</x:v>
      </x:c>
      <x:c r="J423" t="str">
        <x:f>IF(F423=G423,"PASS","GAP")</x:f>
        <x:v>PASS</x:v>
      </x:c>
    </x:row>
    <x:row r="424">
      <x:c r="B424" t="str">
        <x:v>PLN-418</x:v>
      </x:c>
      <x:c r="C424" t="str">
        <x:v>PLANNING</x:v>
      </x:c>
      <x:c r="D424" t="str">
        <x:v>authority rules</x:v>
      </x:c>
      <x:c r="E424" t="str">
        <x:v>Authority · authority rules 3</x:v>
      </x:c>
      <x:c r="F424" t="n">
        <x:f>Controls!$D$76</x:f>
        <x:v>1</x:v>
      </x:c>
      <x:c r="G424" t="n">
        <x:v>1</x:v>
      </x:c>
      <x:c r="H424" t="str">
        <x:v>equals</x:v>
      </x:c>
      <x:c r="I424" t="str">
        <x:v>RHP design authority</x:v>
      </x:c>
      <x:c r="J424" t="str">
        <x:f>IF(F424=G424,"PASS","GAP")</x:f>
        <x:v>PASS</x:v>
      </x:c>
    </x:row>
    <x:row r="425">
      <x:c r="B425" t="str">
        <x:v>PLN-419</x:v>
      </x:c>
      <x:c r="C425" t="str">
        <x:v>PLANNING</x:v>
      </x:c>
      <x:c r="D425" t="str">
        <x:v>authority rules</x:v>
      </x:c>
      <x:c r="E425" t="str">
        <x:v>Authority · authority rules 4</x:v>
      </x:c>
      <x:c r="F425" t="n">
        <x:f>Controls!$D$76</x:f>
        <x:v>1</x:v>
      </x:c>
      <x:c r="G425" t="n">
        <x:v>1</x:v>
      </x:c>
      <x:c r="H425" t="str">
        <x:v>equals</x:v>
      </x:c>
      <x:c r="I425" t="str">
        <x:v>RHP design authority</x:v>
      </x:c>
      <x:c r="J425" t="str">
        <x:f>IF(F425=G425,"PASS","GAP")</x:f>
        <x:v>PASS</x:v>
      </x:c>
    </x:row>
    <x:row r="426">
      <x:c r="B426" t="str">
        <x:v>PLN-420</x:v>
      </x:c>
      <x:c r="C426" t="str">
        <x:v>PLANNING</x:v>
      </x:c>
      <x:c r="D426" t="str">
        <x:v>authority rules</x:v>
      </x:c>
      <x:c r="E426" t="str">
        <x:v>Authority · authority rules 5</x:v>
      </x:c>
      <x:c r="F426" t="n">
        <x:f>Controls!$D$76</x:f>
        <x:v>1</x:v>
      </x:c>
      <x:c r="G426" t="n">
        <x:v>1</x:v>
      </x:c>
      <x:c r="H426" t="str">
        <x:v>equals</x:v>
      </x:c>
      <x:c r="I426" t="str">
        <x:v>RHP design authority</x:v>
      </x:c>
      <x:c r="J426" t="str">
        <x:f>IF(F426=G426,"PASS","GAP")</x:f>
        <x:v>PASS</x:v>
      </x:c>
    </x:row>
    <x:row r="427">
      <x:c r="B427" t="str">
        <x:v>PHY-RIG-RHP-A1</x:v>
      </x:c>
      <x:c r="C427" t="str">
        <x:v>PHYSICAL</x:v>
      </x:c>
      <x:c r="D427" t="str">
        <x:v>rig acceptance</x:v>
      </x:c>
      <x:c r="E427" t="str">
        <x:v>RHP-A1</x:v>
      </x:c>
      <x:c r="F427" t="n">
        <x:f>'Source Vessel'!F7</x:f>
        <x:v>0</x:v>
      </x:c>
      <x:c r="G427" t="n">
        <x:v>1</x:v>
      </x:c>
      <x:c r="H427" t="str">
        <x:v>equals</x:v>
      </x:c>
      <x:c r="I427" t="str">
        <x:v>independent acceptance</x:v>
      </x:c>
      <x:c r="J427" t="str">
        <x:f>IF(F427=G427,"PASS","OPEN")</x:f>
        <x:v>OPEN</x:v>
      </x:c>
    </x:row>
    <x:row r="428">
      <x:c r="B428" t="str">
        <x:v>PHY-RIG-RHP-A2</x:v>
      </x:c>
      <x:c r="C428" t="str">
        <x:v>PHYSICAL</x:v>
      </x:c>
      <x:c r="D428" t="str">
        <x:v>rig acceptance</x:v>
      </x:c>
      <x:c r="E428" t="str">
        <x:v>RHP-A2</x:v>
      </x:c>
      <x:c r="F428" t="n">
        <x:f>'Source Vessel'!F8</x:f>
        <x:v>0</x:v>
      </x:c>
      <x:c r="G428" t="n">
        <x:v>1</x:v>
      </x:c>
      <x:c r="H428" t="str">
        <x:v>equals</x:v>
      </x:c>
      <x:c r="I428" t="str">
        <x:v>independent acceptance</x:v>
      </x:c>
      <x:c r="J428" t="str">
        <x:f>IF(F428=G428,"PASS","OPEN")</x:f>
        <x:v>OPEN</x:v>
      </x:c>
    </x:row>
    <x:row r="429">
      <x:c r="B429" t="str">
        <x:v>PHY-RIG-RHP-B1</x:v>
      </x:c>
      <x:c r="C429" t="str">
        <x:v>PHYSICAL</x:v>
      </x:c>
      <x:c r="D429" t="str">
        <x:v>rig acceptance</x:v>
      </x:c>
      <x:c r="E429" t="str">
        <x:v>RHP-B1</x:v>
      </x:c>
      <x:c r="F429" t="n">
        <x:f>'Source Vessel'!F9</x:f>
        <x:v>0</x:v>
      </x:c>
      <x:c r="G429" t="n">
        <x:v>1</x:v>
      </x:c>
      <x:c r="H429" t="str">
        <x:v>equals</x:v>
      </x:c>
      <x:c r="I429" t="str">
        <x:v>independent acceptance</x:v>
      </x:c>
      <x:c r="J429" t="str">
        <x:f>IF(F429=G429,"PASS","OPEN")</x:f>
        <x:v>OPEN</x:v>
      </x:c>
    </x:row>
    <x:row r="430">
      <x:c r="B430" t="str">
        <x:v>PHY-RIG-RHP-B2</x:v>
      </x:c>
      <x:c r="C430" t="str">
        <x:v>PHYSICAL</x:v>
      </x:c>
      <x:c r="D430" t="str">
        <x:v>rig acceptance</x:v>
      </x:c>
      <x:c r="E430" t="str">
        <x:v>RHP-B2</x:v>
      </x:c>
      <x:c r="F430" t="n">
        <x:f>'Source Vessel'!F10</x:f>
        <x:v>0</x:v>
      </x:c>
      <x:c r="G430" t="n">
        <x:v>1</x:v>
      </x:c>
      <x:c r="H430" t="str">
        <x:v>equals</x:v>
      </x:c>
      <x:c r="I430" t="str">
        <x:v>independent acceptance</x:v>
      </x:c>
      <x:c r="J430" t="str">
        <x:f>IF(F430=G430,"PASS","OPEN")</x:f>
        <x:v>OPEN</x:v>
      </x:c>
    </x:row>
    <x:row r="431">
      <x:c r="B431" t="str">
        <x:v>PHY-RIG-RHP-C1</x:v>
      </x:c>
      <x:c r="C431" t="str">
        <x:v>PHYSICAL</x:v>
      </x:c>
      <x:c r="D431" t="str">
        <x:v>rig acceptance</x:v>
      </x:c>
      <x:c r="E431" t="str">
        <x:v>RHP-C1</x:v>
      </x:c>
      <x:c r="F431" t="n">
        <x:f>'Source Vessel'!F11</x:f>
        <x:v>0</x:v>
      </x:c>
      <x:c r="G431" t="n">
        <x:v>1</x:v>
      </x:c>
      <x:c r="H431" t="str">
        <x:v>equals</x:v>
      </x:c>
      <x:c r="I431" t="str">
        <x:v>independent acceptance</x:v>
      </x:c>
      <x:c r="J431" t="str">
        <x:f>IF(F431=G431,"PASS","OPEN")</x:f>
        <x:v>OPEN</x:v>
      </x:c>
    </x:row>
    <x:row r="432">
      <x:c r="B432" t="str">
        <x:v>PHY-RIG-RHP-C2</x:v>
      </x:c>
      <x:c r="C432" t="str">
        <x:v>PHYSICAL</x:v>
      </x:c>
      <x:c r="D432" t="str">
        <x:v>rig acceptance</x:v>
      </x:c>
      <x:c r="E432" t="str">
        <x:v>RHP-C2</x:v>
      </x:c>
      <x:c r="F432" t="n">
        <x:f>'Source Vessel'!F12</x:f>
        <x:v>0</x:v>
      </x:c>
      <x:c r="G432" t="n">
        <x:v>1</x:v>
      </x:c>
      <x:c r="H432" t="str">
        <x:v>equals</x:v>
      </x:c>
      <x:c r="I432" t="str">
        <x:v>independent acceptance</x:v>
      </x:c>
      <x:c r="J432" t="str">
        <x:f>IF(F432=G432,"PASS","OPEN")</x:f>
        <x:v>OPEN</x:v>
      </x:c>
    </x:row>
    <x:row r="433">
      <x:c r="B433" t="str">
        <x:v>PHY-TZ-RHP-A1-TZ01</x:v>
      </x:c>
      <x:c r="C433" t="str">
        <x:v>PHYSICAL</x:v>
      </x:c>
      <x:c r="D433" t="str">
        <x:v>thermal-zone acceptance</x:v>
      </x:c>
      <x:c r="E433" t="str">
        <x:v>RHP-A1-TZ01</x:v>
      </x:c>
      <x:c r="F433" t="n">
        <x:f>'Thermal Boundary'!H7</x:f>
        <x:v>0</x:v>
      </x:c>
      <x:c r="G433" t="n">
        <x:v>1</x:v>
      </x:c>
      <x:c r="H433" t="str">
        <x:v>equals</x:v>
      </x:c>
      <x:c r="I433" t="str">
        <x:v>independent acceptance</x:v>
      </x:c>
      <x:c r="J433" t="str">
        <x:f>IF(F433=G433,"PASS","OPEN")</x:f>
        <x:v>OPEN</x:v>
      </x:c>
    </x:row>
    <x:row r="434">
      <x:c r="B434" t="str">
        <x:v>PHY-TZ-RHP-A1-TZ02</x:v>
      </x:c>
      <x:c r="C434" t="str">
        <x:v>PHYSICAL</x:v>
      </x:c>
      <x:c r="D434" t="str">
        <x:v>thermal-zone acceptance</x:v>
      </x:c>
      <x:c r="E434" t="str">
        <x:v>RHP-A1-TZ02</x:v>
      </x:c>
      <x:c r="F434" t="n">
        <x:f>'Thermal Boundary'!H8</x:f>
        <x:v>0</x:v>
      </x:c>
      <x:c r="G434" t="n">
        <x:v>1</x:v>
      </x:c>
      <x:c r="H434" t="str">
        <x:v>equals</x:v>
      </x:c>
      <x:c r="I434" t="str">
        <x:v>independent acceptance</x:v>
      </x:c>
      <x:c r="J434" t="str">
        <x:f>IF(F434=G434,"PASS","OPEN")</x:f>
        <x:v>OPEN</x:v>
      </x:c>
    </x:row>
    <x:row r="435">
      <x:c r="B435" t="str">
        <x:v>PHY-TZ-RHP-A1-TZ03</x:v>
      </x:c>
      <x:c r="C435" t="str">
        <x:v>PHYSICAL</x:v>
      </x:c>
      <x:c r="D435" t="str">
        <x:v>thermal-zone acceptance</x:v>
      </x:c>
      <x:c r="E435" t="str">
        <x:v>RHP-A1-TZ03</x:v>
      </x:c>
      <x:c r="F435" t="n">
        <x:f>'Thermal Boundary'!H9</x:f>
        <x:v>0</x:v>
      </x:c>
      <x:c r="G435" t="n">
        <x:v>1</x:v>
      </x:c>
      <x:c r="H435" t="str">
        <x:v>equals</x:v>
      </x:c>
      <x:c r="I435" t="str">
        <x:v>independent acceptance</x:v>
      </x:c>
      <x:c r="J435" t="str">
        <x:f>IF(F435=G435,"PASS","OPEN")</x:f>
        <x:v>OPEN</x:v>
      </x:c>
    </x:row>
    <x:row r="436">
      <x:c r="B436" t="str">
        <x:v>PHY-TZ-RHP-A1-TZ04</x:v>
      </x:c>
      <x:c r="C436" t="str">
        <x:v>PHYSICAL</x:v>
      </x:c>
      <x:c r="D436" t="str">
        <x:v>thermal-zone acceptance</x:v>
      </x:c>
      <x:c r="E436" t="str">
        <x:v>RHP-A1-TZ04</x:v>
      </x:c>
      <x:c r="F436" t="n">
        <x:f>'Thermal Boundary'!H10</x:f>
        <x:v>0</x:v>
      </x:c>
      <x:c r="G436" t="n">
        <x:v>1</x:v>
      </x:c>
      <x:c r="H436" t="str">
        <x:v>equals</x:v>
      </x:c>
      <x:c r="I436" t="str">
        <x:v>independent acceptance</x:v>
      </x:c>
      <x:c r="J436" t="str">
        <x:f>IF(F436=G436,"PASS","OPEN")</x:f>
        <x:v>OPEN</x:v>
      </x:c>
    </x:row>
    <x:row r="437">
      <x:c r="B437" t="str">
        <x:v>PHY-TZ-RHP-A1-TZ05</x:v>
      </x:c>
      <x:c r="C437" t="str">
        <x:v>PHYSICAL</x:v>
      </x:c>
      <x:c r="D437" t="str">
        <x:v>thermal-zone acceptance</x:v>
      </x:c>
      <x:c r="E437" t="str">
        <x:v>RHP-A1-TZ05</x:v>
      </x:c>
      <x:c r="F437" t="n">
        <x:f>'Thermal Boundary'!H11</x:f>
        <x:v>0</x:v>
      </x:c>
      <x:c r="G437" t="n">
        <x:v>1</x:v>
      </x:c>
      <x:c r="H437" t="str">
        <x:v>equals</x:v>
      </x:c>
      <x:c r="I437" t="str">
        <x:v>independent acceptance</x:v>
      </x:c>
      <x:c r="J437" t="str">
        <x:f>IF(F437=G437,"PASS","OPEN")</x:f>
        <x:v>OPEN</x:v>
      </x:c>
    </x:row>
    <x:row r="438">
      <x:c r="B438" t="str">
        <x:v>PHY-TZ-RHP-A1-TZ06</x:v>
      </x:c>
      <x:c r="C438" t="str">
        <x:v>PHYSICAL</x:v>
      </x:c>
      <x:c r="D438" t="str">
        <x:v>thermal-zone acceptance</x:v>
      </x:c>
      <x:c r="E438" t="str">
        <x:v>RHP-A1-TZ06</x:v>
      </x:c>
      <x:c r="F438" t="n">
        <x:f>'Thermal Boundary'!H12</x:f>
        <x:v>0</x:v>
      </x:c>
      <x:c r="G438" t="n">
        <x:v>1</x:v>
      </x:c>
      <x:c r="H438" t="str">
        <x:v>equals</x:v>
      </x:c>
      <x:c r="I438" t="str">
        <x:v>independent acceptance</x:v>
      </x:c>
      <x:c r="J438" t="str">
        <x:f>IF(F438=G438,"PASS","OPEN")</x:f>
        <x:v>OPEN</x:v>
      </x:c>
    </x:row>
    <x:row r="439">
      <x:c r="B439" t="str">
        <x:v>PHY-TZ-RHP-A1-TZ07</x:v>
      </x:c>
      <x:c r="C439" t="str">
        <x:v>PHYSICAL</x:v>
      </x:c>
      <x:c r="D439" t="str">
        <x:v>thermal-zone acceptance</x:v>
      </x:c>
      <x:c r="E439" t="str">
        <x:v>RHP-A1-TZ07</x:v>
      </x:c>
      <x:c r="F439" t="n">
        <x:f>'Thermal Boundary'!H13</x:f>
        <x:v>0</x:v>
      </x:c>
      <x:c r="G439" t="n">
        <x:v>1</x:v>
      </x:c>
      <x:c r="H439" t="str">
        <x:v>equals</x:v>
      </x:c>
      <x:c r="I439" t="str">
        <x:v>independent acceptance</x:v>
      </x:c>
      <x:c r="J439" t="str">
        <x:f>IF(F439=G439,"PASS","OPEN")</x:f>
        <x:v>OPEN</x:v>
      </x:c>
    </x:row>
    <x:row r="440">
      <x:c r="B440" t="str">
        <x:v>PHY-TZ-RHP-A1-TZ08</x:v>
      </x:c>
      <x:c r="C440" t="str">
        <x:v>PHYSICAL</x:v>
      </x:c>
      <x:c r="D440" t="str">
        <x:v>thermal-zone acceptance</x:v>
      </x:c>
      <x:c r="E440" t="str">
        <x:v>RHP-A1-TZ08</x:v>
      </x:c>
      <x:c r="F440" t="n">
        <x:f>'Thermal Boundary'!H14</x:f>
        <x:v>0</x:v>
      </x:c>
      <x:c r="G440" t="n">
        <x:v>1</x:v>
      </x:c>
      <x:c r="H440" t="str">
        <x:v>equals</x:v>
      </x:c>
      <x:c r="I440" t="str">
        <x:v>independent acceptance</x:v>
      </x:c>
      <x:c r="J440" t="str">
        <x:f>IF(F440=G440,"PASS","OPEN")</x:f>
        <x:v>OPEN</x:v>
      </x:c>
    </x:row>
    <x:row r="441">
      <x:c r="B441" t="str">
        <x:v>PHY-TZ-RHP-A1-TZ09</x:v>
      </x:c>
      <x:c r="C441" t="str">
        <x:v>PHYSICAL</x:v>
      </x:c>
      <x:c r="D441" t="str">
        <x:v>thermal-zone acceptance</x:v>
      </x:c>
      <x:c r="E441" t="str">
        <x:v>RHP-A1-TZ09</x:v>
      </x:c>
      <x:c r="F441" t="n">
        <x:f>'Thermal Boundary'!H15</x:f>
        <x:v>0</x:v>
      </x:c>
      <x:c r="G441" t="n">
        <x:v>1</x:v>
      </x:c>
      <x:c r="H441" t="str">
        <x:v>equals</x:v>
      </x:c>
      <x:c r="I441" t="str">
        <x:v>independent acceptance</x:v>
      </x:c>
      <x:c r="J441" t="str">
        <x:f>IF(F441=G441,"PASS","OPEN")</x:f>
        <x:v>OPEN</x:v>
      </x:c>
    </x:row>
    <x:row r="442">
      <x:c r="B442" t="str">
        <x:v>PHY-TZ-RHP-A1-TZ10</x:v>
      </x:c>
      <x:c r="C442" t="str">
        <x:v>PHYSICAL</x:v>
      </x:c>
      <x:c r="D442" t="str">
        <x:v>thermal-zone acceptance</x:v>
      </x:c>
      <x:c r="E442" t="str">
        <x:v>RHP-A1-TZ10</x:v>
      </x:c>
      <x:c r="F442" t="n">
        <x:f>'Thermal Boundary'!H16</x:f>
        <x:v>0</x:v>
      </x:c>
      <x:c r="G442" t="n">
        <x:v>1</x:v>
      </x:c>
      <x:c r="H442" t="str">
        <x:v>equals</x:v>
      </x:c>
      <x:c r="I442" t="str">
        <x:v>independent acceptance</x:v>
      </x:c>
      <x:c r="J442" t="str">
        <x:f>IF(F442=G442,"PASS","OPEN")</x:f>
        <x:v>OPEN</x:v>
      </x:c>
    </x:row>
    <x:row r="443">
      <x:c r="B443" t="str">
        <x:v>PHY-TZ-RHP-A1-TZ11</x:v>
      </x:c>
      <x:c r="C443" t="str">
        <x:v>PHYSICAL</x:v>
      </x:c>
      <x:c r="D443" t="str">
        <x:v>thermal-zone acceptance</x:v>
      </x:c>
      <x:c r="E443" t="str">
        <x:v>RHP-A1-TZ11</x:v>
      </x:c>
      <x:c r="F443" t="n">
        <x:f>'Thermal Boundary'!H17</x:f>
        <x:v>0</x:v>
      </x:c>
      <x:c r="G443" t="n">
        <x:v>1</x:v>
      </x:c>
      <x:c r="H443" t="str">
        <x:v>equals</x:v>
      </x:c>
      <x:c r="I443" t="str">
        <x:v>independent acceptance</x:v>
      </x:c>
      <x:c r="J443" t="str">
        <x:f>IF(F443=G443,"PASS","OPEN")</x:f>
        <x:v>OPEN</x:v>
      </x:c>
    </x:row>
    <x:row r="444">
      <x:c r="B444" t="str">
        <x:v>PHY-TZ-RHP-A1-TZ12</x:v>
      </x:c>
      <x:c r="C444" t="str">
        <x:v>PHYSICAL</x:v>
      </x:c>
      <x:c r="D444" t="str">
        <x:v>thermal-zone acceptance</x:v>
      </x:c>
      <x:c r="E444" t="str">
        <x:v>RHP-A1-TZ12</x:v>
      </x:c>
      <x:c r="F444" t="n">
        <x:f>'Thermal Boundary'!H18</x:f>
        <x:v>0</x:v>
      </x:c>
      <x:c r="G444" t="n">
        <x:v>1</x:v>
      </x:c>
      <x:c r="H444" t="str">
        <x:v>equals</x:v>
      </x:c>
      <x:c r="I444" t="str">
        <x:v>independent acceptance</x:v>
      </x:c>
      <x:c r="J444" t="str">
        <x:f>IF(F444=G444,"PASS","OPEN")</x:f>
        <x:v>OPEN</x:v>
      </x:c>
    </x:row>
    <x:row r="445">
      <x:c r="B445" t="str">
        <x:v>PHY-TZ-RHP-A1-TZ13</x:v>
      </x:c>
      <x:c r="C445" t="str">
        <x:v>PHYSICAL</x:v>
      </x:c>
      <x:c r="D445" t="str">
        <x:v>thermal-zone acceptance</x:v>
      </x:c>
      <x:c r="E445" t="str">
        <x:v>RHP-A1-TZ13</x:v>
      </x:c>
      <x:c r="F445" t="n">
        <x:f>'Thermal Boundary'!H19</x:f>
        <x:v>0</x:v>
      </x:c>
      <x:c r="G445" t="n">
        <x:v>1</x:v>
      </x:c>
      <x:c r="H445" t="str">
        <x:v>equals</x:v>
      </x:c>
      <x:c r="I445" t="str">
        <x:v>independent acceptance</x:v>
      </x:c>
      <x:c r="J445" t="str">
        <x:f>IF(F445=G445,"PASS","OPEN")</x:f>
        <x:v>OPEN</x:v>
      </x:c>
    </x:row>
    <x:row r="446">
      <x:c r="B446" t="str">
        <x:v>PHY-TZ-RHP-A1-TZ14</x:v>
      </x:c>
      <x:c r="C446" t="str">
        <x:v>PHYSICAL</x:v>
      </x:c>
      <x:c r="D446" t="str">
        <x:v>thermal-zone acceptance</x:v>
      </x:c>
      <x:c r="E446" t="str">
        <x:v>RHP-A1-TZ14</x:v>
      </x:c>
      <x:c r="F446" t="n">
        <x:f>'Thermal Boundary'!H20</x:f>
        <x:v>0</x:v>
      </x:c>
      <x:c r="G446" t="n">
        <x:v>1</x:v>
      </x:c>
      <x:c r="H446" t="str">
        <x:v>equals</x:v>
      </x:c>
      <x:c r="I446" t="str">
        <x:v>independent acceptance</x:v>
      </x:c>
      <x:c r="J446" t="str">
        <x:f>IF(F446=G446,"PASS","OPEN")</x:f>
        <x:v>OPEN</x:v>
      </x:c>
    </x:row>
    <x:row r="447">
      <x:c r="B447" t="str">
        <x:v>PHY-TZ-RHP-A1-TZ15</x:v>
      </x:c>
      <x:c r="C447" t="str">
        <x:v>PHYSICAL</x:v>
      </x:c>
      <x:c r="D447" t="str">
        <x:v>thermal-zone acceptance</x:v>
      </x:c>
      <x:c r="E447" t="str">
        <x:v>RHP-A1-TZ15</x:v>
      </x:c>
      <x:c r="F447" t="n">
        <x:f>'Thermal Boundary'!H21</x:f>
        <x:v>0</x:v>
      </x:c>
      <x:c r="G447" t="n">
        <x:v>1</x:v>
      </x:c>
      <x:c r="H447" t="str">
        <x:v>equals</x:v>
      </x:c>
      <x:c r="I447" t="str">
        <x:v>independent acceptance</x:v>
      </x:c>
      <x:c r="J447" t="str">
        <x:f>IF(F447=G447,"PASS","OPEN")</x:f>
        <x:v>OPEN</x:v>
      </x:c>
    </x:row>
    <x:row r="448">
      <x:c r="B448" t="str">
        <x:v>PHY-TZ-RHP-A1-TZ16</x:v>
      </x:c>
      <x:c r="C448" t="str">
        <x:v>PHYSICAL</x:v>
      </x:c>
      <x:c r="D448" t="str">
        <x:v>thermal-zone acceptance</x:v>
      </x:c>
      <x:c r="E448" t="str">
        <x:v>RHP-A1-TZ16</x:v>
      </x:c>
      <x:c r="F448" t="n">
        <x:f>'Thermal Boundary'!H22</x:f>
        <x:v>0</x:v>
      </x:c>
      <x:c r="G448" t="n">
        <x:v>1</x:v>
      </x:c>
      <x:c r="H448" t="str">
        <x:v>equals</x:v>
      </x:c>
      <x:c r="I448" t="str">
        <x:v>independent acceptance</x:v>
      </x:c>
      <x:c r="J448" t="str">
        <x:f>IF(F448=G448,"PASS","OPEN")</x:f>
        <x:v>OPEN</x:v>
      </x:c>
    </x:row>
    <x:row r="449">
      <x:c r="B449" t="str">
        <x:v>PHY-TZ-RHP-A2-TZ01</x:v>
      </x:c>
      <x:c r="C449" t="str">
        <x:v>PHYSICAL</x:v>
      </x:c>
      <x:c r="D449" t="str">
        <x:v>thermal-zone acceptance</x:v>
      </x:c>
      <x:c r="E449" t="str">
        <x:v>RHP-A2-TZ01</x:v>
      </x:c>
      <x:c r="F449" t="n">
        <x:f>'Thermal Boundary'!H23</x:f>
        <x:v>0</x:v>
      </x:c>
      <x:c r="G449" t="n">
        <x:v>1</x:v>
      </x:c>
      <x:c r="H449" t="str">
        <x:v>equals</x:v>
      </x:c>
      <x:c r="I449" t="str">
        <x:v>independent acceptance</x:v>
      </x:c>
      <x:c r="J449" t="str">
        <x:f>IF(F449=G449,"PASS","OPEN")</x:f>
        <x:v>OPEN</x:v>
      </x:c>
    </x:row>
    <x:row r="450">
      <x:c r="B450" t="str">
        <x:v>PHY-TZ-RHP-A2-TZ02</x:v>
      </x:c>
      <x:c r="C450" t="str">
        <x:v>PHYSICAL</x:v>
      </x:c>
      <x:c r="D450" t="str">
        <x:v>thermal-zone acceptance</x:v>
      </x:c>
      <x:c r="E450" t="str">
        <x:v>RHP-A2-TZ02</x:v>
      </x:c>
      <x:c r="F450" t="n">
        <x:f>'Thermal Boundary'!H24</x:f>
        <x:v>0</x:v>
      </x:c>
      <x:c r="G450" t="n">
        <x:v>1</x:v>
      </x:c>
      <x:c r="H450" t="str">
        <x:v>equals</x:v>
      </x:c>
      <x:c r="I450" t="str">
        <x:v>independent acceptance</x:v>
      </x:c>
      <x:c r="J450" t="str">
        <x:f>IF(F450=G450,"PASS","OPEN")</x:f>
        <x:v>OPEN</x:v>
      </x:c>
    </x:row>
    <x:row r="451">
      <x:c r="B451" t="str">
        <x:v>PHY-TZ-RHP-A2-TZ03</x:v>
      </x:c>
      <x:c r="C451" t="str">
        <x:v>PHYSICAL</x:v>
      </x:c>
      <x:c r="D451" t="str">
        <x:v>thermal-zone acceptance</x:v>
      </x:c>
      <x:c r="E451" t="str">
        <x:v>RHP-A2-TZ03</x:v>
      </x:c>
      <x:c r="F451" t="n">
        <x:f>'Thermal Boundary'!H25</x:f>
        <x:v>0</x:v>
      </x:c>
      <x:c r="G451" t="n">
        <x:v>1</x:v>
      </x:c>
      <x:c r="H451" t="str">
        <x:v>equals</x:v>
      </x:c>
      <x:c r="I451" t="str">
        <x:v>independent acceptance</x:v>
      </x:c>
      <x:c r="J451" t="str">
        <x:f>IF(F451=G451,"PASS","OPEN")</x:f>
        <x:v>OPEN</x:v>
      </x:c>
    </x:row>
    <x:row r="452">
      <x:c r="B452" t="str">
        <x:v>PHY-TZ-RHP-A2-TZ04</x:v>
      </x:c>
      <x:c r="C452" t="str">
        <x:v>PHYSICAL</x:v>
      </x:c>
      <x:c r="D452" t="str">
        <x:v>thermal-zone acceptance</x:v>
      </x:c>
      <x:c r="E452" t="str">
        <x:v>RHP-A2-TZ04</x:v>
      </x:c>
      <x:c r="F452" t="n">
        <x:f>'Thermal Boundary'!H26</x:f>
        <x:v>0</x:v>
      </x:c>
      <x:c r="G452" t="n">
        <x:v>1</x:v>
      </x:c>
      <x:c r="H452" t="str">
        <x:v>equals</x:v>
      </x:c>
      <x:c r="I452" t="str">
        <x:v>independent acceptance</x:v>
      </x:c>
      <x:c r="J452" t="str">
        <x:f>IF(F452=G452,"PASS","OPEN")</x:f>
        <x:v>OPEN</x:v>
      </x:c>
    </x:row>
    <x:row r="453">
      <x:c r="B453" t="str">
        <x:v>PHY-TZ-RHP-A2-TZ05</x:v>
      </x:c>
      <x:c r="C453" t="str">
        <x:v>PHYSICAL</x:v>
      </x:c>
      <x:c r="D453" t="str">
        <x:v>thermal-zone acceptance</x:v>
      </x:c>
      <x:c r="E453" t="str">
        <x:v>RHP-A2-TZ05</x:v>
      </x:c>
      <x:c r="F453" t="n">
        <x:f>'Thermal Boundary'!H27</x:f>
        <x:v>0</x:v>
      </x:c>
      <x:c r="G453" t="n">
        <x:v>1</x:v>
      </x:c>
      <x:c r="H453" t="str">
        <x:v>equals</x:v>
      </x:c>
      <x:c r="I453" t="str">
        <x:v>independent acceptance</x:v>
      </x:c>
      <x:c r="J453" t="str">
        <x:f>IF(F453=G453,"PASS","OPEN")</x:f>
        <x:v>OPEN</x:v>
      </x:c>
    </x:row>
    <x:row r="454">
      <x:c r="B454" t="str">
        <x:v>PHY-TZ-RHP-A2-TZ06</x:v>
      </x:c>
      <x:c r="C454" t="str">
        <x:v>PHYSICAL</x:v>
      </x:c>
      <x:c r="D454" t="str">
        <x:v>thermal-zone acceptance</x:v>
      </x:c>
      <x:c r="E454" t="str">
        <x:v>RHP-A2-TZ06</x:v>
      </x:c>
      <x:c r="F454" t="n">
        <x:f>'Thermal Boundary'!H28</x:f>
        <x:v>0</x:v>
      </x:c>
      <x:c r="G454" t="n">
        <x:v>1</x:v>
      </x:c>
      <x:c r="H454" t="str">
        <x:v>equals</x:v>
      </x:c>
      <x:c r="I454" t="str">
        <x:v>independent acceptance</x:v>
      </x:c>
      <x:c r="J454" t="str">
        <x:f>IF(F454=G454,"PASS","OPEN")</x:f>
        <x:v>OPEN</x:v>
      </x:c>
    </x:row>
    <x:row r="455">
      <x:c r="B455" t="str">
        <x:v>PHY-TZ-RHP-A2-TZ07</x:v>
      </x:c>
      <x:c r="C455" t="str">
        <x:v>PHYSICAL</x:v>
      </x:c>
      <x:c r="D455" t="str">
        <x:v>thermal-zone acceptance</x:v>
      </x:c>
      <x:c r="E455" t="str">
        <x:v>RHP-A2-TZ07</x:v>
      </x:c>
      <x:c r="F455" t="n">
        <x:f>'Thermal Boundary'!H29</x:f>
        <x:v>0</x:v>
      </x:c>
      <x:c r="G455" t="n">
        <x:v>1</x:v>
      </x:c>
      <x:c r="H455" t="str">
        <x:v>equals</x:v>
      </x:c>
      <x:c r="I455" t="str">
        <x:v>independent acceptance</x:v>
      </x:c>
      <x:c r="J455" t="str">
        <x:f>IF(F455=G455,"PASS","OPEN")</x:f>
        <x:v>OPEN</x:v>
      </x:c>
    </x:row>
    <x:row r="456">
      <x:c r="B456" t="str">
        <x:v>PHY-TZ-RHP-A2-TZ08</x:v>
      </x:c>
      <x:c r="C456" t="str">
        <x:v>PHYSICAL</x:v>
      </x:c>
      <x:c r="D456" t="str">
        <x:v>thermal-zone acceptance</x:v>
      </x:c>
      <x:c r="E456" t="str">
        <x:v>RHP-A2-TZ08</x:v>
      </x:c>
      <x:c r="F456" t="n">
        <x:f>'Thermal Boundary'!H30</x:f>
        <x:v>0</x:v>
      </x:c>
      <x:c r="G456" t="n">
        <x:v>1</x:v>
      </x:c>
      <x:c r="H456" t="str">
        <x:v>equals</x:v>
      </x:c>
      <x:c r="I456" t="str">
        <x:v>independent acceptance</x:v>
      </x:c>
      <x:c r="J456" t="str">
        <x:f>IF(F456=G456,"PASS","OPEN")</x:f>
        <x:v>OPEN</x:v>
      </x:c>
    </x:row>
    <x:row r="457">
      <x:c r="B457" t="str">
        <x:v>PHY-TZ-RHP-A2-TZ09</x:v>
      </x:c>
      <x:c r="C457" t="str">
        <x:v>PHYSICAL</x:v>
      </x:c>
      <x:c r="D457" t="str">
        <x:v>thermal-zone acceptance</x:v>
      </x:c>
      <x:c r="E457" t="str">
        <x:v>RHP-A2-TZ09</x:v>
      </x:c>
      <x:c r="F457" t="n">
        <x:f>'Thermal Boundary'!H31</x:f>
        <x:v>0</x:v>
      </x:c>
      <x:c r="G457" t="n">
        <x:v>1</x:v>
      </x:c>
      <x:c r="H457" t="str">
        <x:v>equals</x:v>
      </x:c>
      <x:c r="I457" t="str">
        <x:v>independent acceptance</x:v>
      </x:c>
      <x:c r="J457" t="str">
        <x:f>IF(F457=G457,"PASS","OPEN")</x:f>
        <x:v>OPEN</x:v>
      </x:c>
    </x:row>
    <x:row r="458">
      <x:c r="B458" t="str">
        <x:v>PHY-TZ-RHP-A2-TZ10</x:v>
      </x:c>
      <x:c r="C458" t="str">
        <x:v>PHYSICAL</x:v>
      </x:c>
      <x:c r="D458" t="str">
        <x:v>thermal-zone acceptance</x:v>
      </x:c>
      <x:c r="E458" t="str">
        <x:v>RHP-A2-TZ10</x:v>
      </x:c>
      <x:c r="F458" t="n">
        <x:f>'Thermal Boundary'!H32</x:f>
        <x:v>0</x:v>
      </x:c>
      <x:c r="G458" t="n">
        <x:v>1</x:v>
      </x:c>
      <x:c r="H458" t="str">
        <x:v>equals</x:v>
      </x:c>
      <x:c r="I458" t="str">
        <x:v>independent acceptance</x:v>
      </x:c>
      <x:c r="J458" t="str">
        <x:f>IF(F458=G458,"PASS","OPEN")</x:f>
        <x:v>OPEN</x:v>
      </x:c>
    </x:row>
    <x:row r="459">
      <x:c r="B459" t="str">
        <x:v>PHY-TZ-RHP-A2-TZ11</x:v>
      </x:c>
      <x:c r="C459" t="str">
        <x:v>PHYSICAL</x:v>
      </x:c>
      <x:c r="D459" t="str">
        <x:v>thermal-zone acceptance</x:v>
      </x:c>
      <x:c r="E459" t="str">
        <x:v>RHP-A2-TZ11</x:v>
      </x:c>
      <x:c r="F459" t="n">
        <x:f>'Thermal Boundary'!H33</x:f>
        <x:v>0</x:v>
      </x:c>
      <x:c r="G459" t="n">
        <x:v>1</x:v>
      </x:c>
      <x:c r="H459" t="str">
        <x:v>equals</x:v>
      </x:c>
      <x:c r="I459" t="str">
        <x:v>independent acceptance</x:v>
      </x:c>
      <x:c r="J459" t="str">
        <x:f>IF(F459=G459,"PASS","OPEN")</x:f>
        <x:v>OPEN</x:v>
      </x:c>
    </x:row>
    <x:row r="460">
      <x:c r="B460" t="str">
        <x:v>PHY-TZ-RHP-A2-TZ12</x:v>
      </x:c>
      <x:c r="C460" t="str">
        <x:v>PHYSICAL</x:v>
      </x:c>
      <x:c r="D460" t="str">
        <x:v>thermal-zone acceptance</x:v>
      </x:c>
      <x:c r="E460" t="str">
        <x:v>RHP-A2-TZ12</x:v>
      </x:c>
      <x:c r="F460" t="n">
        <x:f>'Thermal Boundary'!H34</x:f>
        <x:v>0</x:v>
      </x:c>
      <x:c r="G460" t="n">
        <x:v>1</x:v>
      </x:c>
      <x:c r="H460" t="str">
        <x:v>equals</x:v>
      </x:c>
      <x:c r="I460" t="str">
        <x:v>independent acceptance</x:v>
      </x:c>
      <x:c r="J460" t="str">
        <x:f>IF(F460=G460,"PASS","OPEN")</x:f>
        <x:v>OPEN</x:v>
      </x:c>
    </x:row>
    <x:row r="461">
      <x:c r="B461" t="str">
        <x:v>PHY-TZ-RHP-A2-TZ13</x:v>
      </x:c>
      <x:c r="C461" t="str">
        <x:v>PHYSICAL</x:v>
      </x:c>
      <x:c r="D461" t="str">
        <x:v>thermal-zone acceptance</x:v>
      </x:c>
      <x:c r="E461" t="str">
        <x:v>RHP-A2-TZ13</x:v>
      </x:c>
      <x:c r="F461" t="n">
        <x:f>'Thermal Boundary'!H35</x:f>
        <x:v>0</x:v>
      </x:c>
      <x:c r="G461" t="n">
        <x:v>1</x:v>
      </x:c>
      <x:c r="H461" t="str">
        <x:v>equals</x:v>
      </x:c>
      <x:c r="I461" t="str">
        <x:v>independent acceptance</x:v>
      </x:c>
      <x:c r="J461" t="str">
        <x:f>IF(F461=G461,"PASS","OPEN")</x:f>
        <x:v>OPEN</x:v>
      </x:c>
    </x:row>
    <x:row r="462">
      <x:c r="B462" t="str">
        <x:v>PHY-TZ-RHP-A2-TZ14</x:v>
      </x:c>
      <x:c r="C462" t="str">
        <x:v>PHYSICAL</x:v>
      </x:c>
      <x:c r="D462" t="str">
        <x:v>thermal-zone acceptance</x:v>
      </x:c>
      <x:c r="E462" t="str">
        <x:v>RHP-A2-TZ14</x:v>
      </x:c>
      <x:c r="F462" t="n">
        <x:f>'Thermal Boundary'!H36</x:f>
        <x:v>0</x:v>
      </x:c>
      <x:c r="G462" t="n">
        <x:v>1</x:v>
      </x:c>
      <x:c r="H462" t="str">
        <x:v>equals</x:v>
      </x:c>
      <x:c r="I462" t="str">
        <x:v>independent acceptance</x:v>
      </x:c>
      <x:c r="J462" t="str">
        <x:f>IF(F462=G462,"PASS","OPEN")</x:f>
        <x:v>OPEN</x:v>
      </x:c>
    </x:row>
    <x:row r="463">
      <x:c r="B463" t="str">
        <x:v>PHY-TZ-RHP-A2-TZ15</x:v>
      </x:c>
      <x:c r="C463" t="str">
        <x:v>PHYSICAL</x:v>
      </x:c>
      <x:c r="D463" t="str">
        <x:v>thermal-zone acceptance</x:v>
      </x:c>
      <x:c r="E463" t="str">
        <x:v>RHP-A2-TZ15</x:v>
      </x:c>
      <x:c r="F463" t="n">
        <x:f>'Thermal Boundary'!H37</x:f>
        <x:v>0</x:v>
      </x:c>
      <x:c r="G463" t="n">
        <x:v>1</x:v>
      </x:c>
      <x:c r="H463" t="str">
        <x:v>equals</x:v>
      </x:c>
      <x:c r="I463" t="str">
        <x:v>independent acceptance</x:v>
      </x:c>
      <x:c r="J463" t="str">
        <x:f>IF(F463=G463,"PASS","OPEN")</x:f>
        <x:v>OPEN</x:v>
      </x:c>
    </x:row>
    <x:row r="464">
      <x:c r="B464" t="str">
        <x:v>PHY-TZ-RHP-A2-TZ16</x:v>
      </x:c>
      <x:c r="C464" t="str">
        <x:v>PHYSICAL</x:v>
      </x:c>
      <x:c r="D464" t="str">
        <x:v>thermal-zone acceptance</x:v>
      </x:c>
      <x:c r="E464" t="str">
        <x:v>RHP-A2-TZ16</x:v>
      </x:c>
      <x:c r="F464" t="n">
        <x:f>'Thermal Boundary'!H38</x:f>
        <x:v>0</x:v>
      </x:c>
      <x:c r="G464" t="n">
        <x:v>1</x:v>
      </x:c>
      <x:c r="H464" t="str">
        <x:v>equals</x:v>
      </x:c>
      <x:c r="I464" t="str">
        <x:v>independent acceptance</x:v>
      </x:c>
      <x:c r="J464" t="str">
        <x:f>IF(F464=G464,"PASS","OPEN")</x:f>
        <x:v>OPEN</x:v>
      </x:c>
    </x:row>
    <x:row r="465">
      <x:c r="B465" t="str">
        <x:v>PHY-TZ-RHP-B1-TZ01</x:v>
      </x:c>
      <x:c r="C465" t="str">
        <x:v>PHYSICAL</x:v>
      </x:c>
      <x:c r="D465" t="str">
        <x:v>thermal-zone acceptance</x:v>
      </x:c>
      <x:c r="E465" t="str">
        <x:v>RHP-B1-TZ01</x:v>
      </x:c>
      <x:c r="F465" t="n">
        <x:f>'Thermal Boundary'!H39</x:f>
        <x:v>0</x:v>
      </x:c>
      <x:c r="G465" t="n">
        <x:v>1</x:v>
      </x:c>
      <x:c r="H465" t="str">
        <x:v>equals</x:v>
      </x:c>
      <x:c r="I465" t="str">
        <x:v>independent acceptance</x:v>
      </x:c>
      <x:c r="J465" t="str">
        <x:f>IF(F465=G465,"PASS","OPEN")</x:f>
        <x:v>OPEN</x:v>
      </x:c>
    </x:row>
    <x:row r="466">
      <x:c r="B466" t="str">
        <x:v>PHY-TZ-RHP-B1-TZ02</x:v>
      </x:c>
      <x:c r="C466" t="str">
        <x:v>PHYSICAL</x:v>
      </x:c>
      <x:c r="D466" t="str">
        <x:v>thermal-zone acceptance</x:v>
      </x:c>
      <x:c r="E466" t="str">
        <x:v>RHP-B1-TZ02</x:v>
      </x:c>
      <x:c r="F466" t="n">
        <x:f>'Thermal Boundary'!H40</x:f>
        <x:v>0</x:v>
      </x:c>
      <x:c r="G466" t="n">
        <x:v>1</x:v>
      </x:c>
      <x:c r="H466" t="str">
        <x:v>equals</x:v>
      </x:c>
      <x:c r="I466" t="str">
        <x:v>independent acceptance</x:v>
      </x:c>
      <x:c r="J466" t="str">
        <x:f>IF(F466=G466,"PASS","OPEN")</x:f>
        <x:v>OPEN</x:v>
      </x:c>
    </x:row>
    <x:row r="467">
      <x:c r="B467" t="str">
        <x:v>PHY-TZ-RHP-B1-TZ03</x:v>
      </x:c>
      <x:c r="C467" t="str">
        <x:v>PHYSICAL</x:v>
      </x:c>
      <x:c r="D467" t="str">
        <x:v>thermal-zone acceptance</x:v>
      </x:c>
      <x:c r="E467" t="str">
        <x:v>RHP-B1-TZ03</x:v>
      </x:c>
      <x:c r="F467" t="n">
        <x:f>'Thermal Boundary'!H41</x:f>
        <x:v>0</x:v>
      </x:c>
      <x:c r="G467" t="n">
        <x:v>1</x:v>
      </x:c>
      <x:c r="H467" t="str">
        <x:v>equals</x:v>
      </x:c>
      <x:c r="I467" t="str">
        <x:v>independent acceptance</x:v>
      </x:c>
      <x:c r="J467" t="str">
        <x:f>IF(F467=G467,"PASS","OPEN")</x:f>
        <x:v>OPEN</x:v>
      </x:c>
    </x:row>
    <x:row r="468">
      <x:c r="B468" t="str">
        <x:v>PHY-TZ-RHP-B1-TZ04</x:v>
      </x:c>
      <x:c r="C468" t="str">
        <x:v>PHYSICAL</x:v>
      </x:c>
      <x:c r="D468" t="str">
        <x:v>thermal-zone acceptance</x:v>
      </x:c>
      <x:c r="E468" t="str">
        <x:v>RHP-B1-TZ04</x:v>
      </x:c>
      <x:c r="F468" t="n">
        <x:f>'Thermal Boundary'!H42</x:f>
        <x:v>0</x:v>
      </x:c>
      <x:c r="G468" t="n">
        <x:v>1</x:v>
      </x:c>
      <x:c r="H468" t="str">
        <x:v>equals</x:v>
      </x:c>
      <x:c r="I468" t="str">
        <x:v>independent acceptance</x:v>
      </x:c>
      <x:c r="J468" t="str">
        <x:f>IF(F468=G468,"PASS","OPEN")</x:f>
        <x:v>OPEN</x:v>
      </x:c>
    </x:row>
    <x:row r="469">
      <x:c r="B469" t="str">
        <x:v>PHY-TZ-RHP-B1-TZ05</x:v>
      </x:c>
      <x:c r="C469" t="str">
        <x:v>PHYSICAL</x:v>
      </x:c>
      <x:c r="D469" t="str">
        <x:v>thermal-zone acceptance</x:v>
      </x:c>
      <x:c r="E469" t="str">
        <x:v>RHP-B1-TZ05</x:v>
      </x:c>
      <x:c r="F469" t="n">
        <x:f>'Thermal Boundary'!H43</x:f>
        <x:v>0</x:v>
      </x:c>
      <x:c r="G469" t="n">
        <x:v>1</x:v>
      </x:c>
      <x:c r="H469" t="str">
        <x:v>equals</x:v>
      </x:c>
      <x:c r="I469" t="str">
        <x:v>independent acceptance</x:v>
      </x:c>
      <x:c r="J469" t="str">
        <x:f>IF(F469=G469,"PASS","OPEN")</x:f>
        <x:v>OPEN</x:v>
      </x:c>
    </x:row>
    <x:row r="470">
      <x:c r="B470" t="str">
        <x:v>PHY-TZ-RHP-B1-TZ06</x:v>
      </x:c>
      <x:c r="C470" t="str">
        <x:v>PHYSICAL</x:v>
      </x:c>
      <x:c r="D470" t="str">
        <x:v>thermal-zone acceptance</x:v>
      </x:c>
      <x:c r="E470" t="str">
        <x:v>RHP-B1-TZ06</x:v>
      </x:c>
      <x:c r="F470" t="n">
        <x:f>'Thermal Boundary'!H44</x:f>
        <x:v>0</x:v>
      </x:c>
      <x:c r="G470" t="n">
        <x:v>1</x:v>
      </x:c>
      <x:c r="H470" t="str">
        <x:v>equals</x:v>
      </x:c>
      <x:c r="I470" t="str">
        <x:v>independent acceptance</x:v>
      </x:c>
      <x:c r="J470" t="str">
        <x:f>IF(F470=G470,"PASS","OPEN")</x:f>
        <x:v>OPEN</x:v>
      </x:c>
    </x:row>
    <x:row r="471">
      <x:c r="B471" t="str">
        <x:v>PHY-TZ-RHP-B1-TZ07</x:v>
      </x:c>
      <x:c r="C471" t="str">
        <x:v>PHYSICAL</x:v>
      </x:c>
      <x:c r="D471" t="str">
        <x:v>thermal-zone acceptance</x:v>
      </x:c>
      <x:c r="E471" t="str">
        <x:v>RHP-B1-TZ07</x:v>
      </x:c>
      <x:c r="F471" t="n">
        <x:f>'Thermal Boundary'!H45</x:f>
        <x:v>0</x:v>
      </x:c>
      <x:c r="G471" t="n">
        <x:v>1</x:v>
      </x:c>
      <x:c r="H471" t="str">
        <x:v>equals</x:v>
      </x:c>
      <x:c r="I471" t="str">
        <x:v>independent acceptance</x:v>
      </x:c>
      <x:c r="J471" t="str">
        <x:f>IF(F471=G471,"PASS","OPEN")</x:f>
        <x:v>OPEN</x:v>
      </x:c>
    </x:row>
    <x:row r="472">
      <x:c r="B472" t="str">
        <x:v>PHY-TZ-RHP-B1-TZ08</x:v>
      </x:c>
      <x:c r="C472" t="str">
        <x:v>PHYSICAL</x:v>
      </x:c>
      <x:c r="D472" t="str">
        <x:v>thermal-zone acceptance</x:v>
      </x:c>
      <x:c r="E472" t="str">
        <x:v>RHP-B1-TZ08</x:v>
      </x:c>
      <x:c r="F472" t="n">
        <x:f>'Thermal Boundary'!H46</x:f>
        <x:v>0</x:v>
      </x:c>
      <x:c r="G472" t="n">
        <x:v>1</x:v>
      </x:c>
      <x:c r="H472" t="str">
        <x:v>equals</x:v>
      </x:c>
      <x:c r="I472" t="str">
        <x:v>independent acceptance</x:v>
      </x:c>
      <x:c r="J472" t="str">
        <x:f>IF(F472=G472,"PASS","OPEN")</x:f>
        <x:v>OPEN</x:v>
      </x:c>
    </x:row>
    <x:row r="473">
      <x:c r="B473" t="str">
        <x:v>PHY-TZ-RHP-B1-TZ09</x:v>
      </x:c>
      <x:c r="C473" t="str">
        <x:v>PHYSICAL</x:v>
      </x:c>
      <x:c r="D473" t="str">
        <x:v>thermal-zone acceptance</x:v>
      </x:c>
      <x:c r="E473" t="str">
        <x:v>RHP-B1-TZ09</x:v>
      </x:c>
      <x:c r="F473" t="n">
        <x:f>'Thermal Boundary'!H47</x:f>
        <x:v>0</x:v>
      </x:c>
      <x:c r="G473" t="n">
        <x:v>1</x:v>
      </x:c>
      <x:c r="H473" t="str">
        <x:v>equals</x:v>
      </x:c>
      <x:c r="I473" t="str">
        <x:v>independent acceptance</x:v>
      </x:c>
      <x:c r="J473" t="str">
        <x:f>IF(F473=G473,"PASS","OPEN")</x:f>
        <x:v>OPEN</x:v>
      </x:c>
    </x:row>
    <x:row r="474">
      <x:c r="B474" t="str">
        <x:v>PHY-TZ-RHP-B1-TZ10</x:v>
      </x:c>
      <x:c r="C474" t="str">
        <x:v>PHYSICAL</x:v>
      </x:c>
      <x:c r="D474" t="str">
        <x:v>thermal-zone acceptance</x:v>
      </x:c>
      <x:c r="E474" t="str">
        <x:v>RHP-B1-TZ10</x:v>
      </x:c>
      <x:c r="F474" t="n">
        <x:f>'Thermal Boundary'!H48</x:f>
        <x:v>0</x:v>
      </x:c>
      <x:c r="G474" t="n">
        <x:v>1</x:v>
      </x:c>
      <x:c r="H474" t="str">
        <x:v>equals</x:v>
      </x:c>
      <x:c r="I474" t="str">
        <x:v>independent acceptance</x:v>
      </x:c>
      <x:c r="J474" t="str">
        <x:f>IF(F474=G474,"PASS","OPEN")</x:f>
        <x:v>OPEN</x:v>
      </x:c>
    </x:row>
    <x:row r="475">
      <x:c r="B475" t="str">
        <x:v>PHY-TZ-RHP-B1-TZ11</x:v>
      </x:c>
      <x:c r="C475" t="str">
        <x:v>PHYSICAL</x:v>
      </x:c>
      <x:c r="D475" t="str">
        <x:v>thermal-zone acceptance</x:v>
      </x:c>
      <x:c r="E475" t="str">
        <x:v>RHP-B1-TZ11</x:v>
      </x:c>
      <x:c r="F475" t="n">
        <x:f>'Thermal Boundary'!H49</x:f>
        <x:v>0</x:v>
      </x:c>
      <x:c r="G475" t="n">
        <x:v>1</x:v>
      </x:c>
      <x:c r="H475" t="str">
        <x:v>equals</x:v>
      </x:c>
      <x:c r="I475" t="str">
        <x:v>independent acceptance</x:v>
      </x:c>
      <x:c r="J475" t="str">
        <x:f>IF(F475=G475,"PASS","OPEN")</x:f>
        <x:v>OPEN</x:v>
      </x:c>
    </x:row>
    <x:row r="476">
      <x:c r="B476" t="str">
        <x:v>PHY-TZ-RHP-B1-TZ12</x:v>
      </x:c>
      <x:c r="C476" t="str">
        <x:v>PHYSICAL</x:v>
      </x:c>
      <x:c r="D476" t="str">
        <x:v>thermal-zone acceptance</x:v>
      </x:c>
      <x:c r="E476" t="str">
        <x:v>RHP-B1-TZ12</x:v>
      </x:c>
      <x:c r="F476" t="n">
        <x:f>'Thermal Boundary'!H50</x:f>
        <x:v>0</x:v>
      </x:c>
      <x:c r="G476" t="n">
        <x:v>1</x:v>
      </x:c>
      <x:c r="H476" t="str">
        <x:v>equals</x:v>
      </x:c>
      <x:c r="I476" t="str">
        <x:v>independent acceptance</x:v>
      </x:c>
      <x:c r="J476" t="str">
        <x:f>IF(F476=G476,"PASS","OPEN")</x:f>
        <x:v>OPEN</x:v>
      </x:c>
    </x:row>
    <x:row r="477">
      <x:c r="B477" t="str">
        <x:v>PHY-TZ-RHP-B1-TZ13</x:v>
      </x:c>
      <x:c r="C477" t="str">
        <x:v>PHYSICAL</x:v>
      </x:c>
      <x:c r="D477" t="str">
        <x:v>thermal-zone acceptance</x:v>
      </x:c>
      <x:c r="E477" t="str">
        <x:v>RHP-B1-TZ13</x:v>
      </x:c>
      <x:c r="F477" t="n">
        <x:f>'Thermal Boundary'!H51</x:f>
        <x:v>0</x:v>
      </x:c>
      <x:c r="G477" t="n">
        <x:v>1</x:v>
      </x:c>
      <x:c r="H477" t="str">
        <x:v>equals</x:v>
      </x:c>
      <x:c r="I477" t="str">
        <x:v>independent acceptance</x:v>
      </x:c>
      <x:c r="J477" t="str">
        <x:f>IF(F477=G477,"PASS","OPEN")</x:f>
        <x:v>OPEN</x:v>
      </x:c>
    </x:row>
    <x:row r="478">
      <x:c r="B478" t="str">
        <x:v>PHY-TZ-RHP-B1-TZ14</x:v>
      </x:c>
      <x:c r="C478" t="str">
        <x:v>PHYSICAL</x:v>
      </x:c>
      <x:c r="D478" t="str">
        <x:v>thermal-zone acceptance</x:v>
      </x:c>
      <x:c r="E478" t="str">
        <x:v>RHP-B1-TZ14</x:v>
      </x:c>
      <x:c r="F478" t="n">
        <x:f>'Thermal Boundary'!H52</x:f>
        <x:v>0</x:v>
      </x:c>
      <x:c r="G478" t="n">
        <x:v>1</x:v>
      </x:c>
      <x:c r="H478" t="str">
        <x:v>equals</x:v>
      </x:c>
      <x:c r="I478" t="str">
        <x:v>independent acceptance</x:v>
      </x:c>
      <x:c r="J478" t="str">
        <x:f>IF(F478=G478,"PASS","OPEN")</x:f>
        <x:v>OPEN</x:v>
      </x:c>
    </x:row>
    <x:row r="479">
      <x:c r="B479" t="str">
        <x:v>PHY-TZ-RHP-B1-TZ15</x:v>
      </x:c>
      <x:c r="C479" t="str">
        <x:v>PHYSICAL</x:v>
      </x:c>
      <x:c r="D479" t="str">
        <x:v>thermal-zone acceptance</x:v>
      </x:c>
      <x:c r="E479" t="str">
        <x:v>RHP-B1-TZ15</x:v>
      </x:c>
      <x:c r="F479" t="n">
        <x:f>'Thermal Boundary'!H53</x:f>
        <x:v>0</x:v>
      </x:c>
      <x:c r="G479" t="n">
        <x:v>1</x:v>
      </x:c>
      <x:c r="H479" t="str">
        <x:v>equals</x:v>
      </x:c>
      <x:c r="I479" t="str">
        <x:v>independent acceptance</x:v>
      </x:c>
      <x:c r="J479" t="str">
        <x:f>IF(F479=G479,"PASS","OPEN")</x:f>
        <x:v>OPEN</x:v>
      </x:c>
    </x:row>
    <x:row r="480">
      <x:c r="B480" t="str">
        <x:v>PHY-TZ-RHP-B1-TZ16</x:v>
      </x:c>
      <x:c r="C480" t="str">
        <x:v>PHYSICAL</x:v>
      </x:c>
      <x:c r="D480" t="str">
        <x:v>thermal-zone acceptance</x:v>
      </x:c>
      <x:c r="E480" t="str">
        <x:v>RHP-B1-TZ16</x:v>
      </x:c>
      <x:c r="F480" t="n">
        <x:f>'Thermal Boundary'!H54</x:f>
        <x:v>0</x:v>
      </x:c>
      <x:c r="G480" t="n">
        <x:v>1</x:v>
      </x:c>
      <x:c r="H480" t="str">
        <x:v>equals</x:v>
      </x:c>
      <x:c r="I480" t="str">
        <x:v>independent acceptance</x:v>
      </x:c>
      <x:c r="J480" t="str">
        <x:f>IF(F480=G480,"PASS","OPEN")</x:f>
        <x:v>OPEN</x:v>
      </x:c>
    </x:row>
    <x:row r="481">
      <x:c r="B481" t="str">
        <x:v>PHY-TZ-RHP-B2-TZ01</x:v>
      </x:c>
      <x:c r="C481" t="str">
        <x:v>PHYSICAL</x:v>
      </x:c>
      <x:c r="D481" t="str">
        <x:v>thermal-zone acceptance</x:v>
      </x:c>
      <x:c r="E481" t="str">
        <x:v>RHP-B2-TZ01</x:v>
      </x:c>
      <x:c r="F481" t="n">
        <x:f>'Thermal Boundary'!H55</x:f>
        <x:v>0</x:v>
      </x:c>
      <x:c r="G481" t="n">
        <x:v>1</x:v>
      </x:c>
      <x:c r="H481" t="str">
        <x:v>equals</x:v>
      </x:c>
      <x:c r="I481" t="str">
        <x:v>independent acceptance</x:v>
      </x:c>
      <x:c r="J481" t="str">
        <x:f>IF(F481=G481,"PASS","OPEN")</x:f>
        <x:v>OPEN</x:v>
      </x:c>
    </x:row>
    <x:row r="482">
      <x:c r="B482" t="str">
        <x:v>PHY-TZ-RHP-B2-TZ02</x:v>
      </x:c>
      <x:c r="C482" t="str">
        <x:v>PHYSICAL</x:v>
      </x:c>
      <x:c r="D482" t="str">
        <x:v>thermal-zone acceptance</x:v>
      </x:c>
      <x:c r="E482" t="str">
        <x:v>RHP-B2-TZ02</x:v>
      </x:c>
      <x:c r="F482" t="n">
        <x:f>'Thermal Boundary'!H56</x:f>
        <x:v>0</x:v>
      </x:c>
      <x:c r="G482" t="n">
        <x:v>1</x:v>
      </x:c>
      <x:c r="H482" t="str">
        <x:v>equals</x:v>
      </x:c>
      <x:c r="I482" t="str">
        <x:v>independent acceptance</x:v>
      </x:c>
      <x:c r="J482" t="str">
        <x:f>IF(F482=G482,"PASS","OPEN")</x:f>
        <x:v>OPEN</x:v>
      </x:c>
    </x:row>
    <x:row r="483">
      <x:c r="B483" t="str">
        <x:v>PHY-TZ-RHP-B2-TZ03</x:v>
      </x:c>
      <x:c r="C483" t="str">
        <x:v>PHYSICAL</x:v>
      </x:c>
      <x:c r="D483" t="str">
        <x:v>thermal-zone acceptance</x:v>
      </x:c>
      <x:c r="E483" t="str">
        <x:v>RHP-B2-TZ03</x:v>
      </x:c>
      <x:c r="F483" t="n">
        <x:f>'Thermal Boundary'!H57</x:f>
        <x:v>0</x:v>
      </x:c>
      <x:c r="G483" t="n">
        <x:v>1</x:v>
      </x:c>
      <x:c r="H483" t="str">
        <x:v>equals</x:v>
      </x:c>
      <x:c r="I483" t="str">
        <x:v>independent acceptance</x:v>
      </x:c>
      <x:c r="J483" t="str">
        <x:f>IF(F483=G483,"PASS","OPEN")</x:f>
        <x:v>OPEN</x:v>
      </x:c>
    </x:row>
    <x:row r="484">
      <x:c r="B484" t="str">
        <x:v>PHY-TZ-RHP-B2-TZ04</x:v>
      </x:c>
      <x:c r="C484" t="str">
        <x:v>PHYSICAL</x:v>
      </x:c>
      <x:c r="D484" t="str">
        <x:v>thermal-zone acceptance</x:v>
      </x:c>
      <x:c r="E484" t="str">
        <x:v>RHP-B2-TZ04</x:v>
      </x:c>
      <x:c r="F484" t="n">
        <x:f>'Thermal Boundary'!H58</x:f>
        <x:v>0</x:v>
      </x:c>
      <x:c r="G484" t="n">
        <x:v>1</x:v>
      </x:c>
      <x:c r="H484" t="str">
        <x:v>equals</x:v>
      </x:c>
      <x:c r="I484" t="str">
        <x:v>independent acceptance</x:v>
      </x:c>
      <x:c r="J484" t="str">
        <x:f>IF(F484=G484,"PASS","OPEN")</x:f>
        <x:v>OPEN</x:v>
      </x:c>
    </x:row>
    <x:row r="485">
      <x:c r="B485" t="str">
        <x:v>PHY-TZ-RHP-B2-TZ05</x:v>
      </x:c>
      <x:c r="C485" t="str">
        <x:v>PHYSICAL</x:v>
      </x:c>
      <x:c r="D485" t="str">
        <x:v>thermal-zone acceptance</x:v>
      </x:c>
      <x:c r="E485" t="str">
        <x:v>RHP-B2-TZ05</x:v>
      </x:c>
      <x:c r="F485" t="n">
        <x:f>'Thermal Boundary'!H59</x:f>
        <x:v>0</x:v>
      </x:c>
      <x:c r="G485" t="n">
        <x:v>1</x:v>
      </x:c>
      <x:c r="H485" t="str">
        <x:v>equals</x:v>
      </x:c>
      <x:c r="I485" t="str">
        <x:v>independent acceptance</x:v>
      </x:c>
      <x:c r="J485" t="str">
        <x:f>IF(F485=G485,"PASS","OPEN")</x:f>
        <x:v>OPEN</x:v>
      </x:c>
    </x:row>
    <x:row r="486">
      <x:c r="B486" t="str">
        <x:v>PHY-TZ-RHP-B2-TZ06</x:v>
      </x:c>
      <x:c r="C486" t="str">
        <x:v>PHYSICAL</x:v>
      </x:c>
      <x:c r="D486" t="str">
        <x:v>thermal-zone acceptance</x:v>
      </x:c>
      <x:c r="E486" t="str">
        <x:v>RHP-B2-TZ06</x:v>
      </x:c>
      <x:c r="F486" t="n">
        <x:f>'Thermal Boundary'!H60</x:f>
        <x:v>0</x:v>
      </x:c>
      <x:c r="G486" t="n">
        <x:v>1</x:v>
      </x:c>
      <x:c r="H486" t="str">
        <x:v>equals</x:v>
      </x:c>
      <x:c r="I486" t="str">
        <x:v>independent acceptance</x:v>
      </x:c>
      <x:c r="J486" t="str">
        <x:f>IF(F486=G486,"PASS","OPEN")</x:f>
        <x:v>OPEN</x:v>
      </x:c>
    </x:row>
    <x:row r="487">
      <x:c r="B487" t="str">
        <x:v>PHY-TZ-RHP-B2-TZ07</x:v>
      </x:c>
      <x:c r="C487" t="str">
        <x:v>PHYSICAL</x:v>
      </x:c>
      <x:c r="D487" t="str">
        <x:v>thermal-zone acceptance</x:v>
      </x:c>
      <x:c r="E487" t="str">
        <x:v>RHP-B2-TZ07</x:v>
      </x:c>
      <x:c r="F487" t="n">
        <x:f>'Thermal Boundary'!H61</x:f>
        <x:v>0</x:v>
      </x:c>
      <x:c r="G487" t="n">
        <x:v>1</x:v>
      </x:c>
      <x:c r="H487" t="str">
        <x:v>equals</x:v>
      </x:c>
      <x:c r="I487" t="str">
        <x:v>independent acceptance</x:v>
      </x:c>
      <x:c r="J487" t="str">
        <x:f>IF(F487=G487,"PASS","OPEN")</x:f>
        <x:v>OPEN</x:v>
      </x:c>
    </x:row>
    <x:row r="488">
      <x:c r="B488" t="str">
        <x:v>PHY-TZ-RHP-B2-TZ08</x:v>
      </x:c>
      <x:c r="C488" t="str">
        <x:v>PHYSICAL</x:v>
      </x:c>
      <x:c r="D488" t="str">
        <x:v>thermal-zone acceptance</x:v>
      </x:c>
      <x:c r="E488" t="str">
        <x:v>RHP-B2-TZ08</x:v>
      </x:c>
      <x:c r="F488" t="n">
        <x:f>'Thermal Boundary'!H62</x:f>
        <x:v>0</x:v>
      </x:c>
      <x:c r="G488" t="n">
        <x:v>1</x:v>
      </x:c>
      <x:c r="H488" t="str">
        <x:v>equals</x:v>
      </x:c>
      <x:c r="I488" t="str">
        <x:v>independent acceptance</x:v>
      </x:c>
      <x:c r="J488" t="str">
        <x:f>IF(F488=G488,"PASS","OPEN")</x:f>
        <x:v>OPEN</x:v>
      </x:c>
    </x:row>
    <x:row r="489">
      <x:c r="B489" t="str">
        <x:v>PHY-TZ-RHP-B2-TZ09</x:v>
      </x:c>
      <x:c r="C489" t="str">
        <x:v>PHYSICAL</x:v>
      </x:c>
      <x:c r="D489" t="str">
        <x:v>thermal-zone acceptance</x:v>
      </x:c>
      <x:c r="E489" t="str">
        <x:v>RHP-B2-TZ09</x:v>
      </x:c>
      <x:c r="F489" t="n">
        <x:f>'Thermal Boundary'!H63</x:f>
        <x:v>0</x:v>
      </x:c>
      <x:c r="G489" t="n">
        <x:v>1</x:v>
      </x:c>
      <x:c r="H489" t="str">
        <x:v>equals</x:v>
      </x:c>
      <x:c r="I489" t="str">
        <x:v>independent acceptance</x:v>
      </x:c>
      <x:c r="J489" t="str">
        <x:f>IF(F489=G489,"PASS","OPEN")</x:f>
        <x:v>OPEN</x:v>
      </x:c>
    </x:row>
    <x:row r="490">
      <x:c r="B490" t="str">
        <x:v>PHY-TZ-RHP-B2-TZ10</x:v>
      </x:c>
      <x:c r="C490" t="str">
        <x:v>PHYSICAL</x:v>
      </x:c>
      <x:c r="D490" t="str">
        <x:v>thermal-zone acceptance</x:v>
      </x:c>
      <x:c r="E490" t="str">
        <x:v>RHP-B2-TZ10</x:v>
      </x:c>
      <x:c r="F490" t="n">
        <x:f>'Thermal Boundary'!H64</x:f>
        <x:v>0</x:v>
      </x:c>
      <x:c r="G490" t="n">
        <x:v>1</x:v>
      </x:c>
      <x:c r="H490" t="str">
        <x:v>equals</x:v>
      </x:c>
      <x:c r="I490" t="str">
        <x:v>independent acceptance</x:v>
      </x:c>
      <x:c r="J490" t="str">
        <x:f>IF(F490=G490,"PASS","OPEN")</x:f>
        <x:v>OPEN</x:v>
      </x:c>
    </x:row>
    <x:row r="491">
      <x:c r="B491" t="str">
        <x:v>PHY-TZ-RHP-B2-TZ11</x:v>
      </x:c>
      <x:c r="C491" t="str">
        <x:v>PHYSICAL</x:v>
      </x:c>
      <x:c r="D491" t="str">
        <x:v>thermal-zone acceptance</x:v>
      </x:c>
      <x:c r="E491" t="str">
        <x:v>RHP-B2-TZ11</x:v>
      </x:c>
      <x:c r="F491" t="n">
        <x:f>'Thermal Boundary'!H65</x:f>
        <x:v>0</x:v>
      </x:c>
      <x:c r="G491" t="n">
        <x:v>1</x:v>
      </x:c>
      <x:c r="H491" t="str">
        <x:v>equals</x:v>
      </x:c>
      <x:c r="I491" t="str">
        <x:v>independent acceptance</x:v>
      </x:c>
      <x:c r="J491" t="str">
        <x:f>IF(F491=G491,"PASS","OPEN")</x:f>
        <x:v>OPEN</x:v>
      </x:c>
    </x:row>
    <x:row r="492">
      <x:c r="B492" t="str">
        <x:v>PHY-TZ-RHP-B2-TZ12</x:v>
      </x:c>
      <x:c r="C492" t="str">
        <x:v>PHYSICAL</x:v>
      </x:c>
      <x:c r="D492" t="str">
        <x:v>thermal-zone acceptance</x:v>
      </x:c>
      <x:c r="E492" t="str">
        <x:v>RHP-B2-TZ12</x:v>
      </x:c>
      <x:c r="F492" t="n">
        <x:f>'Thermal Boundary'!H66</x:f>
        <x:v>0</x:v>
      </x:c>
      <x:c r="G492" t="n">
        <x:v>1</x:v>
      </x:c>
      <x:c r="H492" t="str">
        <x:v>equals</x:v>
      </x:c>
      <x:c r="I492" t="str">
        <x:v>independent acceptance</x:v>
      </x:c>
      <x:c r="J492" t="str">
        <x:f>IF(F492=G492,"PASS","OPEN")</x:f>
        <x:v>OPEN</x:v>
      </x:c>
    </x:row>
    <x:row r="493">
      <x:c r="B493" t="str">
        <x:v>PHY-TZ-RHP-B2-TZ13</x:v>
      </x:c>
      <x:c r="C493" t="str">
        <x:v>PHYSICAL</x:v>
      </x:c>
      <x:c r="D493" t="str">
        <x:v>thermal-zone acceptance</x:v>
      </x:c>
      <x:c r="E493" t="str">
        <x:v>RHP-B2-TZ13</x:v>
      </x:c>
      <x:c r="F493" t="n">
        <x:f>'Thermal Boundary'!H67</x:f>
        <x:v>0</x:v>
      </x:c>
      <x:c r="G493" t="n">
        <x:v>1</x:v>
      </x:c>
      <x:c r="H493" t="str">
        <x:v>equals</x:v>
      </x:c>
      <x:c r="I493" t="str">
        <x:v>independent acceptance</x:v>
      </x:c>
      <x:c r="J493" t="str">
        <x:f>IF(F493=G493,"PASS","OPEN")</x:f>
        <x:v>OPEN</x:v>
      </x:c>
    </x:row>
    <x:row r="494">
      <x:c r="B494" t="str">
        <x:v>PHY-TZ-RHP-B2-TZ14</x:v>
      </x:c>
      <x:c r="C494" t="str">
        <x:v>PHYSICAL</x:v>
      </x:c>
      <x:c r="D494" t="str">
        <x:v>thermal-zone acceptance</x:v>
      </x:c>
      <x:c r="E494" t="str">
        <x:v>RHP-B2-TZ14</x:v>
      </x:c>
      <x:c r="F494" t="n">
        <x:f>'Thermal Boundary'!H68</x:f>
        <x:v>0</x:v>
      </x:c>
      <x:c r="G494" t="n">
        <x:v>1</x:v>
      </x:c>
      <x:c r="H494" t="str">
        <x:v>equals</x:v>
      </x:c>
      <x:c r="I494" t="str">
        <x:v>independent acceptance</x:v>
      </x:c>
      <x:c r="J494" t="str">
        <x:f>IF(F494=G494,"PASS","OPEN")</x:f>
        <x:v>OPEN</x:v>
      </x:c>
    </x:row>
    <x:row r="495">
      <x:c r="B495" t="str">
        <x:v>PHY-TZ-RHP-B2-TZ15</x:v>
      </x:c>
      <x:c r="C495" t="str">
        <x:v>PHYSICAL</x:v>
      </x:c>
      <x:c r="D495" t="str">
        <x:v>thermal-zone acceptance</x:v>
      </x:c>
      <x:c r="E495" t="str">
        <x:v>RHP-B2-TZ15</x:v>
      </x:c>
      <x:c r="F495" t="n">
        <x:f>'Thermal Boundary'!H69</x:f>
        <x:v>0</x:v>
      </x:c>
      <x:c r="G495" t="n">
        <x:v>1</x:v>
      </x:c>
      <x:c r="H495" t="str">
        <x:v>equals</x:v>
      </x:c>
      <x:c r="I495" t="str">
        <x:v>independent acceptance</x:v>
      </x:c>
      <x:c r="J495" t="str">
        <x:f>IF(F495=G495,"PASS","OPEN")</x:f>
        <x:v>OPEN</x:v>
      </x:c>
    </x:row>
    <x:row r="496">
      <x:c r="B496" t="str">
        <x:v>PHY-TZ-RHP-B2-TZ16</x:v>
      </x:c>
      <x:c r="C496" t="str">
        <x:v>PHYSICAL</x:v>
      </x:c>
      <x:c r="D496" t="str">
        <x:v>thermal-zone acceptance</x:v>
      </x:c>
      <x:c r="E496" t="str">
        <x:v>RHP-B2-TZ16</x:v>
      </x:c>
      <x:c r="F496" t="n">
        <x:f>'Thermal Boundary'!H70</x:f>
        <x:v>0</x:v>
      </x:c>
      <x:c r="G496" t="n">
        <x:v>1</x:v>
      </x:c>
      <x:c r="H496" t="str">
        <x:v>equals</x:v>
      </x:c>
      <x:c r="I496" t="str">
        <x:v>independent acceptance</x:v>
      </x:c>
      <x:c r="J496" t="str">
        <x:f>IF(F496=G496,"PASS","OPEN")</x:f>
        <x:v>OPEN</x:v>
      </x:c>
    </x:row>
    <x:row r="497">
      <x:c r="B497" t="str">
        <x:v>PHY-TZ-RHP-C1-TZ01</x:v>
      </x:c>
      <x:c r="C497" t="str">
        <x:v>PHYSICAL</x:v>
      </x:c>
      <x:c r="D497" t="str">
        <x:v>thermal-zone acceptance</x:v>
      </x:c>
      <x:c r="E497" t="str">
        <x:v>RHP-C1-TZ01</x:v>
      </x:c>
      <x:c r="F497" t="n">
        <x:f>'Thermal Boundary'!H71</x:f>
        <x:v>0</x:v>
      </x:c>
      <x:c r="G497" t="n">
        <x:v>1</x:v>
      </x:c>
      <x:c r="H497" t="str">
        <x:v>equals</x:v>
      </x:c>
      <x:c r="I497" t="str">
        <x:v>independent acceptance</x:v>
      </x:c>
      <x:c r="J497" t="str">
        <x:f>IF(F497=G497,"PASS","OPEN")</x:f>
        <x:v>OPEN</x:v>
      </x:c>
    </x:row>
    <x:row r="498">
      <x:c r="B498" t="str">
        <x:v>PHY-TZ-RHP-C1-TZ02</x:v>
      </x:c>
      <x:c r="C498" t="str">
        <x:v>PHYSICAL</x:v>
      </x:c>
      <x:c r="D498" t="str">
        <x:v>thermal-zone acceptance</x:v>
      </x:c>
      <x:c r="E498" t="str">
        <x:v>RHP-C1-TZ02</x:v>
      </x:c>
      <x:c r="F498" t="n">
        <x:f>'Thermal Boundary'!H72</x:f>
        <x:v>0</x:v>
      </x:c>
      <x:c r="G498" t="n">
        <x:v>1</x:v>
      </x:c>
      <x:c r="H498" t="str">
        <x:v>equals</x:v>
      </x:c>
      <x:c r="I498" t="str">
        <x:v>independent acceptance</x:v>
      </x:c>
      <x:c r="J498" t="str">
        <x:f>IF(F498=G498,"PASS","OPEN")</x:f>
        <x:v>OPEN</x:v>
      </x:c>
    </x:row>
    <x:row r="499">
      <x:c r="B499" t="str">
        <x:v>PHY-TZ-RHP-C1-TZ03</x:v>
      </x:c>
      <x:c r="C499" t="str">
        <x:v>PHYSICAL</x:v>
      </x:c>
      <x:c r="D499" t="str">
        <x:v>thermal-zone acceptance</x:v>
      </x:c>
      <x:c r="E499" t="str">
        <x:v>RHP-C1-TZ03</x:v>
      </x:c>
      <x:c r="F499" t="n">
        <x:f>'Thermal Boundary'!H73</x:f>
        <x:v>0</x:v>
      </x:c>
      <x:c r="G499" t="n">
        <x:v>1</x:v>
      </x:c>
      <x:c r="H499" t="str">
        <x:v>equals</x:v>
      </x:c>
      <x:c r="I499" t="str">
        <x:v>independent acceptance</x:v>
      </x:c>
      <x:c r="J499" t="str">
        <x:f>IF(F499=G499,"PASS","OPEN")</x:f>
        <x:v>OPEN</x:v>
      </x:c>
    </x:row>
    <x:row r="500">
      <x:c r="B500" t="str">
        <x:v>PHY-TZ-RHP-C1-TZ04</x:v>
      </x:c>
      <x:c r="C500" t="str">
        <x:v>PHYSICAL</x:v>
      </x:c>
      <x:c r="D500" t="str">
        <x:v>thermal-zone acceptance</x:v>
      </x:c>
      <x:c r="E500" t="str">
        <x:v>RHP-C1-TZ04</x:v>
      </x:c>
      <x:c r="F500" t="n">
        <x:f>'Thermal Boundary'!H74</x:f>
        <x:v>0</x:v>
      </x:c>
      <x:c r="G500" t="n">
        <x:v>1</x:v>
      </x:c>
      <x:c r="H500" t="str">
        <x:v>equals</x:v>
      </x:c>
      <x:c r="I500" t="str">
        <x:v>independent acceptance</x:v>
      </x:c>
      <x:c r="J500" t="str">
        <x:f>IF(F500=G500,"PASS","OPEN")</x:f>
        <x:v>OPEN</x:v>
      </x:c>
    </x:row>
    <x:row r="501">
      <x:c r="B501" t="str">
        <x:v>PHY-TZ-RHP-C1-TZ05</x:v>
      </x:c>
      <x:c r="C501" t="str">
        <x:v>PHYSICAL</x:v>
      </x:c>
      <x:c r="D501" t="str">
        <x:v>thermal-zone acceptance</x:v>
      </x:c>
      <x:c r="E501" t="str">
        <x:v>RHP-C1-TZ05</x:v>
      </x:c>
      <x:c r="F501" t="n">
        <x:f>'Thermal Boundary'!H75</x:f>
        <x:v>0</x:v>
      </x:c>
      <x:c r="G501" t="n">
        <x:v>1</x:v>
      </x:c>
      <x:c r="H501" t="str">
        <x:v>equals</x:v>
      </x:c>
      <x:c r="I501" t="str">
        <x:v>independent acceptance</x:v>
      </x:c>
      <x:c r="J501" t="str">
        <x:f>IF(F501=G501,"PASS","OPEN")</x:f>
        <x:v>OPEN</x:v>
      </x:c>
    </x:row>
    <x:row r="502">
      <x:c r="B502" t="str">
        <x:v>PHY-TZ-RHP-C1-TZ06</x:v>
      </x:c>
      <x:c r="C502" t="str">
        <x:v>PHYSICAL</x:v>
      </x:c>
      <x:c r="D502" t="str">
        <x:v>thermal-zone acceptance</x:v>
      </x:c>
      <x:c r="E502" t="str">
        <x:v>RHP-C1-TZ06</x:v>
      </x:c>
      <x:c r="F502" t="n">
        <x:f>'Thermal Boundary'!H76</x:f>
        <x:v>0</x:v>
      </x:c>
      <x:c r="G502" t="n">
        <x:v>1</x:v>
      </x:c>
      <x:c r="H502" t="str">
        <x:v>equals</x:v>
      </x:c>
      <x:c r="I502" t="str">
        <x:v>independent acceptance</x:v>
      </x:c>
      <x:c r="J502" t="str">
        <x:f>IF(F502=G502,"PASS","OPEN")</x:f>
        <x:v>OPEN</x:v>
      </x:c>
    </x:row>
    <x:row r="503">
      <x:c r="B503" t="str">
        <x:v>PHY-TZ-RHP-C1-TZ07</x:v>
      </x:c>
      <x:c r="C503" t="str">
        <x:v>PHYSICAL</x:v>
      </x:c>
      <x:c r="D503" t="str">
        <x:v>thermal-zone acceptance</x:v>
      </x:c>
      <x:c r="E503" t="str">
        <x:v>RHP-C1-TZ07</x:v>
      </x:c>
      <x:c r="F503" t="n">
        <x:f>'Thermal Boundary'!H77</x:f>
        <x:v>0</x:v>
      </x:c>
      <x:c r="G503" t="n">
        <x:v>1</x:v>
      </x:c>
      <x:c r="H503" t="str">
        <x:v>equals</x:v>
      </x:c>
      <x:c r="I503" t="str">
        <x:v>independent acceptance</x:v>
      </x:c>
      <x:c r="J503" t="str">
        <x:f>IF(F503=G503,"PASS","OPEN")</x:f>
        <x:v>OPEN</x:v>
      </x:c>
    </x:row>
    <x:row r="504">
      <x:c r="B504" t="str">
        <x:v>PHY-TZ-RHP-C1-TZ08</x:v>
      </x:c>
      <x:c r="C504" t="str">
        <x:v>PHYSICAL</x:v>
      </x:c>
      <x:c r="D504" t="str">
        <x:v>thermal-zone acceptance</x:v>
      </x:c>
      <x:c r="E504" t="str">
        <x:v>RHP-C1-TZ08</x:v>
      </x:c>
      <x:c r="F504" t="n">
        <x:f>'Thermal Boundary'!H78</x:f>
        <x:v>0</x:v>
      </x:c>
      <x:c r="G504" t="n">
        <x:v>1</x:v>
      </x:c>
      <x:c r="H504" t="str">
        <x:v>equals</x:v>
      </x:c>
      <x:c r="I504" t="str">
        <x:v>independent acceptance</x:v>
      </x:c>
      <x:c r="J504" t="str">
        <x:f>IF(F504=G504,"PASS","OPEN")</x:f>
        <x:v>OPEN</x:v>
      </x:c>
    </x:row>
    <x:row r="505">
      <x:c r="B505" t="str">
        <x:v>PHY-TZ-RHP-C1-TZ09</x:v>
      </x:c>
      <x:c r="C505" t="str">
        <x:v>PHYSICAL</x:v>
      </x:c>
      <x:c r="D505" t="str">
        <x:v>thermal-zone acceptance</x:v>
      </x:c>
      <x:c r="E505" t="str">
        <x:v>RHP-C1-TZ09</x:v>
      </x:c>
      <x:c r="F505" t="n">
        <x:f>'Thermal Boundary'!H79</x:f>
        <x:v>0</x:v>
      </x:c>
      <x:c r="G505" t="n">
        <x:v>1</x:v>
      </x:c>
      <x:c r="H505" t="str">
        <x:v>equals</x:v>
      </x:c>
      <x:c r="I505" t="str">
        <x:v>independent acceptance</x:v>
      </x:c>
      <x:c r="J505" t="str">
        <x:f>IF(F505=G505,"PASS","OPEN")</x:f>
        <x:v>OPEN</x:v>
      </x:c>
    </x:row>
    <x:row r="506">
      <x:c r="B506" t="str">
        <x:v>PHY-TZ-RHP-C1-TZ10</x:v>
      </x:c>
      <x:c r="C506" t="str">
        <x:v>PHYSICAL</x:v>
      </x:c>
      <x:c r="D506" t="str">
        <x:v>thermal-zone acceptance</x:v>
      </x:c>
      <x:c r="E506" t="str">
        <x:v>RHP-C1-TZ10</x:v>
      </x:c>
      <x:c r="F506" t="n">
        <x:f>'Thermal Boundary'!H80</x:f>
        <x:v>0</x:v>
      </x:c>
      <x:c r="G506" t="n">
        <x:v>1</x:v>
      </x:c>
      <x:c r="H506" t="str">
        <x:v>equals</x:v>
      </x:c>
      <x:c r="I506" t="str">
        <x:v>independent acceptance</x:v>
      </x:c>
      <x:c r="J506" t="str">
        <x:f>IF(F506=G506,"PASS","OPEN")</x:f>
        <x:v>OPEN</x:v>
      </x:c>
    </x:row>
    <x:row r="507">
      <x:c r="B507" t="str">
        <x:v>PHY-TZ-RHP-C1-TZ11</x:v>
      </x:c>
      <x:c r="C507" t="str">
        <x:v>PHYSICAL</x:v>
      </x:c>
      <x:c r="D507" t="str">
        <x:v>thermal-zone acceptance</x:v>
      </x:c>
      <x:c r="E507" t="str">
        <x:v>RHP-C1-TZ11</x:v>
      </x:c>
      <x:c r="F507" t="n">
        <x:f>'Thermal Boundary'!H81</x:f>
        <x:v>0</x:v>
      </x:c>
      <x:c r="G507" t="n">
        <x:v>1</x:v>
      </x:c>
      <x:c r="H507" t="str">
        <x:v>equals</x:v>
      </x:c>
      <x:c r="I507" t="str">
        <x:v>independent acceptance</x:v>
      </x:c>
      <x:c r="J507" t="str">
        <x:f>IF(F507=G507,"PASS","OPEN")</x:f>
        <x:v>OPEN</x:v>
      </x:c>
    </x:row>
    <x:row r="508">
      <x:c r="B508" t="str">
        <x:v>PHY-TZ-RHP-C1-TZ12</x:v>
      </x:c>
      <x:c r="C508" t="str">
        <x:v>PHYSICAL</x:v>
      </x:c>
      <x:c r="D508" t="str">
        <x:v>thermal-zone acceptance</x:v>
      </x:c>
      <x:c r="E508" t="str">
        <x:v>RHP-C1-TZ12</x:v>
      </x:c>
      <x:c r="F508" t="n">
        <x:f>'Thermal Boundary'!H82</x:f>
        <x:v>0</x:v>
      </x:c>
      <x:c r="G508" t="n">
        <x:v>1</x:v>
      </x:c>
      <x:c r="H508" t="str">
        <x:v>equals</x:v>
      </x:c>
      <x:c r="I508" t="str">
        <x:v>independent acceptance</x:v>
      </x:c>
      <x:c r="J508" t="str">
        <x:f>IF(F508=G508,"PASS","OPEN")</x:f>
        <x:v>OPEN</x:v>
      </x:c>
    </x:row>
    <x:row r="509">
      <x:c r="B509" t="str">
        <x:v>PHY-TZ-RHP-C1-TZ13</x:v>
      </x:c>
      <x:c r="C509" t="str">
        <x:v>PHYSICAL</x:v>
      </x:c>
      <x:c r="D509" t="str">
        <x:v>thermal-zone acceptance</x:v>
      </x:c>
      <x:c r="E509" t="str">
        <x:v>RHP-C1-TZ13</x:v>
      </x:c>
      <x:c r="F509" t="n">
        <x:f>'Thermal Boundary'!H83</x:f>
        <x:v>0</x:v>
      </x:c>
      <x:c r="G509" t="n">
        <x:v>1</x:v>
      </x:c>
      <x:c r="H509" t="str">
        <x:v>equals</x:v>
      </x:c>
      <x:c r="I509" t="str">
        <x:v>independent acceptance</x:v>
      </x:c>
      <x:c r="J509" t="str">
        <x:f>IF(F509=G509,"PASS","OPEN")</x:f>
        <x:v>OPEN</x:v>
      </x:c>
    </x:row>
    <x:row r="510">
      <x:c r="B510" t="str">
        <x:v>PHY-TZ-RHP-C1-TZ14</x:v>
      </x:c>
      <x:c r="C510" t="str">
        <x:v>PHYSICAL</x:v>
      </x:c>
      <x:c r="D510" t="str">
        <x:v>thermal-zone acceptance</x:v>
      </x:c>
      <x:c r="E510" t="str">
        <x:v>RHP-C1-TZ14</x:v>
      </x:c>
      <x:c r="F510" t="n">
        <x:f>'Thermal Boundary'!H84</x:f>
        <x:v>0</x:v>
      </x:c>
      <x:c r="G510" t="n">
        <x:v>1</x:v>
      </x:c>
      <x:c r="H510" t="str">
        <x:v>equals</x:v>
      </x:c>
      <x:c r="I510" t="str">
        <x:v>independent acceptance</x:v>
      </x:c>
      <x:c r="J510" t="str">
        <x:f>IF(F510=G510,"PASS","OPEN")</x:f>
        <x:v>OPEN</x:v>
      </x:c>
    </x:row>
    <x:row r="511">
      <x:c r="B511" t="str">
        <x:v>PHY-TZ-RHP-C1-TZ15</x:v>
      </x:c>
      <x:c r="C511" t="str">
        <x:v>PHYSICAL</x:v>
      </x:c>
      <x:c r="D511" t="str">
        <x:v>thermal-zone acceptance</x:v>
      </x:c>
      <x:c r="E511" t="str">
        <x:v>RHP-C1-TZ15</x:v>
      </x:c>
      <x:c r="F511" t="n">
        <x:f>'Thermal Boundary'!H85</x:f>
        <x:v>0</x:v>
      </x:c>
      <x:c r="G511" t="n">
        <x:v>1</x:v>
      </x:c>
      <x:c r="H511" t="str">
        <x:v>equals</x:v>
      </x:c>
      <x:c r="I511" t="str">
        <x:v>independent acceptance</x:v>
      </x:c>
      <x:c r="J511" t="str">
        <x:f>IF(F511=G511,"PASS","OPEN")</x:f>
        <x:v>OPEN</x:v>
      </x:c>
    </x:row>
    <x:row r="512">
      <x:c r="B512" t="str">
        <x:v>PHY-TZ-RHP-C1-TZ16</x:v>
      </x:c>
      <x:c r="C512" t="str">
        <x:v>PHYSICAL</x:v>
      </x:c>
      <x:c r="D512" t="str">
        <x:v>thermal-zone acceptance</x:v>
      </x:c>
      <x:c r="E512" t="str">
        <x:v>RHP-C1-TZ16</x:v>
      </x:c>
      <x:c r="F512" t="n">
        <x:f>'Thermal Boundary'!H86</x:f>
        <x:v>0</x:v>
      </x:c>
      <x:c r="G512" t="n">
        <x:v>1</x:v>
      </x:c>
      <x:c r="H512" t="str">
        <x:v>equals</x:v>
      </x:c>
      <x:c r="I512" t="str">
        <x:v>independent acceptance</x:v>
      </x:c>
      <x:c r="J512" t="str">
        <x:f>IF(F512=G512,"PASS","OPEN")</x:f>
        <x:v>OPEN</x:v>
      </x:c>
    </x:row>
    <x:row r="513">
      <x:c r="B513" t="str">
        <x:v>PHY-TZ-RHP-C2-TZ01</x:v>
      </x:c>
      <x:c r="C513" t="str">
        <x:v>PHYSICAL</x:v>
      </x:c>
      <x:c r="D513" t="str">
        <x:v>thermal-zone acceptance</x:v>
      </x:c>
      <x:c r="E513" t="str">
        <x:v>RHP-C2-TZ01</x:v>
      </x:c>
      <x:c r="F513" t="n">
        <x:f>'Thermal Boundary'!H87</x:f>
        <x:v>0</x:v>
      </x:c>
      <x:c r="G513" t="n">
        <x:v>1</x:v>
      </x:c>
      <x:c r="H513" t="str">
        <x:v>equals</x:v>
      </x:c>
      <x:c r="I513" t="str">
        <x:v>independent acceptance</x:v>
      </x:c>
      <x:c r="J513" t="str">
        <x:f>IF(F513=G513,"PASS","OPEN")</x:f>
        <x:v>OPEN</x:v>
      </x:c>
    </x:row>
    <x:row r="514">
      <x:c r="B514" t="str">
        <x:v>PHY-TZ-RHP-C2-TZ02</x:v>
      </x:c>
      <x:c r="C514" t="str">
        <x:v>PHYSICAL</x:v>
      </x:c>
      <x:c r="D514" t="str">
        <x:v>thermal-zone acceptance</x:v>
      </x:c>
      <x:c r="E514" t="str">
        <x:v>RHP-C2-TZ02</x:v>
      </x:c>
      <x:c r="F514" t="n">
        <x:f>'Thermal Boundary'!H88</x:f>
        <x:v>0</x:v>
      </x:c>
      <x:c r="G514" t="n">
        <x:v>1</x:v>
      </x:c>
      <x:c r="H514" t="str">
        <x:v>equals</x:v>
      </x:c>
      <x:c r="I514" t="str">
        <x:v>independent acceptance</x:v>
      </x:c>
      <x:c r="J514" t="str">
        <x:f>IF(F514=G514,"PASS","OPEN")</x:f>
        <x:v>OPEN</x:v>
      </x:c>
    </x:row>
    <x:row r="515">
      <x:c r="B515" t="str">
        <x:v>PHY-TZ-RHP-C2-TZ03</x:v>
      </x:c>
      <x:c r="C515" t="str">
        <x:v>PHYSICAL</x:v>
      </x:c>
      <x:c r="D515" t="str">
        <x:v>thermal-zone acceptance</x:v>
      </x:c>
      <x:c r="E515" t="str">
        <x:v>RHP-C2-TZ03</x:v>
      </x:c>
      <x:c r="F515" t="n">
        <x:f>'Thermal Boundary'!H89</x:f>
        <x:v>0</x:v>
      </x:c>
      <x:c r="G515" t="n">
        <x:v>1</x:v>
      </x:c>
      <x:c r="H515" t="str">
        <x:v>equals</x:v>
      </x:c>
      <x:c r="I515" t="str">
        <x:v>independent acceptance</x:v>
      </x:c>
      <x:c r="J515" t="str">
        <x:f>IF(F515=G515,"PASS","OPEN")</x:f>
        <x:v>OPEN</x:v>
      </x:c>
    </x:row>
    <x:row r="516">
      <x:c r="B516" t="str">
        <x:v>PHY-TZ-RHP-C2-TZ04</x:v>
      </x:c>
      <x:c r="C516" t="str">
        <x:v>PHYSICAL</x:v>
      </x:c>
      <x:c r="D516" t="str">
        <x:v>thermal-zone acceptance</x:v>
      </x:c>
      <x:c r="E516" t="str">
        <x:v>RHP-C2-TZ04</x:v>
      </x:c>
      <x:c r="F516" t="n">
        <x:f>'Thermal Boundary'!H90</x:f>
        <x:v>0</x:v>
      </x:c>
      <x:c r="G516" t="n">
        <x:v>1</x:v>
      </x:c>
      <x:c r="H516" t="str">
        <x:v>equals</x:v>
      </x:c>
      <x:c r="I516" t="str">
        <x:v>independent acceptance</x:v>
      </x:c>
      <x:c r="J516" t="str">
        <x:f>IF(F516=G516,"PASS","OPEN")</x:f>
        <x:v>OPEN</x:v>
      </x:c>
    </x:row>
    <x:row r="517">
      <x:c r="B517" t="str">
        <x:v>PHY-TZ-RHP-C2-TZ05</x:v>
      </x:c>
      <x:c r="C517" t="str">
        <x:v>PHYSICAL</x:v>
      </x:c>
      <x:c r="D517" t="str">
        <x:v>thermal-zone acceptance</x:v>
      </x:c>
      <x:c r="E517" t="str">
        <x:v>RHP-C2-TZ05</x:v>
      </x:c>
      <x:c r="F517" t="n">
        <x:f>'Thermal Boundary'!H91</x:f>
        <x:v>0</x:v>
      </x:c>
      <x:c r="G517" t="n">
        <x:v>1</x:v>
      </x:c>
      <x:c r="H517" t="str">
        <x:v>equals</x:v>
      </x:c>
      <x:c r="I517" t="str">
        <x:v>independent acceptance</x:v>
      </x:c>
      <x:c r="J517" t="str">
        <x:f>IF(F517=G517,"PASS","OPEN")</x:f>
        <x:v>OPEN</x:v>
      </x:c>
    </x:row>
    <x:row r="518">
      <x:c r="B518" t="str">
        <x:v>PHY-TZ-RHP-C2-TZ06</x:v>
      </x:c>
      <x:c r="C518" t="str">
        <x:v>PHYSICAL</x:v>
      </x:c>
      <x:c r="D518" t="str">
        <x:v>thermal-zone acceptance</x:v>
      </x:c>
      <x:c r="E518" t="str">
        <x:v>RHP-C2-TZ06</x:v>
      </x:c>
      <x:c r="F518" t="n">
        <x:f>'Thermal Boundary'!H92</x:f>
        <x:v>0</x:v>
      </x:c>
      <x:c r="G518" t="n">
        <x:v>1</x:v>
      </x:c>
      <x:c r="H518" t="str">
        <x:v>equals</x:v>
      </x:c>
      <x:c r="I518" t="str">
        <x:v>independent acceptance</x:v>
      </x:c>
      <x:c r="J518" t="str">
        <x:f>IF(F518=G518,"PASS","OPEN")</x:f>
        <x:v>OPEN</x:v>
      </x:c>
    </x:row>
    <x:row r="519">
      <x:c r="B519" t="str">
        <x:v>PHY-TZ-RHP-C2-TZ07</x:v>
      </x:c>
      <x:c r="C519" t="str">
        <x:v>PHYSICAL</x:v>
      </x:c>
      <x:c r="D519" t="str">
        <x:v>thermal-zone acceptance</x:v>
      </x:c>
      <x:c r="E519" t="str">
        <x:v>RHP-C2-TZ07</x:v>
      </x:c>
      <x:c r="F519" t="n">
        <x:f>'Thermal Boundary'!H93</x:f>
        <x:v>0</x:v>
      </x:c>
      <x:c r="G519" t="n">
        <x:v>1</x:v>
      </x:c>
      <x:c r="H519" t="str">
        <x:v>equals</x:v>
      </x:c>
      <x:c r="I519" t="str">
        <x:v>independent acceptance</x:v>
      </x:c>
      <x:c r="J519" t="str">
        <x:f>IF(F519=G519,"PASS","OPEN")</x:f>
        <x:v>OPEN</x:v>
      </x:c>
    </x:row>
    <x:row r="520">
      <x:c r="B520" t="str">
        <x:v>PHY-TZ-RHP-C2-TZ08</x:v>
      </x:c>
      <x:c r="C520" t="str">
        <x:v>PHYSICAL</x:v>
      </x:c>
      <x:c r="D520" t="str">
        <x:v>thermal-zone acceptance</x:v>
      </x:c>
      <x:c r="E520" t="str">
        <x:v>RHP-C2-TZ08</x:v>
      </x:c>
      <x:c r="F520" t="n">
        <x:f>'Thermal Boundary'!H94</x:f>
        <x:v>0</x:v>
      </x:c>
      <x:c r="G520" t="n">
        <x:v>1</x:v>
      </x:c>
      <x:c r="H520" t="str">
        <x:v>equals</x:v>
      </x:c>
      <x:c r="I520" t="str">
        <x:v>independent acceptance</x:v>
      </x:c>
      <x:c r="J520" t="str">
        <x:f>IF(F520=G520,"PASS","OPEN")</x:f>
        <x:v>OPEN</x:v>
      </x:c>
    </x:row>
    <x:row r="521">
      <x:c r="B521" t="str">
        <x:v>PHY-TZ-RHP-C2-TZ09</x:v>
      </x:c>
      <x:c r="C521" t="str">
        <x:v>PHYSICAL</x:v>
      </x:c>
      <x:c r="D521" t="str">
        <x:v>thermal-zone acceptance</x:v>
      </x:c>
      <x:c r="E521" t="str">
        <x:v>RHP-C2-TZ09</x:v>
      </x:c>
      <x:c r="F521" t="n">
        <x:f>'Thermal Boundary'!H95</x:f>
        <x:v>0</x:v>
      </x:c>
      <x:c r="G521" t="n">
        <x:v>1</x:v>
      </x:c>
      <x:c r="H521" t="str">
        <x:v>equals</x:v>
      </x:c>
      <x:c r="I521" t="str">
        <x:v>independent acceptance</x:v>
      </x:c>
      <x:c r="J521" t="str">
        <x:f>IF(F521=G521,"PASS","OPEN")</x:f>
        <x:v>OPEN</x:v>
      </x:c>
    </x:row>
    <x:row r="522">
      <x:c r="B522" t="str">
        <x:v>PHY-TZ-RHP-C2-TZ10</x:v>
      </x:c>
      <x:c r="C522" t="str">
        <x:v>PHYSICAL</x:v>
      </x:c>
      <x:c r="D522" t="str">
        <x:v>thermal-zone acceptance</x:v>
      </x:c>
      <x:c r="E522" t="str">
        <x:v>RHP-C2-TZ10</x:v>
      </x:c>
      <x:c r="F522" t="n">
        <x:f>'Thermal Boundary'!H96</x:f>
        <x:v>0</x:v>
      </x:c>
      <x:c r="G522" t="n">
        <x:v>1</x:v>
      </x:c>
      <x:c r="H522" t="str">
        <x:v>equals</x:v>
      </x:c>
      <x:c r="I522" t="str">
        <x:v>independent acceptance</x:v>
      </x:c>
      <x:c r="J522" t="str">
        <x:f>IF(F522=G522,"PASS","OPEN")</x:f>
        <x:v>OPEN</x:v>
      </x:c>
    </x:row>
    <x:row r="523">
      <x:c r="B523" t="str">
        <x:v>PHY-TZ-RHP-C2-TZ11</x:v>
      </x:c>
      <x:c r="C523" t="str">
        <x:v>PHYSICAL</x:v>
      </x:c>
      <x:c r="D523" t="str">
        <x:v>thermal-zone acceptance</x:v>
      </x:c>
      <x:c r="E523" t="str">
        <x:v>RHP-C2-TZ11</x:v>
      </x:c>
      <x:c r="F523" t="n">
        <x:f>'Thermal Boundary'!H97</x:f>
        <x:v>0</x:v>
      </x:c>
      <x:c r="G523" t="n">
        <x:v>1</x:v>
      </x:c>
      <x:c r="H523" t="str">
        <x:v>equals</x:v>
      </x:c>
      <x:c r="I523" t="str">
        <x:v>independent acceptance</x:v>
      </x:c>
      <x:c r="J523" t="str">
        <x:f>IF(F523=G523,"PASS","OPEN")</x:f>
        <x:v>OPEN</x:v>
      </x:c>
    </x:row>
    <x:row r="524">
      <x:c r="B524" t="str">
        <x:v>PHY-TZ-RHP-C2-TZ12</x:v>
      </x:c>
      <x:c r="C524" t="str">
        <x:v>PHYSICAL</x:v>
      </x:c>
      <x:c r="D524" t="str">
        <x:v>thermal-zone acceptance</x:v>
      </x:c>
      <x:c r="E524" t="str">
        <x:v>RHP-C2-TZ12</x:v>
      </x:c>
      <x:c r="F524" t="n">
        <x:f>'Thermal Boundary'!H98</x:f>
        <x:v>0</x:v>
      </x:c>
      <x:c r="G524" t="n">
        <x:v>1</x:v>
      </x:c>
      <x:c r="H524" t="str">
        <x:v>equals</x:v>
      </x:c>
      <x:c r="I524" t="str">
        <x:v>independent acceptance</x:v>
      </x:c>
      <x:c r="J524" t="str">
        <x:f>IF(F524=G524,"PASS","OPEN")</x:f>
        <x:v>OPEN</x:v>
      </x:c>
    </x:row>
    <x:row r="525">
      <x:c r="B525" t="str">
        <x:v>PHY-TZ-RHP-C2-TZ13</x:v>
      </x:c>
      <x:c r="C525" t="str">
        <x:v>PHYSICAL</x:v>
      </x:c>
      <x:c r="D525" t="str">
        <x:v>thermal-zone acceptance</x:v>
      </x:c>
      <x:c r="E525" t="str">
        <x:v>RHP-C2-TZ13</x:v>
      </x:c>
      <x:c r="F525" t="n">
        <x:f>'Thermal Boundary'!H99</x:f>
        <x:v>0</x:v>
      </x:c>
      <x:c r="G525" t="n">
        <x:v>1</x:v>
      </x:c>
      <x:c r="H525" t="str">
        <x:v>equals</x:v>
      </x:c>
      <x:c r="I525" t="str">
        <x:v>independent acceptance</x:v>
      </x:c>
      <x:c r="J525" t="str">
        <x:f>IF(F525=G525,"PASS","OPEN")</x:f>
        <x:v>OPEN</x:v>
      </x:c>
    </x:row>
    <x:row r="526">
      <x:c r="B526" t="str">
        <x:v>PHY-TZ-RHP-C2-TZ14</x:v>
      </x:c>
      <x:c r="C526" t="str">
        <x:v>PHYSICAL</x:v>
      </x:c>
      <x:c r="D526" t="str">
        <x:v>thermal-zone acceptance</x:v>
      </x:c>
      <x:c r="E526" t="str">
        <x:v>RHP-C2-TZ14</x:v>
      </x:c>
      <x:c r="F526" t="n">
        <x:f>'Thermal Boundary'!H100</x:f>
        <x:v>0</x:v>
      </x:c>
      <x:c r="G526" t="n">
        <x:v>1</x:v>
      </x:c>
      <x:c r="H526" t="str">
        <x:v>equals</x:v>
      </x:c>
      <x:c r="I526" t="str">
        <x:v>independent acceptance</x:v>
      </x:c>
      <x:c r="J526" t="str">
        <x:f>IF(F526=G526,"PASS","OPEN")</x:f>
        <x:v>OPEN</x:v>
      </x:c>
    </x:row>
    <x:row r="527">
      <x:c r="B527" t="str">
        <x:v>PHY-TZ-RHP-C2-TZ15</x:v>
      </x:c>
      <x:c r="C527" t="str">
        <x:v>PHYSICAL</x:v>
      </x:c>
      <x:c r="D527" t="str">
        <x:v>thermal-zone acceptance</x:v>
      </x:c>
      <x:c r="E527" t="str">
        <x:v>RHP-C2-TZ15</x:v>
      </x:c>
      <x:c r="F527" t="n">
        <x:f>'Thermal Boundary'!H101</x:f>
        <x:v>0</x:v>
      </x:c>
      <x:c r="G527" t="n">
        <x:v>1</x:v>
      </x:c>
      <x:c r="H527" t="str">
        <x:v>equals</x:v>
      </x:c>
      <x:c r="I527" t="str">
        <x:v>independent acceptance</x:v>
      </x:c>
      <x:c r="J527" t="str">
        <x:f>IF(F527=G527,"PASS","OPEN")</x:f>
        <x:v>OPEN</x:v>
      </x:c>
    </x:row>
    <x:row r="528">
      <x:c r="B528" t="str">
        <x:v>PHY-TZ-RHP-C2-TZ16</x:v>
      </x:c>
      <x:c r="C528" t="str">
        <x:v>PHYSICAL</x:v>
      </x:c>
      <x:c r="D528" t="str">
        <x:v>thermal-zone acceptance</x:v>
      </x:c>
      <x:c r="E528" t="str">
        <x:v>RHP-C2-TZ16</x:v>
      </x:c>
      <x:c r="F528" t="n">
        <x:f>'Thermal Boundary'!H102</x:f>
        <x:v>0</x:v>
      </x:c>
      <x:c r="G528" t="n">
        <x:v>1</x:v>
      </x:c>
      <x:c r="H528" t="str">
        <x:v>equals</x:v>
      </x:c>
      <x:c r="I528" t="str">
        <x:v>independent acceptance</x:v>
      </x:c>
      <x:c r="J528" t="str">
        <x:f>IF(F528=G528,"PASS","OPEN")</x:f>
        <x:v>OPEN</x:v>
      </x:c>
    </x:row>
    <x:row r="529">
      <x:c r="B529" t="str">
        <x:v>PHY-NC-1</x:v>
      </x:c>
      <x:c r="C529" t="str">
        <x:v>PHYSICAL</x:v>
      </x:c>
      <x:c r="D529" t="str">
        <x:v>nozzle-cassette acceptance</x:v>
      </x:c>
      <x:c r="E529" t="str">
        <x:v>cassette 1</x:v>
      </x:c>
      <x:c r="F529" t="n">
        <x:f>'Nozzle Cassettes'!F14</x:f>
        <x:v>0</x:v>
      </x:c>
      <x:c r="G529" t="n">
        <x:v>1</x:v>
      </x:c>
      <x:c r="H529" t="str">
        <x:v>equals</x:v>
      </x:c>
      <x:c r="I529" t="str">
        <x:v>independent acceptance</x:v>
      </x:c>
      <x:c r="J529" t="str">
        <x:f>IF(F529=G529,"PASS","OPEN")</x:f>
        <x:v>OPEN</x:v>
      </x:c>
    </x:row>
    <x:row r="530">
      <x:c r="B530" t="str">
        <x:v>PHY-NC-2</x:v>
      </x:c>
      <x:c r="C530" t="str">
        <x:v>PHYSICAL</x:v>
      </x:c>
      <x:c r="D530" t="str">
        <x:v>nozzle-cassette acceptance</x:v>
      </x:c>
      <x:c r="E530" t="str">
        <x:v>cassette 2</x:v>
      </x:c>
      <x:c r="F530" t="n">
        <x:f>'Nozzle Cassettes'!F15</x:f>
        <x:v>0</x:v>
      </x:c>
      <x:c r="G530" t="n">
        <x:v>1</x:v>
      </x:c>
      <x:c r="H530" t="str">
        <x:v>equals</x:v>
      </x:c>
      <x:c r="I530" t="str">
        <x:v>independent acceptance</x:v>
      </x:c>
      <x:c r="J530" t="str">
        <x:f>IF(F530=G530,"PASS","OPEN")</x:f>
        <x:v>OPEN</x:v>
      </x:c>
    </x:row>
    <x:row r="531">
      <x:c r="B531" t="str">
        <x:v>PHY-NC-3</x:v>
      </x:c>
      <x:c r="C531" t="str">
        <x:v>PHYSICAL</x:v>
      </x:c>
      <x:c r="D531" t="str">
        <x:v>nozzle-cassette acceptance</x:v>
      </x:c>
      <x:c r="E531" t="str">
        <x:v>cassette 3</x:v>
      </x:c>
      <x:c r="F531" t="n">
        <x:f>'Nozzle Cassettes'!F16</x:f>
        <x:v>0</x:v>
      </x:c>
      <x:c r="G531" t="n">
        <x:v>1</x:v>
      </x:c>
      <x:c r="H531" t="str">
        <x:v>equals</x:v>
      </x:c>
      <x:c r="I531" t="str">
        <x:v>independent acceptance</x:v>
      </x:c>
      <x:c r="J531" t="str">
        <x:f>IF(F531=G531,"PASS","OPEN")</x:f>
        <x:v>OPEN</x:v>
      </x:c>
    </x:row>
    <x:row r="532">
      <x:c r="B532" t="str">
        <x:v>PHY-NC-4</x:v>
      </x:c>
      <x:c r="C532" t="str">
        <x:v>PHYSICAL</x:v>
      </x:c>
      <x:c r="D532" t="str">
        <x:v>nozzle-cassette acceptance</x:v>
      </x:c>
      <x:c r="E532" t="str">
        <x:v>cassette 4</x:v>
      </x:c>
      <x:c r="F532" t="n">
        <x:f>'Nozzle Cassettes'!F17</x:f>
        <x:v>0</x:v>
      </x:c>
      <x:c r="G532" t="n">
        <x:v>1</x:v>
      </x:c>
      <x:c r="H532" t="str">
        <x:v>equals</x:v>
      </x:c>
      <x:c r="I532" t="str">
        <x:v>independent acceptance</x:v>
      </x:c>
      <x:c r="J532" t="str">
        <x:f>IF(F532=G532,"PASS","OPEN")</x:f>
        <x:v>OPEN</x:v>
      </x:c>
    </x:row>
    <x:row r="533">
      <x:c r="B533" t="str">
        <x:v>PHY-NC-5</x:v>
      </x:c>
      <x:c r="C533" t="str">
        <x:v>PHYSICAL</x:v>
      </x:c>
      <x:c r="D533" t="str">
        <x:v>nozzle-cassette acceptance</x:v>
      </x:c>
      <x:c r="E533" t="str">
        <x:v>cassette 5</x:v>
      </x:c>
      <x:c r="F533" t="n">
        <x:f>'Nozzle Cassettes'!F18</x:f>
        <x:v>0</x:v>
      </x:c>
      <x:c r="G533" t="n">
        <x:v>1</x:v>
      </x:c>
      <x:c r="H533" t="str">
        <x:v>equals</x:v>
      </x:c>
      <x:c r="I533" t="str">
        <x:v>independent acceptance</x:v>
      </x:c>
      <x:c r="J533" t="str">
        <x:f>IF(F533=G533,"PASS","OPEN")</x:f>
        <x:v>OPEN</x:v>
      </x:c>
    </x:row>
    <x:row r="534">
      <x:c r="B534" t="str">
        <x:v>PHY-NC-6</x:v>
      </x:c>
      <x:c r="C534" t="str">
        <x:v>PHYSICAL</x:v>
      </x:c>
      <x:c r="D534" t="str">
        <x:v>nozzle-cassette acceptance</x:v>
      </x:c>
      <x:c r="E534" t="str">
        <x:v>cassette 6</x:v>
      </x:c>
      <x:c r="F534" t="n">
        <x:f>'Nozzle Cassettes'!F19</x:f>
        <x:v>0</x:v>
      </x:c>
      <x:c r="G534" t="n">
        <x:v>1</x:v>
      </x:c>
      <x:c r="H534" t="str">
        <x:v>equals</x:v>
      </x:c>
      <x:c r="I534" t="str">
        <x:v>independent acceptance</x:v>
      </x:c>
      <x:c r="J534" t="str">
        <x:f>IF(F534=G534,"PASS","OPEN")</x:f>
        <x:v>OPEN</x:v>
      </x:c>
    </x:row>
    <x:row r="535">
      <x:c r="B535" t="str">
        <x:v>PHY-NC-7</x:v>
      </x:c>
      <x:c r="C535" t="str">
        <x:v>PHYSICAL</x:v>
      </x:c>
      <x:c r="D535" t="str">
        <x:v>nozzle-cassette acceptance</x:v>
      </x:c>
      <x:c r="E535" t="str">
        <x:v>cassette 7</x:v>
      </x:c>
      <x:c r="F535" t="n">
        <x:f>'Nozzle Cassettes'!F20</x:f>
        <x:v>0</x:v>
      </x:c>
      <x:c r="G535" t="n">
        <x:v>1</x:v>
      </x:c>
      <x:c r="H535" t="str">
        <x:v>equals</x:v>
      </x:c>
      <x:c r="I535" t="str">
        <x:v>independent acceptance</x:v>
      </x:c>
      <x:c r="J535" t="str">
        <x:f>IF(F535=G535,"PASS","OPEN")</x:f>
        <x:v>OPEN</x:v>
      </x:c>
    </x:row>
    <x:row r="536">
      <x:c r="B536" t="str">
        <x:v>PHY-NC-8</x:v>
      </x:c>
      <x:c r="C536" t="str">
        <x:v>PHYSICAL</x:v>
      </x:c>
      <x:c r="D536" t="str">
        <x:v>nozzle-cassette acceptance</x:v>
      </x:c>
      <x:c r="E536" t="str">
        <x:v>cassette 8</x:v>
      </x:c>
      <x:c r="F536" t="n">
        <x:f>'Nozzle Cassettes'!F21</x:f>
        <x:v>0</x:v>
      </x:c>
      <x:c r="G536" t="n">
        <x:v>1</x:v>
      </x:c>
      <x:c r="H536" t="str">
        <x:v>equals</x:v>
      </x:c>
      <x:c r="I536" t="str">
        <x:v>independent acceptance</x:v>
      </x:c>
      <x:c r="J536" t="str">
        <x:f>IF(F536=G536,"PASS","OPEN")</x:f>
        <x:v>OPEN</x:v>
      </x:c>
    </x:row>
    <x:row r="537">
      <x:c r="B537" t="str">
        <x:v>PHY-NC-9</x:v>
      </x:c>
      <x:c r="C537" t="str">
        <x:v>PHYSICAL</x:v>
      </x:c>
      <x:c r="D537" t="str">
        <x:v>nozzle-cassette acceptance</x:v>
      </x:c>
      <x:c r="E537" t="str">
        <x:v>cassette 9</x:v>
      </x:c>
      <x:c r="F537" t="n">
        <x:f>'Nozzle Cassettes'!F22</x:f>
        <x:v>0</x:v>
      </x:c>
      <x:c r="G537" t="n">
        <x:v>1</x:v>
      </x:c>
      <x:c r="H537" t="str">
        <x:v>equals</x:v>
      </x:c>
      <x:c r="I537" t="str">
        <x:v>independent acceptance</x:v>
      </x:c>
      <x:c r="J537" t="str">
        <x:f>IF(F537=G537,"PASS","OPEN")</x:f>
        <x:v>OPEN</x:v>
      </x:c>
    </x:row>
    <x:row r="538">
      <x:c r="B538" t="str">
        <x:v>PHY-NC-10</x:v>
      </x:c>
      <x:c r="C538" t="str">
        <x:v>PHYSICAL</x:v>
      </x:c>
      <x:c r="D538" t="str">
        <x:v>nozzle-cassette acceptance</x:v>
      </x:c>
      <x:c r="E538" t="str">
        <x:v>cassette 10</x:v>
      </x:c>
      <x:c r="F538" t="n">
        <x:f>'Nozzle Cassettes'!F23</x:f>
        <x:v>0</x:v>
      </x:c>
      <x:c r="G538" t="n">
        <x:v>1</x:v>
      </x:c>
      <x:c r="H538" t="str">
        <x:v>equals</x:v>
      </x:c>
      <x:c r="I538" t="str">
        <x:v>independent acceptance</x:v>
      </x:c>
      <x:c r="J538" t="str">
        <x:f>IF(F538=G538,"PASS","OPEN")</x:f>
        <x:v>OPEN</x:v>
      </x:c>
    </x:row>
    <x:row r="539">
      <x:c r="B539" t="str">
        <x:v>PHY-NC-11</x:v>
      </x:c>
      <x:c r="C539" t="str">
        <x:v>PHYSICAL</x:v>
      </x:c>
      <x:c r="D539" t="str">
        <x:v>nozzle-cassette acceptance</x:v>
      </x:c>
      <x:c r="E539" t="str">
        <x:v>cassette 11</x:v>
      </x:c>
      <x:c r="F539" t="n">
        <x:f>'Nozzle Cassettes'!F24</x:f>
        <x:v>0</x:v>
      </x:c>
      <x:c r="G539" t="n">
        <x:v>1</x:v>
      </x:c>
      <x:c r="H539" t="str">
        <x:v>equals</x:v>
      </x:c>
      <x:c r="I539" t="str">
        <x:v>independent acceptance</x:v>
      </x:c>
      <x:c r="J539" t="str">
        <x:f>IF(F539=G539,"PASS","OPEN")</x:f>
        <x:v>OPEN</x:v>
      </x:c>
    </x:row>
    <x:row r="540">
      <x:c r="B540" t="str">
        <x:v>PHY-NC-12</x:v>
      </x:c>
      <x:c r="C540" t="str">
        <x:v>PHYSICAL</x:v>
      </x:c>
      <x:c r="D540" t="str">
        <x:v>nozzle-cassette acceptance</x:v>
      </x:c>
      <x:c r="E540" t="str">
        <x:v>cassette 12</x:v>
      </x:c>
      <x:c r="F540" t="n">
        <x:f>'Nozzle Cassettes'!F25</x:f>
        <x:v>0</x:v>
      </x:c>
      <x:c r="G540" t="n">
        <x:v>1</x:v>
      </x:c>
      <x:c r="H540" t="str">
        <x:v>equals</x:v>
      </x:c>
      <x:c r="I540" t="str">
        <x:v>independent acceptance</x:v>
      </x:c>
      <x:c r="J540" t="str">
        <x:f>IF(F540=G540,"PASS","OPEN")</x:f>
        <x:v>OPEN</x:v>
      </x:c>
    </x:row>
    <x:row r="541">
      <x:c r="B541" t="str">
        <x:v>PHY-NC-13</x:v>
      </x:c>
      <x:c r="C541" t="str">
        <x:v>PHYSICAL</x:v>
      </x:c>
      <x:c r="D541" t="str">
        <x:v>nozzle-cassette acceptance</x:v>
      </x:c>
      <x:c r="E541" t="str">
        <x:v>cassette 13</x:v>
      </x:c>
      <x:c r="F541" t="n">
        <x:f>'Nozzle Cassettes'!F26</x:f>
        <x:v>0</x:v>
      </x:c>
      <x:c r="G541" t="n">
        <x:v>1</x:v>
      </x:c>
      <x:c r="H541" t="str">
        <x:v>equals</x:v>
      </x:c>
      <x:c r="I541" t="str">
        <x:v>independent acceptance</x:v>
      </x:c>
      <x:c r="J541" t="str">
        <x:f>IF(F541=G541,"PASS","OPEN")</x:f>
        <x:v>OPEN</x:v>
      </x:c>
    </x:row>
    <x:row r="542">
      <x:c r="B542" t="str">
        <x:v>PHY-NC-14</x:v>
      </x:c>
      <x:c r="C542" t="str">
        <x:v>PHYSICAL</x:v>
      </x:c>
      <x:c r="D542" t="str">
        <x:v>nozzle-cassette acceptance</x:v>
      </x:c>
      <x:c r="E542" t="str">
        <x:v>cassette 14</x:v>
      </x:c>
      <x:c r="F542" t="n">
        <x:f>'Nozzle Cassettes'!F27</x:f>
        <x:v>0</x:v>
      </x:c>
      <x:c r="G542" t="n">
        <x:v>1</x:v>
      </x:c>
      <x:c r="H542" t="str">
        <x:v>equals</x:v>
      </x:c>
      <x:c r="I542" t="str">
        <x:v>independent acceptance</x:v>
      </x:c>
      <x:c r="J542" t="str">
        <x:f>IF(F542=G542,"PASS","OPEN")</x:f>
        <x:v>OPEN</x:v>
      </x:c>
    </x:row>
    <x:row r="543">
      <x:c r="B543" t="str">
        <x:v>PHY-NC-15</x:v>
      </x:c>
      <x:c r="C543" t="str">
        <x:v>PHYSICAL</x:v>
      </x:c>
      <x:c r="D543" t="str">
        <x:v>nozzle-cassette acceptance</x:v>
      </x:c>
      <x:c r="E543" t="str">
        <x:v>cassette 15</x:v>
      </x:c>
      <x:c r="F543" t="n">
        <x:f>'Nozzle Cassettes'!F28</x:f>
        <x:v>0</x:v>
      </x:c>
      <x:c r="G543" t="n">
        <x:v>1</x:v>
      </x:c>
      <x:c r="H543" t="str">
        <x:v>equals</x:v>
      </x:c>
      <x:c r="I543" t="str">
        <x:v>independent acceptance</x:v>
      </x:c>
      <x:c r="J543" t="str">
        <x:f>IF(F543=G543,"PASS","OPEN")</x:f>
        <x:v>OPEN</x:v>
      </x:c>
    </x:row>
    <x:row r="544">
      <x:c r="B544" t="str">
        <x:v>PHY-NC-16</x:v>
      </x:c>
      <x:c r="C544" t="str">
        <x:v>PHYSICAL</x:v>
      </x:c>
      <x:c r="D544" t="str">
        <x:v>nozzle-cassette acceptance</x:v>
      </x:c>
      <x:c r="E544" t="str">
        <x:v>cassette 16</x:v>
      </x:c>
      <x:c r="F544" t="n">
        <x:f>'Nozzle Cassettes'!F29</x:f>
        <x:v>0</x:v>
      </x:c>
      <x:c r="G544" t="n">
        <x:v>1</x:v>
      </x:c>
      <x:c r="H544" t="str">
        <x:v>equals</x:v>
      </x:c>
      <x:c r="I544" t="str">
        <x:v>independent acceptance</x:v>
      </x:c>
      <x:c r="J544" t="str">
        <x:f>IF(F544=G544,"PASS","OPEN")</x:f>
        <x:v>OPEN</x:v>
      </x:c>
    </x:row>
    <x:row r="545">
      <x:c r="B545" t="str">
        <x:v>PHY-NC-17</x:v>
      </x:c>
      <x:c r="C545" t="str">
        <x:v>PHYSICAL</x:v>
      </x:c>
      <x:c r="D545" t="str">
        <x:v>nozzle-cassette acceptance</x:v>
      </x:c>
      <x:c r="E545" t="str">
        <x:v>cassette 17</x:v>
      </x:c>
      <x:c r="F545" t="n">
        <x:f>'Nozzle Cassettes'!F30</x:f>
        <x:v>0</x:v>
      </x:c>
      <x:c r="G545" t="n">
        <x:v>1</x:v>
      </x:c>
      <x:c r="H545" t="str">
        <x:v>equals</x:v>
      </x:c>
      <x:c r="I545" t="str">
        <x:v>independent acceptance</x:v>
      </x:c>
      <x:c r="J545" t="str">
        <x:f>IF(F545=G545,"PASS","OPEN")</x:f>
        <x:v>OPEN</x:v>
      </x:c>
    </x:row>
    <x:row r="546">
      <x:c r="B546" t="str">
        <x:v>PHY-NC-18</x:v>
      </x:c>
      <x:c r="C546" t="str">
        <x:v>PHYSICAL</x:v>
      </x:c>
      <x:c r="D546" t="str">
        <x:v>nozzle-cassette acceptance</x:v>
      </x:c>
      <x:c r="E546" t="str">
        <x:v>cassette 18</x:v>
      </x:c>
      <x:c r="F546" t="n">
        <x:f>'Nozzle Cassettes'!F31</x:f>
        <x:v>0</x:v>
      </x:c>
      <x:c r="G546" t="n">
        <x:v>1</x:v>
      </x:c>
      <x:c r="H546" t="str">
        <x:v>equals</x:v>
      </x:c>
      <x:c r="I546" t="str">
        <x:v>independent acceptance</x:v>
      </x:c>
      <x:c r="J546" t="str">
        <x:f>IF(F546=G546,"PASS","OPEN")</x:f>
        <x:v>OPEN</x:v>
      </x:c>
    </x:row>
    <x:row r="547">
      <x:c r="B547" t="str">
        <x:v>PHY-RT-RHP-A1-B1-S1</x:v>
      </x:c>
      <x:c r="C547" t="str">
        <x:v>PHYSICAL</x:v>
      </x:c>
      <x:c r="D547" t="str">
        <x:v>route-segment acceptance</x:v>
      </x:c>
      <x:c r="E547" t="str">
        <x:v>RHP-A1-B1-S1</x:v>
      </x:c>
      <x:c r="F547" t="n">
        <x:f>'Route Gallery'!K7</x:f>
        <x:v>0</x:v>
      </x:c>
      <x:c r="G547" t="n">
        <x:v>1</x:v>
      </x:c>
      <x:c r="H547" t="str">
        <x:v>equals</x:v>
      </x:c>
      <x:c r="I547" t="str">
        <x:v>independent acceptance</x:v>
      </x:c>
      <x:c r="J547" t="str">
        <x:f>IF(F547=G547,"PASS","OPEN")</x:f>
        <x:v>OPEN</x:v>
      </x:c>
    </x:row>
    <x:row r="548">
      <x:c r="B548" t="str">
        <x:v>PHY-RT-RHP-A1-B1-S2</x:v>
      </x:c>
      <x:c r="C548" t="str">
        <x:v>PHYSICAL</x:v>
      </x:c>
      <x:c r="D548" t="str">
        <x:v>route-segment acceptance</x:v>
      </x:c>
      <x:c r="E548" t="str">
        <x:v>RHP-A1-B1-S2</x:v>
      </x:c>
      <x:c r="F548" t="n">
        <x:f>'Route Gallery'!K8</x:f>
        <x:v>0</x:v>
      </x:c>
      <x:c r="G548" t="n">
        <x:v>1</x:v>
      </x:c>
      <x:c r="H548" t="str">
        <x:v>equals</x:v>
      </x:c>
      <x:c r="I548" t="str">
        <x:v>independent acceptance</x:v>
      </x:c>
      <x:c r="J548" t="str">
        <x:f>IF(F548=G548,"PASS","OPEN")</x:f>
        <x:v>OPEN</x:v>
      </x:c>
    </x:row>
    <x:row r="549">
      <x:c r="B549" t="str">
        <x:v>PHY-RT-RHP-A1-B1-S3</x:v>
      </x:c>
      <x:c r="C549" t="str">
        <x:v>PHYSICAL</x:v>
      </x:c>
      <x:c r="D549" t="str">
        <x:v>route-segment acceptance</x:v>
      </x:c>
      <x:c r="E549" t="str">
        <x:v>RHP-A1-B1-S3</x:v>
      </x:c>
      <x:c r="F549" t="n">
        <x:f>'Route Gallery'!K9</x:f>
        <x:v>0</x:v>
      </x:c>
      <x:c r="G549" t="n">
        <x:v>1</x:v>
      </x:c>
      <x:c r="H549" t="str">
        <x:v>equals</x:v>
      </x:c>
      <x:c r="I549" t="str">
        <x:v>independent acceptance</x:v>
      </x:c>
      <x:c r="J549" t="str">
        <x:f>IF(F549=G549,"PASS","OPEN")</x:f>
        <x:v>OPEN</x:v>
      </x:c>
    </x:row>
    <x:row r="550">
      <x:c r="B550" t="str">
        <x:v>PHY-RT-RHP-A1-B1-S4</x:v>
      </x:c>
      <x:c r="C550" t="str">
        <x:v>PHYSICAL</x:v>
      </x:c>
      <x:c r="D550" t="str">
        <x:v>route-segment acceptance</x:v>
      </x:c>
      <x:c r="E550" t="str">
        <x:v>RHP-A1-B1-S4</x:v>
      </x:c>
      <x:c r="F550" t="n">
        <x:f>'Route Gallery'!K10</x:f>
        <x:v>0</x:v>
      </x:c>
      <x:c r="G550" t="n">
        <x:v>1</x:v>
      </x:c>
      <x:c r="H550" t="str">
        <x:v>equals</x:v>
      </x:c>
      <x:c r="I550" t="str">
        <x:v>independent acceptance</x:v>
      </x:c>
      <x:c r="J550" t="str">
        <x:f>IF(F550=G550,"PASS","OPEN")</x:f>
        <x:v>OPEN</x:v>
      </x:c>
    </x:row>
    <x:row r="551">
      <x:c r="B551" t="str">
        <x:v>PHY-RT-RHP-A1-B1-S5</x:v>
      </x:c>
      <x:c r="C551" t="str">
        <x:v>PHYSICAL</x:v>
      </x:c>
      <x:c r="D551" t="str">
        <x:v>route-segment acceptance</x:v>
      </x:c>
      <x:c r="E551" t="str">
        <x:v>RHP-A1-B1-S5</x:v>
      </x:c>
      <x:c r="F551" t="n">
        <x:f>'Route Gallery'!K11</x:f>
        <x:v>0</x:v>
      </x:c>
      <x:c r="G551" t="n">
        <x:v>1</x:v>
      </x:c>
      <x:c r="H551" t="str">
        <x:v>equals</x:v>
      </x:c>
      <x:c r="I551" t="str">
        <x:v>independent acceptance</x:v>
      </x:c>
      <x:c r="J551" t="str">
        <x:f>IF(F551=G551,"PASS","OPEN")</x:f>
        <x:v>OPEN</x:v>
      </x:c>
    </x:row>
    <x:row r="552">
      <x:c r="B552" t="str">
        <x:v>PHY-RT-RHP-A1-B1-S6</x:v>
      </x:c>
      <x:c r="C552" t="str">
        <x:v>PHYSICAL</x:v>
      </x:c>
      <x:c r="D552" t="str">
        <x:v>route-segment acceptance</x:v>
      </x:c>
      <x:c r="E552" t="str">
        <x:v>RHP-A1-B1-S6</x:v>
      </x:c>
      <x:c r="F552" t="n">
        <x:f>'Route Gallery'!K12</x:f>
        <x:v>0</x:v>
      </x:c>
      <x:c r="G552" t="n">
        <x:v>1</x:v>
      </x:c>
      <x:c r="H552" t="str">
        <x:v>equals</x:v>
      </x:c>
      <x:c r="I552" t="str">
        <x:v>independent acceptance</x:v>
      </x:c>
      <x:c r="J552" t="str">
        <x:f>IF(F552=G552,"PASS","OPEN")</x:f>
        <x:v>OPEN</x:v>
      </x:c>
    </x:row>
    <x:row r="553">
      <x:c r="B553" t="str">
        <x:v>PHY-RT-RHP-A1-B1-S7</x:v>
      </x:c>
      <x:c r="C553" t="str">
        <x:v>PHYSICAL</x:v>
      </x:c>
      <x:c r="D553" t="str">
        <x:v>route-segment acceptance</x:v>
      </x:c>
      <x:c r="E553" t="str">
        <x:v>RHP-A1-B1-S7</x:v>
      </x:c>
      <x:c r="F553" t="n">
        <x:f>'Route Gallery'!K13</x:f>
        <x:v>0</x:v>
      </x:c>
      <x:c r="G553" t="n">
        <x:v>1</x:v>
      </x:c>
      <x:c r="H553" t="str">
        <x:v>equals</x:v>
      </x:c>
      <x:c r="I553" t="str">
        <x:v>independent acceptance</x:v>
      </x:c>
      <x:c r="J553" t="str">
        <x:f>IF(F553=G553,"PASS","OPEN")</x:f>
        <x:v>OPEN</x:v>
      </x:c>
    </x:row>
    <x:row r="554">
      <x:c r="B554" t="str">
        <x:v>PHY-RT-RHP-A1-B1-S8</x:v>
      </x:c>
      <x:c r="C554" t="str">
        <x:v>PHYSICAL</x:v>
      </x:c>
      <x:c r="D554" t="str">
        <x:v>route-segment acceptance</x:v>
      </x:c>
      <x:c r="E554" t="str">
        <x:v>RHP-A1-B1-S8</x:v>
      </x:c>
      <x:c r="F554" t="n">
        <x:f>'Route Gallery'!K14</x:f>
        <x:v>0</x:v>
      </x:c>
      <x:c r="G554" t="n">
        <x:v>1</x:v>
      </x:c>
      <x:c r="H554" t="str">
        <x:v>equals</x:v>
      </x:c>
      <x:c r="I554" t="str">
        <x:v>independent acceptance</x:v>
      </x:c>
      <x:c r="J554" t="str">
        <x:f>IF(F554=G554,"PASS","OPEN")</x:f>
        <x:v>OPEN</x:v>
      </x:c>
    </x:row>
    <x:row r="555">
      <x:c r="B555" t="str">
        <x:v>PHY-RT-RHP-A1-B2-S1</x:v>
      </x:c>
      <x:c r="C555" t="str">
        <x:v>PHYSICAL</x:v>
      </x:c>
      <x:c r="D555" t="str">
        <x:v>route-segment acceptance</x:v>
      </x:c>
      <x:c r="E555" t="str">
        <x:v>RHP-A1-B2-S1</x:v>
      </x:c>
      <x:c r="F555" t="n">
        <x:f>'Route Gallery'!K15</x:f>
        <x:v>0</x:v>
      </x:c>
      <x:c r="G555" t="n">
        <x:v>1</x:v>
      </x:c>
      <x:c r="H555" t="str">
        <x:v>equals</x:v>
      </x:c>
      <x:c r="I555" t="str">
        <x:v>independent acceptance</x:v>
      </x:c>
      <x:c r="J555" t="str">
        <x:f>IF(F555=G555,"PASS","OPEN")</x:f>
        <x:v>OPEN</x:v>
      </x:c>
    </x:row>
    <x:row r="556">
      <x:c r="B556" t="str">
        <x:v>PHY-RT-RHP-A1-B2-S2</x:v>
      </x:c>
      <x:c r="C556" t="str">
        <x:v>PHYSICAL</x:v>
      </x:c>
      <x:c r="D556" t="str">
        <x:v>route-segment acceptance</x:v>
      </x:c>
      <x:c r="E556" t="str">
        <x:v>RHP-A1-B2-S2</x:v>
      </x:c>
      <x:c r="F556" t="n">
        <x:f>'Route Gallery'!K16</x:f>
        <x:v>0</x:v>
      </x:c>
      <x:c r="G556" t="n">
        <x:v>1</x:v>
      </x:c>
      <x:c r="H556" t="str">
        <x:v>equals</x:v>
      </x:c>
      <x:c r="I556" t="str">
        <x:v>independent acceptance</x:v>
      </x:c>
      <x:c r="J556" t="str">
        <x:f>IF(F556=G556,"PASS","OPEN")</x:f>
        <x:v>OPEN</x:v>
      </x:c>
    </x:row>
    <x:row r="557">
      <x:c r="B557" t="str">
        <x:v>PHY-RT-RHP-A1-B2-S3</x:v>
      </x:c>
      <x:c r="C557" t="str">
        <x:v>PHYSICAL</x:v>
      </x:c>
      <x:c r="D557" t="str">
        <x:v>route-segment acceptance</x:v>
      </x:c>
      <x:c r="E557" t="str">
        <x:v>RHP-A1-B2-S3</x:v>
      </x:c>
      <x:c r="F557" t="n">
        <x:f>'Route Gallery'!K17</x:f>
        <x:v>0</x:v>
      </x:c>
      <x:c r="G557" t="n">
        <x:v>1</x:v>
      </x:c>
      <x:c r="H557" t="str">
        <x:v>equals</x:v>
      </x:c>
      <x:c r="I557" t="str">
        <x:v>independent acceptance</x:v>
      </x:c>
      <x:c r="J557" t="str">
        <x:f>IF(F557=G557,"PASS","OPEN")</x:f>
        <x:v>OPEN</x:v>
      </x:c>
    </x:row>
    <x:row r="558">
      <x:c r="B558" t="str">
        <x:v>PHY-RT-RHP-A1-B2-S4</x:v>
      </x:c>
      <x:c r="C558" t="str">
        <x:v>PHYSICAL</x:v>
      </x:c>
      <x:c r="D558" t="str">
        <x:v>route-segment acceptance</x:v>
      </x:c>
      <x:c r="E558" t="str">
        <x:v>RHP-A1-B2-S4</x:v>
      </x:c>
      <x:c r="F558" t="n">
        <x:f>'Route Gallery'!K18</x:f>
        <x:v>0</x:v>
      </x:c>
      <x:c r="G558" t="n">
        <x:v>1</x:v>
      </x:c>
      <x:c r="H558" t="str">
        <x:v>equals</x:v>
      </x:c>
      <x:c r="I558" t="str">
        <x:v>independent acceptance</x:v>
      </x:c>
      <x:c r="J558" t="str">
        <x:f>IF(F558=G558,"PASS","OPEN")</x:f>
        <x:v>OPEN</x:v>
      </x:c>
    </x:row>
    <x:row r="559">
      <x:c r="B559" t="str">
        <x:v>PHY-RT-RHP-A1-B2-S5</x:v>
      </x:c>
      <x:c r="C559" t="str">
        <x:v>PHYSICAL</x:v>
      </x:c>
      <x:c r="D559" t="str">
        <x:v>route-segment acceptance</x:v>
      </x:c>
      <x:c r="E559" t="str">
        <x:v>RHP-A1-B2-S5</x:v>
      </x:c>
      <x:c r="F559" t="n">
        <x:f>'Route Gallery'!K19</x:f>
        <x:v>0</x:v>
      </x:c>
      <x:c r="G559" t="n">
        <x:v>1</x:v>
      </x:c>
      <x:c r="H559" t="str">
        <x:v>equals</x:v>
      </x:c>
      <x:c r="I559" t="str">
        <x:v>independent acceptance</x:v>
      </x:c>
      <x:c r="J559" t="str">
        <x:f>IF(F559=G559,"PASS","OPEN")</x:f>
        <x:v>OPEN</x:v>
      </x:c>
    </x:row>
    <x:row r="560">
      <x:c r="B560" t="str">
        <x:v>PHY-RT-RHP-A1-B2-S6</x:v>
      </x:c>
      <x:c r="C560" t="str">
        <x:v>PHYSICAL</x:v>
      </x:c>
      <x:c r="D560" t="str">
        <x:v>route-segment acceptance</x:v>
      </x:c>
      <x:c r="E560" t="str">
        <x:v>RHP-A1-B2-S6</x:v>
      </x:c>
      <x:c r="F560" t="n">
        <x:f>'Route Gallery'!K20</x:f>
        <x:v>0</x:v>
      </x:c>
      <x:c r="G560" t="n">
        <x:v>1</x:v>
      </x:c>
      <x:c r="H560" t="str">
        <x:v>equals</x:v>
      </x:c>
      <x:c r="I560" t="str">
        <x:v>independent acceptance</x:v>
      </x:c>
      <x:c r="J560" t="str">
        <x:f>IF(F560=G560,"PASS","OPEN")</x:f>
        <x:v>OPEN</x:v>
      </x:c>
    </x:row>
    <x:row r="561">
      <x:c r="B561" t="str">
        <x:v>PHY-RT-RHP-A1-B2-S7</x:v>
      </x:c>
      <x:c r="C561" t="str">
        <x:v>PHYSICAL</x:v>
      </x:c>
      <x:c r="D561" t="str">
        <x:v>route-segment acceptance</x:v>
      </x:c>
      <x:c r="E561" t="str">
        <x:v>RHP-A1-B2-S7</x:v>
      </x:c>
      <x:c r="F561" t="n">
        <x:f>'Route Gallery'!K21</x:f>
        <x:v>0</x:v>
      </x:c>
      <x:c r="G561" t="n">
        <x:v>1</x:v>
      </x:c>
      <x:c r="H561" t="str">
        <x:v>equals</x:v>
      </x:c>
      <x:c r="I561" t="str">
        <x:v>independent acceptance</x:v>
      </x:c>
      <x:c r="J561" t="str">
        <x:f>IF(F561=G561,"PASS","OPEN")</x:f>
        <x:v>OPEN</x:v>
      </x:c>
    </x:row>
    <x:row r="562">
      <x:c r="B562" t="str">
        <x:v>PHY-RT-RHP-A1-B2-S8</x:v>
      </x:c>
      <x:c r="C562" t="str">
        <x:v>PHYSICAL</x:v>
      </x:c>
      <x:c r="D562" t="str">
        <x:v>route-segment acceptance</x:v>
      </x:c>
      <x:c r="E562" t="str">
        <x:v>RHP-A1-B2-S8</x:v>
      </x:c>
      <x:c r="F562" t="n">
        <x:f>'Route Gallery'!K22</x:f>
        <x:v>0</x:v>
      </x:c>
      <x:c r="G562" t="n">
        <x:v>1</x:v>
      </x:c>
      <x:c r="H562" t="str">
        <x:v>equals</x:v>
      </x:c>
      <x:c r="I562" t="str">
        <x:v>independent acceptance</x:v>
      </x:c>
      <x:c r="J562" t="str">
        <x:f>IF(F562=G562,"PASS","OPEN")</x:f>
        <x:v>OPEN</x:v>
      </x:c>
    </x:row>
    <x:row r="563">
      <x:c r="B563" t="str">
        <x:v>PHY-RT-RHP-A1-B3-S1</x:v>
      </x:c>
      <x:c r="C563" t="str">
        <x:v>PHYSICAL</x:v>
      </x:c>
      <x:c r="D563" t="str">
        <x:v>route-segment acceptance</x:v>
      </x:c>
      <x:c r="E563" t="str">
        <x:v>RHP-A1-B3-S1</x:v>
      </x:c>
      <x:c r="F563" t="n">
        <x:f>'Route Gallery'!K23</x:f>
        <x:v>0</x:v>
      </x:c>
      <x:c r="G563" t="n">
        <x:v>1</x:v>
      </x:c>
      <x:c r="H563" t="str">
        <x:v>equals</x:v>
      </x:c>
      <x:c r="I563" t="str">
        <x:v>independent acceptance</x:v>
      </x:c>
      <x:c r="J563" t="str">
        <x:f>IF(F563=G563,"PASS","OPEN")</x:f>
        <x:v>OPEN</x:v>
      </x:c>
    </x:row>
    <x:row r="564">
      <x:c r="B564" t="str">
        <x:v>PHY-RT-RHP-A1-B3-S2</x:v>
      </x:c>
      <x:c r="C564" t="str">
        <x:v>PHYSICAL</x:v>
      </x:c>
      <x:c r="D564" t="str">
        <x:v>route-segment acceptance</x:v>
      </x:c>
      <x:c r="E564" t="str">
        <x:v>RHP-A1-B3-S2</x:v>
      </x:c>
      <x:c r="F564" t="n">
        <x:f>'Route Gallery'!K24</x:f>
        <x:v>0</x:v>
      </x:c>
      <x:c r="G564" t="n">
        <x:v>1</x:v>
      </x:c>
      <x:c r="H564" t="str">
        <x:v>equals</x:v>
      </x:c>
      <x:c r="I564" t="str">
        <x:v>independent acceptance</x:v>
      </x:c>
      <x:c r="J564" t="str">
        <x:f>IF(F564=G564,"PASS","OPEN")</x:f>
        <x:v>OPEN</x:v>
      </x:c>
    </x:row>
    <x:row r="565">
      <x:c r="B565" t="str">
        <x:v>PHY-RT-RHP-A1-B3-S3</x:v>
      </x:c>
      <x:c r="C565" t="str">
        <x:v>PHYSICAL</x:v>
      </x:c>
      <x:c r="D565" t="str">
        <x:v>route-segment acceptance</x:v>
      </x:c>
      <x:c r="E565" t="str">
        <x:v>RHP-A1-B3-S3</x:v>
      </x:c>
      <x:c r="F565" t="n">
        <x:f>'Route Gallery'!K25</x:f>
        <x:v>0</x:v>
      </x:c>
      <x:c r="G565" t="n">
        <x:v>1</x:v>
      </x:c>
      <x:c r="H565" t="str">
        <x:v>equals</x:v>
      </x:c>
      <x:c r="I565" t="str">
        <x:v>independent acceptance</x:v>
      </x:c>
      <x:c r="J565" t="str">
        <x:f>IF(F565=G565,"PASS","OPEN")</x:f>
        <x:v>OPEN</x:v>
      </x:c>
    </x:row>
    <x:row r="566">
      <x:c r="B566" t="str">
        <x:v>PHY-RT-RHP-A1-B3-S4</x:v>
      </x:c>
      <x:c r="C566" t="str">
        <x:v>PHYSICAL</x:v>
      </x:c>
      <x:c r="D566" t="str">
        <x:v>route-segment acceptance</x:v>
      </x:c>
      <x:c r="E566" t="str">
        <x:v>RHP-A1-B3-S4</x:v>
      </x:c>
      <x:c r="F566" t="n">
        <x:f>'Route Gallery'!K26</x:f>
        <x:v>0</x:v>
      </x:c>
      <x:c r="G566" t="n">
        <x:v>1</x:v>
      </x:c>
      <x:c r="H566" t="str">
        <x:v>equals</x:v>
      </x:c>
      <x:c r="I566" t="str">
        <x:v>independent acceptance</x:v>
      </x:c>
      <x:c r="J566" t="str">
        <x:f>IF(F566=G566,"PASS","OPEN")</x:f>
        <x:v>OPEN</x:v>
      </x:c>
    </x:row>
    <x:row r="567">
      <x:c r="B567" t="str">
        <x:v>PHY-RT-RHP-A1-B3-S5</x:v>
      </x:c>
      <x:c r="C567" t="str">
        <x:v>PHYSICAL</x:v>
      </x:c>
      <x:c r="D567" t="str">
        <x:v>route-segment acceptance</x:v>
      </x:c>
      <x:c r="E567" t="str">
        <x:v>RHP-A1-B3-S5</x:v>
      </x:c>
      <x:c r="F567" t="n">
        <x:f>'Route Gallery'!K27</x:f>
        <x:v>0</x:v>
      </x:c>
      <x:c r="G567" t="n">
        <x:v>1</x:v>
      </x:c>
      <x:c r="H567" t="str">
        <x:v>equals</x:v>
      </x:c>
      <x:c r="I567" t="str">
        <x:v>independent acceptance</x:v>
      </x:c>
      <x:c r="J567" t="str">
        <x:f>IF(F567=G567,"PASS","OPEN")</x:f>
        <x:v>OPEN</x:v>
      </x:c>
    </x:row>
    <x:row r="568">
      <x:c r="B568" t="str">
        <x:v>PHY-RT-RHP-A1-B3-S6</x:v>
      </x:c>
      <x:c r="C568" t="str">
        <x:v>PHYSICAL</x:v>
      </x:c>
      <x:c r="D568" t="str">
        <x:v>route-segment acceptance</x:v>
      </x:c>
      <x:c r="E568" t="str">
        <x:v>RHP-A1-B3-S6</x:v>
      </x:c>
      <x:c r="F568" t="n">
        <x:f>'Route Gallery'!K28</x:f>
        <x:v>0</x:v>
      </x:c>
      <x:c r="G568" t="n">
        <x:v>1</x:v>
      </x:c>
      <x:c r="H568" t="str">
        <x:v>equals</x:v>
      </x:c>
      <x:c r="I568" t="str">
        <x:v>independent acceptance</x:v>
      </x:c>
      <x:c r="J568" t="str">
        <x:f>IF(F568=G568,"PASS","OPEN")</x:f>
        <x:v>OPEN</x:v>
      </x:c>
    </x:row>
    <x:row r="569">
      <x:c r="B569" t="str">
        <x:v>PHY-RT-RHP-A1-B3-S7</x:v>
      </x:c>
      <x:c r="C569" t="str">
        <x:v>PHYSICAL</x:v>
      </x:c>
      <x:c r="D569" t="str">
        <x:v>route-segment acceptance</x:v>
      </x:c>
      <x:c r="E569" t="str">
        <x:v>RHP-A1-B3-S7</x:v>
      </x:c>
      <x:c r="F569" t="n">
        <x:f>'Route Gallery'!K29</x:f>
        <x:v>0</x:v>
      </x:c>
      <x:c r="G569" t="n">
        <x:v>1</x:v>
      </x:c>
      <x:c r="H569" t="str">
        <x:v>equals</x:v>
      </x:c>
      <x:c r="I569" t="str">
        <x:v>independent acceptance</x:v>
      </x:c>
      <x:c r="J569" t="str">
        <x:f>IF(F569=G569,"PASS","OPEN")</x:f>
        <x:v>OPEN</x:v>
      </x:c>
    </x:row>
    <x:row r="570">
      <x:c r="B570" t="str">
        <x:v>PHY-RT-RHP-A1-B3-S8</x:v>
      </x:c>
      <x:c r="C570" t="str">
        <x:v>PHYSICAL</x:v>
      </x:c>
      <x:c r="D570" t="str">
        <x:v>route-segment acceptance</x:v>
      </x:c>
      <x:c r="E570" t="str">
        <x:v>RHP-A1-B3-S8</x:v>
      </x:c>
      <x:c r="F570" t="n">
        <x:f>'Route Gallery'!K30</x:f>
        <x:v>0</x:v>
      </x:c>
      <x:c r="G570" t="n">
        <x:v>1</x:v>
      </x:c>
      <x:c r="H570" t="str">
        <x:v>equals</x:v>
      </x:c>
      <x:c r="I570" t="str">
        <x:v>independent acceptance</x:v>
      </x:c>
      <x:c r="J570" t="str">
        <x:f>IF(F570=G570,"PASS","OPEN")</x:f>
        <x:v>OPEN</x:v>
      </x:c>
    </x:row>
    <x:row r="571">
      <x:c r="B571" t="str">
        <x:v>PHY-RT-RHP-A2-B1-S1</x:v>
      </x:c>
      <x:c r="C571" t="str">
        <x:v>PHYSICAL</x:v>
      </x:c>
      <x:c r="D571" t="str">
        <x:v>route-segment acceptance</x:v>
      </x:c>
      <x:c r="E571" t="str">
        <x:v>RHP-A2-B1-S1</x:v>
      </x:c>
      <x:c r="F571" t="n">
        <x:f>'Route Gallery'!K31</x:f>
        <x:v>0</x:v>
      </x:c>
      <x:c r="G571" t="n">
        <x:v>1</x:v>
      </x:c>
      <x:c r="H571" t="str">
        <x:v>equals</x:v>
      </x:c>
      <x:c r="I571" t="str">
        <x:v>independent acceptance</x:v>
      </x:c>
      <x:c r="J571" t="str">
        <x:f>IF(F571=G571,"PASS","OPEN")</x:f>
        <x:v>OPEN</x:v>
      </x:c>
    </x:row>
    <x:row r="572">
      <x:c r="B572" t="str">
        <x:v>PHY-RT-RHP-A2-B1-S2</x:v>
      </x:c>
      <x:c r="C572" t="str">
        <x:v>PHYSICAL</x:v>
      </x:c>
      <x:c r="D572" t="str">
        <x:v>route-segment acceptance</x:v>
      </x:c>
      <x:c r="E572" t="str">
        <x:v>RHP-A2-B1-S2</x:v>
      </x:c>
      <x:c r="F572" t="n">
        <x:f>'Route Gallery'!K32</x:f>
        <x:v>0</x:v>
      </x:c>
      <x:c r="G572" t="n">
        <x:v>1</x:v>
      </x:c>
      <x:c r="H572" t="str">
        <x:v>equals</x:v>
      </x:c>
      <x:c r="I572" t="str">
        <x:v>independent acceptance</x:v>
      </x:c>
      <x:c r="J572" t="str">
        <x:f>IF(F572=G572,"PASS","OPEN")</x:f>
        <x:v>OPEN</x:v>
      </x:c>
    </x:row>
    <x:row r="573">
      <x:c r="B573" t="str">
        <x:v>PHY-RT-RHP-A2-B1-S3</x:v>
      </x:c>
      <x:c r="C573" t="str">
        <x:v>PHYSICAL</x:v>
      </x:c>
      <x:c r="D573" t="str">
        <x:v>route-segment acceptance</x:v>
      </x:c>
      <x:c r="E573" t="str">
        <x:v>RHP-A2-B1-S3</x:v>
      </x:c>
      <x:c r="F573" t="n">
        <x:f>'Route Gallery'!K33</x:f>
        <x:v>0</x:v>
      </x:c>
      <x:c r="G573" t="n">
        <x:v>1</x:v>
      </x:c>
      <x:c r="H573" t="str">
        <x:v>equals</x:v>
      </x:c>
      <x:c r="I573" t="str">
        <x:v>independent acceptance</x:v>
      </x:c>
      <x:c r="J573" t="str">
        <x:f>IF(F573=G573,"PASS","OPEN")</x:f>
        <x:v>OPEN</x:v>
      </x:c>
    </x:row>
    <x:row r="574">
      <x:c r="B574" t="str">
        <x:v>PHY-RT-RHP-A2-B1-S4</x:v>
      </x:c>
      <x:c r="C574" t="str">
        <x:v>PHYSICAL</x:v>
      </x:c>
      <x:c r="D574" t="str">
        <x:v>route-segment acceptance</x:v>
      </x:c>
      <x:c r="E574" t="str">
        <x:v>RHP-A2-B1-S4</x:v>
      </x:c>
      <x:c r="F574" t="n">
        <x:f>'Route Gallery'!K34</x:f>
        <x:v>0</x:v>
      </x:c>
      <x:c r="G574" t="n">
        <x:v>1</x:v>
      </x:c>
      <x:c r="H574" t="str">
        <x:v>equals</x:v>
      </x:c>
      <x:c r="I574" t="str">
        <x:v>independent acceptance</x:v>
      </x:c>
      <x:c r="J574" t="str">
        <x:f>IF(F574=G574,"PASS","OPEN")</x:f>
        <x:v>OPEN</x:v>
      </x:c>
    </x:row>
    <x:row r="575">
      <x:c r="B575" t="str">
        <x:v>PHY-RT-RHP-A2-B1-S5</x:v>
      </x:c>
      <x:c r="C575" t="str">
        <x:v>PHYSICAL</x:v>
      </x:c>
      <x:c r="D575" t="str">
        <x:v>route-segment acceptance</x:v>
      </x:c>
      <x:c r="E575" t="str">
        <x:v>RHP-A2-B1-S5</x:v>
      </x:c>
      <x:c r="F575" t="n">
        <x:f>'Route Gallery'!K35</x:f>
        <x:v>0</x:v>
      </x:c>
      <x:c r="G575" t="n">
        <x:v>1</x:v>
      </x:c>
      <x:c r="H575" t="str">
        <x:v>equals</x:v>
      </x:c>
      <x:c r="I575" t="str">
        <x:v>independent acceptance</x:v>
      </x:c>
      <x:c r="J575" t="str">
        <x:f>IF(F575=G575,"PASS","OPEN")</x:f>
        <x:v>OPEN</x:v>
      </x:c>
    </x:row>
    <x:row r="576">
      <x:c r="B576" t="str">
        <x:v>PHY-RT-RHP-A2-B1-S6</x:v>
      </x:c>
      <x:c r="C576" t="str">
        <x:v>PHYSICAL</x:v>
      </x:c>
      <x:c r="D576" t="str">
        <x:v>route-segment acceptance</x:v>
      </x:c>
      <x:c r="E576" t="str">
        <x:v>RHP-A2-B1-S6</x:v>
      </x:c>
      <x:c r="F576" t="n">
        <x:f>'Route Gallery'!K36</x:f>
        <x:v>0</x:v>
      </x:c>
      <x:c r="G576" t="n">
        <x:v>1</x:v>
      </x:c>
      <x:c r="H576" t="str">
        <x:v>equals</x:v>
      </x:c>
      <x:c r="I576" t="str">
        <x:v>independent acceptance</x:v>
      </x:c>
      <x:c r="J576" t="str">
        <x:f>IF(F576=G576,"PASS","OPEN")</x:f>
        <x:v>OPEN</x:v>
      </x:c>
    </x:row>
    <x:row r="577">
      <x:c r="B577" t="str">
        <x:v>PHY-RT-RHP-A2-B1-S7</x:v>
      </x:c>
      <x:c r="C577" t="str">
        <x:v>PHYSICAL</x:v>
      </x:c>
      <x:c r="D577" t="str">
        <x:v>route-segment acceptance</x:v>
      </x:c>
      <x:c r="E577" t="str">
        <x:v>RHP-A2-B1-S7</x:v>
      </x:c>
      <x:c r="F577" t="n">
        <x:f>'Route Gallery'!K37</x:f>
        <x:v>0</x:v>
      </x:c>
      <x:c r="G577" t="n">
        <x:v>1</x:v>
      </x:c>
      <x:c r="H577" t="str">
        <x:v>equals</x:v>
      </x:c>
      <x:c r="I577" t="str">
        <x:v>independent acceptance</x:v>
      </x:c>
      <x:c r="J577" t="str">
        <x:f>IF(F577=G577,"PASS","OPEN")</x:f>
        <x:v>OPEN</x:v>
      </x:c>
    </x:row>
    <x:row r="578">
      <x:c r="B578" t="str">
        <x:v>PHY-RT-RHP-A2-B1-S8</x:v>
      </x:c>
      <x:c r="C578" t="str">
        <x:v>PHYSICAL</x:v>
      </x:c>
      <x:c r="D578" t="str">
        <x:v>route-segment acceptance</x:v>
      </x:c>
      <x:c r="E578" t="str">
        <x:v>RHP-A2-B1-S8</x:v>
      </x:c>
      <x:c r="F578" t="n">
        <x:f>'Route Gallery'!K38</x:f>
        <x:v>0</x:v>
      </x:c>
      <x:c r="G578" t="n">
        <x:v>1</x:v>
      </x:c>
      <x:c r="H578" t="str">
        <x:v>equals</x:v>
      </x:c>
      <x:c r="I578" t="str">
        <x:v>independent acceptance</x:v>
      </x:c>
      <x:c r="J578" t="str">
        <x:f>IF(F578=G578,"PASS","OPEN")</x:f>
        <x:v>OPEN</x:v>
      </x:c>
    </x:row>
    <x:row r="579">
      <x:c r="B579" t="str">
        <x:v>PHY-RT-RHP-A2-B2-S1</x:v>
      </x:c>
      <x:c r="C579" t="str">
        <x:v>PHYSICAL</x:v>
      </x:c>
      <x:c r="D579" t="str">
        <x:v>route-segment acceptance</x:v>
      </x:c>
      <x:c r="E579" t="str">
        <x:v>RHP-A2-B2-S1</x:v>
      </x:c>
      <x:c r="F579" t="n">
        <x:f>'Route Gallery'!K39</x:f>
        <x:v>0</x:v>
      </x:c>
      <x:c r="G579" t="n">
        <x:v>1</x:v>
      </x:c>
      <x:c r="H579" t="str">
        <x:v>equals</x:v>
      </x:c>
      <x:c r="I579" t="str">
        <x:v>independent acceptance</x:v>
      </x:c>
      <x:c r="J579" t="str">
        <x:f>IF(F579=G579,"PASS","OPEN")</x:f>
        <x:v>OPEN</x:v>
      </x:c>
    </x:row>
    <x:row r="580">
      <x:c r="B580" t="str">
        <x:v>PHY-RT-RHP-A2-B2-S2</x:v>
      </x:c>
      <x:c r="C580" t="str">
        <x:v>PHYSICAL</x:v>
      </x:c>
      <x:c r="D580" t="str">
        <x:v>route-segment acceptance</x:v>
      </x:c>
      <x:c r="E580" t="str">
        <x:v>RHP-A2-B2-S2</x:v>
      </x:c>
      <x:c r="F580" t="n">
        <x:f>'Route Gallery'!K40</x:f>
        <x:v>0</x:v>
      </x:c>
      <x:c r="G580" t="n">
        <x:v>1</x:v>
      </x:c>
      <x:c r="H580" t="str">
        <x:v>equals</x:v>
      </x:c>
      <x:c r="I580" t="str">
        <x:v>independent acceptance</x:v>
      </x:c>
      <x:c r="J580" t="str">
        <x:f>IF(F580=G580,"PASS","OPEN")</x:f>
        <x:v>OPEN</x:v>
      </x:c>
    </x:row>
    <x:row r="581">
      <x:c r="B581" t="str">
        <x:v>PHY-RT-RHP-A2-B2-S3</x:v>
      </x:c>
      <x:c r="C581" t="str">
        <x:v>PHYSICAL</x:v>
      </x:c>
      <x:c r="D581" t="str">
        <x:v>route-segment acceptance</x:v>
      </x:c>
      <x:c r="E581" t="str">
        <x:v>RHP-A2-B2-S3</x:v>
      </x:c>
      <x:c r="F581" t="n">
        <x:f>'Route Gallery'!K41</x:f>
        <x:v>0</x:v>
      </x:c>
      <x:c r="G581" t="n">
        <x:v>1</x:v>
      </x:c>
      <x:c r="H581" t="str">
        <x:v>equals</x:v>
      </x:c>
      <x:c r="I581" t="str">
        <x:v>independent acceptance</x:v>
      </x:c>
      <x:c r="J581" t="str">
        <x:f>IF(F581=G581,"PASS","OPEN")</x:f>
        <x:v>OPEN</x:v>
      </x:c>
    </x:row>
    <x:row r="582">
      <x:c r="B582" t="str">
        <x:v>PHY-RT-RHP-A2-B2-S4</x:v>
      </x:c>
      <x:c r="C582" t="str">
        <x:v>PHYSICAL</x:v>
      </x:c>
      <x:c r="D582" t="str">
        <x:v>route-segment acceptance</x:v>
      </x:c>
      <x:c r="E582" t="str">
        <x:v>RHP-A2-B2-S4</x:v>
      </x:c>
      <x:c r="F582" t="n">
        <x:f>'Route Gallery'!K42</x:f>
        <x:v>0</x:v>
      </x:c>
      <x:c r="G582" t="n">
        <x:v>1</x:v>
      </x:c>
      <x:c r="H582" t="str">
        <x:v>equals</x:v>
      </x:c>
      <x:c r="I582" t="str">
        <x:v>independent acceptance</x:v>
      </x:c>
      <x:c r="J582" t="str">
        <x:f>IF(F582=G582,"PASS","OPEN")</x:f>
        <x:v>OPEN</x:v>
      </x:c>
    </x:row>
    <x:row r="583">
      <x:c r="B583" t="str">
        <x:v>PHY-RT-RHP-A2-B2-S5</x:v>
      </x:c>
      <x:c r="C583" t="str">
        <x:v>PHYSICAL</x:v>
      </x:c>
      <x:c r="D583" t="str">
        <x:v>route-segment acceptance</x:v>
      </x:c>
      <x:c r="E583" t="str">
        <x:v>RHP-A2-B2-S5</x:v>
      </x:c>
      <x:c r="F583" t="n">
        <x:f>'Route Gallery'!K43</x:f>
        <x:v>0</x:v>
      </x:c>
      <x:c r="G583" t="n">
        <x:v>1</x:v>
      </x:c>
      <x:c r="H583" t="str">
        <x:v>equals</x:v>
      </x:c>
      <x:c r="I583" t="str">
        <x:v>independent acceptance</x:v>
      </x:c>
      <x:c r="J583" t="str">
        <x:f>IF(F583=G583,"PASS","OPEN")</x:f>
        <x:v>OPEN</x:v>
      </x:c>
    </x:row>
    <x:row r="584">
      <x:c r="B584" t="str">
        <x:v>PHY-RT-RHP-A2-B2-S6</x:v>
      </x:c>
      <x:c r="C584" t="str">
        <x:v>PHYSICAL</x:v>
      </x:c>
      <x:c r="D584" t="str">
        <x:v>route-segment acceptance</x:v>
      </x:c>
      <x:c r="E584" t="str">
        <x:v>RHP-A2-B2-S6</x:v>
      </x:c>
      <x:c r="F584" t="n">
        <x:f>'Route Gallery'!K44</x:f>
        <x:v>0</x:v>
      </x:c>
      <x:c r="G584" t="n">
        <x:v>1</x:v>
      </x:c>
      <x:c r="H584" t="str">
        <x:v>equals</x:v>
      </x:c>
      <x:c r="I584" t="str">
        <x:v>independent acceptance</x:v>
      </x:c>
      <x:c r="J584" t="str">
        <x:f>IF(F584=G584,"PASS","OPEN")</x:f>
        <x:v>OPEN</x:v>
      </x:c>
    </x:row>
    <x:row r="585">
      <x:c r="B585" t="str">
        <x:v>PHY-RT-RHP-A2-B2-S7</x:v>
      </x:c>
      <x:c r="C585" t="str">
        <x:v>PHYSICAL</x:v>
      </x:c>
      <x:c r="D585" t="str">
        <x:v>route-segment acceptance</x:v>
      </x:c>
      <x:c r="E585" t="str">
        <x:v>RHP-A2-B2-S7</x:v>
      </x:c>
      <x:c r="F585" t="n">
        <x:f>'Route Gallery'!K45</x:f>
        <x:v>0</x:v>
      </x:c>
      <x:c r="G585" t="n">
        <x:v>1</x:v>
      </x:c>
      <x:c r="H585" t="str">
        <x:v>equals</x:v>
      </x:c>
      <x:c r="I585" t="str">
        <x:v>independent acceptance</x:v>
      </x:c>
      <x:c r="J585" t="str">
        <x:f>IF(F585=G585,"PASS","OPEN")</x:f>
        <x:v>OPEN</x:v>
      </x:c>
    </x:row>
    <x:row r="586">
      <x:c r="B586" t="str">
        <x:v>PHY-RT-RHP-A2-B2-S8</x:v>
      </x:c>
      <x:c r="C586" t="str">
        <x:v>PHYSICAL</x:v>
      </x:c>
      <x:c r="D586" t="str">
        <x:v>route-segment acceptance</x:v>
      </x:c>
      <x:c r="E586" t="str">
        <x:v>RHP-A2-B2-S8</x:v>
      </x:c>
      <x:c r="F586" t="n">
        <x:f>'Route Gallery'!K46</x:f>
        <x:v>0</x:v>
      </x:c>
      <x:c r="G586" t="n">
        <x:v>1</x:v>
      </x:c>
      <x:c r="H586" t="str">
        <x:v>equals</x:v>
      </x:c>
      <x:c r="I586" t="str">
        <x:v>independent acceptance</x:v>
      </x:c>
      <x:c r="J586" t="str">
        <x:f>IF(F586=G586,"PASS","OPEN")</x:f>
        <x:v>OPEN</x:v>
      </x:c>
    </x:row>
    <x:row r="587">
      <x:c r="B587" t="str">
        <x:v>PHY-RT-RHP-A2-B3-S1</x:v>
      </x:c>
      <x:c r="C587" t="str">
        <x:v>PHYSICAL</x:v>
      </x:c>
      <x:c r="D587" t="str">
        <x:v>route-segment acceptance</x:v>
      </x:c>
      <x:c r="E587" t="str">
        <x:v>RHP-A2-B3-S1</x:v>
      </x:c>
      <x:c r="F587" t="n">
        <x:f>'Route Gallery'!K47</x:f>
        <x:v>0</x:v>
      </x:c>
      <x:c r="G587" t="n">
        <x:v>1</x:v>
      </x:c>
      <x:c r="H587" t="str">
        <x:v>equals</x:v>
      </x:c>
      <x:c r="I587" t="str">
        <x:v>independent acceptance</x:v>
      </x:c>
      <x:c r="J587" t="str">
        <x:f>IF(F587=G587,"PASS","OPEN")</x:f>
        <x:v>OPEN</x:v>
      </x:c>
    </x:row>
    <x:row r="588">
      <x:c r="B588" t="str">
        <x:v>PHY-RT-RHP-A2-B3-S2</x:v>
      </x:c>
      <x:c r="C588" t="str">
        <x:v>PHYSICAL</x:v>
      </x:c>
      <x:c r="D588" t="str">
        <x:v>route-segment acceptance</x:v>
      </x:c>
      <x:c r="E588" t="str">
        <x:v>RHP-A2-B3-S2</x:v>
      </x:c>
      <x:c r="F588" t="n">
        <x:f>'Route Gallery'!K48</x:f>
        <x:v>0</x:v>
      </x:c>
      <x:c r="G588" t="n">
        <x:v>1</x:v>
      </x:c>
      <x:c r="H588" t="str">
        <x:v>equals</x:v>
      </x:c>
      <x:c r="I588" t="str">
        <x:v>independent acceptance</x:v>
      </x:c>
      <x:c r="J588" t="str">
        <x:f>IF(F588=G588,"PASS","OPEN")</x:f>
        <x:v>OPEN</x:v>
      </x:c>
    </x:row>
    <x:row r="589">
      <x:c r="B589" t="str">
        <x:v>PHY-RT-RHP-A2-B3-S3</x:v>
      </x:c>
      <x:c r="C589" t="str">
        <x:v>PHYSICAL</x:v>
      </x:c>
      <x:c r="D589" t="str">
        <x:v>route-segment acceptance</x:v>
      </x:c>
      <x:c r="E589" t="str">
        <x:v>RHP-A2-B3-S3</x:v>
      </x:c>
      <x:c r="F589" t="n">
        <x:f>'Route Gallery'!K49</x:f>
        <x:v>0</x:v>
      </x:c>
      <x:c r="G589" t="n">
        <x:v>1</x:v>
      </x:c>
      <x:c r="H589" t="str">
        <x:v>equals</x:v>
      </x:c>
      <x:c r="I589" t="str">
        <x:v>independent acceptance</x:v>
      </x:c>
      <x:c r="J589" t="str">
        <x:f>IF(F589=G589,"PASS","OPEN")</x:f>
        <x:v>OPEN</x:v>
      </x:c>
    </x:row>
    <x:row r="590">
      <x:c r="B590" t="str">
        <x:v>PHY-RT-RHP-A2-B3-S4</x:v>
      </x:c>
      <x:c r="C590" t="str">
        <x:v>PHYSICAL</x:v>
      </x:c>
      <x:c r="D590" t="str">
        <x:v>route-segment acceptance</x:v>
      </x:c>
      <x:c r="E590" t="str">
        <x:v>RHP-A2-B3-S4</x:v>
      </x:c>
      <x:c r="F590" t="n">
        <x:f>'Route Gallery'!K50</x:f>
        <x:v>0</x:v>
      </x:c>
      <x:c r="G590" t="n">
        <x:v>1</x:v>
      </x:c>
      <x:c r="H590" t="str">
        <x:v>equals</x:v>
      </x:c>
      <x:c r="I590" t="str">
        <x:v>independent acceptance</x:v>
      </x:c>
      <x:c r="J590" t="str">
        <x:f>IF(F590=G590,"PASS","OPEN")</x:f>
        <x:v>OPEN</x:v>
      </x:c>
    </x:row>
    <x:row r="591">
      <x:c r="B591" t="str">
        <x:v>PHY-RT-RHP-A2-B3-S5</x:v>
      </x:c>
      <x:c r="C591" t="str">
        <x:v>PHYSICAL</x:v>
      </x:c>
      <x:c r="D591" t="str">
        <x:v>route-segment acceptance</x:v>
      </x:c>
      <x:c r="E591" t="str">
        <x:v>RHP-A2-B3-S5</x:v>
      </x:c>
      <x:c r="F591" t="n">
        <x:f>'Route Gallery'!K51</x:f>
        <x:v>0</x:v>
      </x:c>
      <x:c r="G591" t="n">
        <x:v>1</x:v>
      </x:c>
      <x:c r="H591" t="str">
        <x:v>equals</x:v>
      </x:c>
      <x:c r="I591" t="str">
        <x:v>independent acceptance</x:v>
      </x:c>
      <x:c r="J591" t="str">
        <x:f>IF(F591=G591,"PASS","OPEN")</x:f>
        <x:v>OPEN</x:v>
      </x:c>
    </x:row>
    <x:row r="592">
      <x:c r="B592" t="str">
        <x:v>PHY-RT-RHP-A2-B3-S6</x:v>
      </x:c>
      <x:c r="C592" t="str">
        <x:v>PHYSICAL</x:v>
      </x:c>
      <x:c r="D592" t="str">
        <x:v>route-segment acceptance</x:v>
      </x:c>
      <x:c r="E592" t="str">
        <x:v>RHP-A2-B3-S6</x:v>
      </x:c>
      <x:c r="F592" t="n">
        <x:f>'Route Gallery'!K52</x:f>
        <x:v>0</x:v>
      </x:c>
      <x:c r="G592" t="n">
        <x:v>1</x:v>
      </x:c>
      <x:c r="H592" t="str">
        <x:v>equals</x:v>
      </x:c>
      <x:c r="I592" t="str">
        <x:v>independent acceptance</x:v>
      </x:c>
      <x:c r="J592" t="str">
        <x:f>IF(F592=G592,"PASS","OPEN")</x:f>
        <x:v>OPEN</x:v>
      </x:c>
    </x:row>
    <x:row r="593">
      <x:c r="B593" t="str">
        <x:v>PHY-RT-RHP-A2-B3-S7</x:v>
      </x:c>
      <x:c r="C593" t="str">
        <x:v>PHYSICAL</x:v>
      </x:c>
      <x:c r="D593" t="str">
        <x:v>route-segment acceptance</x:v>
      </x:c>
      <x:c r="E593" t="str">
        <x:v>RHP-A2-B3-S7</x:v>
      </x:c>
      <x:c r="F593" t="n">
        <x:f>'Route Gallery'!K53</x:f>
        <x:v>0</x:v>
      </x:c>
      <x:c r="G593" t="n">
        <x:v>1</x:v>
      </x:c>
      <x:c r="H593" t="str">
        <x:v>equals</x:v>
      </x:c>
      <x:c r="I593" t="str">
        <x:v>independent acceptance</x:v>
      </x:c>
      <x:c r="J593" t="str">
        <x:f>IF(F593=G593,"PASS","OPEN")</x:f>
        <x:v>OPEN</x:v>
      </x:c>
    </x:row>
    <x:row r="594">
      <x:c r="B594" t="str">
        <x:v>PHY-RT-RHP-A2-B3-S8</x:v>
      </x:c>
      <x:c r="C594" t="str">
        <x:v>PHYSICAL</x:v>
      </x:c>
      <x:c r="D594" t="str">
        <x:v>route-segment acceptance</x:v>
      </x:c>
      <x:c r="E594" t="str">
        <x:v>RHP-A2-B3-S8</x:v>
      </x:c>
      <x:c r="F594" t="n">
        <x:f>'Route Gallery'!K54</x:f>
        <x:v>0</x:v>
      </x:c>
      <x:c r="G594" t="n">
        <x:v>1</x:v>
      </x:c>
      <x:c r="H594" t="str">
        <x:v>equals</x:v>
      </x:c>
      <x:c r="I594" t="str">
        <x:v>independent acceptance</x:v>
      </x:c>
      <x:c r="J594" t="str">
        <x:f>IF(F594=G594,"PASS","OPEN")</x:f>
        <x:v>OPEN</x:v>
      </x:c>
    </x:row>
    <x:row r="595">
      <x:c r="B595" t="str">
        <x:v>PHY-RT-RHP-B1-B1-S1</x:v>
      </x:c>
      <x:c r="C595" t="str">
        <x:v>PHYSICAL</x:v>
      </x:c>
      <x:c r="D595" t="str">
        <x:v>route-segment acceptance</x:v>
      </x:c>
      <x:c r="E595" t="str">
        <x:v>RHP-B1-B1-S1</x:v>
      </x:c>
      <x:c r="F595" t="n">
        <x:f>'Route Gallery'!K55</x:f>
        <x:v>0</x:v>
      </x:c>
      <x:c r="G595" t="n">
        <x:v>1</x:v>
      </x:c>
      <x:c r="H595" t="str">
        <x:v>equals</x:v>
      </x:c>
      <x:c r="I595" t="str">
        <x:v>independent acceptance</x:v>
      </x:c>
      <x:c r="J595" t="str">
        <x:f>IF(F595=G595,"PASS","OPEN")</x:f>
        <x:v>OPEN</x:v>
      </x:c>
    </x:row>
    <x:row r="596">
      <x:c r="B596" t="str">
        <x:v>PHY-RT-RHP-B1-B1-S2</x:v>
      </x:c>
      <x:c r="C596" t="str">
        <x:v>PHYSICAL</x:v>
      </x:c>
      <x:c r="D596" t="str">
        <x:v>route-segment acceptance</x:v>
      </x:c>
      <x:c r="E596" t="str">
        <x:v>RHP-B1-B1-S2</x:v>
      </x:c>
      <x:c r="F596" t="n">
        <x:f>'Route Gallery'!K56</x:f>
        <x:v>0</x:v>
      </x:c>
      <x:c r="G596" t="n">
        <x:v>1</x:v>
      </x:c>
      <x:c r="H596" t="str">
        <x:v>equals</x:v>
      </x:c>
      <x:c r="I596" t="str">
        <x:v>independent acceptance</x:v>
      </x:c>
      <x:c r="J596" t="str">
        <x:f>IF(F596=G596,"PASS","OPEN")</x:f>
        <x:v>OPEN</x:v>
      </x:c>
    </x:row>
    <x:row r="597">
      <x:c r="B597" t="str">
        <x:v>PHY-RT-RHP-B1-B1-S3</x:v>
      </x:c>
      <x:c r="C597" t="str">
        <x:v>PHYSICAL</x:v>
      </x:c>
      <x:c r="D597" t="str">
        <x:v>route-segment acceptance</x:v>
      </x:c>
      <x:c r="E597" t="str">
        <x:v>RHP-B1-B1-S3</x:v>
      </x:c>
      <x:c r="F597" t="n">
        <x:f>'Route Gallery'!K57</x:f>
        <x:v>0</x:v>
      </x:c>
      <x:c r="G597" t="n">
        <x:v>1</x:v>
      </x:c>
      <x:c r="H597" t="str">
        <x:v>equals</x:v>
      </x:c>
      <x:c r="I597" t="str">
        <x:v>independent acceptance</x:v>
      </x:c>
      <x:c r="J597" t="str">
        <x:f>IF(F597=G597,"PASS","OPEN")</x:f>
        <x:v>OPEN</x:v>
      </x:c>
    </x:row>
    <x:row r="598">
      <x:c r="B598" t="str">
        <x:v>PHY-RT-RHP-B1-B1-S4</x:v>
      </x:c>
      <x:c r="C598" t="str">
        <x:v>PHYSICAL</x:v>
      </x:c>
      <x:c r="D598" t="str">
        <x:v>route-segment acceptance</x:v>
      </x:c>
      <x:c r="E598" t="str">
        <x:v>RHP-B1-B1-S4</x:v>
      </x:c>
      <x:c r="F598" t="n">
        <x:f>'Route Gallery'!K58</x:f>
        <x:v>0</x:v>
      </x:c>
      <x:c r="G598" t="n">
        <x:v>1</x:v>
      </x:c>
      <x:c r="H598" t="str">
        <x:v>equals</x:v>
      </x:c>
      <x:c r="I598" t="str">
        <x:v>independent acceptance</x:v>
      </x:c>
      <x:c r="J598" t="str">
        <x:f>IF(F598=G598,"PASS","OPEN")</x:f>
        <x:v>OPEN</x:v>
      </x:c>
    </x:row>
    <x:row r="599">
      <x:c r="B599" t="str">
        <x:v>PHY-RT-RHP-B1-B1-S5</x:v>
      </x:c>
      <x:c r="C599" t="str">
        <x:v>PHYSICAL</x:v>
      </x:c>
      <x:c r="D599" t="str">
        <x:v>route-segment acceptance</x:v>
      </x:c>
      <x:c r="E599" t="str">
        <x:v>RHP-B1-B1-S5</x:v>
      </x:c>
      <x:c r="F599" t="n">
        <x:f>'Route Gallery'!K59</x:f>
        <x:v>0</x:v>
      </x:c>
      <x:c r="G599" t="n">
        <x:v>1</x:v>
      </x:c>
      <x:c r="H599" t="str">
        <x:v>equals</x:v>
      </x:c>
      <x:c r="I599" t="str">
        <x:v>independent acceptance</x:v>
      </x:c>
      <x:c r="J599" t="str">
        <x:f>IF(F599=G599,"PASS","OPEN")</x:f>
        <x:v>OPEN</x:v>
      </x:c>
    </x:row>
    <x:row r="600">
      <x:c r="B600" t="str">
        <x:v>PHY-RT-RHP-B1-B1-S6</x:v>
      </x:c>
      <x:c r="C600" t="str">
        <x:v>PHYSICAL</x:v>
      </x:c>
      <x:c r="D600" t="str">
        <x:v>route-segment acceptance</x:v>
      </x:c>
      <x:c r="E600" t="str">
        <x:v>RHP-B1-B1-S6</x:v>
      </x:c>
      <x:c r="F600" t="n">
        <x:f>'Route Gallery'!K60</x:f>
        <x:v>0</x:v>
      </x:c>
      <x:c r="G600" t="n">
        <x:v>1</x:v>
      </x:c>
      <x:c r="H600" t="str">
        <x:v>equals</x:v>
      </x:c>
      <x:c r="I600" t="str">
        <x:v>independent acceptance</x:v>
      </x:c>
      <x:c r="J600" t="str">
        <x:f>IF(F600=G600,"PASS","OPEN")</x:f>
        <x:v>OPEN</x:v>
      </x:c>
    </x:row>
    <x:row r="601">
      <x:c r="B601" t="str">
        <x:v>PHY-RT-RHP-B1-B1-S7</x:v>
      </x:c>
      <x:c r="C601" t="str">
        <x:v>PHYSICAL</x:v>
      </x:c>
      <x:c r="D601" t="str">
        <x:v>route-segment acceptance</x:v>
      </x:c>
      <x:c r="E601" t="str">
        <x:v>RHP-B1-B1-S7</x:v>
      </x:c>
      <x:c r="F601" t="n">
        <x:f>'Route Gallery'!K61</x:f>
        <x:v>0</x:v>
      </x:c>
      <x:c r="G601" t="n">
        <x:v>1</x:v>
      </x:c>
      <x:c r="H601" t="str">
        <x:v>equals</x:v>
      </x:c>
      <x:c r="I601" t="str">
        <x:v>independent acceptance</x:v>
      </x:c>
      <x:c r="J601" t="str">
        <x:f>IF(F601=G601,"PASS","OPEN")</x:f>
        <x:v>OPEN</x:v>
      </x:c>
    </x:row>
    <x:row r="602">
      <x:c r="B602" t="str">
        <x:v>PHY-RT-RHP-B1-B1-S8</x:v>
      </x:c>
      <x:c r="C602" t="str">
        <x:v>PHYSICAL</x:v>
      </x:c>
      <x:c r="D602" t="str">
        <x:v>route-segment acceptance</x:v>
      </x:c>
      <x:c r="E602" t="str">
        <x:v>RHP-B1-B1-S8</x:v>
      </x:c>
      <x:c r="F602" t="n">
        <x:f>'Route Gallery'!K62</x:f>
        <x:v>0</x:v>
      </x:c>
      <x:c r="G602" t="n">
        <x:v>1</x:v>
      </x:c>
      <x:c r="H602" t="str">
        <x:v>equals</x:v>
      </x:c>
      <x:c r="I602" t="str">
        <x:v>independent acceptance</x:v>
      </x:c>
      <x:c r="J602" t="str">
        <x:f>IF(F602=G602,"PASS","OPEN")</x:f>
        <x:v>OPEN</x:v>
      </x:c>
    </x:row>
    <x:row r="603">
      <x:c r="B603" t="str">
        <x:v>PHY-RT-RHP-B1-B2-S1</x:v>
      </x:c>
      <x:c r="C603" t="str">
        <x:v>PHYSICAL</x:v>
      </x:c>
      <x:c r="D603" t="str">
        <x:v>route-segment acceptance</x:v>
      </x:c>
      <x:c r="E603" t="str">
        <x:v>RHP-B1-B2-S1</x:v>
      </x:c>
      <x:c r="F603" t="n">
        <x:f>'Route Gallery'!K63</x:f>
        <x:v>0</x:v>
      </x:c>
      <x:c r="G603" t="n">
        <x:v>1</x:v>
      </x:c>
      <x:c r="H603" t="str">
        <x:v>equals</x:v>
      </x:c>
      <x:c r="I603" t="str">
        <x:v>independent acceptance</x:v>
      </x:c>
      <x:c r="J603" t="str">
        <x:f>IF(F603=G603,"PASS","OPEN")</x:f>
        <x:v>OPEN</x:v>
      </x:c>
    </x:row>
    <x:row r="604">
      <x:c r="B604" t="str">
        <x:v>PHY-RT-RHP-B1-B2-S2</x:v>
      </x:c>
      <x:c r="C604" t="str">
        <x:v>PHYSICAL</x:v>
      </x:c>
      <x:c r="D604" t="str">
        <x:v>route-segment acceptance</x:v>
      </x:c>
      <x:c r="E604" t="str">
        <x:v>RHP-B1-B2-S2</x:v>
      </x:c>
      <x:c r="F604" t="n">
        <x:f>'Route Gallery'!K64</x:f>
        <x:v>0</x:v>
      </x:c>
      <x:c r="G604" t="n">
        <x:v>1</x:v>
      </x:c>
      <x:c r="H604" t="str">
        <x:v>equals</x:v>
      </x:c>
      <x:c r="I604" t="str">
        <x:v>independent acceptance</x:v>
      </x:c>
      <x:c r="J604" t="str">
        <x:f>IF(F604=G604,"PASS","OPEN")</x:f>
        <x:v>OPEN</x:v>
      </x:c>
    </x:row>
    <x:row r="605">
      <x:c r="B605" t="str">
        <x:v>PHY-RT-RHP-B1-B2-S3</x:v>
      </x:c>
      <x:c r="C605" t="str">
        <x:v>PHYSICAL</x:v>
      </x:c>
      <x:c r="D605" t="str">
        <x:v>route-segment acceptance</x:v>
      </x:c>
      <x:c r="E605" t="str">
        <x:v>RHP-B1-B2-S3</x:v>
      </x:c>
      <x:c r="F605" t="n">
        <x:f>'Route Gallery'!K65</x:f>
        <x:v>0</x:v>
      </x:c>
      <x:c r="G605" t="n">
        <x:v>1</x:v>
      </x:c>
      <x:c r="H605" t="str">
        <x:v>equals</x:v>
      </x:c>
      <x:c r="I605" t="str">
        <x:v>independent acceptance</x:v>
      </x:c>
      <x:c r="J605" t="str">
        <x:f>IF(F605=G605,"PASS","OPEN")</x:f>
        <x:v>OPEN</x:v>
      </x:c>
    </x:row>
    <x:row r="606">
      <x:c r="B606" t="str">
        <x:v>PHY-RT-RHP-B1-B2-S4</x:v>
      </x:c>
      <x:c r="C606" t="str">
        <x:v>PHYSICAL</x:v>
      </x:c>
      <x:c r="D606" t="str">
        <x:v>route-segment acceptance</x:v>
      </x:c>
      <x:c r="E606" t="str">
        <x:v>RHP-B1-B2-S4</x:v>
      </x:c>
      <x:c r="F606" t="n">
        <x:f>'Route Gallery'!K66</x:f>
        <x:v>0</x:v>
      </x:c>
      <x:c r="G606" t="n">
        <x:v>1</x:v>
      </x:c>
      <x:c r="H606" t="str">
        <x:v>equals</x:v>
      </x:c>
      <x:c r="I606" t="str">
        <x:v>independent acceptance</x:v>
      </x:c>
      <x:c r="J606" t="str">
        <x:f>IF(F606=G606,"PASS","OPEN")</x:f>
        <x:v>OPEN</x:v>
      </x:c>
    </x:row>
    <x:row r="607">
      <x:c r="B607" t="str">
        <x:v>PHY-RT-RHP-B1-B2-S5</x:v>
      </x:c>
      <x:c r="C607" t="str">
        <x:v>PHYSICAL</x:v>
      </x:c>
      <x:c r="D607" t="str">
        <x:v>route-segment acceptance</x:v>
      </x:c>
      <x:c r="E607" t="str">
        <x:v>RHP-B1-B2-S5</x:v>
      </x:c>
      <x:c r="F607" t="n">
        <x:f>'Route Gallery'!K67</x:f>
        <x:v>0</x:v>
      </x:c>
      <x:c r="G607" t="n">
        <x:v>1</x:v>
      </x:c>
      <x:c r="H607" t="str">
        <x:v>equals</x:v>
      </x:c>
      <x:c r="I607" t="str">
        <x:v>independent acceptance</x:v>
      </x:c>
      <x:c r="J607" t="str">
        <x:f>IF(F607=G607,"PASS","OPEN")</x:f>
        <x:v>OPEN</x:v>
      </x:c>
    </x:row>
    <x:row r="608">
      <x:c r="B608" t="str">
        <x:v>PHY-RT-RHP-B1-B2-S6</x:v>
      </x:c>
      <x:c r="C608" t="str">
        <x:v>PHYSICAL</x:v>
      </x:c>
      <x:c r="D608" t="str">
        <x:v>route-segment acceptance</x:v>
      </x:c>
      <x:c r="E608" t="str">
        <x:v>RHP-B1-B2-S6</x:v>
      </x:c>
      <x:c r="F608" t="n">
        <x:f>'Route Gallery'!K68</x:f>
        <x:v>0</x:v>
      </x:c>
      <x:c r="G608" t="n">
        <x:v>1</x:v>
      </x:c>
      <x:c r="H608" t="str">
        <x:v>equals</x:v>
      </x:c>
      <x:c r="I608" t="str">
        <x:v>independent acceptance</x:v>
      </x:c>
      <x:c r="J608" t="str">
        <x:f>IF(F608=G608,"PASS","OPEN")</x:f>
        <x:v>OPEN</x:v>
      </x:c>
    </x:row>
    <x:row r="609">
      <x:c r="B609" t="str">
        <x:v>PHY-RT-RHP-B1-B2-S7</x:v>
      </x:c>
      <x:c r="C609" t="str">
        <x:v>PHYSICAL</x:v>
      </x:c>
      <x:c r="D609" t="str">
        <x:v>route-segment acceptance</x:v>
      </x:c>
      <x:c r="E609" t="str">
        <x:v>RHP-B1-B2-S7</x:v>
      </x:c>
      <x:c r="F609" t="n">
        <x:f>'Route Gallery'!K69</x:f>
        <x:v>0</x:v>
      </x:c>
      <x:c r="G609" t="n">
        <x:v>1</x:v>
      </x:c>
      <x:c r="H609" t="str">
        <x:v>equals</x:v>
      </x:c>
      <x:c r="I609" t="str">
        <x:v>independent acceptance</x:v>
      </x:c>
      <x:c r="J609" t="str">
        <x:f>IF(F609=G609,"PASS","OPEN")</x:f>
        <x:v>OPEN</x:v>
      </x:c>
    </x:row>
    <x:row r="610">
      <x:c r="B610" t="str">
        <x:v>PHY-RT-RHP-B1-B2-S8</x:v>
      </x:c>
      <x:c r="C610" t="str">
        <x:v>PHYSICAL</x:v>
      </x:c>
      <x:c r="D610" t="str">
        <x:v>route-segment acceptance</x:v>
      </x:c>
      <x:c r="E610" t="str">
        <x:v>RHP-B1-B2-S8</x:v>
      </x:c>
      <x:c r="F610" t="n">
        <x:f>'Route Gallery'!K70</x:f>
        <x:v>0</x:v>
      </x:c>
      <x:c r="G610" t="n">
        <x:v>1</x:v>
      </x:c>
      <x:c r="H610" t="str">
        <x:v>equals</x:v>
      </x:c>
      <x:c r="I610" t="str">
        <x:v>independent acceptance</x:v>
      </x:c>
      <x:c r="J610" t="str">
        <x:f>IF(F610=G610,"PASS","OPEN")</x:f>
        <x:v>OPEN</x:v>
      </x:c>
    </x:row>
    <x:row r="611">
      <x:c r="B611" t="str">
        <x:v>PHY-RT-RHP-B1-B3-S1</x:v>
      </x:c>
      <x:c r="C611" t="str">
        <x:v>PHYSICAL</x:v>
      </x:c>
      <x:c r="D611" t="str">
        <x:v>route-segment acceptance</x:v>
      </x:c>
      <x:c r="E611" t="str">
        <x:v>RHP-B1-B3-S1</x:v>
      </x:c>
      <x:c r="F611" t="n">
        <x:f>'Route Gallery'!K71</x:f>
        <x:v>0</x:v>
      </x:c>
      <x:c r="G611" t="n">
        <x:v>1</x:v>
      </x:c>
      <x:c r="H611" t="str">
        <x:v>equals</x:v>
      </x:c>
      <x:c r="I611" t="str">
        <x:v>independent acceptance</x:v>
      </x:c>
      <x:c r="J611" t="str">
        <x:f>IF(F611=G611,"PASS","OPEN")</x:f>
        <x:v>OPEN</x:v>
      </x:c>
    </x:row>
    <x:row r="612">
      <x:c r="B612" t="str">
        <x:v>PHY-RT-RHP-B1-B3-S2</x:v>
      </x:c>
      <x:c r="C612" t="str">
        <x:v>PHYSICAL</x:v>
      </x:c>
      <x:c r="D612" t="str">
        <x:v>route-segment acceptance</x:v>
      </x:c>
      <x:c r="E612" t="str">
        <x:v>RHP-B1-B3-S2</x:v>
      </x:c>
      <x:c r="F612" t="n">
        <x:f>'Route Gallery'!K72</x:f>
        <x:v>0</x:v>
      </x:c>
      <x:c r="G612" t="n">
        <x:v>1</x:v>
      </x:c>
      <x:c r="H612" t="str">
        <x:v>equals</x:v>
      </x:c>
      <x:c r="I612" t="str">
        <x:v>independent acceptance</x:v>
      </x:c>
      <x:c r="J612" t="str">
        <x:f>IF(F612=G612,"PASS","OPEN")</x:f>
        <x:v>OPEN</x:v>
      </x:c>
    </x:row>
    <x:row r="613">
      <x:c r="B613" t="str">
        <x:v>PHY-RT-RHP-B1-B3-S3</x:v>
      </x:c>
      <x:c r="C613" t="str">
        <x:v>PHYSICAL</x:v>
      </x:c>
      <x:c r="D613" t="str">
        <x:v>route-segment acceptance</x:v>
      </x:c>
      <x:c r="E613" t="str">
        <x:v>RHP-B1-B3-S3</x:v>
      </x:c>
      <x:c r="F613" t="n">
        <x:f>'Route Gallery'!K73</x:f>
        <x:v>0</x:v>
      </x:c>
      <x:c r="G613" t="n">
        <x:v>1</x:v>
      </x:c>
      <x:c r="H613" t="str">
        <x:v>equals</x:v>
      </x:c>
      <x:c r="I613" t="str">
        <x:v>independent acceptance</x:v>
      </x:c>
      <x:c r="J613" t="str">
        <x:f>IF(F613=G613,"PASS","OPEN")</x:f>
        <x:v>OPEN</x:v>
      </x:c>
    </x:row>
    <x:row r="614">
      <x:c r="B614" t="str">
        <x:v>PHY-RT-RHP-B1-B3-S4</x:v>
      </x:c>
      <x:c r="C614" t="str">
        <x:v>PHYSICAL</x:v>
      </x:c>
      <x:c r="D614" t="str">
        <x:v>route-segment acceptance</x:v>
      </x:c>
      <x:c r="E614" t="str">
        <x:v>RHP-B1-B3-S4</x:v>
      </x:c>
      <x:c r="F614" t="n">
        <x:f>'Route Gallery'!K74</x:f>
        <x:v>0</x:v>
      </x:c>
      <x:c r="G614" t="n">
        <x:v>1</x:v>
      </x:c>
      <x:c r="H614" t="str">
        <x:v>equals</x:v>
      </x:c>
      <x:c r="I614" t="str">
        <x:v>independent acceptance</x:v>
      </x:c>
      <x:c r="J614" t="str">
        <x:f>IF(F614=G614,"PASS","OPEN")</x:f>
        <x:v>OPEN</x:v>
      </x:c>
    </x:row>
    <x:row r="615">
      <x:c r="B615" t="str">
        <x:v>PHY-RT-RHP-B1-B3-S5</x:v>
      </x:c>
      <x:c r="C615" t="str">
        <x:v>PHYSICAL</x:v>
      </x:c>
      <x:c r="D615" t="str">
        <x:v>route-segment acceptance</x:v>
      </x:c>
      <x:c r="E615" t="str">
        <x:v>RHP-B1-B3-S5</x:v>
      </x:c>
      <x:c r="F615" t="n">
        <x:f>'Route Gallery'!K75</x:f>
        <x:v>0</x:v>
      </x:c>
      <x:c r="G615" t="n">
        <x:v>1</x:v>
      </x:c>
      <x:c r="H615" t="str">
        <x:v>equals</x:v>
      </x:c>
      <x:c r="I615" t="str">
        <x:v>independent acceptance</x:v>
      </x:c>
      <x:c r="J615" t="str">
        <x:f>IF(F615=G615,"PASS","OPEN")</x:f>
        <x:v>OPEN</x:v>
      </x:c>
    </x:row>
    <x:row r="616">
      <x:c r="B616" t="str">
        <x:v>PHY-RT-RHP-B1-B3-S6</x:v>
      </x:c>
      <x:c r="C616" t="str">
        <x:v>PHYSICAL</x:v>
      </x:c>
      <x:c r="D616" t="str">
        <x:v>route-segment acceptance</x:v>
      </x:c>
      <x:c r="E616" t="str">
        <x:v>RHP-B1-B3-S6</x:v>
      </x:c>
      <x:c r="F616" t="n">
        <x:f>'Route Gallery'!K76</x:f>
        <x:v>0</x:v>
      </x:c>
      <x:c r="G616" t="n">
        <x:v>1</x:v>
      </x:c>
      <x:c r="H616" t="str">
        <x:v>equals</x:v>
      </x:c>
      <x:c r="I616" t="str">
        <x:v>independent acceptance</x:v>
      </x:c>
      <x:c r="J616" t="str">
        <x:f>IF(F616=G616,"PASS","OPEN")</x:f>
        <x:v>OPEN</x:v>
      </x:c>
    </x:row>
    <x:row r="617">
      <x:c r="B617" t="str">
        <x:v>PHY-RT-RHP-B1-B3-S7</x:v>
      </x:c>
      <x:c r="C617" t="str">
        <x:v>PHYSICAL</x:v>
      </x:c>
      <x:c r="D617" t="str">
        <x:v>route-segment acceptance</x:v>
      </x:c>
      <x:c r="E617" t="str">
        <x:v>RHP-B1-B3-S7</x:v>
      </x:c>
      <x:c r="F617" t="n">
        <x:f>'Route Gallery'!K77</x:f>
        <x:v>0</x:v>
      </x:c>
      <x:c r="G617" t="n">
        <x:v>1</x:v>
      </x:c>
      <x:c r="H617" t="str">
        <x:v>equals</x:v>
      </x:c>
      <x:c r="I617" t="str">
        <x:v>independent acceptance</x:v>
      </x:c>
      <x:c r="J617" t="str">
        <x:f>IF(F617=G617,"PASS","OPEN")</x:f>
        <x:v>OPEN</x:v>
      </x:c>
    </x:row>
    <x:row r="618">
      <x:c r="B618" t="str">
        <x:v>PHY-RT-RHP-B1-B3-S8</x:v>
      </x:c>
      <x:c r="C618" t="str">
        <x:v>PHYSICAL</x:v>
      </x:c>
      <x:c r="D618" t="str">
        <x:v>route-segment acceptance</x:v>
      </x:c>
      <x:c r="E618" t="str">
        <x:v>RHP-B1-B3-S8</x:v>
      </x:c>
      <x:c r="F618" t="n">
        <x:f>'Route Gallery'!K78</x:f>
        <x:v>0</x:v>
      </x:c>
      <x:c r="G618" t="n">
        <x:v>1</x:v>
      </x:c>
      <x:c r="H618" t="str">
        <x:v>equals</x:v>
      </x:c>
      <x:c r="I618" t="str">
        <x:v>independent acceptance</x:v>
      </x:c>
      <x:c r="J618" t="str">
        <x:f>IF(F618=G618,"PASS","OPEN")</x:f>
        <x:v>OPEN</x:v>
      </x:c>
    </x:row>
    <x:row r="619">
      <x:c r="B619" t="str">
        <x:v>PHY-RT-RHP-B2-B1-S1</x:v>
      </x:c>
      <x:c r="C619" t="str">
        <x:v>PHYSICAL</x:v>
      </x:c>
      <x:c r="D619" t="str">
        <x:v>route-segment acceptance</x:v>
      </x:c>
      <x:c r="E619" t="str">
        <x:v>RHP-B2-B1-S1</x:v>
      </x:c>
      <x:c r="F619" t="n">
        <x:f>'Route Gallery'!K79</x:f>
        <x:v>0</x:v>
      </x:c>
      <x:c r="G619" t="n">
        <x:v>1</x:v>
      </x:c>
      <x:c r="H619" t="str">
        <x:v>equals</x:v>
      </x:c>
      <x:c r="I619" t="str">
        <x:v>independent acceptance</x:v>
      </x:c>
      <x:c r="J619" t="str">
        <x:f>IF(F619=G619,"PASS","OPEN")</x:f>
        <x:v>OPEN</x:v>
      </x:c>
    </x:row>
    <x:row r="620">
      <x:c r="B620" t="str">
        <x:v>PHY-RT-RHP-B2-B1-S2</x:v>
      </x:c>
      <x:c r="C620" t="str">
        <x:v>PHYSICAL</x:v>
      </x:c>
      <x:c r="D620" t="str">
        <x:v>route-segment acceptance</x:v>
      </x:c>
      <x:c r="E620" t="str">
        <x:v>RHP-B2-B1-S2</x:v>
      </x:c>
      <x:c r="F620" t="n">
        <x:f>'Route Gallery'!K80</x:f>
        <x:v>0</x:v>
      </x:c>
      <x:c r="G620" t="n">
        <x:v>1</x:v>
      </x:c>
      <x:c r="H620" t="str">
        <x:v>equals</x:v>
      </x:c>
      <x:c r="I620" t="str">
        <x:v>independent acceptance</x:v>
      </x:c>
      <x:c r="J620" t="str">
        <x:f>IF(F620=G620,"PASS","OPEN")</x:f>
        <x:v>OPEN</x:v>
      </x:c>
    </x:row>
    <x:row r="621">
      <x:c r="B621" t="str">
        <x:v>PHY-RT-RHP-B2-B1-S3</x:v>
      </x:c>
      <x:c r="C621" t="str">
        <x:v>PHYSICAL</x:v>
      </x:c>
      <x:c r="D621" t="str">
        <x:v>route-segment acceptance</x:v>
      </x:c>
      <x:c r="E621" t="str">
        <x:v>RHP-B2-B1-S3</x:v>
      </x:c>
      <x:c r="F621" t="n">
        <x:f>'Route Gallery'!K81</x:f>
        <x:v>0</x:v>
      </x:c>
      <x:c r="G621" t="n">
        <x:v>1</x:v>
      </x:c>
      <x:c r="H621" t="str">
        <x:v>equals</x:v>
      </x:c>
      <x:c r="I621" t="str">
        <x:v>independent acceptance</x:v>
      </x:c>
      <x:c r="J621" t="str">
        <x:f>IF(F621=G621,"PASS","OPEN")</x:f>
        <x:v>OPEN</x:v>
      </x:c>
    </x:row>
    <x:row r="622">
      <x:c r="B622" t="str">
        <x:v>PHY-RT-RHP-B2-B1-S4</x:v>
      </x:c>
      <x:c r="C622" t="str">
        <x:v>PHYSICAL</x:v>
      </x:c>
      <x:c r="D622" t="str">
        <x:v>route-segment acceptance</x:v>
      </x:c>
      <x:c r="E622" t="str">
        <x:v>RHP-B2-B1-S4</x:v>
      </x:c>
      <x:c r="F622" t="n">
        <x:f>'Route Gallery'!K82</x:f>
        <x:v>0</x:v>
      </x:c>
      <x:c r="G622" t="n">
        <x:v>1</x:v>
      </x:c>
      <x:c r="H622" t="str">
        <x:v>equals</x:v>
      </x:c>
      <x:c r="I622" t="str">
        <x:v>independent acceptance</x:v>
      </x:c>
      <x:c r="J622" t="str">
        <x:f>IF(F622=G622,"PASS","OPEN")</x:f>
        <x:v>OPEN</x:v>
      </x:c>
    </x:row>
    <x:row r="623">
      <x:c r="B623" t="str">
        <x:v>PHY-RT-RHP-B2-B1-S5</x:v>
      </x:c>
      <x:c r="C623" t="str">
        <x:v>PHYSICAL</x:v>
      </x:c>
      <x:c r="D623" t="str">
        <x:v>route-segment acceptance</x:v>
      </x:c>
      <x:c r="E623" t="str">
        <x:v>RHP-B2-B1-S5</x:v>
      </x:c>
      <x:c r="F623" t="n">
        <x:f>'Route Gallery'!K83</x:f>
        <x:v>0</x:v>
      </x:c>
      <x:c r="G623" t="n">
        <x:v>1</x:v>
      </x:c>
      <x:c r="H623" t="str">
        <x:v>equals</x:v>
      </x:c>
      <x:c r="I623" t="str">
        <x:v>independent acceptance</x:v>
      </x:c>
      <x:c r="J623" t="str">
        <x:f>IF(F623=G623,"PASS","OPEN")</x:f>
        <x:v>OPEN</x:v>
      </x:c>
    </x:row>
    <x:row r="624">
      <x:c r="B624" t="str">
        <x:v>PHY-RT-RHP-B2-B1-S6</x:v>
      </x:c>
      <x:c r="C624" t="str">
        <x:v>PHYSICAL</x:v>
      </x:c>
      <x:c r="D624" t="str">
        <x:v>route-segment acceptance</x:v>
      </x:c>
      <x:c r="E624" t="str">
        <x:v>RHP-B2-B1-S6</x:v>
      </x:c>
      <x:c r="F624" t="n">
        <x:f>'Route Gallery'!K84</x:f>
        <x:v>0</x:v>
      </x:c>
      <x:c r="G624" t="n">
        <x:v>1</x:v>
      </x:c>
      <x:c r="H624" t="str">
        <x:v>equals</x:v>
      </x:c>
      <x:c r="I624" t="str">
        <x:v>independent acceptance</x:v>
      </x:c>
      <x:c r="J624" t="str">
        <x:f>IF(F624=G624,"PASS","OPEN")</x:f>
        <x:v>OPEN</x:v>
      </x:c>
    </x:row>
    <x:row r="625">
      <x:c r="B625" t="str">
        <x:v>PHY-RT-RHP-B2-B1-S7</x:v>
      </x:c>
      <x:c r="C625" t="str">
        <x:v>PHYSICAL</x:v>
      </x:c>
      <x:c r="D625" t="str">
        <x:v>route-segment acceptance</x:v>
      </x:c>
      <x:c r="E625" t="str">
        <x:v>RHP-B2-B1-S7</x:v>
      </x:c>
      <x:c r="F625" t="n">
        <x:f>'Route Gallery'!K85</x:f>
        <x:v>0</x:v>
      </x:c>
      <x:c r="G625" t="n">
        <x:v>1</x:v>
      </x:c>
      <x:c r="H625" t="str">
        <x:v>equals</x:v>
      </x:c>
      <x:c r="I625" t="str">
        <x:v>independent acceptance</x:v>
      </x:c>
      <x:c r="J625" t="str">
        <x:f>IF(F625=G625,"PASS","OPEN")</x:f>
        <x:v>OPEN</x:v>
      </x:c>
    </x:row>
    <x:row r="626">
      <x:c r="B626" t="str">
        <x:v>PHY-RT-RHP-B2-B1-S8</x:v>
      </x:c>
      <x:c r="C626" t="str">
        <x:v>PHYSICAL</x:v>
      </x:c>
      <x:c r="D626" t="str">
        <x:v>route-segment acceptance</x:v>
      </x:c>
      <x:c r="E626" t="str">
        <x:v>RHP-B2-B1-S8</x:v>
      </x:c>
      <x:c r="F626" t="n">
        <x:f>'Route Gallery'!K86</x:f>
        <x:v>0</x:v>
      </x:c>
      <x:c r="G626" t="n">
        <x:v>1</x:v>
      </x:c>
      <x:c r="H626" t="str">
        <x:v>equals</x:v>
      </x:c>
      <x:c r="I626" t="str">
        <x:v>independent acceptance</x:v>
      </x:c>
      <x:c r="J626" t="str">
        <x:f>IF(F626=G626,"PASS","OPEN")</x:f>
        <x:v>OPEN</x:v>
      </x:c>
    </x:row>
    <x:row r="627">
      <x:c r="B627" t="str">
        <x:v>PHY-RT-RHP-B2-B2-S1</x:v>
      </x:c>
      <x:c r="C627" t="str">
        <x:v>PHYSICAL</x:v>
      </x:c>
      <x:c r="D627" t="str">
        <x:v>route-segment acceptance</x:v>
      </x:c>
      <x:c r="E627" t="str">
        <x:v>RHP-B2-B2-S1</x:v>
      </x:c>
      <x:c r="F627" t="n">
        <x:f>'Route Gallery'!K87</x:f>
        <x:v>0</x:v>
      </x:c>
      <x:c r="G627" t="n">
        <x:v>1</x:v>
      </x:c>
      <x:c r="H627" t="str">
        <x:v>equals</x:v>
      </x:c>
      <x:c r="I627" t="str">
        <x:v>independent acceptance</x:v>
      </x:c>
      <x:c r="J627" t="str">
        <x:f>IF(F627=G627,"PASS","OPEN")</x:f>
        <x:v>OPEN</x:v>
      </x:c>
    </x:row>
    <x:row r="628">
      <x:c r="B628" t="str">
        <x:v>PHY-RT-RHP-B2-B2-S2</x:v>
      </x:c>
      <x:c r="C628" t="str">
        <x:v>PHYSICAL</x:v>
      </x:c>
      <x:c r="D628" t="str">
        <x:v>route-segment acceptance</x:v>
      </x:c>
      <x:c r="E628" t="str">
        <x:v>RHP-B2-B2-S2</x:v>
      </x:c>
      <x:c r="F628" t="n">
        <x:f>'Route Gallery'!K88</x:f>
        <x:v>0</x:v>
      </x:c>
      <x:c r="G628" t="n">
        <x:v>1</x:v>
      </x:c>
      <x:c r="H628" t="str">
        <x:v>equals</x:v>
      </x:c>
      <x:c r="I628" t="str">
        <x:v>independent acceptance</x:v>
      </x:c>
      <x:c r="J628" t="str">
        <x:f>IF(F628=G628,"PASS","OPEN")</x:f>
        <x:v>OPEN</x:v>
      </x:c>
    </x:row>
    <x:row r="629">
      <x:c r="B629" t="str">
        <x:v>PHY-RT-RHP-B2-B2-S3</x:v>
      </x:c>
      <x:c r="C629" t="str">
        <x:v>PHYSICAL</x:v>
      </x:c>
      <x:c r="D629" t="str">
        <x:v>route-segment acceptance</x:v>
      </x:c>
      <x:c r="E629" t="str">
        <x:v>RHP-B2-B2-S3</x:v>
      </x:c>
      <x:c r="F629" t="n">
        <x:f>'Route Gallery'!K89</x:f>
        <x:v>0</x:v>
      </x:c>
      <x:c r="G629" t="n">
        <x:v>1</x:v>
      </x:c>
      <x:c r="H629" t="str">
        <x:v>equals</x:v>
      </x:c>
      <x:c r="I629" t="str">
        <x:v>independent acceptance</x:v>
      </x:c>
      <x:c r="J629" t="str">
        <x:f>IF(F629=G629,"PASS","OPEN")</x:f>
        <x:v>OPEN</x:v>
      </x:c>
    </x:row>
    <x:row r="630">
      <x:c r="B630" t="str">
        <x:v>PHY-RT-RHP-B2-B2-S4</x:v>
      </x:c>
      <x:c r="C630" t="str">
        <x:v>PHYSICAL</x:v>
      </x:c>
      <x:c r="D630" t="str">
        <x:v>route-segment acceptance</x:v>
      </x:c>
      <x:c r="E630" t="str">
        <x:v>RHP-B2-B2-S4</x:v>
      </x:c>
      <x:c r="F630" t="n">
        <x:f>'Route Gallery'!K90</x:f>
        <x:v>0</x:v>
      </x:c>
      <x:c r="G630" t="n">
        <x:v>1</x:v>
      </x:c>
      <x:c r="H630" t="str">
        <x:v>equals</x:v>
      </x:c>
      <x:c r="I630" t="str">
        <x:v>independent acceptance</x:v>
      </x:c>
      <x:c r="J630" t="str">
        <x:f>IF(F630=G630,"PASS","OPEN")</x:f>
        <x:v>OPEN</x:v>
      </x:c>
    </x:row>
    <x:row r="631">
      <x:c r="B631" t="str">
        <x:v>PHY-RT-RHP-B2-B2-S5</x:v>
      </x:c>
      <x:c r="C631" t="str">
        <x:v>PHYSICAL</x:v>
      </x:c>
      <x:c r="D631" t="str">
        <x:v>route-segment acceptance</x:v>
      </x:c>
      <x:c r="E631" t="str">
        <x:v>RHP-B2-B2-S5</x:v>
      </x:c>
      <x:c r="F631" t="n">
        <x:f>'Route Gallery'!K91</x:f>
        <x:v>0</x:v>
      </x:c>
      <x:c r="G631" t="n">
        <x:v>1</x:v>
      </x:c>
      <x:c r="H631" t="str">
        <x:v>equals</x:v>
      </x:c>
      <x:c r="I631" t="str">
        <x:v>independent acceptance</x:v>
      </x:c>
      <x:c r="J631" t="str">
        <x:f>IF(F631=G631,"PASS","OPEN")</x:f>
        <x:v>OPEN</x:v>
      </x:c>
    </x:row>
    <x:row r="632">
      <x:c r="B632" t="str">
        <x:v>PHY-RT-RHP-B2-B2-S6</x:v>
      </x:c>
      <x:c r="C632" t="str">
        <x:v>PHYSICAL</x:v>
      </x:c>
      <x:c r="D632" t="str">
        <x:v>route-segment acceptance</x:v>
      </x:c>
      <x:c r="E632" t="str">
        <x:v>RHP-B2-B2-S6</x:v>
      </x:c>
      <x:c r="F632" t="n">
        <x:f>'Route Gallery'!K92</x:f>
        <x:v>0</x:v>
      </x:c>
      <x:c r="G632" t="n">
        <x:v>1</x:v>
      </x:c>
      <x:c r="H632" t="str">
        <x:v>equals</x:v>
      </x:c>
      <x:c r="I632" t="str">
        <x:v>independent acceptance</x:v>
      </x:c>
      <x:c r="J632" t="str">
        <x:f>IF(F632=G632,"PASS","OPEN")</x:f>
        <x:v>OPEN</x:v>
      </x:c>
    </x:row>
    <x:row r="633">
      <x:c r="B633" t="str">
        <x:v>PHY-RT-RHP-B2-B2-S7</x:v>
      </x:c>
      <x:c r="C633" t="str">
        <x:v>PHYSICAL</x:v>
      </x:c>
      <x:c r="D633" t="str">
        <x:v>route-segment acceptance</x:v>
      </x:c>
      <x:c r="E633" t="str">
        <x:v>RHP-B2-B2-S7</x:v>
      </x:c>
      <x:c r="F633" t="n">
        <x:f>'Route Gallery'!K93</x:f>
        <x:v>0</x:v>
      </x:c>
      <x:c r="G633" t="n">
        <x:v>1</x:v>
      </x:c>
      <x:c r="H633" t="str">
        <x:v>equals</x:v>
      </x:c>
      <x:c r="I633" t="str">
        <x:v>independent acceptance</x:v>
      </x:c>
      <x:c r="J633" t="str">
        <x:f>IF(F633=G633,"PASS","OPEN")</x:f>
        <x:v>OPEN</x:v>
      </x:c>
    </x:row>
    <x:row r="634">
      <x:c r="B634" t="str">
        <x:v>PHY-RT-RHP-B2-B2-S8</x:v>
      </x:c>
      <x:c r="C634" t="str">
        <x:v>PHYSICAL</x:v>
      </x:c>
      <x:c r="D634" t="str">
        <x:v>route-segment acceptance</x:v>
      </x:c>
      <x:c r="E634" t="str">
        <x:v>RHP-B2-B2-S8</x:v>
      </x:c>
      <x:c r="F634" t="n">
        <x:f>'Route Gallery'!K94</x:f>
        <x:v>0</x:v>
      </x:c>
      <x:c r="G634" t="n">
        <x:v>1</x:v>
      </x:c>
      <x:c r="H634" t="str">
        <x:v>equals</x:v>
      </x:c>
      <x:c r="I634" t="str">
        <x:v>independent acceptance</x:v>
      </x:c>
      <x:c r="J634" t="str">
        <x:f>IF(F634=G634,"PASS","OPEN")</x:f>
        <x:v>OPEN</x:v>
      </x:c>
    </x:row>
    <x:row r="635">
      <x:c r="B635" t="str">
        <x:v>PHY-RT-RHP-B2-B3-S1</x:v>
      </x:c>
      <x:c r="C635" t="str">
        <x:v>PHYSICAL</x:v>
      </x:c>
      <x:c r="D635" t="str">
        <x:v>route-segment acceptance</x:v>
      </x:c>
      <x:c r="E635" t="str">
        <x:v>RHP-B2-B3-S1</x:v>
      </x:c>
      <x:c r="F635" t="n">
        <x:f>'Route Gallery'!K95</x:f>
        <x:v>0</x:v>
      </x:c>
      <x:c r="G635" t="n">
        <x:v>1</x:v>
      </x:c>
      <x:c r="H635" t="str">
        <x:v>equals</x:v>
      </x:c>
      <x:c r="I635" t="str">
        <x:v>independent acceptance</x:v>
      </x:c>
      <x:c r="J635" t="str">
        <x:f>IF(F635=G635,"PASS","OPEN")</x:f>
        <x:v>OPEN</x:v>
      </x:c>
    </x:row>
    <x:row r="636">
      <x:c r="B636" t="str">
        <x:v>PHY-RT-RHP-B2-B3-S2</x:v>
      </x:c>
      <x:c r="C636" t="str">
        <x:v>PHYSICAL</x:v>
      </x:c>
      <x:c r="D636" t="str">
        <x:v>route-segment acceptance</x:v>
      </x:c>
      <x:c r="E636" t="str">
        <x:v>RHP-B2-B3-S2</x:v>
      </x:c>
      <x:c r="F636" t="n">
        <x:f>'Route Gallery'!K96</x:f>
        <x:v>0</x:v>
      </x:c>
      <x:c r="G636" t="n">
        <x:v>1</x:v>
      </x:c>
      <x:c r="H636" t="str">
        <x:v>equals</x:v>
      </x:c>
      <x:c r="I636" t="str">
        <x:v>independent acceptance</x:v>
      </x:c>
      <x:c r="J636" t="str">
        <x:f>IF(F636=G636,"PASS","OPEN")</x:f>
        <x:v>OPEN</x:v>
      </x:c>
    </x:row>
    <x:row r="637">
      <x:c r="B637" t="str">
        <x:v>PHY-RT-RHP-B2-B3-S3</x:v>
      </x:c>
      <x:c r="C637" t="str">
        <x:v>PHYSICAL</x:v>
      </x:c>
      <x:c r="D637" t="str">
        <x:v>route-segment acceptance</x:v>
      </x:c>
      <x:c r="E637" t="str">
        <x:v>RHP-B2-B3-S3</x:v>
      </x:c>
      <x:c r="F637" t="n">
        <x:f>'Route Gallery'!K97</x:f>
        <x:v>0</x:v>
      </x:c>
      <x:c r="G637" t="n">
        <x:v>1</x:v>
      </x:c>
      <x:c r="H637" t="str">
        <x:v>equals</x:v>
      </x:c>
      <x:c r="I637" t="str">
        <x:v>independent acceptance</x:v>
      </x:c>
      <x:c r="J637" t="str">
        <x:f>IF(F637=G637,"PASS","OPEN")</x:f>
        <x:v>OPEN</x:v>
      </x:c>
    </x:row>
    <x:row r="638">
      <x:c r="B638" t="str">
        <x:v>PHY-RT-RHP-B2-B3-S4</x:v>
      </x:c>
      <x:c r="C638" t="str">
        <x:v>PHYSICAL</x:v>
      </x:c>
      <x:c r="D638" t="str">
        <x:v>route-segment acceptance</x:v>
      </x:c>
      <x:c r="E638" t="str">
        <x:v>RHP-B2-B3-S4</x:v>
      </x:c>
      <x:c r="F638" t="n">
        <x:f>'Route Gallery'!K98</x:f>
        <x:v>0</x:v>
      </x:c>
      <x:c r="G638" t="n">
        <x:v>1</x:v>
      </x:c>
      <x:c r="H638" t="str">
        <x:v>equals</x:v>
      </x:c>
      <x:c r="I638" t="str">
        <x:v>independent acceptance</x:v>
      </x:c>
      <x:c r="J638" t="str">
        <x:f>IF(F638=G638,"PASS","OPEN")</x:f>
        <x:v>OPEN</x:v>
      </x:c>
    </x:row>
    <x:row r="639">
      <x:c r="B639" t="str">
        <x:v>PHY-RT-RHP-B2-B3-S5</x:v>
      </x:c>
      <x:c r="C639" t="str">
        <x:v>PHYSICAL</x:v>
      </x:c>
      <x:c r="D639" t="str">
        <x:v>route-segment acceptance</x:v>
      </x:c>
      <x:c r="E639" t="str">
        <x:v>RHP-B2-B3-S5</x:v>
      </x:c>
      <x:c r="F639" t="n">
        <x:f>'Route Gallery'!K99</x:f>
        <x:v>0</x:v>
      </x:c>
      <x:c r="G639" t="n">
        <x:v>1</x:v>
      </x:c>
      <x:c r="H639" t="str">
        <x:v>equals</x:v>
      </x:c>
      <x:c r="I639" t="str">
        <x:v>independent acceptance</x:v>
      </x:c>
      <x:c r="J639" t="str">
        <x:f>IF(F639=G639,"PASS","OPEN")</x:f>
        <x:v>OPEN</x:v>
      </x:c>
    </x:row>
    <x:row r="640">
      <x:c r="B640" t="str">
        <x:v>PHY-RT-RHP-B2-B3-S6</x:v>
      </x:c>
      <x:c r="C640" t="str">
        <x:v>PHYSICAL</x:v>
      </x:c>
      <x:c r="D640" t="str">
        <x:v>route-segment acceptance</x:v>
      </x:c>
      <x:c r="E640" t="str">
        <x:v>RHP-B2-B3-S6</x:v>
      </x:c>
      <x:c r="F640" t="n">
        <x:f>'Route Gallery'!K100</x:f>
        <x:v>0</x:v>
      </x:c>
      <x:c r="G640" t="n">
        <x:v>1</x:v>
      </x:c>
      <x:c r="H640" t="str">
        <x:v>equals</x:v>
      </x:c>
      <x:c r="I640" t="str">
        <x:v>independent acceptance</x:v>
      </x:c>
      <x:c r="J640" t="str">
        <x:f>IF(F640=G640,"PASS","OPEN")</x:f>
        <x:v>OPEN</x:v>
      </x:c>
    </x:row>
    <x:row r="641">
      <x:c r="B641" t="str">
        <x:v>PHY-RT-RHP-B2-B3-S7</x:v>
      </x:c>
      <x:c r="C641" t="str">
        <x:v>PHYSICAL</x:v>
      </x:c>
      <x:c r="D641" t="str">
        <x:v>route-segment acceptance</x:v>
      </x:c>
      <x:c r="E641" t="str">
        <x:v>RHP-B2-B3-S7</x:v>
      </x:c>
      <x:c r="F641" t="n">
        <x:f>'Route Gallery'!K101</x:f>
        <x:v>0</x:v>
      </x:c>
      <x:c r="G641" t="n">
        <x:v>1</x:v>
      </x:c>
      <x:c r="H641" t="str">
        <x:v>equals</x:v>
      </x:c>
      <x:c r="I641" t="str">
        <x:v>independent acceptance</x:v>
      </x:c>
      <x:c r="J641" t="str">
        <x:f>IF(F641=G641,"PASS","OPEN")</x:f>
        <x:v>OPEN</x:v>
      </x:c>
    </x:row>
    <x:row r="642">
      <x:c r="B642" t="str">
        <x:v>PHY-RT-RHP-B2-B3-S8</x:v>
      </x:c>
      <x:c r="C642" t="str">
        <x:v>PHYSICAL</x:v>
      </x:c>
      <x:c r="D642" t="str">
        <x:v>route-segment acceptance</x:v>
      </x:c>
      <x:c r="E642" t="str">
        <x:v>RHP-B2-B3-S8</x:v>
      </x:c>
      <x:c r="F642" t="n">
        <x:f>'Route Gallery'!K102</x:f>
        <x:v>0</x:v>
      </x:c>
      <x:c r="G642" t="n">
        <x:v>1</x:v>
      </x:c>
      <x:c r="H642" t="str">
        <x:v>equals</x:v>
      </x:c>
      <x:c r="I642" t="str">
        <x:v>independent acceptance</x:v>
      </x:c>
      <x:c r="J642" t="str">
        <x:f>IF(F642=G642,"PASS","OPEN")</x:f>
        <x:v>OPEN</x:v>
      </x:c>
    </x:row>
    <x:row r="643">
      <x:c r="B643" t="str">
        <x:v>PHY-RT-RHP-C1-B1-S1</x:v>
      </x:c>
      <x:c r="C643" t="str">
        <x:v>PHYSICAL</x:v>
      </x:c>
      <x:c r="D643" t="str">
        <x:v>route-segment acceptance</x:v>
      </x:c>
      <x:c r="E643" t="str">
        <x:v>RHP-C1-B1-S1</x:v>
      </x:c>
      <x:c r="F643" t="n">
        <x:f>'Route Gallery'!K103</x:f>
        <x:v>0</x:v>
      </x:c>
      <x:c r="G643" t="n">
        <x:v>1</x:v>
      </x:c>
      <x:c r="H643" t="str">
        <x:v>equals</x:v>
      </x:c>
      <x:c r="I643" t="str">
        <x:v>independent acceptance</x:v>
      </x:c>
      <x:c r="J643" t="str">
        <x:f>IF(F643=G643,"PASS","OPEN")</x:f>
        <x:v>OPEN</x:v>
      </x:c>
    </x:row>
    <x:row r="644">
      <x:c r="B644" t="str">
        <x:v>PHY-RT-RHP-C1-B1-S2</x:v>
      </x:c>
      <x:c r="C644" t="str">
        <x:v>PHYSICAL</x:v>
      </x:c>
      <x:c r="D644" t="str">
        <x:v>route-segment acceptance</x:v>
      </x:c>
      <x:c r="E644" t="str">
        <x:v>RHP-C1-B1-S2</x:v>
      </x:c>
      <x:c r="F644" t="n">
        <x:f>'Route Gallery'!K104</x:f>
        <x:v>0</x:v>
      </x:c>
      <x:c r="G644" t="n">
        <x:v>1</x:v>
      </x:c>
      <x:c r="H644" t="str">
        <x:v>equals</x:v>
      </x:c>
      <x:c r="I644" t="str">
        <x:v>independent acceptance</x:v>
      </x:c>
      <x:c r="J644" t="str">
        <x:f>IF(F644=G644,"PASS","OPEN")</x:f>
        <x:v>OPEN</x:v>
      </x:c>
    </x:row>
    <x:row r="645">
      <x:c r="B645" t="str">
        <x:v>PHY-RT-RHP-C1-B1-S3</x:v>
      </x:c>
      <x:c r="C645" t="str">
        <x:v>PHYSICAL</x:v>
      </x:c>
      <x:c r="D645" t="str">
        <x:v>route-segment acceptance</x:v>
      </x:c>
      <x:c r="E645" t="str">
        <x:v>RHP-C1-B1-S3</x:v>
      </x:c>
      <x:c r="F645" t="n">
        <x:f>'Route Gallery'!K105</x:f>
        <x:v>0</x:v>
      </x:c>
      <x:c r="G645" t="n">
        <x:v>1</x:v>
      </x:c>
      <x:c r="H645" t="str">
        <x:v>equals</x:v>
      </x:c>
      <x:c r="I645" t="str">
        <x:v>independent acceptance</x:v>
      </x:c>
      <x:c r="J645" t="str">
        <x:f>IF(F645=G645,"PASS","OPEN")</x:f>
        <x:v>OPEN</x:v>
      </x:c>
    </x:row>
    <x:row r="646">
      <x:c r="B646" t="str">
        <x:v>PHY-RT-RHP-C1-B1-S4</x:v>
      </x:c>
      <x:c r="C646" t="str">
        <x:v>PHYSICAL</x:v>
      </x:c>
      <x:c r="D646" t="str">
        <x:v>route-segment acceptance</x:v>
      </x:c>
      <x:c r="E646" t="str">
        <x:v>RHP-C1-B1-S4</x:v>
      </x:c>
      <x:c r="F646" t="n">
        <x:f>'Route Gallery'!K106</x:f>
        <x:v>0</x:v>
      </x:c>
      <x:c r="G646" t="n">
        <x:v>1</x:v>
      </x:c>
      <x:c r="H646" t="str">
        <x:v>equals</x:v>
      </x:c>
      <x:c r="I646" t="str">
        <x:v>independent acceptance</x:v>
      </x:c>
      <x:c r="J646" t="str">
        <x:f>IF(F646=G646,"PASS","OPEN")</x:f>
        <x:v>OPEN</x:v>
      </x:c>
    </x:row>
    <x:row r="647">
      <x:c r="B647" t="str">
        <x:v>PHY-RT-RHP-C1-B1-S5</x:v>
      </x:c>
      <x:c r="C647" t="str">
        <x:v>PHYSICAL</x:v>
      </x:c>
      <x:c r="D647" t="str">
        <x:v>route-segment acceptance</x:v>
      </x:c>
      <x:c r="E647" t="str">
        <x:v>RHP-C1-B1-S5</x:v>
      </x:c>
      <x:c r="F647" t="n">
        <x:f>'Route Gallery'!K107</x:f>
        <x:v>0</x:v>
      </x:c>
      <x:c r="G647" t="n">
        <x:v>1</x:v>
      </x:c>
      <x:c r="H647" t="str">
        <x:v>equals</x:v>
      </x:c>
      <x:c r="I647" t="str">
        <x:v>independent acceptance</x:v>
      </x:c>
      <x:c r="J647" t="str">
        <x:f>IF(F647=G647,"PASS","OPEN")</x:f>
        <x:v>OPEN</x:v>
      </x:c>
    </x:row>
    <x:row r="648">
      <x:c r="B648" t="str">
        <x:v>PHY-RT-RHP-C1-B1-S6</x:v>
      </x:c>
      <x:c r="C648" t="str">
        <x:v>PHYSICAL</x:v>
      </x:c>
      <x:c r="D648" t="str">
        <x:v>route-segment acceptance</x:v>
      </x:c>
      <x:c r="E648" t="str">
        <x:v>RHP-C1-B1-S6</x:v>
      </x:c>
      <x:c r="F648" t="n">
        <x:f>'Route Gallery'!K108</x:f>
        <x:v>0</x:v>
      </x:c>
      <x:c r="G648" t="n">
        <x:v>1</x:v>
      </x:c>
      <x:c r="H648" t="str">
        <x:v>equals</x:v>
      </x:c>
      <x:c r="I648" t="str">
        <x:v>independent acceptance</x:v>
      </x:c>
      <x:c r="J648" t="str">
        <x:f>IF(F648=G648,"PASS","OPEN")</x:f>
        <x:v>OPEN</x:v>
      </x:c>
    </x:row>
    <x:row r="649">
      <x:c r="B649" t="str">
        <x:v>PHY-RT-RHP-C1-B1-S7</x:v>
      </x:c>
      <x:c r="C649" t="str">
        <x:v>PHYSICAL</x:v>
      </x:c>
      <x:c r="D649" t="str">
        <x:v>route-segment acceptance</x:v>
      </x:c>
      <x:c r="E649" t="str">
        <x:v>RHP-C1-B1-S7</x:v>
      </x:c>
      <x:c r="F649" t="n">
        <x:f>'Route Gallery'!K109</x:f>
        <x:v>0</x:v>
      </x:c>
      <x:c r="G649" t="n">
        <x:v>1</x:v>
      </x:c>
      <x:c r="H649" t="str">
        <x:v>equals</x:v>
      </x:c>
      <x:c r="I649" t="str">
        <x:v>independent acceptance</x:v>
      </x:c>
      <x:c r="J649" t="str">
        <x:f>IF(F649=G649,"PASS","OPEN")</x:f>
        <x:v>OPEN</x:v>
      </x:c>
    </x:row>
    <x:row r="650">
      <x:c r="B650" t="str">
        <x:v>PHY-RT-RHP-C1-B1-S8</x:v>
      </x:c>
      <x:c r="C650" t="str">
        <x:v>PHYSICAL</x:v>
      </x:c>
      <x:c r="D650" t="str">
        <x:v>route-segment acceptance</x:v>
      </x:c>
      <x:c r="E650" t="str">
        <x:v>RHP-C1-B1-S8</x:v>
      </x:c>
      <x:c r="F650" t="n">
        <x:f>'Route Gallery'!K110</x:f>
        <x:v>0</x:v>
      </x:c>
      <x:c r="G650" t="n">
        <x:v>1</x:v>
      </x:c>
      <x:c r="H650" t="str">
        <x:v>equals</x:v>
      </x:c>
      <x:c r="I650" t="str">
        <x:v>independent acceptance</x:v>
      </x:c>
      <x:c r="J650" t="str">
        <x:f>IF(F650=G650,"PASS","OPEN")</x:f>
        <x:v>OPEN</x:v>
      </x:c>
    </x:row>
    <x:row r="651">
      <x:c r="B651" t="str">
        <x:v>PHY-RT-RHP-C1-B2-S1</x:v>
      </x:c>
      <x:c r="C651" t="str">
        <x:v>PHYSICAL</x:v>
      </x:c>
      <x:c r="D651" t="str">
        <x:v>route-segment acceptance</x:v>
      </x:c>
      <x:c r="E651" t="str">
        <x:v>RHP-C1-B2-S1</x:v>
      </x:c>
      <x:c r="F651" t="n">
        <x:f>'Route Gallery'!K111</x:f>
        <x:v>0</x:v>
      </x:c>
      <x:c r="G651" t="n">
        <x:v>1</x:v>
      </x:c>
      <x:c r="H651" t="str">
        <x:v>equals</x:v>
      </x:c>
      <x:c r="I651" t="str">
        <x:v>independent acceptance</x:v>
      </x:c>
      <x:c r="J651" t="str">
        <x:f>IF(F651=G651,"PASS","OPEN")</x:f>
        <x:v>OPEN</x:v>
      </x:c>
    </x:row>
    <x:row r="652">
      <x:c r="B652" t="str">
        <x:v>PHY-RT-RHP-C1-B2-S2</x:v>
      </x:c>
      <x:c r="C652" t="str">
        <x:v>PHYSICAL</x:v>
      </x:c>
      <x:c r="D652" t="str">
        <x:v>route-segment acceptance</x:v>
      </x:c>
      <x:c r="E652" t="str">
        <x:v>RHP-C1-B2-S2</x:v>
      </x:c>
      <x:c r="F652" t="n">
        <x:f>'Route Gallery'!K112</x:f>
        <x:v>0</x:v>
      </x:c>
      <x:c r="G652" t="n">
        <x:v>1</x:v>
      </x:c>
      <x:c r="H652" t="str">
        <x:v>equals</x:v>
      </x:c>
      <x:c r="I652" t="str">
        <x:v>independent acceptance</x:v>
      </x:c>
      <x:c r="J652" t="str">
        <x:f>IF(F652=G652,"PASS","OPEN")</x:f>
        <x:v>OPEN</x:v>
      </x:c>
    </x:row>
    <x:row r="653">
      <x:c r="B653" t="str">
        <x:v>PHY-RT-RHP-C1-B2-S3</x:v>
      </x:c>
      <x:c r="C653" t="str">
        <x:v>PHYSICAL</x:v>
      </x:c>
      <x:c r="D653" t="str">
        <x:v>route-segment acceptance</x:v>
      </x:c>
      <x:c r="E653" t="str">
        <x:v>RHP-C1-B2-S3</x:v>
      </x:c>
      <x:c r="F653" t="n">
        <x:f>'Route Gallery'!K113</x:f>
        <x:v>0</x:v>
      </x:c>
      <x:c r="G653" t="n">
        <x:v>1</x:v>
      </x:c>
      <x:c r="H653" t="str">
        <x:v>equals</x:v>
      </x:c>
      <x:c r="I653" t="str">
        <x:v>independent acceptance</x:v>
      </x:c>
      <x:c r="J653" t="str">
        <x:f>IF(F653=G653,"PASS","OPEN")</x:f>
        <x:v>OPEN</x:v>
      </x:c>
    </x:row>
    <x:row r="654">
      <x:c r="B654" t="str">
        <x:v>PHY-RT-RHP-C1-B2-S4</x:v>
      </x:c>
      <x:c r="C654" t="str">
        <x:v>PHYSICAL</x:v>
      </x:c>
      <x:c r="D654" t="str">
        <x:v>route-segment acceptance</x:v>
      </x:c>
      <x:c r="E654" t="str">
        <x:v>RHP-C1-B2-S4</x:v>
      </x:c>
      <x:c r="F654" t="n">
        <x:f>'Route Gallery'!K114</x:f>
        <x:v>0</x:v>
      </x:c>
      <x:c r="G654" t="n">
        <x:v>1</x:v>
      </x:c>
      <x:c r="H654" t="str">
        <x:v>equals</x:v>
      </x:c>
      <x:c r="I654" t="str">
        <x:v>independent acceptance</x:v>
      </x:c>
      <x:c r="J654" t="str">
        <x:f>IF(F654=G654,"PASS","OPEN")</x:f>
        <x:v>OPEN</x:v>
      </x:c>
    </x:row>
    <x:row r="655">
      <x:c r="B655" t="str">
        <x:v>PHY-RT-RHP-C1-B2-S5</x:v>
      </x:c>
      <x:c r="C655" t="str">
        <x:v>PHYSICAL</x:v>
      </x:c>
      <x:c r="D655" t="str">
        <x:v>route-segment acceptance</x:v>
      </x:c>
      <x:c r="E655" t="str">
        <x:v>RHP-C1-B2-S5</x:v>
      </x:c>
      <x:c r="F655" t="n">
        <x:f>'Route Gallery'!K115</x:f>
        <x:v>0</x:v>
      </x:c>
      <x:c r="G655" t="n">
        <x:v>1</x:v>
      </x:c>
      <x:c r="H655" t="str">
        <x:v>equals</x:v>
      </x:c>
      <x:c r="I655" t="str">
        <x:v>independent acceptance</x:v>
      </x:c>
      <x:c r="J655" t="str">
        <x:f>IF(F655=G655,"PASS","OPEN")</x:f>
        <x:v>OPEN</x:v>
      </x:c>
    </x:row>
    <x:row r="656">
      <x:c r="B656" t="str">
        <x:v>PHY-RT-RHP-C1-B2-S6</x:v>
      </x:c>
      <x:c r="C656" t="str">
        <x:v>PHYSICAL</x:v>
      </x:c>
      <x:c r="D656" t="str">
        <x:v>route-segment acceptance</x:v>
      </x:c>
      <x:c r="E656" t="str">
        <x:v>RHP-C1-B2-S6</x:v>
      </x:c>
      <x:c r="F656" t="n">
        <x:f>'Route Gallery'!K116</x:f>
        <x:v>0</x:v>
      </x:c>
      <x:c r="G656" t="n">
        <x:v>1</x:v>
      </x:c>
      <x:c r="H656" t="str">
        <x:v>equals</x:v>
      </x:c>
      <x:c r="I656" t="str">
        <x:v>independent acceptance</x:v>
      </x:c>
      <x:c r="J656" t="str">
        <x:f>IF(F656=G656,"PASS","OPEN")</x:f>
        <x:v>OPEN</x:v>
      </x:c>
    </x:row>
    <x:row r="657">
      <x:c r="B657" t="str">
        <x:v>PHY-RT-RHP-C1-B2-S7</x:v>
      </x:c>
      <x:c r="C657" t="str">
        <x:v>PHYSICAL</x:v>
      </x:c>
      <x:c r="D657" t="str">
        <x:v>route-segment acceptance</x:v>
      </x:c>
      <x:c r="E657" t="str">
        <x:v>RHP-C1-B2-S7</x:v>
      </x:c>
      <x:c r="F657" t="n">
        <x:f>'Route Gallery'!K117</x:f>
        <x:v>0</x:v>
      </x:c>
      <x:c r="G657" t="n">
        <x:v>1</x:v>
      </x:c>
      <x:c r="H657" t="str">
        <x:v>equals</x:v>
      </x:c>
      <x:c r="I657" t="str">
        <x:v>independent acceptance</x:v>
      </x:c>
      <x:c r="J657" t="str">
        <x:f>IF(F657=G657,"PASS","OPEN")</x:f>
        <x:v>OPEN</x:v>
      </x:c>
    </x:row>
    <x:row r="658">
      <x:c r="B658" t="str">
        <x:v>PHY-RT-RHP-C1-B2-S8</x:v>
      </x:c>
      <x:c r="C658" t="str">
        <x:v>PHYSICAL</x:v>
      </x:c>
      <x:c r="D658" t="str">
        <x:v>route-segment acceptance</x:v>
      </x:c>
      <x:c r="E658" t="str">
        <x:v>RHP-C1-B2-S8</x:v>
      </x:c>
      <x:c r="F658" t="n">
        <x:f>'Route Gallery'!K118</x:f>
        <x:v>0</x:v>
      </x:c>
      <x:c r="G658" t="n">
        <x:v>1</x:v>
      </x:c>
      <x:c r="H658" t="str">
        <x:v>equals</x:v>
      </x:c>
      <x:c r="I658" t="str">
        <x:v>independent acceptance</x:v>
      </x:c>
      <x:c r="J658" t="str">
        <x:f>IF(F658=G658,"PASS","OPEN")</x:f>
        <x:v>OPEN</x:v>
      </x:c>
    </x:row>
    <x:row r="659">
      <x:c r="B659" t="str">
        <x:v>PHY-RT-RHP-C1-B3-S1</x:v>
      </x:c>
      <x:c r="C659" t="str">
        <x:v>PHYSICAL</x:v>
      </x:c>
      <x:c r="D659" t="str">
        <x:v>route-segment acceptance</x:v>
      </x:c>
      <x:c r="E659" t="str">
        <x:v>RHP-C1-B3-S1</x:v>
      </x:c>
      <x:c r="F659" t="n">
        <x:f>'Route Gallery'!K119</x:f>
        <x:v>0</x:v>
      </x:c>
      <x:c r="G659" t="n">
        <x:v>1</x:v>
      </x:c>
      <x:c r="H659" t="str">
        <x:v>equals</x:v>
      </x:c>
      <x:c r="I659" t="str">
        <x:v>independent acceptance</x:v>
      </x:c>
      <x:c r="J659" t="str">
        <x:f>IF(F659=G659,"PASS","OPEN")</x:f>
        <x:v>OPEN</x:v>
      </x:c>
    </x:row>
    <x:row r="660">
      <x:c r="B660" t="str">
        <x:v>PHY-RT-RHP-C1-B3-S2</x:v>
      </x:c>
      <x:c r="C660" t="str">
        <x:v>PHYSICAL</x:v>
      </x:c>
      <x:c r="D660" t="str">
        <x:v>route-segment acceptance</x:v>
      </x:c>
      <x:c r="E660" t="str">
        <x:v>RHP-C1-B3-S2</x:v>
      </x:c>
      <x:c r="F660" t="n">
        <x:f>'Route Gallery'!K120</x:f>
        <x:v>0</x:v>
      </x:c>
      <x:c r="G660" t="n">
        <x:v>1</x:v>
      </x:c>
      <x:c r="H660" t="str">
        <x:v>equals</x:v>
      </x:c>
      <x:c r="I660" t="str">
        <x:v>independent acceptance</x:v>
      </x:c>
      <x:c r="J660" t="str">
        <x:f>IF(F660=G660,"PASS","OPEN")</x:f>
        <x:v>OPEN</x:v>
      </x:c>
    </x:row>
    <x:row r="661">
      <x:c r="B661" t="str">
        <x:v>PHY-RT-RHP-C1-B3-S3</x:v>
      </x:c>
      <x:c r="C661" t="str">
        <x:v>PHYSICAL</x:v>
      </x:c>
      <x:c r="D661" t="str">
        <x:v>route-segment acceptance</x:v>
      </x:c>
      <x:c r="E661" t="str">
        <x:v>RHP-C1-B3-S3</x:v>
      </x:c>
      <x:c r="F661" t="n">
        <x:f>'Route Gallery'!K121</x:f>
        <x:v>0</x:v>
      </x:c>
      <x:c r="G661" t="n">
        <x:v>1</x:v>
      </x:c>
      <x:c r="H661" t="str">
        <x:v>equals</x:v>
      </x:c>
      <x:c r="I661" t="str">
        <x:v>independent acceptance</x:v>
      </x:c>
      <x:c r="J661" t="str">
        <x:f>IF(F661=G661,"PASS","OPEN")</x:f>
        <x:v>OPEN</x:v>
      </x:c>
    </x:row>
    <x:row r="662">
      <x:c r="B662" t="str">
        <x:v>PHY-RT-RHP-C1-B3-S4</x:v>
      </x:c>
      <x:c r="C662" t="str">
        <x:v>PHYSICAL</x:v>
      </x:c>
      <x:c r="D662" t="str">
        <x:v>route-segment acceptance</x:v>
      </x:c>
      <x:c r="E662" t="str">
        <x:v>RHP-C1-B3-S4</x:v>
      </x:c>
      <x:c r="F662" t="n">
        <x:f>'Route Gallery'!K122</x:f>
        <x:v>0</x:v>
      </x:c>
      <x:c r="G662" t="n">
        <x:v>1</x:v>
      </x:c>
      <x:c r="H662" t="str">
        <x:v>equals</x:v>
      </x:c>
      <x:c r="I662" t="str">
        <x:v>independent acceptance</x:v>
      </x:c>
      <x:c r="J662" t="str">
        <x:f>IF(F662=G662,"PASS","OPEN")</x:f>
        <x:v>OPEN</x:v>
      </x:c>
    </x:row>
    <x:row r="663">
      <x:c r="B663" t="str">
        <x:v>PHY-RT-RHP-C1-B3-S5</x:v>
      </x:c>
      <x:c r="C663" t="str">
        <x:v>PHYSICAL</x:v>
      </x:c>
      <x:c r="D663" t="str">
        <x:v>route-segment acceptance</x:v>
      </x:c>
      <x:c r="E663" t="str">
        <x:v>RHP-C1-B3-S5</x:v>
      </x:c>
      <x:c r="F663" t="n">
        <x:f>'Route Gallery'!K123</x:f>
        <x:v>0</x:v>
      </x:c>
      <x:c r="G663" t="n">
        <x:v>1</x:v>
      </x:c>
      <x:c r="H663" t="str">
        <x:v>equals</x:v>
      </x:c>
      <x:c r="I663" t="str">
        <x:v>independent acceptance</x:v>
      </x:c>
      <x:c r="J663" t="str">
        <x:f>IF(F663=G663,"PASS","OPEN")</x:f>
        <x:v>OPEN</x:v>
      </x:c>
    </x:row>
    <x:row r="664">
      <x:c r="B664" t="str">
        <x:v>PHY-RT-RHP-C1-B3-S6</x:v>
      </x:c>
      <x:c r="C664" t="str">
        <x:v>PHYSICAL</x:v>
      </x:c>
      <x:c r="D664" t="str">
        <x:v>route-segment acceptance</x:v>
      </x:c>
      <x:c r="E664" t="str">
        <x:v>RHP-C1-B3-S6</x:v>
      </x:c>
      <x:c r="F664" t="n">
        <x:f>'Route Gallery'!K124</x:f>
        <x:v>0</x:v>
      </x:c>
      <x:c r="G664" t="n">
        <x:v>1</x:v>
      </x:c>
      <x:c r="H664" t="str">
        <x:v>equals</x:v>
      </x:c>
      <x:c r="I664" t="str">
        <x:v>independent acceptance</x:v>
      </x:c>
      <x:c r="J664" t="str">
        <x:f>IF(F664=G664,"PASS","OPEN")</x:f>
        <x:v>OPEN</x:v>
      </x:c>
    </x:row>
    <x:row r="665">
      <x:c r="B665" t="str">
        <x:v>PHY-RT-RHP-C1-B3-S7</x:v>
      </x:c>
      <x:c r="C665" t="str">
        <x:v>PHYSICAL</x:v>
      </x:c>
      <x:c r="D665" t="str">
        <x:v>route-segment acceptance</x:v>
      </x:c>
      <x:c r="E665" t="str">
        <x:v>RHP-C1-B3-S7</x:v>
      </x:c>
      <x:c r="F665" t="n">
        <x:f>'Route Gallery'!K125</x:f>
        <x:v>0</x:v>
      </x:c>
      <x:c r="G665" t="n">
        <x:v>1</x:v>
      </x:c>
      <x:c r="H665" t="str">
        <x:v>equals</x:v>
      </x:c>
      <x:c r="I665" t="str">
        <x:v>independent acceptance</x:v>
      </x:c>
      <x:c r="J665" t="str">
        <x:f>IF(F665=G665,"PASS","OPEN")</x:f>
        <x:v>OPEN</x:v>
      </x:c>
    </x:row>
    <x:row r="666">
      <x:c r="B666" t="str">
        <x:v>PHY-RT-RHP-C1-B3-S8</x:v>
      </x:c>
      <x:c r="C666" t="str">
        <x:v>PHYSICAL</x:v>
      </x:c>
      <x:c r="D666" t="str">
        <x:v>route-segment acceptance</x:v>
      </x:c>
      <x:c r="E666" t="str">
        <x:v>RHP-C1-B3-S8</x:v>
      </x:c>
      <x:c r="F666" t="n">
        <x:f>'Route Gallery'!K126</x:f>
        <x:v>0</x:v>
      </x:c>
      <x:c r="G666" t="n">
        <x:v>1</x:v>
      </x:c>
      <x:c r="H666" t="str">
        <x:v>equals</x:v>
      </x:c>
      <x:c r="I666" t="str">
        <x:v>independent acceptance</x:v>
      </x:c>
      <x:c r="J666" t="str">
        <x:f>IF(F666=G666,"PASS","OPEN")</x:f>
        <x:v>OPEN</x:v>
      </x:c>
    </x:row>
    <x:row r="667">
      <x:c r="B667" t="str">
        <x:v>PHY-RT-RHP-C2-B1-S1</x:v>
      </x:c>
      <x:c r="C667" t="str">
        <x:v>PHYSICAL</x:v>
      </x:c>
      <x:c r="D667" t="str">
        <x:v>route-segment acceptance</x:v>
      </x:c>
      <x:c r="E667" t="str">
        <x:v>RHP-C2-B1-S1</x:v>
      </x:c>
      <x:c r="F667" t="n">
        <x:f>'Route Gallery'!K127</x:f>
        <x:v>0</x:v>
      </x:c>
      <x:c r="G667" t="n">
        <x:v>1</x:v>
      </x:c>
      <x:c r="H667" t="str">
        <x:v>equals</x:v>
      </x:c>
      <x:c r="I667" t="str">
        <x:v>independent acceptance</x:v>
      </x:c>
      <x:c r="J667" t="str">
        <x:f>IF(F667=G667,"PASS","OPEN")</x:f>
        <x:v>OPEN</x:v>
      </x:c>
    </x:row>
    <x:row r="668">
      <x:c r="B668" t="str">
        <x:v>PHY-RT-RHP-C2-B1-S2</x:v>
      </x:c>
      <x:c r="C668" t="str">
        <x:v>PHYSICAL</x:v>
      </x:c>
      <x:c r="D668" t="str">
        <x:v>route-segment acceptance</x:v>
      </x:c>
      <x:c r="E668" t="str">
        <x:v>RHP-C2-B1-S2</x:v>
      </x:c>
      <x:c r="F668" t="n">
        <x:f>'Route Gallery'!K128</x:f>
        <x:v>0</x:v>
      </x:c>
      <x:c r="G668" t="n">
        <x:v>1</x:v>
      </x:c>
      <x:c r="H668" t="str">
        <x:v>equals</x:v>
      </x:c>
      <x:c r="I668" t="str">
        <x:v>independent acceptance</x:v>
      </x:c>
      <x:c r="J668" t="str">
        <x:f>IF(F668=G668,"PASS","OPEN")</x:f>
        <x:v>OPEN</x:v>
      </x:c>
    </x:row>
    <x:row r="669">
      <x:c r="B669" t="str">
        <x:v>PHY-RT-RHP-C2-B1-S3</x:v>
      </x:c>
      <x:c r="C669" t="str">
        <x:v>PHYSICAL</x:v>
      </x:c>
      <x:c r="D669" t="str">
        <x:v>route-segment acceptance</x:v>
      </x:c>
      <x:c r="E669" t="str">
        <x:v>RHP-C2-B1-S3</x:v>
      </x:c>
      <x:c r="F669" t="n">
        <x:f>'Route Gallery'!K129</x:f>
        <x:v>0</x:v>
      </x:c>
      <x:c r="G669" t="n">
        <x:v>1</x:v>
      </x:c>
      <x:c r="H669" t="str">
        <x:v>equals</x:v>
      </x:c>
      <x:c r="I669" t="str">
        <x:v>independent acceptance</x:v>
      </x:c>
      <x:c r="J669" t="str">
        <x:f>IF(F669=G669,"PASS","OPEN")</x:f>
        <x:v>OPEN</x:v>
      </x:c>
    </x:row>
    <x:row r="670">
      <x:c r="B670" t="str">
        <x:v>PHY-RT-RHP-C2-B1-S4</x:v>
      </x:c>
      <x:c r="C670" t="str">
        <x:v>PHYSICAL</x:v>
      </x:c>
      <x:c r="D670" t="str">
        <x:v>route-segment acceptance</x:v>
      </x:c>
      <x:c r="E670" t="str">
        <x:v>RHP-C2-B1-S4</x:v>
      </x:c>
      <x:c r="F670" t="n">
        <x:f>'Route Gallery'!K130</x:f>
        <x:v>0</x:v>
      </x:c>
      <x:c r="G670" t="n">
        <x:v>1</x:v>
      </x:c>
      <x:c r="H670" t="str">
        <x:v>equals</x:v>
      </x:c>
      <x:c r="I670" t="str">
        <x:v>independent acceptance</x:v>
      </x:c>
      <x:c r="J670" t="str">
        <x:f>IF(F670=G670,"PASS","OPEN")</x:f>
        <x:v>OPEN</x:v>
      </x:c>
    </x:row>
    <x:row r="671">
      <x:c r="B671" t="str">
        <x:v>PHY-RT-RHP-C2-B1-S5</x:v>
      </x:c>
      <x:c r="C671" t="str">
        <x:v>PHYSICAL</x:v>
      </x:c>
      <x:c r="D671" t="str">
        <x:v>route-segment acceptance</x:v>
      </x:c>
      <x:c r="E671" t="str">
        <x:v>RHP-C2-B1-S5</x:v>
      </x:c>
      <x:c r="F671" t="n">
        <x:f>'Route Gallery'!K131</x:f>
        <x:v>0</x:v>
      </x:c>
      <x:c r="G671" t="n">
        <x:v>1</x:v>
      </x:c>
      <x:c r="H671" t="str">
        <x:v>equals</x:v>
      </x:c>
      <x:c r="I671" t="str">
        <x:v>independent acceptance</x:v>
      </x:c>
      <x:c r="J671" t="str">
        <x:f>IF(F671=G671,"PASS","OPEN")</x:f>
        <x:v>OPEN</x:v>
      </x:c>
    </x:row>
    <x:row r="672">
      <x:c r="B672" t="str">
        <x:v>PHY-RT-RHP-C2-B1-S6</x:v>
      </x:c>
      <x:c r="C672" t="str">
        <x:v>PHYSICAL</x:v>
      </x:c>
      <x:c r="D672" t="str">
        <x:v>route-segment acceptance</x:v>
      </x:c>
      <x:c r="E672" t="str">
        <x:v>RHP-C2-B1-S6</x:v>
      </x:c>
      <x:c r="F672" t="n">
        <x:f>'Route Gallery'!K132</x:f>
        <x:v>0</x:v>
      </x:c>
      <x:c r="G672" t="n">
        <x:v>1</x:v>
      </x:c>
      <x:c r="H672" t="str">
        <x:v>equals</x:v>
      </x:c>
      <x:c r="I672" t="str">
        <x:v>independent acceptance</x:v>
      </x:c>
      <x:c r="J672" t="str">
        <x:f>IF(F672=G672,"PASS","OPEN")</x:f>
        <x:v>OPEN</x:v>
      </x:c>
    </x:row>
    <x:row r="673">
      <x:c r="B673" t="str">
        <x:v>PHY-RT-RHP-C2-B1-S7</x:v>
      </x:c>
      <x:c r="C673" t="str">
        <x:v>PHYSICAL</x:v>
      </x:c>
      <x:c r="D673" t="str">
        <x:v>route-segment acceptance</x:v>
      </x:c>
      <x:c r="E673" t="str">
        <x:v>RHP-C2-B1-S7</x:v>
      </x:c>
      <x:c r="F673" t="n">
        <x:f>'Route Gallery'!K133</x:f>
        <x:v>0</x:v>
      </x:c>
      <x:c r="G673" t="n">
        <x:v>1</x:v>
      </x:c>
      <x:c r="H673" t="str">
        <x:v>equals</x:v>
      </x:c>
      <x:c r="I673" t="str">
        <x:v>independent acceptance</x:v>
      </x:c>
      <x:c r="J673" t="str">
        <x:f>IF(F673=G673,"PASS","OPEN")</x:f>
        <x:v>OPEN</x:v>
      </x:c>
    </x:row>
    <x:row r="674">
      <x:c r="B674" t="str">
        <x:v>PHY-RT-RHP-C2-B1-S8</x:v>
      </x:c>
      <x:c r="C674" t="str">
        <x:v>PHYSICAL</x:v>
      </x:c>
      <x:c r="D674" t="str">
        <x:v>route-segment acceptance</x:v>
      </x:c>
      <x:c r="E674" t="str">
        <x:v>RHP-C2-B1-S8</x:v>
      </x:c>
      <x:c r="F674" t="n">
        <x:f>'Route Gallery'!K134</x:f>
        <x:v>0</x:v>
      </x:c>
      <x:c r="G674" t="n">
        <x:v>1</x:v>
      </x:c>
      <x:c r="H674" t="str">
        <x:v>equals</x:v>
      </x:c>
      <x:c r="I674" t="str">
        <x:v>independent acceptance</x:v>
      </x:c>
      <x:c r="J674" t="str">
        <x:f>IF(F674=G674,"PASS","OPEN")</x:f>
        <x:v>OPEN</x:v>
      </x:c>
    </x:row>
    <x:row r="675">
      <x:c r="B675" t="str">
        <x:v>PHY-RT-RHP-C2-B2-S1</x:v>
      </x:c>
      <x:c r="C675" t="str">
        <x:v>PHYSICAL</x:v>
      </x:c>
      <x:c r="D675" t="str">
        <x:v>route-segment acceptance</x:v>
      </x:c>
      <x:c r="E675" t="str">
        <x:v>RHP-C2-B2-S1</x:v>
      </x:c>
      <x:c r="F675" t="n">
        <x:f>'Route Gallery'!K135</x:f>
        <x:v>0</x:v>
      </x:c>
      <x:c r="G675" t="n">
        <x:v>1</x:v>
      </x:c>
      <x:c r="H675" t="str">
        <x:v>equals</x:v>
      </x:c>
      <x:c r="I675" t="str">
        <x:v>independent acceptance</x:v>
      </x:c>
      <x:c r="J675" t="str">
        <x:f>IF(F675=G675,"PASS","OPEN")</x:f>
        <x:v>OPEN</x:v>
      </x:c>
    </x:row>
    <x:row r="676">
      <x:c r="B676" t="str">
        <x:v>PHY-RT-RHP-C2-B2-S2</x:v>
      </x:c>
      <x:c r="C676" t="str">
        <x:v>PHYSICAL</x:v>
      </x:c>
      <x:c r="D676" t="str">
        <x:v>route-segment acceptance</x:v>
      </x:c>
      <x:c r="E676" t="str">
        <x:v>RHP-C2-B2-S2</x:v>
      </x:c>
      <x:c r="F676" t="n">
        <x:f>'Route Gallery'!K136</x:f>
        <x:v>0</x:v>
      </x:c>
      <x:c r="G676" t="n">
        <x:v>1</x:v>
      </x:c>
      <x:c r="H676" t="str">
        <x:v>equals</x:v>
      </x:c>
      <x:c r="I676" t="str">
        <x:v>independent acceptance</x:v>
      </x:c>
      <x:c r="J676" t="str">
        <x:f>IF(F676=G676,"PASS","OPEN")</x:f>
        <x:v>OPEN</x:v>
      </x:c>
    </x:row>
    <x:row r="677">
      <x:c r="B677" t="str">
        <x:v>PHY-RT-RHP-C2-B2-S3</x:v>
      </x:c>
      <x:c r="C677" t="str">
        <x:v>PHYSICAL</x:v>
      </x:c>
      <x:c r="D677" t="str">
        <x:v>route-segment acceptance</x:v>
      </x:c>
      <x:c r="E677" t="str">
        <x:v>RHP-C2-B2-S3</x:v>
      </x:c>
      <x:c r="F677" t="n">
        <x:f>'Route Gallery'!K137</x:f>
        <x:v>0</x:v>
      </x:c>
      <x:c r="G677" t="n">
        <x:v>1</x:v>
      </x:c>
      <x:c r="H677" t="str">
        <x:v>equals</x:v>
      </x:c>
      <x:c r="I677" t="str">
        <x:v>independent acceptance</x:v>
      </x:c>
      <x:c r="J677" t="str">
        <x:f>IF(F677=G677,"PASS","OPEN")</x:f>
        <x:v>OPEN</x:v>
      </x:c>
    </x:row>
    <x:row r="678">
      <x:c r="B678" t="str">
        <x:v>PHY-RT-RHP-C2-B2-S4</x:v>
      </x:c>
      <x:c r="C678" t="str">
        <x:v>PHYSICAL</x:v>
      </x:c>
      <x:c r="D678" t="str">
        <x:v>route-segment acceptance</x:v>
      </x:c>
      <x:c r="E678" t="str">
        <x:v>RHP-C2-B2-S4</x:v>
      </x:c>
      <x:c r="F678" t="n">
        <x:f>'Route Gallery'!K138</x:f>
        <x:v>0</x:v>
      </x:c>
      <x:c r="G678" t="n">
        <x:v>1</x:v>
      </x:c>
      <x:c r="H678" t="str">
        <x:v>equals</x:v>
      </x:c>
      <x:c r="I678" t="str">
        <x:v>independent acceptance</x:v>
      </x:c>
      <x:c r="J678" t="str">
        <x:f>IF(F678=G678,"PASS","OPEN")</x:f>
        <x:v>OPEN</x:v>
      </x:c>
    </x:row>
    <x:row r="679">
      <x:c r="B679" t="str">
        <x:v>PHY-RT-RHP-C2-B2-S5</x:v>
      </x:c>
      <x:c r="C679" t="str">
        <x:v>PHYSICAL</x:v>
      </x:c>
      <x:c r="D679" t="str">
        <x:v>route-segment acceptance</x:v>
      </x:c>
      <x:c r="E679" t="str">
        <x:v>RHP-C2-B2-S5</x:v>
      </x:c>
      <x:c r="F679" t="n">
        <x:f>'Route Gallery'!K139</x:f>
        <x:v>0</x:v>
      </x:c>
      <x:c r="G679" t="n">
        <x:v>1</x:v>
      </x:c>
      <x:c r="H679" t="str">
        <x:v>equals</x:v>
      </x:c>
      <x:c r="I679" t="str">
        <x:v>independent acceptance</x:v>
      </x:c>
      <x:c r="J679" t="str">
        <x:f>IF(F679=G679,"PASS","OPEN")</x:f>
        <x:v>OPEN</x:v>
      </x:c>
    </x:row>
    <x:row r="680">
      <x:c r="B680" t="str">
        <x:v>PHY-RT-RHP-C2-B2-S6</x:v>
      </x:c>
      <x:c r="C680" t="str">
        <x:v>PHYSICAL</x:v>
      </x:c>
      <x:c r="D680" t="str">
        <x:v>route-segment acceptance</x:v>
      </x:c>
      <x:c r="E680" t="str">
        <x:v>RHP-C2-B2-S6</x:v>
      </x:c>
      <x:c r="F680" t="n">
        <x:f>'Route Gallery'!K140</x:f>
        <x:v>0</x:v>
      </x:c>
      <x:c r="G680" t="n">
        <x:v>1</x:v>
      </x:c>
      <x:c r="H680" t="str">
        <x:v>equals</x:v>
      </x:c>
      <x:c r="I680" t="str">
        <x:v>independent acceptance</x:v>
      </x:c>
      <x:c r="J680" t="str">
        <x:f>IF(F680=G680,"PASS","OPEN")</x:f>
        <x:v>OPEN</x:v>
      </x:c>
    </x:row>
    <x:row r="681">
      <x:c r="B681" t="str">
        <x:v>PHY-RT-RHP-C2-B2-S7</x:v>
      </x:c>
      <x:c r="C681" t="str">
        <x:v>PHYSICAL</x:v>
      </x:c>
      <x:c r="D681" t="str">
        <x:v>route-segment acceptance</x:v>
      </x:c>
      <x:c r="E681" t="str">
        <x:v>RHP-C2-B2-S7</x:v>
      </x:c>
      <x:c r="F681" t="n">
        <x:f>'Route Gallery'!K141</x:f>
        <x:v>0</x:v>
      </x:c>
      <x:c r="G681" t="n">
        <x:v>1</x:v>
      </x:c>
      <x:c r="H681" t="str">
        <x:v>equals</x:v>
      </x:c>
      <x:c r="I681" t="str">
        <x:v>independent acceptance</x:v>
      </x:c>
      <x:c r="J681" t="str">
        <x:f>IF(F681=G681,"PASS","OPEN")</x:f>
        <x:v>OPEN</x:v>
      </x:c>
    </x:row>
    <x:row r="682">
      <x:c r="B682" t="str">
        <x:v>PHY-RT-RHP-C2-B2-S8</x:v>
      </x:c>
      <x:c r="C682" t="str">
        <x:v>PHYSICAL</x:v>
      </x:c>
      <x:c r="D682" t="str">
        <x:v>route-segment acceptance</x:v>
      </x:c>
      <x:c r="E682" t="str">
        <x:v>RHP-C2-B2-S8</x:v>
      </x:c>
      <x:c r="F682" t="n">
        <x:f>'Route Gallery'!K142</x:f>
        <x:v>0</x:v>
      </x:c>
      <x:c r="G682" t="n">
        <x:v>1</x:v>
      </x:c>
      <x:c r="H682" t="str">
        <x:v>equals</x:v>
      </x:c>
      <x:c r="I682" t="str">
        <x:v>independent acceptance</x:v>
      </x:c>
      <x:c r="J682" t="str">
        <x:f>IF(F682=G682,"PASS","OPEN")</x:f>
        <x:v>OPEN</x:v>
      </x:c>
    </x:row>
    <x:row r="683">
      <x:c r="B683" t="str">
        <x:v>PHY-RT-RHP-C2-B3-S1</x:v>
      </x:c>
      <x:c r="C683" t="str">
        <x:v>PHYSICAL</x:v>
      </x:c>
      <x:c r="D683" t="str">
        <x:v>route-segment acceptance</x:v>
      </x:c>
      <x:c r="E683" t="str">
        <x:v>RHP-C2-B3-S1</x:v>
      </x:c>
      <x:c r="F683" t="n">
        <x:f>'Route Gallery'!K143</x:f>
        <x:v>0</x:v>
      </x:c>
      <x:c r="G683" t="n">
        <x:v>1</x:v>
      </x:c>
      <x:c r="H683" t="str">
        <x:v>equals</x:v>
      </x:c>
      <x:c r="I683" t="str">
        <x:v>independent acceptance</x:v>
      </x:c>
      <x:c r="J683" t="str">
        <x:f>IF(F683=G683,"PASS","OPEN")</x:f>
        <x:v>OPEN</x:v>
      </x:c>
    </x:row>
    <x:row r="684">
      <x:c r="B684" t="str">
        <x:v>PHY-RT-RHP-C2-B3-S2</x:v>
      </x:c>
      <x:c r="C684" t="str">
        <x:v>PHYSICAL</x:v>
      </x:c>
      <x:c r="D684" t="str">
        <x:v>route-segment acceptance</x:v>
      </x:c>
      <x:c r="E684" t="str">
        <x:v>RHP-C2-B3-S2</x:v>
      </x:c>
      <x:c r="F684" t="n">
        <x:f>'Route Gallery'!K144</x:f>
        <x:v>0</x:v>
      </x:c>
      <x:c r="G684" t="n">
        <x:v>1</x:v>
      </x:c>
      <x:c r="H684" t="str">
        <x:v>equals</x:v>
      </x:c>
      <x:c r="I684" t="str">
        <x:v>independent acceptance</x:v>
      </x:c>
      <x:c r="J684" t="str">
        <x:f>IF(F684=G684,"PASS","OPEN")</x:f>
        <x:v>OPEN</x:v>
      </x:c>
    </x:row>
    <x:row r="685">
      <x:c r="B685" t="str">
        <x:v>PHY-RT-RHP-C2-B3-S3</x:v>
      </x:c>
      <x:c r="C685" t="str">
        <x:v>PHYSICAL</x:v>
      </x:c>
      <x:c r="D685" t="str">
        <x:v>route-segment acceptance</x:v>
      </x:c>
      <x:c r="E685" t="str">
        <x:v>RHP-C2-B3-S3</x:v>
      </x:c>
      <x:c r="F685" t="n">
        <x:f>'Route Gallery'!K145</x:f>
        <x:v>0</x:v>
      </x:c>
      <x:c r="G685" t="n">
        <x:v>1</x:v>
      </x:c>
      <x:c r="H685" t="str">
        <x:v>equals</x:v>
      </x:c>
      <x:c r="I685" t="str">
        <x:v>independent acceptance</x:v>
      </x:c>
      <x:c r="J685" t="str">
        <x:f>IF(F685=G685,"PASS","OPEN")</x:f>
        <x:v>OPEN</x:v>
      </x:c>
    </x:row>
    <x:row r="686">
      <x:c r="B686" t="str">
        <x:v>PHY-RT-RHP-C2-B3-S4</x:v>
      </x:c>
      <x:c r="C686" t="str">
        <x:v>PHYSICAL</x:v>
      </x:c>
      <x:c r="D686" t="str">
        <x:v>route-segment acceptance</x:v>
      </x:c>
      <x:c r="E686" t="str">
        <x:v>RHP-C2-B3-S4</x:v>
      </x:c>
      <x:c r="F686" t="n">
        <x:f>'Route Gallery'!K146</x:f>
        <x:v>0</x:v>
      </x:c>
      <x:c r="G686" t="n">
        <x:v>1</x:v>
      </x:c>
      <x:c r="H686" t="str">
        <x:v>equals</x:v>
      </x:c>
      <x:c r="I686" t="str">
        <x:v>independent acceptance</x:v>
      </x:c>
      <x:c r="J686" t="str">
        <x:f>IF(F686=G686,"PASS","OPEN")</x:f>
        <x:v>OPEN</x:v>
      </x:c>
    </x:row>
    <x:row r="687">
      <x:c r="B687" t="str">
        <x:v>PHY-RT-RHP-C2-B3-S5</x:v>
      </x:c>
      <x:c r="C687" t="str">
        <x:v>PHYSICAL</x:v>
      </x:c>
      <x:c r="D687" t="str">
        <x:v>route-segment acceptance</x:v>
      </x:c>
      <x:c r="E687" t="str">
        <x:v>RHP-C2-B3-S5</x:v>
      </x:c>
      <x:c r="F687" t="n">
        <x:f>'Route Gallery'!K147</x:f>
        <x:v>0</x:v>
      </x:c>
      <x:c r="G687" t="n">
        <x:v>1</x:v>
      </x:c>
      <x:c r="H687" t="str">
        <x:v>equals</x:v>
      </x:c>
      <x:c r="I687" t="str">
        <x:v>independent acceptance</x:v>
      </x:c>
      <x:c r="J687" t="str">
        <x:f>IF(F687=G687,"PASS","OPEN")</x:f>
        <x:v>OPEN</x:v>
      </x:c>
    </x:row>
    <x:row r="688">
      <x:c r="B688" t="str">
        <x:v>PHY-RT-RHP-C2-B3-S6</x:v>
      </x:c>
      <x:c r="C688" t="str">
        <x:v>PHYSICAL</x:v>
      </x:c>
      <x:c r="D688" t="str">
        <x:v>route-segment acceptance</x:v>
      </x:c>
      <x:c r="E688" t="str">
        <x:v>RHP-C2-B3-S6</x:v>
      </x:c>
      <x:c r="F688" t="n">
        <x:f>'Route Gallery'!K148</x:f>
        <x:v>0</x:v>
      </x:c>
      <x:c r="G688" t="n">
        <x:v>1</x:v>
      </x:c>
      <x:c r="H688" t="str">
        <x:v>equals</x:v>
      </x:c>
      <x:c r="I688" t="str">
        <x:v>independent acceptance</x:v>
      </x:c>
      <x:c r="J688" t="str">
        <x:f>IF(F688=G688,"PASS","OPEN")</x:f>
        <x:v>OPEN</x:v>
      </x:c>
    </x:row>
    <x:row r="689">
      <x:c r="B689" t="str">
        <x:v>PHY-RT-RHP-C2-B3-S7</x:v>
      </x:c>
      <x:c r="C689" t="str">
        <x:v>PHYSICAL</x:v>
      </x:c>
      <x:c r="D689" t="str">
        <x:v>route-segment acceptance</x:v>
      </x:c>
      <x:c r="E689" t="str">
        <x:v>RHP-C2-B3-S7</x:v>
      </x:c>
      <x:c r="F689" t="n">
        <x:f>'Route Gallery'!K149</x:f>
        <x:v>0</x:v>
      </x:c>
      <x:c r="G689" t="n">
        <x:v>1</x:v>
      </x:c>
      <x:c r="H689" t="str">
        <x:v>equals</x:v>
      </x:c>
      <x:c r="I689" t="str">
        <x:v>independent acceptance</x:v>
      </x:c>
      <x:c r="J689" t="str">
        <x:f>IF(F689=G689,"PASS","OPEN")</x:f>
        <x:v>OPEN</x:v>
      </x:c>
    </x:row>
    <x:row r="690">
      <x:c r="B690" t="str">
        <x:v>PHY-RT-RHP-C2-B3-S8</x:v>
      </x:c>
      <x:c r="C690" t="str">
        <x:v>PHYSICAL</x:v>
      </x:c>
      <x:c r="D690" t="str">
        <x:v>route-segment acceptance</x:v>
      </x:c>
      <x:c r="E690" t="str">
        <x:v>RHP-C2-B3-S8</x:v>
      </x:c>
      <x:c r="F690" t="n">
        <x:f>'Route Gallery'!K150</x:f>
        <x:v>0</x:v>
      </x:c>
      <x:c r="G690" t="n">
        <x:v>1</x:v>
      </x:c>
      <x:c r="H690" t="str">
        <x:v>equals</x:v>
      </x:c>
      <x:c r="I690" t="str">
        <x:v>independent acceptance</x:v>
      </x:c>
      <x:c r="J690" t="str">
        <x:f>IF(F690=G690,"PASS","OPEN")</x:f>
        <x:v>OPEN</x:v>
      </x:c>
    </x:row>
    <x:row r="691">
      <x:c r="B691" t="str">
        <x:v>PHY-RS-RHP-A1-B1-OPEN</x:v>
      </x:c>
      <x:c r="C691" t="str">
        <x:v>PHYSICAL</x:v>
      </x:c>
      <x:c r="D691" t="str">
        <x:v>restriction acceptance</x:v>
      </x:c>
      <x:c r="E691" t="str">
        <x:v>RHP-A1-B1-OPEN</x:v>
      </x:c>
      <x:c r="F691" t="n">
        <x:f>'Challenge Hardware'!H7</x:f>
        <x:v>0</x:v>
      </x:c>
      <x:c r="G691" t="n">
        <x:v>1</x:v>
      </x:c>
      <x:c r="H691" t="str">
        <x:v>equals</x:v>
      </x:c>
      <x:c r="I691" t="str">
        <x:v>independent acceptance</x:v>
      </x:c>
      <x:c r="J691" t="str">
        <x:f>IF(F691=G691,"PASS","OPEN")</x:f>
        <x:v>OPEN</x:v>
      </x:c>
    </x:row>
    <x:row r="692">
      <x:c r="B692" t="str">
        <x:v>PHY-RS-RHP-A1-B1-HALF</x:v>
      </x:c>
      <x:c r="C692" t="str">
        <x:v>PHYSICAL</x:v>
      </x:c>
      <x:c r="D692" t="str">
        <x:v>restriction acceptance</x:v>
      </x:c>
      <x:c r="E692" t="str">
        <x:v>RHP-A1-B1-HALF</x:v>
      </x:c>
      <x:c r="F692" t="n">
        <x:f>'Challenge Hardware'!H8</x:f>
        <x:v>0</x:v>
      </x:c>
      <x:c r="G692" t="n">
        <x:v>1</x:v>
      </x:c>
      <x:c r="H692" t="str">
        <x:v>equals</x:v>
      </x:c>
      <x:c r="I692" t="str">
        <x:v>independent acceptance</x:v>
      </x:c>
      <x:c r="J692" t="str">
        <x:f>IF(F692=G692,"PASS","OPEN")</x:f>
        <x:v>OPEN</x:v>
      </x:c>
    </x:row>
    <x:row r="693">
      <x:c r="B693" t="str">
        <x:v>PHY-RS-RHP-A1-B1-TWO-THIRDS</x:v>
      </x:c>
      <x:c r="C693" t="str">
        <x:v>PHYSICAL</x:v>
      </x:c>
      <x:c r="D693" t="str">
        <x:v>restriction acceptance</x:v>
      </x:c>
      <x:c r="E693" t="str">
        <x:v>RHP-A1-B1-TWO-THIRDS</x:v>
      </x:c>
      <x:c r="F693" t="n">
        <x:f>'Challenge Hardware'!H9</x:f>
        <x:v>0</x:v>
      </x:c>
      <x:c r="G693" t="n">
        <x:v>1</x:v>
      </x:c>
      <x:c r="H693" t="str">
        <x:v>equals</x:v>
      </x:c>
      <x:c r="I693" t="str">
        <x:v>independent acceptance</x:v>
      </x:c>
      <x:c r="J693" t="str">
        <x:f>IF(F693=G693,"PASS","OPEN")</x:f>
        <x:v>OPEN</x:v>
      </x:c>
    </x:row>
    <x:row r="694">
      <x:c r="B694" t="str">
        <x:v>PHY-RS-RHP-A1-B2-OPEN</x:v>
      </x:c>
      <x:c r="C694" t="str">
        <x:v>PHYSICAL</x:v>
      </x:c>
      <x:c r="D694" t="str">
        <x:v>restriction acceptance</x:v>
      </x:c>
      <x:c r="E694" t="str">
        <x:v>RHP-A1-B2-OPEN</x:v>
      </x:c>
      <x:c r="F694" t="n">
        <x:f>'Challenge Hardware'!H10</x:f>
        <x:v>0</x:v>
      </x:c>
      <x:c r="G694" t="n">
        <x:v>1</x:v>
      </x:c>
      <x:c r="H694" t="str">
        <x:v>equals</x:v>
      </x:c>
      <x:c r="I694" t="str">
        <x:v>independent acceptance</x:v>
      </x:c>
      <x:c r="J694" t="str">
        <x:f>IF(F694=G694,"PASS","OPEN")</x:f>
        <x:v>OPEN</x:v>
      </x:c>
    </x:row>
    <x:row r="695">
      <x:c r="B695" t="str">
        <x:v>PHY-RS-RHP-A1-B2-HALF</x:v>
      </x:c>
      <x:c r="C695" t="str">
        <x:v>PHYSICAL</x:v>
      </x:c>
      <x:c r="D695" t="str">
        <x:v>restriction acceptance</x:v>
      </x:c>
      <x:c r="E695" t="str">
        <x:v>RHP-A1-B2-HALF</x:v>
      </x:c>
      <x:c r="F695" t="n">
        <x:f>'Challenge Hardware'!H11</x:f>
        <x:v>0</x:v>
      </x:c>
      <x:c r="G695" t="n">
        <x:v>1</x:v>
      </x:c>
      <x:c r="H695" t="str">
        <x:v>equals</x:v>
      </x:c>
      <x:c r="I695" t="str">
        <x:v>independent acceptance</x:v>
      </x:c>
      <x:c r="J695" t="str">
        <x:f>IF(F695=G695,"PASS","OPEN")</x:f>
        <x:v>OPEN</x:v>
      </x:c>
    </x:row>
    <x:row r="696">
      <x:c r="B696" t="str">
        <x:v>PHY-RS-RHP-A1-B2-TWO-THIRDS</x:v>
      </x:c>
      <x:c r="C696" t="str">
        <x:v>PHYSICAL</x:v>
      </x:c>
      <x:c r="D696" t="str">
        <x:v>restriction acceptance</x:v>
      </x:c>
      <x:c r="E696" t="str">
        <x:v>RHP-A1-B2-TWO-THIRDS</x:v>
      </x:c>
      <x:c r="F696" t="n">
        <x:f>'Challenge Hardware'!H12</x:f>
        <x:v>0</x:v>
      </x:c>
      <x:c r="G696" t="n">
        <x:v>1</x:v>
      </x:c>
      <x:c r="H696" t="str">
        <x:v>equals</x:v>
      </x:c>
      <x:c r="I696" t="str">
        <x:v>independent acceptance</x:v>
      </x:c>
      <x:c r="J696" t="str">
        <x:f>IF(F696=G696,"PASS","OPEN")</x:f>
        <x:v>OPEN</x:v>
      </x:c>
    </x:row>
    <x:row r="697">
      <x:c r="B697" t="str">
        <x:v>PHY-RS-RHP-A1-B3-OPEN</x:v>
      </x:c>
      <x:c r="C697" t="str">
        <x:v>PHYSICAL</x:v>
      </x:c>
      <x:c r="D697" t="str">
        <x:v>restriction acceptance</x:v>
      </x:c>
      <x:c r="E697" t="str">
        <x:v>RHP-A1-B3-OPEN</x:v>
      </x:c>
      <x:c r="F697" t="n">
        <x:f>'Challenge Hardware'!H13</x:f>
        <x:v>0</x:v>
      </x:c>
      <x:c r="G697" t="n">
        <x:v>1</x:v>
      </x:c>
      <x:c r="H697" t="str">
        <x:v>equals</x:v>
      </x:c>
      <x:c r="I697" t="str">
        <x:v>independent acceptance</x:v>
      </x:c>
      <x:c r="J697" t="str">
        <x:f>IF(F697=G697,"PASS","OPEN")</x:f>
        <x:v>OPEN</x:v>
      </x:c>
    </x:row>
    <x:row r="698">
      <x:c r="B698" t="str">
        <x:v>PHY-RS-RHP-A1-B3-HALF</x:v>
      </x:c>
      <x:c r="C698" t="str">
        <x:v>PHYSICAL</x:v>
      </x:c>
      <x:c r="D698" t="str">
        <x:v>restriction acceptance</x:v>
      </x:c>
      <x:c r="E698" t="str">
        <x:v>RHP-A1-B3-HALF</x:v>
      </x:c>
      <x:c r="F698" t="n">
        <x:f>'Challenge Hardware'!H14</x:f>
        <x:v>0</x:v>
      </x:c>
      <x:c r="G698" t="n">
        <x:v>1</x:v>
      </x:c>
      <x:c r="H698" t="str">
        <x:v>equals</x:v>
      </x:c>
      <x:c r="I698" t="str">
        <x:v>independent acceptance</x:v>
      </x:c>
      <x:c r="J698" t="str">
        <x:f>IF(F698=G698,"PASS","OPEN")</x:f>
        <x:v>OPEN</x:v>
      </x:c>
    </x:row>
    <x:row r="699">
      <x:c r="B699" t="str">
        <x:v>PHY-RS-RHP-A1-B3-TWO-THIRDS</x:v>
      </x:c>
      <x:c r="C699" t="str">
        <x:v>PHYSICAL</x:v>
      </x:c>
      <x:c r="D699" t="str">
        <x:v>restriction acceptance</x:v>
      </x:c>
      <x:c r="E699" t="str">
        <x:v>RHP-A1-B3-TWO-THIRDS</x:v>
      </x:c>
      <x:c r="F699" t="n">
        <x:f>'Challenge Hardware'!H15</x:f>
        <x:v>0</x:v>
      </x:c>
      <x:c r="G699" t="n">
        <x:v>1</x:v>
      </x:c>
      <x:c r="H699" t="str">
        <x:v>equals</x:v>
      </x:c>
      <x:c r="I699" t="str">
        <x:v>independent acceptance</x:v>
      </x:c>
      <x:c r="J699" t="str">
        <x:f>IF(F699=G699,"PASS","OPEN")</x:f>
        <x:v>OPEN</x:v>
      </x:c>
    </x:row>
    <x:row r="700">
      <x:c r="B700" t="str">
        <x:v>PHY-RS-RHP-A2-B1-OPEN</x:v>
      </x:c>
      <x:c r="C700" t="str">
        <x:v>PHYSICAL</x:v>
      </x:c>
      <x:c r="D700" t="str">
        <x:v>restriction acceptance</x:v>
      </x:c>
      <x:c r="E700" t="str">
        <x:v>RHP-A2-B1-OPEN</x:v>
      </x:c>
      <x:c r="F700" t="n">
        <x:f>'Challenge Hardware'!H16</x:f>
        <x:v>0</x:v>
      </x:c>
      <x:c r="G700" t="n">
        <x:v>1</x:v>
      </x:c>
      <x:c r="H700" t="str">
        <x:v>equals</x:v>
      </x:c>
      <x:c r="I700" t="str">
        <x:v>independent acceptance</x:v>
      </x:c>
      <x:c r="J700" t="str">
        <x:f>IF(F700=G700,"PASS","OPEN")</x:f>
        <x:v>OPEN</x:v>
      </x:c>
    </x:row>
    <x:row r="701">
      <x:c r="B701" t="str">
        <x:v>PHY-RS-RHP-A2-B1-HALF</x:v>
      </x:c>
      <x:c r="C701" t="str">
        <x:v>PHYSICAL</x:v>
      </x:c>
      <x:c r="D701" t="str">
        <x:v>restriction acceptance</x:v>
      </x:c>
      <x:c r="E701" t="str">
        <x:v>RHP-A2-B1-HALF</x:v>
      </x:c>
      <x:c r="F701" t="n">
        <x:f>'Challenge Hardware'!H17</x:f>
        <x:v>0</x:v>
      </x:c>
      <x:c r="G701" t="n">
        <x:v>1</x:v>
      </x:c>
      <x:c r="H701" t="str">
        <x:v>equals</x:v>
      </x:c>
      <x:c r="I701" t="str">
        <x:v>independent acceptance</x:v>
      </x:c>
      <x:c r="J701" t="str">
        <x:f>IF(F701=G701,"PASS","OPEN")</x:f>
        <x:v>OPEN</x:v>
      </x:c>
    </x:row>
    <x:row r="702">
      <x:c r="B702" t="str">
        <x:v>PHY-RS-RHP-A2-B1-TWO-THIRDS</x:v>
      </x:c>
      <x:c r="C702" t="str">
        <x:v>PHYSICAL</x:v>
      </x:c>
      <x:c r="D702" t="str">
        <x:v>restriction acceptance</x:v>
      </x:c>
      <x:c r="E702" t="str">
        <x:v>RHP-A2-B1-TWO-THIRDS</x:v>
      </x:c>
      <x:c r="F702" t="n">
        <x:f>'Challenge Hardware'!H18</x:f>
        <x:v>0</x:v>
      </x:c>
      <x:c r="G702" t="n">
        <x:v>1</x:v>
      </x:c>
      <x:c r="H702" t="str">
        <x:v>equals</x:v>
      </x:c>
      <x:c r="I702" t="str">
        <x:v>independent acceptance</x:v>
      </x:c>
      <x:c r="J702" t="str">
        <x:f>IF(F702=G702,"PASS","OPEN")</x:f>
        <x:v>OPEN</x:v>
      </x:c>
    </x:row>
    <x:row r="703">
      <x:c r="B703" t="str">
        <x:v>PHY-RS-RHP-A2-B2-OPEN</x:v>
      </x:c>
      <x:c r="C703" t="str">
        <x:v>PHYSICAL</x:v>
      </x:c>
      <x:c r="D703" t="str">
        <x:v>restriction acceptance</x:v>
      </x:c>
      <x:c r="E703" t="str">
        <x:v>RHP-A2-B2-OPEN</x:v>
      </x:c>
      <x:c r="F703" t="n">
        <x:f>'Challenge Hardware'!H19</x:f>
        <x:v>0</x:v>
      </x:c>
      <x:c r="G703" t="n">
        <x:v>1</x:v>
      </x:c>
      <x:c r="H703" t="str">
        <x:v>equals</x:v>
      </x:c>
      <x:c r="I703" t="str">
        <x:v>independent acceptance</x:v>
      </x:c>
      <x:c r="J703" t="str">
        <x:f>IF(F703=G703,"PASS","OPEN")</x:f>
        <x:v>OPEN</x:v>
      </x:c>
    </x:row>
    <x:row r="704">
      <x:c r="B704" t="str">
        <x:v>PHY-RS-RHP-A2-B2-HALF</x:v>
      </x:c>
      <x:c r="C704" t="str">
        <x:v>PHYSICAL</x:v>
      </x:c>
      <x:c r="D704" t="str">
        <x:v>restriction acceptance</x:v>
      </x:c>
      <x:c r="E704" t="str">
        <x:v>RHP-A2-B2-HALF</x:v>
      </x:c>
      <x:c r="F704" t="n">
        <x:f>'Challenge Hardware'!H20</x:f>
        <x:v>0</x:v>
      </x:c>
      <x:c r="G704" t="n">
        <x:v>1</x:v>
      </x:c>
      <x:c r="H704" t="str">
        <x:v>equals</x:v>
      </x:c>
      <x:c r="I704" t="str">
        <x:v>independent acceptance</x:v>
      </x:c>
      <x:c r="J704" t="str">
        <x:f>IF(F704=G704,"PASS","OPEN")</x:f>
        <x:v>OPEN</x:v>
      </x:c>
    </x:row>
    <x:row r="705">
      <x:c r="B705" t="str">
        <x:v>PHY-RS-RHP-A2-B2-TWO-THIRDS</x:v>
      </x:c>
      <x:c r="C705" t="str">
        <x:v>PHYSICAL</x:v>
      </x:c>
      <x:c r="D705" t="str">
        <x:v>restriction acceptance</x:v>
      </x:c>
      <x:c r="E705" t="str">
        <x:v>RHP-A2-B2-TWO-THIRDS</x:v>
      </x:c>
      <x:c r="F705" t="n">
        <x:f>'Challenge Hardware'!H21</x:f>
        <x:v>0</x:v>
      </x:c>
      <x:c r="G705" t="n">
        <x:v>1</x:v>
      </x:c>
      <x:c r="H705" t="str">
        <x:v>equals</x:v>
      </x:c>
      <x:c r="I705" t="str">
        <x:v>independent acceptance</x:v>
      </x:c>
      <x:c r="J705" t="str">
        <x:f>IF(F705=G705,"PASS","OPEN")</x:f>
        <x:v>OPEN</x:v>
      </x:c>
    </x:row>
    <x:row r="706">
      <x:c r="B706" t="str">
        <x:v>PHY-RS-RHP-A2-B3-OPEN</x:v>
      </x:c>
      <x:c r="C706" t="str">
        <x:v>PHYSICAL</x:v>
      </x:c>
      <x:c r="D706" t="str">
        <x:v>restriction acceptance</x:v>
      </x:c>
      <x:c r="E706" t="str">
        <x:v>RHP-A2-B3-OPEN</x:v>
      </x:c>
      <x:c r="F706" t="n">
        <x:f>'Challenge Hardware'!H22</x:f>
        <x:v>0</x:v>
      </x:c>
      <x:c r="G706" t="n">
        <x:v>1</x:v>
      </x:c>
      <x:c r="H706" t="str">
        <x:v>equals</x:v>
      </x:c>
      <x:c r="I706" t="str">
        <x:v>independent acceptance</x:v>
      </x:c>
      <x:c r="J706" t="str">
        <x:f>IF(F706=G706,"PASS","OPEN")</x:f>
        <x:v>OPEN</x:v>
      </x:c>
    </x:row>
    <x:row r="707">
      <x:c r="B707" t="str">
        <x:v>PHY-RS-RHP-A2-B3-HALF</x:v>
      </x:c>
      <x:c r="C707" t="str">
        <x:v>PHYSICAL</x:v>
      </x:c>
      <x:c r="D707" t="str">
        <x:v>restriction acceptance</x:v>
      </x:c>
      <x:c r="E707" t="str">
        <x:v>RHP-A2-B3-HALF</x:v>
      </x:c>
      <x:c r="F707" t="n">
        <x:f>'Challenge Hardware'!H23</x:f>
        <x:v>0</x:v>
      </x:c>
      <x:c r="G707" t="n">
        <x:v>1</x:v>
      </x:c>
      <x:c r="H707" t="str">
        <x:v>equals</x:v>
      </x:c>
      <x:c r="I707" t="str">
        <x:v>independent acceptance</x:v>
      </x:c>
      <x:c r="J707" t="str">
        <x:f>IF(F707=G707,"PASS","OPEN")</x:f>
        <x:v>OPEN</x:v>
      </x:c>
    </x:row>
    <x:row r="708">
      <x:c r="B708" t="str">
        <x:v>PHY-RS-RHP-A2-B3-TWO-THIRDS</x:v>
      </x:c>
      <x:c r="C708" t="str">
        <x:v>PHYSICAL</x:v>
      </x:c>
      <x:c r="D708" t="str">
        <x:v>restriction acceptance</x:v>
      </x:c>
      <x:c r="E708" t="str">
        <x:v>RHP-A2-B3-TWO-THIRDS</x:v>
      </x:c>
      <x:c r="F708" t="n">
        <x:f>'Challenge Hardware'!H24</x:f>
        <x:v>0</x:v>
      </x:c>
      <x:c r="G708" t="n">
        <x:v>1</x:v>
      </x:c>
      <x:c r="H708" t="str">
        <x:v>equals</x:v>
      </x:c>
      <x:c r="I708" t="str">
        <x:v>independent acceptance</x:v>
      </x:c>
      <x:c r="J708" t="str">
        <x:f>IF(F708=G708,"PASS","OPEN")</x:f>
        <x:v>OPEN</x:v>
      </x:c>
    </x:row>
    <x:row r="709">
      <x:c r="B709" t="str">
        <x:v>PHY-RS-RHP-B1-B1-OPEN</x:v>
      </x:c>
      <x:c r="C709" t="str">
        <x:v>PHYSICAL</x:v>
      </x:c>
      <x:c r="D709" t="str">
        <x:v>restriction acceptance</x:v>
      </x:c>
      <x:c r="E709" t="str">
        <x:v>RHP-B1-B1-OPEN</x:v>
      </x:c>
      <x:c r="F709" t="n">
        <x:f>'Challenge Hardware'!H25</x:f>
        <x:v>0</x:v>
      </x:c>
      <x:c r="G709" t="n">
        <x:v>1</x:v>
      </x:c>
      <x:c r="H709" t="str">
        <x:v>equals</x:v>
      </x:c>
      <x:c r="I709" t="str">
        <x:v>independent acceptance</x:v>
      </x:c>
      <x:c r="J709" t="str">
        <x:f>IF(F709=G709,"PASS","OPEN")</x:f>
        <x:v>OPEN</x:v>
      </x:c>
    </x:row>
    <x:row r="710">
      <x:c r="B710" t="str">
        <x:v>PHY-RS-RHP-B1-B1-HALF</x:v>
      </x:c>
      <x:c r="C710" t="str">
        <x:v>PHYSICAL</x:v>
      </x:c>
      <x:c r="D710" t="str">
        <x:v>restriction acceptance</x:v>
      </x:c>
      <x:c r="E710" t="str">
        <x:v>RHP-B1-B1-HALF</x:v>
      </x:c>
      <x:c r="F710" t="n">
        <x:f>'Challenge Hardware'!H26</x:f>
        <x:v>0</x:v>
      </x:c>
      <x:c r="G710" t="n">
        <x:v>1</x:v>
      </x:c>
      <x:c r="H710" t="str">
        <x:v>equals</x:v>
      </x:c>
      <x:c r="I710" t="str">
        <x:v>independent acceptance</x:v>
      </x:c>
      <x:c r="J710" t="str">
        <x:f>IF(F710=G710,"PASS","OPEN")</x:f>
        <x:v>OPEN</x:v>
      </x:c>
    </x:row>
    <x:row r="711">
      <x:c r="B711" t="str">
        <x:v>PHY-RS-RHP-B1-B1-TWO-THIRDS</x:v>
      </x:c>
      <x:c r="C711" t="str">
        <x:v>PHYSICAL</x:v>
      </x:c>
      <x:c r="D711" t="str">
        <x:v>restriction acceptance</x:v>
      </x:c>
      <x:c r="E711" t="str">
        <x:v>RHP-B1-B1-TWO-THIRDS</x:v>
      </x:c>
      <x:c r="F711" t="n">
        <x:f>'Challenge Hardware'!H27</x:f>
        <x:v>0</x:v>
      </x:c>
      <x:c r="G711" t="n">
        <x:v>1</x:v>
      </x:c>
      <x:c r="H711" t="str">
        <x:v>equals</x:v>
      </x:c>
      <x:c r="I711" t="str">
        <x:v>independent acceptance</x:v>
      </x:c>
      <x:c r="J711" t="str">
        <x:f>IF(F711=G711,"PASS","OPEN")</x:f>
        <x:v>OPEN</x:v>
      </x:c>
    </x:row>
    <x:row r="712">
      <x:c r="B712" t="str">
        <x:v>PHY-RS-RHP-B1-B2-OPEN</x:v>
      </x:c>
      <x:c r="C712" t="str">
        <x:v>PHYSICAL</x:v>
      </x:c>
      <x:c r="D712" t="str">
        <x:v>restriction acceptance</x:v>
      </x:c>
      <x:c r="E712" t="str">
        <x:v>RHP-B1-B2-OPEN</x:v>
      </x:c>
      <x:c r="F712" t="n">
        <x:f>'Challenge Hardware'!H28</x:f>
        <x:v>0</x:v>
      </x:c>
      <x:c r="G712" t="n">
        <x:v>1</x:v>
      </x:c>
      <x:c r="H712" t="str">
        <x:v>equals</x:v>
      </x:c>
      <x:c r="I712" t="str">
        <x:v>independent acceptance</x:v>
      </x:c>
      <x:c r="J712" t="str">
        <x:f>IF(F712=G712,"PASS","OPEN")</x:f>
        <x:v>OPEN</x:v>
      </x:c>
    </x:row>
    <x:row r="713">
      <x:c r="B713" t="str">
        <x:v>PHY-RS-RHP-B1-B2-HALF</x:v>
      </x:c>
      <x:c r="C713" t="str">
        <x:v>PHYSICAL</x:v>
      </x:c>
      <x:c r="D713" t="str">
        <x:v>restriction acceptance</x:v>
      </x:c>
      <x:c r="E713" t="str">
        <x:v>RHP-B1-B2-HALF</x:v>
      </x:c>
      <x:c r="F713" t="n">
        <x:f>'Challenge Hardware'!H29</x:f>
        <x:v>0</x:v>
      </x:c>
      <x:c r="G713" t="n">
        <x:v>1</x:v>
      </x:c>
      <x:c r="H713" t="str">
        <x:v>equals</x:v>
      </x:c>
      <x:c r="I713" t="str">
        <x:v>independent acceptance</x:v>
      </x:c>
      <x:c r="J713" t="str">
        <x:f>IF(F713=G713,"PASS","OPEN")</x:f>
        <x:v>OPEN</x:v>
      </x:c>
    </x:row>
    <x:row r="714">
      <x:c r="B714" t="str">
        <x:v>PHY-RS-RHP-B1-B2-TWO-THIRDS</x:v>
      </x:c>
      <x:c r="C714" t="str">
        <x:v>PHYSICAL</x:v>
      </x:c>
      <x:c r="D714" t="str">
        <x:v>restriction acceptance</x:v>
      </x:c>
      <x:c r="E714" t="str">
        <x:v>RHP-B1-B2-TWO-THIRDS</x:v>
      </x:c>
      <x:c r="F714" t="n">
        <x:f>'Challenge Hardware'!H30</x:f>
        <x:v>0</x:v>
      </x:c>
      <x:c r="G714" t="n">
        <x:v>1</x:v>
      </x:c>
      <x:c r="H714" t="str">
        <x:v>equals</x:v>
      </x:c>
      <x:c r="I714" t="str">
        <x:v>independent acceptance</x:v>
      </x:c>
      <x:c r="J714" t="str">
        <x:f>IF(F714=G714,"PASS","OPEN")</x:f>
        <x:v>OPEN</x:v>
      </x:c>
    </x:row>
    <x:row r="715">
      <x:c r="B715" t="str">
        <x:v>PHY-RS-RHP-B1-B3-OPEN</x:v>
      </x:c>
      <x:c r="C715" t="str">
        <x:v>PHYSICAL</x:v>
      </x:c>
      <x:c r="D715" t="str">
        <x:v>restriction acceptance</x:v>
      </x:c>
      <x:c r="E715" t="str">
        <x:v>RHP-B1-B3-OPEN</x:v>
      </x:c>
      <x:c r="F715" t="n">
        <x:f>'Challenge Hardware'!H31</x:f>
        <x:v>0</x:v>
      </x:c>
      <x:c r="G715" t="n">
        <x:v>1</x:v>
      </x:c>
      <x:c r="H715" t="str">
        <x:v>equals</x:v>
      </x:c>
      <x:c r="I715" t="str">
        <x:v>independent acceptance</x:v>
      </x:c>
      <x:c r="J715" t="str">
        <x:f>IF(F715=G715,"PASS","OPEN")</x:f>
        <x:v>OPEN</x:v>
      </x:c>
    </x:row>
    <x:row r="716">
      <x:c r="B716" t="str">
        <x:v>PHY-RS-RHP-B1-B3-HALF</x:v>
      </x:c>
      <x:c r="C716" t="str">
        <x:v>PHYSICAL</x:v>
      </x:c>
      <x:c r="D716" t="str">
        <x:v>restriction acceptance</x:v>
      </x:c>
      <x:c r="E716" t="str">
        <x:v>RHP-B1-B3-HALF</x:v>
      </x:c>
      <x:c r="F716" t="n">
        <x:f>'Challenge Hardware'!H32</x:f>
        <x:v>0</x:v>
      </x:c>
      <x:c r="G716" t="n">
        <x:v>1</x:v>
      </x:c>
      <x:c r="H716" t="str">
        <x:v>equals</x:v>
      </x:c>
      <x:c r="I716" t="str">
        <x:v>independent acceptance</x:v>
      </x:c>
      <x:c r="J716" t="str">
        <x:f>IF(F716=G716,"PASS","OPEN")</x:f>
        <x:v>OPEN</x:v>
      </x:c>
    </x:row>
    <x:row r="717">
      <x:c r="B717" t="str">
        <x:v>PHY-RS-RHP-B1-B3-TWO-THIRDS</x:v>
      </x:c>
      <x:c r="C717" t="str">
        <x:v>PHYSICAL</x:v>
      </x:c>
      <x:c r="D717" t="str">
        <x:v>restriction acceptance</x:v>
      </x:c>
      <x:c r="E717" t="str">
        <x:v>RHP-B1-B3-TWO-THIRDS</x:v>
      </x:c>
      <x:c r="F717" t="n">
        <x:f>'Challenge Hardware'!H33</x:f>
        <x:v>0</x:v>
      </x:c>
      <x:c r="G717" t="n">
        <x:v>1</x:v>
      </x:c>
      <x:c r="H717" t="str">
        <x:v>equals</x:v>
      </x:c>
      <x:c r="I717" t="str">
        <x:v>independent acceptance</x:v>
      </x:c>
      <x:c r="J717" t="str">
        <x:f>IF(F717=G717,"PASS","OPEN")</x:f>
        <x:v>OPEN</x:v>
      </x:c>
    </x:row>
    <x:row r="718">
      <x:c r="B718" t="str">
        <x:v>PHY-RS-RHP-B2-B1-OPEN</x:v>
      </x:c>
      <x:c r="C718" t="str">
        <x:v>PHYSICAL</x:v>
      </x:c>
      <x:c r="D718" t="str">
        <x:v>restriction acceptance</x:v>
      </x:c>
      <x:c r="E718" t="str">
        <x:v>RHP-B2-B1-OPEN</x:v>
      </x:c>
      <x:c r="F718" t="n">
        <x:f>'Challenge Hardware'!H34</x:f>
        <x:v>0</x:v>
      </x:c>
      <x:c r="G718" t="n">
        <x:v>1</x:v>
      </x:c>
      <x:c r="H718" t="str">
        <x:v>equals</x:v>
      </x:c>
      <x:c r="I718" t="str">
        <x:v>independent acceptance</x:v>
      </x:c>
      <x:c r="J718" t="str">
        <x:f>IF(F718=G718,"PASS","OPEN")</x:f>
        <x:v>OPEN</x:v>
      </x:c>
    </x:row>
    <x:row r="719">
      <x:c r="B719" t="str">
        <x:v>PHY-RS-RHP-B2-B1-HALF</x:v>
      </x:c>
      <x:c r="C719" t="str">
        <x:v>PHYSICAL</x:v>
      </x:c>
      <x:c r="D719" t="str">
        <x:v>restriction acceptance</x:v>
      </x:c>
      <x:c r="E719" t="str">
        <x:v>RHP-B2-B1-HALF</x:v>
      </x:c>
      <x:c r="F719" t="n">
        <x:f>'Challenge Hardware'!H35</x:f>
        <x:v>0</x:v>
      </x:c>
      <x:c r="G719" t="n">
        <x:v>1</x:v>
      </x:c>
      <x:c r="H719" t="str">
        <x:v>equals</x:v>
      </x:c>
      <x:c r="I719" t="str">
        <x:v>independent acceptance</x:v>
      </x:c>
      <x:c r="J719" t="str">
        <x:f>IF(F719=G719,"PASS","OPEN")</x:f>
        <x:v>OPEN</x:v>
      </x:c>
    </x:row>
    <x:row r="720">
      <x:c r="B720" t="str">
        <x:v>PHY-RS-RHP-B2-B1-TWO-THIRDS</x:v>
      </x:c>
      <x:c r="C720" t="str">
        <x:v>PHYSICAL</x:v>
      </x:c>
      <x:c r="D720" t="str">
        <x:v>restriction acceptance</x:v>
      </x:c>
      <x:c r="E720" t="str">
        <x:v>RHP-B2-B1-TWO-THIRDS</x:v>
      </x:c>
      <x:c r="F720" t="n">
        <x:f>'Challenge Hardware'!H36</x:f>
        <x:v>0</x:v>
      </x:c>
      <x:c r="G720" t="n">
        <x:v>1</x:v>
      </x:c>
      <x:c r="H720" t="str">
        <x:v>equals</x:v>
      </x:c>
      <x:c r="I720" t="str">
        <x:v>independent acceptance</x:v>
      </x:c>
      <x:c r="J720" t="str">
        <x:f>IF(F720=G720,"PASS","OPEN")</x:f>
        <x:v>OPEN</x:v>
      </x:c>
    </x:row>
    <x:row r="721">
      <x:c r="B721" t="str">
        <x:v>PHY-RS-RHP-B2-B2-OPEN</x:v>
      </x:c>
      <x:c r="C721" t="str">
        <x:v>PHYSICAL</x:v>
      </x:c>
      <x:c r="D721" t="str">
        <x:v>restriction acceptance</x:v>
      </x:c>
      <x:c r="E721" t="str">
        <x:v>RHP-B2-B2-OPEN</x:v>
      </x:c>
      <x:c r="F721" t="n">
        <x:f>'Challenge Hardware'!H37</x:f>
        <x:v>0</x:v>
      </x:c>
      <x:c r="G721" t="n">
        <x:v>1</x:v>
      </x:c>
      <x:c r="H721" t="str">
        <x:v>equals</x:v>
      </x:c>
      <x:c r="I721" t="str">
        <x:v>independent acceptance</x:v>
      </x:c>
      <x:c r="J721" t="str">
        <x:f>IF(F721=G721,"PASS","OPEN")</x:f>
        <x:v>OPEN</x:v>
      </x:c>
    </x:row>
    <x:row r="722">
      <x:c r="B722" t="str">
        <x:v>PHY-RS-RHP-B2-B2-HALF</x:v>
      </x:c>
      <x:c r="C722" t="str">
        <x:v>PHYSICAL</x:v>
      </x:c>
      <x:c r="D722" t="str">
        <x:v>restriction acceptance</x:v>
      </x:c>
      <x:c r="E722" t="str">
        <x:v>RHP-B2-B2-HALF</x:v>
      </x:c>
      <x:c r="F722" t="n">
        <x:f>'Challenge Hardware'!H38</x:f>
        <x:v>0</x:v>
      </x:c>
      <x:c r="G722" t="n">
        <x:v>1</x:v>
      </x:c>
      <x:c r="H722" t="str">
        <x:v>equals</x:v>
      </x:c>
      <x:c r="I722" t="str">
        <x:v>independent acceptance</x:v>
      </x:c>
      <x:c r="J722" t="str">
        <x:f>IF(F722=G722,"PASS","OPEN")</x:f>
        <x:v>OPEN</x:v>
      </x:c>
    </x:row>
    <x:row r="723">
      <x:c r="B723" t="str">
        <x:v>PHY-RS-RHP-B2-B2-TWO-THIRDS</x:v>
      </x:c>
      <x:c r="C723" t="str">
        <x:v>PHYSICAL</x:v>
      </x:c>
      <x:c r="D723" t="str">
        <x:v>restriction acceptance</x:v>
      </x:c>
      <x:c r="E723" t="str">
        <x:v>RHP-B2-B2-TWO-THIRDS</x:v>
      </x:c>
      <x:c r="F723" t="n">
        <x:f>'Challenge Hardware'!H39</x:f>
        <x:v>0</x:v>
      </x:c>
      <x:c r="G723" t="n">
        <x:v>1</x:v>
      </x:c>
      <x:c r="H723" t="str">
        <x:v>equals</x:v>
      </x:c>
      <x:c r="I723" t="str">
        <x:v>independent acceptance</x:v>
      </x:c>
      <x:c r="J723" t="str">
        <x:f>IF(F723=G723,"PASS","OPEN")</x:f>
        <x:v>OPEN</x:v>
      </x:c>
    </x:row>
    <x:row r="724">
      <x:c r="B724" t="str">
        <x:v>PHY-RS-RHP-B2-B3-OPEN</x:v>
      </x:c>
      <x:c r="C724" t="str">
        <x:v>PHYSICAL</x:v>
      </x:c>
      <x:c r="D724" t="str">
        <x:v>restriction acceptance</x:v>
      </x:c>
      <x:c r="E724" t="str">
        <x:v>RHP-B2-B3-OPEN</x:v>
      </x:c>
      <x:c r="F724" t="n">
        <x:f>'Challenge Hardware'!H40</x:f>
        <x:v>0</x:v>
      </x:c>
      <x:c r="G724" t="n">
        <x:v>1</x:v>
      </x:c>
      <x:c r="H724" t="str">
        <x:v>equals</x:v>
      </x:c>
      <x:c r="I724" t="str">
        <x:v>independent acceptance</x:v>
      </x:c>
      <x:c r="J724" t="str">
        <x:f>IF(F724=G724,"PASS","OPEN")</x:f>
        <x:v>OPEN</x:v>
      </x:c>
    </x:row>
    <x:row r="725">
      <x:c r="B725" t="str">
        <x:v>PHY-RS-RHP-B2-B3-HALF</x:v>
      </x:c>
      <x:c r="C725" t="str">
        <x:v>PHYSICAL</x:v>
      </x:c>
      <x:c r="D725" t="str">
        <x:v>restriction acceptance</x:v>
      </x:c>
      <x:c r="E725" t="str">
        <x:v>RHP-B2-B3-HALF</x:v>
      </x:c>
      <x:c r="F725" t="n">
        <x:f>'Challenge Hardware'!H41</x:f>
        <x:v>0</x:v>
      </x:c>
      <x:c r="G725" t="n">
        <x:v>1</x:v>
      </x:c>
      <x:c r="H725" t="str">
        <x:v>equals</x:v>
      </x:c>
      <x:c r="I725" t="str">
        <x:v>independent acceptance</x:v>
      </x:c>
      <x:c r="J725" t="str">
        <x:f>IF(F725=G725,"PASS","OPEN")</x:f>
        <x:v>OPEN</x:v>
      </x:c>
    </x:row>
    <x:row r="726">
      <x:c r="B726" t="str">
        <x:v>PHY-RS-RHP-B2-B3-TWO-THIRDS</x:v>
      </x:c>
      <x:c r="C726" t="str">
        <x:v>PHYSICAL</x:v>
      </x:c>
      <x:c r="D726" t="str">
        <x:v>restriction acceptance</x:v>
      </x:c>
      <x:c r="E726" t="str">
        <x:v>RHP-B2-B3-TWO-THIRDS</x:v>
      </x:c>
      <x:c r="F726" t="n">
        <x:f>'Challenge Hardware'!H42</x:f>
        <x:v>0</x:v>
      </x:c>
      <x:c r="G726" t="n">
        <x:v>1</x:v>
      </x:c>
      <x:c r="H726" t="str">
        <x:v>equals</x:v>
      </x:c>
      <x:c r="I726" t="str">
        <x:v>independent acceptance</x:v>
      </x:c>
      <x:c r="J726" t="str">
        <x:f>IF(F726=G726,"PASS","OPEN")</x:f>
        <x:v>OPEN</x:v>
      </x:c>
    </x:row>
    <x:row r="727">
      <x:c r="B727" t="str">
        <x:v>PHY-RS-RHP-C1-B1-OPEN</x:v>
      </x:c>
      <x:c r="C727" t="str">
        <x:v>PHYSICAL</x:v>
      </x:c>
      <x:c r="D727" t="str">
        <x:v>restriction acceptance</x:v>
      </x:c>
      <x:c r="E727" t="str">
        <x:v>RHP-C1-B1-OPEN</x:v>
      </x:c>
      <x:c r="F727" t="n">
        <x:f>'Challenge Hardware'!H43</x:f>
        <x:v>0</x:v>
      </x:c>
      <x:c r="G727" t="n">
        <x:v>1</x:v>
      </x:c>
      <x:c r="H727" t="str">
        <x:v>equals</x:v>
      </x:c>
      <x:c r="I727" t="str">
        <x:v>independent acceptance</x:v>
      </x:c>
      <x:c r="J727" t="str">
        <x:f>IF(F727=G727,"PASS","OPEN")</x:f>
        <x:v>OPEN</x:v>
      </x:c>
    </x:row>
    <x:row r="728">
      <x:c r="B728" t="str">
        <x:v>PHY-RS-RHP-C1-B1-HALF</x:v>
      </x:c>
      <x:c r="C728" t="str">
        <x:v>PHYSICAL</x:v>
      </x:c>
      <x:c r="D728" t="str">
        <x:v>restriction acceptance</x:v>
      </x:c>
      <x:c r="E728" t="str">
        <x:v>RHP-C1-B1-HALF</x:v>
      </x:c>
      <x:c r="F728" t="n">
        <x:f>'Challenge Hardware'!H44</x:f>
        <x:v>0</x:v>
      </x:c>
      <x:c r="G728" t="n">
        <x:v>1</x:v>
      </x:c>
      <x:c r="H728" t="str">
        <x:v>equals</x:v>
      </x:c>
      <x:c r="I728" t="str">
        <x:v>independent acceptance</x:v>
      </x:c>
      <x:c r="J728" t="str">
        <x:f>IF(F728=G728,"PASS","OPEN")</x:f>
        <x:v>OPEN</x:v>
      </x:c>
    </x:row>
    <x:row r="729">
      <x:c r="B729" t="str">
        <x:v>PHY-RS-RHP-C1-B1-TWO-THIRDS</x:v>
      </x:c>
      <x:c r="C729" t="str">
        <x:v>PHYSICAL</x:v>
      </x:c>
      <x:c r="D729" t="str">
        <x:v>restriction acceptance</x:v>
      </x:c>
      <x:c r="E729" t="str">
        <x:v>RHP-C1-B1-TWO-THIRDS</x:v>
      </x:c>
      <x:c r="F729" t="n">
        <x:f>'Challenge Hardware'!H45</x:f>
        <x:v>0</x:v>
      </x:c>
      <x:c r="G729" t="n">
        <x:v>1</x:v>
      </x:c>
      <x:c r="H729" t="str">
        <x:v>equals</x:v>
      </x:c>
      <x:c r="I729" t="str">
        <x:v>independent acceptance</x:v>
      </x:c>
      <x:c r="J729" t="str">
        <x:f>IF(F729=G729,"PASS","OPEN")</x:f>
        <x:v>OPEN</x:v>
      </x:c>
    </x:row>
    <x:row r="730">
      <x:c r="B730" t="str">
        <x:v>PHY-RS-RHP-C1-B2-OPEN</x:v>
      </x:c>
      <x:c r="C730" t="str">
        <x:v>PHYSICAL</x:v>
      </x:c>
      <x:c r="D730" t="str">
        <x:v>restriction acceptance</x:v>
      </x:c>
      <x:c r="E730" t="str">
        <x:v>RHP-C1-B2-OPEN</x:v>
      </x:c>
      <x:c r="F730" t="n">
        <x:f>'Challenge Hardware'!H46</x:f>
        <x:v>0</x:v>
      </x:c>
      <x:c r="G730" t="n">
        <x:v>1</x:v>
      </x:c>
      <x:c r="H730" t="str">
        <x:v>equals</x:v>
      </x:c>
      <x:c r="I730" t="str">
        <x:v>independent acceptance</x:v>
      </x:c>
      <x:c r="J730" t="str">
        <x:f>IF(F730=G730,"PASS","OPEN")</x:f>
        <x:v>OPEN</x:v>
      </x:c>
    </x:row>
    <x:row r="731">
      <x:c r="B731" t="str">
        <x:v>PHY-RS-RHP-C1-B2-HALF</x:v>
      </x:c>
      <x:c r="C731" t="str">
        <x:v>PHYSICAL</x:v>
      </x:c>
      <x:c r="D731" t="str">
        <x:v>restriction acceptance</x:v>
      </x:c>
      <x:c r="E731" t="str">
        <x:v>RHP-C1-B2-HALF</x:v>
      </x:c>
      <x:c r="F731" t="n">
        <x:f>'Challenge Hardware'!H47</x:f>
        <x:v>0</x:v>
      </x:c>
      <x:c r="G731" t="n">
        <x:v>1</x:v>
      </x:c>
      <x:c r="H731" t="str">
        <x:v>equals</x:v>
      </x:c>
      <x:c r="I731" t="str">
        <x:v>independent acceptance</x:v>
      </x:c>
      <x:c r="J731" t="str">
        <x:f>IF(F731=G731,"PASS","OPEN")</x:f>
        <x:v>OPEN</x:v>
      </x:c>
    </x:row>
    <x:row r="732">
      <x:c r="B732" t="str">
        <x:v>PHY-RS-RHP-C1-B2-TWO-THIRDS</x:v>
      </x:c>
      <x:c r="C732" t="str">
        <x:v>PHYSICAL</x:v>
      </x:c>
      <x:c r="D732" t="str">
        <x:v>restriction acceptance</x:v>
      </x:c>
      <x:c r="E732" t="str">
        <x:v>RHP-C1-B2-TWO-THIRDS</x:v>
      </x:c>
      <x:c r="F732" t="n">
        <x:f>'Challenge Hardware'!H48</x:f>
        <x:v>0</x:v>
      </x:c>
      <x:c r="G732" t="n">
        <x:v>1</x:v>
      </x:c>
      <x:c r="H732" t="str">
        <x:v>equals</x:v>
      </x:c>
      <x:c r="I732" t="str">
        <x:v>independent acceptance</x:v>
      </x:c>
      <x:c r="J732" t="str">
        <x:f>IF(F732=G732,"PASS","OPEN")</x:f>
        <x:v>OPEN</x:v>
      </x:c>
    </x:row>
    <x:row r="733">
      <x:c r="B733" t="str">
        <x:v>PHY-RS-RHP-C1-B3-OPEN</x:v>
      </x:c>
      <x:c r="C733" t="str">
        <x:v>PHYSICAL</x:v>
      </x:c>
      <x:c r="D733" t="str">
        <x:v>restriction acceptance</x:v>
      </x:c>
      <x:c r="E733" t="str">
        <x:v>RHP-C1-B3-OPEN</x:v>
      </x:c>
      <x:c r="F733" t="n">
        <x:f>'Challenge Hardware'!H49</x:f>
        <x:v>0</x:v>
      </x:c>
      <x:c r="G733" t="n">
        <x:v>1</x:v>
      </x:c>
      <x:c r="H733" t="str">
        <x:v>equals</x:v>
      </x:c>
      <x:c r="I733" t="str">
        <x:v>independent acceptance</x:v>
      </x:c>
      <x:c r="J733" t="str">
        <x:f>IF(F733=G733,"PASS","OPEN")</x:f>
        <x:v>OPEN</x:v>
      </x:c>
    </x:row>
    <x:row r="734">
      <x:c r="B734" t="str">
        <x:v>PHY-RS-RHP-C1-B3-HALF</x:v>
      </x:c>
      <x:c r="C734" t="str">
        <x:v>PHYSICAL</x:v>
      </x:c>
      <x:c r="D734" t="str">
        <x:v>restriction acceptance</x:v>
      </x:c>
      <x:c r="E734" t="str">
        <x:v>RHP-C1-B3-HALF</x:v>
      </x:c>
      <x:c r="F734" t="n">
        <x:f>'Challenge Hardware'!H50</x:f>
        <x:v>0</x:v>
      </x:c>
      <x:c r="G734" t="n">
        <x:v>1</x:v>
      </x:c>
      <x:c r="H734" t="str">
        <x:v>equals</x:v>
      </x:c>
      <x:c r="I734" t="str">
        <x:v>independent acceptance</x:v>
      </x:c>
      <x:c r="J734" t="str">
        <x:f>IF(F734=G734,"PASS","OPEN")</x:f>
        <x:v>OPEN</x:v>
      </x:c>
    </x:row>
    <x:row r="735">
      <x:c r="B735" t="str">
        <x:v>PHY-RS-RHP-C1-B3-TWO-THIRDS</x:v>
      </x:c>
      <x:c r="C735" t="str">
        <x:v>PHYSICAL</x:v>
      </x:c>
      <x:c r="D735" t="str">
        <x:v>restriction acceptance</x:v>
      </x:c>
      <x:c r="E735" t="str">
        <x:v>RHP-C1-B3-TWO-THIRDS</x:v>
      </x:c>
      <x:c r="F735" t="n">
        <x:f>'Challenge Hardware'!H51</x:f>
        <x:v>0</x:v>
      </x:c>
      <x:c r="G735" t="n">
        <x:v>1</x:v>
      </x:c>
      <x:c r="H735" t="str">
        <x:v>equals</x:v>
      </x:c>
      <x:c r="I735" t="str">
        <x:v>independent acceptance</x:v>
      </x:c>
      <x:c r="J735" t="str">
        <x:f>IF(F735=G735,"PASS","OPEN")</x:f>
        <x:v>OPEN</x:v>
      </x:c>
    </x:row>
    <x:row r="736">
      <x:c r="B736" t="str">
        <x:v>PHY-RS-RHP-C2-B1-OPEN</x:v>
      </x:c>
      <x:c r="C736" t="str">
        <x:v>PHYSICAL</x:v>
      </x:c>
      <x:c r="D736" t="str">
        <x:v>restriction acceptance</x:v>
      </x:c>
      <x:c r="E736" t="str">
        <x:v>RHP-C2-B1-OPEN</x:v>
      </x:c>
      <x:c r="F736" t="n">
        <x:f>'Challenge Hardware'!H52</x:f>
        <x:v>0</x:v>
      </x:c>
      <x:c r="G736" t="n">
        <x:v>1</x:v>
      </x:c>
      <x:c r="H736" t="str">
        <x:v>equals</x:v>
      </x:c>
      <x:c r="I736" t="str">
        <x:v>independent acceptance</x:v>
      </x:c>
      <x:c r="J736" t="str">
        <x:f>IF(F736=G736,"PASS","OPEN")</x:f>
        <x:v>OPEN</x:v>
      </x:c>
    </x:row>
    <x:row r="737">
      <x:c r="B737" t="str">
        <x:v>PHY-RS-RHP-C2-B1-HALF</x:v>
      </x:c>
      <x:c r="C737" t="str">
        <x:v>PHYSICAL</x:v>
      </x:c>
      <x:c r="D737" t="str">
        <x:v>restriction acceptance</x:v>
      </x:c>
      <x:c r="E737" t="str">
        <x:v>RHP-C2-B1-HALF</x:v>
      </x:c>
      <x:c r="F737" t="n">
        <x:f>'Challenge Hardware'!H53</x:f>
        <x:v>0</x:v>
      </x:c>
      <x:c r="G737" t="n">
        <x:v>1</x:v>
      </x:c>
      <x:c r="H737" t="str">
        <x:v>equals</x:v>
      </x:c>
      <x:c r="I737" t="str">
        <x:v>independent acceptance</x:v>
      </x:c>
      <x:c r="J737" t="str">
        <x:f>IF(F737=G737,"PASS","OPEN")</x:f>
        <x:v>OPEN</x:v>
      </x:c>
    </x:row>
    <x:row r="738">
      <x:c r="B738" t="str">
        <x:v>PHY-RS-RHP-C2-B1-TWO-THIRDS</x:v>
      </x:c>
      <x:c r="C738" t="str">
        <x:v>PHYSICAL</x:v>
      </x:c>
      <x:c r="D738" t="str">
        <x:v>restriction acceptance</x:v>
      </x:c>
      <x:c r="E738" t="str">
        <x:v>RHP-C2-B1-TWO-THIRDS</x:v>
      </x:c>
      <x:c r="F738" t="n">
        <x:f>'Challenge Hardware'!H54</x:f>
        <x:v>0</x:v>
      </x:c>
      <x:c r="G738" t="n">
        <x:v>1</x:v>
      </x:c>
      <x:c r="H738" t="str">
        <x:v>equals</x:v>
      </x:c>
      <x:c r="I738" t="str">
        <x:v>independent acceptance</x:v>
      </x:c>
      <x:c r="J738" t="str">
        <x:f>IF(F738=G738,"PASS","OPEN")</x:f>
        <x:v>OPEN</x:v>
      </x:c>
    </x:row>
    <x:row r="739">
      <x:c r="B739" t="str">
        <x:v>PHY-RS-RHP-C2-B2-OPEN</x:v>
      </x:c>
      <x:c r="C739" t="str">
        <x:v>PHYSICAL</x:v>
      </x:c>
      <x:c r="D739" t="str">
        <x:v>restriction acceptance</x:v>
      </x:c>
      <x:c r="E739" t="str">
        <x:v>RHP-C2-B2-OPEN</x:v>
      </x:c>
      <x:c r="F739" t="n">
        <x:f>'Challenge Hardware'!H55</x:f>
        <x:v>0</x:v>
      </x:c>
      <x:c r="G739" t="n">
        <x:v>1</x:v>
      </x:c>
      <x:c r="H739" t="str">
        <x:v>equals</x:v>
      </x:c>
      <x:c r="I739" t="str">
        <x:v>independent acceptance</x:v>
      </x:c>
      <x:c r="J739" t="str">
        <x:f>IF(F739=G739,"PASS","OPEN")</x:f>
        <x:v>OPEN</x:v>
      </x:c>
    </x:row>
    <x:row r="740">
      <x:c r="B740" t="str">
        <x:v>PHY-RS-RHP-C2-B2-HALF</x:v>
      </x:c>
      <x:c r="C740" t="str">
        <x:v>PHYSICAL</x:v>
      </x:c>
      <x:c r="D740" t="str">
        <x:v>restriction acceptance</x:v>
      </x:c>
      <x:c r="E740" t="str">
        <x:v>RHP-C2-B2-HALF</x:v>
      </x:c>
      <x:c r="F740" t="n">
        <x:f>'Challenge Hardware'!H56</x:f>
        <x:v>0</x:v>
      </x:c>
      <x:c r="G740" t="n">
        <x:v>1</x:v>
      </x:c>
      <x:c r="H740" t="str">
        <x:v>equals</x:v>
      </x:c>
      <x:c r="I740" t="str">
        <x:v>independent acceptance</x:v>
      </x:c>
      <x:c r="J740" t="str">
        <x:f>IF(F740=G740,"PASS","OPEN")</x:f>
        <x:v>OPEN</x:v>
      </x:c>
    </x:row>
    <x:row r="741">
      <x:c r="B741" t="str">
        <x:v>PHY-RS-RHP-C2-B2-TWO-THIRDS</x:v>
      </x:c>
      <x:c r="C741" t="str">
        <x:v>PHYSICAL</x:v>
      </x:c>
      <x:c r="D741" t="str">
        <x:v>restriction acceptance</x:v>
      </x:c>
      <x:c r="E741" t="str">
        <x:v>RHP-C2-B2-TWO-THIRDS</x:v>
      </x:c>
      <x:c r="F741" t="n">
        <x:f>'Challenge Hardware'!H57</x:f>
        <x:v>0</x:v>
      </x:c>
      <x:c r="G741" t="n">
        <x:v>1</x:v>
      </x:c>
      <x:c r="H741" t="str">
        <x:v>equals</x:v>
      </x:c>
      <x:c r="I741" t="str">
        <x:v>independent acceptance</x:v>
      </x:c>
      <x:c r="J741" t="str">
        <x:f>IF(F741=G741,"PASS","OPEN")</x:f>
        <x:v>OPEN</x:v>
      </x:c>
    </x:row>
    <x:row r="742">
      <x:c r="B742" t="str">
        <x:v>PHY-RS-RHP-C2-B3-OPEN</x:v>
      </x:c>
      <x:c r="C742" t="str">
        <x:v>PHYSICAL</x:v>
      </x:c>
      <x:c r="D742" t="str">
        <x:v>restriction acceptance</x:v>
      </x:c>
      <x:c r="E742" t="str">
        <x:v>RHP-C2-B3-OPEN</x:v>
      </x:c>
      <x:c r="F742" t="n">
        <x:f>'Challenge Hardware'!H58</x:f>
        <x:v>0</x:v>
      </x:c>
      <x:c r="G742" t="n">
        <x:v>1</x:v>
      </x:c>
      <x:c r="H742" t="str">
        <x:v>equals</x:v>
      </x:c>
      <x:c r="I742" t="str">
        <x:v>independent acceptance</x:v>
      </x:c>
      <x:c r="J742" t="str">
        <x:f>IF(F742=G742,"PASS","OPEN")</x:f>
        <x:v>OPEN</x:v>
      </x:c>
    </x:row>
    <x:row r="743">
      <x:c r="B743" t="str">
        <x:v>PHY-RS-RHP-C2-B3-HALF</x:v>
      </x:c>
      <x:c r="C743" t="str">
        <x:v>PHYSICAL</x:v>
      </x:c>
      <x:c r="D743" t="str">
        <x:v>restriction acceptance</x:v>
      </x:c>
      <x:c r="E743" t="str">
        <x:v>RHP-C2-B3-HALF</x:v>
      </x:c>
      <x:c r="F743" t="n">
        <x:f>'Challenge Hardware'!H59</x:f>
        <x:v>0</x:v>
      </x:c>
      <x:c r="G743" t="n">
        <x:v>1</x:v>
      </x:c>
      <x:c r="H743" t="str">
        <x:v>equals</x:v>
      </x:c>
      <x:c r="I743" t="str">
        <x:v>independent acceptance</x:v>
      </x:c>
      <x:c r="J743" t="str">
        <x:f>IF(F743=G743,"PASS","OPEN")</x:f>
        <x:v>OPEN</x:v>
      </x:c>
    </x:row>
    <x:row r="744">
      <x:c r="B744" t="str">
        <x:v>PHY-RS-RHP-C2-B3-TWO-THIRDS</x:v>
      </x:c>
      <x:c r="C744" t="str">
        <x:v>PHYSICAL</x:v>
      </x:c>
      <x:c r="D744" t="str">
        <x:v>restriction acceptance</x:v>
      </x:c>
      <x:c r="E744" t="str">
        <x:v>RHP-C2-B3-TWO-THIRDS</x:v>
      </x:c>
      <x:c r="F744" t="n">
        <x:f>'Challenge Hardware'!H60</x:f>
        <x:v>0</x:v>
      </x:c>
      <x:c r="G744" t="n">
        <x:v>1</x:v>
      </x:c>
      <x:c r="H744" t="str">
        <x:v>equals</x:v>
      </x:c>
      <x:c r="I744" t="str">
        <x:v>independent acceptance</x:v>
      </x:c>
      <x:c r="J744" t="str">
        <x:f>IF(F744=G744,"PASS","OPEN")</x:f>
        <x:v>OPEN</x:v>
      </x:c>
    </x:row>
    <x:row r="745">
      <x:c r="B745" t="str">
        <x:v>PHY-PAD-1</x:v>
      </x:c>
      <x:c r="C745" t="str">
        <x:v>PHYSICAL</x:v>
      </x:c>
      <x:c r="D745" t="str">
        <x:v>receiver-pad acceptance</x:v>
      </x:c>
      <x:c r="E745" t="str">
        <x:v>pad 1</x:v>
      </x:c>
      <x:c r="F745" t="n">
        <x:f>'Receiver Interface'!H7</x:f>
        <x:v>0</x:v>
      </x:c>
      <x:c r="G745" t="n">
        <x:v>1</x:v>
      </x:c>
      <x:c r="H745" t="str">
        <x:v>equals</x:v>
      </x:c>
      <x:c r="I745" t="str">
        <x:v>independent acceptance</x:v>
      </x:c>
      <x:c r="J745" t="str">
        <x:f>IF(F745=G745,"PASS","OPEN")</x:f>
        <x:v>OPEN</x:v>
      </x:c>
    </x:row>
    <x:row r="746">
      <x:c r="B746" t="str">
        <x:v>PHY-PAD-2</x:v>
      </x:c>
      <x:c r="C746" t="str">
        <x:v>PHYSICAL</x:v>
      </x:c>
      <x:c r="D746" t="str">
        <x:v>receiver-pad acceptance</x:v>
      </x:c>
      <x:c r="E746" t="str">
        <x:v>pad 2</x:v>
      </x:c>
      <x:c r="F746" t="n">
        <x:f>'Receiver Interface'!H8</x:f>
        <x:v>0</x:v>
      </x:c>
      <x:c r="G746" t="n">
        <x:v>1</x:v>
      </x:c>
      <x:c r="H746" t="str">
        <x:v>equals</x:v>
      </x:c>
      <x:c r="I746" t="str">
        <x:v>independent acceptance</x:v>
      </x:c>
      <x:c r="J746" t="str">
        <x:f>IF(F746=G746,"PASS","OPEN")</x:f>
        <x:v>OPEN</x:v>
      </x:c>
    </x:row>
    <x:row r="747">
      <x:c r="B747" t="str">
        <x:v>PHY-PAD-3</x:v>
      </x:c>
      <x:c r="C747" t="str">
        <x:v>PHYSICAL</x:v>
      </x:c>
      <x:c r="D747" t="str">
        <x:v>receiver-pad acceptance</x:v>
      </x:c>
      <x:c r="E747" t="str">
        <x:v>pad 3</x:v>
      </x:c>
      <x:c r="F747" t="n">
        <x:f>'Receiver Interface'!H9</x:f>
        <x:v>0</x:v>
      </x:c>
      <x:c r="G747" t="n">
        <x:v>1</x:v>
      </x:c>
      <x:c r="H747" t="str">
        <x:v>equals</x:v>
      </x:c>
      <x:c r="I747" t="str">
        <x:v>independent acceptance</x:v>
      </x:c>
      <x:c r="J747" t="str">
        <x:f>IF(F747=G747,"PASS","OPEN")</x:f>
        <x:v>OPEN</x:v>
      </x:c>
    </x:row>
    <x:row r="748">
      <x:c r="B748" t="str">
        <x:v>PHY-PAD-4</x:v>
      </x:c>
      <x:c r="C748" t="str">
        <x:v>PHYSICAL</x:v>
      </x:c>
      <x:c r="D748" t="str">
        <x:v>receiver-pad acceptance</x:v>
      </x:c>
      <x:c r="E748" t="str">
        <x:v>pad 4</x:v>
      </x:c>
      <x:c r="F748" t="n">
        <x:f>'Receiver Interface'!H10</x:f>
        <x:v>0</x:v>
      </x:c>
      <x:c r="G748" t="n">
        <x:v>1</x:v>
      </x:c>
      <x:c r="H748" t="str">
        <x:v>equals</x:v>
      </x:c>
      <x:c r="I748" t="str">
        <x:v>independent acceptance</x:v>
      </x:c>
      <x:c r="J748" t="str">
        <x:f>IF(F748=G748,"PASS","OPEN")</x:f>
        <x:v>OPEN</x:v>
      </x:c>
    </x:row>
    <x:row r="749">
      <x:c r="B749" t="str">
        <x:v>PHY-PAD-5</x:v>
      </x:c>
      <x:c r="C749" t="str">
        <x:v>PHYSICAL</x:v>
      </x:c>
      <x:c r="D749" t="str">
        <x:v>receiver-pad acceptance</x:v>
      </x:c>
      <x:c r="E749" t="str">
        <x:v>pad 5</x:v>
      </x:c>
      <x:c r="F749" t="n">
        <x:f>'Receiver Interface'!H11</x:f>
        <x:v>0</x:v>
      </x:c>
      <x:c r="G749" t="n">
        <x:v>1</x:v>
      </x:c>
      <x:c r="H749" t="str">
        <x:v>equals</x:v>
      </x:c>
      <x:c r="I749" t="str">
        <x:v>independent acceptance</x:v>
      </x:c>
      <x:c r="J749" t="str">
        <x:f>IF(F749=G749,"PASS","OPEN")</x:f>
        <x:v>OPEN</x:v>
      </x:c>
    </x:row>
    <x:row r="750">
      <x:c r="B750" t="str">
        <x:v>PHY-PAD-6</x:v>
      </x:c>
      <x:c r="C750" t="str">
        <x:v>PHYSICAL</x:v>
      </x:c>
      <x:c r="D750" t="str">
        <x:v>receiver-pad acceptance</x:v>
      </x:c>
      <x:c r="E750" t="str">
        <x:v>pad 6</x:v>
      </x:c>
      <x:c r="F750" t="n">
        <x:f>'Receiver Interface'!H12</x:f>
        <x:v>0</x:v>
      </x:c>
      <x:c r="G750" t="n">
        <x:v>1</x:v>
      </x:c>
      <x:c r="H750" t="str">
        <x:v>equals</x:v>
      </x:c>
      <x:c r="I750" t="str">
        <x:v>independent acceptance</x:v>
      </x:c>
      <x:c r="J750" t="str">
        <x:f>IF(F750=G750,"PASS","OPEN")</x:f>
        <x:v>OPEN</x:v>
      </x:c>
    </x:row>
    <x:row r="751">
      <x:c r="B751" t="str">
        <x:v>PHY-RIF-1</x:v>
      </x:c>
      <x:c r="C751" t="str">
        <x:v>PHYSICAL</x:v>
      </x:c>
      <x:c r="D751" t="str">
        <x:v>receiver-interface acceptance</x:v>
      </x:c>
      <x:c r="E751" t="str">
        <x:v>interface 1</x:v>
      </x:c>
      <x:c r="F751" t="n">
        <x:f>'Receiver Interface'!P7</x:f>
        <x:v>0</x:v>
      </x:c>
      <x:c r="G751" t="n">
        <x:v>1</x:v>
      </x:c>
      <x:c r="H751" t="str">
        <x:v>equals</x:v>
      </x:c>
      <x:c r="I751" t="str">
        <x:v>independent acceptance</x:v>
      </x:c>
      <x:c r="J751" t="str">
        <x:f>IF(F751=G751,"PASS","OPEN")</x:f>
        <x:v>OPEN</x:v>
      </x:c>
    </x:row>
    <x:row r="752">
      <x:c r="B752" t="str">
        <x:v>PHY-RIF-2</x:v>
      </x:c>
      <x:c r="C752" t="str">
        <x:v>PHYSICAL</x:v>
      </x:c>
      <x:c r="D752" t="str">
        <x:v>receiver-interface acceptance</x:v>
      </x:c>
      <x:c r="E752" t="str">
        <x:v>interface 2</x:v>
      </x:c>
      <x:c r="F752" t="n">
        <x:f>'Receiver Interface'!P8</x:f>
        <x:v>0</x:v>
      </x:c>
      <x:c r="G752" t="n">
        <x:v>1</x:v>
      </x:c>
      <x:c r="H752" t="str">
        <x:v>equals</x:v>
      </x:c>
      <x:c r="I752" t="str">
        <x:v>independent acceptance</x:v>
      </x:c>
      <x:c r="J752" t="str">
        <x:f>IF(F752=G752,"PASS","OPEN")</x:f>
        <x:v>OPEN</x:v>
      </x:c>
    </x:row>
    <x:row r="753">
      <x:c r="B753" t="str">
        <x:v>PHY-RIF-3</x:v>
      </x:c>
      <x:c r="C753" t="str">
        <x:v>PHYSICAL</x:v>
      </x:c>
      <x:c r="D753" t="str">
        <x:v>receiver-interface acceptance</x:v>
      </x:c>
      <x:c r="E753" t="str">
        <x:v>interface 3</x:v>
      </x:c>
      <x:c r="F753" t="n">
        <x:f>'Receiver Interface'!P9</x:f>
        <x:v>0</x:v>
      </x:c>
      <x:c r="G753" t="n">
        <x:v>1</x:v>
      </x:c>
      <x:c r="H753" t="str">
        <x:v>equals</x:v>
      </x:c>
      <x:c r="I753" t="str">
        <x:v>independent acceptance</x:v>
      </x:c>
      <x:c r="J753" t="str">
        <x:f>IF(F753=G753,"PASS","OPEN")</x:f>
        <x:v>OPEN</x:v>
      </x:c>
    </x:row>
    <x:row r="754">
      <x:c r="B754" t="str">
        <x:v>PHY-RIF-4</x:v>
      </x:c>
      <x:c r="C754" t="str">
        <x:v>PHYSICAL</x:v>
      </x:c>
      <x:c r="D754" t="str">
        <x:v>receiver-interface acceptance</x:v>
      </x:c>
      <x:c r="E754" t="str">
        <x:v>interface 4</x:v>
      </x:c>
      <x:c r="F754" t="n">
        <x:f>'Receiver Interface'!P10</x:f>
        <x:v>0</x:v>
      </x:c>
      <x:c r="G754" t="n">
        <x:v>1</x:v>
      </x:c>
      <x:c r="H754" t="str">
        <x:v>equals</x:v>
      </x:c>
      <x:c r="I754" t="str">
        <x:v>independent acceptance</x:v>
      </x:c>
      <x:c r="J754" t="str">
        <x:f>IF(F754=G754,"PASS","OPEN")</x:f>
        <x:v>OPEN</x:v>
      </x:c>
    </x:row>
    <x:row r="755">
      <x:c r="B755" t="str">
        <x:v>PHY-RIF-5</x:v>
      </x:c>
      <x:c r="C755" t="str">
        <x:v>PHYSICAL</x:v>
      </x:c>
      <x:c r="D755" t="str">
        <x:v>receiver-interface acceptance</x:v>
      </x:c>
      <x:c r="E755" t="str">
        <x:v>interface 5</x:v>
      </x:c>
      <x:c r="F755" t="n">
        <x:f>'Receiver Interface'!P11</x:f>
        <x:v>0</x:v>
      </x:c>
      <x:c r="G755" t="n">
        <x:v>1</x:v>
      </x:c>
      <x:c r="H755" t="str">
        <x:v>equals</x:v>
      </x:c>
      <x:c r="I755" t="str">
        <x:v>independent acceptance</x:v>
      </x:c>
      <x:c r="J755" t="str">
        <x:f>IF(F755=G755,"PASS","OPEN")</x:f>
        <x:v>OPEN</x:v>
      </x:c>
    </x:row>
    <x:row r="756">
      <x:c r="B756" t="str">
        <x:v>PHY-RIF-6</x:v>
      </x:c>
      <x:c r="C756" t="str">
        <x:v>PHYSICAL</x:v>
      </x:c>
      <x:c r="D756" t="str">
        <x:v>receiver-interface acceptance</x:v>
      </x:c>
      <x:c r="E756" t="str">
        <x:v>interface 6</x:v>
      </x:c>
      <x:c r="F756" t="n">
        <x:f>'Receiver Interface'!P12</x:f>
        <x:v>0</x:v>
      </x:c>
      <x:c r="G756" t="n">
        <x:v>1</x:v>
      </x:c>
      <x:c r="H756" t="str">
        <x:v>equals</x:v>
      </x:c>
      <x:c r="I756" t="str">
        <x:v>independent acceptance</x:v>
      </x:c>
      <x:c r="J756" t="str">
        <x:f>IF(F756=G756,"PASS","OPEN")</x:f>
        <x:v>OPEN</x:v>
      </x:c>
    </x:row>
    <x:row r="757">
      <x:c r="B757" t="str">
        <x:v>PHY-RIF-7</x:v>
      </x:c>
      <x:c r="C757" t="str">
        <x:v>PHYSICAL</x:v>
      </x:c>
      <x:c r="D757" t="str">
        <x:v>receiver-interface acceptance</x:v>
      </x:c>
      <x:c r="E757" t="str">
        <x:v>interface 7</x:v>
      </x:c>
      <x:c r="F757" t="n">
        <x:f>'Receiver Interface'!P13</x:f>
        <x:v>0</x:v>
      </x:c>
      <x:c r="G757" t="n">
        <x:v>1</x:v>
      </x:c>
      <x:c r="H757" t="str">
        <x:v>equals</x:v>
      </x:c>
      <x:c r="I757" t="str">
        <x:v>independent acceptance</x:v>
      </x:c>
      <x:c r="J757" t="str">
        <x:f>IF(F757=G757,"PASS","OPEN")</x:f>
        <x:v>OPEN</x:v>
      </x:c>
    </x:row>
    <x:row r="758">
      <x:c r="B758" t="str">
        <x:v>PHY-RIF-8</x:v>
      </x:c>
      <x:c r="C758" t="str">
        <x:v>PHYSICAL</x:v>
      </x:c>
      <x:c r="D758" t="str">
        <x:v>receiver-interface acceptance</x:v>
      </x:c>
      <x:c r="E758" t="str">
        <x:v>interface 8</x:v>
      </x:c>
      <x:c r="F758" t="n">
        <x:f>'Receiver Interface'!P14</x:f>
        <x:v>0</x:v>
      </x:c>
      <x:c r="G758" t="n">
        <x:v>1</x:v>
      </x:c>
      <x:c r="H758" t="str">
        <x:v>equals</x:v>
      </x:c>
      <x:c r="I758" t="str">
        <x:v>independent acceptance</x:v>
      </x:c>
      <x:c r="J758" t="str">
        <x:f>IF(F758=G758,"PASS","OPEN")</x:f>
        <x:v>OPEN</x:v>
      </x:c>
    </x:row>
    <x:row r="759">
      <x:c r="B759" t="str">
        <x:v>PHY-RIF-9</x:v>
      </x:c>
      <x:c r="C759" t="str">
        <x:v>PHYSICAL</x:v>
      </x:c>
      <x:c r="D759" t="str">
        <x:v>receiver-interface acceptance</x:v>
      </x:c>
      <x:c r="E759" t="str">
        <x:v>interface 9</x:v>
      </x:c>
      <x:c r="F759" t="n">
        <x:f>'Receiver Interface'!P15</x:f>
        <x:v>0</x:v>
      </x:c>
      <x:c r="G759" t="n">
        <x:v>1</x:v>
      </x:c>
      <x:c r="H759" t="str">
        <x:v>equals</x:v>
      </x:c>
      <x:c r="I759" t="str">
        <x:v>independent acceptance</x:v>
      </x:c>
      <x:c r="J759" t="str">
        <x:f>IF(F759=G759,"PASS","OPEN")</x:f>
        <x:v>OPEN</x:v>
      </x:c>
    </x:row>
    <x:row r="760">
      <x:c r="B760" t="str">
        <x:v>PHY-RIF-10</x:v>
      </x:c>
      <x:c r="C760" t="str">
        <x:v>PHYSICAL</x:v>
      </x:c>
      <x:c r="D760" t="str">
        <x:v>receiver-interface acceptance</x:v>
      </x:c>
      <x:c r="E760" t="str">
        <x:v>interface 10</x:v>
      </x:c>
      <x:c r="F760" t="n">
        <x:f>'Receiver Interface'!P16</x:f>
        <x:v>0</x:v>
      </x:c>
      <x:c r="G760" t="n">
        <x:v>1</x:v>
      </x:c>
      <x:c r="H760" t="str">
        <x:v>equals</x:v>
      </x:c>
      <x:c r="I760" t="str">
        <x:v>independent acceptance</x:v>
      </x:c>
      <x:c r="J760" t="str">
        <x:f>IF(F760=G760,"PASS","OPEN")</x:f>
        <x:v>OPEN</x:v>
      </x:c>
    </x:row>
    <x:row r="761">
      <x:c r="B761" t="str">
        <x:v>PHY-RIF-11</x:v>
      </x:c>
      <x:c r="C761" t="str">
        <x:v>PHYSICAL</x:v>
      </x:c>
      <x:c r="D761" t="str">
        <x:v>receiver-interface acceptance</x:v>
      </x:c>
      <x:c r="E761" t="str">
        <x:v>interface 11</x:v>
      </x:c>
      <x:c r="F761" t="n">
        <x:f>'Receiver Interface'!P17</x:f>
        <x:v>0</x:v>
      </x:c>
      <x:c r="G761" t="n">
        <x:v>1</x:v>
      </x:c>
      <x:c r="H761" t="str">
        <x:v>equals</x:v>
      </x:c>
      <x:c r="I761" t="str">
        <x:v>independent acceptance</x:v>
      </x:c>
      <x:c r="J761" t="str">
        <x:f>IF(F761=G761,"PASS","OPEN")</x:f>
        <x:v>OPEN</x:v>
      </x:c>
    </x:row>
    <x:row r="762">
      <x:c r="B762" t="str">
        <x:v>PHY-RIF-12</x:v>
      </x:c>
      <x:c r="C762" t="str">
        <x:v>PHYSICAL</x:v>
      </x:c>
      <x:c r="D762" t="str">
        <x:v>receiver-interface acceptance</x:v>
      </x:c>
      <x:c r="E762" t="str">
        <x:v>interface 12</x:v>
      </x:c>
      <x:c r="F762" t="n">
        <x:f>'Receiver Interface'!P18</x:f>
        <x:v>0</x:v>
      </x:c>
      <x:c r="G762" t="n">
        <x:v>1</x:v>
      </x:c>
      <x:c r="H762" t="str">
        <x:v>equals</x:v>
      </x:c>
      <x:c r="I762" t="str">
        <x:v>independent acceptance</x:v>
      </x:c>
      <x:c r="J762" t="str">
        <x:f>IF(F762=G762,"PASS","OPEN")</x:f>
        <x:v>OPEN</x:v>
      </x:c>
    </x:row>
    <x:row r="763">
      <x:c r="B763" t="str">
        <x:v>PHY-RIF-13</x:v>
      </x:c>
      <x:c r="C763" t="str">
        <x:v>PHYSICAL</x:v>
      </x:c>
      <x:c r="D763" t="str">
        <x:v>receiver-interface acceptance</x:v>
      </x:c>
      <x:c r="E763" t="str">
        <x:v>interface 13</x:v>
      </x:c>
      <x:c r="F763" t="n">
        <x:f>'Receiver Interface'!P19</x:f>
        <x:v>0</x:v>
      </x:c>
      <x:c r="G763" t="n">
        <x:v>1</x:v>
      </x:c>
      <x:c r="H763" t="str">
        <x:v>equals</x:v>
      </x:c>
      <x:c r="I763" t="str">
        <x:v>independent acceptance</x:v>
      </x:c>
      <x:c r="J763" t="str">
        <x:f>IF(F763=G763,"PASS","OPEN")</x:f>
        <x:v>OPEN</x:v>
      </x:c>
    </x:row>
    <x:row r="764">
      <x:c r="B764" t="str">
        <x:v>PHY-RIF-14</x:v>
      </x:c>
      <x:c r="C764" t="str">
        <x:v>PHYSICAL</x:v>
      </x:c>
      <x:c r="D764" t="str">
        <x:v>receiver-interface acceptance</x:v>
      </x:c>
      <x:c r="E764" t="str">
        <x:v>interface 14</x:v>
      </x:c>
      <x:c r="F764" t="n">
        <x:f>'Receiver Interface'!P20</x:f>
        <x:v>0</x:v>
      </x:c>
      <x:c r="G764" t="n">
        <x:v>1</x:v>
      </x:c>
      <x:c r="H764" t="str">
        <x:v>equals</x:v>
      </x:c>
      <x:c r="I764" t="str">
        <x:v>independent acceptance</x:v>
      </x:c>
      <x:c r="J764" t="str">
        <x:f>IF(F764=G764,"PASS","OPEN")</x:f>
        <x:v>OPEN</x:v>
      </x:c>
    </x:row>
    <x:row r="765">
      <x:c r="B765" t="str">
        <x:v>PHY-RIF-15</x:v>
      </x:c>
      <x:c r="C765" t="str">
        <x:v>PHYSICAL</x:v>
      </x:c>
      <x:c r="D765" t="str">
        <x:v>receiver-interface acceptance</x:v>
      </x:c>
      <x:c r="E765" t="str">
        <x:v>interface 15</x:v>
      </x:c>
      <x:c r="F765" t="n">
        <x:f>'Receiver Interface'!P21</x:f>
        <x:v>0</x:v>
      </x:c>
      <x:c r="G765" t="n">
        <x:v>1</x:v>
      </x:c>
      <x:c r="H765" t="str">
        <x:v>equals</x:v>
      </x:c>
      <x:c r="I765" t="str">
        <x:v>independent acceptance</x:v>
      </x:c>
      <x:c r="J765" t="str">
        <x:f>IF(F765=G765,"PASS","OPEN")</x:f>
        <x:v>OPEN</x:v>
      </x:c>
    </x:row>
    <x:row r="766">
      <x:c r="B766" t="str">
        <x:v>PHY-RIF-16</x:v>
      </x:c>
      <x:c r="C766" t="str">
        <x:v>PHYSICAL</x:v>
      </x:c>
      <x:c r="D766" t="str">
        <x:v>receiver-interface acceptance</x:v>
      </x:c>
      <x:c r="E766" t="str">
        <x:v>interface 16</x:v>
      </x:c>
      <x:c r="F766" t="n">
        <x:f>'Receiver Interface'!P22</x:f>
        <x:v>0</x:v>
      </x:c>
      <x:c r="G766" t="n">
        <x:v>1</x:v>
      </x:c>
      <x:c r="H766" t="str">
        <x:v>equals</x:v>
      </x:c>
      <x:c r="I766" t="str">
        <x:v>independent acceptance</x:v>
      </x:c>
      <x:c r="J766" t="str">
        <x:f>IF(F766=G766,"PASS","OPEN")</x:f>
        <x:v>OPEN</x:v>
      </x:c>
    </x:row>
    <x:row r="767">
      <x:c r="B767" t="str">
        <x:v>PHY-RIF-17</x:v>
      </x:c>
      <x:c r="C767" t="str">
        <x:v>PHYSICAL</x:v>
      </x:c>
      <x:c r="D767" t="str">
        <x:v>receiver-interface acceptance</x:v>
      </x:c>
      <x:c r="E767" t="str">
        <x:v>interface 17</x:v>
      </x:c>
      <x:c r="F767" t="n">
        <x:f>'Receiver Interface'!P23</x:f>
        <x:v>0</x:v>
      </x:c>
      <x:c r="G767" t="n">
        <x:v>1</x:v>
      </x:c>
      <x:c r="H767" t="str">
        <x:v>equals</x:v>
      </x:c>
      <x:c r="I767" t="str">
        <x:v>independent acceptance</x:v>
      </x:c>
      <x:c r="J767" t="str">
        <x:f>IF(F767=G767,"PASS","OPEN")</x:f>
        <x:v>OPEN</x:v>
      </x:c>
    </x:row>
    <x:row r="768">
      <x:c r="B768" t="str">
        <x:v>PHY-RIF-18</x:v>
      </x:c>
      <x:c r="C768" t="str">
        <x:v>PHYSICAL</x:v>
      </x:c>
      <x:c r="D768" t="str">
        <x:v>receiver-interface acceptance</x:v>
      </x:c>
      <x:c r="E768" t="str">
        <x:v>interface 18</x:v>
      </x:c>
      <x:c r="F768" t="n">
        <x:f>'Receiver Interface'!P24</x:f>
        <x:v>0</x:v>
      </x:c>
      <x:c r="G768" t="n">
        <x:v>1</x:v>
      </x:c>
      <x:c r="H768" t="str">
        <x:v>equals</x:v>
      </x:c>
      <x:c r="I768" t="str">
        <x:v>independent acceptance</x:v>
      </x:c>
      <x:c r="J768" t="str">
        <x:f>IF(F768=G768,"PASS","OPEN")</x:f>
        <x:v>OPEN</x:v>
      </x:c>
    </x:row>
    <x:row r="769">
      <x:c r="B769" t="str">
        <x:v>PHY-SP-RHP-A1-SP1</x:v>
      </x:c>
      <x:c r="C769" t="str">
        <x:v>PHYSICAL</x:v>
      </x:c>
      <x:c r="D769" t="str">
        <x:v>safety-path acceptance</x:v>
      </x:c>
      <x:c r="E769" t="str">
        <x:v>RHP-A1-SP1</x:v>
      </x:c>
      <x:c r="F769" t="n">
        <x:f>'Safety Logic'!H7</x:f>
        <x:v>0</x:v>
      </x:c>
      <x:c r="G769" t="n">
        <x:v>1</x:v>
      </x:c>
      <x:c r="H769" t="str">
        <x:v>equals</x:v>
      </x:c>
      <x:c r="I769" t="str">
        <x:v>independent acceptance</x:v>
      </x:c>
      <x:c r="J769" t="str">
        <x:f>IF(F769=G769,"PASS","OPEN")</x:f>
        <x:v>OPEN</x:v>
      </x:c>
    </x:row>
    <x:row r="770">
      <x:c r="B770" t="str">
        <x:v>PHY-SP-RHP-A1-SP2</x:v>
      </x:c>
      <x:c r="C770" t="str">
        <x:v>PHYSICAL</x:v>
      </x:c>
      <x:c r="D770" t="str">
        <x:v>safety-path acceptance</x:v>
      </x:c>
      <x:c r="E770" t="str">
        <x:v>RHP-A1-SP2</x:v>
      </x:c>
      <x:c r="F770" t="n">
        <x:f>'Safety Logic'!H8</x:f>
        <x:v>0</x:v>
      </x:c>
      <x:c r="G770" t="n">
        <x:v>1</x:v>
      </x:c>
      <x:c r="H770" t="str">
        <x:v>equals</x:v>
      </x:c>
      <x:c r="I770" t="str">
        <x:v>independent acceptance</x:v>
      </x:c>
      <x:c r="J770" t="str">
        <x:f>IF(F770=G770,"PASS","OPEN")</x:f>
        <x:v>OPEN</x:v>
      </x:c>
    </x:row>
    <x:row r="771">
      <x:c r="B771" t="str">
        <x:v>PHY-SP-RHP-A1-SP3</x:v>
      </x:c>
      <x:c r="C771" t="str">
        <x:v>PHYSICAL</x:v>
      </x:c>
      <x:c r="D771" t="str">
        <x:v>safety-path acceptance</x:v>
      </x:c>
      <x:c r="E771" t="str">
        <x:v>RHP-A1-SP3</x:v>
      </x:c>
      <x:c r="F771" t="n">
        <x:f>'Safety Logic'!H9</x:f>
        <x:v>0</x:v>
      </x:c>
      <x:c r="G771" t="n">
        <x:v>1</x:v>
      </x:c>
      <x:c r="H771" t="str">
        <x:v>equals</x:v>
      </x:c>
      <x:c r="I771" t="str">
        <x:v>independent acceptance</x:v>
      </x:c>
      <x:c r="J771" t="str">
        <x:f>IF(F771=G771,"PASS","OPEN")</x:f>
        <x:v>OPEN</x:v>
      </x:c>
    </x:row>
    <x:row r="772">
      <x:c r="B772" t="str">
        <x:v>PHY-SP-RHP-A2-SP1</x:v>
      </x:c>
      <x:c r="C772" t="str">
        <x:v>PHYSICAL</x:v>
      </x:c>
      <x:c r="D772" t="str">
        <x:v>safety-path acceptance</x:v>
      </x:c>
      <x:c r="E772" t="str">
        <x:v>RHP-A2-SP1</x:v>
      </x:c>
      <x:c r="F772" t="n">
        <x:f>'Safety Logic'!H10</x:f>
        <x:v>0</x:v>
      </x:c>
      <x:c r="G772" t="n">
        <x:v>1</x:v>
      </x:c>
      <x:c r="H772" t="str">
        <x:v>equals</x:v>
      </x:c>
      <x:c r="I772" t="str">
        <x:v>independent acceptance</x:v>
      </x:c>
      <x:c r="J772" t="str">
        <x:f>IF(F772=G772,"PASS","OPEN")</x:f>
        <x:v>OPEN</x:v>
      </x:c>
    </x:row>
    <x:row r="773">
      <x:c r="B773" t="str">
        <x:v>PHY-SP-RHP-A2-SP2</x:v>
      </x:c>
      <x:c r="C773" t="str">
        <x:v>PHYSICAL</x:v>
      </x:c>
      <x:c r="D773" t="str">
        <x:v>safety-path acceptance</x:v>
      </x:c>
      <x:c r="E773" t="str">
        <x:v>RHP-A2-SP2</x:v>
      </x:c>
      <x:c r="F773" t="n">
        <x:f>'Safety Logic'!H11</x:f>
        <x:v>0</x:v>
      </x:c>
      <x:c r="G773" t="n">
        <x:v>1</x:v>
      </x:c>
      <x:c r="H773" t="str">
        <x:v>equals</x:v>
      </x:c>
      <x:c r="I773" t="str">
        <x:v>independent acceptance</x:v>
      </x:c>
      <x:c r="J773" t="str">
        <x:f>IF(F773=G773,"PASS","OPEN")</x:f>
        <x:v>OPEN</x:v>
      </x:c>
    </x:row>
    <x:row r="774">
      <x:c r="B774" t="str">
        <x:v>PHY-SP-RHP-A2-SP3</x:v>
      </x:c>
      <x:c r="C774" t="str">
        <x:v>PHYSICAL</x:v>
      </x:c>
      <x:c r="D774" t="str">
        <x:v>safety-path acceptance</x:v>
      </x:c>
      <x:c r="E774" t="str">
        <x:v>RHP-A2-SP3</x:v>
      </x:c>
      <x:c r="F774" t="n">
        <x:f>'Safety Logic'!H12</x:f>
        <x:v>0</x:v>
      </x:c>
      <x:c r="G774" t="n">
        <x:v>1</x:v>
      </x:c>
      <x:c r="H774" t="str">
        <x:v>equals</x:v>
      </x:c>
      <x:c r="I774" t="str">
        <x:v>independent acceptance</x:v>
      </x:c>
      <x:c r="J774" t="str">
        <x:f>IF(F774=G774,"PASS","OPEN")</x:f>
        <x:v>OPEN</x:v>
      </x:c>
    </x:row>
    <x:row r="775">
      <x:c r="B775" t="str">
        <x:v>PHY-SP-RHP-B1-SP1</x:v>
      </x:c>
      <x:c r="C775" t="str">
        <x:v>PHYSICAL</x:v>
      </x:c>
      <x:c r="D775" t="str">
        <x:v>safety-path acceptance</x:v>
      </x:c>
      <x:c r="E775" t="str">
        <x:v>RHP-B1-SP1</x:v>
      </x:c>
      <x:c r="F775" t="n">
        <x:f>'Safety Logic'!H13</x:f>
        <x:v>0</x:v>
      </x:c>
      <x:c r="G775" t="n">
        <x:v>1</x:v>
      </x:c>
      <x:c r="H775" t="str">
        <x:v>equals</x:v>
      </x:c>
      <x:c r="I775" t="str">
        <x:v>independent acceptance</x:v>
      </x:c>
      <x:c r="J775" t="str">
        <x:f>IF(F775=G775,"PASS","OPEN")</x:f>
        <x:v>OPEN</x:v>
      </x:c>
    </x:row>
    <x:row r="776">
      <x:c r="B776" t="str">
        <x:v>PHY-SP-RHP-B1-SP2</x:v>
      </x:c>
      <x:c r="C776" t="str">
        <x:v>PHYSICAL</x:v>
      </x:c>
      <x:c r="D776" t="str">
        <x:v>safety-path acceptance</x:v>
      </x:c>
      <x:c r="E776" t="str">
        <x:v>RHP-B1-SP2</x:v>
      </x:c>
      <x:c r="F776" t="n">
        <x:f>'Safety Logic'!H14</x:f>
        <x:v>0</x:v>
      </x:c>
      <x:c r="G776" t="n">
        <x:v>1</x:v>
      </x:c>
      <x:c r="H776" t="str">
        <x:v>equals</x:v>
      </x:c>
      <x:c r="I776" t="str">
        <x:v>independent acceptance</x:v>
      </x:c>
      <x:c r="J776" t="str">
        <x:f>IF(F776=G776,"PASS","OPEN")</x:f>
        <x:v>OPEN</x:v>
      </x:c>
    </x:row>
    <x:row r="777">
      <x:c r="B777" t="str">
        <x:v>PHY-SP-RHP-B1-SP3</x:v>
      </x:c>
      <x:c r="C777" t="str">
        <x:v>PHYSICAL</x:v>
      </x:c>
      <x:c r="D777" t="str">
        <x:v>safety-path acceptance</x:v>
      </x:c>
      <x:c r="E777" t="str">
        <x:v>RHP-B1-SP3</x:v>
      </x:c>
      <x:c r="F777" t="n">
        <x:f>'Safety Logic'!H15</x:f>
        <x:v>0</x:v>
      </x:c>
      <x:c r="G777" t="n">
        <x:v>1</x:v>
      </x:c>
      <x:c r="H777" t="str">
        <x:v>equals</x:v>
      </x:c>
      <x:c r="I777" t="str">
        <x:v>independent acceptance</x:v>
      </x:c>
      <x:c r="J777" t="str">
        <x:f>IF(F777=G777,"PASS","OPEN")</x:f>
        <x:v>OPEN</x:v>
      </x:c>
    </x:row>
    <x:row r="778">
      <x:c r="B778" t="str">
        <x:v>PHY-SP-RHP-B2-SP1</x:v>
      </x:c>
      <x:c r="C778" t="str">
        <x:v>PHYSICAL</x:v>
      </x:c>
      <x:c r="D778" t="str">
        <x:v>safety-path acceptance</x:v>
      </x:c>
      <x:c r="E778" t="str">
        <x:v>RHP-B2-SP1</x:v>
      </x:c>
      <x:c r="F778" t="n">
        <x:f>'Safety Logic'!H16</x:f>
        <x:v>0</x:v>
      </x:c>
      <x:c r="G778" t="n">
        <x:v>1</x:v>
      </x:c>
      <x:c r="H778" t="str">
        <x:v>equals</x:v>
      </x:c>
      <x:c r="I778" t="str">
        <x:v>independent acceptance</x:v>
      </x:c>
      <x:c r="J778" t="str">
        <x:f>IF(F778=G778,"PASS","OPEN")</x:f>
        <x:v>OPEN</x:v>
      </x:c>
    </x:row>
    <x:row r="779">
      <x:c r="B779" t="str">
        <x:v>PHY-SP-RHP-B2-SP2</x:v>
      </x:c>
      <x:c r="C779" t="str">
        <x:v>PHYSICAL</x:v>
      </x:c>
      <x:c r="D779" t="str">
        <x:v>safety-path acceptance</x:v>
      </x:c>
      <x:c r="E779" t="str">
        <x:v>RHP-B2-SP2</x:v>
      </x:c>
      <x:c r="F779" t="n">
        <x:f>'Safety Logic'!H17</x:f>
        <x:v>0</x:v>
      </x:c>
      <x:c r="G779" t="n">
        <x:v>1</x:v>
      </x:c>
      <x:c r="H779" t="str">
        <x:v>equals</x:v>
      </x:c>
      <x:c r="I779" t="str">
        <x:v>independent acceptance</x:v>
      </x:c>
      <x:c r="J779" t="str">
        <x:f>IF(F779=G779,"PASS","OPEN")</x:f>
        <x:v>OPEN</x:v>
      </x:c>
    </x:row>
    <x:row r="780">
      <x:c r="B780" t="str">
        <x:v>PHY-SP-RHP-B2-SP3</x:v>
      </x:c>
      <x:c r="C780" t="str">
        <x:v>PHYSICAL</x:v>
      </x:c>
      <x:c r="D780" t="str">
        <x:v>safety-path acceptance</x:v>
      </x:c>
      <x:c r="E780" t="str">
        <x:v>RHP-B2-SP3</x:v>
      </x:c>
      <x:c r="F780" t="n">
        <x:f>'Safety Logic'!H18</x:f>
        <x:v>0</x:v>
      </x:c>
      <x:c r="G780" t="n">
        <x:v>1</x:v>
      </x:c>
      <x:c r="H780" t="str">
        <x:v>equals</x:v>
      </x:c>
      <x:c r="I780" t="str">
        <x:v>independent acceptance</x:v>
      </x:c>
      <x:c r="J780" t="str">
        <x:f>IF(F780=G780,"PASS","OPEN")</x:f>
        <x:v>OPEN</x:v>
      </x:c>
    </x:row>
    <x:row r="781">
      <x:c r="B781" t="str">
        <x:v>PHY-SP-RHP-C1-SP1</x:v>
      </x:c>
      <x:c r="C781" t="str">
        <x:v>PHYSICAL</x:v>
      </x:c>
      <x:c r="D781" t="str">
        <x:v>safety-path acceptance</x:v>
      </x:c>
      <x:c r="E781" t="str">
        <x:v>RHP-C1-SP1</x:v>
      </x:c>
      <x:c r="F781" t="n">
        <x:f>'Safety Logic'!H19</x:f>
        <x:v>0</x:v>
      </x:c>
      <x:c r="G781" t="n">
        <x:v>1</x:v>
      </x:c>
      <x:c r="H781" t="str">
        <x:v>equals</x:v>
      </x:c>
      <x:c r="I781" t="str">
        <x:v>independent acceptance</x:v>
      </x:c>
      <x:c r="J781" t="str">
        <x:f>IF(F781=G781,"PASS","OPEN")</x:f>
        <x:v>OPEN</x:v>
      </x:c>
    </x:row>
    <x:row r="782">
      <x:c r="B782" t="str">
        <x:v>PHY-SP-RHP-C1-SP2</x:v>
      </x:c>
      <x:c r="C782" t="str">
        <x:v>PHYSICAL</x:v>
      </x:c>
      <x:c r="D782" t="str">
        <x:v>safety-path acceptance</x:v>
      </x:c>
      <x:c r="E782" t="str">
        <x:v>RHP-C1-SP2</x:v>
      </x:c>
      <x:c r="F782" t="n">
        <x:f>'Safety Logic'!H20</x:f>
        <x:v>0</x:v>
      </x:c>
      <x:c r="G782" t="n">
        <x:v>1</x:v>
      </x:c>
      <x:c r="H782" t="str">
        <x:v>equals</x:v>
      </x:c>
      <x:c r="I782" t="str">
        <x:v>independent acceptance</x:v>
      </x:c>
      <x:c r="J782" t="str">
        <x:f>IF(F782=G782,"PASS","OPEN")</x:f>
        <x:v>OPEN</x:v>
      </x:c>
    </x:row>
    <x:row r="783">
      <x:c r="B783" t="str">
        <x:v>PHY-SP-RHP-C1-SP3</x:v>
      </x:c>
      <x:c r="C783" t="str">
        <x:v>PHYSICAL</x:v>
      </x:c>
      <x:c r="D783" t="str">
        <x:v>safety-path acceptance</x:v>
      </x:c>
      <x:c r="E783" t="str">
        <x:v>RHP-C1-SP3</x:v>
      </x:c>
      <x:c r="F783" t="n">
        <x:f>'Safety Logic'!H21</x:f>
        <x:v>0</x:v>
      </x:c>
      <x:c r="G783" t="n">
        <x:v>1</x:v>
      </x:c>
      <x:c r="H783" t="str">
        <x:v>equals</x:v>
      </x:c>
      <x:c r="I783" t="str">
        <x:v>independent acceptance</x:v>
      </x:c>
      <x:c r="J783" t="str">
        <x:f>IF(F783=G783,"PASS","OPEN")</x:f>
        <x:v>OPEN</x:v>
      </x:c>
    </x:row>
    <x:row r="784">
      <x:c r="B784" t="str">
        <x:v>PHY-SP-RHP-C2-SP1</x:v>
      </x:c>
      <x:c r="C784" t="str">
        <x:v>PHYSICAL</x:v>
      </x:c>
      <x:c r="D784" t="str">
        <x:v>safety-path acceptance</x:v>
      </x:c>
      <x:c r="E784" t="str">
        <x:v>RHP-C2-SP1</x:v>
      </x:c>
      <x:c r="F784" t="n">
        <x:f>'Safety Logic'!H22</x:f>
        <x:v>0</x:v>
      </x:c>
      <x:c r="G784" t="n">
        <x:v>1</x:v>
      </x:c>
      <x:c r="H784" t="str">
        <x:v>equals</x:v>
      </x:c>
      <x:c r="I784" t="str">
        <x:v>independent acceptance</x:v>
      </x:c>
      <x:c r="J784" t="str">
        <x:f>IF(F784=G784,"PASS","OPEN")</x:f>
        <x:v>OPEN</x:v>
      </x:c>
    </x:row>
    <x:row r="785">
      <x:c r="B785" t="str">
        <x:v>PHY-SP-RHP-C2-SP2</x:v>
      </x:c>
      <x:c r="C785" t="str">
        <x:v>PHYSICAL</x:v>
      </x:c>
      <x:c r="D785" t="str">
        <x:v>safety-path acceptance</x:v>
      </x:c>
      <x:c r="E785" t="str">
        <x:v>RHP-C2-SP2</x:v>
      </x:c>
      <x:c r="F785" t="n">
        <x:f>'Safety Logic'!H23</x:f>
        <x:v>0</x:v>
      </x:c>
      <x:c r="G785" t="n">
        <x:v>1</x:v>
      </x:c>
      <x:c r="H785" t="str">
        <x:v>equals</x:v>
      </x:c>
      <x:c r="I785" t="str">
        <x:v>independent acceptance</x:v>
      </x:c>
      <x:c r="J785" t="str">
        <x:f>IF(F785=G785,"PASS","OPEN")</x:f>
        <x:v>OPEN</x:v>
      </x:c>
    </x:row>
    <x:row r="786">
      <x:c r="B786" t="str">
        <x:v>PHY-SP-RHP-C2-SP3</x:v>
      </x:c>
      <x:c r="C786" t="str">
        <x:v>PHYSICAL</x:v>
      </x:c>
      <x:c r="D786" t="str">
        <x:v>safety-path acceptance</x:v>
      </x:c>
      <x:c r="E786" t="str">
        <x:v>RHP-C2-SP3</x:v>
      </x:c>
      <x:c r="F786" t="n">
        <x:f>'Safety Logic'!H24</x:f>
        <x:v>0</x:v>
      </x:c>
      <x:c r="G786" t="n">
        <x:v>1</x:v>
      </x:c>
      <x:c r="H786" t="str">
        <x:v>equals</x:v>
      </x:c>
      <x:c r="I786" t="str">
        <x:v>independent acceptance</x:v>
      </x:c>
      <x:c r="J786" t="str">
        <x:f>IF(F786=G786,"PASS","OPEN")</x:f>
        <x:v>OPEN</x:v>
      </x:c>
    </x:row>
    <x:row r="787">
      <x:c r="B787" t="str">
        <x:v>PHY-RR-1</x:v>
      </x:c>
      <x:c r="C787" t="str">
        <x:v>PHYSICAL</x:v>
      </x:c>
      <x:c r="D787" t="str">
        <x:v>rescue-package acceptance</x:v>
      </x:c>
      <x:c r="E787" t="str">
        <x:v>RHP-A1-RR</x:v>
      </x:c>
      <x:c r="F787" t="n">
        <x:f>'Rescue Recovery'!G7</x:f>
        <x:v>0</x:v>
      </x:c>
      <x:c r="G787" t="n">
        <x:v>1</x:v>
      </x:c>
      <x:c r="H787" t="str">
        <x:v>equals</x:v>
      </x:c>
      <x:c r="I787" t="str">
        <x:v>independent acceptance</x:v>
      </x:c>
      <x:c r="J787" t="str">
        <x:f>IF(F787=G787,"PASS","OPEN")</x:f>
        <x:v>OPEN</x:v>
      </x:c>
    </x:row>
    <x:row r="788">
      <x:c r="B788" t="str">
        <x:v>PHY-RR-2</x:v>
      </x:c>
      <x:c r="C788" t="str">
        <x:v>PHYSICAL</x:v>
      </x:c>
      <x:c r="D788" t="str">
        <x:v>rescue-package acceptance</x:v>
      </x:c>
      <x:c r="E788" t="str">
        <x:v>RHP-A2-RR</x:v>
      </x:c>
      <x:c r="F788" t="n">
        <x:f>'Rescue Recovery'!G8</x:f>
        <x:v>0</x:v>
      </x:c>
      <x:c r="G788" t="n">
        <x:v>1</x:v>
      </x:c>
      <x:c r="H788" t="str">
        <x:v>equals</x:v>
      </x:c>
      <x:c r="I788" t="str">
        <x:v>independent acceptance</x:v>
      </x:c>
      <x:c r="J788" t="str">
        <x:f>IF(F788=G788,"PASS","OPEN")</x:f>
        <x:v>OPEN</x:v>
      </x:c>
    </x:row>
    <x:row r="789">
      <x:c r="B789" t="str">
        <x:v>PHY-RR-3</x:v>
      </x:c>
      <x:c r="C789" t="str">
        <x:v>PHYSICAL</x:v>
      </x:c>
      <x:c r="D789" t="str">
        <x:v>rescue-package acceptance</x:v>
      </x:c>
      <x:c r="E789" t="str">
        <x:v>RHP-B1-RR</x:v>
      </x:c>
      <x:c r="F789" t="n">
        <x:f>'Rescue Recovery'!G9</x:f>
        <x:v>0</x:v>
      </x:c>
      <x:c r="G789" t="n">
        <x:v>1</x:v>
      </x:c>
      <x:c r="H789" t="str">
        <x:v>equals</x:v>
      </x:c>
      <x:c r="I789" t="str">
        <x:v>independent acceptance</x:v>
      </x:c>
      <x:c r="J789" t="str">
        <x:f>IF(F789=G789,"PASS","OPEN")</x:f>
        <x:v>OPEN</x:v>
      </x:c>
    </x:row>
    <x:row r="790">
      <x:c r="B790" t="str">
        <x:v>PHY-RR-4</x:v>
      </x:c>
      <x:c r="C790" t="str">
        <x:v>PHYSICAL</x:v>
      </x:c>
      <x:c r="D790" t="str">
        <x:v>rescue-package acceptance</x:v>
      </x:c>
      <x:c r="E790" t="str">
        <x:v>RHP-B2-RR</x:v>
      </x:c>
      <x:c r="F790" t="n">
        <x:f>'Rescue Recovery'!G10</x:f>
        <x:v>0</x:v>
      </x:c>
      <x:c r="G790" t="n">
        <x:v>1</x:v>
      </x:c>
      <x:c r="H790" t="str">
        <x:v>equals</x:v>
      </x:c>
      <x:c r="I790" t="str">
        <x:v>independent acceptance</x:v>
      </x:c>
      <x:c r="J790" t="str">
        <x:f>IF(F790=G790,"PASS","OPEN")</x:f>
        <x:v>OPEN</x:v>
      </x:c>
    </x:row>
    <x:row r="791">
      <x:c r="B791" t="str">
        <x:v>PHY-RR-5</x:v>
      </x:c>
      <x:c r="C791" t="str">
        <x:v>PHYSICAL</x:v>
      </x:c>
      <x:c r="D791" t="str">
        <x:v>rescue-package acceptance</x:v>
      </x:c>
      <x:c r="E791" t="str">
        <x:v>RHP-C1-RR</x:v>
      </x:c>
      <x:c r="F791" t="n">
        <x:f>'Rescue Recovery'!G11</x:f>
        <x:v>0</x:v>
      </x:c>
      <x:c r="G791" t="n">
        <x:v>1</x:v>
      </x:c>
      <x:c r="H791" t="str">
        <x:v>equals</x:v>
      </x:c>
      <x:c r="I791" t="str">
        <x:v>independent acceptance</x:v>
      </x:c>
      <x:c r="J791" t="str">
        <x:f>IF(F791=G791,"PASS","OPEN")</x:f>
        <x:v>OPEN</x:v>
      </x:c>
    </x:row>
    <x:row r="792">
      <x:c r="B792" t="str">
        <x:v>PHY-RR-6</x:v>
      </x:c>
      <x:c r="C792" t="str">
        <x:v>PHYSICAL</x:v>
      </x:c>
      <x:c r="D792" t="str">
        <x:v>rescue-package acceptance</x:v>
      </x:c>
      <x:c r="E792" t="str">
        <x:v>RHP-C2-RR</x:v>
      </x:c>
      <x:c r="F792" t="n">
        <x:f>'Rescue Recovery'!G12</x:f>
        <x:v>0</x:v>
      </x:c>
      <x:c r="G792" t="n">
        <x:v>1</x:v>
      </x:c>
      <x:c r="H792" t="str">
        <x:v>equals</x:v>
      </x:c>
      <x:c r="I792" t="str">
        <x:v>independent acceptance</x:v>
      </x:c>
      <x:c r="J792" t="str">
        <x:f>IF(F792=G792,"PASS","OPEN")</x:f>
        <x:v>OPEN</x:v>
      </x:c>
    </x:row>
    <x:row r="793">
      <x:c r="B793" t="str">
        <x:v>PHY-EO-1</x:v>
      </x:c>
      <x:c r="C793" t="str">
        <x:v>PHYSICAL</x:v>
      </x:c>
      <x:c r="D793" t="str">
        <x:v>evidence-original acceptance</x:v>
      </x:c>
      <x:c r="E793" t="str">
        <x:v>original 1</x:v>
      </x:c>
      <x:c r="F793" t="n">
        <x:f>IF('Data Volume'!C15&gt;=1,1,0)</x:f>
        <x:v>0</x:v>
      </x:c>
      <x:c r="G793" t="n">
        <x:v>1</x:v>
      </x:c>
      <x:c r="H793" t="str">
        <x:v>equals</x:v>
      </x:c>
      <x:c r="I793" t="str">
        <x:v>independent acceptance</x:v>
      </x:c>
      <x:c r="J793" t="str">
        <x:f>IF(F793=G793,"PASS","OPEN")</x:f>
        <x:v>OPEN</x:v>
      </x:c>
    </x:row>
    <x:row r="794">
      <x:c r="B794" t="str">
        <x:v>PHY-EO-2</x:v>
      </x:c>
      <x:c r="C794" t="str">
        <x:v>PHYSICAL</x:v>
      </x:c>
      <x:c r="D794" t="str">
        <x:v>evidence-original acceptance</x:v>
      </x:c>
      <x:c r="E794" t="str">
        <x:v>original 2</x:v>
      </x:c>
      <x:c r="F794" t="n">
        <x:f>IF('Data Volume'!C15&gt;=2,1,0)</x:f>
        <x:v>0</x:v>
      </x:c>
      <x:c r="G794" t="n">
        <x:v>1</x:v>
      </x:c>
      <x:c r="H794" t="str">
        <x:v>equals</x:v>
      </x:c>
      <x:c r="I794" t="str">
        <x:v>independent acceptance</x:v>
      </x:c>
      <x:c r="J794" t="str">
        <x:f>IF(F794=G794,"PASS","OPEN")</x:f>
        <x:v>OPEN</x:v>
      </x:c>
    </x:row>
    <x:row r="795">
      <x:c r="B795" t="str">
        <x:v>PHY-EO-3</x:v>
      </x:c>
      <x:c r="C795" t="str">
        <x:v>PHYSICAL</x:v>
      </x:c>
      <x:c r="D795" t="str">
        <x:v>evidence-original acceptance</x:v>
      </x:c>
      <x:c r="E795" t="str">
        <x:v>original 3</x:v>
      </x:c>
      <x:c r="F795" t="n">
        <x:f>IF('Data Volume'!C15&gt;=3,1,0)</x:f>
        <x:v>0</x:v>
      </x:c>
      <x:c r="G795" t="n">
        <x:v>1</x:v>
      </x:c>
      <x:c r="H795" t="str">
        <x:v>equals</x:v>
      </x:c>
      <x:c r="I795" t="str">
        <x:v>independent acceptance</x:v>
      </x:c>
      <x:c r="J795" t="str">
        <x:f>IF(F795=G795,"PASS","OPEN")</x:f>
        <x:v>OPEN</x:v>
      </x:c>
    </x:row>
    <x:row r="796">
      <x:c r="B796" t="str">
        <x:v>PHY-EO-4</x:v>
      </x:c>
      <x:c r="C796" t="str">
        <x:v>PHYSICAL</x:v>
      </x:c>
      <x:c r="D796" t="str">
        <x:v>evidence-original acceptance</x:v>
      </x:c>
      <x:c r="E796" t="str">
        <x:v>original 4</x:v>
      </x:c>
      <x:c r="F796" t="n">
        <x:f>IF('Data Volume'!C15&gt;=4,1,0)</x:f>
        <x:v>0</x:v>
      </x:c>
      <x:c r="G796" t="n">
        <x:v>1</x:v>
      </x:c>
      <x:c r="H796" t="str">
        <x:v>equals</x:v>
      </x:c>
      <x:c r="I796" t="str">
        <x:v>independent acceptance</x:v>
      </x:c>
      <x:c r="J796" t="str">
        <x:f>IF(F796=G796,"PASS","OPEN")</x:f>
        <x:v>OPEN</x:v>
      </x:c>
    </x:row>
    <x:row r="797">
      <x:c r="B797" t="str">
        <x:v>PHY-EO-5</x:v>
      </x:c>
      <x:c r="C797" t="str">
        <x:v>PHYSICAL</x:v>
      </x:c>
      <x:c r="D797" t="str">
        <x:v>evidence-original acceptance</x:v>
      </x:c>
      <x:c r="E797" t="str">
        <x:v>original 5</x:v>
      </x:c>
      <x:c r="F797" t="n">
        <x:f>IF('Data Volume'!C15&gt;=5,1,0)</x:f>
        <x:v>0</x:v>
      </x:c>
      <x:c r="G797" t="n">
        <x:v>1</x:v>
      </x:c>
      <x:c r="H797" t="str">
        <x:v>equals</x:v>
      </x:c>
      <x:c r="I797" t="str">
        <x:v>independent acceptance</x:v>
      </x:c>
      <x:c r="J797" t="str">
        <x:f>IF(F797=G797,"PASS","OPEN")</x:f>
        <x:v>OPEN</x:v>
      </x:c>
    </x:row>
    <x:row r="798">
      <x:c r="B798" t="str">
        <x:v>PHY-EO-6</x:v>
      </x:c>
      <x:c r="C798" t="str">
        <x:v>PHYSICAL</x:v>
      </x:c>
      <x:c r="D798" t="str">
        <x:v>evidence-original acceptance</x:v>
      </x:c>
      <x:c r="E798" t="str">
        <x:v>original 6</x:v>
      </x:c>
      <x:c r="F798" t="n">
        <x:f>IF('Data Volume'!C15&gt;=6,1,0)</x:f>
        <x:v>0</x:v>
      </x:c>
      <x:c r="G798" t="n">
        <x:v>1</x:v>
      </x:c>
      <x:c r="H798" t="str">
        <x:v>equals</x:v>
      </x:c>
      <x:c r="I798" t="str">
        <x:v>independent acceptance</x:v>
      </x:c>
      <x:c r="J798" t="str">
        <x:f>IF(F798=G798,"PASS","OPEN")</x:f>
        <x:v>OPEN</x:v>
      </x:c>
    </x:row>
    <x:row r="799">
      <x:c r="B799" t="str">
        <x:v>PHY-EO-7</x:v>
      </x:c>
      <x:c r="C799" t="str">
        <x:v>PHYSICAL</x:v>
      </x:c>
      <x:c r="D799" t="str">
        <x:v>evidence-original acceptance</x:v>
      </x:c>
      <x:c r="E799" t="str">
        <x:v>original 7</x:v>
      </x:c>
      <x:c r="F799" t="n">
        <x:f>IF('Data Volume'!C15&gt;=7,1,0)</x:f>
        <x:v>0</x:v>
      </x:c>
      <x:c r="G799" t="n">
        <x:v>1</x:v>
      </x:c>
      <x:c r="H799" t="str">
        <x:v>equals</x:v>
      </x:c>
      <x:c r="I799" t="str">
        <x:v>independent acceptance</x:v>
      </x:c>
      <x:c r="J799" t="str">
        <x:f>IF(F799=G799,"PASS","OPEN")</x:f>
        <x:v>OPEN</x:v>
      </x:c>
    </x:row>
    <x:row r="800">
      <x:c r="B800" t="str">
        <x:v>PHY-EO-8</x:v>
      </x:c>
      <x:c r="C800" t="str">
        <x:v>PHYSICAL</x:v>
      </x:c>
      <x:c r="D800" t="str">
        <x:v>evidence-original acceptance</x:v>
      </x:c>
      <x:c r="E800" t="str">
        <x:v>original 8</x:v>
      </x:c>
      <x:c r="F800" t="n">
        <x:f>IF('Data Volume'!C15&gt;=8,1,0)</x:f>
        <x:v>0</x:v>
      </x:c>
      <x:c r="G800" t="n">
        <x:v>1</x:v>
      </x:c>
      <x:c r="H800" t="str">
        <x:v>equals</x:v>
      </x:c>
      <x:c r="I800" t="str">
        <x:v>independent acceptance</x:v>
      </x:c>
      <x:c r="J800" t="str">
        <x:f>IF(F800=G800,"PASS","OPEN")</x:f>
        <x:v>OPEN</x:v>
      </x:c>
    </x:row>
    <x:row r="801">
      <x:c r="B801" t="str">
        <x:v>PHY-EO-9</x:v>
      </x:c>
      <x:c r="C801" t="str">
        <x:v>PHYSICAL</x:v>
      </x:c>
      <x:c r="D801" t="str">
        <x:v>evidence-original acceptance</x:v>
      </x:c>
      <x:c r="E801" t="str">
        <x:v>original 9</x:v>
      </x:c>
      <x:c r="F801" t="n">
        <x:f>IF('Data Volume'!C15&gt;=9,1,0)</x:f>
        <x:v>0</x:v>
      </x:c>
      <x:c r="G801" t="n">
        <x:v>1</x:v>
      </x:c>
      <x:c r="H801" t="str">
        <x:v>equals</x:v>
      </x:c>
      <x:c r="I801" t="str">
        <x:v>independent acceptance</x:v>
      </x:c>
      <x:c r="J801" t="str">
        <x:f>IF(F801=G801,"PASS","OPEN")</x:f>
        <x:v>OPEN</x:v>
      </x:c>
    </x:row>
    <x:row r="802">
      <x:c r="B802" t="str">
        <x:v>PHY-EO-10</x:v>
      </x:c>
      <x:c r="C802" t="str">
        <x:v>PHYSICAL</x:v>
      </x:c>
      <x:c r="D802" t="str">
        <x:v>evidence-original acceptance</x:v>
      </x:c>
      <x:c r="E802" t="str">
        <x:v>original 10</x:v>
      </x:c>
      <x:c r="F802" t="n">
        <x:f>IF('Data Volume'!C15&gt;=10,1,0)</x:f>
        <x:v>0</x:v>
      </x:c>
      <x:c r="G802" t="n">
        <x:v>1</x:v>
      </x:c>
      <x:c r="H802" t="str">
        <x:v>equals</x:v>
      </x:c>
      <x:c r="I802" t="str">
        <x:v>independent acceptance</x:v>
      </x:c>
      <x:c r="J802" t="str">
        <x:f>IF(F802=G802,"PASS","OPEN")</x:f>
        <x:v>OPEN</x:v>
      </x:c>
    </x:row>
    <x:row r="803">
      <x:c r="B803" t="str">
        <x:v>PHY-EO-11</x:v>
      </x:c>
      <x:c r="C803" t="str">
        <x:v>PHYSICAL</x:v>
      </x:c>
      <x:c r="D803" t="str">
        <x:v>evidence-original acceptance</x:v>
      </x:c>
      <x:c r="E803" t="str">
        <x:v>original 11</x:v>
      </x:c>
      <x:c r="F803" t="n">
        <x:f>IF('Data Volume'!C15&gt;=11,1,0)</x:f>
        <x:v>0</x:v>
      </x:c>
      <x:c r="G803" t="n">
        <x:v>1</x:v>
      </x:c>
      <x:c r="H803" t="str">
        <x:v>equals</x:v>
      </x:c>
      <x:c r="I803" t="str">
        <x:v>independent acceptance</x:v>
      </x:c>
      <x:c r="J803" t="str">
        <x:f>IF(F803=G803,"PASS","OPEN")</x:f>
        <x:v>OPEN</x:v>
      </x:c>
    </x:row>
    <x:row r="804">
      <x:c r="B804" t="str">
        <x:v>PHY-EO-12</x:v>
      </x:c>
      <x:c r="C804" t="str">
        <x:v>PHYSICAL</x:v>
      </x:c>
      <x:c r="D804" t="str">
        <x:v>evidence-original acceptance</x:v>
      </x:c>
      <x:c r="E804" t="str">
        <x:v>original 12</x:v>
      </x:c>
      <x:c r="F804" t="n">
        <x:f>IF('Data Volume'!C15&gt;=12,1,0)</x:f>
        <x:v>0</x:v>
      </x:c>
      <x:c r="G804" t="n">
        <x:v>1</x:v>
      </x:c>
      <x:c r="H804" t="str">
        <x:v>equals</x:v>
      </x:c>
      <x:c r="I804" t="str">
        <x:v>independent acceptance</x:v>
      </x:c>
      <x:c r="J804" t="str">
        <x:f>IF(F804=G804,"PASS","OPEN")</x:f>
        <x:v>OPEN</x:v>
      </x:c>
    </x:row>
    <x:row r="805">
      <x:c r="B805" t="str">
        <x:v>PHY-MP-RHP-A1-MP01</x:v>
      </x:c>
      <x:c r="C805" t="str">
        <x:v>PHYSICAL</x:v>
      </x:c>
      <x:c r="D805" t="str">
        <x:v>plane calibration</x:v>
      </x:c>
      <x:c r="E805" t="str">
        <x:v>RHP-A1-MP01</x:v>
      </x:c>
      <x:c r="F805" t="n">
        <x:f>'Measurement Planes'!H7</x:f>
        <x:v>0</x:v>
      </x:c>
      <x:c r="G805" t="n">
        <x:v>1</x:v>
      </x:c>
      <x:c r="H805" t="str">
        <x:v>equals</x:v>
      </x:c>
      <x:c r="I805" t="str">
        <x:v>independent acceptance</x:v>
      </x:c>
      <x:c r="J805" t="str">
        <x:f>IF(F805=G805,"PASS","OPEN")</x:f>
        <x:v>OPEN</x:v>
      </x:c>
    </x:row>
    <x:row r="806">
      <x:c r="B806" t="str">
        <x:v>PHY-MP-RHP-A1-MP02</x:v>
      </x:c>
      <x:c r="C806" t="str">
        <x:v>PHYSICAL</x:v>
      </x:c>
      <x:c r="D806" t="str">
        <x:v>plane calibration</x:v>
      </x:c>
      <x:c r="E806" t="str">
        <x:v>RHP-A1-MP02</x:v>
      </x:c>
      <x:c r="F806" t="n">
        <x:f>'Measurement Planes'!H8</x:f>
        <x:v>0</x:v>
      </x:c>
      <x:c r="G806" t="n">
        <x:v>1</x:v>
      </x:c>
      <x:c r="H806" t="str">
        <x:v>equals</x:v>
      </x:c>
      <x:c r="I806" t="str">
        <x:v>independent acceptance</x:v>
      </x:c>
      <x:c r="J806" t="str">
        <x:f>IF(F806=G806,"PASS","OPEN")</x:f>
        <x:v>OPEN</x:v>
      </x:c>
    </x:row>
    <x:row r="807">
      <x:c r="B807" t="str">
        <x:v>PHY-MP-RHP-A1-MP03</x:v>
      </x:c>
      <x:c r="C807" t="str">
        <x:v>PHYSICAL</x:v>
      </x:c>
      <x:c r="D807" t="str">
        <x:v>plane calibration</x:v>
      </x:c>
      <x:c r="E807" t="str">
        <x:v>RHP-A1-MP03</x:v>
      </x:c>
      <x:c r="F807" t="n">
        <x:f>'Measurement Planes'!H9</x:f>
        <x:v>0</x:v>
      </x:c>
      <x:c r="G807" t="n">
        <x:v>1</x:v>
      </x:c>
      <x:c r="H807" t="str">
        <x:v>equals</x:v>
      </x:c>
      <x:c r="I807" t="str">
        <x:v>independent acceptance</x:v>
      </x:c>
      <x:c r="J807" t="str">
        <x:f>IF(F807=G807,"PASS","OPEN")</x:f>
        <x:v>OPEN</x:v>
      </x:c>
    </x:row>
    <x:row r="808">
      <x:c r="B808" t="str">
        <x:v>PHY-MP-RHP-A1-MP04</x:v>
      </x:c>
      <x:c r="C808" t="str">
        <x:v>PHYSICAL</x:v>
      </x:c>
      <x:c r="D808" t="str">
        <x:v>plane calibration</x:v>
      </x:c>
      <x:c r="E808" t="str">
        <x:v>RHP-A1-MP04</x:v>
      </x:c>
      <x:c r="F808" t="n">
        <x:f>'Measurement Planes'!H10</x:f>
        <x:v>0</x:v>
      </x:c>
      <x:c r="G808" t="n">
        <x:v>1</x:v>
      </x:c>
      <x:c r="H808" t="str">
        <x:v>equals</x:v>
      </x:c>
      <x:c r="I808" t="str">
        <x:v>independent acceptance</x:v>
      </x:c>
      <x:c r="J808" t="str">
        <x:f>IF(F808=G808,"PASS","OPEN")</x:f>
        <x:v>OPEN</x:v>
      </x:c>
    </x:row>
    <x:row r="809">
      <x:c r="B809" t="str">
        <x:v>PHY-MP-RHP-A1-MP05</x:v>
      </x:c>
      <x:c r="C809" t="str">
        <x:v>PHYSICAL</x:v>
      </x:c>
      <x:c r="D809" t="str">
        <x:v>plane calibration</x:v>
      </x:c>
      <x:c r="E809" t="str">
        <x:v>RHP-A1-MP05</x:v>
      </x:c>
      <x:c r="F809" t="n">
        <x:f>'Measurement Planes'!H11</x:f>
        <x:v>0</x:v>
      </x:c>
      <x:c r="G809" t="n">
        <x:v>1</x:v>
      </x:c>
      <x:c r="H809" t="str">
        <x:v>equals</x:v>
      </x:c>
      <x:c r="I809" t="str">
        <x:v>independent acceptance</x:v>
      </x:c>
      <x:c r="J809" t="str">
        <x:f>IF(F809=G809,"PASS","OPEN")</x:f>
        <x:v>OPEN</x:v>
      </x:c>
    </x:row>
    <x:row r="810">
      <x:c r="B810" t="str">
        <x:v>PHY-MP-RHP-A1-MP06</x:v>
      </x:c>
      <x:c r="C810" t="str">
        <x:v>PHYSICAL</x:v>
      </x:c>
      <x:c r="D810" t="str">
        <x:v>plane calibration</x:v>
      </x:c>
      <x:c r="E810" t="str">
        <x:v>RHP-A1-MP06</x:v>
      </x:c>
      <x:c r="F810" t="n">
        <x:f>'Measurement Planes'!H12</x:f>
        <x:v>0</x:v>
      </x:c>
      <x:c r="G810" t="n">
        <x:v>1</x:v>
      </x:c>
      <x:c r="H810" t="str">
        <x:v>equals</x:v>
      </x:c>
      <x:c r="I810" t="str">
        <x:v>independent acceptance</x:v>
      </x:c>
      <x:c r="J810" t="str">
        <x:f>IF(F810=G810,"PASS","OPEN")</x:f>
        <x:v>OPEN</x:v>
      </x:c>
    </x:row>
    <x:row r="811">
      <x:c r="B811" t="str">
        <x:v>PHY-MP-RHP-A1-MP07</x:v>
      </x:c>
      <x:c r="C811" t="str">
        <x:v>PHYSICAL</x:v>
      </x:c>
      <x:c r="D811" t="str">
        <x:v>plane calibration</x:v>
      </x:c>
      <x:c r="E811" t="str">
        <x:v>RHP-A1-MP07</x:v>
      </x:c>
      <x:c r="F811" t="n">
        <x:f>'Measurement Planes'!H13</x:f>
        <x:v>0</x:v>
      </x:c>
      <x:c r="G811" t="n">
        <x:v>1</x:v>
      </x:c>
      <x:c r="H811" t="str">
        <x:v>equals</x:v>
      </x:c>
      <x:c r="I811" t="str">
        <x:v>independent acceptance</x:v>
      </x:c>
      <x:c r="J811" t="str">
        <x:f>IF(F811=G811,"PASS","OPEN")</x:f>
        <x:v>OPEN</x:v>
      </x:c>
    </x:row>
    <x:row r="812">
      <x:c r="B812" t="str">
        <x:v>PHY-MP-RHP-A1-MP08</x:v>
      </x:c>
      <x:c r="C812" t="str">
        <x:v>PHYSICAL</x:v>
      </x:c>
      <x:c r="D812" t="str">
        <x:v>plane calibration</x:v>
      </x:c>
      <x:c r="E812" t="str">
        <x:v>RHP-A1-MP08</x:v>
      </x:c>
      <x:c r="F812" t="n">
        <x:f>'Measurement Planes'!H14</x:f>
        <x:v>0</x:v>
      </x:c>
      <x:c r="G812" t="n">
        <x:v>1</x:v>
      </x:c>
      <x:c r="H812" t="str">
        <x:v>equals</x:v>
      </x:c>
      <x:c r="I812" t="str">
        <x:v>independent acceptance</x:v>
      </x:c>
      <x:c r="J812" t="str">
        <x:f>IF(F812=G812,"PASS","OPEN")</x:f>
        <x:v>OPEN</x:v>
      </x:c>
    </x:row>
    <x:row r="813">
      <x:c r="B813" t="str">
        <x:v>PHY-MP-RHP-A1-MP09</x:v>
      </x:c>
      <x:c r="C813" t="str">
        <x:v>PHYSICAL</x:v>
      </x:c>
      <x:c r="D813" t="str">
        <x:v>plane calibration</x:v>
      </x:c>
      <x:c r="E813" t="str">
        <x:v>RHP-A1-MP09</x:v>
      </x:c>
      <x:c r="F813" t="n">
        <x:f>'Measurement Planes'!H15</x:f>
        <x:v>0</x:v>
      </x:c>
      <x:c r="G813" t="n">
        <x:v>1</x:v>
      </x:c>
      <x:c r="H813" t="str">
        <x:v>equals</x:v>
      </x:c>
      <x:c r="I813" t="str">
        <x:v>independent acceptance</x:v>
      </x:c>
      <x:c r="J813" t="str">
        <x:f>IF(F813=G813,"PASS","OPEN")</x:f>
        <x:v>OPEN</x:v>
      </x:c>
    </x:row>
    <x:row r="814">
      <x:c r="B814" t="str">
        <x:v>PHY-MP-RHP-A1-MP10</x:v>
      </x:c>
      <x:c r="C814" t="str">
        <x:v>PHYSICAL</x:v>
      </x:c>
      <x:c r="D814" t="str">
        <x:v>plane calibration</x:v>
      </x:c>
      <x:c r="E814" t="str">
        <x:v>RHP-A1-MP10</x:v>
      </x:c>
      <x:c r="F814" t="n">
        <x:f>'Measurement Planes'!H16</x:f>
        <x:v>0</x:v>
      </x:c>
      <x:c r="G814" t="n">
        <x:v>1</x:v>
      </x:c>
      <x:c r="H814" t="str">
        <x:v>equals</x:v>
      </x:c>
      <x:c r="I814" t="str">
        <x:v>independent acceptance</x:v>
      </x:c>
      <x:c r="J814" t="str">
        <x:f>IF(F814=G814,"PASS","OPEN")</x:f>
        <x:v>OPEN</x:v>
      </x:c>
    </x:row>
    <x:row r="815">
      <x:c r="B815" t="str">
        <x:v>PHY-MP-RHP-A1-MP11</x:v>
      </x:c>
      <x:c r="C815" t="str">
        <x:v>PHYSICAL</x:v>
      </x:c>
      <x:c r="D815" t="str">
        <x:v>plane calibration</x:v>
      </x:c>
      <x:c r="E815" t="str">
        <x:v>RHP-A1-MP11</x:v>
      </x:c>
      <x:c r="F815" t="n">
        <x:f>'Measurement Planes'!H17</x:f>
        <x:v>0</x:v>
      </x:c>
      <x:c r="G815" t="n">
        <x:v>1</x:v>
      </x:c>
      <x:c r="H815" t="str">
        <x:v>equals</x:v>
      </x:c>
      <x:c r="I815" t="str">
        <x:v>independent acceptance</x:v>
      </x:c>
      <x:c r="J815" t="str">
        <x:f>IF(F815=G815,"PASS","OPEN")</x:f>
        <x:v>OPEN</x:v>
      </x:c>
    </x:row>
    <x:row r="816">
      <x:c r="B816" t="str">
        <x:v>PHY-MP-RHP-A1-MP12</x:v>
      </x:c>
      <x:c r="C816" t="str">
        <x:v>PHYSICAL</x:v>
      </x:c>
      <x:c r="D816" t="str">
        <x:v>plane calibration</x:v>
      </x:c>
      <x:c r="E816" t="str">
        <x:v>RHP-A1-MP12</x:v>
      </x:c>
      <x:c r="F816" t="n">
        <x:f>'Measurement Planes'!H18</x:f>
        <x:v>0</x:v>
      </x:c>
      <x:c r="G816" t="n">
        <x:v>1</x:v>
      </x:c>
      <x:c r="H816" t="str">
        <x:v>equals</x:v>
      </x:c>
      <x:c r="I816" t="str">
        <x:v>independent acceptance</x:v>
      </x:c>
      <x:c r="J816" t="str">
        <x:f>IF(F816=G816,"PASS","OPEN")</x:f>
        <x:v>OPEN</x:v>
      </x:c>
    </x:row>
    <x:row r="817">
      <x:c r="B817" t="str">
        <x:v>PHY-MP-RHP-A1-MP13</x:v>
      </x:c>
      <x:c r="C817" t="str">
        <x:v>PHYSICAL</x:v>
      </x:c>
      <x:c r="D817" t="str">
        <x:v>plane calibration</x:v>
      </x:c>
      <x:c r="E817" t="str">
        <x:v>RHP-A1-MP13</x:v>
      </x:c>
      <x:c r="F817" t="n">
        <x:f>'Measurement Planes'!H19</x:f>
        <x:v>0</x:v>
      </x:c>
      <x:c r="G817" t="n">
        <x:v>1</x:v>
      </x:c>
      <x:c r="H817" t="str">
        <x:v>equals</x:v>
      </x:c>
      <x:c r="I817" t="str">
        <x:v>independent acceptance</x:v>
      </x:c>
      <x:c r="J817" t="str">
        <x:f>IF(F817=G817,"PASS","OPEN")</x:f>
        <x:v>OPEN</x:v>
      </x:c>
    </x:row>
    <x:row r="818">
      <x:c r="B818" t="str">
        <x:v>PHY-MP-RHP-A1-MP14</x:v>
      </x:c>
      <x:c r="C818" t="str">
        <x:v>PHYSICAL</x:v>
      </x:c>
      <x:c r="D818" t="str">
        <x:v>plane calibration</x:v>
      </x:c>
      <x:c r="E818" t="str">
        <x:v>RHP-A1-MP14</x:v>
      </x:c>
      <x:c r="F818" t="n">
        <x:f>'Measurement Planes'!H20</x:f>
        <x:v>0</x:v>
      </x:c>
      <x:c r="G818" t="n">
        <x:v>1</x:v>
      </x:c>
      <x:c r="H818" t="str">
        <x:v>equals</x:v>
      </x:c>
      <x:c r="I818" t="str">
        <x:v>independent acceptance</x:v>
      </x:c>
      <x:c r="J818" t="str">
        <x:f>IF(F818=G818,"PASS","OPEN")</x:f>
        <x:v>OPEN</x:v>
      </x:c>
    </x:row>
    <x:row r="819">
      <x:c r="B819" t="str">
        <x:v>PHY-MP-RHP-A1-MP15</x:v>
      </x:c>
      <x:c r="C819" t="str">
        <x:v>PHYSICAL</x:v>
      </x:c>
      <x:c r="D819" t="str">
        <x:v>plane calibration</x:v>
      </x:c>
      <x:c r="E819" t="str">
        <x:v>RHP-A1-MP15</x:v>
      </x:c>
      <x:c r="F819" t="n">
        <x:f>'Measurement Planes'!H21</x:f>
        <x:v>0</x:v>
      </x:c>
      <x:c r="G819" t="n">
        <x:v>1</x:v>
      </x:c>
      <x:c r="H819" t="str">
        <x:v>equals</x:v>
      </x:c>
      <x:c r="I819" t="str">
        <x:v>independent acceptance</x:v>
      </x:c>
      <x:c r="J819" t="str">
        <x:f>IF(F819=G819,"PASS","OPEN")</x:f>
        <x:v>OPEN</x:v>
      </x:c>
    </x:row>
    <x:row r="820">
      <x:c r="B820" t="str">
        <x:v>PHY-MP-RHP-A1-MP16</x:v>
      </x:c>
      <x:c r="C820" t="str">
        <x:v>PHYSICAL</x:v>
      </x:c>
      <x:c r="D820" t="str">
        <x:v>plane calibration</x:v>
      </x:c>
      <x:c r="E820" t="str">
        <x:v>RHP-A1-MP16</x:v>
      </x:c>
      <x:c r="F820" t="n">
        <x:f>'Measurement Planes'!H22</x:f>
        <x:v>0</x:v>
      </x:c>
      <x:c r="G820" t="n">
        <x:v>1</x:v>
      </x:c>
      <x:c r="H820" t="str">
        <x:v>equals</x:v>
      </x:c>
      <x:c r="I820" t="str">
        <x:v>independent acceptance</x:v>
      </x:c>
      <x:c r="J820" t="str">
        <x:f>IF(F820=G820,"PASS","OPEN")</x:f>
        <x:v>OPEN</x:v>
      </x:c>
    </x:row>
    <x:row r="821">
      <x:c r="B821" t="str">
        <x:v>PHY-MP-RHP-A2-MP01</x:v>
      </x:c>
      <x:c r="C821" t="str">
        <x:v>PHYSICAL</x:v>
      </x:c>
      <x:c r="D821" t="str">
        <x:v>plane calibration</x:v>
      </x:c>
      <x:c r="E821" t="str">
        <x:v>RHP-A2-MP01</x:v>
      </x:c>
      <x:c r="F821" t="n">
        <x:f>'Measurement Planes'!H23</x:f>
        <x:v>0</x:v>
      </x:c>
      <x:c r="G821" t="n">
        <x:v>1</x:v>
      </x:c>
      <x:c r="H821" t="str">
        <x:v>equals</x:v>
      </x:c>
      <x:c r="I821" t="str">
        <x:v>independent acceptance</x:v>
      </x:c>
      <x:c r="J821" t="str">
        <x:f>IF(F821=G821,"PASS","OPEN")</x:f>
        <x:v>OPEN</x:v>
      </x:c>
    </x:row>
    <x:row r="822">
      <x:c r="B822" t="str">
        <x:v>PHY-MP-RHP-A2-MP02</x:v>
      </x:c>
      <x:c r="C822" t="str">
        <x:v>PHYSICAL</x:v>
      </x:c>
      <x:c r="D822" t="str">
        <x:v>plane calibration</x:v>
      </x:c>
      <x:c r="E822" t="str">
        <x:v>RHP-A2-MP02</x:v>
      </x:c>
      <x:c r="F822" t="n">
        <x:f>'Measurement Planes'!H24</x:f>
        <x:v>0</x:v>
      </x:c>
      <x:c r="G822" t="n">
        <x:v>1</x:v>
      </x:c>
      <x:c r="H822" t="str">
        <x:v>equals</x:v>
      </x:c>
      <x:c r="I822" t="str">
        <x:v>independent acceptance</x:v>
      </x:c>
      <x:c r="J822" t="str">
        <x:f>IF(F822=G822,"PASS","OPEN")</x:f>
        <x:v>OPEN</x:v>
      </x:c>
    </x:row>
    <x:row r="823">
      <x:c r="B823" t="str">
        <x:v>PHY-MP-RHP-A2-MP03</x:v>
      </x:c>
      <x:c r="C823" t="str">
        <x:v>PHYSICAL</x:v>
      </x:c>
      <x:c r="D823" t="str">
        <x:v>plane calibration</x:v>
      </x:c>
      <x:c r="E823" t="str">
        <x:v>RHP-A2-MP03</x:v>
      </x:c>
      <x:c r="F823" t="n">
        <x:f>'Measurement Planes'!H25</x:f>
        <x:v>0</x:v>
      </x:c>
      <x:c r="G823" t="n">
        <x:v>1</x:v>
      </x:c>
      <x:c r="H823" t="str">
        <x:v>equals</x:v>
      </x:c>
      <x:c r="I823" t="str">
        <x:v>independent acceptance</x:v>
      </x:c>
      <x:c r="J823" t="str">
        <x:f>IF(F823=G823,"PASS","OPEN")</x:f>
        <x:v>OPEN</x:v>
      </x:c>
    </x:row>
    <x:row r="824">
      <x:c r="B824" t="str">
        <x:v>PHY-MP-RHP-A2-MP04</x:v>
      </x:c>
      <x:c r="C824" t="str">
        <x:v>PHYSICAL</x:v>
      </x:c>
      <x:c r="D824" t="str">
        <x:v>plane calibration</x:v>
      </x:c>
      <x:c r="E824" t="str">
        <x:v>RHP-A2-MP04</x:v>
      </x:c>
      <x:c r="F824" t="n">
        <x:f>'Measurement Planes'!H26</x:f>
        <x:v>0</x:v>
      </x:c>
      <x:c r="G824" t="n">
        <x:v>1</x:v>
      </x:c>
      <x:c r="H824" t="str">
        <x:v>equals</x:v>
      </x:c>
      <x:c r="I824" t="str">
        <x:v>independent acceptance</x:v>
      </x:c>
      <x:c r="J824" t="str">
        <x:f>IF(F824=G824,"PASS","OPEN")</x:f>
        <x:v>OPEN</x:v>
      </x:c>
    </x:row>
    <x:row r="825">
      <x:c r="B825" t="str">
        <x:v>PHY-MP-RHP-A2-MP05</x:v>
      </x:c>
      <x:c r="C825" t="str">
        <x:v>PHYSICAL</x:v>
      </x:c>
      <x:c r="D825" t="str">
        <x:v>plane calibration</x:v>
      </x:c>
      <x:c r="E825" t="str">
        <x:v>RHP-A2-MP05</x:v>
      </x:c>
      <x:c r="F825" t="n">
        <x:f>'Measurement Planes'!H27</x:f>
        <x:v>0</x:v>
      </x:c>
      <x:c r="G825" t="n">
        <x:v>1</x:v>
      </x:c>
      <x:c r="H825" t="str">
        <x:v>equals</x:v>
      </x:c>
      <x:c r="I825" t="str">
        <x:v>independent acceptance</x:v>
      </x:c>
      <x:c r="J825" t="str">
        <x:f>IF(F825=G825,"PASS","OPEN")</x:f>
        <x:v>OPEN</x:v>
      </x:c>
    </x:row>
    <x:row r="826">
      <x:c r="B826" t="str">
        <x:v>PHY-MP-RHP-A2-MP06</x:v>
      </x:c>
      <x:c r="C826" t="str">
        <x:v>PHYSICAL</x:v>
      </x:c>
      <x:c r="D826" t="str">
        <x:v>plane calibration</x:v>
      </x:c>
      <x:c r="E826" t="str">
        <x:v>RHP-A2-MP06</x:v>
      </x:c>
      <x:c r="F826" t="n">
        <x:f>'Measurement Planes'!H28</x:f>
        <x:v>0</x:v>
      </x:c>
      <x:c r="G826" t="n">
        <x:v>1</x:v>
      </x:c>
      <x:c r="H826" t="str">
        <x:v>equals</x:v>
      </x:c>
      <x:c r="I826" t="str">
        <x:v>independent acceptance</x:v>
      </x:c>
      <x:c r="J826" t="str">
        <x:f>IF(F826=G826,"PASS","OPEN")</x:f>
        <x:v>OPEN</x:v>
      </x:c>
    </x:row>
    <x:row r="827">
      <x:c r="B827" t="str">
        <x:v>PHY-MP-RHP-A2-MP07</x:v>
      </x:c>
      <x:c r="C827" t="str">
        <x:v>PHYSICAL</x:v>
      </x:c>
      <x:c r="D827" t="str">
        <x:v>plane calibration</x:v>
      </x:c>
      <x:c r="E827" t="str">
        <x:v>RHP-A2-MP07</x:v>
      </x:c>
      <x:c r="F827" t="n">
        <x:f>'Measurement Planes'!H29</x:f>
        <x:v>0</x:v>
      </x:c>
      <x:c r="G827" t="n">
        <x:v>1</x:v>
      </x:c>
      <x:c r="H827" t="str">
        <x:v>equals</x:v>
      </x:c>
      <x:c r="I827" t="str">
        <x:v>independent acceptance</x:v>
      </x:c>
      <x:c r="J827" t="str">
        <x:f>IF(F827=G827,"PASS","OPEN")</x:f>
        <x:v>OPEN</x:v>
      </x:c>
    </x:row>
    <x:row r="828">
      <x:c r="B828" t="str">
        <x:v>PHY-MP-RHP-A2-MP08</x:v>
      </x:c>
      <x:c r="C828" t="str">
        <x:v>PHYSICAL</x:v>
      </x:c>
      <x:c r="D828" t="str">
        <x:v>plane calibration</x:v>
      </x:c>
      <x:c r="E828" t="str">
        <x:v>RHP-A2-MP08</x:v>
      </x:c>
      <x:c r="F828" t="n">
        <x:f>'Measurement Planes'!H30</x:f>
        <x:v>0</x:v>
      </x:c>
      <x:c r="G828" t="n">
        <x:v>1</x:v>
      </x:c>
      <x:c r="H828" t="str">
        <x:v>equals</x:v>
      </x:c>
      <x:c r="I828" t="str">
        <x:v>independent acceptance</x:v>
      </x:c>
      <x:c r="J828" t="str">
        <x:f>IF(F828=G828,"PASS","OPEN")</x:f>
        <x:v>OPEN</x:v>
      </x:c>
    </x:row>
    <x:row r="829">
      <x:c r="B829" t="str">
        <x:v>PHY-MP-RHP-A2-MP09</x:v>
      </x:c>
      <x:c r="C829" t="str">
        <x:v>PHYSICAL</x:v>
      </x:c>
      <x:c r="D829" t="str">
        <x:v>plane calibration</x:v>
      </x:c>
      <x:c r="E829" t="str">
        <x:v>RHP-A2-MP09</x:v>
      </x:c>
      <x:c r="F829" t="n">
        <x:f>'Measurement Planes'!H31</x:f>
        <x:v>0</x:v>
      </x:c>
      <x:c r="G829" t="n">
        <x:v>1</x:v>
      </x:c>
      <x:c r="H829" t="str">
        <x:v>equals</x:v>
      </x:c>
      <x:c r="I829" t="str">
        <x:v>independent acceptance</x:v>
      </x:c>
      <x:c r="J829" t="str">
        <x:f>IF(F829=G829,"PASS","OPEN")</x:f>
        <x:v>OPEN</x:v>
      </x:c>
    </x:row>
    <x:row r="830">
      <x:c r="B830" t="str">
        <x:v>PHY-MP-RHP-A2-MP10</x:v>
      </x:c>
      <x:c r="C830" t="str">
        <x:v>PHYSICAL</x:v>
      </x:c>
      <x:c r="D830" t="str">
        <x:v>plane calibration</x:v>
      </x:c>
      <x:c r="E830" t="str">
        <x:v>RHP-A2-MP10</x:v>
      </x:c>
      <x:c r="F830" t="n">
        <x:f>'Measurement Planes'!H32</x:f>
        <x:v>0</x:v>
      </x:c>
      <x:c r="G830" t="n">
        <x:v>1</x:v>
      </x:c>
      <x:c r="H830" t="str">
        <x:v>equals</x:v>
      </x:c>
      <x:c r="I830" t="str">
        <x:v>independent acceptance</x:v>
      </x:c>
      <x:c r="J830" t="str">
        <x:f>IF(F830=G830,"PASS","OPEN")</x:f>
        <x:v>OPEN</x:v>
      </x:c>
    </x:row>
    <x:row r="831">
      <x:c r="B831" t="str">
        <x:v>PHY-MP-RHP-A2-MP11</x:v>
      </x:c>
      <x:c r="C831" t="str">
        <x:v>PHYSICAL</x:v>
      </x:c>
      <x:c r="D831" t="str">
        <x:v>plane calibration</x:v>
      </x:c>
      <x:c r="E831" t="str">
        <x:v>RHP-A2-MP11</x:v>
      </x:c>
      <x:c r="F831" t="n">
        <x:f>'Measurement Planes'!H33</x:f>
        <x:v>0</x:v>
      </x:c>
      <x:c r="G831" t="n">
        <x:v>1</x:v>
      </x:c>
      <x:c r="H831" t="str">
        <x:v>equals</x:v>
      </x:c>
      <x:c r="I831" t="str">
        <x:v>independent acceptance</x:v>
      </x:c>
      <x:c r="J831" t="str">
        <x:f>IF(F831=G831,"PASS","OPEN")</x:f>
        <x:v>OPEN</x:v>
      </x:c>
    </x:row>
    <x:row r="832">
      <x:c r="B832" t="str">
        <x:v>PHY-MP-RHP-A2-MP12</x:v>
      </x:c>
      <x:c r="C832" t="str">
        <x:v>PHYSICAL</x:v>
      </x:c>
      <x:c r="D832" t="str">
        <x:v>plane calibration</x:v>
      </x:c>
      <x:c r="E832" t="str">
        <x:v>RHP-A2-MP12</x:v>
      </x:c>
      <x:c r="F832" t="n">
        <x:f>'Measurement Planes'!H34</x:f>
        <x:v>0</x:v>
      </x:c>
      <x:c r="G832" t="n">
        <x:v>1</x:v>
      </x:c>
      <x:c r="H832" t="str">
        <x:v>equals</x:v>
      </x:c>
      <x:c r="I832" t="str">
        <x:v>independent acceptance</x:v>
      </x:c>
      <x:c r="J832" t="str">
        <x:f>IF(F832=G832,"PASS","OPEN")</x:f>
        <x:v>OPEN</x:v>
      </x:c>
    </x:row>
    <x:row r="833">
      <x:c r="B833" t="str">
        <x:v>PHY-MP-RHP-A2-MP13</x:v>
      </x:c>
      <x:c r="C833" t="str">
        <x:v>PHYSICAL</x:v>
      </x:c>
      <x:c r="D833" t="str">
        <x:v>plane calibration</x:v>
      </x:c>
      <x:c r="E833" t="str">
        <x:v>RHP-A2-MP13</x:v>
      </x:c>
      <x:c r="F833" t="n">
        <x:f>'Measurement Planes'!H35</x:f>
        <x:v>0</x:v>
      </x:c>
      <x:c r="G833" t="n">
        <x:v>1</x:v>
      </x:c>
      <x:c r="H833" t="str">
        <x:v>equals</x:v>
      </x:c>
      <x:c r="I833" t="str">
        <x:v>independent acceptance</x:v>
      </x:c>
      <x:c r="J833" t="str">
        <x:f>IF(F833=G833,"PASS","OPEN")</x:f>
        <x:v>OPEN</x:v>
      </x:c>
    </x:row>
    <x:row r="834">
      <x:c r="B834" t="str">
        <x:v>PHY-MP-RHP-A2-MP14</x:v>
      </x:c>
      <x:c r="C834" t="str">
        <x:v>PHYSICAL</x:v>
      </x:c>
      <x:c r="D834" t="str">
        <x:v>plane calibration</x:v>
      </x:c>
      <x:c r="E834" t="str">
        <x:v>RHP-A2-MP14</x:v>
      </x:c>
      <x:c r="F834" t="n">
        <x:f>'Measurement Planes'!H36</x:f>
        <x:v>0</x:v>
      </x:c>
      <x:c r="G834" t="n">
        <x:v>1</x:v>
      </x:c>
      <x:c r="H834" t="str">
        <x:v>equals</x:v>
      </x:c>
      <x:c r="I834" t="str">
        <x:v>independent acceptance</x:v>
      </x:c>
      <x:c r="J834" t="str">
        <x:f>IF(F834=G834,"PASS","OPEN")</x:f>
        <x:v>OPEN</x:v>
      </x:c>
    </x:row>
    <x:row r="835">
      <x:c r="B835" t="str">
        <x:v>PHY-MP-RHP-A2-MP15</x:v>
      </x:c>
      <x:c r="C835" t="str">
        <x:v>PHYSICAL</x:v>
      </x:c>
      <x:c r="D835" t="str">
        <x:v>plane calibration</x:v>
      </x:c>
      <x:c r="E835" t="str">
        <x:v>RHP-A2-MP15</x:v>
      </x:c>
      <x:c r="F835" t="n">
        <x:f>'Measurement Planes'!H37</x:f>
        <x:v>0</x:v>
      </x:c>
      <x:c r="G835" t="n">
        <x:v>1</x:v>
      </x:c>
      <x:c r="H835" t="str">
        <x:v>equals</x:v>
      </x:c>
      <x:c r="I835" t="str">
        <x:v>independent acceptance</x:v>
      </x:c>
      <x:c r="J835" t="str">
        <x:f>IF(F835=G835,"PASS","OPEN")</x:f>
        <x:v>OPEN</x:v>
      </x:c>
    </x:row>
    <x:row r="836">
      <x:c r="B836" t="str">
        <x:v>PHY-MP-RHP-A2-MP16</x:v>
      </x:c>
      <x:c r="C836" t="str">
        <x:v>PHYSICAL</x:v>
      </x:c>
      <x:c r="D836" t="str">
        <x:v>plane calibration</x:v>
      </x:c>
      <x:c r="E836" t="str">
        <x:v>RHP-A2-MP16</x:v>
      </x:c>
      <x:c r="F836" t="n">
        <x:f>'Measurement Planes'!H38</x:f>
        <x:v>0</x:v>
      </x:c>
      <x:c r="G836" t="n">
        <x:v>1</x:v>
      </x:c>
      <x:c r="H836" t="str">
        <x:v>equals</x:v>
      </x:c>
      <x:c r="I836" t="str">
        <x:v>independent acceptance</x:v>
      </x:c>
      <x:c r="J836" t="str">
        <x:f>IF(F836=G836,"PASS","OPEN")</x:f>
        <x:v>OPEN</x:v>
      </x:c>
    </x:row>
    <x:row r="837">
      <x:c r="B837" t="str">
        <x:v>PHY-MP-RHP-B1-MP01</x:v>
      </x:c>
      <x:c r="C837" t="str">
        <x:v>PHYSICAL</x:v>
      </x:c>
      <x:c r="D837" t="str">
        <x:v>plane calibration</x:v>
      </x:c>
      <x:c r="E837" t="str">
        <x:v>RHP-B1-MP01</x:v>
      </x:c>
      <x:c r="F837" t="n">
        <x:f>'Measurement Planes'!H39</x:f>
        <x:v>0</x:v>
      </x:c>
      <x:c r="G837" t="n">
        <x:v>1</x:v>
      </x:c>
      <x:c r="H837" t="str">
        <x:v>equals</x:v>
      </x:c>
      <x:c r="I837" t="str">
        <x:v>independent acceptance</x:v>
      </x:c>
      <x:c r="J837" t="str">
        <x:f>IF(F837=G837,"PASS","OPEN")</x:f>
        <x:v>OPEN</x:v>
      </x:c>
    </x:row>
    <x:row r="838">
      <x:c r="B838" t="str">
        <x:v>PHY-MP-RHP-B1-MP02</x:v>
      </x:c>
      <x:c r="C838" t="str">
        <x:v>PHYSICAL</x:v>
      </x:c>
      <x:c r="D838" t="str">
        <x:v>plane calibration</x:v>
      </x:c>
      <x:c r="E838" t="str">
        <x:v>RHP-B1-MP02</x:v>
      </x:c>
      <x:c r="F838" t="n">
        <x:f>'Measurement Planes'!H40</x:f>
        <x:v>0</x:v>
      </x:c>
      <x:c r="G838" t="n">
        <x:v>1</x:v>
      </x:c>
      <x:c r="H838" t="str">
        <x:v>equals</x:v>
      </x:c>
      <x:c r="I838" t="str">
        <x:v>independent acceptance</x:v>
      </x:c>
      <x:c r="J838" t="str">
        <x:f>IF(F838=G838,"PASS","OPEN")</x:f>
        <x:v>OPEN</x:v>
      </x:c>
    </x:row>
    <x:row r="839">
      <x:c r="B839" t="str">
        <x:v>PHY-MP-RHP-B1-MP03</x:v>
      </x:c>
      <x:c r="C839" t="str">
        <x:v>PHYSICAL</x:v>
      </x:c>
      <x:c r="D839" t="str">
        <x:v>plane calibration</x:v>
      </x:c>
      <x:c r="E839" t="str">
        <x:v>RHP-B1-MP03</x:v>
      </x:c>
      <x:c r="F839" t="n">
        <x:f>'Measurement Planes'!H41</x:f>
        <x:v>0</x:v>
      </x:c>
      <x:c r="G839" t="n">
        <x:v>1</x:v>
      </x:c>
      <x:c r="H839" t="str">
        <x:v>equals</x:v>
      </x:c>
      <x:c r="I839" t="str">
        <x:v>independent acceptance</x:v>
      </x:c>
      <x:c r="J839" t="str">
        <x:f>IF(F839=G839,"PASS","OPEN")</x:f>
        <x:v>OPEN</x:v>
      </x:c>
    </x:row>
    <x:row r="840">
      <x:c r="B840" t="str">
        <x:v>PHY-MP-RHP-B1-MP04</x:v>
      </x:c>
      <x:c r="C840" t="str">
        <x:v>PHYSICAL</x:v>
      </x:c>
      <x:c r="D840" t="str">
        <x:v>plane calibration</x:v>
      </x:c>
      <x:c r="E840" t="str">
        <x:v>RHP-B1-MP04</x:v>
      </x:c>
      <x:c r="F840" t="n">
        <x:f>'Measurement Planes'!H42</x:f>
        <x:v>0</x:v>
      </x:c>
      <x:c r="G840" t="n">
        <x:v>1</x:v>
      </x:c>
      <x:c r="H840" t="str">
        <x:v>equals</x:v>
      </x:c>
      <x:c r="I840" t="str">
        <x:v>independent acceptance</x:v>
      </x:c>
      <x:c r="J840" t="str">
        <x:f>IF(F840=G840,"PASS","OPEN")</x:f>
        <x:v>OPEN</x:v>
      </x:c>
    </x:row>
    <x:row r="841">
      <x:c r="B841" t="str">
        <x:v>PHY-MP-RHP-B1-MP05</x:v>
      </x:c>
      <x:c r="C841" t="str">
        <x:v>PHYSICAL</x:v>
      </x:c>
      <x:c r="D841" t="str">
        <x:v>plane calibration</x:v>
      </x:c>
      <x:c r="E841" t="str">
        <x:v>RHP-B1-MP05</x:v>
      </x:c>
      <x:c r="F841" t="n">
        <x:f>'Measurement Planes'!H43</x:f>
        <x:v>0</x:v>
      </x:c>
      <x:c r="G841" t="n">
        <x:v>1</x:v>
      </x:c>
      <x:c r="H841" t="str">
        <x:v>equals</x:v>
      </x:c>
      <x:c r="I841" t="str">
        <x:v>independent acceptance</x:v>
      </x:c>
      <x:c r="J841" t="str">
        <x:f>IF(F841=G841,"PASS","OPEN")</x:f>
        <x:v>OPEN</x:v>
      </x:c>
    </x:row>
    <x:row r="842">
      <x:c r="B842" t="str">
        <x:v>PHY-MP-RHP-B1-MP06</x:v>
      </x:c>
      <x:c r="C842" t="str">
        <x:v>PHYSICAL</x:v>
      </x:c>
      <x:c r="D842" t="str">
        <x:v>plane calibration</x:v>
      </x:c>
      <x:c r="E842" t="str">
        <x:v>RHP-B1-MP06</x:v>
      </x:c>
      <x:c r="F842" t="n">
        <x:f>'Measurement Planes'!H44</x:f>
        <x:v>0</x:v>
      </x:c>
      <x:c r="G842" t="n">
        <x:v>1</x:v>
      </x:c>
      <x:c r="H842" t="str">
        <x:v>equals</x:v>
      </x:c>
      <x:c r="I842" t="str">
        <x:v>independent acceptance</x:v>
      </x:c>
      <x:c r="J842" t="str">
        <x:f>IF(F842=G842,"PASS","OPEN")</x:f>
        <x:v>OPEN</x:v>
      </x:c>
    </x:row>
    <x:row r="843">
      <x:c r="B843" t="str">
        <x:v>PHY-MP-RHP-B1-MP07</x:v>
      </x:c>
      <x:c r="C843" t="str">
        <x:v>PHYSICAL</x:v>
      </x:c>
      <x:c r="D843" t="str">
        <x:v>plane calibration</x:v>
      </x:c>
      <x:c r="E843" t="str">
        <x:v>RHP-B1-MP07</x:v>
      </x:c>
      <x:c r="F843" t="n">
        <x:f>'Measurement Planes'!H45</x:f>
        <x:v>0</x:v>
      </x:c>
      <x:c r="G843" t="n">
        <x:v>1</x:v>
      </x:c>
      <x:c r="H843" t="str">
        <x:v>equals</x:v>
      </x:c>
      <x:c r="I843" t="str">
        <x:v>independent acceptance</x:v>
      </x:c>
      <x:c r="J843" t="str">
        <x:f>IF(F843=G843,"PASS","OPEN")</x:f>
        <x:v>OPEN</x:v>
      </x:c>
    </x:row>
    <x:row r="844">
      <x:c r="B844" t="str">
        <x:v>PHY-MP-RHP-B1-MP08</x:v>
      </x:c>
      <x:c r="C844" t="str">
        <x:v>PHYSICAL</x:v>
      </x:c>
      <x:c r="D844" t="str">
        <x:v>plane calibration</x:v>
      </x:c>
      <x:c r="E844" t="str">
        <x:v>RHP-B1-MP08</x:v>
      </x:c>
      <x:c r="F844" t="n">
        <x:f>'Measurement Planes'!H46</x:f>
        <x:v>0</x:v>
      </x:c>
      <x:c r="G844" t="n">
        <x:v>1</x:v>
      </x:c>
      <x:c r="H844" t="str">
        <x:v>equals</x:v>
      </x:c>
      <x:c r="I844" t="str">
        <x:v>independent acceptance</x:v>
      </x:c>
      <x:c r="J844" t="str">
        <x:f>IF(F844=G844,"PASS","OPEN")</x:f>
        <x:v>OPEN</x:v>
      </x:c>
    </x:row>
    <x:row r="845">
      <x:c r="B845" t="str">
        <x:v>PHY-MP-RHP-B1-MP09</x:v>
      </x:c>
      <x:c r="C845" t="str">
        <x:v>PHYSICAL</x:v>
      </x:c>
      <x:c r="D845" t="str">
        <x:v>plane calibration</x:v>
      </x:c>
      <x:c r="E845" t="str">
        <x:v>RHP-B1-MP09</x:v>
      </x:c>
      <x:c r="F845" t="n">
        <x:f>'Measurement Planes'!H47</x:f>
        <x:v>0</x:v>
      </x:c>
      <x:c r="G845" t="n">
        <x:v>1</x:v>
      </x:c>
      <x:c r="H845" t="str">
        <x:v>equals</x:v>
      </x:c>
      <x:c r="I845" t="str">
        <x:v>independent acceptance</x:v>
      </x:c>
      <x:c r="J845" t="str">
        <x:f>IF(F845=G845,"PASS","OPEN")</x:f>
        <x:v>OPEN</x:v>
      </x:c>
    </x:row>
    <x:row r="846">
      <x:c r="B846" t="str">
        <x:v>PHY-MP-RHP-B1-MP10</x:v>
      </x:c>
      <x:c r="C846" t="str">
        <x:v>PHYSICAL</x:v>
      </x:c>
      <x:c r="D846" t="str">
        <x:v>plane calibration</x:v>
      </x:c>
      <x:c r="E846" t="str">
        <x:v>RHP-B1-MP10</x:v>
      </x:c>
      <x:c r="F846" t="n">
        <x:f>'Measurement Planes'!H48</x:f>
        <x:v>0</x:v>
      </x:c>
      <x:c r="G846" t="n">
        <x:v>1</x:v>
      </x:c>
      <x:c r="H846" t="str">
        <x:v>equals</x:v>
      </x:c>
      <x:c r="I846" t="str">
        <x:v>independent acceptance</x:v>
      </x:c>
      <x:c r="J846" t="str">
        <x:f>IF(F846=G846,"PASS","OPEN")</x:f>
        <x:v>OPEN</x:v>
      </x:c>
    </x:row>
    <x:row r="847">
      <x:c r="B847" t="str">
        <x:v>PHY-MP-RHP-B1-MP11</x:v>
      </x:c>
      <x:c r="C847" t="str">
        <x:v>PHYSICAL</x:v>
      </x:c>
      <x:c r="D847" t="str">
        <x:v>plane calibration</x:v>
      </x:c>
      <x:c r="E847" t="str">
        <x:v>RHP-B1-MP11</x:v>
      </x:c>
      <x:c r="F847" t="n">
        <x:f>'Measurement Planes'!H49</x:f>
        <x:v>0</x:v>
      </x:c>
      <x:c r="G847" t="n">
        <x:v>1</x:v>
      </x:c>
      <x:c r="H847" t="str">
        <x:v>equals</x:v>
      </x:c>
      <x:c r="I847" t="str">
        <x:v>independent acceptance</x:v>
      </x:c>
      <x:c r="J847" t="str">
        <x:f>IF(F847=G847,"PASS","OPEN")</x:f>
        <x:v>OPEN</x:v>
      </x:c>
    </x:row>
    <x:row r="848">
      <x:c r="B848" t="str">
        <x:v>PHY-MP-RHP-B1-MP12</x:v>
      </x:c>
      <x:c r="C848" t="str">
        <x:v>PHYSICAL</x:v>
      </x:c>
      <x:c r="D848" t="str">
        <x:v>plane calibration</x:v>
      </x:c>
      <x:c r="E848" t="str">
        <x:v>RHP-B1-MP12</x:v>
      </x:c>
      <x:c r="F848" t="n">
        <x:f>'Measurement Planes'!H50</x:f>
        <x:v>0</x:v>
      </x:c>
      <x:c r="G848" t="n">
        <x:v>1</x:v>
      </x:c>
      <x:c r="H848" t="str">
        <x:v>equals</x:v>
      </x:c>
      <x:c r="I848" t="str">
        <x:v>independent acceptance</x:v>
      </x:c>
      <x:c r="J848" t="str">
        <x:f>IF(F848=G848,"PASS","OPEN")</x:f>
        <x:v>OPEN</x:v>
      </x:c>
    </x:row>
    <x:row r="849">
      <x:c r="B849" t="str">
        <x:v>PHY-MP-RHP-B1-MP13</x:v>
      </x:c>
      <x:c r="C849" t="str">
        <x:v>PHYSICAL</x:v>
      </x:c>
      <x:c r="D849" t="str">
        <x:v>plane calibration</x:v>
      </x:c>
      <x:c r="E849" t="str">
        <x:v>RHP-B1-MP13</x:v>
      </x:c>
      <x:c r="F849" t="n">
        <x:f>'Measurement Planes'!H51</x:f>
        <x:v>0</x:v>
      </x:c>
      <x:c r="G849" t="n">
        <x:v>1</x:v>
      </x:c>
      <x:c r="H849" t="str">
        <x:v>equals</x:v>
      </x:c>
      <x:c r="I849" t="str">
        <x:v>independent acceptance</x:v>
      </x:c>
      <x:c r="J849" t="str">
        <x:f>IF(F849=G849,"PASS","OPEN")</x:f>
        <x:v>OPEN</x:v>
      </x:c>
    </x:row>
    <x:row r="850">
      <x:c r="B850" t="str">
        <x:v>PHY-MP-RHP-B1-MP14</x:v>
      </x:c>
      <x:c r="C850" t="str">
        <x:v>PHYSICAL</x:v>
      </x:c>
      <x:c r="D850" t="str">
        <x:v>plane calibration</x:v>
      </x:c>
      <x:c r="E850" t="str">
        <x:v>RHP-B1-MP14</x:v>
      </x:c>
      <x:c r="F850" t="n">
        <x:f>'Measurement Planes'!H52</x:f>
        <x:v>0</x:v>
      </x:c>
      <x:c r="G850" t="n">
        <x:v>1</x:v>
      </x:c>
      <x:c r="H850" t="str">
        <x:v>equals</x:v>
      </x:c>
      <x:c r="I850" t="str">
        <x:v>independent acceptance</x:v>
      </x:c>
      <x:c r="J850" t="str">
        <x:f>IF(F850=G850,"PASS","OPEN")</x:f>
        <x:v>OPEN</x:v>
      </x:c>
    </x:row>
    <x:row r="851">
      <x:c r="B851" t="str">
        <x:v>PHY-MP-RHP-B1-MP15</x:v>
      </x:c>
      <x:c r="C851" t="str">
        <x:v>PHYSICAL</x:v>
      </x:c>
      <x:c r="D851" t="str">
        <x:v>plane calibration</x:v>
      </x:c>
      <x:c r="E851" t="str">
        <x:v>RHP-B1-MP15</x:v>
      </x:c>
      <x:c r="F851" t="n">
        <x:f>'Measurement Planes'!H53</x:f>
        <x:v>0</x:v>
      </x:c>
      <x:c r="G851" t="n">
        <x:v>1</x:v>
      </x:c>
      <x:c r="H851" t="str">
        <x:v>equals</x:v>
      </x:c>
      <x:c r="I851" t="str">
        <x:v>independent acceptance</x:v>
      </x:c>
      <x:c r="J851" t="str">
        <x:f>IF(F851=G851,"PASS","OPEN")</x:f>
        <x:v>OPEN</x:v>
      </x:c>
    </x:row>
    <x:row r="852">
      <x:c r="B852" t="str">
        <x:v>PHY-MP-RHP-B1-MP16</x:v>
      </x:c>
      <x:c r="C852" t="str">
        <x:v>PHYSICAL</x:v>
      </x:c>
      <x:c r="D852" t="str">
        <x:v>plane calibration</x:v>
      </x:c>
      <x:c r="E852" t="str">
        <x:v>RHP-B1-MP16</x:v>
      </x:c>
      <x:c r="F852" t="n">
        <x:f>'Measurement Planes'!H54</x:f>
        <x:v>0</x:v>
      </x:c>
      <x:c r="G852" t="n">
        <x:v>1</x:v>
      </x:c>
      <x:c r="H852" t="str">
        <x:v>equals</x:v>
      </x:c>
      <x:c r="I852" t="str">
        <x:v>independent acceptance</x:v>
      </x:c>
      <x:c r="J852" t="str">
        <x:f>IF(F852=G852,"PASS","OPEN")</x:f>
        <x:v>OPEN</x:v>
      </x:c>
    </x:row>
    <x:row r="853">
      <x:c r="B853" t="str">
        <x:v>PHY-MP-RHP-B2-MP01</x:v>
      </x:c>
      <x:c r="C853" t="str">
        <x:v>PHYSICAL</x:v>
      </x:c>
      <x:c r="D853" t="str">
        <x:v>plane calibration</x:v>
      </x:c>
      <x:c r="E853" t="str">
        <x:v>RHP-B2-MP01</x:v>
      </x:c>
      <x:c r="F853" t="n">
        <x:f>'Measurement Planes'!H55</x:f>
        <x:v>0</x:v>
      </x:c>
      <x:c r="G853" t="n">
        <x:v>1</x:v>
      </x:c>
      <x:c r="H853" t="str">
        <x:v>equals</x:v>
      </x:c>
      <x:c r="I853" t="str">
        <x:v>independent acceptance</x:v>
      </x:c>
      <x:c r="J853" t="str">
        <x:f>IF(F853=G853,"PASS","OPEN")</x:f>
        <x:v>OPEN</x:v>
      </x:c>
    </x:row>
    <x:row r="854">
      <x:c r="B854" t="str">
        <x:v>PHY-MP-RHP-B2-MP02</x:v>
      </x:c>
      <x:c r="C854" t="str">
        <x:v>PHYSICAL</x:v>
      </x:c>
      <x:c r="D854" t="str">
        <x:v>plane calibration</x:v>
      </x:c>
      <x:c r="E854" t="str">
        <x:v>RHP-B2-MP02</x:v>
      </x:c>
      <x:c r="F854" t="n">
        <x:f>'Measurement Planes'!H56</x:f>
        <x:v>0</x:v>
      </x:c>
      <x:c r="G854" t="n">
        <x:v>1</x:v>
      </x:c>
      <x:c r="H854" t="str">
        <x:v>equals</x:v>
      </x:c>
      <x:c r="I854" t="str">
        <x:v>independent acceptance</x:v>
      </x:c>
      <x:c r="J854" t="str">
        <x:f>IF(F854=G854,"PASS","OPEN")</x:f>
        <x:v>OPEN</x:v>
      </x:c>
    </x:row>
    <x:row r="855">
      <x:c r="B855" t="str">
        <x:v>PHY-MP-RHP-B2-MP03</x:v>
      </x:c>
      <x:c r="C855" t="str">
        <x:v>PHYSICAL</x:v>
      </x:c>
      <x:c r="D855" t="str">
        <x:v>plane calibration</x:v>
      </x:c>
      <x:c r="E855" t="str">
        <x:v>RHP-B2-MP03</x:v>
      </x:c>
      <x:c r="F855" t="n">
        <x:f>'Measurement Planes'!H57</x:f>
        <x:v>0</x:v>
      </x:c>
      <x:c r="G855" t="n">
        <x:v>1</x:v>
      </x:c>
      <x:c r="H855" t="str">
        <x:v>equals</x:v>
      </x:c>
      <x:c r="I855" t="str">
        <x:v>independent acceptance</x:v>
      </x:c>
      <x:c r="J855" t="str">
        <x:f>IF(F855=G855,"PASS","OPEN")</x:f>
        <x:v>OPEN</x:v>
      </x:c>
    </x:row>
    <x:row r="856">
      <x:c r="B856" t="str">
        <x:v>PHY-MP-RHP-B2-MP04</x:v>
      </x:c>
      <x:c r="C856" t="str">
        <x:v>PHYSICAL</x:v>
      </x:c>
      <x:c r="D856" t="str">
        <x:v>plane calibration</x:v>
      </x:c>
      <x:c r="E856" t="str">
        <x:v>RHP-B2-MP04</x:v>
      </x:c>
      <x:c r="F856" t="n">
        <x:f>'Measurement Planes'!H58</x:f>
        <x:v>0</x:v>
      </x:c>
      <x:c r="G856" t="n">
        <x:v>1</x:v>
      </x:c>
      <x:c r="H856" t="str">
        <x:v>equals</x:v>
      </x:c>
      <x:c r="I856" t="str">
        <x:v>independent acceptance</x:v>
      </x:c>
      <x:c r="J856" t="str">
        <x:f>IF(F856=G856,"PASS","OPEN")</x:f>
        <x:v>OPEN</x:v>
      </x:c>
    </x:row>
    <x:row r="857">
      <x:c r="B857" t="str">
        <x:v>PHY-MP-RHP-B2-MP05</x:v>
      </x:c>
      <x:c r="C857" t="str">
        <x:v>PHYSICAL</x:v>
      </x:c>
      <x:c r="D857" t="str">
        <x:v>plane calibration</x:v>
      </x:c>
      <x:c r="E857" t="str">
        <x:v>RHP-B2-MP05</x:v>
      </x:c>
      <x:c r="F857" t="n">
        <x:f>'Measurement Planes'!H59</x:f>
        <x:v>0</x:v>
      </x:c>
      <x:c r="G857" t="n">
        <x:v>1</x:v>
      </x:c>
      <x:c r="H857" t="str">
        <x:v>equals</x:v>
      </x:c>
      <x:c r="I857" t="str">
        <x:v>independent acceptance</x:v>
      </x:c>
      <x:c r="J857" t="str">
        <x:f>IF(F857=G857,"PASS","OPEN")</x:f>
        <x:v>OPEN</x:v>
      </x:c>
    </x:row>
    <x:row r="858">
      <x:c r="B858" t="str">
        <x:v>PHY-MP-RHP-B2-MP06</x:v>
      </x:c>
      <x:c r="C858" t="str">
        <x:v>PHYSICAL</x:v>
      </x:c>
      <x:c r="D858" t="str">
        <x:v>plane calibration</x:v>
      </x:c>
      <x:c r="E858" t="str">
        <x:v>RHP-B2-MP06</x:v>
      </x:c>
      <x:c r="F858" t="n">
        <x:f>'Measurement Planes'!H60</x:f>
        <x:v>0</x:v>
      </x:c>
      <x:c r="G858" t="n">
        <x:v>1</x:v>
      </x:c>
      <x:c r="H858" t="str">
        <x:v>equals</x:v>
      </x:c>
      <x:c r="I858" t="str">
        <x:v>independent acceptance</x:v>
      </x:c>
      <x:c r="J858" t="str">
        <x:f>IF(F858=G858,"PASS","OPEN")</x:f>
        <x:v>OPEN</x:v>
      </x:c>
    </x:row>
    <x:row r="859">
      <x:c r="B859" t="str">
        <x:v>PHY-MP-RHP-B2-MP07</x:v>
      </x:c>
      <x:c r="C859" t="str">
        <x:v>PHYSICAL</x:v>
      </x:c>
      <x:c r="D859" t="str">
        <x:v>plane calibration</x:v>
      </x:c>
      <x:c r="E859" t="str">
        <x:v>RHP-B2-MP07</x:v>
      </x:c>
      <x:c r="F859" t="n">
        <x:f>'Measurement Planes'!H61</x:f>
        <x:v>0</x:v>
      </x:c>
      <x:c r="G859" t="n">
        <x:v>1</x:v>
      </x:c>
      <x:c r="H859" t="str">
        <x:v>equals</x:v>
      </x:c>
      <x:c r="I859" t="str">
        <x:v>independent acceptance</x:v>
      </x:c>
      <x:c r="J859" t="str">
        <x:f>IF(F859=G859,"PASS","OPEN")</x:f>
        <x:v>OPEN</x:v>
      </x:c>
    </x:row>
    <x:row r="860">
      <x:c r="B860" t="str">
        <x:v>PHY-MP-RHP-B2-MP08</x:v>
      </x:c>
      <x:c r="C860" t="str">
        <x:v>PHYSICAL</x:v>
      </x:c>
      <x:c r="D860" t="str">
        <x:v>plane calibration</x:v>
      </x:c>
      <x:c r="E860" t="str">
        <x:v>RHP-B2-MP08</x:v>
      </x:c>
      <x:c r="F860" t="n">
        <x:f>'Measurement Planes'!H62</x:f>
        <x:v>0</x:v>
      </x:c>
      <x:c r="G860" t="n">
        <x:v>1</x:v>
      </x:c>
      <x:c r="H860" t="str">
        <x:v>equals</x:v>
      </x:c>
      <x:c r="I860" t="str">
        <x:v>independent acceptance</x:v>
      </x:c>
      <x:c r="J860" t="str">
        <x:f>IF(F860=G860,"PASS","OPEN")</x:f>
        <x:v>OPEN</x:v>
      </x:c>
    </x:row>
    <x:row r="861">
      <x:c r="B861" t="str">
        <x:v>PHY-MP-RHP-B2-MP09</x:v>
      </x:c>
      <x:c r="C861" t="str">
        <x:v>PHYSICAL</x:v>
      </x:c>
      <x:c r="D861" t="str">
        <x:v>plane calibration</x:v>
      </x:c>
      <x:c r="E861" t="str">
        <x:v>RHP-B2-MP09</x:v>
      </x:c>
      <x:c r="F861" t="n">
        <x:f>'Measurement Planes'!H63</x:f>
        <x:v>0</x:v>
      </x:c>
      <x:c r="G861" t="n">
        <x:v>1</x:v>
      </x:c>
      <x:c r="H861" t="str">
        <x:v>equals</x:v>
      </x:c>
      <x:c r="I861" t="str">
        <x:v>independent acceptance</x:v>
      </x:c>
      <x:c r="J861" t="str">
        <x:f>IF(F861=G861,"PASS","OPEN")</x:f>
        <x:v>OPEN</x:v>
      </x:c>
    </x:row>
    <x:row r="862">
      <x:c r="B862" t="str">
        <x:v>PHY-MP-RHP-B2-MP10</x:v>
      </x:c>
      <x:c r="C862" t="str">
        <x:v>PHYSICAL</x:v>
      </x:c>
      <x:c r="D862" t="str">
        <x:v>plane calibration</x:v>
      </x:c>
      <x:c r="E862" t="str">
        <x:v>RHP-B2-MP10</x:v>
      </x:c>
      <x:c r="F862" t="n">
        <x:f>'Measurement Planes'!H64</x:f>
        <x:v>0</x:v>
      </x:c>
      <x:c r="G862" t="n">
        <x:v>1</x:v>
      </x:c>
      <x:c r="H862" t="str">
        <x:v>equals</x:v>
      </x:c>
      <x:c r="I862" t="str">
        <x:v>independent acceptance</x:v>
      </x:c>
      <x:c r="J862" t="str">
        <x:f>IF(F862=G862,"PASS","OPEN")</x:f>
        <x:v>OPEN</x:v>
      </x:c>
    </x:row>
    <x:row r="863">
      <x:c r="B863" t="str">
        <x:v>PHY-MP-RHP-B2-MP11</x:v>
      </x:c>
      <x:c r="C863" t="str">
        <x:v>PHYSICAL</x:v>
      </x:c>
      <x:c r="D863" t="str">
        <x:v>plane calibration</x:v>
      </x:c>
      <x:c r="E863" t="str">
        <x:v>RHP-B2-MP11</x:v>
      </x:c>
      <x:c r="F863" t="n">
        <x:f>'Measurement Planes'!H65</x:f>
        <x:v>0</x:v>
      </x:c>
      <x:c r="G863" t="n">
        <x:v>1</x:v>
      </x:c>
      <x:c r="H863" t="str">
        <x:v>equals</x:v>
      </x:c>
      <x:c r="I863" t="str">
        <x:v>independent acceptance</x:v>
      </x:c>
      <x:c r="J863" t="str">
        <x:f>IF(F863=G863,"PASS","OPEN")</x:f>
        <x:v>OPEN</x:v>
      </x:c>
    </x:row>
    <x:row r="864">
      <x:c r="B864" t="str">
        <x:v>PHY-MP-RHP-B2-MP12</x:v>
      </x:c>
      <x:c r="C864" t="str">
        <x:v>PHYSICAL</x:v>
      </x:c>
      <x:c r="D864" t="str">
        <x:v>plane calibration</x:v>
      </x:c>
      <x:c r="E864" t="str">
        <x:v>RHP-B2-MP12</x:v>
      </x:c>
      <x:c r="F864" t="n">
        <x:f>'Measurement Planes'!H66</x:f>
        <x:v>0</x:v>
      </x:c>
      <x:c r="G864" t="n">
        <x:v>1</x:v>
      </x:c>
      <x:c r="H864" t="str">
        <x:v>equals</x:v>
      </x:c>
      <x:c r="I864" t="str">
        <x:v>independent acceptance</x:v>
      </x:c>
      <x:c r="J864" t="str">
        <x:f>IF(F864=G864,"PASS","OPEN")</x:f>
        <x:v>OPEN</x:v>
      </x:c>
    </x:row>
    <x:row r="865">
      <x:c r="B865" t="str">
        <x:v>PHY-MP-RHP-B2-MP13</x:v>
      </x:c>
      <x:c r="C865" t="str">
        <x:v>PHYSICAL</x:v>
      </x:c>
      <x:c r="D865" t="str">
        <x:v>plane calibration</x:v>
      </x:c>
      <x:c r="E865" t="str">
        <x:v>RHP-B2-MP13</x:v>
      </x:c>
      <x:c r="F865" t="n">
        <x:f>'Measurement Planes'!H67</x:f>
        <x:v>0</x:v>
      </x:c>
      <x:c r="G865" t="n">
        <x:v>1</x:v>
      </x:c>
      <x:c r="H865" t="str">
        <x:v>equals</x:v>
      </x:c>
      <x:c r="I865" t="str">
        <x:v>independent acceptance</x:v>
      </x:c>
      <x:c r="J865" t="str">
        <x:f>IF(F865=G865,"PASS","OPEN")</x:f>
        <x:v>OPEN</x:v>
      </x:c>
    </x:row>
    <x:row r="866">
      <x:c r="B866" t="str">
        <x:v>PHY-MP-RHP-B2-MP14</x:v>
      </x:c>
      <x:c r="C866" t="str">
        <x:v>PHYSICAL</x:v>
      </x:c>
      <x:c r="D866" t="str">
        <x:v>plane calibration</x:v>
      </x:c>
      <x:c r="E866" t="str">
        <x:v>RHP-B2-MP14</x:v>
      </x:c>
      <x:c r="F866" t="n">
        <x:f>'Measurement Planes'!H68</x:f>
        <x:v>0</x:v>
      </x:c>
      <x:c r="G866" t="n">
        <x:v>1</x:v>
      </x:c>
      <x:c r="H866" t="str">
        <x:v>equals</x:v>
      </x:c>
      <x:c r="I866" t="str">
        <x:v>independent acceptance</x:v>
      </x:c>
      <x:c r="J866" t="str">
        <x:f>IF(F866=G866,"PASS","OPEN")</x:f>
        <x:v>OPEN</x:v>
      </x:c>
    </x:row>
    <x:row r="867">
      <x:c r="B867" t="str">
        <x:v>PHY-MP-RHP-B2-MP15</x:v>
      </x:c>
      <x:c r="C867" t="str">
        <x:v>PHYSICAL</x:v>
      </x:c>
      <x:c r="D867" t="str">
        <x:v>plane calibration</x:v>
      </x:c>
      <x:c r="E867" t="str">
        <x:v>RHP-B2-MP15</x:v>
      </x:c>
      <x:c r="F867" t="n">
        <x:f>'Measurement Planes'!H69</x:f>
        <x:v>0</x:v>
      </x:c>
      <x:c r="G867" t="n">
        <x:v>1</x:v>
      </x:c>
      <x:c r="H867" t="str">
        <x:v>equals</x:v>
      </x:c>
      <x:c r="I867" t="str">
        <x:v>independent acceptance</x:v>
      </x:c>
      <x:c r="J867" t="str">
        <x:f>IF(F867=G867,"PASS","OPEN")</x:f>
        <x:v>OPEN</x:v>
      </x:c>
    </x:row>
    <x:row r="868">
      <x:c r="B868" t="str">
        <x:v>PHY-MP-RHP-B2-MP16</x:v>
      </x:c>
      <x:c r="C868" t="str">
        <x:v>PHYSICAL</x:v>
      </x:c>
      <x:c r="D868" t="str">
        <x:v>plane calibration</x:v>
      </x:c>
      <x:c r="E868" t="str">
        <x:v>RHP-B2-MP16</x:v>
      </x:c>
      <x:c r="F868" t="n">
        <x:f>'Measurement Planes'!H70</x:f>
        <x:v>0</x:v>
      </x:c>
      <x:c r="G868" t="n">
        <x:v>1</x:v>
      </x:c>
      <x:c r="H868" t="str">
        <x:v>equals</x:v>
      </x:c>
      <x:c r="I868" t="str">
        <x:v>independent acceptance</x:v>
      </x:c>
      <x:c r="J868" t="str">
        <x:f>IF(F868=G868,"PASS","OPEN")</x:f>
        <x:v>OPEN</x:v>
      </x:c>
    </x:row>
    <x:row r="869">
      <x:c r="B869" t="str">
        <x:v>PHY-MP-RHP-C1-MP01</x:v>
      </x:c>
      <x:c r="C869" t="str">
        <x:v>PHYSICAL</x:v>
      </x:c>
      <x:c r="D869" t="str">
        <x:v>plane calibration</x:v>
      </x:c>
      <x:c r="E869" t="str">
        <x:v>RHP-C1-MP01</x:v>
      </x:c>
      <x:c r="F869" t="n">
        <x:f>'Measurement Planes'!H71</x:f>
        <x:v>0</x:v>
      </x:c>
      <x:c r="G869" t="n">
        <x:v>1</x:v>
      </x:c>
      <x:c r="H869" t="str">
        <x:v>equals</x:v>
      </x:c>
      <x:c r="I869" t="str">
        <x:v>independent acceptance</x:v>
      </x:c>
      <x:c r="J869" t="str">
        <x:f>IF(F869=G869,"PASS","OPEN")</x:f>
        <x:v>OPEN</x:v>
      </x:c>
    </x:row>
    <x:row r="870">
      <x:c r="B870" t="str">
        <x:v>PHY-MP-RHP-C1-MP02</x:v>
      </x:c>
      <x:c r="C870" t="str">
        <x:v>PHYSICAL</x:v>
      </x:c>
      <x:c r="D870" t="str">
        <x:v>plane calibration</x:v>
      </x:c>
      <x:c r="E870" t="str">
        <x:v>RHP-C1-MP02</x:v>
      </x:c>
      <x:c r="F870" t="n">
        <x:f>'Measurement Planes'!H72</x:f>
        <x:v>0</x:v>
      </x:c>
      <x:c r="G870" t="n">
        <x:v>1</x:v>
      </x:c>
      <x:c r="H870" t="str">
        <x:v>equals</x:v>
      </x:c>
      <x:c r="I870" t="str">
        <x:v>independent acceptance</x:v>
      </x:c>
      <x:c r="J870" t="str">
        <x:f>IF(F870=G870,"PASS","OPEN")</x:f>
        <x:v>OPEN</x:v>
      </x:c>
    </x:row>
    <x:row r="871">
      <x:c r="B871" t="str">
        <x:v>PHY-MP-RHP-C1-MP03</x:v>
      </x:c>
      <x:c r="C871" t="str">
        <x:v>PHYSICAL</x:v>
      </x:c>
      <x:c r="D871" t="str">
        <x:v>plane calibration</x:v>
      </x:c>
      <x:c r="E871" t="str">
        <x:v>RHP-C1-MP03</x:v>
      </x:c>
      <x:c r="F871" t="n">
        <x:f>'Measurement Planes'!H73</x:f>
        <x:v>0</x:v>
      </x:c>
      <x:c r="G871" t="n">
        <x:v>1</x:v>
      </x:c>
      <x:c r="H871" t="str">
        <x:v>equals</x:v>
      </x:c>
      <x:c r="I871" t="str">
        <x:v>independent acceptance</x:v>
      </x:c>
      <x:c r="J871" t="str">
        <x:f>IF(F871=G871,"PASS","OPEN")</x:f>
        <x:v>OPEN</x:v>
      </x:c>
    </x:row>
    <x:row r="872">
      <x:c r="B872" t="str">
        <x:v>PHY-MP-RHP-C1-MP04</x:v>
      </x:c>
      <x:c r="C872" t="str">
        <x:v>PHYSICAL</x:v>
      </x:c>
      <x:c r="D872" t="str">
        <x:v>plane calibration</x:v>
      </x:c>
      <x:c r="E872" t="str">
        <x:v>RHP-C1-MP04</x:v>
      </x:c>
      <x:c r="F872" t="n">
        <x:f>'Measurement Planes'!H74</x:f>
        <x:v>0</x:v>
      </x:c>
      <x:c r="G872" t="n">
        <x:v>1</x:v>
      </x:c>
      <x:c r="H872" t="str">
        <x:v>equals</x:v>
      </x:c>
      <x:c r="I872" t="str">
        <x:v>independent acceptance</x:v>
      </x:c>
      <x:c r="J872" t="str">
        <x:f>IF(F872=G872,"PASS","OPEN")</x:f>
        <x:v>OPEN</x:v>
      </x:c>
    </x:row>
    <x:row r="873">
      <x:c r="B873" t="str">
        <x:v>PHY-MP-RHP-C1-MP05</x:v>
      </x:c>
      <x:c r="C873" t="str">
        <x:v>PHYSICAL</x:v>
      </x:c>
      <x:c r="D873" t="str">
        <x:v>plane calibration</x:v>
      </x:c>
      <x:c r="E873" t="str">
        <x:v>RHP-C1-MP05</x:v>
      </x:c>
      <x:c r="F873" t="n">
        <x:f>'Measurement Planes'!H75</x:f>
        <x:v>0</x:v>
      </x:c>
      <x:c r="G873" t="n">
        <x:v>1</x:v>
      </x:c>
      <x:c r="H873" t="str">
        <x:v>equals</x:v>
      </x:c>
      <x:c r="I873" t="str">
        <x:v>independent acceptance</x:v>
      </x:c>
      <x:c r="J873" t="str">
        <x:f>IF(F873=G873,"PASS","OPEN")</x:f>
        <x:v>OPEN</x:v>
      </x:c>
    </x:row>
    <x:row r="874">
      <x:c r="B874" t="str">
        <x:v>PHY-MP-RHP-C1-MP06</x:v>
      </x:c>
      <x:c r="C874" t="str">
        <x:v>PHYSICAL</x:v>
      </x:c>
      <x:c r="D874" t="str">
        <x:v>plane calibration</x:v>
      </x:c>
      <x:c r="E874" t="str">
        <x:v>RHP-C1-MP06</x:v>
      </x:c>
      <x:c r="F874" t="n">
        <x:f>'Measurement Planes'!H76</x:f>
        <x:v>0</x:v>
      </x:c>
      <x:c r="G874" t="n">
        <x:v>1</x:v>
      </x:c>
      <x:c r="H874" t="str">
        <x:v>equals</x:v>
      </x:c>
      <x:c r="I874" t="str">
        <x:v>independent acceptance</x:v>
      </x:c>
      <x:c r="J874" t="str">
        <x:f>IF(F874=G874,"PASS","OPEN")</x:f>
        <x:v>OPEN</x:v>
      </x:c>
    </x:row>
    <x:row r="875">
      <x:c r="B875" t="str">
        <x:v>PHY-MP-RHP-C1-MP07</x:v>
      </x:c>
      <x:c r="C875" t="str">
        <x:v>PHYSICAL</x:v>
      </x:c>
      <x:c r="D875" t="str">
        <x:v>plane calibration</x:v>
      </x:c>
      <x:c r="E875" t="str">
        <x:v>RHP-C1-MP07</x:v>
      </x:c>
      <x:c r="F875" t="n">
        <x:f>'Measurement Planes'!H77</x:f>
        <x:v>0</x:v>
      </x:c>
      <x:c r="G875" t="n">
        <x:v>1</x:v>
      </x:c>
      <x:c r="H875" t="str">
        <x:v>equals</x:v>
      </x:c>
      <x:c r="I875" t="str">
        <x:v>independent acceptance</x:v>
      </x:c>
      <x:c r="J875" t="str">
        <x:f>IF(F875=G875,"PASS","OPEN")</x:f>
        <x:v>OPEN</x:v>
      </x:c>
    </x:row>
    <x:row r="876">
      <x:c r="B876" t="str">
        <x:v>PHY-MP-RHP-C1-MP08</x:v>
      </x:c>
      <x:c r="C876" t="str">
        <x:v>PHYSICAL</x:v>
      </x:c>
      <x:c r="D876" t="str">
        <x:v>plane calibration</x:v>
      </x:c>
      <x:c r="E876" t="str">
        <x:v>RHP-C1-MP08</x:v>
      </x:c>
      <x:c r="F876" t="n">
        <x:f>'Measurement Planes'!H78</x:f>
        <x:v>0</x:v>
      </x:c>
      <x:c r="G876" t="n">
        <x:v>1</x:v>
      </x:c>
      <x:c r="H876" t="str">
        <x:v>equals</x:v>
      </x:c>
      <x:c r="I876" t="str">
        <x:v>independent acceptance</x:v>
      </x:c>
      <x:c r="J876" t="str">
        <x:f>IF(F876=G876,"PASS","OPEN")</x:f>
        <x:v>OPEN</x:v>
      </x:c>
    </x:row>
    <x:row r="877">
      <x:c r="B877" t="str">
        <x:v>PHY-MP-RHP-C1-MP09</x:v>
      </x:c>
      <x:c r="C877" t="str">
        <x:v>PHYSICAL</x:v>
      </x:c>
      <x:c r="D877" t="str">
        <x:v>plane calibration</x:v>
      </x:c>
      <x:c r="E877" t="str">
        <x:v>RHP-C1-MP09</x:v>
      </x:c>
      <x:c r="F877" t="n">
        <x:f>'Measurement Planes'!H79</x:f>
        <x:v>0</x:v>
      </x:c>
      <x:c r="G877" t="n">
        <x:v>1</x:v>
      </x:c>
      <x:c r="H877" t="str">
        <x:v>equals</x:v>
      </x:c>
      <x:c r="I877" t="str">
        <x:v>independent acceptance</x:v>
      </x:c>
      <x:c r="J877" t="str">
        <x:f>IF(F877=G877,"PASS","OPEN")</x:f>
        <x:v>OPEN</x:v>
      </x:c>
    </x:row>
    <x:row r="878">
      <x:c r="B878" t="str">
        <x:v>PHY-MP-RHP-C1-MP10</x:v>
      </x:c>
      <x:c r="C878" t="str">
        <x:v>PHYSICAL</x:v>
      </x:c>
      <x:c r="D878" t="str">
        <x:v>plane calibration</x:v>
      </x:c>
      <x:c r="E878" t="str">
        <x:v>RHP-C1-MP10</x:v>
      </x:c>
      <x:c r="F878" t="n">
        <x:f>'Measurement Planes'!H80</x:f>
        <x:v>0</x:v>
      </x:c>
      <x:c r="G878" t="n">
        <x:v>1</x:v>
      </x:c>
      <x:c r="H878" t="str">
        <x:v>equals</x:v>
      </x:c>
      <x:c r="I878" t="str">
        <x:v>independent acceptance</x:v>
      </x:c>
      <x:c r="J878" t="str">
        <x:f>IF(F878=G878,"PASS","OPEN")</x:f>
        <x:v>OPEN</x:v>
      </x:c>
    </x:row>
    <x:row r="879">
      <x:c r="B879" t="str">
        <x:v>PHY-MP-RHP-C1-MP11</x:v>
      </x:c>
      <x:c r="C879" t="str">
        <x:v>PHYSICAL</x:v>
      </x:c>
      <x:c r="D879" t="str">
        <x:v>plane calibration</x:v>
      </x:c>
      <x:c r="E879" t="str">
        <x:v>RHP-C1-MP11</x:v>
      </x:c>
      <x:c r="F879" t="n">
        <x:f>'Measurement Planes'!H81</x:f>
        <x:v>0</x:v>
      </x:c>
      <x:c r="G879" t="n">
        <x:v>1</x:v>
      </x:c>
      <x:c r="H879" t="str">
        <x:v>equals</x:v>
      </x:c>
      <x:c r="I879" t="str">
        <x:v>independent acceptance</x:v>
      </x:c>
      <x:c r="J879" t="str">
        <x:f>IF(F879=G879,"PASS","OPEN")</x:f>
        <x:v>OPEN</x:v>
      </x:c>
    </x:row>
    <x:row r="880">
      <x:c r="B880" t="str">
        <x:v>PHY-MP-RHP-C1-MP12</x:v>
      </x:c>
      <x:c r="C880" t="str">
        <x:v>PHYSICAL</x:v>
      </x:c>
      <x:c r="D880" t="str">
        <x:v>plane calibration</x:v>
      </x:c>
      <x:c r="E880" t="str">
        <x:v>RHP-C1-MP12</x:v>
      </x:c>
      <x:c r="F880" t="n">
        <x:f>'Measurement Planes'!H82</x:f>
        <x:v>0</x:v>
      </x:c>
      <x:c r="G880" t="n">
        <x:v>1</x:v>
      </x:c>
      <x:c r="H880" t="str">
        <x:v>equals</x:v>
      </x:c>
      <x:c r="I880" t="str">
        <x:v>independent acceptance</x:v>
      </x:c>
      <x:c r="J880" t="str">
        <x:f>IF(F880=G880,"PASS","OPEN")</x:f>
        <x:v>OPEN</x:v>
      </x:c>
    </x:row>
    <x:row r="881">
      <x:c r="B881" t="str">
        <x:v>PHY-MP-RHP-C1-MP13</x:v>
      </x:c>
      <x:c r="C881" t="str">
        <x:v>PHYSICAL</x:v>
      </x:c>
      <x:c r="D881" t="str">
        <x:v>plane calibration</x:v>
      </x:c>
      <x:c r="E881" t="str">
        <x:v>RHP-C1-MP13</x:v>
      </x:c>
      <x:c r="F881" t="n">
        <x:f>'Measurement Planes'!H83</x:f>
        <x:v>0</x:v>
      </x:c>
      <x:c r="G881" t="n">
        <x:v>1</x:v>
      </x:c>
      <x:c r="H881" t="str">
        <x:v>equals</x:v>
      </x:c>
      <x:c r="I881" t="str">
        <x:v>independent acceptance</x:v>
      </x:c>
      <x:c r="J881" t="str">
        <x:f>IF(F881=G881,"PASS","OPEN")</x:f>
        <x:v>OPEN</x:v>
      </x:c>
    </x:row>
    <x:row r="882">
      <x:c r="B882" t="str">
        <x:v>PHY-MP-RHP-C1-MP14</x:v>
      </x:c>
      <x:c r="C882" t="str">
        <x:v>PHYSICAL</x:v>
      </x:c>
      <x:c r="D882" t="str">
        <x:v>plane calibration</x:v>
      </x:c>
      <x:c r="E882" t="str">
        <x:v>RHP-C1-MP14</x:v>
      </x:c>
      <x:c r="F882" t="n">
        <x:f>'Measurement Planes'!H84</x:f>
        <x:v>0</x:v>
      </x:c>
      <x:c r="G882" t="n">
        <x:v>1</x:v>
      </x:c>
      <x:c r="H882" t="str">
        <x:v>equals</x:v>
      </x:c>
      <x:c r="I882" t="str">
        <x:v>independent acceptance</x:v>
      </x:c>
      <x:c r="J882" t="str">
        <x:f>IF(F882=G882,"PASS","OPEN")</x:f>
        <x:v>OPEN</x:v>
      </x:c>
    </x:row>
    <x:row r="883">
      <x:c r="B883" t="str">
        <x:v>PHY-MP-RHP-C1-MP15</x:v>
      </x:c>
      <x:c r="C883" t="str">
        <x:v>PHYSICAL</x:v>
      </x:c>
      <x:c r="D883" t="str">
        <x:v>plane calibration</x:v>
      </x:c>
      <x:c r="E883" t="str">
        <x:v>RHP-C1-MP15</x:v>
      </x:c>
      <x:c r="F883" t="n">
        <x:f>'Measurement Planes'!H85</x:f>
        <x:v>0</x:v>
      </x:c>
      <x:c r="G883" t="n">
        <x:v>1</x:v>
      </x:c>
      <x:c r="H883" t="str">
        <x:v>equals</x:v>
      </x:c>
      <x:c r="I883" t="str">
        <x:v>independent acceptance</x:v>
      </x:c>
      <x:c r="J883" t="str">
        <x:f>IF(F883=G883,"PASS","OPEN")</x:f>
        <x:v>OPEN</x:v>
      </x:c>
    </x:row>
    <x:row r="884">
      <x:c r="B884" t="str">
        <x:v>PHY-MP-RHP-C1-MP16</x:v>
      </x:c>
      <x:c r="C884" t="str">
        <x:v>PHYSICAL</x:v>
      </x:c>
      <x:c r="D884" t="str">
        <x:v>plane calibration</x:v>
      </x:c>
      <x:c r="E884" t="str">
        <x:v>RHP-C1-MP16</x:v>
      </x:c>
      <x:c r="F884" t="n">
        <x:f>'Measurement Planes'!H86</x:f>
        <x:v>0</x:v>
      </x:c>
      <x:c r="G884" t="n">
        <x:v>1</x:v>
      </x:c>
      <x:c r="H884" t="str">
        <x:v>equals</x:v>
      </x:c>
      <x:c r="I884" t="str">
        <x:v>independent acceptance</x:v>
      </x:c>
      <x:c r="J884" t="str">
        <x:f>IF(F884=G884,"PASS","OPEN")</x:f>
        <x:v>OPEN</x:v>
      </x:c>
    </x:row>
    <x:row r="885">
      <x:c r="B885" t="str">
        <x:v>PHY-MP-RHP-C2-MP01</x:v>
      </x:c>
      <x:c r="C885" t="str">
        <x:v>PHYSICAL</x:v>
      </x:c>
      <x:c r="D885" t="str">
        <x:v>plane calibration</x:v>
      </x:c>
      <x:c r="E885" t="str">
        <x:v>RHP-C2-MP01</x:v>
      </x:c>
      <x:c r="F885" t="n">
        <x:f>'Measurement Planes'!H87</x:f>
        <x:v>0</x:v>
      </x:c>
      <x:c r="G885" t="n">
        <x:v>1</x:v>
      </x:c>
      <x:c r="H885" t="str">
        <x:v>equals</x:v>
      </x:c>
      <x:c r="I885" t="str">
        <x:v>independent acceptance</x:v>
      </x:c>
      <x:c r="J885" t="str">
        <x:f>IF(F885=G885,"PASS","OPEN")</x:f>
        <x:v>OPEN</x:v>
      </x:c>
    </x:row>
    <x:row r="886">
      <x:c r="B886" t="str">
        <x:v>PHY-MP-RHP-C2-MP02</x:v>
      </x:c>
      <x:c r="C886" t="str">
        <x:v>PHYSICAL</x:v>
      </x:c>
      <x:c r="D886" t="str">
        <x:v>plane calibration</x:v>
      </x:c>
      <x:c r="E886" t="str">
        <x:v>RHP-C2-MP02</x:v>
      </x:c>
      <x:c r="F886" t="n">
        <x:f>'Measurement Planes'!H88</x:f>
        <x:v>0</x:v>
      </x:c>
      <x:c r="G886" t="n">
        <x:v>1</x:v>
      </x:c>
      <x:c r="H886" t="str">
        <x:v>equals</x:v>
      </x:c>
      <x:c r="I886" t="str">
        <x:v>independent acceptance</x:v>
      </x:c>
      <x:c r="J886" t="str">
        <x:f>IF(F886=G886,"PASS","OPEN")</x:f>
        <x:v>OPEN</x:v>
      </x:c>
    </x:row>
    <x:row r="887">
      <x:c r="B887" t="str">
        <x:v>PHY-MP-RHP-C2-MP03</x:v>
      </x:c>
      <x:c r="C887" t="str">
        <x:v>PHYSICAL</x:v>
      </x:c>
      <x:c r="D887" t="str">
        <x:v>plane calibration</x:v>
      </x:c>
      <x:c r="E887" t="str">
        <x:v>RHP-C2-MP03</x:v>
      </x:c>
      <x:c r="F887" t="n">
        <x:f>'Measurement Planes'!H89</x:f>
        <x:v>0</x:v>
      </x:c>
      <x:c r="G887" t="n">
        <x:v>1</x:v>
      </x:c>
      <x:c r="H887" t="str">
        <x:v>equals</x:v>
      </x:c>
      <x:c r="I887" t="str">
        <x:v>independent acceptance</x:v>
      </x:c>
      <x:c r="J887" t="str">
        <x:f>IF(F887=G887,"PASS","OPEN")</x:f>
        <x:v>OPEN</x:v>
      </x:c>
    </x:row>
    <x:row r="888">
      <x:c r="B888" t="str">
        <x:v>PHY-MP-RHP-C2-MP04</x:v>
      </x:c>
      <x:c r="C888" t="str">
        <x:v>PHYSICAL</x:v>
      </x:c>
      <x:c r="D888" t="str">
        <x:v>plane calibration</x:v>
      </x:c>
      <x:c r="E888" t="str">
        <x:v>RHP-C2-MP04</x:v>
      </x:c>
      <x:c r="F888" t="n">
        <x:f>'Measurement Planes'!H90</x:f>
        <x:v>0</x:v>
      </x:c>
      <x:c r="G888" t="n">
        <x:v>1</x:v>
      </x:c>
      <x:c r="H888" t="str">
        <x:v>equals</x:v>
      </x:c>
      <x:c r="I888" t="str">
        <x:v>independent acceptance</x:v>
      </x:c>
      <x:c r="J888" t="str">
        <x:f>IF(F888=G888,"PASS","OPEN")</x:f>
        <x:v>OPEN</x:v>
      </x:c>
    </x:row>
    <x:row r="889">
      <x:c r="B889" t="str">
        <x:v>PHY-MP-RHP-C2-MP05</x:v>
      </x:c>
      <x:c r="C889" t="str">
        <x:v>PHYSICAL</x:v>
      </x:c>
      <x:c r="D889" t="str">
        <x:v>plane calibration</x:v>
      </x:c>
      <x:c r="E889" t="str">
        <x:v>RHP-C2-MP05</x:v>
      </x:c>
      <x:c r="F889" t="n">
        <x:f>'Measurement Planes'!H91</x:f>
        <x:v>0</x:v>
      </x:c>
      <x:c r="G889" t="n">
        <x:v>1</x:v>
      </x:c>
      <x:c r="H889" t="str">
        <x:v>equals</x:v>
      </x:c>
      <x:c r="I889" t="str">
        <x:v>independent acceptance</x:v>
      </x:c>
      <x:c r="J889" t="str">
        <x:f>IF(F889=G889,"PASS","OPEN")</x:f>
        <x:v>OPEN</x:v>
      </x:c>
    </x:row>
    <x:row r="890">
      <x:c r="B890" t="str">
        <x:v>PHY-MP-RHP-C2-MP06</x:v>
      </x:c>
      <x:c r="C890" t="str">
        <x:v>PHYSICAL</x:v>
      </x:c>
      <x:c r="D890" t="str">
        <x:v>plane calibration</x:v>
      </x:c>
      <x:c r="E890" t="str">
        <x:v>RHP-C2-MP06</x:v>
      </x:c>
      <x:c r="F890" t="n">
        <x:f>'Measurement Planes'!H92</x:f>
        <x:v>0</x:v>
      </x:c>
      <x:c r="G890" t="n">
        <x:v>1</x:v>
      </x:c>
      <x:c r="H890" t="str">
        <x:v>equals</x:v>
      </x:c>
      <x:c r="I890" t="str">
        <x:v>independent acceptance</x:v>
      </x:c>
      <x:c r="J890" t="str">
        <x:f>IF(F890=G890,"PASS","OPEN")</x:f>
        <x:v>OPEN</x:v>
      </x:c>
    </x:row>
    <x:row r="891">
      <x:c r="B891" t="str">
        <x:v>PHY-MP-RHP-C2-MP07</x:v>
      </x:c>
      <x:c r="C891" t="str">
        <x:v>PHYSICAL</x:v>
      </x:c>
      <x:c r="D891" t="str">
        <x:v>plane calibration</x:v>
      </x:c>
      <x:c r="E891" t="str">
        <x:v>RHP-C2-MP07</x:v>
      </x:c>
      <x:c r="F891" t="n">
        <x:f>'Measurement Planes'!H93</x:f>
        <x:v>0</x:v>
      </x:c>
      <x:c r="G891" t="n">
        <x:v>1</x:v>
      </x:c>
      <x:c r="H891" t="str">
        <x:v>equals</x:v>
      </x:c>
      <x:c r="I891" t="str">
        <x:v>independent acceptance</x:v>
      </x:c>
      <x:c r="J891" t="str">
        <x:f>IF(F891=G891,"PASS","OPEN")</x:f>
        <x:v>OPEN</x:v>
      </x:c>
    </x:row>
    <x:row r="892">
      <x:c r="B892" t="str">
        <x:v>PHY-MP-RHP-C2-MP08</x:v>
      </x:c>
      <x:c r="C892" t="str">
        <x:v>PHYSICAL</x:v>
      </x:c>
      <x:c r="D892" t="str">
        <x:v>plane calibration</x:v>
      </x:c>
      <x:c r="E892" t="str">
        <x:v>RHP-C2-MP08</x:v>
      </x:c>
      <x:c r="F892" t="n">
        <x:f>'Measurement Planes'!H94</x:f>
        <x:v>0</x:v>
      </x:c>
      <x:c r="G892" t="n">
        <x:v>1</x:v>
      </x:c>
      <x:c r="H892" t="str">
        <x:v>equals</x:v>
      </x:c>
      <x:c r="I892" t="str">
        <x:v>independent acceptance</x:v>
      </x:c>
      <x:c r="J892" t="str">
        <x:f>IF(F892=G892,"PASS","OPEN")</x:f>
        <x:v>OPEN</x:v>
      </x:c>
    </x:row>
    <x:row r="893">
      <x:c r="B893" t="str">
        <x:v>PHY-MP-RHP-C2-MP09</x:v>
      </x:c>
      <x:c r="C893" t="str">
        <x:v>PHYSICAL</x:v>
      </x:c>
      <x:c r="D893" t="str">
        <x:v>plane calibration</x:v>
      </x:c>
      <x:c r="E893" t="str">
        <x:v>RHP-C2-MP09</x:v>
      </x:c>
      <x:c r="F893" t="n">
        <x:f>'Measurement Planes'!H95</x:f>
        <x:v>0</x:v>
      </x:c>
      <x:c r="G893" t="n">
        <x:v>1</x:v>
      </x:c>
      <x:c r="H893" t="str">
        <x:v>equals</x:v>
      </x:c>
      <x:c r="I893" t="str">
        <x:v>independent acceptance</x:v>
      </x:c>
      <x:c r="J893" t="str">
        <x:f>IF(F893=G893,"PASS","OPEN")</x:f>
        <x:v>OPEN</x:v>
      </x:c>
    </x:row>
    <x:row r="894">
      <x:c r="B894" t="str">
        <x:v>PHY-MP-RHP-C2-MP10</x:v>
      </x:c>
      <x:c r="C894" t="str">
        <x:v>PHYSICAL</x:v>
      </x:c>
      <x:c r="D894" t="str">
        <x:v>plane calibration</x:v>
      </x:c>
      <x:c r="E894" t="str">
        <x:v>RHP-C2-MP10</x:v>
      </x:c>
      <x:c r="F894" t="n">
        <x:f>'Measurement Planes'!H96</x:f>
        <x:v>0</x:v>
      </x:c>
      <x:c r="G894" t="n">
        <x:v>1</x:v>
      </x:c>
      <x:c r="H894" t="str">
        <x:v>equals</x:v>
      </x:c>
      <x:c r="I894" t="str">
        <x:v>independent acceptance</x:v>
      </x:c>
      <x:c r="J894" t="str">
        <x:f>IF(F894=G894,"PASS","OPEN")</x:f>
        <x:v>OPEN</x:v>
      </x:c>
    </x:row>
    <x:row r="895">
      <x:c r="B895" t="str">
        <x:v>PHY-MP-RHP-C2-MP11</x:v>
      </x:c>
      <x:c r="C895" t="str">
        <x:v>PHYSICAL</x:v>
      </x:c>
      <x:c r="D895" t="str">
        <x:v>plane calibration</x:v>
      </x:c>
      <x:c r="E895" t="str">
        <x:v>RHP-C2-MP11</x:v>
      </x:c>
      <x:c r="F895" t="n">
        <x:f>'Measurement Planes'!H97</x:f>
        <x:v>0</x:v>
      </x:c>
      <x:c r="G895" t="n">
        <x:v>1</x:v>
      </x:c>
      <x:c r="H895" t="str">
        <x:v>equals</x:v>
      </x:c>
      <x:c r="I895" t="str">
        <x:v>independent acceptance</x:v>
      </x:c>
      <x:c r="J895" t="str">
        <x:f>IF(F895=G895,"PASS","OPEN")</x:f>
        <x:v>OPEN</x:v>
      </x:c>
    </x:row>
    <x:row r="896">
      <x:c r="B896" t="str">
        <x:v>PHY-MP-RHP-C2-MP12</x:v>
      </x:c>
      <x:c r="C896" t="str">
        <x:v>PHYSICAL</x:v>
      </x:c>
      <x:c r="D896" t="str">
        <x:v>plane calibration</x:v>
      </x:c>
      <x:c r="E896" t="str">
        <x:v>RHP-C2-MP12</x:v>
      </x:c>
      <x:c r="F896" t="n">
        <x:f>'Measurement Planes'!H98</x:f>
        <x:v>0</x:v>
      </x:c>
      <x:c r="G896" t="n">
        <x:v>1</x:v>
      </x:c>
      <x:c r="H896" t="str">
        <x:v>equals</x:v>
      </x:c>
      <x:c r="I896" t="str">
        <x:v>independent acceptance</x:v>
      </x:c>
      <x:c r="J896" t="str">
        <x:f>IF(F896=G896,"PASS","OPEN")</x:f>
        <x:v>OPEN</x:v>
      </x:c>
    </x:row>
    <x:row r="897">
      <x:c r="B897" t="str">
        <x:v>PHY-MP-RHP-C2-MP13</x:v>
      </x:c>
      <x:c r="C897" t="str">
        <x:v>PHYSICAL</x:v>
      </x:c>
      <x:c r="D897" t="str">
        <x:v>plane calibration</x:v>
      </x:c>
      <x:c r="E897" t="str">
        <x:v>RHP-C2-MP13</x:v>
      </x:c>
      <x:c r="F897" t="n">
        <x:f>'Measurement Planes'!H99</x:f>
        <x:v>0</x:v>
      </x:c>
      <x:c r="G897" t="n">
        <x:v>1</x:v>
      </x:c>
      <x:c r="H897" t="str">
        <x:v>equals</x:v>
      </x:c>
      <x:c r="I897" t="str">
        <x:v>independent acceptance</x:v>
      </x:c>
      <x:c r="J897" t="str">
        <x:f>IF(F897=G897,"PASS","OPEN")</x:f>
        <x:v>OPEN</x:v>
      </x:c>
    </x:row>
    <x:row r="898">
      <x:c r="B898" t="str">
        <x:v>PHY-MP-RHP-C2-MP14</x:v>
      </x:c>
      <x:c r="C898" t="str">
        <x:v>PHYSICAL</x:v>
      </x:c>
      <x:c r="D898" t="str">
        <x:v>plane calibration</x:v>
      </x:c>
      <x:c r="E898" t="str">
        <x:v>RHP-C2-MP14</x:v>
      </x:c>
      <x:c r="F898" t="n">
        <x:f>'Measurement Planes'!H100</x:f>
        <x:v>0</x:v>
      </x:c>
      <x:c r="G898" t="n">
        <x:v>1</x:v>
      </x:c>
      <x:c r="H898" t="str">
        <x:v>equals</x:v>
      </x:c>
      <x:c r="I898" t="str">
        <x:v>independent acceptance</x:v>
      </x:c>
      <x:c r="J898" t="str">
        <x:f>IF(F898=G898,"PASS","OPEN")</x:f>
        <x:v>OPEN</x:v>
      </x:c>
    </x:row>
    <x:row r="899">
      <x:c r="B899" t="str">
        <x:v>PHY-MP-RHP-C2-MP15</x:v>
      </x:c>
      <x:c r="C899" t="str">
        <x:v>PHYSICAL</x:v>
      </x:c>
      <x:c r="D899" t="str">
        <x:v>plane calibration</x:v>
      </x:c>
      <x:c r="E899" t="str">
        <x:v>RHP-C2-MP15</x:v>
      </x:c>
      <x:c r="F899" t="n">
        <x:f>'Measurement Planes'!H101</x:f>
        <x:v>0</x:v>
      </x:c>
      <x:c r="G899" t="n">
        <x:v>1</x:v>
      </x:c>
      <x:c r="H899" t="str">
        <x:v>equals</x:v>
      </x:c>
      <x:c r="I899" t="str">
        <x:v>independent acceptance</x:v>
      </x:c>
      <x:c r="J899" t="str">
        <x:f>IF(F899=G899,"PASS","OPEN")</x:f>
        <x:v>OPEN</x:v>
      </x:c>
    </x:row>
    <x:row r="900">
      <x:c r="B900" t="str">
        <x:v>PHY-MP-RHP-C2-MP16</x:v>
      </x:c>
      <x:c r="C900" t="str">
        <x:v>PHYSICAL</x:v>
      </x:c>
      <x:c r="D900" t="str">
        <x:v>plane calibration</x:v>
      </x:c>
      <x:c r="E900" t="str">
        <x:v>RHP-C2-MP16</x:v>
      </x:c>
      <x:c r="F900" t="n">
        <x:f>'Measurement Planes'!H102</x:f>
        <x:v>0</x:v>
      </x:c>
      <x:c r="G900" t="n">
        <x:v>1</x:v>
      </x:c>
      <x:c r="H900" t="str">
        <x:v>equals</x:v>
      </x:c>
      <x:c r="I900" t="str">
        <x:v>independent acceptance</x:v>
      </x:c>
      <x:c r="J900" t="str">
        <x:f>IF(F900=G900,"PASS","OPEN")</x:f>
        <x:v>OPEN</x:v>
      </x:c>
    </x:row>
    <x:row r="901">
      <x:c r="B901" t="str">
        <x:v>PHY-CH-RHP-A1-CH01</x:v>
      </x:c>
      <x:c r="C901" t="str">
        <x:v>PHYSICAL</x:v>
      </x:c>
      <x:c r="D901" t="str">
        <x:v>challenge-hardware acceptance</x:v>
      </x:c>
      <x:c r="E901" t="str">
        <x:v>RHP-A1-CH01</x:v>
      </x:c>
      <x:c r="F901" t="n">
        <x:f>'Challenge Hardware'!N7</x:f>
        <x:v>0</x:v>
      </x:c>
      <x:c r="G901" t="n">
        <x:v>1</x:v>
      </x:c>
      <x:c r="H901" t="str">
        <x:v>equals</x:v>
      </x:c>
      <x:c r="I901" t="str">
        <x:v>independent acceptance</x:v>
      </x:c>
      <x:c r="J901" t="str">
        <x:f>IF(F901=G901,"PASS","OPEN")</x:f>
        <x:v>OPEN</x:v>
      </x:c>
    </x:row>
    <x:row r="902">
      <x:c r="B902" t="str">
        <x:v>PHY-CH-RHP-A1-CH02</x:v>
      </x:c>
      <x:c r="C902" t="str">
        <x:v>PHYSICAL</x:v>
      </x:c>
      <x:c r="D902" t="str">
        <x:v>challenge-hardware acceptance</x:v>
      </x:c>
      <x:c r="E902" t="str">
        <x:v>RHP-A1-CH02</x:v>
      </x:c>
      <x:c r="F902" t="n">
        <x:f>'Challenge Hardware'!N8</x:f>
        <x:v>0</x:v>
      </x:c>
      <x:c r="G902" t="n">
        <x:v>1</x:v>
      </x:c>
      <x:c r="H902" t="str">
        <x:v>equals</x:v>
      </x:c>
      <x:c r="I902" t="str">
        <x:v>independent acceptance</x:v>
      </x:c>
      <x:c r="J902" t="str">
        <x:f>IF(F902=G902,"PASS","OPEN")</x:f>
        <x:v>OPEN</x:v>
      </x:c>
    </x:row>
    <x:row r="903">
      <x:c r="B903" t="str">
        <x:v>PHY-CH-RHP-A1-CH03</x:v>
      </x:c>
      <x:c r="C903" t="str">
        <x:v>PHYSICAL</x:v>
      </x:c>
      <x:c r="D903" t="str">
        <x:v>challenge-hardware acceptance</x:v>
      </x:c>
      <x:c r="E903" t="str">
        <x:v>RHP-A1-CH03</x:v>
      </x:c>
      <x:c r="F903" t="n">
        <x:f>'Challenge Hardware'!N9</x:f>
        <x:v>0</x:v>
      </x:c>
      <x:c r="G903" t="n">
        <x:v>1</x:v>
      </x:c>
      <x:c r="H903" t="str">
        <x:v>equals</x:v>
      </x:c>
      <x:c r="I903" t="str">
        <x:v>independent acceptance</x:v>
      </x:c>
      <x:c r="J903" t="str">
        <x:f>IF(F903=G903,"PASS","OPEN")</x:f>
        <x:v>OPEN</x:v>
      </x:c>
    </x:row>
    <x:row r="904">
      <x:c r="B904" t="str">
        <x:v>PHY-CH-RHP-A1-CH04</x:v>
      </x:c>
      <x:c r="C904" t="str">
        <x:v>PHYSICAL</x:v>
      </x:c>
      <x:c r="D904" t="str">
        <x:v>challenge-hardware acceptance</x:v>
      </x:c>
      <x:c r="E904" t="str">
        <x:v>RHP-A1-CH04</x:v>
      </x:c>
      <x:c r="F904" t="n">
        <x:f>'Challenge Hardware'!N10</x:f>
        <x:v>0</x:v>
      </x:c>
      <x:c r="G904" t="n">
        <x:v>1</x:v>
      </x:c>
      <x:c r="H904" t="str">
        <x:v>equals</x:v>
      </x:c>
      <x:c r="I904" t="str">
        <x:v>independent acceptance</x:v>
      </x:c>
      <x:c r="J904" t="str">
        <x:f>IF(F904=G904,"PASS","OPEN")</x:f>
        <x:v>OPEN</x:v>
      </x:c>
    </x:row>
    <x:row r="905">
      <x:c r="B905" t="str">
        <x:v>PHY-CH-RHP-A1-CH05</x:v>
      </x:c>
      <x:c r="C905" t="str">
        <x:v>PHYSICAL</x:v>
      </x:c>
      <x:c r="D905" t="str">
        <x:v>challenge-hardware acceptance</x:v>
      </x:c>
      <x:c r="E905" t="str">
        <x:v>RHP-A1-CH05</x:v>
      </x:c>
      <x:c r="F905" t="n">
        <x:f>'Challenge Hardware'!N11</x:f>
        <x:v>0</x:v>
      </x:c>
      <x:c r="G905" t="n">
        <x:v>1</x:v>
      </x:c>
      <x:c r="H905" t="str">
        <x:v>equals</x:v>
      </x:c>
      <x:c r="I905" t="str">
        <x:v>independent acceptance</x:v>
      </x:c>
      <x:c r="J905" t="str">
        <x:f>IF(F905=G905,"PASS","OPEN")</x:f>
        <x:v>OPEN</x:v>
      </x:c>
    </x:row>
    <x:row r="906">
      <x:c r="B906" t="str">
        <x:v>PHY-CH-RHP-A1-CH06</x:v>
      </x:c>
      <x:c r="C906" t="str">
        <x:v>PHYSICAL</x:v>
      </x:c>
      <x:c r="D906" t="str">
        <x:v>challenge-hardware acceptance</x:v>
      </x:c>
      <x:c r="E906" t="str">
        <x:v>RHP-A1-CH06</x:v>
      </x:c>
      <x:c r="F906" t="n">
        <x:f>'Challenge Hardware'!N12</x:f>
        <x:v>0</x:v>
      </x:c>
      <x:c r="G906" t="n">
        <x:v>1</x:v>
      </x:c>
      <x:c r="H906" t="str">
        <x:v>equals</x:v>
      </x:c>
      <x:c r="I906" t="str">
        <x:v>independent acceptance</x:v>
      </x:c>
      <x:c r="J906" t="str">
        <x:f>IF(F906=G906,"PASS","OPEN")</x:f>
        <x:v>OPEN</x:v>
      </x:c>
    </x:row>
    <x:row r="907">
      <x:c r="B907" t="str">
        <x:v>PHY-CH-RHP-A1-CH07</x:v>
      </x:c>
      <x:c r="C907" t="str">
        <x:v>PHYSICAL</x:v>
      </x:c>
      <x:c r="D907" t="str">
        <x:v>challenge-hardware acceptance</x:v>
      </x:c>
      <x:c r="E907" t="str">
        <x:v>RHP-A1-CH07</x:v>
      </x:c>
      <x:c r="F907" t="n">
        <x:f>'Challenge Hardware'!N13</x:f>
        <x:v>0</x:v>
      </x:c>
      <x:c r="G907" t="n">
        <x:v>1</x:v>
      </x:c>
      <x:c r="H907" t="str">
        <x:v>equals</x:v>
      </x:c>
      <x:c r="I907" t="str">
        <x:v>independent acceptance</x:v>
      </x:c>
      <x:c r="J907" t="str">
        <x:f>IF(F907=G907,"PASS","OPEN")</x:f>
        <x:v>OPEN</x:v>
      </x:c>
    </x:row>
    <x:row r="908">
      <x:c r="B908" t="str">
        <x:v>PHY-CH-RHP-A1-CH08</x:v>
      </x:c>
      <x:c r="C908" t="str">
        <x:v>PHYSICAL</x:v>
      </x:c>
      <x:c r="D908" t="str">
        <x:v>challenge-hardware acceptance</x:v>
      </x:c>
      <x:c r="E908" t="str">
        <x:v>RHP-A1-CH08</x:v>
      </x:c>
      <x:c r="F908" t="n">
        <x:f>'Challenge Hardware'!N14</x:f>
        <x:v>0</x:v>
      </x:c>
      <x:c r="G908" t="n">
        <x:v>1</x:v>
      </x:c>
      <x:c r="H908" t="str">
        <x:v>equals</x:v>
      </x:c>
      <x:c r="I908" t="str">
        <x:v>independent acceptance</x:v>
      </x:c>
      <x:c r="J908" t="str">
        <x:f>IF(F908=G908,"PASS","OPEN")</x:f>
        <x:v>OPEN</x:v>
      </x:c>
    </x:row>
    <x:row r="909">
      <x:c r="B909" t="str">
        <x:v>PHY-CH-RHP-A2-CH01</x:v>
      </x:c>
      <x:c r="C909" t="str">
        <x:v>PHYSICAL</x:v>
      </x:c>
      <x:c r="D909" t="str">
        <x:v>challenge-hardware acceptance</x:v>
      </x:c>
      <x:c r="E909" t="str">
        <x:v>RHP-A2-CH01</x:v>
      </x:c>
      <x:c r="F909" t="n">
        <x:f>'Challenge Hardware'!N15</x:f>
        <x:v>0</x:v>
      </x:c>
      <x:c r="G909" t="n">
        <x:v>1</x:v>
      </x:c>
      <x:c r="H909" t="str">
        <x:v>equals</x:v>
      </x:c>
      <x:c r="I909" t="str">
        <x:v>independent acceptance</x:v>
      </x:c>
      <x:c r="J909" t="str">
        <x:f>IF(F909=G909,"PASS","OPEN")</x:f>
        <x:v>OPEN</x:v>
      </x:c>
    </x:row>
    <x:row r="910">
      <x:c r="B910" t="str">
        <x:v>PHY-CH-RHP-A2-CH02</x:v>
      </x:c>
      <x:c r="C910" t="str">
        <x:v>PHYSICAL</x:v>
      </x:c>
      <x:c r="D910" t="str">
        <x:v>challenge-hardware acceptance</x:v>
      </x:c>
      <x:c r="E910" t="str">
        <x:v>RHP-A2-CH02</x:v>
      </x:c>
      <x:c r="F910" t="n">
        <x:f>'Challenge Hardware'!N16</x:f>
        <x:v>0</x:v>
      </x:c>
      <x:c r="G910" t="n">
        <x:v>1</x:v>
      </x:c>
      <x:c r="H910" t="str">
        <x:v>equals</x:v>
      </x:c>
      <x:c r="I910" t="str">
        <x:v>independent acceptance</x:v>
      </x:c>
      <x:c r="J910" t="str">
        <x:f>IF(F910=G910,"PASS","OPEN")</x:f>
        <x:v>OPEN</x:v>
      </x:c>
    </x:row>
    <x:row r="911">
      <x:c r="B911" t="str">
        <x:v>PHY-CH-RHP-A2-CH03</x:v>
      </x:c>
      <x:c r="C911" t="str">
        <x:v>PHYSICAL</x:v>
      </x:c>
      <x:c r="D911" t="str">
        <x:v>challenge-hardware acceptance</x:v>
      </x:c>
      <x:c r="E911" t="str">
        <x:v>RHP-A2-CH03</x:v>
      </x:c>
      <x:c r="F911" t="n">
        <x:f>'Challenge Hardware'!N17</x:f>
        <x:v>0</x:v>
      </x:c>
      <x:c r="G911" t="n">
        <x:v>1</x:v>
      </x:c>
      <x:c r="H911" t="str">
        <x:v>equals</x:v>
      </x:c>
      <x:c r="I911" t="str">
        <x:v>independent acceptance</x:v>
      </x:c>
      <x:c r="J911" t="str">
        <x:f>IF(F911=G911,"PASS","OPEN")</x:f>
        <x:v>OPEN</x:v>
      </x:c>
    </x:row>
    <x:row r="912">
      <x:c r="B912" t="str">
        <x:v>PHY-CH-RHP-A2-CH04</x:v>
      </x:c>
      <x:c r="C912" t="str">
        <x:v>PHYSICAL</x:v>
      </x:c>
      <x:c r="D912" t="str">
        <x:v>challenge-hardware acceptance</x:v>
      </x:c>
      <x:c r="E912" t="str">
        <x:v>RHP-A2-CH04</x:v>
      </x:c>
      <x:c r="F912" t="n">
        <x:f>'Challenge Hardware'!N18</x:f>
        <x:v>0</x:v>
      </x:c>
      <x:c r="G912" t="n">
        <x:v>1</x:v>
      </x:c>
      <x:c r="H912" t="str">
        <x:v>equals</x:v>
      </x:c>
      <x:c r="I912" t="str">
        <x:v>independent acceptance</x:v>
      </x:c>
      <x:c r="J912" t="str">
        <x:f>IF(F912=G912,"PASS","OPEN")</x:f>
        <x:v>OPEN</x:v>
      </x:c>
    </x:row>
    <x:row r="913">
      <x:c r="B913" t="str">
        <x:v>PHY-CH-RHP-A2-CH05</x:v>
      </x:c>
      <x:c r="C913" t="str">
        <x:v>PHYSICAL</x:v>
      </x:c>
      <x:c r="D913" t="str">
        <x:v>challenge-hardware acceptance</x:v>
      </x:c>
      <x:c r="E913" t="str">
        <x:v>RHP-A2-CH05</x:v>
      </x:c>
      <x:c r="F913" t="n">
        <x:f>'Challenge Hardware'!N19</x:f>
        <x:v>0</x:v>
      </x:c>
      <x:c r="G913" t="n">
        <x:v>1</x:v>
      </x:c>
      <x:c r="H913" t="str">
        <x:v>equals</x:v>
      </x:c>
      <x:c r="I913" t="str">
        <x:v>independent acceptance</x:v>
      </x:c>
      <x:c r="J913" t="str">
        <x:f>IF(F913=G913,"PASS","OPEN")</x:f>
        <x:v>OPEN</x:v>
      </x:c>
    </x:row>
    <x:row r="914">
      <x:c r="B914" t="str">
        <x:v>PHY-CH-RHP-A2-CH06</x:v>
      </x:c>
      <x:c r="C914" t="str">
        <x:v>PHYSICAL</x:v>
      </x:c>
      <x:c r="D914" t="str">
        <x:v>challenge-hardware acceptance</x:v>
      </x:c>
      <x:c r="E914" t="str">
        <x:v>RHP-A2-CH06</x:v>
      </x:c>
      <x:c r="F914" t="n">
        <x:f>'Challenge Hardware'!N20</x:f>
        <x:v>0</x:v>
      </x:c>
      <x:c r="G914" t="n">
        <x:v>1</x:v>
      </x:c>
      <x:c r="H914" t="str">
        <x:v>equals</x:v>
      </x:c>
      <x:c r="I914" t="str">
        <x:v>independent acceptance</x:v>
      </x:c>
      <x:c r="J914" t="str">
        <x:f>IF(F914=G914,"PASS","OPEN")</x:f>
        <x:v>OPEN</x:v>
      </x:c>
    </x:row>
    <x:row r="915">
      <x:c r="B915" t="str">
        <x:v>PHY-CH-RHP-A2-CH07</x:v>
      </x:c>
      <x:c r="C915" t="str">
        <x:v>PHYSICAL</x:v>
      </x:c>
      <x:c r="D915" t="str">
        <x:v>challenge-hardware acceptance</x:v>
      </x:c>
      <x:c r="E915" t="str">
        <x:v>RHP-A2-CH07</x:v>
      </x:c>
      <x:c r="F915" t="n">
        <x:f>'Challenge Hardware'!N21</x:f>
        <x:v>0</x:v>
      </x:c>
      <x:c r="G915" t="n">
        <x:v>1</x:v>
      </x:c>
      <x:c r="H915" t="str">
        <x:v>equals</x:v>
      </x:c>
      <x:c r="I915" t="str">
        <x:v>independent acceptance</x:v>
      </x:c>
      <x:c r="J915" t="str">
        <x:f>IF(F915=G915,"PASS","OPEN")</x:f>
        <x:v>OPEN</x:v>
      </x:c>
    </x:row>
    <x:row r="916">
      <x:c r="B916" t="str">
        <x:v>PHY-CH-RHP-A2-CH08</x:v>
      </x:c>
      <x:c r="C916" t="str">
        <x:v>PHYSICAL</x:v>
      </x:c>
      <x:c r="D916" t="str">
        <x:v>challenge-hardware acceptance</x:v>
      </x:c>
      <x:c r="E916" t="str">
        <x:v>RHP-A2-CH08</x:v>
      </x:c>
      <x:c r="F916" t="n">
        <x:f>'Challenge Hardware'!N22</x:f>
        <x:v>0</x:v>
      </x:c>
      <x:c r="G916" t="n">
        <x:v>1</x:v>
      </x:c>
      <x:c r="H916" t="str">
        <x:v>equals</x:v>
      </x:c>
      <x:c r="I916" t="str">
        <x:v>independent acceptance</x:v>
      </x:c>
      <x:c r="J916" t="str">
        <x:f>IF(F916=G916,"PASS","OPEN")</x:f>
        <x:v>OPEN</x:v>
      </x:c>
    </x:row>
    <x:row r="917">
      <x:c r="B917" t="str">
        <x:v>PHY-CH-RHP-B1-CH01</x:v>
      </x:c>
      <x:c r="C917" t="str">
        <x:v>PHYSICAL</x:v>
      </x:c>
      <x:c r="D917" t="str">
        <x:v>challenge-hardware acceptance</x:v>
      </x:c>
      <x:c r="E917" t="str">
        <x:v>RHP-B1-CH01</x:v>
      </x:c>
      <x:c r="F917" t="n">
        <x:f>'Challenge Hardware'!N23</x:f>
        <x:v>0</x:v>
      </x:c>
      <x:c r="G917" t="n">
        <x:v>1</x:v>
      </x:c>
      <x:c r="H917" t="str">
        <x:v>equals</x:v>
      </x:c>
      <x:c r="I917" t="str">
        <x:v>independent acceptance</x:v>
      </x:c>
      <x:c r="J917" t="str">
        <x:f>IF(F917=G917,"PASS","OPEN")</x:f>
        <x:v>OPEN</x:v>
      </x:c>
    </x:row>
    <x:row r="918">
      <x:c r="B918" t="str">
        <x:v>PHY-CH-RHP-B1-CH02</x:v>
      </x:c>
      <x:c r="C918" t="str">
        <x:v>PHYSICAL</x:v>
      </x:c>
      <x:c r="D918" t="str">
        <x:v>challenge-hardware acceptance</x:v>
      </x:c>
      <x:c r="E918" t="str">
        <x:v>RHP-B1-CH02</x:v>
      </x:c>
      <x:c r="F918" t="n">
        <x:f>'Challenge Hardware'!N24</x:f>
        <x:v>0</x:v>
      </x:c>
      <x:c r="G918" t="n">
        <x:v>1</x:v>
      </x:c>
      <x:c r="H918" t="str">
        <x:v>equals</x:v>
      </x:c>
      <x:c r="I918" t="str">
        <x:v>independent acceptance</x:v>
      </x:c>
      <x:c r="J918" t="str">
        <x:f>IF(F918=G918,"PASS","OPEN")</x:f>
        <x:v>OPEN</x:v>
      </x:c>
    </x:row>
    <x:row r="919">
      <x:c r="B919" t="str">
        <x:v>PHY-CH-RHP-B1-CH03</x:v>
      </x:c>
      <x:c r="C919" t="str">
        <x:v>PHYSICAL</x:v>
      </x:c>
      <x:c r="D919" t="str">
        <x:v>challenge-hardware acceptance</x:v>
      </x:c>
      <x:c r="E919" t="str">
        <x:v>RHP-B1-CH03</x:v>
      </x:c>
      <x:c r="F919" t="n">
        <x:f>'Challenge Hardware'!N25</x:f>
        <x:v>0</x:v>
      </x:c>
      <x:c r="G919" t="n">
        <x:v>1</x:v>
      </x:c>
      <x:c r="H919" t="str">
        <x:v>equals</x:v>
      </x:c>
      <x:c r="I919" t="str">
        <x:v>independent acceptance</x:v>
      </x:c>
      <x:c r="J919" t="str">
        <x:f>IF(F919=G919,"PASS","OPEN")</x:f>
        <x:v>OPEN</x:v>
      </x:c>
    </x:row>
    <x:row r="920">
      <x:c r="B920" t="str">
        <x:v>PHY-CH-RHP-B1-CH04</x:v>
      </x:c>
      <x:c r="C920" t="str">
        <x:v>PHYSICAL</x:v>
      </x:c>
      <x:c r="D920" t="str">
        <x:v>challenge-hardware acceptance</x:v>
      </x:c>
      <x:c r="E920" t="str">
        <x:v>RHP-B1-CH04</x:v>
      </x:c>
      <x:c r="F920" t="n">
        <x:f>'Challenge Hardware'!N26</x:f>
        <x:v>0</x:v>
      </x:c>
      <x:c r="G920" t="n">
        <x:v>1</x:v>
      </x:c>
      <x:c r="H920" t="str">
        <x:v>equals</x:v>
      </x:c>
      <x:c r="I920" t="str">
        <x:v>independent acceptance</x:v>
      </x:c>
      <x:c r="J920" t="str">
        <x:f>IF(F920=G920,"PASS","OPEN")</x:f>
        <x:v>OPEN</x:v>
      </x:c>
    </x:row>
    <x:row r="921">
      <x:c r="B921" t="str">
        <x:v>PHY-CH-RHP-B1-CH05</x:v>
      </x:c>
      <x:c r="C921" t="str">
        <x:v>PHYSICAL</x:v>
      </x:c>
      <x:c r="D921" t="str">
        <x:v>challenge-hardware acceptance</x:v>
      </x:c>
      <x:c r="E921" t="str">
        <x:v>RHP-B1-CH05</x:v>
      </x:c>
      <x:c r="F921" t="n">
        <x:f>'Challenge Hardware'!N27</x:f>
        <x:v>0</x:v>
      </x:c>
      <x:c r="G921" t="n">
        <x:v>1</x:v>
      </x:c>
      <x:c r="H921" t="str">
        <x:v>equals</x:v>
      </x:c>
      <x:c r="I921" t="str">
        <x:v>independent acceptance</x:v>
      </x:c>
      <x:c r="J921" t="str">
        <x:f>IF(F921=G921,"PASS","OPEN")</x:f>
        <x:v>OPEN</x:v>
      </x:c>
    </x:row>
    <x:row r="922">
      <x:c r="B922" t="str">
        <x:v>PHY-CH-RHP-B1-CH06</x:v>
      </x:c>
      <x:c r="C922" t="str">
        <x:v>PHYSICAL</x:v>
      </x:c>
      <x:c r="D922" t="str">
        <x:v>challenge-hardware acceptance</x:v>
      </x:c>
      <x:c r="E922" t="str">
        <x:v>RHP-B1-CH06</x:v>
      </x:c>
      <x:c r="F922" t="n">
        <x:f>'Challenge Hardware'!N28</x:f>
        <x:v>0</x:v>
      </x:c>
      <x:c r="G922" t="n">
        <x:v>1</x:v>
      </x:c>
      <x:c r="H922" t="str">
        <x:v>equals</x:v>
      </x:c>
      <x:c r="I922" t="str">
        <x:v>independent acceptance</x:v>
      </x:c>
      <x:c r="J922" t="str">
        <x:f>IF(F922=G922,"PASS","OPEN")</x:f>
        <x:v>OPEN</x:v>
      </x:c>
    </x:row>
    <x:row r="923">
      <x:c r="B923" t="str">
        <x:v>PHY-CH-RHP-B1-CH07</x:v>
      </x:c>
      <x:c r="C923" t="str">
        <x:v>PHYSICAL</x:v>
      </x:c>
      <x:c r="D923" t="str">
        <x:v>challenge-hardware acceptance</x:v>
      </x:c>
      <x:c r="E923" t="str">
        <x:v>RHP-B1-CH07</x:v>
      </x:c>
      <x:c r="F923" t="n">
        <x:f>'Challenge Hardware'!N29</x:f>
        <x:v>0</x:v>
      </x:c>
      <x:c r="G923" t="n">
        <x:v>1</x:v>
      </x:c>
      <x:c r="H923" t="str">
        <x:v>equals</x:v>
      </x:c>
      <x:c r="I923" t="str">
        <x:v>independent acceptance</x:v>
      </x:c>
      <x:c r="J923" t="str">
        <x:f>IF(F923=G923,"PASS","OPEN")</x:f>
        <x:v>OPEN</x:v>
      </x:c>
    </x:row>
    <x:row r="924">
      <x:c r="B924" t="str">
        <x:v>PHY-CH-RHP-B1-CH08</x:v>
      </x:c>
      <x:c r="C924" t="str">
        <x:v>PHYSICAL</x:v>
      </x:c>
      <x:c r="D924" t="str">
        <x:v>challenge-hardware acceptance</x:v>
      </x:c>
      <x:c r="E924" t="str">
        <x:v>RHP-B1-CH08</x:v>
      </x:c>
      <x:c r="F924" t="n">
        <x:f>'Challenge Hardware'!N30</x:f>
        <x:v>0</x:v>
      </x:c>
      <x:c r="G924" t="n">
        <x:v>1</x:v>
      </x:c>
      <x:c r="H924" t="str">
        <x:v>equals</x:v>
      </x:c>
      <x:c r="I924" t="str">
        <x:v>independent acceptance</x:v>
      </x:c>
      <x:c r="J924" t="str">
        <x:f>IF(F924=G924,"PASS","OPEN")</x:f>
        <x:v>OPEN</x:v>
      </x:c>
    </x:row>
    <x:row r="925">
      <x:c r="B925" t="str">
        <x:v>PHY-CH-RHP-B2-CH01</x:v>
      </x:c>
      <x:c r="C925" t="str">
        <x:v>PHYSICAL</x:v>
      </x:c>
      <x:c r="D925" t="str">
        <x:v>challenge-hardware acceptance</x:v>
      </x:c>
      <x:c r="E925" t="str">
        <x:v>RHP-B2-CH01</x:v>
      </x:c>
      <x:c r="F925" t="n">
        <x:f>'Challenge Hardware'!N31</x:f>
        <x:v>0</x:v>
      </x:c>
      <x:c r="G925" t="n">
        <x:v>1</x:v>
      </x:c>
      <x:c r="H925" t="str">
        <x:v>equals</x:v>
      </x:c>
      <x:c r="I925" t="str">
        <x:v>independent acceptance</x:v>
      </x:c>
      <x:c r="J925" t="str">
        <x:f>IF(F925=G925,"PASS","OPEN")</x:f>
        <x:v>OPEN</x:v>
      </x:c>
    </x:row>
    <x:row r="926">
      <x:c r="B926" t="str">
        <x:v>PHY-CH-RHP-B2-CH02</x:v>
      </x:c>
      <x:c r="C926" t="str">
        <x:v>PHYSICAL</x:v>
      </x:c>
      <x:c r="D926" t="str">
        <x:v>challenge-hardware acceptance</x:v>
      </x:c>
      <x:c r="E926" t="str">
        <x:v>RHP-B2-CH02</x:v>
      </x:c>
      <x:c r="F926" t="n">
        <x:f>'Challenge Hardware'!N32</x:f>
        <x:v>0</x:v>
      </x:c>
      <x:c r="G926" t="n">
        <x:v>1</x:v>
      </x:c>
      <x:c r="H926" t="str">
        <x:v>equals</x:v>
      </x:c>
      <x:c r="I926" t="str">
        <x:v>independent acceptance</x:v>
      </x:c>
      <x:c r="J926" t="str">
        <x:f>IF(F926=G926,"PASS","OPEN")</x:f>
        <x:v>OPEN</x:v>
      </x:c>
    </x:row>
    <x:row r="927">
      <x:c r="B927" t="str">
        <x:v>PHY-CH-RHP-B2-CH03</x:v>
      </x:c>
      <x:c r="C927" t="str">
        <x:v>PHYSICAL</x:v>
      </x:c>
      <x:c r="D927" t="str">
        <x:v>challenge-hardware acceptance</x:v>
      </x:c>
      <x:c r="E927" t="str">
        <x:v>RHP-B2-CH03</x:v>
      </x:c>
      <x:c r="F927" t="n">
        <x:f>'Challenge Hardware'!N33</x:f>
        <x:v>0</x:v>
      </x:c>
      <x:c r="G927" t="n">
        <x:v>1</x:v>
      </x:c>
      <x:c r="H927" t="str">
        <x:v>equals</x:v>
      </x:c>
      <x:c r="I927" t="str">
        <x:v>independent acceptance</x:v>
      </x:c>
      <x:c r="J927" t="str">
        <x:f>IF(F927=G927,"PASS","OPEN")</x:f>
        <x:v>OPEN</x:v>
      </x:c>
    </x:row>
    <x:row r="928">
      <x:c r="B928" t="str">
        <x:v>PHY-CH-RHP-B2-CH04</x:v>
      </x:c>
      <x:c r="C928" t="str">
        <x:v>PHYSICAL</x:v>
      </x:c>
      <x:c r="D928" t="str">
        <x:v>challenge-hardware acceptance</x:v>
      </x:c>
      <x:c r="E928" t="str">
        <x:v>RHP-B2-CH04</x:v>
      </x:c>
      <x:c r="F928" t="n">
        <x:f>'Challenge Hardware'!N34</x:f>
        <x:v>0</x:v>
      </x:c>
      <x:c r="G928" t="n">
        <x:v>1</x:v>
      </x:c>
      <x:c r="H928" t="str">
        <x:v>equals</x:v>
      </x:c>
      <x:c r="I928" t="str">
        <x:v>independent acceptance</x:v>
      </x:c>
      <x:c r="J928" t="str">
        <x:f>IF(F928=G928,"PASS","OPEN")</x:f>
        <x:v>OPEN</x:v>
      </x:c>
    </x:row>
    <x:row r="929">
      <x:c r="B929" t="str">
        <x:v>PHY-CH-RHP-B2-CH05</x:v>
      </x:c>
      <x:c r="C929" t="str">
        <x:v>PHYSICAL</x:v>
      </x:c>
      <x:c r="D929" t="str">
        <x:v>challenge-hardware acceptance</x:v>
      </x:c>
      <x:c r="E929" t="str">
        <x:v>RHP-B2-CH05</x:v>
      </x:c>
      <x:c r="F929" t="n">
        <x:f>'Challenge Hardware'!N35</x:f>
        <x:v>0</x:v>
      </x:c>
      <x:c r="G929" t="n">
        <x:v>1</x:v>
      </x:c>
      <x:c r="H929" t="str">
        <x:v>equals</x:v>
      </x:c>
      <x:c r="I929" t="str">
        <x:v>independent acceptance</x:v>
      </x:c>
      <x:c r="J929" t="str">
        <x:f>IF(F929=G929,"PASS","OPEN")</x:f>
        <x:v>OPEN</x:v>
      </x:c>
    </x:row>
    <x:row r="930">
      <x:c r="B930" t="str">
        <x:v>PHY-CH-RHP-B2-CH06</x:v>
      </x:c>
      <x:c r="C930" t="str">
        <x:v>PHYSICAL</x:v>
      </x:c>
      <x:c r="D930" t="str">
        <x:v>challenge-hardware acceptance</x:v>
      </x:c>
      <x:c r="E930" t="str">
        <x:v>RHP-B2-CH06</x:v>
      </x:c>
      <x:c r="F930" t="n">
        <x:f>'Challenge Hardware'!N36</x:f>
        <x:v>0</x:v>
      </x:c>
      <x:c r="G930" t="n">
        <x:v>1</x:v>
      </x:c>
      <x:c r="H930" t="str">
        <x:v>equals</x:v>
      </x:c>
      <x:c r="I930" t="str">
        <x:v>independent acceptance</x:v>
      </x:c>
      <x:c r="J930" t="str">
        <x:f>IF(F930=G930,"PASS","OPEN")</x:f>
        <x:v>OPEN</x:v>
      </x:c>
    </x:row>
    <x:row r="931">
      <x:c r="B931" t="str">
        <x:v>PHY-CH-RHP-B2-CH07</x:v>
      </x:c>
      <x:c r="C931" t="str">
        <x:v>PHYSICAL</x:v>
      </x:c>
      <x:c r="D931" t="str">
        <x:v>challenge-hardware acceptance</x:v>
      </x:c>
      <x:c r="E931" t="str">
        <x:v>RHP-B2-CH07</x:v>
      </x:c>
      <x:c r="F931" t="n">
        <x:f>'Challenge Hardware'!N37</x:f>
        <x:v>0</x:v>
      </x:c>
      <x:c r="G931" t="n">
        <x:v>1</x:v>
      </x:c>
      <x:c r="H931" t="str">
        <x:v>equals</x:v>
      </x:c>
      <x:c r="I931" t="str">
        <x:v>independent acceptance</x:v>
      </x:c>
      <x:c r="J931" t="str">
        <x:f>IF(F931=G931,"PASS","OPEN")</x:f>
        <x:v>OPEN</x:v>
      </x:c>
    </x:row>
    <x:row r="932">
      <x:c r="B932" t="str">
        <x:v>PHY-CH-RHP-B2-CH08</x:v>
      </x:c>
      <x:c r="C932" t="str">
        <x:v>PHYSICAL</x:v>
      </x:c>
      <x:c r="D932" t="str">
        <x:v>challenge-hardware acceptance</x:v>
      </x:c>
      <x:c r="E932" t="str">
        <x:v>RHP-B2-CH08</x:v>
      </x:c>
      <x:c r="F932" t="n">
        <x:f>'Challenge Hardware'!N38</x:f>
        <x:v>0</x:v>
      </x:c>
      <x:c r="G932" t="n">
        <x:v>1</x:v>
      </x:c>
      <x:c r="H932" t="str">
        <x:v>equals</x:v>
      </x:c>
      <x:c r="I932" t="str">
        <x:v>independent acceptance</x:v>
      </x:c>
      <x:c r="J932" t="str">
        <x:f>IF(F932=G932,"PASS","OPEN")</x:f>
        <x:v>OPEN</x:v>
      </x:c>
    </x:row>
    <x:row r="933">
      <x:c r="B933" t="str">
        <x:v>PHY-CH-RHP-C1-CH01</x:v>
      </x:c>
      <x:c r="C933" t="str">
        <x:v>PHYSICAL</x:v>
      </x:c>
      <x:c r="D933" t="str">
        <x:v>challenge-hardware acceptance</x:v>
      </x:c>
      <x:c r="E933" t="str">
        <x:v>RHP-C1-CH01</x:v>
      </x:c>
      <x:c r="F933" t="n">
        <x:f>'Challenge Hardware'!N39</x:f>
        <x:v>0</x:v>
      </x:c>
      <x:c r="G933" t="n">
        <x:v>1</x:v>
      </x:c>
      <x:c r="H933" t="str">
        <x:v>equals</x:v>
      </x:c>
      <x:c r="I933" t="str">
        <x:v>independent acceptance</x:v>
      </x:c>
      <x:c r="J933" t="str">
        <x:f>IF(F933=G933,"PASS","OPEN")</x:f>
        <x:v>OPEN</x:v>
      </x:c>
    </x:row>
    <x:row r="934">
      <x:c r="B934" t="str">
        <x:v>PHY-CH-RHP-C1-CH02</x:v>
      </x:c>
      <x:c r="C934" t="str">
        <x:v>PHYSICAL</x:v>
      </x:c>
      <x:c r="D934" t="str">
        <x:v>challenge-hardware acceptance</x:v>
      </x:c>
      <x:c r="E934" t="str">
        <x:v>RHP-C1-CH02</x:v>
      </x:c>
      <x:c r="F934" t="n">
        <x:f>'Challenge Hardware'!N40</x:f>
        <x:v>0</x:v>
      </x:c>
      <x:c r="G934" t="n">
        <x:v>1</x:v>
      </x:c>
      <x:c r="H934" t="str">
        <x:v>equals</x:v>
      </x:c>
      <x:c r="I934" t="str">
        <x:v>independent acceptance</x:v>
      </x:c>
      <x:c r="J934" t="str">
        <x:f>IF(F934=G934,"PASS","OPEN")</x:f>
        <x:v>OPEN</x:v>
      </x:c>
    </x:row>
    <x:row r="935">
      <x:c r="B935" t="str">
        <x:v>PHY-CH-RHP-C1-CH03</x:v>
      </x:c>
      <x:c r="C935" t="str">
        <x:v>PHYSICAL</x:v>
      </x:c>
      <x:c r="D935" t="str">
        <x:v>challenge-hardware acceptance</x:v>
      </x:c>
      <x:c r="E935" t="str">
        <x:v>RHP-C1-CH03</x:v>
      </x:c>
      <x:c r="F935" t="n">
        <x:f>'Challenge Hardware'!N41</x:f>
        <x:v>0</x:v>
      </x:c>
      <x:c r="G935" t="n">
        <x:v>1</x:v>
      </x:c>
      <x:c r="H935" t="str">
        <x:v>equals</x:v>
      </x:c>
      <x:c r="I935" t="str">
        <x:v>independent acceptance</x:v>
      </x:c>
      <x:c r="J935" t="str">
        <x:f>IF(F935=G935,"PASS","OPEN")</x:f>
        <x:v>OPEN</x:v>
      </x:c>
    </x:row>
    <x:row r="936">
      <x:c r="B936" t="str">
        <x:v>PHY-CH-RHP-C1-CH04</x:v>
      </x:c>
      <x:c r="C936" t="str">
        <x:v>PHYSICAL</x:v>
      </x:c>
      <x:c r="D936" t="str">
        <x:v>challenge-hardware acceptance</x:v>
      </x:c>
      <x:c r="E936" t="str">
        <x:v>RHP-C1-CH04</x:v>
      </x:c>
      <x:c r="F936" t="n">
        <x:f>'Challenge Hardware'!N42</x:f>
        <x:v>0</x:v>
      </x:c>
      <x:c r="G936" t="n">
        <x:v>1</x:v>
      </x:c>
      <x:c r="H936" t="str">
        <x:v>equals</x:v>
      </x:c>
      <x:c r="I936" t="str">
        <x:v>independent acceptance</x:v>
      </x:c>
      <x:c r="J936" t="str">
        <x:f>IF(F936=G936,"PASS","OPEN")</x:f>
        <x:v>OPEN</x:v>
      </x:c>
    </x:row>
    <x:row r="937">
      <x:c r="B937" t="str">
        <x:v>PHY-CH-RHP-C1-CH05</x:v>
      </x:c>
      <x:c r="C937" t="str">
        <x:v>PHYSICAL</x:v>
      </x:c>
      <x:c r="D937" t="str">
        <x:v>challenge-hardware acceptance</x:v>
      </x:c>
      <x:c r="E937" t="str">
        <x:v>RHP-C1-CH05</x:v>
      </x:c>
      <x:c r="F937" t="n">
        <x:f>'Challenge Hardware'!N43</x:f>
        <x:v>0</x:v>
      </x:c>
      <x:c r="G937" t="n">
        <x:v>1</x:v>
      </x:c>
      <x:c r="H937" t="str">
        <x:v>equals</x:v>
      </x:c>
      <x:c r="I937" t="str">
        <x:v>independent acceptance</x:v>
      </x:c>
      <x:c r="J937" t="str">
        <x:f>IF(F937=G937,"PASS","OPEN")</x:f>
        <x:v>OPEN</x:v>
      </x:c>
    </x:row>
    <x:row r="938">
      <x:c r="B938" t="str">
        <x:v>PHY-CH-RHP-C1-CH06</x:v>
      </x:c>
      <x:c r="C938" t="str">
        <x:v>PHYSICAL</x:v>
      </x:c>
      <x:c r="D938" t="str">
        <x:v>challenge-hardware acceptance</x:v>
      </x:c>
      <x:c r="E938" t="str">
        <x:v>RHP-C1-CH06</x:v>
      </x:c>
      <x:c r="F938" t="n">
        <x:f>'Challenge Hardware'!N44</x:f>
        <x:v>0</x:v>
      </x:c>
      <x:c r="G938" t="n">
        <x:v>1</x:v>
      </x:c>
      <x:c r="H938" t="str">
        <x:v>equals</x:v>
      </x:c>
      <x:c r="I938" t="str">
        <x:v>independent acceptance</x:v>
      </x:c>
      <x:c r="J938" t="str">
        <x:f>IF(F938=G938,"PASS","OPEN")</x:f>
        <x:v>OPEN</x:v>
      </x:c>
    </x:row>
    <x:row r="939">
      <x:c r="B939" t="str">
        <x:v>PHY-CH-RHP-C1-CH07</x:v>
      </x:c>
      <x:c r="C939" t="str">
        <x:v>PHYSICAL</x:v>
      </x:c>
      <x:c r="D939" t="str">
        <x:v>challenge-hardware acceptance</x:v>
      </x:c>
      <x:c r="E939" t="str">
        <x:v>RHP-C1-CH07</x:v>
      </x:c>
      <x:c r="F939" t="n">
        <x:f>'Challenge Hardware'!N45</x:f>
        <x:v>0</x:v>
      </x:c>
      <x:c r="G939" t="n">
        <x:v>1</x:v>
      </x:c>
      <x:c r="H939" t="str">
        <x:v>equals</x:v>
      </x:c>
      <x:c r="I939" t="str">
        <x:v>independent acceptance</x:v>
      </x:c>
      <x:c r="J939" t="str">
        <x:f>IF(F939=G939,"PASS","OPEN")</x:f>
        <x:v>OPEN</x:v>
      </x:c>
    </x:row>
    <x:row r="940">
      <x:c r="B940" t="str">
        <x:v>PHY-CH-RHP-C1-CH08</x:v>
      </x:c>
      <x:c r="C940" t="str">
        <x:v>PHYSICAL</x:v>
      </x:c>
      <x:c r="D940" t="str">
        <x:v>challenge-hardware acceptance</x:v>
      </x:c>
      <x:c r="E940" t="str">
        <x:v>RHP-C1-CH08</x:v>
      </x:c>
      <x:c r="F940" t="n">
        <x:f>'Challenge Hardware'!N46</x:f>
        <x:v>0</x:v>
      </x:c>
      <x:c r="G940" t="n">
        <x:v>1</x:v>
      </x:c>
      <x:c r="H940" t="str">
        <x:v>equals</x:v>
      </x:c>
      <x:c r="I940" t="str">
        <x:v>independent acceptance</x:v>
      </x:c>
      <x:c r="J940" t="str">
        <x:f>IF(F940=G940,"PASS","OPEN")</x:f>
        <x:v>OPEN</x:v>
      </x:c>
    </x:row>
    <x:row r="941">
      <x:c r="B941" t="str">
        <x:v>PHY-CH-RHP-C2-CH01</x:v>
      </x:c>
      <x:c r="C941" t="str">
        <x:v>PHYSICAL</x:v>
      </x:c>
      <x:c r="D941" t="str">
        <x:v>challenge-hardware acceptance</x:v>
      </x:c>
      <x:c r="E941" t="str">
        <x:v>RHP-C2-CH01</x:v>
      </x:c>
      <x:c r="F941" t="n">
        <x:f>'Challenge Hardware'!N47</x:f>
        <x:v>0</x:v>
      </x:c>
      <x:c r="G941" t="n">
        <x:v>1</x:v>
      </x:c>
      <x:c r="H941" t="str">
        <x:v>equals</x:v>
      </x:c>
      <x:c r="I941" t="str">
        <x:v>independent acceptance</x:v>
      </x:c>
      <x:c r="J941" t="str">
        <x:f>IF(F941=G941,"PASS","OPEN")</x:f>
        <x:v>OPEN</x:v>
      </x:c>
    </x:row>
    <x:row r="942">
      <x:c r="B942" t="str">
        <x:v>PHY-CH-RHP-C2-CH02</x:v>
      </x:c>
      <x:c r="C942" t="str">
        <x:v>PHYSICAL</x:v>
      </x:c>
      <x:c r="D942" t="str">
        <x:v>challenge-hardware acceptance</x:v>
      </x:c>
      <x:c r="E942" t="str">
        <x:v>RHP-C2-CH02</x:v>
      </x:c>
      <x:c r="F942" t="n">
        <x:f>'Challenge Hardware'!N48</x:f>
        <x:v>0</x:v>
      </x:c>
      <x:c r="G942" t="n">
        <x:v>1</x:v>
      </x:c>
      <x:c r="H942" t="str">
        <x:v>equals</x:v>
      </x:c>
      <x:c r="I942" t="str">
        <x:v>independent acceptance</x:v>
      </x:c>
      <x:c r="J942" t="str">
        <x:f>IF(F942=G942,"PASS","OPEN")</x:f>
        <x:v>OPEN</x:v>
      </x:c>
    </x:row>
    <x:row r="943">
      <x:c r="B943" t="str">
        <x:v>PHY-CH-RHP-C2-CH03</x:v>
      </x:c>
      <x:c r="C943" t="str">
        <x:v>PHYSICAL</x:v>
      </x:c>
      <x:c r="D943" t="str">
        <x:v>challenge-hardware acceptance</x:v>
      </x:c>
      <x:c r="E943" t="str">
        <x:v>RHP-C2-CH03</x:v>
      </x:c>
      <x:c r="F943" t="n">
        <x:f>'Challenge Hardware'!N49</x:f>
        <x:v>0</x:v>
      </x:c>
      <x:c r="G943" t="n">
        <x:v>1</x:v>
      </x:c>
      <x:c r="H943" t="str">
        <x:v>equals</x:v>
      </x:c>
      <x:c r="I943" t="str">
        <x:v>independent acceptance</x:v>
      </x:c>
      <x:c r="J943" t="str">
        <x:f>IF(F943=G943,"PASS","OPEN")</x:f>
        <x:v>OPEN</x:v>
      </x:c>
    </x:row>
    <x:row r="944">
      <x:c r="B944" t="str">
        <x:v>PHY-CH-RHP-C2-CH04</x:v>
      </x:c>
      <x:c r="C944" t="str">
        <x:v>PHYSICAL</x:v>
      </x:c>
      <x:c r="D944" t="str">
        <x:v>challenge-hardware acceptance</x:v>
      </x:c>
      <x:c r="E944" t="str">
        <x:v>RHP-C2-CH04</x:v>
      </x:c>
      <x:c r="F944" t="n">
        <x:f>'Challenge Hardware'!N50</x:f>
        <x:v>0</x:v>
      </x:c>
      <x:c r="G944" t="n">
        <x:v>1</x:v>
      </x:c>
      <x:c r="H944" t="str">
        <x:v>equals</x:v>
      </x:c>
      <x:c r="I944" t="str">
        <x:v>independent acceptance</x:v>
      </x:c>
      <x:c r="J944" t="str">
        <x:f>IF(F944=G944,"PASS","OPEN")</x:f>
        <x:v>OPEN</x:v>
      </x:c>
    </x:row>
    <x:row r="945">
      <x:c r="B945" t="str">
        <x:v>PHY-CH-RHP-C2-CH05</x:v>
      </x:c>
      <x:c r="C945" t="str">
        <x:v>PHYSICAL</x:v>
      </x:c>
      <x:c r="D945" t="str">
        <x:v>challenge-hardware acceptance</x:v>
      </x:c>
      <x:c r="E945" t="str">
        <x:v>RHP-C2-CH05</x:v>
      </x:c>
      <x:c r="F945" t="n">
        <x:f>'Challenge Hardware'!N51</x:f>
        <x:v>0</x:v>
      </x:c>
      <x:c r="G945" t="n">
        <x:v>1</x:v>
      </x:c>
      <x:c r="H945" t="str">
        <x:v>equals</x:v>
      </x:c>
      <x:c r="I945" t="str">
        <x:v>independent acceptance</x:v>
      </x:c>
      <x:c r="J945" t="str">
        <x:f>IF(F945=G945,"PASS","OPEN")</x:f>
        <x:v>OPEN</x:v>
      </x:c>
    </x:row>
    <x:row r="946">
      <x:c r="B946" t="str">
        <x:v>PHY-CH-RHP-C2-CH06</x:v>
      </x:c>
      <x:c r="C946" t="str">
        <x:v>PHYSICAL</x:v>
      </x:c>
      <x:c r="D946" t="str">
        <x:v>challenge-hardware acceptance</x:v>
      </x:c>
      <x:c r="E946" t="str">
        <x:v>RHP-C2-CH06</x:v>
      </x:c>
      <x:c r="F946" t="n">
        <x:f>'Challenge Hardware'!N52</x:f>
        <x:v>0</x:v>
      </x:c>
      <x:c r="G946" t="n">
        <x:v>1</x:v>
      </x:c>
      <x:c r="H946" t="str">
        <x:v>equals</x:v>
      </x:c>
      <x:c r="I946" t="str">
        <x:v>independent acceptance</x:v>
      </x:c>
      <x:c r="J946" t="str">
        <x:f>IF(F946=G946,"PASS","OPEN")</x:f>
        <x:v>OPEN</x:v>
      </x:c>
    </x:row>
    <x:row r="947">
      <x:c r="B947" t="str">
        <x:v>PHY-CH-RHP-C2-CH07</x:v>
      </x:c>
      <x:c r="C947" t="str">
        <x:v>PHYSICAL</x:v>
      </x:c>
      <x:c r="D947" t="str">
        <x:v>challenge-hardware acceptance</x:v>
      </x:c>
      <x:c r="E947" t="str">
        <x:v>RHP-C2-CH07</x:v>
      </x:c>
      <x:c r="F947" t="n">
        <x:f>'Challenge Hardware'!N53</x:f>
        <x:v>0</x:v>
      </x:c>
      <x:c r="G947" t="n">
        <x:v>1</x:v>
      </x:c>
      <x:c r="H947" t="str">
        <x:v>equals</x:v>
      </x:c>
      <x:c r="I947" t="str">
        <x:v>independent acceptance</x:v>
      </x:c>
      <x:c r="J947" t="str">
        <x:f>IF(F947=G947,"PASS","OPEN")</x:f>
        <x:v>OPEN</x:v>
      </x:c>
    </x:row>
    <x:row r="948">
      <x:c r="B948" t="str">
        <x:v>PHY-CH-RHP-C2-CH08</x:v>
      </x:c>
      <x:c r="C948" t="str">
        <x:v>PHYSICAL</x:v>
      </x:c>
      <x:c r="D948" t="str">
        <x:v>challenge-hardware acceptance</x:v>
      </x:c>
      <x:c r="E948" t="str">
        <x:v>RHP-C2-CH08</x:v>
      </x:c>
      <x:c r="F948" t="n">
        <x:f>'Challenge Hardware'!N54</x:f>
        <x:v>0</x:v>
      </x:c>
      <x:c r="G948" t="n">
        <x:v>1</x:v>
      </x:c>
      <x:c r="H948" t="str">
        <x:v>equals</x:v>
      </x:c>
      <x:c r="I948" t="str">
        <x:v>independent acceptance</x:v>
      </x:c>
      <x:c r="J948" t="str">
        <x:f>IF(F948=G948,"PASS","OPEN")</x:f>
        <x:v>OPEN</x:v>
      </x:c>
    </x:row>
    <x:row r="949">
      <x:c r="B949" t="str">
        <x:v>DWN-1</x:v>
      </x:c>
      <x:c r="C949" t="str">
        <x:v>DOWNSTREAM</x:v>
      </x:c>
      <x:c r="D949" t="str">
        <x:v>RHT architecture selection</x:v>
      </x:c>
      <x:c r="E949" t="str">
        <x:v>C55</x:v>
      </x:c>
      <x:c r="F949" t="n">
        <x:f>Controls!$D$61</x:f>
        <x:v>0</x:v>
      </x:c>
      <x:c r="G949" t="n">
        <x:v>1</x:v>
      </x:c>
      <x:c r="H949" t="str">
        <x:v>equals</x:v>
      </x:c>
      <x:c r="I949" t="str">
        <x:v>separate authority</x:v>
      </x:c>
      <x:c r="J949" t="str">
        <x:f>IF(F949=1,"PASS","BLOCKED")</x:f>
        <x:v>BLOCKED</x:v>
      </x:c>
    </x:row>
    <x:row r="950">
      <x:c r="B950" t="str">
        <x:v>DWN-2</x:v>
      </x:c>
      <x:c r="C950" t="str">
        <x:v>DOWNSTREAM</x:v>
      </x:c>
      <x:c r="D950" t="str">
        <x:v>Root B configuration freeze</x:v>
      </x:c>
      <x:c r="E950" t="str">
        <x:v>C56</x:v>
      </x:c>
      <x:c r="F950" t="n">
        <x:f>Controls!$D$62</x:f>
        <x:v>0</x:v>
      </x:c>
      <x:c r="G950" t="n">
        <x:v>1</x:v>
      </x:c>
      <x:c r="H950" t="str">
        <x:v>equals</x:v>
      </x:c>
      <x:c r="I950" t="str">
        <x:v>separate authority</x:v>
      </x:c>
      <x:c r="J950" t="str">
        <x:f>IF(F950=1,"PASS","BLOCKED")</x:f>
        <x:v>BLOCKED</x:v>
      </x:c>
    </x:row>
    <x:row r="951">
      <x:c r="B951" t="str">
        <x:v>DWN-3</x:v>
      </x:c>
      <x:c r="C951" t="str">
        <x:v>DOWNSTREAM</x:v>
      </x:c>
      <x:c r="D951" t="str">
        <x:v>quarter-source release</x:v>
      </x:c>
      <x:c r="E951" t="str">
        <x:v>C57</x:v>
      </x:c>
      <x:c r="F951" t="n">
        <x:f>Controls!$D$63</x:f>
        <x:v>0</x:v>
      </x:c>
      <x:c r="G951" t="n">
        <x:v>1</x:v>
      </x:c>
      <x:c r="H951" t="str">
        <x:v>equals</x:v>
      </x:c>
      <x:c r="I951" t="str">
        <x:v>separate authority</x:v>
      </x:c>
      <x:c r="J951" t="str">
        <x:f>IF(F951=1,"PASS","BLOCKED")</x:f>
        <x:v>BLOCKED</x:v>
      </x:c>
    </x:row>
    <x:row r="952">
      <x:c r="B952" t="str">
        <x:v>DWN-4</x:v>
      </x:c>
      <x:c r="C952" t="str">
        <x:v>DOWNSTREAM</x:v>
      </x:c>
      <x:c r="D952" t="str">
        <x:v>full-source release</x:v>
      </x:c>
      <x:c r="E952" t="str">
        <x:v>C58</x:v>
      </x:c>
      <x:c r="F952" t="n">
        <x:f>Controls!$D$64</x:f>
        <x:v>0</x:v>
      </x:c>
      <x:c r="G952" t="n">
        <x:v>1</x:v>
      </x:c>
      <x:c r="H952" t="str">
        <x:v>equals</x:v>
      </x:c>
      <x:c r="I952" t="str">
        <x:v>separate authority</x:v>
      </x:c>
      <x:c r="J952" t="str">
        <x:f>IF(F952=1,"PASS","BLOCKED")</x:f>
        <x:v>BLOCKED</x:v>
      </x:c>
    </x:row>
    <x:row r="953">
      <x:c r="B953" t="str">
        <x:v>DWN-5</x:v>
      </x:c>
      <x:c r="C953" t="str">
        <x:v>DOWNSTREAM</x:v>
      </x:c>
      <x:c r="D953" t="str">
        <x:v>paired full-scale events</x:v>
      </x:c>
      <x:c r="E953" t="str">
        <x:v>C59</x:v>
      </x:c>
      <x:c r="F953" t="n">
        <x:f>Controls!$D$65</x:f>
        <x:v>0</x:v>
      </x:c>
      <x:c r="G953" t="n">
        <x:v>1</x:v>
      </x:c>
      <x:c r="H953" t="str">
        <x:v>equals</x:v>
      </x:c>
      <x:c r="I953" t="str">
        <x:v>separate authority</x:v>
      </x:c>
      <x:c r="J953" t="str">
        <x:f>IF(F953=1,"PASS","BLOCKED")</x:f>
        <x:v>BLOCKED</x:v>
      </x:c>
    </x:row>
    <x:row r="954">
      <x:c r="B954" t="str">
        <x:v>DWN-6</x:v>
      </x:c>
      <x:c r="C954" t="str">
        <x:v>DOWNSTREAM</x:v>
      </x:c>
      <x:c r="D954" t="str">
        <x:v>destructive execution</x:v>
      </x:c>
      <x:c r="E954" t="str">
        <x:v>C60</x:v>
      </x:c>
      <x:c r="F954" t="n">
        <x:f>Controls!$D$66</x:f>
        <x:v>0</x:v>
      </x:c>
      <x:c r="G954" t="n">
        <x:v>1</x:v>
      </x:c>
      <x:c r="H954" t="str">
        <x:v>equals</x:v>
      </x:c>
      <x:c r="I954" t="str">
        <x:v>separate authority</x:v>
      </x:c>
      <x:c r="J954" t="str">
        <x:f>IF(F954=1,"PASS","BLOCKED")</x:f>
        <x:v>BLOCKED</x:v>
      </x:c>
    </x:row>
    <x:row r="955">
      <x:c r="B955" t="str">
        <x:v>DWN-7</x:v>
      </x:c>
      <x:c r="C955" t="str">
        <x:v>DOWNSTREAM</x:v>
      </x:c>
      <x:c r="D955" t="str">
        <x:v>production release</x:v>
      </x:c>
      <x:c r="E955" t="str">
        <x:v>C61</x:v>
      </x:c>
      <x:c r="F955" t="n">
        <x:f>Controls!$D$67</x:f>
        <x:v>0</x:v>
      </x:c>
      <x:c r="G955" t="n">
        <x:v>1</x:v>
      </x:c>
      <x:c r="H955" t="str">
        <x:v>equals</x:v>
      </x:c>
      <x:c r="I955" t="str">
        <x:v>separate authority</x:v>
      </x:c>
      <x:c r="J955" t="str">
        <x:f>IF(F955=1,"PASS","BLOCKED")</x:f>
        <x:v>BLOCKED</x:v>
      </x:c>
    </x:row>
    <x:row r="956">
      <x:c r="B956" t="str">
        <x:v>DWN-8</x:v>
      </x:c>
      <x:c r="C956" t="str">
        <x:v>DOWNSTREAM</x:v>
      </x:c>
      <x:c r="D956" t="str">
        <x:v>exterior rendering</x:v>
      </x:c>
      <x:c r="E956" t="str">
        <x:v>C62</x:v>
      </x:c>
      <x:c r="F956" t="n">
        <x:f>Controls!$D$68</x:f>
        <x:v>0</x:v>
      </x:c>
      <x:c r="G956" t="n">
        <x:v>1</x:v>
      </x:c>
      <x:c r="H956" t="str">
        <x:v>equals</x:v>
      </x:c>
      <x:c r="I956" t="str">
        <x:v>separate authority</x:v>
      </x:c>
      <x:c r="J956" t="str">
        <x:f>IF(F956=1,"PASS","BLOCKED")</x:f>
        <x:v>BLOCKED</x:v>
      </x:c>
    </x:row>
    <x:row r="957">
      <x:c r="B957" t="str">
        <x:v>DWN-9</x:v>
      </x:c>
      <x:c r="C957" t="str">
        <x:v>DOWNSTREAM</x:v>
      </x:c>
      <x:c r="D957" t="str">
        <x:v>C2 operations</x:v>
      </x:c>
      <x:c r="E957" t="str">
        <x:v>C63</x:v>
      </x:c>
      <x:c r="F957" t="n">
        <x:f>Controls!$D$69</x:f>
        <x:v>0</x:v>
      </x:c>
      <x:c r="G957" t="n">
        <x:v>1</x:v>
      </x:c>
      <x:c r="H957" t="str">
        <x:v>equals</x:v>
      </x:c>
      <x:c r="I957" t="str">
        <x:v>separate authority</x:v>
      </x:c>
      <x:c r="J957" t="str">
        <x:f>IF(F957=1,"PASS","BLOCKED")</x:f>
        <x:v>BLOCKED</x:v>
      </x:c>
    </x:row>
  </x:sheetData>
  <x:conditionalFormatting sqref="J7:J957">
    <x:cfRule type="containsText" dxfId="24" priority="1" operator="containsText" text="FAIL"/>
    <x:cfRule type="containsText" dxfId="25" priority="2" operator="containsText" text="BLOCKED"/>
    <x:cfRule type="containsText" dxfId="26" priority="3" operator="containsText" text="OPEN"/>
    <x:cfRule type="containsText" dxfId="27" priority="4" operator="containsText" text="PASS"/>
  </x:conditionalFormatting>
  <x:pageMargins left="0.7" right="0.7" top="0.75" bottom="0.75" header="0.3" footer="0.3"/>
</x:worksheet>
</file>

<file path=xl/worksheets/sheet25.xml><?xml version="1.0" encoding="utf-8"?>
<x:worksheet xmlns:x="http://schemas.openxmlformats.org/spreadsheetml/2006/main">
  <x:sheetPr>
    <x:tabColor rgb="FF7F8C8D"/>
  </x:sheetPr>
  <x:sheetViews>
    <x:sheetView showGridLines="0" workbookViewId="0">
      <x:pane xSplit="2" ySplit="6" topLeftCell="C7" activePane="bottomRight" state="frozen"/>
    </x:sheetView>
  </x:sheetViews>
  <x:sheetFormatPr defaultRowHeight="15"/>
  <x:cols>
    <x:col min="2" max="2" width="16" hidden="0" customWidth="1"/>
    <x:col min="3" max="3" width="14" hidden="0" customWidth="1"/>
    <x:col min="4" max="4" width="45" hidden="0" customWidth="1"/>
    <x:col min="5" max="5" width="18" hidden="0" customWidth="1"/>
    <x:col min="6" max="6" width="18" hidden="0" customWidth="1"/>
    <x:col min="7" max="7" width="12" hidden="0" customWidth="1"/>
    <x:col min="8" max="8" width="13" hidden="0" customWidth="1"/>
  </x:cols>
  <x:sheetData>
    <x:row r="2">
      <x:c r="B2" s="1" t="str">
        <x:v>Terminal-observer audit</x:v>
      </x:c>
    </x:row>
    <x:row r="3">
      <x:c r="B3" s="2" t="str">
        <x:v>Audit formulas observe source rows; no audited row is a design input.</x:v>
      </x:c>
    </x:row>
    <x:row r="5">
      <x:c r="B5" s="3"/>
      <x:c r="C5" s="3"/>
      <x:c r="D5" s="3"/>
      <x:c r="E5" s="3"/>
      <x:c r="F5" s="3"/>
      <x:c r="G5" s="3"/>
      <x:c r="H5" s="3"/>
      <x:c r="I5" s="3"/>
      <x:c r="J5" s="3"/>
      <x:c r="K5" s="3"/>
      <x:c r="L5" s="3"/>
      <x:c r="M5" s="3"/>
      <x:c r="N5" s="3"/>
      <x:c r="O5" s="3"/>
      <x:c r="P5" s="3"/>
      <x:c r="Q5" s="3"/>
      <x:c r="R5" s="3"/>
    </x:row>
    <x:row r="6" ht="24" customHeight="1">
      <x:c r="B6" s="7" t="str">
        <x:v>Audit ID</x:v>
      </x:c>
      <x:c r="C6" s="7" t="str">
        <x:v>Class</x:v>
      </x:c>
      <x:c r="D6" s="7" t="str">
        <x:v>Requirement</x:v>
      </x:c>
      <x:c r="E6" s="7" t="str">
        <x:v>Observed</x:v>
      </x:c>
      <x:c r="F6" s="7" t="str">
        <x:v>Expected</x:v>
      </x:c>
      <x:c r="G6" s="7" t="str">
        <x:v>Comparator</x:v>
      </x:c>
      <x:c r="H6" s="7" t="str">
        <x:v>State</x:v>
      </x:c>
    </x:row>
    <x:row r="7">
      <x:c r="B7" t="str">
        <x:v>H01</x:v>
      </x:c>
      <x:c r="C7" t="str">
        <x:v>HEADLINE</x:v>
      </x:c>
      <x:c r="D7" t="str">
        <x:v>planning gate count</x:v>
      </x:c>
      <x:c r="E7" t="n">
        <x:f>COUNTIF('Release Gates'!C7:C957,"PLANNING")</x:f>
        <x:v>420</x:v>
      </x:c>
      <x:c r="F7" t="n">
        <x:v>420</x:v>
      </x:c>
      <x:c r="G7" t="str">
        <x:v>equals</x:v>
      </x:c>
      <x:c r="H7" t="str">
        <x:f>IF(ABS(E7-F7)&lt;0.01,"PASS","FAIL")</x:f>
        <x:v>PASS</x:v>
      </x:c>
    </x:row>
    <x:row r="8">
      <x:c r="B8" t="str">
        <x:v>H02</x:v>
      </x:c>
      <x:c r="C8" t="str">
        <x:v>HEADLINE</x:v>
      </x:c>
      <x:c r="D8" t="str">
        <x:v>physical gate count</x:v>
      </x:c>
      <x:c r="E8" t="n">
        <x:f>COUNTIF('Release Gates'!C7:C957,"PHYSICAL")</x:f>
        <x:v>522</x:v>
      </x:c>
      <x:c r="F8" t="n">
        <x:v>522</x:v>
      </x:c>
      <x:c r="G8" t="str">
        <x:v>equals</x:v>
      </x:c>
      <x:c r="H8" t="str">
        <x:f>IF(ABS(E8-F8)&lt;0.01,"PASS","FAIL")</x:f>
        <x:v>PASS</x:v>
      </x:c>
    </x:row>
    <x:row r="9">
      <x:c r="B9" t="str">
        <x:v>H03</x:v>
      </x:c>
      <x:c r="C9" t="str">
        <x:v>HEADLINE</x:v>
      </x:c>
      <x:c r="D9" t="str">
        <x:v>downstream gate count</x:v>
      </x:c>
      <x:c r="E9" t="n">
        <x:f>COUNTIF('Release Gates'!C7:C957,"DOWNSTREAM")</x:f>
        <x:v>9</x:v>
      </x:c>
      <x:c r="F9" t="n">
        <x:v>9</x:v>
      </x:c>
      <x:c r="G9" t="str">
        <x:v>equals</x:v>
      </x:c>
      <x:c r="H9" t="str">
        <x:f>IF(ABS(E9-F9)&lt;0.01,"PASS","FAIL")</x:f>
        <x:v>PASS</x:v>
      </x:c>
    </x:row>
    <x:row r="10">
      <x:c r="B10" t="str">
        <x:v>H04</x:v>
      </x:c>
      <x:c r="C10" t="str">
        <x:v>HEADLINE</x:v>
      </x:c>
      <x:c r="D10" t="str">
        <x:v>rig count</x:v>
      </x:c>
      <x:c r="E10" t="n">
        <x:f>COUNTA('Source Vessel'!B7:B12)</x:f>
        <x:v>6</x:v>
      </x:c>
      <x:c r="F10" t="n">
        <x:v>6</x:v>
      </x:c>
      <x:c r="G10" t="str">
        <x:v>equals</x:v>
      </x:c>
      <x:c r="H10" t="str">
        <x:f>IF(ABS(E10-F10)&lt;0.01,"PASS","FAIL")</x:f>
        <x:v>PASS</x:v>
      </x:c>
    </x:row>
    <x:row r="11">
      <x:c r="B11" t="str">
        <x:v>H05</x:v>
      </x:c>
      <x:c r="C11" t="str">
        <x:v>HEADLINE</x:v>
      </x:c>
      <x:c r="D11" t="str">
        <x:v>thermal-zone count</x:v>
      </x:c>
      <x:c r="E11" t="n">
        <x:f>COUNTA('Thermal Boundary'!B7:B102)</x:f>
        <x:v>96</x:v>
      </x:c>
      <x:c r="F11" t="n">
        <x:v>96</x:v>
      </x:c>
      <x:c r="G11" t="str">
        <x:v>equals</x:v>
      </x:c>
      <x:c r="H11" t="str">
        <x:f>IF(ABS(E11-F11)&lt;0.01,"PASS","FAIL")</x:f>
        <x:v>PASS</x:v>
      </x:c>
    </x:row>
    <x:row r="12">
      <x:c r="B12" t="str">
        <x:v>H06</x:v>
      </x:c>
      <x:c r="C12" t="str">
        <x:v>HEADLINE</x:v>
      </x:c>
      <x:c r="D12" t="str">
        <x:v>route-segment count</x:v>
      </x:c>
      <x:c r="E12" t="n">
        <x:f>COUNTA('Route Gallery'!B7:B150)</x:f>
        <x:v>144</x:v>
      </x:c>
      <x:c r="F12" t="n">
        <x:v>144</x:v>
      </x:c>
      <x:c r="G12" t="str">
        <x:v>equals</x:v>
      </x:c>
      <x:c r="H12" t="str">
        <x:f>IF(ABS(E12-F12)&lt;0.01,"PASS","FAIL")</x:f>
        <x:v>PASS</x:v>
      </x:c>
    </x:row>
    <x:row r="13">
      <x:c r="B13" t="str">
        <x:v>H07</x:v>
      </x:c>
      <x:c r="C13" t="str">
        <x:v>HEADLINE</x:v>
      </x:c>
      <x:c r="D13" t="str">
        <x:v>restriction count</x:v>
      </x:c>
      <x:c r="E13" t="n">
        <x:f>COUNTA('Challenge Hardware'!B7:B60)</x:f>
        <x:v>54</x:v>
      </x:c>
      <x:c r="F13" t="n">
        <x:v>54</x:v>
      </x:c>
      <x:c r="G13" t="str">
        <x:v>equals</x:v>
      </x:c>
      <x:c r="H13" t="str">
        <x:f>IF(ABS(E13-F13)&lt;0.01,"PASS","FAIL")</x:f>
        <x:v>PASS</x:v>
      </x:c>
    </x:row>
    <x:row r="14">
      <x:c r="B14" t="str">
        <x:v>H08</x:v>
      </x:c>
      <x:c r="C14" t="str">
        <x:v>HEADLINE</x:v>
      </x:c>
      <x:c r="D14" t="str">
        <x:v>candidate cassette count</x:v>
      </x:c>
      <x:c r="E14" t="n">
        <x:f>COUNTA('Nozzle Cassettes'!B14:B31)</x:f>
        <x:v>18</x:v>
      </x:c>
      <x:c r="F14" t="n">
        <x:v>18</x:v>
      </x:c>
      <x:c r="G14" t="str">
        <x:v>equals</x:v>
      </x:c>
      <x:c r="H14" t="str">
        <x:f>IF(ABS(E14-F14)&lt;0.01,"PASS","FAIL")</x:f>
        <x:v>PASS</x:v>
      </x:c>
    </x:row>
    <x:row r="15">
      <x:c r="B15" t="str">
        <x:v>H09</x:v>
      </x:c>
      <x:c r="C15" t="str">
        <x:v>HEADLINE</x:v>
      </x:c>
      <x:c r="D15" t="str">
        <x:v>receiver-pad count</x:v>
      </x:c>
      <x:c r="E15" t="n">
        <x:f>COUNTA('Receiver Interface'!B7:B12)</x:f>
        <x:v>6</x:v>
      </x:c>
      <x:c r="F15" t="n">
        <x:v>6</x:v>
      </x:c>
      <x:c r="G15" t="str">
        <x:v>equals</x:v>
      </x:c>
      <x:c r="H15" t="str">
        <x:f>IF(ABS(E15-F15)&lt;0.01,"PASS","FAIL")</x:f>
        <x:v>PASS</x:v>
      </x:c>
    </x:row>
    <x:row r="16">
      <x:c r="B16" t="str">
        <x:v>H10</x:v>
      </x:c>
      <x:c r="C16" t="str">
        <x:v>HEADLINE</x:v>
      </x:c>
      <x:c r="D16" t="str">
        <x:v>receiver-interface count</x:v>
      </x:c>
      <x:c r="E16" t="n">
        <x:f>COUNTA('Receiver Interface'!J7:J24)</x:f>
        <x:v>18</x:v>
      </x:c>
      <x:c r="F16" t="n">
        <x:v>18</x:v>
      </x:c>
      <x:c r="G16" t="str">
        <x:v>equals</x:v>
      </x:c>
      <x:c r="H16" t="str">
        <x:f>IF(ABS(E16-F16)&lt;0.01,"PASS","FAIL")</x:f>
        <x:v>PASS</x:v>
      </x:c>
    </x:row>
    <x:row r="17">
      <x:c r="B17" t="str">
        <x:v>H11</x:v>
      </x:c>
      <x:c r="C17" t="str">
        <x:v>HEADLINE</x:v>
      </x:c>
      <x:c r="D17" t="str">
        <x:v>safety-path count</x:v>
      </x:c>
      <x:c r="E17" t="n">
        <x:f>COUNTA('Safety Logic'!B7:B24)</x:f>
        <x:v>18</x:v>
      </x:c>
      <x:c r="F17" t="n">
        <x:v>18</x:v>
      </x:c>
      <x:c r="G17" t="str">
        <x:v>equals</x:v>
      </x:c>
      <x:c r="H17" t="str">
        <x:f>IF(ABS(E17-F17)&lt;0.01,"PASS","FAIL")</x:f>
        <x:v>PASS</x:v>
      </x:c>
    </x:row>
    <x:row r="18">
      <x:c r="B18" t="str">
        <x:v>H12</x:v>
      </x:c>
      <x:c r="C18" t="str">
        <x:v>HEADLINE</x:v>
      </x:c>
      <x:c r="D18" t="str">
        <x:v>rescue-package count</x:v>
      </x:c>
      <x:c r="E18" t="n">
        <x:f>COUNTA('Rescue Recovery'!B7:B12)</x:f>
        <x:v>6</x:v>
      </x:c>
      <x:c r="F18" t="n">
        <x:v>6</x:v>
      </x:c>
      <x:c r="G18" t="str">
        <x:v>equals</x:v>
      </x:c>
      <x:c r="H18" t="str">
        <x:f>IF(ABS(E18-F18)&lt;0.01,"PASS","FAIL")</x:f>
        <x:v>PASS</x:v>
      </x:c>
    </x:row>
    <x:row r="19">
      <x:c r="B19" t="str">
        <x:v>H13</x:v>
      </x:c>
      <x:c r="C19" t="str">
        <x:v>HEADLINE</x:v>
      </x:c>
      <x:c r="D19" t="str">
        <x:v>measurement-plane count</x:v>
      </x:c>
      <x:c r="E19" t="n">
        <x:f>COUNTA('Measurement Planes'!B7:B102)</x:f>
        <x:v>96</x:v>
      </x:c>
      <x:c r="F19" t="n">
        <x:v>96</x:v>
      </x:c>
      <x:c r="G19" t="str">
        <x:v>equals</x:v>
      </x:c>
      <x:c r="H19" t="str">
        <x:f>IF(ABS(E19-F19)&lt;0.01,"PASS","FAIL")</x:f>
        <x:v>PASS</x:v>
      </x:c>
    </x:row>
    <x:row r="20">
      <x:c r="B20" t="str">
        <x:v>H14</x:v>
      </x:c>
      <x:c r="C20" t="str">
        <x:v>HEADLINE</x:v>
      </x:c>
      <x:c r="D20" t="str">
        <x:v>channel count</x:v>
      </x:c>
      <x:c r="E20" t="n">
        <x:f>'Channel Register'!D27</x:f>
        <x:v>504</x:v>
      </x:c>
      <x:c r="F20" t="n">
        <x:v>504</x:v>
      </x:c>
      <x:c r="G20" t="str">
        <x:v>equals</x:v>
      </x:c>
      <x:c r="H20" t="str">
        <x:f>IF(ABS(E20-F20)&lt;0.01,"PASS","FAIL")</x:f>
        <x:v>PASS</x:v>
      </x:c>
    </x:row>
    <x:row r="21">
      <x:c r="B21" t="str">
        <x:v>H15</x:v>
      </x:c>
      <x:c r="C21" t="str">
        <x:v>HEADLINE</x:v>
      </x:c>
      <x:c r="D21" t="str">
        <x:v>drawing count</x:v>
      </x:c>
      <x:c r="E21" t="n">
        <x:f>COUNTA('Drawing Register'!B7:B78)</x:f>
        <x:v>72</x:v>
      </x:c>
      <x:c r="F21" t="n">
        <x:v>72</x:v>
      </x:c>
      <x:c r="G21" t="str">
        <x:v>equals</x:v>
      </x:c>
      <x:c r="H21" t="str">
        <x:f>IF(ABS(E21-F21)&lt;0.01,"PASS","FAIL")</x:f>
        <x:v>PASS</x:v>
      </x:c>
    </x:row>
    <x:row r="22">
      <x:c r="B22" t="str">
        <x:v>H16</x:v>
      </x:c>
      <x:c r="C22" t="str">
        <x:v>HEADLINE</x:v>
      </x:c>
      <x:c r="D22" t="str">
        <x:v>interface count</x:v>
      </x:c>
      <x:c r="E22" t="n">
        <x:f>COUNTA('Interface Register'!B7:B54)</x:f>
        <x:v>48</x:v>
      </x:c>
      <x:c r="F22" t="n">
        <x:v>48</x:v>
      </x:c>
      <x:c r="G22" t="str">
        <x:v>equals</x:v>
      </x:c>
      <x:c r="H22" t="str">
        <x:f>IF(ABS(E22-F22)&lt;0.01,"PASS","FAIL")</x:f>
        <x:v>PASS</x:v>
      </x:c>
    </x:row>
    <x:row r="23">
      <x:c r="B23" t="str">
        <x:v>H17</x:v>
      </x:c>
      <x:c r="C23" t="str">
        <x:v>HEADLINE</x:v>
      </x:c>
      <x:c r="D23" t="str">
        <x:v>workforce</x:v>
      </x:c>
      <x:c r="E23" t="n">
        <x:f>Workforce!C17</x:f>
        <x:v>372</x:v>
      </x:c>
      <x:c r="F23" t="n">
        <x:v>372</x:v>
      </x:c>
      <x:c r="G23" t="str">
        <x:v>equals</x:v>
      </x:c>
      <x:c r="H23" t="str">
        <x:f>IF(ABS(E23-F23)&lt;0.01,"PASS","FAIL")</x:f>
        <x:v>PASS</x:v>
      </x:c>
    </x:row>
    <x:row r="24">
      <x:c r="B24" t="str">
        <x:v>H18</x:v>
      </x:c>
      <x:c r="C24" t="str">
        <x:v>HEADLINE</x:v>
      </x:c>
      <x:c r="D24" t="str">
        <x:v>capital total</x:v>
      </x:c>
      <x:c r="E24" t="n">
        <x:f>Capital!C18</x:f>
        <x:v>410</x:v>
      </x:c>
      <x:c r="F24" t="n">
        <x:v>410</x:v>
      </x:c>
      <x:c r="G24" t="str">
        <x:v>equals</x:v>
      </x:c>
      <x:c r="H24" t="str">
        <x:f>IF(ABS(E24-F24)&lt;0.01,"PASS","FAIL")</x:f>
        <x:v>PASS</x:v>
      </x:c>
    </x:row>
    <x:row r="25">
      <x:c r="B25" t="str">
        <x:v>H19</x:v>
      </x:c>
      <x:c r="C25" t="str">
        <x:v>HEADLINE</x:v>
      </x:c>
      <x:c r="D25" t="str">
        <x:v>annual total</x:v>
      </x:c>
      <x:c r="E25" t="n">
        <x:f>'Annual Support'!C14</x:f>
        <x:v>72</x:v>
      </x:c>
      <x:c r="F25" t="n">
        <x:v>72</x:v>
      </x:c>
      <x:c r="G25" t="str">
        <x:v>equals</x:v>
      </x:c>
      <x:c r="H25" t="str">
        <x:f>IF(ABS(E25-F25)&lt;0.01,"PASS","FAIL")</x:f>
        <x:v>PASS</x:v>
      </x:c>
    </x:row>
    <x:row r="26">
      <x:c r="B26" t="str">
        <x:v>H20</x:v>
      </x:c>
      <x:c r="C26" t="str">
        <x:v>HEADLINE</x:v>
      </x:c>
      <x:c r="D26" t="str">
        <x:v>mass expanded uncertainty</x:v>
      </x:c>
      <x:c r="E26" t="n">
        <x:f>'Uncertainty Budget'!L7</x:f>
        <x:v>4.382875768259922</x:v>
      </x:c>
      <x:c r="F26" t="n">
        <x:v>4.382</x:v>
      </x:c>
      <x:c r="G26" t="str">
        <x:v>equals</x:v>
      </x:c>
      <x:c r="H26" t="str">
        <x:f>IF(ABS(E26-F26)&lt;0.01,"PASS","FAIL")</x:f>
        <x:v>PASS</x:v>
      </x:c>
    </x:row>
    <x:row r="27">
      <x:c r="B27" t="str">
        <x:v>A-001</x:v>
      </x:c>
      <x:c r="C27" t="str">
        <x:v>GATE</x:v>
      </x:c>
      <x:c r="D27" t="str">
        <x:v>release ledger mirrors governing state</x:v>
      </x:c>
      <x:c r="E27" t="str">
        <x:f>'Release Gates'!J7</x:f>
        <x:v>PASS</x:v>
      </x:c>
      <x:c r="F27" t="str">
        <x:f>IF('Release Gates'!C7="PLANNING","PASS",IF('Release Gates'!C7="PHYSICAL","OPEN","BLOCKED"))</x:f>
        <x:v>PASS</x:v>
      </x:c>
      <x:c r="G27" t="str">
        <x:v>equals</x:v>
      </x:c>
      <x:c r="H27" t="str">
        <x:f>IF(E27=F27,"PASS","FAIL")</x:f>
        <x:v>PASS</x:v>
      </x:c>
    </x:row>
    <x:row r="28">
      <x:c r="B28" t="str">
        <x:v>A-002</x:v>
      </x:c>
      <x:c r="C28" t="str">
        <x:v>GATE</x:v>
      </x:c>
      <x:c r="D28" t="str">
        <x:v>release ledger mirrors governing state</x:v>
      </x:c>
      <x:c r="E28" t="str">
        <x:f>'Release Gates'!J8</x:f>
        <x:v>PASS</x:v>
      </x:c>
      <x:c r="F28" t="str">
        <x:f>IF('Release Gates'!C8="PLANNING","PASS",IF('Release Gates'!C8="PHYSICAL","OPEN","BLOCKED"))</x:f>
        <x:v>PASS</x:v>
      </x:c>
      <x:c r="G28" t="str">
        <x:v>equals</x:v>
      </x:c>
      <x:c r="H28" t="str">
        <x:f>IF(E28=F28,"PASS","FAIL")</x:f>
        <x:v>PASS</x:v>
      </x:c>
    </x:row>
    <x:row r="29">
      <x:c r="B29" t="str">
        <x:v>A-003</x:v>
      </x:c>
      <x:c r="C29" t="str">
        <x:v>GATE</x:v>
      </x:c>
      <x:c r="D29" t="str">
        <x:v>release ledger mirrors governing state</x:v>
      </x:c>
      <x:c r="E29" t="str">
        <x:f>'Release Gates'!J9</x:f>
        <x:v>PASS</x:v>
      </x:c>
      <x:c r="F29" t="str">
        <x:f>IF('Release Gates'!C9="PLANNING","PASS",IF('Release Gates'!C9="PHYSICAL","OPEN","BLOCKED"))</x:f>
        <x:v>PASS</x:v>
      </x:c>
      <x:c r="G29" t="str">
        <x:v>equals</x:v>
      </x:c>
      <x:c r="H29" t="str">
        <x:f>IF(E29=F29,"PASS","FAIL")</x:f>
        <x:v>PASS</x:v>
      </x:c>
    </x:row>
    <x:row r="30">
      <x:c r="B30" t="str">
        <x:v>A-004</x:v>
      </x:c>
      <x:c r="C30" t="str">
        <x:v>GATE</x:v>
      </x:c>
      <x:c r="D30" t="str">
        <x:v>release ledger mirrors governing state</x:v>
      </x:c>
      <x:c r="E30" t="str">
        <x:f>'Release Gates'!J10</x:f>
        <x:v>PASS</x:v>
      </x:c>
      <x:c r="F30" t="str">
        <x:f>IF('Release Gates'!C10="PLANNING","PASS",IF('Release Gates'!C10="PHYSICAL","OPEN","BLOCKED"))</x:f>
        <x:v>PASS</x:v>
      </x:c>
      <x:c r="G30" t="str">
        <x:v>equals</x:v>
      </x:c>
      <x:c r="H30" t="str">
        <x:f>IF(E30=F30,"PASS","FAIL")</x:f>
        <x:v>PASS</x:v>
      </x:c>
    </x:row>
    <x:row r="31">
      <x:c r="B31" t="str">
        <x:v>A-005</x:v>
      </x:c>
      <x:c r="C31" t="str">
        <x:v>GATE</x:v>
      </x:c>
      <x:c r="D31" t="str">
        <x:v>release ledger mirrors governing state</x:v>
      </x:c>
      <x:c r="E31" t="str">
        <x:f>'Release Gates'!J11</x:f>
        <x:v>PASS</x:v>
      </x:c>
      <x:c r="F31" t="str">
        <x:f>IF('Release Gates'!C11="PLANNING","PASS",IF('Release Gates'!C11="PHYSICAL","OPEN","BLOCKED"))</x:f>
        <x:v>PASS</x:v>
      </x:c>
      <x:c r="G31" t="str">
        <x:v>equals</x:v>
      </x:c>
      <x:c r="H31" t="str">
        <x:f>IF(E31=F31,"PASS","FAIL")</x:f>
        <x:v>PASS</x:v>
      </x:c>
    </x:row>
    <x:row r="32">
      <x:c r="B32" t="str">
        <x:v>A-006</x:v>
      </x:c>
      <x:c r="C32" t="str">
        <x:v>GATE</x:v>
      </x:c>
      <x:c r="D32" t="str">
        <x:v>release ledger mirrors governing state</x:v>
      </x:c>
      <x:c r="E32" t="str">
        <x:f>'Release Gates'!J12</x:f>
        <x:v>PASS</x:v>
      </x:c>
      <x:c r="F32" t="str">
        <x:f>IF('Release Gates'!C12="PLANNING","PASS",IF('Release Gates'!C12="PHYSICAL","OPEN","BLOCKED"))</x:f>
        <x:v>PASS</x:v>
      </x:c>
      <x:c r="G32" t="str">
        <x:v>equals</x:v>
      </x:c>
      <x:c r="H32" t="str">
        <x:f>IF(E32=F32,"PASS","FAIL")</x:f>
        <x:v>PASS</x:v>
      </x:c>
    </x:row>
    <x:row r="33">
      <x:c r="B33" t="str">
        <x:v>A-007</x:v>
      </x:c>
      <x:c r="C33" t="str">
        <x:v>GATE</x:v>
      </x:c>
      <x:c r="D33" t="str">
        <x:v>release ledger mirrors governing state</x:v>
      </x:c>
      <x:c r="E33" t="str">
        <x:f>'Release Gates'!J13</x:f>
        <x:v>PASS</x:v>
      </x:c>
      <x:c r="F33" t="str">
        <x:f>IF('Release Gates'!C13="PLANNING","PASS",IF('Release Gates'!C13="PHYSICAL","OPEN","BLOCKED"))</x:f>
        <x:v>PASS</x:v>
      </x:c>
      <x:c r="G33" t="str">
        <x:v>equals</x:v>
      </x:c>
      <x:c r="H33" t="str">
        <x:f>IF(E33=F33,"PASS","FAIL")</x:f>
        <x:v>PASS</x:v>
      </x:c>
    </x:row>
    <x:row r="34">
      <x:c r="B34" t="str">
        <x:v>A-008</x:v>
      </x:c>
      <x:c r="C34" t="str">
        <x:v>GATE</x:v>
      </x:c>
      <x:c r="D34" t="str">
        <x:v>release ledger mirrors governing state</x:v>
      </x:c>
      <x:c r="E34" t="str">
        <x:f>'Release Gates'!J14</x:f>
        <x:v>PASS</x:v>
      </x:c>
      <x:c r="F34" t="str">
        <x:f>IF('Release Gates'!C14="PLANNING","PASS",IF('Release Gates'!C14="PHYSICAL","OPEN","BLOCKED"))</x:f>
        <x:v>PASS</x:v>
      </x:c>
      <x:c r="G34" t="str">
        <x:v>equals</x:v>
      </x:c>
      <x:c r="H34" t="str">
        <x:f>IF(E34=F34,"PASS","FAIL")</x:f>
        <x:v>PASS</x:v>
      </x:c>
    </x:row>
    <x:row r="35">
      <x:c r="B35" t="str">
        <x:v>A-009</x:v>
      </x:c>
      <x:c r="C35" t="str">
        <x:v>GATE</x:v>
      </x:c>
      <x:c r="D35" t="str">
        <x:v>release ledger mirrors governing state</x:v>
      </x:c>
      <x:c r="E35" t="str">
        <x:f>'Release Gates'!J15</x:f>
        <x:v>PASS</x:v>
      </x:c>
      <x:c r="F35" t="str">
        <x:f>IF('Release Gates'!C15="PLANNING","PASS",IF('Release Gates'!C15="PHYSICAL","OPEN","BLOCKED"))</x:f>
        <x:v>PASS</x:v>
      </x:c>
      <x:c r="G35" t="str">
        <x:v>equals</x:v>
      </x:c>
      <x:c r="H35" t="str">
        <x:f>IF(E35=F35,"PASS","FAIL")</x:f>
        <x:v>PASS</x:v>
      </x:c>
    </x:row>
    <x:row r="36">
      <x:c r="B36" t="str">
        <x:v>A-010</x:v>
      </x:c>
      <x:c r="C36" t="str">
        <x:v>GATE</x:v>
      </x:c>
      <x:c r="D36" t="str">
        <x:v>release ledger mirrors governing state</x:v>
      </x:c>
      <x:c r="E36" t="str">
        <x:f>'Release Gates'!J16</x:f>
        <x:v>PASS</x:v>
      </x:c>
      <x:c r="F36" t="str">
        <x:f>IF('Release Gates'!C16="PLANNING","PASS",IF('Release Gates'!C16="PHYSICAL","OPEN","BLOCKED"))</x:f>
        <x:v>PASS</x:v>
      </x:c>
      <x:c r="G36" t="str">
        <x:v>equals</x:v>
      </x:c>
      <x:c r="H36" t="str">
        <x:f>IF(E36=F36,"PASS","FAIL")</x:f>
        <x:v>PASS</x:v>
      </x:c>
    </x:row>
    <x:row r="37">
      <x:c r="B37" t="str">
        <x:v>A-011</x:v>
      </x:c>
      <x:c r="C37" t="str">
        <x:v>GATE</x:v>
      </x:c>
      <x:c r="D37" t="str">
        <x:v>release ledger mirrors governing state</x:v>
      </x:c>
      <x:c r="E37" t="str">
        <x:f>'Release Gates'!J17</x:f>
        <x:v>PASS</x:v>
      </x:c>
      <x:c r="F37" t="str">
        <x:f>IF('Release Gates'!C17="PLANNING","PASS",IF('Release Gates'!C17="PHYSICAL","OPEN","BLOCKED"))</x:f>
        <x:v>PASS</x:v>
      </x:c>
      <x:c r="G37" t="str">
        <x:v>equals</x:v>
      </x:c>
      <x:c r="H37" t="str">
        <x:f>IF(E37=F37,"PASS","FAIL")</x:f>
        <x:v>PASS</x:v>
      </x:c>
    </x:row>
    <x:row r="38">
      <x:c r="B38" t="str">
        <x:v>A-012</x:v>
      </x:c>
      <x:c r="C38" t="str">
        <x:v>GATE</x:v>
      </x:c>
      <x:c r="D38" t="str">
        <x:v>release ledger mirrors governing state</x:v>
      </x:c>
      <x:c r="E38" t="str">
        <x:f>'Release Gates'!J18</x:f>
        <x:v>PASS</x:v>
      </x:c>
      <x:c r="F38" t="str">
        <x:f>IF('Release Gates'!C18="PLANNING","PASS",IF('Release Gates'!C18="PHYSICAL","OPEN","BLOCKED"))</x:f>
        <x:v>PASS</x:v>
      </x:c>
      <x:c r="G38" t="str">
        <x:v>equals</x:v>
      </x:c>
      <x:c r="H38" t="str">
        <x:f>IF(E38=F38,"PASS","FAIL")</x:f>
        <x:v>PASS</x:v>
      </x:c>
    </x:row>
    <x:row r="39">
      <x:c r="B39" t="str">
        <x:v>A-013</x:v>
      </x:c>
      <x:c r="C39" t="str">
        <x:v>GATE</x:v>
      </x:c>
      <x:c r="D39" t="str">
        <x:v>release ledger mirrors governing state</x:v>
      </x:c>
      <x:c r="E39" t="str">
        <x:f>'Release Gates'!J19</x:f>
        <x:v>PASS</x:v>
      </x:c>
      <x:c r="F39" t="str">
        <x:f>IF('Release Gates'!C19="PLANNING","PASS",IF('Release Gates'!C19="PHYSICAL","OPEN","BLOCKED"))</x:f>
        <x:v>PASS</x:v>
      </x:c>
      <x:c r="G39" t="str">
        <x:v>equals</x:v>
      </x:c>
      <x:c r="H39" t="str">
        <x:f>IF(E39=F39,"PASS","FAIL")</x:f>
        <x:v>PASS</x:v>
      </x:c>
    </x:row>
    <x:row r="40">
      <x:c r="B40" t="str">
        <x:v>A-014</x:v>
      </x:c>
      <x:c r="C40" t="str">
        <x:v>GATE</x:v>
      </x:c>
      <x:c r="D40" t="str">
        <x:v>release ledger mirrors governing state</x:v>
      </x:c>
      <x:c r="E40" t="str">
        <x:f>'Release Gates'!J20</x:f>
        <x:v>PASS</x:v>
      </x:c>
      <x:c r="F40" t="str">
        <x:f>IF('Release Gates'!C20="PLANNING","PASS",IF('Release Gates'!C20="PHYSICAL","OPEN","BLOCKED"))</x:f>
        <x:v>PASS</x:v>
      </x:c>
      <x:c r="G40" t="str">
        <x:v>equals</x:v>
      </x:c>
      <x:c r="H40" t="str">
        <x:f>IF(E40=F40,"PASS","FAIL")</x:f>
        <x:v>PASS</x:v>
      </x:c>
    </x:row>
    <x:row r="41">
      <x:c r="B41" t="str">
        <x:v>A-015</x:v>
      </x:c>
      <x:c r="C41" t="str">
        <x:v>GATE</x:v>
      </x:c>
      <x:c r="D41" t="str">
        <x:v>release ledger mirrors governing state</x:v>
      </x:c>
      <x:c r="E41" t="str">
        <x:f>'Release Gates'!J21</x:f>
        <x:v>PASS</x:v>
      </x:c>
      <x:c r="F41" t="str">
        <x:f>IF('Release Gates'!C21="PLANNING","PASS",IF('Release Gates'!C21="PHYSICAL","OPEN","BLOCKED"))</x:f>
        <x:v>PASS</x:v>
      </x:c>
      <x:c r="G41" t="str">
        <x:v>equals</x:v>
      </x:c>
      <x:c r="H41" t="str">
        <x:f>IF(E41=F41,"PASS","FAIL")</x:f>
        <x:v>PASS</x:v>
      </x:c>
    </x:row>
    <x:row r="42">
      <x:c r="B42" t="str">
        <x:v>A-016</x:v>
      </x:c>
      <x:c r="C42" t="str">
        <x:v>GATE</x:v>
      </x:c>
      <x:c r="D42" t="str">
        <x:v>release ledger mirrors governing state</x:v>
      </x:c>
      <x:c r="E42" t="str">
        <x:f>'Release Gates'!J22</x:f>
        <x:v>PASS</x:v>
      </x:c>
      <x:c r="F42" t="str">
        <x:f>IF('Release Gates'!C22="PLANNING","PASS",IF('Release Gates'!C22="PHYSICAL","OPEN","BLOCKED"))</x:f>
        <x:v>PASS</x:v>
      </x:c>
      <x:c r="G42" t="str">
        <x:v>equals</x:v>
      </x:c>
      <x:c r="H42" t="str">
        <x:f>IF(E42=F42,"PASS","FAIL")</x:f>
        <x:v>PASS</x:v>
      </x:c>
    </x:row>
    <x:row r="43">
      <x:c r="B43" t="str">
        <x:v>A-017</x:v>
      </x:c>
      <x:c r="C43" t="str">
        <x:v>GATE</x:v>
      </x:c>
      <x:c r="D43" t="str">
        <x:v>release ledger mirrors governing state</x:v>
      </x:c>
      <x:c r="E43" t="str">
        <x:f>'Release Gates'!J23</x:f>
        <x:v>PASS</x:v>
      </x:c>
      <x:c r="F43" t="str">
        <x:f>IF('Release Gates'!C23="PLANNING","PASS",IF('Release Gates'!C23="PHYSICAL","OPEN","BLOCKED"))</x:f>
        <x:v>PASS</x:v>
      </x:c>
      <x:c r="G43" t="str">
        <x:v>equals</x:v>
      </x:c>
      <x:c r="H43" t="str">
        <x:f>IF(E43=F43,"PASS","FAIL")</x:f>
        <x:v>PASS</x:v>
      </x:c>
    </x:row>
    <x:row r="44">
      <x:c r="B44" t="str">
        <x:v>A-018</x:v>
      </x:c>
      <x:c r="C44" t="str">
        <x:v>GATE</x:v>
      </x:c>
      <x:c r="D44" t="str">
        <x:v>release ledger mirrors governing state</x:v>
      </x:c>
      <x:c r="E44" t="str">
        <x:f>'Release Gates'!J24</x:f>
        <x:v>PASS</x:v>
      </x:c>
      <x:c r="F44" t="str">
        <x:f>IF('Release Gates'!C24="PLANNING","PASS",IF('Release Gates'!C24="PHYSICAL","OPEN","BLOCKED"))</x:f>
        <x:v>PASS</x:v>
      </x:c>
      <x:c r="G44" t="str">
        <x:v>equals</x:v>
      </x:c>
      <x:c r="H44" t="str">
        <x:f>IF(E44=F44,"PASS","FAIL")</x:f>
        <x:v>PASS</x:v>
      </x:c>
    </x:row>
    <x:row r="45">
      <x:c r="B45" t="str">
        <x:v>A-019</x:v>
      </x:c>
      <x:c r="C45" t="str">
        <x:v>GATE</x:v>
      </x:c>
      <x:c r="D45" t="str">
        <x:v>release ledger mirrors governing state</x:v>
      </x:c>
      <x:c r="E45" t="str">
        <x:f>'Release Gates'!J25</x:f>
        <x:v>PASS</x:v>
      </x:c>
      <x:c r="F45" t="str">
        <x:f>IF('Release Gates'!C25="PLANNING","PASS",IF('Release Gates'!C25="PHYSICAL","OPEN","BLOCKED"))</x:f>
        <x:v>PASS</x:v>
      </x:c>
      <x:c r="G45" t="str">
        <x:v>equals</x:v>
      </x:c>
      <x:c r="H45" t="str">
        <x:f>IF(E45=F45,"PASS","FAIL")</x:f>
        <x:v>PASS</x:v>
      </x:c>
    </x:row>
    <x:row r="46">
      <x:c r="B46" t="str">
        <x:v>A-020</x:v>
      </x:c>
      <x:c r="C46" t="str">
        <x:v>GATE</x:v>
      </x:c>
      <x:c r="D46" t="str">
        <x:v>release ledger mirrors governing state</x:v>
      </x:c>
      <x:c r="E46" t="str">
        <x:f>'Release Gates'!J26</x:f>
        <x:v>PASS</x:v>
      </x:c>
      <x:c r="F46" t="str">
        <x:f>IF('Release Gates'!C26="PLANNING","PASS",IF('Release Gates'!C26="PHYSICAL","OPEN","BLOCKED"))</x:f>
        <x:v>PASS</x:v>
      </x:c>
      <x:c r="G46" t="str">
        <x:v>equals</x:v>
      </x:c>
      <x:c r="H46" t="str">
        <x:f>IF(E46=F46,"PASS","FAIL")</x:f>
        <x:v>PASS</x:v>
      </x:c>
    </x:row>
    <x:row r="47">
      <x:c r="B47" t="str">
        <x:v>A-021</x:v>
      </x:c>
      <x:c r="C47" t="str">
        <x:v>GATE</x:v>
      </x:c>
      <x:c r="D47" t="str">
        <x:v>release ledger mirrors governing state</x:v>
      </x:c>
      <x:c r="E47" t="str">
        <x:f>'Release Gates'!J27</x:f>
        <x:v>PASS</x:v>
      </x:c>
      <x:c r="F47" t="str">
        <x:f>IF('Release Gates'!C27="PLANNING","PASS",IF('Release Gates'!C27="PHYSICAL","OPEN","BLOCKED"))</x:f>
        <x:v>PASS</x:v>
      </x:c>
      <x:c r="G47" t="str">
        <x:v>equals</x:v>
      </x:c>
      <x:c r="H47" t="str">
        <x:f>IF(E47=F47,"PASS","FAIL")</x:f>
        <x:v>PASS</x:v>
      </x:c>
    </x:row>
    <x:row r="48">
      <x:c r="B48" t="str">
        <x:v>A-022</x:v>
      </x:c>
      <x:c r="C48" t="str">
        <x:v>GATE</x:v>
      </x:c>
      <x:c r="D48" t="str">
        <x:v>release ledger mirrors governing state</x:v>
      </x:c>
      <x:c r="E48" t="str">
        <x:f>'Release Gates'!J28</x:f>
        <x:v>PASS</x:v>
      </x:c>
      <x:c r="F48" t="str">
        <x:f>IF('Release Gates'!C28="PLANNING","PASS",IF('Release Gates'!C28="PHYSICAL","OPEN","BLOCKED"))</x:f>
        <x:v>PASS</x:v>
      </x:c>
      <x:c r="G48" t="str">
        <x:v>equals</x:v>
      </x:c>
      <x:c r="H48" t="str">
        <x:f>IF(E48=F48,"PASS","FAIL")</x:f>
        <x:v>PASS</x:v>
      </x:c>
    </x:row>
    <x:row r="49">
      <x:c r="B49" t="str">
        <x:v>A-023</x:v>
      </x:c>
      <x:c r="C49" t="str">
        <x:v>GATE</x:v>
      </x:c>
      <x:c r="D49" t="str">
        <x:v>release ledger mirrors governing state</x:v>
      </x:c>
      <x:c r="E49" t="str">
        <x:f>'Release Gates'!J29</x:f>
        <x:v>PASS</x:v>
      </x:c>
      <x:c r="F49" t="str">
        <x:f>IF('Release Gates'!C29="PLANNING","PASS",IF('Release Gates'!C29="PHYSICAL","OPEN","BLOCKED"))</x:f>
        <x:v>PASS</x:v>
      </x:c>
      <x:c r="G49" t="str">
        <x:v>equals</x:v>
      </x:c>
      <x:c r="H49" t="str">
        <x:f>IF(E49=F49,"PASS","FAIL")</x:f>
        <x:v>PASS</x:v>
      </x:c>
    </x:row>
    <x:row r="50">
      <x:c r="B50" t="str">
        <x:v>A-024</x:v>
      </x:c>
      <x:c r="C50" t="str">
        <x:v>GATE</x:v>
      </x:c>
      <x:c r="D50" t="str">
        <x:v>release ledger mirrors governing state</x:v>
      </x:c>
      <x:c r="E50" t="str">
        <x:f>'Release Gates'!J30</x:f>
        <x:v>PASS</x:v>
      </x:c>
      <x:c r="F50" t="str">
        <x:f>IF('Release Gates'!C30="PLANNING","PASS",IF('Release Gates'!C30="PHYSICAL","OPEN","BLOCKED"))</x:f>
        <x:v>PASS</x:v>
      </x:c>
      <x:c r="G50" t="str">
        <x:v>equals</x:v>
      </x:c>
      <x:c r="H50" t="str">
        <x:f>IF(E50=F50,"PASS","FAIL")</x:f>
        <x:v>PASS</x:v>
      </x:c>
    </x:row>
    <x:row r="51">
      <x:c r="B51" t="str">
        <x:v>A-025</x:v>
      </x:c>
      <x:c r="C51" t="str">
        <x:v>GATE</x:v>
      </x:c>
      <x:c r="D51" t="str">
        <x:v>release ledger mirrors governing state</x:v>
      </x:c>
      <x:c r="E51" t="str">
        <x:f>'Release Gates'!J31</x:f>
        <x:v>PASS</x:v>
      </x:c>
      <x:c r="F51" t="str">
        <x:f>IF('Release Gates'!C31="PLANNING","PASS",IF('Release Gates'!C31="PHYSICAL","OPEN","BLOCKED"))</x:f>
        <x:v>PASS</x:v>
      </x:c>
      <x:c r="G51" t="str">
        <x:v>equals</x:v>
      </x:c>
      <x:c r="H51" t="str">
        <x:f>IF(E51=F51,"PASS","FAIL")</x:f>
        <x:v>PASS</x:v>
      </x:c>
    </x:row>
    <x:row r="52">
      <x:c r="B52" t="str">
        <x:v>A-026</x:v>
      </x:c>
      <x:c r="C52" t="str">
        <x:v>GATE</x:v>
      </x:c>
      <x:c r="D52" t="str">
        <x:v>release ledger mirrors governing state</x:v>
      </x:c>
      <x:c r="E52" t="str">
        <x:f>'Release Gates'!J32</x:f>
        <x:v>PASS</x:v>
      </x:c>
      <x:c r="F52" t="str">
        <x:f>IF('Release Gates'!C32="PLANNING","PASS",IF('Release Gates'!C32="PHYSICAL","OPEN","BLOCKED"))</x:f>
        <x:v>PASS</x:v>
      </x:c>
      <x:c r="G52" t="str">
        <x:v>equals</x:v>
      </x:c>
      <x:c r="H52" t="str">
        <x:f>IF(E52=F52,"PASS","FAIL")</x:f>
        <x:v>PASS</x:v>
      </x:c>
    </x:row>
    <x:row r="53">
      <x:c r="B53" t="str">
        <x:v>A-027</x:v>
      </x:c>
      <x:c r="C53" t="str">
        <x:v>GATE</x:v>
      </x:c>
      <x:c r="D53" t="str">
        <x:v>release ledger mirrors governing state</x:v>
      </x:c>
      <x:c r="E53" t="str">
        <x:f>'Release Gates'!J33</x:f>
        <x:v>PASS</x:v>
      </x:c>
      <x:c r="F53" t="str">
        <x:f>IF('Release Gates'!C33="PLANNING","PASS",IF('Release Gates'!C33="PHYSICAL","OPEN","BLOCKED"))</x:f>
        <x:v>PASS</x:v>
      </x:c>
      <x:c r="G53" t="str">
        <x:v>equals</x:v>
      </x:c>
      <x:c r="H53" t="str">
        <x:f>IF(E53=F53,"PASS","FAIL")</x:f>
        <x:v>PASS</x:v>
      </x:c>
    </x:row>
    <x:row r="54">
      <x:c r="B54" t="str">
        <x:v>A-028</x:v>
      </x:c>
      <x:c r="C54" t="str">
        <x:v>GATE</x:v>
      </x:c>
      <x:c r="D54" t="str">
        <x:v>release ledger mirrors governing state</x:v>
      </x:c>
      <x:c r="E54" t="str">
        <x:f>'Release Gates'!J34</x:f>
        <x:v>PASS</x:v>
      </x:c>
      <x:c r="F54" t="str">
        <x:f>IF('Release Gates'!C34="PLANNING","PASS",IF('Release Gates'!C34="PHYSICAL","OPEN","BLOCKED"))</x:f>
        <x:v>PASS</x:v>
      </x:c>
      <x:c r="G54" t="str">
        <x:v>equals</x:v>
      </x:c>
      <x:c r="H54" t="str">
        <x:f>IF(E54=F54,"PASS","FAIL")</x:f>
        <x:v>PASS</x:v>
      </x:c>
    </x:row>
    <x:row r="55">
      <x:c r="B55" t="str">
        <x:v>A-029</x:v>
      </x:c>
      <x:c r="C55" t="str">
        <x:v>GATE</x:v>
      </x:c>
      <x:c r="D55" t="str">
        <x:v>release ledger mirrors governing state</x:v>
      </x:c>
      <x:c r="E55" t="str">
        <x:f>'Release Gates'!J35</x:f>
        <x:v>PASS</x:v>
      </x:c>
      <x:c r="F55" t="str">
        <x:f>IF('Release Gates'!C35="PLANNING","PASS",IF('Release Gates'!C35="PHYSICAL","OPEN","BLOCKED"))</x:f>
        <x:v>PASS</x:v>
      </x:c>
      <x:c r="G55" t="str">
        <x:v>equals</x:v>
      </x:c>
      <x:c r="H55" t="str">
        <x:f>IF(E55=F55,"PASS","FAIL")</x:f>
        <x:v>PASS</x:v>
      </x:c>
    </x:row>
    <x:row r="56">
      <x:c r="B56" t="str">
        <x:v>A-030</x:v>
      </x:c>
      <x:c r="C56" t="str">
        <x:v>GATE</x:v>
      </x:c>
      <x:c r="D56" t="str">
        <x:v>release ledger mirrors governing state</x:v>
      </x:c>
      <x:c r="E56" t="str">
        <x:f>'Release Gates'!J36</x:f>
        <x:v>PASS</x:v>
      </x:c>
      <x:c r="F56" t="str">
        <x:f>IF('Release Gates'!C36="PLANNING","PASS",IF('Release Gates'!C36="PHYSICAL","OPEN","BLOCKED"))</x:f>
        <x:v>PASS</x:v>
      </x:c>
      <x:c r="G56" t="str">
        <x:v>equals</x:v>
      </x:c>
      <x:c r="H56" t="str">
        <x:f>IF(E56=F56,"PASS","FAIL")</x:f>
        <x:v>PASS</x:v>
      </x:c>
    </x:row>
    <x:row r="57">
      <x:c r="B57" t="str">
        <x:v>A-031</x:v>
      </x:c>
      <x:c r="C57" t="str">
        <x:v>GATE</x:v>
      </x:c>
      <x:c r="D57" t="str">
        <x:v>release ledger mirrors governing state</x:v>
      </x:c>
      <x:c r="E57" t="str">
        <x:f>'Release Gates'!J37</x:f>
        <x:v>PASS</x:v>
      </x:c>
      <x:c r="F57" t="str">
        <x:f>IF('Release Gates'!C37="PLANNING","PASS",IF('Release Gates'!C37="PHYSICAL","OPEN","BLOCKED"))</x:f>
        <x:v>PASS</x:v>
      </x:c>
      <x:c r="G57" t="str">
        <x:v>equals</x:v>
      </x:c>
      <x:c r="H57" t="str">
        <x:f>IF(E57=F57,"PASS","FAIL")</x:f>
        <x:v>PASS</x:v>
      </x:c>
    </x:row>
    <x:row r="58">
      <x:c r="B58" t="str">
        <x:v>A-032</x:v>
      </x:c>
      <x:c r="C58" t="str">
        <x:v>GATE</x:v>
      </x:c>
      <x:c r="D58" t="str">
        <x:v>release ledger mirrors governing state</x:v>
      </x:c>
      <x:c r="E58" t="str">
        <x:f>'Release Gates'!J38</x:f>
        <x:v>PASS</x:v>
      </x:c>
      <x:c r="F58" t="str">
        <x:f>IF('Release Gates'!C38="PLANNING","PASS",IF('Release Gates'!C38="PHYSICAL","OPEN","BLOCKED"))</x:f>
        <x:v>PASS</x:v>
      </x:c>
      <x:c r="G58" t="str">
        <x:v>equals</x:v>
      </x:c>
      <x:c r="H58" t="str">
        <x:f>IF(E58=F58,"PASS","FAIL")</x:f>
        <x:v>PASS</x:v>
      </x:c>
    </x:row>
    <x:row r="59">
      <x:c r="B59" t="str">
        <x:v>A-033</x:v>
      </x:c>
      <x:c r="C59" t="str">
        <x:v>GATE</x:v>
      </x:c>
      <x:c r="D59" t="str">
        <x:v>release ledger mirrors governing state</x:v>
      </x:c>
      <x:c r="E59" t="str">
        <x:f>'Release Gates'!J39</x:f>
        <x:v>PASS</x:v>
      </x:c>
      <x:c r="F59" t="str">
        <x:f>IF('Release Gates'!C39="PLANNING","PASS",IF('Release Gates'!C39="PHYSICAL","OPEN","BLOCKED"))</x:f>
        <x:v>PASS</x:v>
      </x:c>
      <x:c r="G59" t="str">
        <x:v>equals</x:v>
      </x:c>
      <x:c r="H59" t="str">
        <x:f>IF(E59=F59,"PASS","FAIL")</x:f>
        <x:v>PASS</x:v>
      </x:c>
    </x:row>
    <x:row r="60">
      <x:c r="B60" t="str">
        <x:v>A-034</x:v>
      </x:c>
      <x:c r="C60" t="str">
        <x:v>GATE</x:v>
      </x:c>
      <x:c r="D60" t="str">
        <x:v>release ledger mirrors governing state</x:v>
      </x:c>
      <x:c r="E60" t="str">
        <x:f>'Release Gates'!J40</x:f>
        <x:v>PASS</x:v>
      </x:c>
      <x:c r="F60" t="str">
        <x:f>IF('Release Gates'!C40="PLANNING","PASS",IF('Release Gates'!C40="PHYSICAL","OPEN","BLOCKED"))</x:f>
        <x:v>PASS</x:v>
      </x:c>
      <x:c r="G60" t="str">
        <x:v>equals</x:v>
      </x:c>
      <x:c r="H60" t="str">
        <x:f>IF(E60=F60,"PASS","FAIL")</x:f>
        <x:v>PASS</x:v>
      </x:c>
    </x:row>
    <x:row r="61">
      <x:c r="B61" t="str">
        <x:v>A-035</x:v>
      </x:c>
      <x:c r="C61" t="str">
        <x:v>GATE</x:v>
      </x:c>
      <x:c r="D61" t="str">
        <x:v>release ledger mirrors governing state</x:v>
      </x:c>
      <x:c r="E61" t="str">
        <x:f>'Release Gates'!J41</x:f>
        <x:v>PASS</x:v>
      </x:c>
      <x:c r="F61" t="str">
        <x:f>IF('Release Gates'!C41="PLANNING","PASS",IF('Release Gates'!C41="PHYSICAL","OPEN","BLOCKED"))</x:f>
        <x:v>PASS</x:v>
      </x:c>
      <x:c r="G61" t="str">
        <x:v>equals</x:v>
      </x:c>
      <x:c r="H61" t="str">
        <x:f>IF(E61=F61,"PASS","FAIL")</x:f>
        <x:v>PASS</x:v>
      </x:c>
    </x:row>
    <x:row r="62">
      <x:c r="B62" t="str">
        <x:v>A-036</x:v>
      </x:c>
      <x:c r="C62" t="str">
        <x:v>GATE</x:v>
      </x:c>
      <x:c r="D62" t="str">
        <x:v>release ledger mirrors governing state</x:v>
      </x:c>
      <x:c r="E62" t="str">
        <x:f>'Release Gates'!J42</x:f>
        <x:v>PASS</x:v>
      </x:c>
      <x:c r="F62" t="str">
        <x:f>IF('Release Gates'!C42="PLANNING","PASS",IF('Release Gates'!C42="PHYSICAL","OPEN","BLOCKED"))</x:f>
        <x:v>PASS</x:v>
      </x:c>
      <x:c r="G62" t="str">
        <x:v>equals</x:v>
      </x:c>
      <x:c r="H62" t="str">
        <x:f>IF(E62=F62,"PASS","FAIL")</x:f>
        <x:v>PASS</x:v>
      </x:c>
    </x:row>
    <x:row r="63">
      <x:c r="B63" t="str">
        <x:v>A-037</x:v>
      </x:c>
      <x:c r="C63" t="str">
        <x:v>GATE</x:v>
      </x:c>
      <x:c r="D63" t="str">
        <x:v>release ledger mirrors governing state</x:v>
      </x:c>
      <x:c r="E63" t="str">
        <x:f>'Release Gates'!J43</x:f>
        <x:v>PASS</x:v>
      </x:c>
      <x:c r="F63" t="str">
        <x:f>IF('Release Gates'!C43="PLANNING","PASS",IF('Release Gates'!C43="PHYSICAL","OPEN","BLOCKED"))</x:f>
        <x:v>PASS</x:v>
      </x:c>
      <x:c r="G63" t="str">
        <x:v>equals</x:v>
      </x:c>
      <x:c r="H63" t="str">
        <x:f>IF(E63=F63,"PASS","FAIL")</x:f>
        <x:v>PASS</x:v>
      </x:c>
    </x:row>
    <x:row r="64">
      <x:c r="B64" t="str">
        <x:v>A-038</x:v>
      </x:c>
      <x:c r="C64" t="str">
        <x:v>GATE</x:v>
      </x:c>
      <x:c r="D64" t="str">
        <x:v>release ledger mirrors governing state</x:v>
      </x:c>
      <x:c r="E64" t="str">
        <x:f>'Release Gates'!J44</x:f>
        <x:v>PASS</x:v>
      </x:c>
      <x:c r="F64" t="str">
        <x:f>IF('Release Gates'!C44="PLANNING","PASS",IF('Release Gates'!C44="PHYSICAL","OPEN","BLOCKED"))</x:f>
        <x:v>PASS</x:v>
      </x:c>
      <x:c r="G64" t="str">
        <x:v>equals</x:v>
      </x:c>
      <x:c r="H64" t="str">
        <x:f>IF(E64=F64,"PASS","FAIL")</x:f>
        <x:v>PASS</x:v>
      </x:c>
    </x:row>
    <x:row r="65">
      <x:c r="B65" t="str">
        <x:v>A-039</x:v>
      </x:c>
      <x:c r="C65" t="str">
        <x:v>GATE</x:v>
      </x:c>
      <x:c r="D65" t="str">
        <x:v>release ledger mirrors governing state</x:v>
      </x:c>
      <x:c r="E65" t="str">
        <x:f>'Release Gates'!J45</x:f>
        <x:v>PASS</x:v>
      </x:c>
      <x:c r="F65" t="str">
        <x:f>IF('Release Gates'!C45="PLANNING","PASS",IF('Release Gates'!C45="PHYSICAL","OPEN","BLOCKED"))</x:f>
        <x:v>PASS</x:v>
      </x:c>
      <x:c r="G65" t="str">
        <x:v>equals</x:v>
      </x:c>
      <x:c r="H65" t="str">
        <x:f>IF(E65=F65,"PASS","FAIL")</x:f>
        <x:v>PASS</x:v>
      </x:c>
    </x:row>
    <x:row r="66">
      <x:c r="B66" t="str">
        <x:v>A-040</x:v>
      </x:c>
      <x:c r="C66" t="str">
        <x:v>GATE</x:v>
      </x:c>
      <x:c r="D66" t="str">
        <x:v>release ledger mirrors governing state</x:v>
      </x:c>
      <x:c r="E66" t="str">
        <x:f>'Release Gates'!J46</x:f>
        <x:v>PASS</x:v>
      </x:c>
      <x:c r="F66" t="str">
        <x:f>IF('Release Gates'!C46="PLANNING","PASS",IF('Release Gates'!C46="PHYSICAL","OPEN","BLOCKED"))</x:f>
        <x:v>PASS</x:v>
      </x:c>
      <x:c r="G66" t="str">
        <x:v>equals</x:v>
      </x:c>
      <x:c r="H66" t="str">
        <x:f>IF(E66=F66,"PASS","FAIL")</x:f>
        <x:v>PASS</x:v>
      </x:c>
    </x:row>
    <x:row r="67">
      <x:c r="B67" t="str">
        <x:v>A-041</x:v>
      </x:c>
      <x:c r="C67" t="str">
        <x:v>GATE</x:v>
      </x:c>
      <x:c r="D67" t="str">
        <x:v>release ledger mirrors governing state</x:v>
      </x:c>
      <x:c r="E67" t="str">
        <x:f>'Release Gates'!J47</x:f>
        <x:v>PASS</x:v>
      </x:c>
      <x:c r="F67" t="str">
        <x:f>IF('Release Gates'!C47="PLANNING","PASS",IF('Release Gates'!C47="PHYSICAL","OPEN","BLOCKED"))</x:f>
        <x:v>PASS</x:v>
      </x:c>
      <x:c r="G67" t="str">
        <x:v>equals</x:v>
      </x:c>
      <x:c r="H67" t="str">
        <x:f>IF(E67=F67,"PASS","FAIL")</x:f>
        <x:v>PASS</x:v>
      </x:c>
    </x:row>
    <x:row r="68">
      <x:c r="B68" t="str">
        <x:v>A-042</x:v>
      </x:c>
      <x:c r="C68" t="str">
        <x:v>GATE</x:v>
      </x:c>
      <x:c r="D68" t="str">
        <x:v>release ledger mirrors governing state</x:v>
      </x:c>
      <x:c r="E68" t="str">
        <x:f>'Release Gates'!J48</x:f>
        <x:v>PASS</x:v>
      </x:c>
      <x:c r="F68" t="str">
        <x:f>IF('Release Gates'!C48="PLANNING","PASS",IF('Release Gates'!C48="PHYSICAL","OPEN","BLOCKED"))</x:f>
        <x:v>PASS</x:v>
      </x:c>
      <x:c r="G68" t="str">
        <x:v>equals</x:v>
      </x:c>
      <x:c r="H68" t="str">
        <x:f>IF(E68=F68,"PASS","FAIL")</x:f>
        <x:v>PASS</x:v>
      </x:c>
    </x:row>
    <x:row r="69">
      <x:c r="B69" t="str">
        <x:v>A-043</x:v>
      </x:c>
      <x:c r="C69" t="str">
        <x:v>GATE</x:v>
      </x:c>
      <x:c r="D69" t="str">
        <x:v>release ledger mirrors governing state</x:v>
      </x:c>
      <x:c r="E69" t="str">
        <x:f>'Release Gates'!J49</x:f>
        <x:v>PASS</x:v>
      </x:c>
      <x:c r="F69" t="str">
        <x:f>IF('Release Gates'!C49="PLANNING","PASS",IF('Release Gates'!C49="PHYSICAL","OPEN","BLOCKED"))</x:f>
        <x:v>PASS</x:v>
      </x:c>
      <x:c r="G69" t="str">
        <x:v>equals</x:v>
      </x:c>
      <x:c r="H69" t="str">
        <x:f>IF(E69=F69,"PASS","FAIL")</x:f>
        <x:v>PASS</x:v>
      </x:c>
    </x:row>
    <x:row r="70">
      <x:c r="B70" t="str">
        <x:v>A-044</x:v>
      </x:c>
      <x:c r="C70" t="str">
        <x:v>GATE</x:v>
      </x:c>
      <x:c r="D70" t="str">
        <x:v>release ledger mirrors governing state</x:v>
      </x:c>
      <x:c r="E70" t="str">
        <x:f>'Release Gates'!J50</x:f>
        <x:v>PASS</x:v>
      </x:c>
      <x:c r="F70" t="str">
        <x:f>IF('Release Gates'!C50="PLANNING","PASS",IF('Release Gates'!C50="PHYSICAL","OPEN","BLOCKED"))</x:f>
        <x:v>PASS</x:v>
      </x:c>
      <x:c r="G70" t="str">
        <x:v>equals</x:v>
      </x:c>
      <x:c r="H70" t="str">
        <x:f>IF(E70=F70,"PASS","FAIL")</x:f>
        <x:v>PASS</x:v>
      </x:c>
    </x:row>
    <x:row r="71">
      <x:c r="B71" t="str">
        <x:v>A-045</x:v>
      </x:c>
      <x:c r="C71" t="str">
        <x:v>GATE</x:v>
      </x:c>
      <x:c r="D71" t="str">
        <x:v>release ledger mirrors governing state</x:v>
      </x:c>
      <x:c r="E71" t="str">
        <x:f>'Release Gates'!J51</x:f>
        <x:v>PASS</x:v>
      </x:c>
      <x:c r="F71" t="str">
        <x:f>IF('Release Gates'!C51="PLANNING","PASS",IF('Release Gates'!C51="PHYSICAL","OPEN","BLOCKED"))</x:f>
        <x:v>PASS</x:v>
      </x:c>
      <x:c r="G71" t="str">
        <x:v>equals</x:v>
      </x:c>
      <x:c r="H71" t="str">
        <x:f>IF(E71=F71,"PASS","FAIL")</x:f>
        <x:v>PASS</x:v>
      </x:c>
    </x:row>
    <x:row r="72">
      <x:c r="B72" t="str">
        <x:v>A-046</x:v>
      </x:c>
      <x:c r="C72" t="str">
        <x:v>GATE</x:v>
      </x:c>
      <x:c r="D72" t="str">
        <x:v>release ledger mirrors governing state</x:v>
      </x:c>
      <x:c r="E72" t="str">
        <x:f>'Release Gates'!J52</x:f>
        <x:v>PASS</x:v>
      </x:c>
      <x:c r="F72" t="str">
        <x:f>IF('Release Gates'!C52="PLANNING","PASS",IF('Release Gates'!C52="PHYSICAL","OPEN","BLOCKED"))</x:f>
        <x:v>PASS</x:v>
      </x:c>
      <x:c r="G72" t="str">
        <x:v>equals</x:v>
      </x:c>
      <x:c r="H72" t="str">
        <x:f>IF(E72=F72,"PASS","FAIL")</x:f>
        <x:v>PASS</x:v>
      </x:c>
    </x:row>
    <x:row r="73">
      <x:c r="B73" t="str">
        <x:v>A-047</x:v>
      </x:c>
      <x:c r="C73" t="str">
        <x:v>GATE</x:v>
      </x:c>
      <x:c r="D73" t="str">
        <x:v>release ledger mirrors governing state</x:v>
      </x:c>
      <x:c r="E73" t="str">
        <x:f>'Release Gates'!J53</x:f>
        <x:v>PASS</x:v>
      </x:c>
      <x:c r="F73" t="str">
        <x:f>IF('Release Gates'!C53="PLANNING","PASS",IF('Release Gates'!C53="PHYSICAL","OPEN","BLOCKED"))</x:f>
        <x:v>PASS</x:v>
      </x:c>
      <x:c r="G73" t="str">
        <x:v>equals</x:v>
      </x:c>
      <x:c r="H73" t="str">
        <x:f>IF(E73=F73,"PASS","FAIL")</x:f>
        <x:v>PASS</x:v>
      </x:c>
    </x:row>
    <x:row r="74">
      <x:c r="B74" t="str">
        <x:v>A-048</x:v>
      </x:c>
      <x:c r="C74" t="str">
        <x:v>GATE</x:v>
      </x:c>
      <x:c r="D74" t="str">
        <x:v>release ledger mirrors governing state</x:v>
      </x:c>
      <x:c r="E74" t="str">
        <x:f>'Release Gates'!J54</x:f>
        <x:v>PASS</x:v>
      </x:c>
      <x:c r="F74" t="str">
        <x:f>IF('Release Gates'!C54="PLANNING","PASS",IF('Release Gates'!C54="PHYSICAL","OPEN","BLOCKED"))</x:f>
        <x:v>PASS</x:v>
      </x:c>
      <x:c r="G74" t="str">
        <x:v>equals</x:v>
      </x:c>
      <x:c r="H74" t="str">
        <x:f>IF(E74=F74,"PASS","FAIL")</x:f>
        <x:v>PASS</x:v>
      </x:c>
    </x:row>
    <x:row r="75">
      <x:c r="B75" t="str">
        <x:v>A-049</x:v>
      </x:c>
      <x:c r="C75" t="str">
        <x:v>GATE</x:v>
      </x:c>
      <x:c r="D75" t="str">
        <x:v>release ledger mirrors governing state</x:v>
      </x:c>
      <x:c r="E75" t="str">
        <x:f>'Release Gates'!J55</x:f>
        <x:v>PASS</x:v>
      </x:c>
      <x:c r="F75" t="str">
        <x:f>IF('Release Gates'!C55="PLANNING","PASS",IF('Release Gates'!C55="PHYSICAL","OPEN","BLOCKED"))</x:f>
        <x:v>PASS</x:v>
      </x:c>
      <x:c r="G75" t="str">
        <x:v>equals</x:v>
      </x:c>
      <x:c r="H75" t="str">
        <x:f>IF(E75=F75,"PASS","FAIL")</x:f>
        <x:v>PASS</x:v>
      </x:c>
    </x:row>
    <x:row r="76">
      <x:c r="B76" t="str">
        <x:v>A-050</x:v>
      </x:c>
      <x:c r="C76" t="str">
        <x:v>GATE</x:v>
      </x:c>
      <x:c r="D76" t="str">
        <x:v>release ledger mirrors governing state</x:v>
      </x:c>
      <x:c r="E76" t="str">
        <x:f>'Release Gates'!J56</x:f>
        <x:v>PASS</x:v>
      </x:c>
      <x:c r="F76" t="str">
        <x:f>IF('Release Gates'!C56="PLANNING","PASS",IF('Release Gates'!C56="PHYSICAL","OPEN","BLOCKED"))</x:f>
        <x:v>PASS</x:v>
      </x:c>
      <x:c r="G76" t="str">
        <x:v>equals</x:v>
      </x:c>
      <x:c r="H76" t="str">
        <x:f>IF(E76=F76,"PASS","FAIL")</x:f>
        <x:v>PASS</x:v>
      </x:c>
    </x:row>
    <x:row r="77">
      <x:c r="B77" t="str">
        <x:v>A-051</x:v>
      </x:c>
      <x:c r="C77" t="str">
        <x:v>GATE</x:v>
      </x:c>
      <x:c r="D77" t="str">
        <x:v>release ledger mirrors governing state</x:v>
      </x:c>
      <x:c r="E77" t="str">
        <x:f>'Release Gates'!J57</x:f>
        <x:v>PASS</x:v>
      </x:c>
      <x:c r="F77" t="str">
        <x:f>IF('Release Gates'!C57="PLANNING","PASS",IF('Release Gates'!C57="PHYSICAL","OPEN","BLOCKED"))</x:f>
        <x:v>PASS</x:v>
      </x:c>
      <x:c r="G77" t="str">
        <x:v>equals</x:v>
      </x:c>
      <x:c r="H77" t="str">
        <x:f>IF(E77=F77,"PASS","FAIL")</x:f>
        <x:v>PASS</x:v>
      </x:c>
    </x:row>
    <x:row r="78">
      <x:c r="B78" t="str">
        <x:v>A-052</x:v>
      </x:c>
      <x:c r="C78" t="str">
        <x:v>GATE</x:v>
      </x:c>
      <x:c r="D78" t="str">
        <x:v>release ledger mirrors governing state</x:v>
      </x:c>
      <x:c r="E78" t="str">
        <x:f>'Release Gates'!J58</x:f>
        <x:v>PASS</x:v>
      </x:c>
      <x:c r="F78" t="str">
        <x:f>IF('Release Gates'!C58="PLANNING","PASS",IF('Release Gates'!C58="PHYSICAL","OPEN","BLOCKED"))</x:f>
        <x:v>PASS</x:v>
      </x:c>
      <x:c r="G78" t="str">
        <x:v>equals</x:v>
      </x:c>
      <x:c r="H78" t="str">
        <x:f>IF(E78=F78,"PASS","FAIL")</x:f>
        <x:v>PASS</x:v>
      </x:c>
    </x:row>
    <x:row r="79">
      <x:c r="B79" t="str">
        <x:v>A-053</x:v>
      </x:c>
      <x:c r="C79" t="str">
        <x:v>GATE</x:v>
      </x:c>
      <x:c r="D79" t="str">
        <x:v>release ledger mirrors governing state</x:v>
      </x:c>
      <x:c r="E79" t="str">
        <x:f>'Release Gates'!J59</x:f>
        <x:v>PASS</x:v>
      </x:c>
      <x:c r="F79" t="str">
        <x:f>IF('Release Gates'!C59="PLANNING","PASS",IF('Release Gates'!C59="PHYSICAL","OPEN","BLOCKED"))</x:f>
        <x:v>PASS</x:v>
      </x:c>
      <x:c r="G79" t="str">
        <x:v>equals</x:v>
      </x:c>
      <x:c r="H79" t="str">
        <x:f>IF(E79=F79,"PASS","FAIL")</x:f>
        <x:v>PASS</x:v>
      </x:c>
    </x:row>
    <x:row r="80">
      <x:c r="B80" t="str">
        <x:v>A-054</x:v>
      </x:c>
      <x:c r="C80" t="str">
        <x:v>GATE</x:v>
      </x:c>
      <x:c r="D80" t="str">
        <x:v>release ledger mirrors governing state</x:v>
      </x:c>
      <x:c r="E80" t="str">
        <x:f>'Release Gates'!J60</x:f>
        <x:v>PASS</x:v>
      </x:c>
      <x:c r="F80" t="str">
        <x:f>IF('Release Gates'!C60="PLANNING","PASS",IF('Release Gates'!C60="PHYSICAL","OPEN","BLOCKED"))</x:f>
        <x:v>PASS</x:v>
      </x:c>
      <x:c r="G80" t="str">
        <x:v>equals</x:v>
      </x:c>
      <x:c r="H80" t="str">
        <x:f>IF(E80=F80,"PASS","FAIL")</x:f>
        <x:v>PASS</x:v>
      </x:c>
    </x:row>
    <x:row r="81">
      <x:c r="B81" t="str">
        <x:v>A-055</x:v>
      </x:c>
      <x:c r="C81" t="str">
        <x:v>GATE</x:v>
      </x:c>
      <x:c r="D81" t="str">
        <x:v>release ledger mirrors governing state</x:v>
      </x:c>
      <x:c r="E81" t="str">
        <x:f>'Release Gates'!J61</x:f>
        <x:v>PASS</x:v>
      </x:c>
      <x:c r="F81" t="str">
        <x:f>IF('Release Gates'!C61="PLANNING","PASS",IF('Release Gates'!C61="PHYSICAL","OPEN","BLOCKED"))</x:f>
        <x:v>PASS</x:v>
      </x:c>
      <x:c r="G81" t="str">
        <x:v>equals</x:v>
      </x:c>
      <x:c r="H81" t="str">
        <x:f>IF(E81=F81,"PASS","FAIL")</x:f>
        <x:v>PASS</x:v>
      </x:c>
    </x:row>
    <x:row r="82">
      <x:c r="B82" t="str">
        <x:v>A-056</x:v>
      </x:c>
      <x:c r="C82" t="str">
        <x:v>GATE</x:v>
      </x:c>
      <x:c r="D82" t="str">
        <x:v>release ledger mirrors governing state</x:v>
      </x:c>
      <x:c r="E82" t="str">
        <x:f>'Release Gates'!J62</x:f>
        <x:v>PASS</x:v>
      </x:c>
      <x:c r="F82" t="str">
        <x:f>IF('Release Gates'!C62="PLANNING","PASS",IF('Release Gates'!C62="PHYSICAL","OPEN","BLOCKED"))</x:f>
        <x:v>PASS</x:v>
      </x:c>
      <x:c r="G82" t="str">
        <x:v>equals</x:v>
      </x:c>
      <x:c r="H82" t="str">
        <x:f>IF(E82=F82,"PASS","FAIL")</x:f>
        <x:v>PASS</x:v>
      </x:c>
    </x:row>
    <x:row r="83">
      <x:c r="B83" t="str">
        <x:v>A-057</x:v>
      </x:c>
      <x:c r="C83" t="str">
        <x:v>GATE</x:v>
      </x:c>
      <x:c r="D83" t="str">
        <x:v>release ledger mirrors governing state</x:v>
      </x:c>
      <x:c r="E83" t="str">
        <x:f>'Release Gates'!J63</x:f>
        <x:v>PASS</x:v>
      </x:c>
      <x:c r="F83" t="str">
        <x:f>IF('Release Gates'!C63="PLANNING","PASS",IF('Release Gates'!C63="PHYSICAL","OPEN","BLOCKED"))</x:f>
        <x:v>PASS</x:v>
      </x:c>
      <x:c r="G83" t="str">
        <x:v>equals</x:v>
      </x:c>
      <x:c r="H83" t="str">
        <x:f>IF(E83=F83,"PASS","FAIL")</x:f>
        <x:v>PASS</x:v>
      </x:c>
    </x:row>
    <x:row r="84">
      <x:c r="B84" t="str">
        <x:v>A-058</x:v>
      </x:c>
      <x:c r="C84" t="str">
        <x:v>GATE</x:v>
      </x:c>
      <x:c r="D84" t="str">
        <x:v>release ledger mirrors governing state</x:v>
      </x:c>
      <x:c r="E84" t="str">
        <x:f>'Release Gates'!J64</x:f>
        <x:v>PASS</x:v>
      </x:c>
      <x:c r="F84" t="str">
        <x:f>IF('Release Gates'!C64="PLANNING","PASS",IF('Release Gates'!C64="PHYSICAL","OPEN","BLOCKED"))</x:f>
        <x:v>PASS</x:v>
      </x:c>
      <x:c r="G84" t="str">
        <x:v>equals</x:v>
      </x:c>
      <x:c r="H84" t="str">
        <x:f>IF(E84=F84,"PASS","FAIL")</x:f>
        <x:v>PASS</x:v>
      </x:c>
    </x:row>
    <x:row r="85">
      <x:c r="B85" t="str">
        <x:v>A-059</x:v>
      </x:c>
      <x:c r="C85" t="str">
        <x:v>GATE</x:v>
      </x:c>
      <x:c r="D85" t="str">
        <x:v>release ledger mirrors governing state</x:v>
      </x:c>
      <x:c r="E85" t="str">
        <x:f>'Release Gates'!J65</x:f>
        <x:v>PASS</x:v>
      </x:c>
      <x:c r="F85" t="str">
        <x:f>IF('Release Gates'!C65="PLANNING","PASS",IF('Release Gates'!C65="PHYSICAL","OPEN","BLOCKED"))</x:f>
        <x:v>PASS</x:v>
      </x:c>
      <x:c r="G85" t="str">
        <x:v>equals</x:v>
      </x:c>
      <x:c r="H85" t="str">
        <x:f>IF(E85=F85,"PASS","FAIL")</x:f>
        <x:v>PASS</x:v>
      </x:c>
    </x:row>
    <x:row r="86">
      <x:c r="B86" t="str">
        <x:v>A-060</x:v>
      </x:c>
      <x:c r="C86" t="str">
        <x:v>GATE</x:v>
      </x:c>
      <x:c r="D86" t="str">
        <x:v>release ledger mirrors governing state</x:v>
      </x:c>
      <x:c r="E86" t="str">
        <x:f>'Release Gates'!J66</x:f>
        <x:v>PASS</x:v>
      </x:c>
      <x:c r="F86" t="str">
        <x:f>IF('Release Gates'!C66="PLANNING","PASS",IF('Release Gates'!C66="PHYSICAL","OPEN","BLOCKED"))</x:f>
        <x:v>PASS</x:v>
      </x:c>
      <x:c r="G86" t="str">
        <x:v>equals</x:v>
      </x:c>
      <x:c r="H86" t="str">
        <x:f>IF(E86=F86,"PASS","FAIL")</x:f>
        <x:v>PASS</x:v>
      </x:c>
    </x:row>
    <x:row r="87">
      <x:c r="B87" t="str">
        <x:v>A-061</x:v>
      </x:c>
      <x:c r="C87" t="str">
        <x:v>GATE</x:v>
      </x:c>
      <x:c r="D87" t="str">
        <x:v>release ledger mirrors governing state</x:v>
      </x:c>
      <x:c r="E87" t="str">
        <x:f>'Release Gates'!J67</x:f>
        <x:v>PASS</x:v>
      </x:c>
      <x:c r="F87" t="str">
        <x:f>IF('Release Gates'!C67="PLANNING","PASS",IF('Release Gates'!C67="PHYSICAL","OPEN","BLOCKED"))</x:f>
        <x:v>PASS</x:v>
      </x:c>
      <x:c r="G87" t="str">
        <x:v>equals</x:v>
      </x:c>
      <x:c r="H87" t="str">
        <x:f>IF(E87=F87,"PASS","FAIL")</x:f>
        <x:v>PASS</x:v>
      </x:c>
    </x:row>
    <x:row r="88">
      <x:c r="B88" t="str">
        <x:v>A-062</x:v>
      </x:c>
      <x:c r="C88" t="str">
        <x:v>GATE</x:v>
      </x:c>
      <x:c r="D88" t="str">
        <x:v>release ledger mirrors governing state</x:v>
      </x:c>
      <x:c r="E88" t="str">
        <x:f>'Release Gates'!J68</x:f>
        <x:v>PASS</x:v>
      </x:c>
      <x:c r="F88" t="str">
        <x:f>IF('Release Gates'!C68="PLANNING","PASS",IF('Release Gates'!C68="PHYSICAL","OPEN","BLOCKED"))</x:f>
        <x:v>PASS</x:v>
      </x:c>
      <x:c r="G88" t="str">
        <x:v>equals</x:v>
      </x:c>
      <x:c r="H88" t="str">
        <x:f>IF(E88=F88,"PASS","FAIL")</x:f>
        <x:v>PASS</x:v>
      </x:c>
    </x:row>
    <x:row r="89">
      <x:c r="B89" t="str">
        <x:v>A-063</x:v>
      </x:c>
      <x:c r="C89" t="str">
        <x:v>GATE</x:v>
      </x:c>
      <x:c r="D89" t="str">
        <x:v>release ledger mirrors governing state</x:v>
      </x:c>
      <x:c r="E89" t="str">
        <x:f>'Release Gates'!J69</x:f>
        <x:v>PASS</x:v>
      </x:c>
      <x:c r="F89" t="str">
        <x:f>IF('Release Gates'!C69="PLANNING","PASS",IF('Release Gates'!C69="PHYSICAL","OPEN","BLOCKED"))</x:f>
        <x:v>PASS</x:v>
      </x:c>
      <x:c r="G89" t="str">
        <x:v>equals</x:v>
      </x:c>
      <x:c r="H89" t="str">
        <x:f>IF(E89=F89,"PASS","FAIL")</x:f>
        <x:v>PASS</x:v>
      </x:c>
    </x:row>
    <x:row r="90">
      <x:c r="B90" t="str">
        <x:v>A-064</x:v>
      </x:c>
      <x:c r="C90" t="str">
        <x:v>GATE</x:v>
      </x:c>
      <x:c r="D90" t="str">
        <x:v>release ledger mirrors governing state</x:v>
      </x:c>
      <x:c r="E90" t="str">
        <x:f>'Release Gates'!J70</x:f>
        <x:v>PASS</x:v>
      </x:c>
      <x:c r="F90" t="str">
        <x:f>IF('Release Gates'!C70="PLANNING","PASS",IF('Release Gates'!C70="PHYSICAL","OPEN","BLOCKED"))</x:f>
        <x:v>PASS</x:v>
      </x:c>
      <x:c r="G90" t="str">
        <x:v>equals</x:v>
      </x:c>
      <x:c r="H90" t="str">
        <x:f>IF(E90=F90,"PASS","FAIL")</x:f>
        <x:v>PASS</x:v>
      </x:c>
    </x:row>
    <x:row r="91">
      <x:c r="B91" t="str">
        <x:v>A-065</x:v>
      </x:c>
      <x:c r="C91" t="str">
        <x:v>GATE</x:v>
      </x:c>
      <x:c r="D91" t="str">
        <x:v>release ledger mirrors governing state</x:v>
      </x:c>
      <x:c r="E91" t="str">
        <x:f>'Release Gates'!J71</x:f>
        <x:v>PASS</x:v>
      </x:c>
      <x:c r="F91" t="str">
        <x:f>IF('Release Gates'!C71="PLANNING","PASS",IF('Release Gates'!C71="PHYSICAL","OPEN","BLOCKED"))</x:f>
        <x:v>PASS</x:v>
      </x:c>
      <x:c r="G91" t="str">
        <x:v>equals</x:v>
      </x:c>
      <x:c r="H91" t="str">
        <x:f>IF(E91=F91,"PASS","FAIL")</x:f>
        <x:v>PASS</x:v>
      </x:c>
    </x:row>
    <x:row r="92">
      <x:c r="B92" t="str">
        <x:v>A-066</x:v>
      </x:c>
      <x:c r="C92" t="str">
        <x:v>GATE</x:v>
      </x:c>
      <x:c r="D92" t="str">
        <x:v>release ledger mirrors governing state</x:v>
      </x:c>
      <x:c r="E92" t="str">
        <x:f>'Release Gates'!J72</x:f>
        <x:v>PASS</x:v>
      </x:c>
      <x:c r="F92" t="str">
        <x:f>IF('Release Gates'!C72="PLANNING","PASS",IF('Release Gates'!C72="PHYSICAL","OPEN","BLOCKED"))</x:f>
        <x:v>PASS</x:v>
      </x:c>
      <x:c r="G92" t="str">
        <x:v>equals</x:v>
      </x:c>
      <x:c r="H92" t="str">
        <x:f>IF(E92=F92,"PASS","FAIL")</x:f>
        <x:v>PASS</x:v>
      </x:c>
    </x:row>
    <x:row r="93">
      <x:c r="B93" t="str">
        <x:v>A-067</x:v>
      </x:c>
      <x:c r="C93" t="str">
        <x:v>GATE</x:v>
      </x:c>
      <x:c r="D93" t="str">
        <x:v>release ledger mirrors governing state</x:v>
      </x:c>
      <x:c r="E93" t="str">
        <x:f>'Release Gates'!J73</x:f>
        <x:v>PASS</x:v>
      </x:c>
      <x:c r="F93" t="str">
        <x:f>IF('Release Gates'!C73="PLANNING","PASS",IF('Release Gates'!C73="PHYSICAL","OPEN","BLOCKED"))</x:f>
        <x:v>PASS</x:v>
      </x:c>
      <x:c r="G93" t="str">
        <x:v>equals</x:v>
      </x:c>
      <x:c r="H93" t="str">
        <x:f>IF(E93=F93,"PASS","FAIL")</x:f>
        <x:v>PASS</x:v>
      </x:c>
    </x:row>
    <x:row r="94">
      <x:c r="B94" t="str">
        <x:v>A-068</x:v>
      </x:c>
      <x:c r="C94" t="str">
        <x:v>GATE</x:v>
      </x:c>
      <x:c r="D94" t="str">
        <x:v>release ledger mirrors governing state</x:v>
      </x:c>
      <x:c r="E94" t="str">
        <x:f>'Release Gates'!J74</x:f>
        <x:v>PASS</x:v>
      </x:c>
      <x:c r="F94" t="str">
        <x:f>IF('Release Gates'!C74="PLANNING","PASS",IF('Release Gates'!C74="PHYSICAL","OPEN","BLOCKED"))</x:f>
        <x:v>PASS</x:v>
      </x:c>
      <x:c r="G94" t="str">
        <x:v>equals</x:v>
      </x:c>
      <x:c r="H94" t="str">
        <x:f>IF(E94=F94,"PASS","FAIL")</x:f>
        <x:v>PASS</x:v>
      </x:c>
    </x:row>
    <x:row r="95">
      <x:c r="B95" t="str">
        <x:v>A-069</x:v>
      </x:c>
      <x:c r="C95" t="str">
        <x:v>GATE</x:v>
      </x:c>
      <x:c r="D95" t="str">
        <x:v>release ledger mirrors governing state</x:v>
      </x:c>
      <x:c r="E95" t="str">
        <x:f>'Release Gates'!J75</x:f>
        <x:v>PASS</x:v>
      </x:c>
      <x:c r="F95" t="str">
        <x:f>IF('Release Gates'!C75="PLANNING","PASS",IF('Release Gates'!C75="PHYSICAL","OPEN","BLOCKED"))</x:f>
        <x:v>PASS</x:v>
      </x:c>
      <x:c r="G95" t="str">
        <x:v>equals</x:v>
      </x:c>
      <x:c r="H95" t="str">
        <x:f>IF(E95=F95,"PASS","FAIL")</x:f>
        <x:v>PASS</x:v>
      </x:c>
    </x:row>
    <x:row r="96">
      <x:c r="B96" t="str">
        <x:v>A-070</x:v>
      </x:c>
      <x:c r="C96" t="str">
        <x:v>GATE</x:v>
      </x:c>
      <x:c r="D96" t="str">
        <x:v>release ledger mirrors governing state</x:v>
      </x:c>
      <x:c r="E96" t="str">
        <x:f>'Release Gates'!J76</x:f>
        <x:v>PASS</x:v>
      </x:c>
      <x:c r="F96" t="str">
        <x:f>IF('Release Gates'!C76="PLANNING","PASS",IF('Release Gates'!C76="PHYSICAL","OPEN","BLOCKED"))</x:f>
        <x:v>PASS</x:v>
      </x:c>
      <x:c r="G96" t="str">
        <x:v>equals</x:v>
      </x:c>
      <x:c r="H96" t="str">
        <x:f>IF(E96=F96,"PASS","FAIL")</x:f>
        <x:v>PASS</x:v>
      </x:c>
    </x:row>
    <x:row r="97">
      <x:c r="B97" t="str">
        <x:v>A-071</x:v>
      </x:c>
      <x:c r="C97" t="str">
        <x:v>GATE</x:v>
      </x:c>
      <x:c r="D97" t="str">
        <x:v>release ledger mirrors governing state</x:v>
      </x:c>
      <x:c r="E97" t="str">
        <x:f>'Release Gates'!J77</x:f>
        <x:v>PASS</x:v>
      </x:c>
      <x:c r="F97" t="str">
        <x:f>IF('Release Gates'!C77="PLANNING","PASS",IF('Release Gates'!C77="PHYSICAL","OPEN","BLOCKED"))</x:f>
        <x:v>PASS</x:v>
      </x:c>
      <x:c r="G97" t="str">
        <x:v>equals</x:v>
      </x:c>
      <x:c r="H97" t="str">
        <x:f>IF(E97=F97,"PASS","FAIL")</x:f>
        <x:v>PASS</x:v>
      </x:c>
    </x:row>
    <x:row r="98">
      <x:c r="B98" t="str">
        <x:v>A-072</x:v>
      </x:c>
      <x:c r="C98" t="str">
        <x:v>GATE</x:v>
      </x:c>
      <x:c r="D98" t="str">
        <x:v>release ledger mirrors governing state</x:v>
      </x:c>
      <x:c r="E98" t="str">
        <x:f>'Release Gates'!J78</x:f>
        <x:v>PASS</x:v>
      </x:c>
      <x:c r="F98" t="str">
        <x:f>IF('Release Gates'!C78="PLANNING","PASS",IF('Release Gates'!C78="PHYSICAL","OPEN","BLOCKED"))</x:f>
        <x:v>PASS</x:v>
      </x:c>
      <x:c r="G98" t="str">
        <x:v>equals</x:v>
      </x:c>
      <x:c r="H98" t="str">
        <x:f>IF(E98=F98,"PASS","FAIL")</x:f>
        <x:v>PASS</x:v>
      </x:c>
    </x:row>
    <x:row r="99">
      <x:c r="B99" t="str">
        <x:v>A-073</x:v>
      </x:c>
      <x:c r="C99" t="str">
        <x:v>GATE</x:v>
      </x:c>
      <x:c r="D99" t="str">
        <x:v>release ledger mirrors governing state</x:v>
      </x:c>
      <x:c r="E99" t="str">
        <x:f>'Release Gates'!J79</x:f>
        <x:v>PASS</x:v>
      </x:c>
      <x:c r="F99" t="str">
        <x:f>IF('Release Gates'!C79="PLANNING","PASS",IF('Release Gates'!C79="PHYSICAL","OPEN","BLOCKED"))</x:f>
        <x:v>PASS</x:v>
      </x:c>
      <x:c r="G99" t="str">
        <x:v>equals</x:v>
      </x:c>
      <x:c r="H99" t="str">
        <x:f>IF(E99=F99,"PASS","FAIL")</x:f>
        <x:v>PASS</x:v>
      </x:c>
    </x:row>
    <x:row r="100">
      <x:c r="B100" t="str">
        <x:v>A-074</x:v>
      </x:c>
      <x:c r="C100" t="str">
        <x:v>GATE</x:v>
      </x:c>
      <x:c r="D100" t="str">
        <x:v>release ledger mirrors governing state</x:v>
      </x:c>
      <x:c r="E100" t="str">
        <x:f>'Release Gates'!J80</x:f>
        <x:v>PASS</x:v>
      </x:c>
      <x:c r="F100" t="str">
        <x:f>IF('Release Gates'!C80="PLANNING","PASS",IF('Release Gates'!C80="PHYSICAL","OPEN","BLOCKED"))</x:f>
        <x:v>PASS</x:v>
      </x:c>
      <x:c r="G100" t="str">
        <x:v>equals</x:v>
      </x:c>
      <x:c r="H100" t="str">
        <x:f>IF(E100=F100,"PASS","FAIL")</x:f>
        <x:v>PASS</x:v>
      </x:c>
    </x:row>
    <x:row r="101">
      <x:c r="B101" t="str">
        <x:v>A-075</x:v>
      </x:c>
      <x:c r="C101" t="str">
        <x:v>GATE</x:v>
      </x:c>
      <x:c r="D101" t="str">
        <x:v>release ledger mirrors governing state</x:v>
      </x:c>
      <x:c r="E101" t="str">
        <x:f>'Release Gates'!J81</x:f>
        <x:v>PASS</x:v>
      </x:c>
      <x:c r="F101" t="str">
        <x:f>IF('Release Gates'!C81="PLANNING","PASS",IF('Release Gates'!C81="PHYSICAL","OPEN","BLOCKED"))</x:f>
        <x:v>PASS</x:v>
      </x:c>
      <x:c r="G101" t="str">
        <x:v>equals</x:v>
      </x:c>
      <x:c r="H101" t="str">
        <x:f>IF(E101=F101,"PASS","FAIL")</x:f>
        <x:v>PASS</x:v>
      </x:c>
    </x:row>
    <x:row r="102">
      <x:c r="B102" t="str">
        <x:v>A-076</x:v>
      </x:c>
      <x:c r="C102" t="str">
        <x:v>GATE</x:v>
      </x:c>
      <x:c r="D102" t="str">
        <x:v>release ledger mirrors governing state</x:v>
      </x:c>
      <x:c r="E102" t="str">
        <x:f>'Release Gates'!J82</x:f>
        <x:v>PASS</x:v>
      </x:c>
      <x:c r="F102" t="str">
        <x:f>IF('Release Gates'!C82="PLANNING","PASS",IF('Release Gates'!C82="PHYSICAL","OPEN","BLOCKED"))</x:f>
        <x:v>PASS</x:v>
      </x:c>
      <x:c r="G102" t="str">
        <x:v>equals</x:v>
      </x:c>
      <x:c r="H102" t="str">
        <x:f>IF(E102=F102,"PASS","FAIL")</x:f>
        <x:v>PASS</x:v>
      </x:c>
    </x:row>
    <x:row r="103">
      <x:c r="B103" t="str">
        <x:v>A-077</x:v>
      </x:c>
      <x:c r="C103" t="str">
        <x:v>GATE</x:v>
      </x:c>
      <x:c r="D103" t="str">
        <x:v>release ledger mirrors governing state</x:v>
      </x:c>
      <x:c r="E103" t="str">
        <x:f>'Release Gates'!J83</x:f>
        <x:v>PASS</x:v>
      </x:c>
      <x:c r="F103" t="str">
        <x:f>IF('Release Gates'!C83="PLANNING","PASS",IF('Release Gates'!C83="PHYSICAL","OPEN","BLOCKED"))</x:f>
        <x:v>PASS</x:v>
      </x:c>
      <x:c r="G103" t="str">
        <x:v>equals</x:v>
      </x:c>
      <x:c r="H103" t="str">
        <x:f>IF(E103=F103,"PASS","FAIL")</x:f>
        <x:v>PASS</x:v>
      </x:c>
    </x:row>
    <x:row r="104">
      <x:c r="B104" t="str">
        <x:v>A-078</x:v>
      </x:c>
      <x:c r="C104" t="str">
        <x:v>GATE</x:v>
      </x:c>
      <x:c r="D104" t="str">
        <x:v>release ledger mirrors governing state</x:v>
      </x:c>
      <x:c r="E104" t="str">
        <x:f>'Release Gates'!J84</x:f>
        <x:v>PASS</x:v>
      </x:c>
      <x:c r="F104" t="str">
        <x:f>IF('Release Gates'!C84="PLANNING","PASS",IF('Release Gates'!C84="PHYSICAL","OPEN","BLOCKED"))</x:f>
        <x:v>PASS</x:v>
      </x:c>
      <x:c r="G104" t="str">
        <x:v>equals</x:v>
      </x:c>
      <x:c r="H104" t="str">
        <x:f>IF(E104=F104,"PASS","FAIL")</x:f>
        <x:v>PASS</x:v>
      </x:c>
    </x:row>
    <x:row r="105">
      <x:c r="B105" t="str">
        <x:v>A-079</x:v>
      </x:c>
      <x:c r="C105" t="str">
        <x:v>GATE</x:v>
      </x:c>
      <x:c r="D105" t="str">
        <x:v>release ledger mirrors governing state</x:v>
      </x:c>
      <x:c r="E105" t="str">
        <x:f>'Release Gates'!J85</x:f>
        <x:v>PASS</x:v>
      </x:c>
      <x:c r="F105" t="str">
        <x:f>IF('Release Gates'!C85="PLANNING","PASS",IF('Release Gates'!C85="PHYSICAL","OPEN","BLOCKED"))</x:f>
        <x:v>PASS</x:v>
      </x:c>
      <x:c r="G105" t="str">
        <x:v>equals</x:v>
      </x:c>
      <x:c r="H105" t="str">
        <x:f>IF(E105=F105,"PASS","FAIL")</x:f>
        <x:v>PASS</x:v>
      </x:c>
    </x:row>
    <x:row r="106">
      <x:c r="B106" t="str">
        <x:v>A-080</x:v>
      </x:c>
      <x:c r="C106" t="str">
        <x:v>GATE</x:v>
      </x:c>
      <x:c r="D106" t="str">
        <x:v>release ledger mirrors governing state</x:v>
      </x:c>
      <x:c r="E106" t="str">
        <x:f>'Release Gates'!J86</x:f>
        <x:v>PASS</x:v>
      </x:c>
      <x:c r="F106" t="str">
        <x:f>IF('Release Gates'!C86="PLANNING","PASS",IF('Release Gates'!C86="PHYSICAL","OPEN","BLOCKED"))</x:f>
        <x:v>PASS</x:v>
      </x:c>
      <x:c r="G106" t="str">
        <x:v>equals</x:v>
      </x:c>
      <x:c r="H106" t="str">
        <x:f>IF(E106=F106,"PASS","FAIL")</x:f>
        <x:v>PASS</x:v>
      </x:c>
    </x:row>
    <x:row r="107">
      <x:c r="B107" t="str">
        <x:v>A-081</x:v>
      </x:c>
      <x:c r="C107" t="str">
        <x:v>GATE</x:v>
      </x:c>
      <x:c r="D107" t="str">
        <x:v>release ledger mirrors governing state</x:v>
      </x:c>
      <x:c r="E107" t="str">
        <x:f>'Release Gates'!J87</x:f>
        <x:v>PASS</x:v>
      </x:c>
      <x:c r="F107" t="str">
        <x:f>IF('Release Gates'!C87="PLANNING","PASS",IF('Release Gates'!C87="PHYSICAL","OPEN","BLOCKED"))</x:f>
        <x:v>PASS</x:v>
      </x:c>
      <x:c r="G107" t="str">
        <x:v>equals</x:v>
      </x:c>
      <x:c r="H107" t="str">
        <x:f>IF(E107=F107,"PASS","FAIL")</x:f>
        <x:v>PASS</x:v>
      </x:c>
    </x:row>
    <x:row r="108">
      <x:c r="B108" t="str">
        <x:v>A-082</x:v>
      </x:c>
      <x:c r="C108" t="str">
        <x:v>GATE</x:v>
      </x:c>
      <x:c r="D108" t="str">
        <x:v>release ledger mirrors governing state</x:v>
      </x:c>
      <x:c r="E108" t="str">
        <x:f>'Release Gates'!J88</x:f>
        <x:v>PASS</x:v>
      </x:c>
      <x:c r="F108" t="str">
        <x:f>IF('Release Gates'!C88="PLANNING","PASS",IF('Release Gates'!C88="PHYSICAL","OPEN","BLOCKED"))</x:f>
        <x:v>PASS</x:v>
      </x:c>
      <x:c r="G108" t="str">
        <x:v>equals</x:v>
      </x:c>
      <x:c r="H108" t="str">
        <x:f>IF(E108=F108,"PASS","FAIL")</x:f>
        <x:v>PASS</x:v>
      </x:c>
    </x:row>
    <x:row r="109">
      <x:c r="B109" t="str">
        <x:v>A-083</x:v>
      </x:c>
      <x:c r="C109" t="str">
        <x:v>GATE</x:v>
      </x:c>
      <x:c r="D109" t="str">
        <x:v>release ledger mirrors governing state</x:v>
      </x:c>
      <x:c r="E109" t="str">
        <x:f>'Release Gates'!J89</x:f>
        <x:v>PASS</x:v>
      </x:c>
      <x:c r="F109" t="str">
        <x:f>IF('Release Gates'!C89="PLANNING","PASS",IF('Release Gates'!C89="PHYSICAL","OPEN","BLOCKED"))</x:f>
        <x:v>PASS</x:v>
      </x:c>
      <x:c r="G109" t="str">
        <x:v>equals</x:v>
      </x:c>
      <x:c r="H109" t="str">
        <x:f>IF(E109=F109,"PASS","FAIL")</x:f>
        <x:v>PASS</x:v>
      </x:c>
    </x:row>
    <x:row r="110">
      <x:c r="B110" t="str">
        <x:v>A-084</x:v>
      </x:c>
      <x:c r="C110" t="str">
        <x:v>GATE</x:v>
      </x:c>
      <x:c r="D110" t="str">
        <x:v>release ledger mirrors governing state</x:v>
      </x:c>
      <x:c r="E110" t="str">
        <x:f>'Release Gates'!J90</x:f>
        <x:v>PASS</x:v>
      </x:c>
      <x:c r="F110" t="str">
        <x:f>IF('Release Gates'!C90="PLANNING","PASS",IF('Release Gates'!C90="PHYSICAL","OPEN","BLOCKED"))</x:f>
        <x:v>PASS</x:v>
      </x:c>
      <x:c r="G110" t="str">
        <x:v>equals</x:v>
      </x:c>
      <x:c r="H110" t="str">
        <x:f>IF(E110=F110,"PASS","FAIL")</x:f>
        <x:v>PASS</x:v>
      </x:c>
    </x:row>
    <x:row r="111">
      <x:c r="B111" t="str">
        <x:v>A-085</x:v>
      </x:c>
      <x:c r="C111" t="str">
        <x:v>GATE</x:v>
      </x:c>
      <x:c r="D111" t="str">
        <x:v>release ledger mirrors governing state</x:v>
      </x:c>
      <x:c r="E111" t="str">
        <x:f>'Release Gates'!J91</x:f>
        <x:v>PASS</x:v>
      </x:c>
      <x:c r="F111" t="str">
        <x:f>IF('Release Gates'!C91="PLANNING","PASS",IF('Release Gates'!C91="PHYSICAL","OPEN","BLOCKED"))</x:f>
        <x:v>PASS</x:v>
      </x:c>
      <x:c r="G111" t="str">
        <x:v>equals</x:v>
      </x:c>
      <x:c r="H111" t="str">
        <x:f>IF(E111=F111,"PASS","FAIL")</x:f>
        <x:v>PASS</x:v>
      </x:c>
    </x:row>
    <x:row r="112">
      <x:c r="B112" t="str">
        <x:v>A-086</x:v>
      </x:c>
      <x:c r="C112" t="str">
        <x:v>GATE</x:v>
      </x:c>
      <x:c r="D112" t="str">
        <x:v>release ledger mirrors governing state</x:v>
      </x:c>
      <x:c r="E112" t="str">
        <x:f>'Release Gates'!J92</x:f>
        <x:v>PASS</x:v>
      </x:c>
      <x:c r="F112" t="str">
        <x:f>IF('Release Gates'!C92="PLANNING","PASS",IF('Release Gates'!C92="PHYSICAL","OPEN","BLOCKED"))</x:f>
        <x:v>PASS</x:v>
      </x:c>
      <x:c r="G112" t="str">
        <x:v>equals</x:v>
      </x:c>
      <x:c r="H112" t="str">
        <x:f>IF(E112=F112,"PASS","FAIL")</x:f>
        <x:v>PASS</x:v>
      </x:c>
    </x:row>
    <x:row r="113">
      <x:c r="B113" t="str">
        <x:v>A-087</x:v>
      </x:c>
      <x:c r="C113" t="str">
        <x:v>GATE</x:v>
      </x:c>
      <x:c r="D113" t="str">
        <x:v>release ledger mirrors governing state</x:v>
      </x:c>
      <x:c r="E113" t="str">
        <x:f>'Release Gates'!J93</x:f>
        <x:v>PASS</x:v>
      </x:c>
      <x:c r="F113" t="str">
        <x:f>IF('Release Gates'!C93="PLANNING","PASS",IF('Release Gates'!C93="PHYSICAL","OPEN","BLOCKED"))</x:f>
        <x:v>PASS</x:v>
      </x:c>
      <x:c r="G113" t="str">
        <x:v>equals</x:v>
      </x:c>
      <x:c r="H113" t="str">
        <x:f>IF(E113=F113,"PASS","FAIL")</x:f>
        <x:v>PASS</x:v>
      </x:c>
    </x:row>
    <x:row r="114">
      <x:c r="B114" t="str">
        <x:v>A-088</x:v>
      </x:c>
      <x:c r="C114" t="str">
        <x:v>GATE</x:v>
      </x:c>
      <x:c r="D114" t="str">
        <x:v>release ledger mirrors governing state</x:v>
      </x:c>
      <x:c r="E114" t="str">
        <x:f>'Release Gates'!J94</x:f>
        <x:v>PASS</x:v>
      </x:c>
      <x:c r="F114" t="str">
        <x:f>IF('Release Gates'!C94="PLANNING","PASS",IF('Release Gates'!C94="PHYSICAL","OPEN","BLOCKED"))</x:f>
        <x:v>PASS</x:v>
      </x:c>
      <x:c r="G114" t="str">
        <x:v>equals</x:v>
      </x:c>
      <x:c r="H114" t="str">
        <x:f>IF(E114=F114,"PASS","FAIL")</x:f>
        <x:v>PASS</x:v>
      </x:c>
    </x:row>
    <x:row r="115">
      <x:c r="B115" t="str">
        <x:v>A-089</x:v>
      </x:c>
      <x:c r="C115" t="str">
        <x:v>GATE</x:v>
      </x:c>
      <x:c r="D115" t="str">
        <x:v>release ledger mirrors governing state</x:v>
      </x:c>
      <x:c r="E115" t="str">
        <x:f>'Release Gates'!J95</x:f>
        <x:v>PASS</x:v>
      </x:c>
      <x:c r="F115" t="str">
        <x:f>IF('Release Gates'!C95="PLANNING","PASS",IF('Release Gates'!C95="PHYSICAL","OPEN","BLOCKED"))</x:f>
        <x:v>PASS</x:v>
      </x:c>
      <x:c r="G115" t="str">
        <x:v>equals</x:v>
      </x:c>
      <x:c r="H115" t="str">
        <x:f>IF(E115=F115,"PASS","FAIL")</x:f>
        <x:v>PASS</x:v>
      </x:c>
    </x:row>
    <x:row r="116">
      <x:c r="B116" t="str">
        <x:v>A-090</x:v>
      </x:c>
      <x:c r="C116" t="str">
        <x:v>GATE</x:v>
      </x:c>
      <x:c r="D116" t="str">
        <x:v>release ledger mirrors governing state</x:v>
      </x:c>
      <x:c r="E116" t="str">
        <x:f>'Release Gates'!J96</x:f>
        <x:v>PASS</x:v>
      </x:c>
      <x:c r="F116" t="str">
        <x:f>IF('Release Gates'!C96="PLANNING","PASS",IF('Release Gates'!C96="PHYSICAL","OPEN","BLOCKED"))</x:f>
        <x:v>PASS</x:v>
      </x:c>
      <x:c r="G116" t="str">
        <x:v>equals</x:v>
      </x:c>
      <x:c r="H116" t="str">
        <x:f>IF(E116=F116,"PASS","FAIL")</x:f>
        <x:v>PASS</x:v>
      </x:c>
    </x:row>
    <x:row r="117">
      <x:c r="B117" t="str">
        <x:v>A-091</x:v>
      </x:c>
      <x:c r="C117" t="str">
        <x:v>GATE</x:v>
      </x:c>
      <x:c r="D117" t="str">
        <x:v>release ledger mirrors governing state</x:v>
      </x:c>
      <x:c r="E117" t="str">
        <x:f>'Release Gates'!J97</x:f>
        <x:v>PASS</x:v>
      </x:c>
      <x:c r="F117" t="str">
        <x:f>IF('Release Gates'!C97="PLANNING","PASS",IF('Release Gates'!C97="PHYSICAL","OPEN","BLOCKED"))</x:f>
        <x:v>PASS</x:v>
      </x:c>
      <x:c r="G117" t="str">
        <x:v>equals</x:v>
      </x:c>
      <x:c r="H117" t="str">
        <x:f>IF(E117=F117,"PASS","FAIL")</x:f>
        <x:v>PASS</x:v>
      </x:c>
    </x:row>
    <x:row r="118">
      <x:c r="B118" t="str">
        <x:v>A-092</x:v>
      </x:c>
      <x:c r="C118" t="str">
        <x:v>GATE</x:v>
      </x:c>
      <x:c r="D118" t="str">
        <x:v>release ledger mirrors governing state</x:v>
      </x:c>
      <x:c r="E118" t="str">
        <x:f>'Release Gates'!J98</x:f>
        <x:v>PASS</x:v>
      </x:c>
      <x:c r="F118" t="str">
        <x:f>IF('Release Gates'!C98="PLANNING","PASS",IF('Release Gates'!C98="PHYSICAL","OPEN","BLOCKED"))</x:f>
        <x:v>PASS</x:v>
      </x:c>
      <x:c r="G118" t="str">
        <x:v>equals</x:v>
      </x:c>
      <x:c r="H118" t="str">
        <x:f>IF(E118=F118,"PASS","FAIL")</x:f>
        <x:v>PASS</x:v>
      </x:c>
    </x:row>
    <x:row r="119">
      <x:c r="B119" t="str">
        <x:v>A-093</x:v>
      </x:c>
      <x:c r="C119" t="str">
        <x:v>GATE</x:v>
      </x:c>
      <x:c r="D119" t="str">
        <x:v>release ledger mirrors governing state</x:v>
      </x:c>
      <x:c r="E119" t="str">
        <x:f>'Release Gates'!J99</x:f>
        <x:v>PASS</x:v>
      </x:c>
      <x:c r="F119" t="str">
        <x:f>IF('Release Gates'!C99="PLANNING","PASS",IF('Release Gates'!C99="PHYSICAL","OPEN","BLOCKED"))</x:f>
        <x:v>PASS</x:v>
      </x:c>
      <x:c r="G119" t="str">
        <x:v>equals</x:v>
      </x:c>
      <x:c r="H119" t="str">
        <x:f>IF(E119=F119,"PASS","FAIL")</x:f>
        <x:v>PASS</x:v>
      </x:c>
    </x:row>
    <x:row r="120">
      <x:c r="B120" t="str">
        <x:v>A-094</x:v>
      </x:c>
      <x:c r="C120" t="str">
        <x:v>GATE</x:v>
      </x:c>
      <x:c r="D120" t="str">
        <x:v>release ledger mirrors governing state</x:v>
      </x:c>
      <x:c r="E120" t="str">
        <x:f>'Release Gates'!J100</x:f>
        <x:v>PASS</x:v>
      </x:c>
      <x:c r="F120" t="str">
        <x:f>IF('Release Gates'!C100="PLANNING","PASS",IF('Release Gates'!C100="PHYSICAL","OPEN","BLOCKED"))</x:f>
        <x:v>PASS</x:v>
      </x:c>
      <x:c r="G120" t="str">
        <x:v>equals</x:v>
      </x:c>
      <x:c r="H120" t="str">
        <x:f>IF(E120=F120,"PASS","FAIL")</x:f>
        <x:v>PASS</x:v>
      </x:c>
    </x:row>
    <x:row r="121">
      <x:c r="B121" t="str">
        <x:v>A-095</x:v>
      </x:c>
      <x:c r="C121" t="str">
        <x:v>GATE</x:v>
      </x:c>
      <x:c r="D121" t="str">
        <x:v>release ledger mirrors governing state</x:v>
      </x:c>
      <x:c r="E121" t="str">
        <x:f>'Release Gates'!J101</x:f>
        <x:v>PASS</x:v>
      </x:c>
      <x:c r="F121" t="str">
        <x:f>IF('Release Gates'!C101="PLANNING","PASS",IF('Release Gates'!C101="PHYSICAL","OPEN","BLOCKED"))</x:f>
        <x:v>PASS</x:v>
      </x:c>
      <x:c r="G121" t="str">
        <x:v>equals</x:v>
      </x:c>
      <x:c r="H121" t="str">
        <x:f>IF(E121=F121,"PASS","FAIL")</x:f>
        <x:v>PASS</x:v>
      </x:c>
    </x:row>
    <x:row r="122">
      <x:c r="B122" t="str">
        <x:v>A-096</x:v>
      </x:c>
      <x:c r="C122" t="str">
        <x:v>GATE</x:v>
      </x:c>
      <x:c r="D122" t="str">
        <x:v>release ledger mirrors governing state</x:v>
      </x:c>
      <x:c r="E122" t="str">
        <x:f>'Release Gates'!J102</x:f>
        <x:v>PASS</x:v>
      </x:c>
      <x:c r="F122" t="str">
        <x:f>IF('Release Gates'!C102="PLANNING","PASS",IF('Release Gates'!C102="PHYSICAL","OPEN","BLOCKED"))</x:f>
        <x:v>PASS</x:v>
      </x:c>
      <x:c r="G122" t="str">
        <x:v>equals</x:v>
      </x:c>
      <x:c r="H122" t="str">
        <x:f>IF(E122=F122,"PASS","FAIL")</x:f>
        <x:v>PASS</x:v>
      </x:c>
    </x:row>
    <x:row r="123">
      <x:c r="B123" t="str">
        <x:v>A-097</x:v>
      </x:c>
      <x:c r="C123" t="str">
        <x:v>GATE</x:v>
      </x:c>
      <x:c r="D123" t="str">
        <x:v>release ledger mirrors governing state</x:v>
      </x:c>
      <x:c r="E123" t="str">
        <x:f>'Release Gates'!J103</x:f>
        <x:v>PASS</x:v>
      </x:c>
      <x:c r="F123" t="str">
        <x:f>IF('Release Gates'!C103="PLANNING","PASS",IF('Release Gates'!C103="PHYSICAL","OPEN","BLOCKED"))</x:f>
        <x:v>PASS</x:v>
      </x:c>
      <x:c r="G123" t="str">
        <x:v>equals</x:v>
      </x:c>
      <x:c r="H123" t="str">
        <x:f>IF(E123=F123,"PASS","FAIL")</x:f>
        <x:v>PASS</x:v>
      </x:c>
    </x:row>
    <x:row r="124">
      <x:c r="B124" t="str">
        <x:v>A-098</x:v>
      </x:c>
      <x:c r="C124" t="str">
        <x:v>GATE</x:v>
      </x:c>
      <x:c r="D124" t="str">
        <x:v>release ledger mirrors governing state</x:v>
      </x:c>
      <x:c r="E124" t="str">
        <x:f>'Release Gates'!J104</x:f>
        <x:v>PASS</x:v>
      </x:c>
      <x:c r="F124" t="str">
        <x:f>IF('Release Gates'!C104="PLANNING","PASS",IF('Release Gates'!C104="PHYSICAL","OPEN","BLOCKED"))</x:f>
        <x:v>PASS</x:v>
      </x:c>
      <x:c r="G124" t="str">
        <x:v>equals</x:v>
      </x:c>
      <x:c r="H124" t="str">
        <x:f>IF(E124=F124,"PASS","FAIL")</x:f>
        <x:v>PASS</x:v>
      </x:c>
    </x:row>
    <x:row r="125">
      <x:c r="B125" t="str">
        <x:v>A-099</x:v>
      </x:c>
      <x:c r="C125" t="str">
        <x:v>GATE</x:v>
      </x:c>
      <x:c r="D125" t="str">
        <x:v>release ledger mirrors governing state</x:v>
      </x:c>
      <x:c r="E125" t="str">
        <x:f>'Release Gates'!J105</x:f>
        <x:v>PASS</x:v>
      </x:c>
      <x:c r="F125" t="str">
        <x:f>IF('Release Gates'!C105="PLANNING","PASS",IF('Release Gates'!C105="PHYSICAL","OPEN","BLOCKED"))</x:f>
        <x:v>PASS</x:v>
      </x:c>
      <x:c r="G125" t="str">
        <x:v>equals</x:v>
      </x:c>
      <x:c r="H125" t="str">
        <x:f>IF(E125=F125,"PASS","FAIL")</x:f>
        <x:v>PASS</x:v>
      </x:c>
    </x:row>
    <x:row r="126">
      <x:c r="B126" t="str">
        <x:v>A-100</x:v>
      </x:c>
      <x:c r="C126" t="str">
        <x:v>GATE</x:v>
      </x:c>
      <x:c r="D126" t="str">
        <x:v>release ledger mirrors governing state</x:v>
      </x:c>
      <x:c r="E126" t="str">
        <x:f>'Release Gates'!J106</x:f>
        <x:v>PASS</x:v>
      </x:c>
      <x:c r="F126" t="str">
        <x:f>IF('Release Gates'!C106="PLANNING","PASS",IF('Release Gates'!C106="PHYSICAL","OPEN","BLOCKED"))</x:f>
        <x:v>PASS</x:v>
      </x:c>
      <x:c r="G126" t="str">
        <x:v>equals</x:v>
      </x:c>
      <x:c r="H126" t="str">
        <x:f>IF(E126=F126,"PASS","FAIL")</x:f>
        <x:v>PASS</x:v>
      </x:c>
    </x:row>
    <x:row r="127">
      <x:c r="B127" t="str">
        <x:v>A-101</x:v>
      </x:c>
      <x:c r="C127" t="str">
        <x:v>GATE</x:v>
      </x:c>
      <x:c r="D127" t="str">
        <x:v>release ledger mirrors governing state</x:v>
      </x:c>
      <x:c r="E127" t="str">
        <x:f>'Release Gates'!J107</x:f>
        <x:v>PASS</x:v>
      </x:c>
      <x:c r="F127" t="str">
        <x:f>IF('Release Gates'!C107="PLANNING","PASS",IF('Release Gates'!C107="PHYSICAL","OPEN","BLOCKED"))</x:f>
        <x:v>PASS</x:v>
      </x:c>
      <x:c r="G127" t="str">
        <x:v>equals</x:v>
      </x:c>
      <x:c r="H127" t="str">
        <x:f>IF(E127=F127,"PASS","FAIL")</x:f>
        <x:v>PASS</x:v>
      </x:c>
    </x:row>
    <x:row r="128">
      <x:c r="B128" t="str">
        <x:v>A-102</x:v>
      </x:c>
      <x:c r="C128" t="str">
        <x:v>GATE</x:v>
      </x:c>
      <x:c r="D128" t="str">
        <x:v>release ledger mirrors governing state</x:v>
      </x:c>
      <x:c r="E128" t="str">
        <x:f>'Release Gates'!J108</x:f>
        <x:v>PASS</x:v>
      </x:c>
      <x:c r="F128" t="str">
        <x:f>IF('Release Gates'!C108="PLANNING","PASS",IF('Release Gates'!C108="PHYSICAL","OPEN","BLOCKED"))</x:f>
        <x:v>PASS</x:v>
      </x:c>
      <x:c r="G128" t="str">
        <x:v>equals</x:v>
      </x:c>
      <x:c r="H128" t="str">
        <x:f>IF(E128=F128,"PASS","FAIL")</x:f>
        <x:v>PASS</x:v>
      </x:c>
    </x:row>
    <x:row r="129">
      <x:c r="B129" t="str">
        <x:v>A-103</x:v>
      </x:c>
      <x:c r="C129" t="str">
        <x:v>GATE</x:v>
      </x:c>
      <x:c r="D129" t="str">
        <x:v>release ledger mirrors governing state</x:v>
      </x:c>
      <x:c r="E129" t="str">
        <x:f>'Release Gates'!J109</x:f>
        <x:v>PASS</x:v>
      </x:c>
      <x:c r="F129" t="str">
        <x:f>IF('Release Gates'!C109="PLANNING","PASS",IF('Release Gates'!C109="PHYSICAL","OPEN","BLOCKED"))</x:f>
        <x:v>PASS</x:v>
      </x:c>
      <x:c r="G129" t="str">
        <x:v>equals</x:v>
      </x:c>
      <x:c r="H129" t="str">
        <x:f>IF(E129=F129,"PASS","FAIL")</x:f>
        <x:v>PASS</x:v>
      </x:c>
    </x:row>
    <x:row r="130">
      <x:c r="B130" t="str">
        <x:v>A-104</x:v>
      </x:c>
      <x:c r="C130" t="str">
        <x:v>GATE</x:v>
      </x:c>
      <x:c r="D130" t="str">
        <x:v>release ledger mirrors governing state</x:v>
      </x:c>
      <x:c r="E130" t="str">
        <x:f>'Release Gates'!J110</x:f>
        <x:v>PASS</x:v>
      </x:c>
      <x:c r="F130" t="str">
        <x:f>IF('Release Gates'!C110="PLANNING","PASS",IF('Release Gates'!C110="PHYSICAL","OPEN","BLOCKED"))</x:f>
        <x:v>PASS</x:v>
      </x:c>
      <x:c r="G130" t="str">
        <x:v>equals</x:v>
      </x:c>
      <x:c r="H130" t="str">
        <x:f>IF(E130=F130,"PASS","FAIL")</x:f>
        <x:v>PASS</x:v>
      </x:c>
    </x:row>
    <x:row r="131">
      <x:c r="B131" t="str">
        <x:v>A-105</x:v>
      </x:c>
      <x:c r="C131" t="str">
        <x:v>GATE</x:v>
      </x:c>
      <x:c r="D131" t="str">
        <x:v>release ledger mirrors governing state</x:v>
      </x:c>
      <x:c r="E131" t="str">
        <x:f>'Release Gates'!J111</x:f>
        <x:v>PASS</x:v>
      </x:c>
      <x:c r="F131" t="str">
        <x:f>IF('Release Gates'!C111="PLANNING","PASS",IF('Release Gates'!C111="PHYSICAL","OPEN","BLOCKED"))</x:f>
        <x:v>PASS</x:v>
      </x:c>
      <x:c r="G131" t="str">
        <x:v>equals</x:v>
      </x:c>
      <x:c r="H131" t="str">
        <x:f>IF(E131=F131,"PASS","FAIL")</x:f>
        <x:v>PASS</x:v>
      </x:c>
    </x:row>
    <x:row r="132">
      <x:c r="B132" t="str">
        <x:v>A-106</x:v>
      </x:c>
      <x:c r="C132" t="str">
        <x:v>GATE</x:v>
      </x:c>
      <x:c r="D132" t="str">
        <x:v>release ledger mirrors governing state</x:v>
      </x:c>
      <x:c r="E132" t="str">
        <x:f>'Release Gates'!J112</x:f>
        <x:v>PASS</x:v>
      </x:c>
      <x:c r="F132" t="str">
        <x:f>IF('Release Gates'!C112="PLANNING","PASS",IF('Release Gates'!C112="PHYSICAL","OPEN","BLOCKED"))</x:f>
        <x:v>PASS</x:v>
      </x:c>
      <x:c r="G132" t="str">
        <x:v>equals</x:v>
      </x:c>
      <x:c r="H132" t="str">
        <x:f>IF(E132=F132,"PASS","FAIL")</x:f>
        <x:v>PASS</x:v>
      </x:c>
    </x:row>
    <x:row r="133">
      <x:c r="B133" t="str">
        <x:v>A-107</x:v>
      </x:c>
      <x:c r="C133" t="str">
        <x:v>GATE</x:v>
      </x:c>
      <x:c r="D133" t="str">
        <x:v>release ledger mirrors governing state</x:v>
      </x:c>
      <x:c r="E133" t="str">
        <x:f>'Release Gates'!J113</x:f>
        <x:v>PASS</x:v>
      </x:c>
      <x:c r="F133" t="str">
        <x:f>IF('Release Gates'!C113="PLANNING","PASS",IF('Release Gates'!C113="PHYSICAL","OPEN","BLOCKED"))</x:f>
        <x:v>PASS</x:v>
      </x:c>
      <x:c r="G133" t="str">
        <x:v>equals</x:v>
      </x:c>
      <x:c r="H133" t="str">
        <x:f>IF(E133=F133,"PASS","FAIL")</x:f>
        <x:v>PASS</x:v>
      </x:c>
    </x:row>
    <x:row r="134">
      <x:c r="B134" t="str">
        <x:v>A-108</x:v>
      </x:c>
      <x:c r="C134" t="str">
        <x:v>GATE</x:v>
      </x:c>
      <x:c r="D134" t="str">
        <x:v>release ledger mirrors governing state</x:v>
      </x:c>
      <x:c r="E134" t="str">
        <x:f>'Release Gates'!J114</x:f>
        <x:v>PASS</x:v>
      </x:c>
      <x:c r="F134" t="str">
        <x:f>IF('Release Gates'!C114="PLANNING","PASS",IF('Release Gates'!C114="PHYSICAL","OPEN","BLOCKED"))</x:f>
        <x:v>PASS</x:v>
      </x:c>
      <x:c r="G134" t="str">
        <x:v>equals</x:v>
      </x:c>
      <x:c r="H134" t="str">
        <x:f>IF(E134=F134,"PASS","FAIL")</x:f>
        <x:v>PASS</x:v>
      </x:c>
    </x:row>
    <x:row r="135">
      <x:c r="B135" t="str">
        <x:v>A-109</x:v>
      </x:c>
      <x:c r="C135" t="str">
        <x:v>GATE</x:v>
      </x:c>
      <x:c r="D135" t="str">
        <x:v>release ledger mirrors governing state</x:v>
      </x:c>
      <x:c r="E135" t="str">
        <x:f>'Release Gates'!J115</x:f>
        <x:v>PASS</x:v>
      </x:c>
      <x:c r="F135" t="str">
        <x:f>IF('Release Gates'!C115="PLANNING","PASS",IF('Release Gates'!C115="PHYSICAL","OPEN","BLOCKED"))</x:f>
        <x:v>PASS</x:v>
      </x:c>
      <x:c r="G135" t="str">
        <x:v>equals</x:v>
      </x:c>
      <x:c r="H135" t="str">
        <x:f>IF(E135=F135,"PASS","FAIL")</x:f>
        <x:v>PASS</x:v>
      </x:c>
    </x:row>
    <x:row r="136">
      <x:c r="B136" t="str">
        <x:v>A-110</x:v>
      </x:c>
      <x:c r="C136" t="str">
        <x:v>GATE</x:v>
      </x:c>
      <x:c r="D136" t="str">
        <x:v>release ledger mirrors governing state</x:v>
      </x:c>
      <x:c r="E136" t="str">
        <x:f>'Release Gates'!J116</x:f>
        <x:v>PASS</x:v>
      </x:c>
      <x:c r="F136" t="str">
        <x:f>IF('Release Gates'!C116="PLANNING","PASS",IF('Release Gates'!C116="PHYSICAL","OPEN","BLOCKED"))</x:f>
        <x:v>PASS</x:v>
      </x:c>
      <x:c r="G136" t="str">
        <x:v>equals</x:v>
      </x:c>
      <x:c r="H136" t="str">
        <x:f>IF(E136=F136,"PASS","FAIL")</x:f>
        <x:v>PASS</x:v>
      </x:c>
    </x:row>
    <x:row r="137">
      <x:c r="B137" t="str">
        <x:v>A-111</x:v>
      </x:c>
      <x:c r="C137" t="str">
        <x:v>GATE</x:v>
      </x:c>
      <x:c r="D137" t="str">
        <x:v>release ledger mirrors governing state</x:v>
      </x:c>
      <x:c r="E137" t="str">
        <x:f>'Release Gates'!J117</x:f>
        <x:v>PASS</x:v>
      </x:c>
      <x:c r="F137" t="str">
        <x:f>IF('Release Gates'!C117="PLANNING","PASS",IF('Release Gates'!C117="PHYSICAL","OPEN","BLOCKED"))</x:f>
        <x:v>PASS</x:v>
      </x:c>
      <x:c r="G137" t="str">
        <x:v>equals</x:v>
      </x:c>
      <x:c r="H137" t="str">
        <x:f>IF(E137=F137,"PASS","FAIL")</x:f>
        <x:v>PASS</x:v>
      </x:c>
    </x:row>
    <x:row r="138">
      <x:c r="B138" t="str">
        <x:v>A-112</x:v>
      </x:c>
      <x:c r="C138" t="str">
        <x:v>GATE</x:v>
      </x:c>
      <x:c r="D138" t="str">
        <x:v>release ledger mirrors governing state</x:v>
      </x:c>
      <x:c r="E138" t="str">
        <x:f>'Release Gates'!J118</x:f>
        <x:v>PASS</x:v>
      </x:c>
      <x:c r="F138" t="str">
        <x:f>IF('Release Gates'!C118="PLANNING","PASS",IF('Release Gates'!C118="PHYSICAL","OPEN","BLOCKED"))</x:f>
        <x:v>PASS</x:v>
      </x:c>
      <x:c r="G138" t="str">
        <x:v>equals</x:v>
      </x:c>
      <x:c r="H138" t="str">
        <x:f>IF(E138=F138,"PASS","FAIL")</x:f>
        <x:v>PASS</x:v>
      </x:c>
    </x:row>
    <x:row r="139">
      <x:c r="B139" t="str">
        <x:v>A-113</x:v>
      </x:c>
      <x:c r="C139" t="str">
        <x:v>GATE</x:v>
      </x:c>
      <x:c r="D139" t="str">
        <x:v>release ledger mirrors governing state</x:v>
      </x:c>
      <x:c r="E139" t="str">
        <x:f>'Release Gates'!J119</x:f>
        <x:v>PASS</x:v>
      </x:c>
      <x:c r="F139" t="str">
        <x:f>IF('Release Gates'!C119="PLANNING","PASS",IF('Release Gates'!C119="PHYSICAL","OPEN","BLOCKED"))</x:f>
        <x:v>PASS</x:v>
      </x:c>
      <x:c r="G139" t="str">
        <x:v>equals</x:v>
      </x:c>
      <x:c r="H139" t="str">
        <x:f>IF(E139=F139,"PASS","FAIL")</x:f>
        <x:v>PASS</x:v>
      </x:c>
    </x:row>
    <x:row r="140">
      <x:c r="B140" t="str">
        <x:v>A-114</x:v>
      </x:c>
      <x:c r="C140" t="str">
        <x:v>GATE</x:v>
      </x:c>
      <x:c r="D140" t="str">
        <x:v>release ledger mirrors governing state</x:v>
      </x:c>
      <x:c r="E140" t="str">
        <x:f>'Release Gates'!J120</x:f>
        <x:v>PASS</x:v>
      </x:c>
      <x:c r="F140" t="str">
        <x:f>IF('Release Gates'!C120="PLANNING","PASS",IF('Release Gates'!C120="PHYSICAL","OPEN","BLOCKED"))</x:f>
        <x:v>PASS</x:v>
      </x:c>
      <x:c r="G140" t="str">
        <x:v>equals</x:v>
      </x:c>
      <x:c r="H140" t="str">
        <x:f>IF(E140=F140,"PASS","FAIL")</x:f>
        <x:v>PASS</x:v>
      </x:c>
    </x:row>
    <x:row r="141">
      <x:c r="B141" t="str">
        <x:v>A-115</x:v>
      </x:c>
      <x:c r="C141" t="str">
        <x:v>GATE</x:v>
      </x:c>
      <x:c r="D141" t="str">
        <x:v>release ledger mirrors governing state</x:v>
      </x:c>
      <x:c r="E141" t="str">
        <x:f>'Release Gates'!J121</x:f>
        <x:v>PASS</x:v>
      </x:c>
      <x:c r="F141" t="str">
        <x:f>IF('Release Gates'!C121="PLANNING","PASS",IF('Release Gates'!C121="PHYSICAL","OPEN","BLOCKED"))</x:f>
        <x:v>PASS</x:v>
      </x:c>
      <x:c r="G141" t="str">
        <x:v>equals</x:v>
      </x:c>
      <x:c r="H141" t="str">
        <x:f>IF(E141=F141,"PASS","FAIL")</x:f>
        <x:v>PASS</x:v>
      </x:c>
    </x:row>
    <x:row r="142">
      <x:c r="B142" t="str">
        <x:v>A-116</x:v>
      </x:c>
      <x:c r="C142" t="str">
        <x:v>GATE</x:v>
      </x:c>
      <x:c r="D142" t="str">
        <x:v>release ledger mirrors governing state</x:v>
      </x:c>
      <x:c r="E142" t="str">
        <x:f>'Release Gates'!J122</x:f>
        <x:v>PASS</x:v>
      </x:c>
      <x:c r="F142" t="str">
        <x:f>IF('Release Gates'!C122="PLANNING","PASS",IF('Release Gates'!C122="PHYSICAL","OPEN","BLOCKED"))</x:f>
        <x:v>PASS</x:v>
      </x:c>
      <x:c r="G142" t="str">
        <x:v>equals</x:v>
      </x:c>
      <x:c r="H142" t="str">
        <x:f>IF(E142=F142,"PASS","FAIL")</x:f>
        <x:v>PASS</x:v>
      </x:c>
    </x:row>
    <x:row r="143">
      <x:c r="B143" t="str">
        <x:v>A-117</x:v>
      </x:c>
      <x:c r="C143" t="str">
        <x:v>GATE</x:v>
      </x:c>
      <x:c r="D143" t="str">
        <x:v>release ledger mirrors governing state</x:v>
      </x:c>
      <x:c r="E143" t="str">
        <x:f>'Release Gates'!J123</x:f>
        <x:v>PASS</x:v>
      </x:c>
      <x:c r="F143" t="str">
        <x:f>IF('Release Gates'!C123="PLANNING","PASS",IF('Release Gates'!C123="PHYSICAL","OPEN","BLOCKED"))</x:f>
        <x:v>PASS</x:v>
      </x:c>
      <x:c r="G143" t="str">
        <x:v>equals</x:v>
      </x:c>
      <x:c r="H143" t="str">
        <x:f>IF(E143=F143,"PASS","FAIL")</x:f>
        <x:v>PASS</x:v>
      </x:c>
    </x:row>
    <x:row r="144">
      <x:c r="B144" t="str">
        <x:v>A-118</x:v>
      </x:c>
      <x:c r="C144" t="str">
        <x:v>GATE</x:v>
      </x:c>
      <x:c r="D144" t="str">
        <x:v>release ledger mirrors governing state</x:v>
      </x:c>
      <x:c r="E144" t="str">
        <x:f>'Release Gates'!J124</x:f>
        <x:v>PASS</x:v>
      </x:c>
      <x:c r="F144" t="str">
        <x:f>IF('Release Gates'!C124="PLANNING","PASS",IF('Release Gates'!C124="PHYSICAL","OPEN","BLOCKED"))</x:f>
        <x:v>PASS</x:v>
      </x:c>
      <x:c r="G144" t="str">
        <x:v>equals</x:v>
      </x:c>
      <x:c r="H144" t="str">
        <x:f>IF(E144=F144,"PASS","FAIL")</x:f>
        <x:v>PASS</x:v>
      </x:c>
    </x:row>
    <x:row r="145">
      <x:c r="B145" t="str">
        <x:v>A-119</x:v>
      </x:c>
      <x:c r="C145" t="str">
        <x:v>GATE</x:v>
      </x:c>
      <x:c r="D145" t="str">
        <x:v>release ledger mirrors governing state</x:v>
      </x:c>
      <x:c r="E145" t="str">
        <x:f>'Release Gates'!J125</x:f>
        <x:v>PASS</x:v>
      </x:c>
      <x:c r="F145" t="str">
        <x:f>IF('Release Gates'!C125="PLANNING","PASS",IF('Release Gates'!C125="PHYSICAL","OPEN","BLOCKED"))</x:f>
        <x:v>PASS</x:v>
      </x:c>
      <x:c r="G145" t="str">
        <x:v>equals</x:v>
      </x:c>
      <x:c r="H145" t="str">
        <x:f>IF(E145=F145,"PASS","FAIL")</x:f>
        <x:v>PASS</x:v>
      </x:c>
    </x:row>
    <x:row r="146">
      <x:c r="B146" t="str">
        <x:v>A-120</x:v>
      </x:c>
      <x:c r="C146" t="str">
        <x:v>GATE</x:v>
      </x:c>
      <x:c r="D146" t="str">
        <x:v>release ledger mirrors governing state</x:v>
      </x:c>
      <x:c r="E146" t="str">
        <x:f>'Release Gates'!J126</x:f>
        <x:v>PASS</x:v>
      </x:c>
      <x:c r="F146" t="str">
        <x:f>IF('Release Gates'!C126="PLANNING","PASS",IF('Release Gates'!C126="PHYSICAL","OPEN","BLOCKED"))</x:f>
        <x:v>PASS</x:v>
      </x:c>
      <x:c r="G146" t="str">
        <x:v>equals</x:v>
      </x:c>
      <x:c r="H146" t="str">
        <x:f>IF(E146=F146,"PASS","FAIL")</x:f>
        <x:v>PASS</x:v>
      </x:c>
    </x:row>
    <x:row r="147">
      <x:c r="B147" t="str">
        <x:v>A-121</x:v>
      </x:c>
      <x:c r="C147" t="str">
        <x:v>GATE</x:v>
      </x:c>
      <x:c r="D147" t="str">
        <x:v>release ledger mirrors governing state</x:v>
      </x:c>
      <x:c r="E147" t="str">
        <x:f>'Release Gates'!J127</x:f>
        <x:v>PASS</x:v>
      </x:c>
      <x:c r="F147" t="str">
        <x:f>IF('Release Gates'!C127="PLANNING","PASS",IF('Release Gates'!C127="PHYSICAL","OPEN","BLOCKED"))</x:f>
        <x:v>PASS</x:v>
      </x:c>
      <x:c r="G147" t="str">
        <x:v>equals</x:v>
      </x:c>
      <x:c r="H147" t="str">
        <x:f>IF(E147=F147,"PASS","FAIL")</x:f>
        <x:v>PASS</x:v>
      </x:c>
    </x:row>
    <x:row r="148">
      <x:c r="B148" t="str">
        <x:v>A-122</x:v>
      </x:c>
      <x:c r="C148" t="str">
        <x:v>GATE</x:v>
      </x:c>
      <x:c r="D148" t="str">
        <x:v>release ledger mirrors governing state</x:v>
      </x:c>
      <x:c r="E148" t="str">
        <x:f>'Release Gates'!J128</x:f>
        <x:v>PASS</x:v>
      </x:c>
      <x:c r="F148" t="str">
        <x:f>IF('Release Gates'!C128="PLANNING","PASS",IF('Release Gates'!C128="PHYSICAL","OPEN","BLOCKED"))</x:f>
        <x:v>PASS</x:v>
      </x:c>
      <x:c r="G148" t="str">
        <x:v>equals</x:v>
      </x:c>
      <x:c r="H148" t="str">
        <x:f>IF(E148=F148,"PASS","FAIL")</x:f>
        <x:v>PASS</x:v>
      </x:c>
    </x:row>
    <x:row r="149">
      <x:c r="B149" t="str">
        <x:v>A-123</x:v>
      </x:c>
      <x:c r="C149" t="str">
        <x:v>GATE</x:v>
      </x:c>
      <x:c r="D149" t="str">
        <x:v>release ledger mirrors governing state</x:v>
      </x:c>
      <x:c r="E149" t="str">
        <x:f>'Release Gates'!J129</x:f>
        <x:v>PASS</x:v>
      </x:c>
      <x:c r="F149" t="str">
        <x:f>IF('Release Gates'!C129="PLANNING","PASS",IF('Release Gates'!C129="PHYSICAL","OPEN","BLOCKED"))</x:f>
        <x:v>PASS</x:v>
      </x:c>
      <x:c r="G149" t="str">
        <x:v>equals</x:v>
      </x:c>
      <x:c r="H149" t="str">
        <x:f>IF(E149=F149,"PASS","FAIL")</x:f>
        <x:v>PASS</x:v>
      </x:c>
    </x:row>
    <x:row r="150">
      <x:c r="B150" t="str">
        <x:v>A-124</x:v>
      </x:c>
      <x:c r="C150" t="str">
        <x:v>GATE</x:v>
      </x:c>
      <x:c r="D150" t="str">
        <x:v>release ledger mirrors governing state</x:v>
      </x:c>
      <x:c r="E150" t="str">
        <x:f>'Release Gates'!J130</x:f>
        <x:v>PASS</x:v>
      </x:c>
      <x:c r="F150" t="str">
        <x:f>IF('Release Gates'!C130="PLANNING","PASS",IF('Release Gates'!C130="PHYSICAL","OPEN","BLOCKED"))</x:f>
        <x:v>PASS</x:v>
      </x:c>
      <x:c r="G150" t="str">
        <x:v>equals</x:v>
      </x:c>
      <x:c r="H150" t="str">
        <x:f>IF(E150=F150,"PASS","FAIL")</x:f>
        <x:v>PASS</x:v>
      </x:c>
    </x:row>
    <x:row r="151">
      <x:c r="B151" t="str">
        <x:v>A-125</x:v>
      </x:c>
      <x:c r="C151" t="str">
        <x:v>GATE</x:v>
      </x:c>
      <x:c r="D151" t="str">
        <x:v>release ledger mirrors governing state</x:v>
      </x:c>
      <x:c r="E151" t="str">
        <x:f>'Release Gates'!J131</x:f>
        <x:v>PASS</x:v>
      </x:c>
      <x:c r="F151" t="str">
        <x:f>IF('Release Gates'!C131="PLANNING","PASS",IF('Release Gates'!C131="PHYSICAL","OPEN","BLOCKED"))</x:f>
        <x:v>PASS</x:v>
      </x:c>
      <x:c r="G151" t="str">
        <x:v>equals</x:v>
      </x:c>
      <x:c r="H151" t="str">
        <x:f>IF(E151=F151,"PASS","FAIL")</x:f>
        <x:v>PASS</x:v>
      </x:c>
    </x:row>
    <x:row r="152">
      <x:c r="B152" t="str">
        <x:v>A-126</x:v>
      </x:c>
      <x:c r="C152" t="str">
        <x:v>GATE</x:v>
      </x:c>
      <x:c r="D152" t="str">
        <x:v>release ledger mirrors governing state</x:v>
      </x:c>
      <x:c r="E152" t="str">
        <x:f>'Release Gates'!J132</x:f>
        <x:v>PASS</x:v>
      </x:c>
      <x:c r="F152" t="str">
        <x:f>IF('Release Gates'!C132="PLANNING","PASS",IF('Release Gates'!C132="PHYSICAL","OPEN","BLOCKED"))</x:f>
        <x:v>PASS</x:v>
      </x:c>
      <x:c r="G152" t="str">
        <x:v>equals</x:v>
      </x:c>
      <x:c r="H152" t="str">
        <x:f>IF(E152=F152,"PASS","FAIL")</x:f>
        <x:v>PASS</x:v>
      </x:c>
    </x:row>
    <x:row r="153">
      <x:c r="B153" t="str">
        <x:v>A-127</x:v>
      </x:c>
      <x:c r="C153" t="str">
        <x:v>GATE</x:v>
      </x:c>
      <x:c r="D153" t="str">
        <x:v>release ledger mirrors governing state</x:v>
      </x:c>
      <x:c r="E153" t="str">
        <x:f>'Release Gates'!J133</x:f>
        <x:v>PASS</x:v>
      </x:c>
      <x:c r="F153" t="str">
        <x:f>IF('Release Gates'!C133="PLANNING","PASS",IF('Release Gates'!C133="PHYSICAL","OPEN","BLOCKED"))</x:f>
        <x:v>PASS</x:v>
      </x:c>
      <x:c r="G153" t="str">
        <x:v>equals</x:v>
      </x:c>
      <x:c r="H153" t="str">
        <x:f>IF(E153=F153,"PASS","FAIL")</x:f>
        <x:v>PASS</x:v>
      </x:c>
    </x:row>
    <x:row r="154">
      <x:c r="B154" t="str">
        <x:v>A-128</x:v>
      </x:c>
      <x:c r="C154" t="str">
        <x:v>GATE</x:v>
      </x:c>
      <x:c r="D154" t="str">
        <x:v>release ledger mirrors governing state</x:v>
      </x:c>
      <x:c r="E154" t="str">
        <x:f>'Release Gates'!J134</x:f>
        <x:v>PASS</x:v>
      </x:c>
      <x:c r="F154" t="str">
        <x:f>IF('Release Gates'!C134="PLANNING","PASS",IF('Release Gates'!C134="PHYSICAL","OPEN","BLOCKED"))</x:f>
        <x:v>PASS</x:v>
      </x:c>
      <x:c r="G154" t="str">
        <x:v>equals</x:v>
      </x:c>
      <x:c r="H154" t="str">
        <x:f>IF(E154=F154,"PASS","FAIL")</x:f>
        <x:v>PASS</x:v>
      </x:c>
    </x:row>
    <x:row r="155">
      <x:c r="B155" t="str">
        <x:v>A-129</x:v>
      </x:c>
      <x:c r="C155" t="str">
        <x:v>GATE</x:v>
      </x:c>
      <x:c r="D155" t="str">
        <x:v>release ledger mirrors governing state</x:v>
      </x:c>
      <x:c r="E155" t="str">
        <x:f>'Release Gates'!J135</x:f>
        <x:v>PASS</x:v>
      </x:c>
      <x:c r="F155" t="str">
        <x:f>IF('Release Gates'!C135="PLANNING","PASS",IF('Release Gates'!C135="PHYSICAL","OPEN","BLOCKED"))</x:f>
        <x:v>PASS</x:v>
      </x:c>
      <x:c r="G155" t="str">
        <x:v>equals</x:v>
      </x:c>
      <x:c r="H155" t="str">
        <x:f>IF(E155=F155,"PASS","FAIL")</x:f>
        <x:v>PASS</x:v>
      </x:c>
    </x:row>
    <x:row r="156">
      <x:c r="B156" t="str">
        <x:v>A-130</x:v>
      </x:c>
      <x:c r="C156" t="str">
        <x:v>GATE</x:v>
      </x:c>
      <x:c r="D156" t="str">
        <x:v>release ledger mirrors governing state</x:v>
      </x:c>
      <x:c r="E156" t="str">
        <x:f>'Release Gates'!J136</x:f>
        <x:v>PASS</x:v>
      </x:c>
      <x:c r="F156" t="str">
        <x:f>IF('Release Gates'!C136="PLANNING","PASS",IF('Release Gates'!C136="PHYSICAL","OPEN","BLOCKED"))</x:f>
        <x:v>PASS</x:v>
      </x:c>
      <x:c r="G156" t="str">
        <x:v>equals</x:v>
      </x:c>
      <x:c r="H156" t="str">
        <x:f>IF(E156=F156,"PASS","FAIL")</x:f>
        <x:v>PASS</x:v>
      </x:c>
    </x:row>
    <x:row r="157">
      <x:c r="B157" t="str">
        <x:v>A-131</x:v>
      </x:c>
      <x:c r="C157" t="str">
        <x:v>GATE</x:v>
      </x:c>
      <x:c r="D157" t="str">
        <x:v>release ledger mirrors governing state</x:v>
      </x:c>
      <x:c r="E157" t="str">
        <x:f>'Release Gates'!J137</x:f>
        <x:v>PASS</x:v>
      </x:c>
      <x:c r="F157" t="str">
        <x:f>IF('Release Gates'!C137="PLANNING","PASS",IF('Release Gates'!C137="PHYSICAL","OPEN","BLOCKED"))</x:f>
        <x:v>PASS</x:v>
      </x:c>
      <x:c r="G157" t="str">
        <x:v>equals</x:v>
      </x:c>
      <x:c r="H157" t="str">
        <x:f>IF(E157=F157,"PASS","FAIL")</x:f>
        <x:v>PASS</x:v>
      </x:c>
    </x:row>
    <x:row r="158">
      <x:c r="B158" t="str">
        <x:v>A-132</x:v>
      </x:c>
      <x:c r="C158" t="str">
        <x:v>GATE</x:v>
      </x:c>
      <x:c r="D158" t="str">
        <x:v>release ledger mirrors governing state</x:v>
      </x:c>
      <x:c r="E158" t="str">
        <x:f>'Release Gates'!J138</x:f>
        <x:v>PASS</x:v>
      </x:c>
      <x:c r="F158" t="str">
        <x:f>IF('Release Gates'!C138="PLANNING","PASS",IF('Release Gates'!C138="PHYSICAL","OPEN","BLOCKED"))</x:f>
        <x:v>PASS</x:v>
      </x:c>
      <x:c r="G158" t="str">
        <x:v>equals</x:v>
      </x:c>
      <x:c r="H158" t="str">
        <x:f>IF(E158=F158,"PASS","FAIL")</x:f>
        <x:v>PASS</x:v>
      </x:c>
    </x:row>
    <x:row r="159">
      <x:c r="B159" t="str">
        <x:v>A-133</x:v>
      </x:c>
      <x:c r="C159" t="str">
        <x:v>GATE</x:v>
      </x:c>
      <x:c r="D159" t="str">
        <x:v>release ledger mirrors governing state</x:v>
      </x:c>
      <x:c r="E159" t="str">
        <x:f>'Release Gates'!J139</x:f>
        <x:v>PASS</x:v>
      </x:c>
      <x:c r="F159" t="str">
        <x:f>IF('Release Gates'!C139="PLANNING","PASS",IF('Release Gates'!C139="PHYSICAL","OPEN","BLOCKED"))</x:f>
        <x:v>PASS</x:v>
      </x:c>
      <x:c r="G159" t="str">
        <x:v>equals</x:v>
      </x:c>
      <x:c r="H159" t="str">
        <x:f>IF(E159=F159,"PASS","FAIL")</x:f>
        <x:v>PASS</x:v>
      </x:c>
    </x:row>
    <x:row r="160">
      <x:c r="B160" t="str">
        <x:v>A-134</x:v>
      </x:c>
      <x:c r="C160" t="str">
        <x:v>GATE</x:v>
      </x:c>
      <x:c r="D160" t="str">
        <x:v>release ledger mirrors governing state</x:v>
      </x:c>
      <x:c r="E160" t="str">
        <x:f>'Release Gates'!J140</x:f>
        <x:v>PASS</x:v>
      </x:c>
      <x:c r="F160" t="str">
        <x:f>IF('Release Gates'!C140="PLANNING","PASS",IF('Release Gates'!C140="PHYSICAL","OPEN","BLOCKED"))</x:f>
        <x:v>PASS</x:v>
      </x:c>
      <x:c r="G160" t="str">
        <x:v>equals</x:v>
      </x:c>
      <x:c r="H160" t="str">
        <x:f>IF(E160=F160,"PASS","FAIL")</x:f>
        <x:v>PASS</x:v>
      </x:c>
    </x:row>
    <x:row r="161">
      <x:c r="B161" t="str">
        <x:v>A-135</x:v>
      </x:c>
      <x:c r="C161" t="str">
        <x:v>GATE</x:v>
      </x:c>
      <x:c r="D161" t="str">
        <x:v>release ledger mirrors governing state</x:v>
      </x:c>
      <x:c r="E161" t="str">
        <x:f>'Release Gates'!J141</x:f>
        <x:v>PASS</x:v>
      </x:c>
      <x:c r="F161" t="str">
        <x:f>IF('Release Gates'!C141="PLANNING","PASS",IF('Release Gates'!C141="PHYSICAL","OPEN","BLOCKED"))</x:f>
        <x:v>PASS</x:v>
      </x:c>
      <x:c r="G161" t="str">
        <x:v>equals</x:v>
      </x:c>
      <x:c r="H161" t="str">
        <x:f>IF(E161=F161,"PASS","FAIL")</x:f>
        <x:v>PASS</x:v>
      </x:c>
    </x:row>
    <x:row r="162">
      <x:c r="B162" t="str">
        <x:v>A-136</x:v>
      </x:c>
      <x:c r="C162" t="str">
        <x:v>GATE</x:v>
      </x:c>
      <x:c r="D162" t="str">
        <x:v>release ledger mirrors governing state</x:v>
      </x:c>
      <x:c r="E162" t="str">
        <x:f>'Release Gates'!J142</x:f>
        <x:v>PASS</x:v>
      </x:c>
      <x:c r="F162" t="str">
        <x:f>IF('Release Gates'!C142="PLANNING","PASS",IF('Release Gates'!C142="PHYSICAL","OPEN","BLOCKED"))</x:f>
        <x:v>PASS</x:v>
      </x:c>
      <x:c r="G162" t="str">
        <x:v>equals</x:v>
      </x:c>
      <x:c r="H162" t="str">
        <x:f>IF(E162=F162,"PASS","FAIL")</x:f>
        <x:v>PASS</x:v>
      </x:c>
    </x:row>
    <x:row r="163">
      <x:c r="B163" t="str">
        <x:v>A-137</x:v>
      </x:c>
      <x:c r="C163" t="str">
        <x:v>GATE</x:v>
      </x:c>
      <x:c r="D163" t="str">
        <x:v>release ledger mirrors governing state</x:v>
      </x:c>
      <x:c r="E163" t="str">
        <x:f>'Release Gates'!J143</x:f>
        <x:v>PASS</x:v>
      </x:c>
      <x:c r="F163" t="str">
        <x:f>IF('Release Gates'!C143="PLANNING","PASS",IF('Release Gates'!C143="PHYSICAL","OPEN","BLOCKED"))</x:f>
        <x:v>PASS</x:v>
      </x:c>
      <x:c r="G163" t="str">
        <x:v>equals</x:v>
      </x:c>
      <x:c r="H163" t="str">
        <x:f>IF(E163=F163,"PASS","FAIL")</x:f>
        <x:v>PASS</x:v>
      </x:c>
    </x:row>
    <x:row r="164">
      <x:c r="B164" t="str">
        <x:v>A-138</x:v>
      </x:c>
      <x:c r="C164" t="str">
        <x:v>GATE</x:v>
      </x:c>
      <x:c r="D164" t="str">
        <x:v>release ledger mirrors governing state</x:v>
      </x:c>
      <x:c r="E164" t="str">
        <x:f>'Release Gates'!J144</x:f>
        <x:v>PASS</x:v>
      </x:c>
      <x:c r="F164" t="str">
        <x:f>IF('Release Gates'!C144="PLANNING","PASS",IF('Release Gates'!C144="PHYSICAL","OPEN","BLOCKED"))</x:f>
        <x:v>PASS</x:v>
      </x:c>
      <x:c r="G164" t="str">
        <x:v>equals</x:v>
      </x:c>
      <x:c r="H164" t="str">
        <x:f>IF(E164=F164,"PASS","FAIL")</x:f>
        <x:v>PASS</x:v>
      </x:c>
    </x:row>
    <x:row r="165">
      <x:c r="B165" t="str">
        <x:v>A-139</x:v>
      </x:c>
      <x:c r="C165" t="str">
        <x:v>GATE</x:v>
      </x:c>
      <x:c r="D165" t="str">
        <x:v>release ledger mirrors governing state</x:v>
      </x:c>
      <x:c r="E165" t="str">
        <x:f>'Release Gates'!J145</x:f>
        <x:v>PASS</x:v>
      </x:c>
      <x:c r="F165" t="str">
        <x:f>IF('Release Gates'!C145="PLANNING","PASS",IF('Release Gates'!C145="PHYSICAL","OPEN","BLOCKED"))</x:f>
        <x:v>PASS</x:v>
      </x:c>
      <x:c r="G165" t="str">
        <x:v>equals</x:v>
      </x:c>
      <x:c r="H165" t="str">
        <x:f>IF(E165=F165,"PASS","FAIL")</x:f>
        <x:v>PASS</x:v>
      </x:c>
    </x:row>
    <x:row r="166">
      <x:c r="B166" t="str">
        <x:v>A-140</x:v>
      </x:c>
      <x:c r="C166" t="str">
        <x:v>GATE</x:v>
      </x:c>
      <x:c r="D166" t="str">
        <x:v>release ledger mirrors governing state</x:v>
      </x:c>
      <x:c r="E166" t="str">
        <x:f>'Release Gates'!J146</x:f>
        <x:v>PASS</x:v>
      </x:c>
      <x:c r="F166" t="str">
        <x:f>IF('Release Gates'!C146="PLANNING","PASS",IF('Release Gates'!C146="PHYSICAL","OPEN","BLOCKED"))</x:f>
        <x:v>PASS</x:v>
      </x:c>
      <x:c r="G166" t="str">
        <x:v>equals</x:v>
      </x:c>
      <x:c r="H166" t="str">
        <x:f>IF(E166=F166,"PASS","FAIL")</x:f>
        <x:v>PASS</x:v>
      </x:c>
    </x:row>
    <x:row r="167">
      <x:c r="B167" t="str">
        <x:v>A-141</x:v>
      </x:c>
      <x:c r="C167" t="str">
        <x:v>GATE</x:v>
      </x:c>
      <x:c r="D167" t="str">
        <x:v>release ledger mirrors governing state</x:v>
      </x:c>
      <x:c r="E167" t="str">
        <x:f>'Release Gates'!J147</x:f>
        <x:v>PASS</x:v>
      </x:c>
      <x:c r="F167" t="str">
        <x:f>IF('Release Gates'!C147="PLANNING","PASS",IF('Release Gates'!C147="PHYSICAL","OPEN","BLOCKED"))</x:f>
        <x:v>PASS</x:v>
      </x:c>
      <x:c r="G167" t="str">
        <x:v>equals</x:v>
      </x:c>
      <x:c r="H167" t="str">
        <x:f>IF(E167=F167,"PASS","FAIL")</x:f>
        <x:v>PASS</x:v>
      </x:c>
    </x:row>
    <x:row r="168">
      <x:c r="B168" t="str">
        <x:v>A-142</x:v>
      </x:c>
      <x:c r="C168" t="str">
        <x:v>GATE</x:v>
      </x:c>
      <x:c r="D168" t="str">
        <x:v>release ledger mirrors governing state</x:v>
      </x:c>
      <x:c r="E168" t="str">
        <x:f>'Release Gates'!J148</x:f>
        <x:v>PASS</x:v>
      </x:c>
      <x:c r="F168" t="str">
        <x:f>IF('Release Gates'!C148="PLANNING","PASS",IF('Release Gates'!C148="PHYSICAL","OPEN","BLOCKED"))</x:f>
        <x:v>PASS</x:v>
      </x:c>
      <x:c r="G168" t="str">
        <x:v>equals</x:v>
      </x:c>
      <x:c r="H168" t="str">
        <x:f>IF(E168=F168,"PASS","FAIL")</x:f>
        <x:v>PASS</x:v>
      </x:c>
    </x:row>
    <x:row r="169">
      <x:c r="B169" t="str">
        <x:v>A-143</x:v>
      </x:c>
      <x:c r="C169" t="str">
        <x:v>GATE</x:v>
      </x:c>
      <x:c r="D169" t="str">
        <x:v>release ledger mirrors governing state</x:v>
      </x:c>
      <x:c r="E169" t="str">
        <x:f>'Release Gates'!J149</x:f>
        <x:v>PASS</x:v>
      </x:c>
      <x:c r="F169" t="str">
        <x:f>IF('Release Gates'!C149="PLANNING","PASS",IF('Release Gates'!C149="PHYSICAL","OPEN","BLOCKED"))</x:f>
        <x:v>PASS</x:v>
      </x:c>
      <x:c r="G169" t="str">
        <x:v>equals</x:v>
      </x:c>
      <x:c r="H169" t="str">
        <x:f>IF(E169=F169,"PASS","FAIL")</x:f>
        <x:v>PASS</x:v>
      </x:c>
    </x:row>
    <x:row r="170">
      <x:c r="B170" t="str">
        <x:v>A-144</x:v>
      </x:c>
      <x:c r="C170" t="str">
        <x:v>GATE</x:v>
      </x:c>
      <x:c r="D170" t="str">
        <x:v>release ledger mirrors governing state</x:v>
      </x:c>
      <x:c r="E170" t="str">
        <x:f>'Release Gates'!J150</x:f>
        <x:v>PASS</x:v>
      </x:c>
      <x:c r="F170" t="str">
        <x:f>IF('Release Gates'!C150="PLANNING","PASS",IF('Release Gates'!C150="PHYSICAL","OPEN","BLOCKED"))</x:f>
        <x:v>PASS</x:v>
      </x:c>
      <x:c r="G170" t="str">
        <x:v>equals</x:v>
      </x:c>
      <x:c r="H170" t="str">
        <x:f>IF(E170=F170,"PASS","FAIL")</x:f>
        <x:v>PASS</x:v>
      </x:c>
    </x:row>
    <x:row r="171">
      <x:c r="B171" t="str">
        <x:v>A-145</x:v>
      </x:c>
      <x:c r="C171" t="str">
        <x:v>GATE</x:v>
      </x:c>
      <x:c r="D171" t="str">
        <x:v>release ledger mirrors governing state</x:v>
      </x:c>
      <x:c r="E171" t="str">
        <x:f>'Release Gates'!J151</x:f>
        <x:v>PASS</x:v>
      </x:c>
      <x:c r="F171" t="str">
        <x:f>IF('Release Gates'!C151="PLANNING","PASS",IF('Release Gates'!C151="PHYSICAL","OPEN","BLOCKED"))</x:f>
        <x:v>PASS</x:v>
      </x:c>
      <x:c r="G171" t="str">
        <x:v>equals</x:v>
      </x:c>
      <x:c r="H171" t="str">
        <x:f>IF(E171=F171,"PASS","FAIL")</x:f>
        <x:v>PASS</x:v>
      </x:c>
    </x:row>
    <x:row r="172">
      <x:c r="B172" t="str">
        <x:v>A-146</x:v>
      </x:c>
      <x:c r="C172" t="str">
        <x:v>GATE</x:v>
      </x:c>
      <x:c r="D172" t="str">
        <x:v>release ledger mirrors governing state</x:v>
      </x:c>
      <x:c r="E172" t="str">
        <x:f>'Release Gates'!J152</x:f>
        <x:v>PASS</x:v>
      </x:c>
      <x:c r="F172" t="str">
        <x:f>IF('Release Gates'!C152="PLANNING","PASS",IF('Release Gates'!C152="PHYSICAL","OPEN","BLOCKED"))</x:f>
        <x:v>PASS</x:v>
      </x:c>
      <x:c r="G172" t="str">
        <x:v>equals</x:v>
      </x:c>
      <x:c r="H172" t="str">
        <x:f>IF(E172=F172,"PASS","FAIL")</x:f>
        <x:v>PASS</x:v>
      </x:c>
    </x:row>
    <x:row r="173">
      <x:c r="B173" t="str">
        <x:v>A-147</x:v>
      </x:c>
      <x:c r="C173" t="str">
        <x:v>GATE</x:v>
      </x:c>
      <x:c r="D173" t="str">
        <x:v>release ledger mirrors governing state</x:v>
      </x:c>
      <x:c r="E173" t="str">
        <x:f>'Release Gates'!J153</x:f>
        <x:v>PASS</x:v>
      </x:c>
      <x:c r="F173" t="str">
        <x:f>IF('Release Gates'!C153="PLANNING","PASS",IF('Release Gates'!C153="PHYSICAL","OPEN","BLOCKED"))</x:f>
        <x:v>PASS</x:v>
      </x:c>
      <x:c r="G173" t="str">
        <x:v>equals</x:v>
      </x:c>
      <x:c r="H173" t="str">
        <x:f>IF(E173=F173,"PASS","FAIL")</x:f>
        <x:v>PASS</x:v>
      </x:c>
    </x:row>
    <x:row r="174">
      <x:c r="B174" t="str">
        <x:v>A-148</x:v>
      </x:c>
      <x:c r="C174" t="str">
        <x:v>GATE</x:v>
      </x:c>
      <x:c r="D174" t="str">
        <x:v>release ledger mirrors governing state</x:v>
      </x:c>
      <x:c r="E174" t="str">
        <x:f>'Release Gates'!J154</x:f>
        <x:v>PASS</x:v>
      </x:c>
      <x:c r="F174" t="str">
        <x:f>IF('Release Gates'!C154="PLANNING","PASS",IF('Release Gates'!C154="PHYSICAL","OPEN","BLOCKED"))</x:f>
        <x:v>PASS</x:v>
      </x:c>
      <x:c r="G174" t="str">
        <x:v>equals</x:v>
      </x:c>
      <x:c r="H174" t="str">
        <x:f>IF(E174=F174,"PASS","FAIL")</x:f>
        <x:v>PASS</x:v>
      </x:c>
    </x:row>
    <x:row r="175">
      <x:c r="B175" t="str">
        <x:v>A-149</x:v>
      </x:c>
      <x:c r="C175" t="str">
        <x:v>GATE</x:v>
      </x:c>
      <x:c r="D175" t="str">
        <x:v>release ledger mirrors governing state</x:v>
      </x:c>
      <x:c r="E175" t="str">
        <x:f>'Release Gates'!J155</x:f>
        <x:v>PASS</x:v>
      </x:c>
      <x:c r="F175" t="str">
        <x:f>IF('Release Gates'!C155="PLANNING","PASS",IF('Release Gates'!C155="PHYSICAL","OPEN","BLOCKED"))</x:f>
        <x:v>PASS</x:v>
      </x:c>
      <x:c r="G175" t="str">
        <x:v>equals</x:v>
      </x:c>
      <x:c r="H175" t="str">
        <x:f>IF(E175=F175,"PASS","FAIL")</x:f>
        <x:v>PASS</x:v>
      </x:c>
    </x:row>
    <x:row r="176">
      <x:c r="B176" t="str">
        <x:v>A-150</x:v>
      </x:c>
      <x:c r="C176" t="str">
        <x:v>GATE</x:v>
      </x:c>
      <x:c r="D176" t="str">
        <x:v>release ledger mirrors governing state</x:v>
      </x:c>
      <x:c r="E176" t="str">
        <x:f>'Release Gates'!J156</x:f>
        <x:v>PASS</x:v>
      </x:c>
      <x:c r="F176" t="str">
        <x:f>IF('Release Gates'!C156="PLANNING","PASS",IF('Release Gates'!C156="PHYSICAL","OPEN","BLOCKED"))</x:f>
        <x:v>PASS</x:v>
      </x:c>
      <x:c r="G176" t="str">
        <x:v>equals</x:v>
      </x:c>
      <x:c r="H176" t="str">
        <x:f>IF(E176=F176,"PASS","FAIL")</x:f>
        <x:v>PASS</x:v>
      </x:c>
    </x:row>
    <x:row r="177">
      <x:c r="B177" t="str">
        <x:v>A-151</x:v>
      </x:c>
      <x:c r="C177" t="str">
        <x:v>GATE</x:v>
      </x:c>
      <x:c r="D177" t="str">
        <x:v>release ledger mirrors governing state</x:v>
      </x:c>
      <x:c r="E177" t="str">
        <x:f>'Release Gates'!J157</x:f>
        <x:v>PASS</x:v>
      </x:c>
      <x:c r="F177" t="str">
        <x:f>IF('Release Gates'!C157="PLANNING","PASS",IF('Release Gates'!C157="PHYSICAL","OPEN","BLOCKED"))</x:f>
        <x:v>PASS</x:v>
      </x:c>
      <x:c r="G177" t="str">
        <x:v>equals</x:v>
      </x:c>
      <x:c r="H177" t="str">
        <x:f>IF(E177=F177,"PASS","FAIL")</x:f>
        <x:v>PASS</x:v>
      </x:c>
    </x:row>
    <x:row r="178">
      <x:c r="B178" t="str">
        <x:v>A-152</x:v>
      </x:c>
      <x:c r="C178" t="str">
        <x:v>GATE</x:v>
      </x:c>
      <x:c r="D178" t="str">
        <x:v>release ledger mirrors governing state</x:v>
      </x:c>
      <x:c r="E178" t="str">
        <x:f>'Release Gates'!J158</x:f>
        <x:v>PASS</x:v>
      </x:c>
      <x:c r="F178" t="str">
        <x:f>IF('Release Gates'!C158="PLANNING","PASS",IF('Release Gates'!C158="PHYSICAL","OPEN","BLOCKED"))</x:f>
        <x:v>PASS</x:v>
      </x:c>
      <x:c r="G178" t="str">
        <x:v>equals</x:v>
      </x:c>
      <x:c r="H178" t="str">
        <x:f>IF(E178=F178,"PASS","FAIL")</x:f>
        <x:v>PASS</x:v>
      </x:c>
    </x:row>
    <x:row r="179">
      <x:c r="B179" t="str">
        <x:v>A-153</x:v>
      </x:c>
      <x:c r="C179" t="str">
        <x:v>GATE</x:v>
      </x:c>
      <x:c r="D179" t="str">
        <x:v>release ledger mirrors governing state</x:v>
      </x:c>
      <x:c r="E179" t="str">
        <x:f>'Release Gates'!J159</x:f>
        <x:v>PASS</x:v>
      </x:c>
      <x:c r="F179" t="str">
        <x:f>IF('Release Gates'!C159="PLANNING","PASS",IF('Release Gates'!C159="PHYSICAL","OPEN","BLOCKED"))</x:f>
        <x:v>PASS</x:v>
      </x:c>
      <x:c r="G179" t="str">
        <x:v>equals</x:v>
      </x:c>
      <x:c r="H179" t="str">
        <x:f>IF(E179=F179,"PASS","FAIL")</x:f>
        <x:v>PASS</x:v>
      </x:c>
    </x:row>
    <x:row r="180">
      <x:c r="B180" t="str">
        <x:v>A-154</x:v>
      </x:c>
      <x:c r="C180" t="str">
        <x:v>GATE</x:v>
      </x:c>
      <x:c r="D180" t="str">
        <x:v>release ledger mirrors governing state</x:v>
      </x:c>
      <x:c r="E180" t="str">
        <x:f>'Release Gates'!J160</x:f>
        <x:v>PASS</x:v>
      </x:c>
      <x:c r="F180" t="str">
        <x:f>IF('Release Gates'!C160="PLANNING","PASS",IF('Release Gates'!C160="PHYSICAL","OPEN","BLOCKED"))</x:f>
        <x:v>PASS</x:v>
      </x:c>
      <x:c r="G180" t="str">
        <x:v>equals</x:v>
      </x:c>
      <x:c r="H180" t="str">
        <x:f>IF(E180=F180,"PASS","FAIL")</x:f>
        <x:v>PASS</x:v>
      </x:c>
    </x:row>
    <x:row r="181">
      <x:c r="B181" t="str">
        <x:v>A-155</x:v>
      </x:c>
      <x:c r="C181" t="str">
        <x:v>GATE</x:v>
      </x:c>
      <x:c r="D181" t="str">
        <x:v>release ledger mirrors governing state</x:v>
      </x:c>
      <x:c r="E181" t="str">
        <x:f>'Release Gates'!J161</x:f>
        <x:v>PASS</x:v>
      </x:c>
      <x:c r="F181" t="str">
        <x:f>IF('Release Gates'!C161="PLANNING","PASS",IF('Release Gates'!C161="PHYSICAL","OPEN","BLOCKED"))</x:f>
        <x:v>PASS</x:v>
      </x:c>
      <x:c r="G181" t="str">
        <x:v>equals</x:v>
      </x:c>
      <x:c r="H181" t="str">
        <x:f>IF(E181=F181,"PASS","FAIL")</x:f>
        <x:v>PASS</x:v>
      </x:c>
    </x:row>
    <x:row r="182">
      <x:c r="B182" t="str">
        <x:v>A-156</x:v>
      </x:c>
      <x:c r="C182" t="str">
        <x:v>GATE</x:v>
      </x:c>
      <x:c r="D182" t="str">
        <x:v>release ledger mirrors governing state</x:v>
      </x:c>
      <x:c r="E182" t="str">
        <x:f>'Release Gates'!J162</x:f>
        <x:v>PASS</x:v>
      </x:c>
      <x:c r="F182" t="str">
        <x:f>IF('Release Gates'!C162="PLANNING","PASS",IF('Release Gates'!C162="PHYSICAL","OPEN","BLOCKED"))</x:f>
        <x:v>PASS</x:v>
      </x:c>
      <x:c r="G182" t="str">
        <x:v>equals</x:v>
      </x:c>
      <x:c r="H182" t="str">
        <x:f>IF(E182=F182,"PASS","FAIL")</x:f>
        <x:v>PASS</x:v>
      </x:c>
    </x:row>
    <x:row r="183">
      <x:c r="B183" t="str">
        <x:v>A-157</x:v>
      </x:c>
      <x:c r="C183" t="str">
        <x:v>GATE</x:v>
      </x:c>
      <x:c r="D183" t="str">
        <x:v>release ledger mirrors governing state</x:v>
      </x:c>
      <x:c r="E183" t="str">
        <x:f>'Release Gates'!J163</x:f>
        <x:v>PASS</x:v>
      </x:c>
      <x:c r="F183" t="str">
        <x:f>IF('Release Gates'!C163="PLANNING","PASS",IF('Release Gates'!C163="PHYSICAL","OPEN","BLOCKED"))</x:f>
        <x:v>PASS</x:v>
      </x:c>
      <x:c r="G183" t="str">
        <x:v>equals</x:v>
      </x:c>
      <x:c r="H183" t="str">
        <x:f>IF(E183=F183,"PASS","FAIL")</x:f>
        <x:v>PASS</x:v>
      </x:c>
    </x:row>
    <x:row r="184">
      <x:c r="B184" t="str">
        <x:v>A-158</x:v>
      </x:c>
      <x:c r="C184" t="str">
        <x:v>GATE</x:v>
      </x:c>
      <x:c r="D184" t="str">
        <x:v>release ledger mirrors governing state</x:v>
      </x:c>
      <x:c r="E184" t="str">
        <x:f>'Release Gates'!J164</x:f>
        <x:v>PASS</x:v>
      </x:c>
      <x:c r="F184" t="str">
        <x:f>IF('Release Gates'!C164="PLANNING","PASS",IF('Release Gates'!C164="PHYSICAL","OPEN","BLOCKED"))</x:f>
        <x:v>PASS</x:v>
      </x:c>
      <x:c r="G184" t="str">
        <x:v>equals</x:v>
      </x:c>
      <x:c r="H184" t="str">
        <x:f>IF(E184=F184,"PASS","FAIL")</x:f>
        <x:v>PASS</x:v>
      </x:c>
    </x:row>
    <x:row r="185">
      <x:c r="B185" t="str">
        <x:v>A-159</x:v>
      </x:c>
      <x:c r="C185" t="str">
        <x:v>GATE</x:v>
      </x:c>
      <x:c r="D185" t="str">
        <x:v>release ledger mirrors governing state</x:v>
      </x:c>
      <x:c r="E185" t="str">
        <x:f>'Release Gates'!J165</x:f>
        <x:v>PASS</x:v>
      </x:c>
      <x:c r="F185" t="str">
        <x:f>IF('Release Gates'!C165="PLANNING","PASS",IF('Release Gates'!C165="PHYSICAL","OPEN","BLOCKED"))</x:f>
        <x:v>PASS</x:v>
      </x:c>
      <x:c r="G185" t="str">
        <x:v>equals</x:v>
      </x:c>
      <x:c r="H185" t="str">
        <x:f>IF(E185=F185,"PASS","FAIL")</x:f>
        <x:v>PASS</x:v>
      </x:c>
    </x:row>
    <x:row r="186">
      <x:c r="B186" t="str">
        <x:v>A-160</x:v>
      </x:c>
      <x:c r="C186" t="str">
        <x:v>GATE</x:v>
      </x:c>
      <x:c r="D186" t="str">
        <x:v>release ledger mirrors governing state</x:v>
      </x:c>
      <x:c r="E186" t="str">
        <x:f>'Release Gates'!J166</x:f>
        <x:v>PASS</x:v>
      </x:c>
      <x:c r="F186" t="str">
        <x:f>IF('Release Gates'!C166="PLANNING","PASS",IF('Release Gates'!C166="PHYSICAL","OPEN","BLOCKED"))</x:f>
        <x:v>PASS</x:v>
      </x:c>
      <x:c r="G186" t="str">
        <x:v>equals</x:v>
      </x:c>
      <x:c r="H186" t="str">
        <x:f>IF(E186=F186,"PASS","FAIL")</x:f>
        <x:v>PASS</x:v>
      </x:c>
    </x:row>
    <x:row r="187">
      <x:c r="B187" t="str">
        <x:v>A-161</x:v>
      </x:c>
      <x:c r="C187" t="str">
        <x:v>GATE</x:v>
      </x:c>
      <x:c r="D187" t="str">
        <x:v>release ledger mirrors governing state</x:v>
      </x:c>
      <x:c r="E187" t="str">
        <x:f>'Release Gates'!J167</x:f>
        <x:v>PASS</x:v>
      </x:c>
      <x:c r="F187" t="str">
        <x:f>IF('Release Gates'!C167="PLANNING","PASS",IF('Release Gates'!C167="PHYSICAL","OPEN","BLOCKED"))</x:f>
        <x:v>PASS</x:v>
      </x:c>
      <x:c r="G187" t="str">
        <x:v>equals</x:v>
      </x:c>
      <x:c r="H187" t="str">
        <x:f>IF(E187=F187,"PASS","FAIL")</x:f>
        <x:v>PASS</x:v>
      </x:c>
    </x:row>
    <x:row r="188">
      <x:c r="B188" t="str">
        <x:v>A-162</x:v>
      </x:c>
      <x:c r="C188" t="str">
        <x:v>GATE</x:v>
      </x:c>
      <x:c r="D188" t="str">
        <x:v>release ledger mirrors governing state</x:v>
      </x:c>
      <x:c r="E188" t="str">
        <x:f>'Release Gates'!J168</x:f>
        <x:v>PASS</x:v>
      </x:c>
      <x:c r="F188" t="str">
        <x:f>IF('Release Gates'!C168="PLANNING","PASS",IF('Release Gates'!C168="PHYSICAL","OPEN","BLOCKED"))</x:f>
        <x:v>PASS</x:v>
      </x:c>
      <x:c r="G188" t="str">
        <x:v>equals</x:v>
      </x:c>
      <x:c r="H188" t="str">
        <x:f>IF(E188=F188,"PASS","FAIL")</x:f>
        <x:v>PASS</x:v>
      </x:c>
    </x:row>
    <x:row r="189">
      <x:c r="B189" t="str">
        <x:v>A-163</x:v>
      </x:c>
      <x:c r="C189" t="str">
        <x:v>GATE</x:v>
      </x:c>
      <x:c r="D189" t="str">
        <x:v>release ledger mirrors governing state</x:v>
      </x:c>
      <x:c r="E189" t="str">
        <x:f>'Release Gates'!J169</x:f>
        <x:v>PASS</x:v>
      </x:c>
      <x:c r="F189" t="str">
        <x:f>IF('Release Gates'!C169="PLANNING","PASS",IF('Release Gates'!C169="PHYSICAL","OPEN","BLOCKED"))</x:f>
        <x:v>PASS</x:v>
      </x:c>
      <x:c r="G189" t="str">
        <x:v>equals</x:v>
      </x:c>
      <x:c r="H189" t="str">
        <x:f>IF(E189=F189,"PASS","FAIL")</x:f>
        <x:v>PASS</x:v>
      </x:c>
    </x:row>
    <x:row r="190">
      <x:c r="B190" t="str">
        <x:v>A-164</x:v>
      </x:c>
      <x:c r="C190" t="str">
        <x:v>GATE</x:v>
      </x:c>
      <x:c r="D190" t="str">
        <x:v>release ledger mirrors governing state</x:v>
      </x:c>
      <x:c r="E190" t="str">
        <x:f>'Release Gates'!J170</x:f>
        <x:v>PASS</x:v>
      </x:c>
      <x:c r="F190" t="str">
        <x:f>IF('Release Gates'!C170="PLANNING","PASS",IF('Release Gates'!C170="PHYSICAL","OPEN","BLOCKED"))</x:f>
        <x:v>PASS</x:v>
      </x:c>
      <x:c r="G190" t="str">
        <x:v>equals</x:v>
      </x:c>
      <x:c r="H190" t="str">
        <x:f>IF(E190=F190,"PASS","FAIL")</x:f>
        <x:v>PASS</x:v>
      </x:c>
    </x:row>
    <x:row r="191">
      <x:c r="B191" t="str">
        <x:v>A-165</x:v>
      </x:c>
      <x:c r="C191" t="str">
        <x:v>GATE</x:v>
      </x:c>
      <x:c r="D191" t="str">
        <x:v>release ledger mirrors governing state</x:v>
      </x:c>
      <x:c r="E191" t="str">
        <x:f>'Release Gates'!J171</x:f>
        <x:v>PASS</x:v>
      </x:c>
      <x:c r="F191" t="str">
        <x:f>IF('Release Gates'!C171="PLANNING","PASS",IF('Release Gates'!C171="PHYSICAL","OPEN","BLOCKED"))</x:f>
        <x:v>PASS</x:v>
      </x:c>
      <x:c r="G191" t="str">
        <x:v>equals</x:v>
      </x:c>
      <x:c r="H191" t="str">
        <x:f>IF(E191=F191,"PASS","FAIL")</x:f>
        <x:v>PASS</x:v>
      </x:c>
    </x:row>
    <x:row r="192">
      <x:c r="B192" t="str">
        <x:v>A-166</x:v>
      </x:c>
      <x:c r="C192" t="str">
        <x:v>GATE</x:v>
      </x:c>
      <x:c r="D192" t="str">
        <x:v>release ledger mirrors governing state</x:v>
      </x:c>
      <x:c r="E192" t="str">
        <x:f>'Release Gates'!J172</x:f>
        <x:v>PASS</x:v>
      </x:c>
      <x:c r="F192" t="str">
        <x:f>IF('Release Gates'!C172="PLANNING","PASS",IF('Release Gates'!C172="PHYSICAL","OPEN","BLOCKED"))</x:f>
        <x:v>PASS</x:v>
      </x:c>
      <x:c r="G192" t="str">
        <x:v>equals</x:v>
      </x:c>
      <x:c r="H192" t="str">
        <x:f>IF(E192=F192,"PASS","FAIL")</x:f>
        <x:v>PASS</x:v>
      </x:c>
    </x:row>
    <x:row r="193">
      <x:c r="B193" t="str">
        <x:v>A-167</x:v>
      </x:c>
      <x:c r="C193" t="str">
        <x:v>GATE</x:v>
      </x:c>
      <x:c r="D193" t="str">
        <x:v>release ledger mirrors governing state</x:v>
      </x:c>
      <x:c r="E193" t="str">
        <x:f>'Release Gates'!J173</x:f>
        <x:v>PASS</x:v>
      </x:c>
      <x:c r="F193" t="str">
        <x:f>IF('Release Gates'!C173="PLANNING","PASS",IF('Release Gates'!C173="PHYSICAL","OPEN","BLOCKED"))</x:f>
        <x:v>PASS</x:v>
      </x:c>
      <x:c r="G193" t="str">
        <x:v>equals</x:v>
      </x:c>
      <x:c r="H193" t="str">
        <x:f>IF(E193=F193,"PASS","FAIL")</x:f>
        <x:v>PASS</x:v>
      </x:c>
    </x:row>
    <x:row r="194">
      <x:c r="B194" t="str">
        <x:v>A-168</x:v>
      </x:c>
      <x:c r="C194" t="str">
        <x:v>GATE</x:v>
      </x:c>
      <x:c r="D194" t="str">
        <x:v>release ledger mirrors governing state</x:v>
      </x:c>
      <x:c r="E194" t="str">
        <x:f>'Release Gates'!J174</x:f>
        <x:v>PASS</x:v>
      </x:c>
      <x:c r="F194" t="str">
        <x:f>IF('Release Gates'!C174="PLANNING","PASS",IF('Release Gates'!C174="PHYSICAL","OPEN","BLOCKED"))</x:f>
        <x:v>PASS</x:v>
      </x:c>
      <x:c r="G194" t="str">
        <x:v>equals</x:v>
      </x:c>
      <x:c r="H194" t="str">
        <x:f>IF(E194=F194,"PASS","FAIL")</x:f>
        <x:v>PASS</x:v>
      </x:c>
    </x:row>
    <x:row r="195">
      <x:c r="B195" t="str">
        <x:v>A-169</x:v>
      </x:c>
      <x:c r="C195" t="str">
        <x:v>GATE</x:v>
      </x:c>
      <x:c r="D195" t="str">
        <x:v>release ledger mirrors governing state</x:v>
      </x:c>
      <x:c r="E195" t="str">
        <x:f>'Release Gates'!J175</x:f>
        <x:v>PASS</x:v>
      </x:c>
      <x:c r="F195" t="str">
        <x:f>IF('Release Gates'!C175="PLANNING","PASS",IF('Release Gates'!C175="PHYSICAL","OPEN","BLOCKED"))</x:f>
        <x:v>PASS</x:v>
      </x:c>
      <x:c r="G195" t="str">
        <x:v>equals</x:v>
      </x:c>
      <x:c r="H195" t="str">
        <x:f>IF(E195=F195,"PASS","FAIL")</x:f>
        <x:v>PASS</x:v>
      </x:c>
    </x:row>
    <x:row r="196">
      <x:c r="B196" t="str">
        <x:v>A-170</x:v>
      </x:c>
      <x:c r="C196" t="str">
        <x:v>GATE</x:v>
      </x:c>
      <x:c r="D196" t="str">
        <x:v>release ledger mirrors governing state</x:v>
      </x:c>
      <x:c r="E196" t="str">
        <x:f>'Release Gates'!J176</x:f>
        <x:v>PASS</x:v>
      </x:c>
      <x:c r="F196" t="str">
        <x:f>IF('Release Gates'!C176="PLANNING","PASS",IF('Release Gates'!C176="PHYSICAL","OPEN","BLOCKED"))</x:f>
        <x:v>PASS</x:v>
      </x:c>
      <x:c r="G196" t="str">
        <x:v>equals</x:v>
      </x:c>
      <x:c r="H196" t="str">
        <x:f>IF(E196=F196,"PASS","FAIL")</x:f>
        <x:v>PASS</x:v>
      </x:c>
    </x:row>
    <x:row r="197">
      <x:c r="B197" t="str">
        <x:v>A-171</x:v>
      </x:c>
      <x:c r="C197" t="str">
        <x:v>GATE</x:v>
      </x:c>
      <x:c r="D197" t="str">
        <x:v>release ledger mirrors governing state</x:v>
      </x:c>
      <x:c r="E197" t="str">
        <x:f>'Release Gates'!J177</x:f>
        <x:v>PASS</x:v>
      </x:c>
      <x:c r="F197" t="str">
        <x:f>IF('Release Gates'!C177="PLANNING","PASS",IF('Release Gates'!C177="PHYSICAL","OPEN","BLOCKED"))</x:f>
        <x:v>PASS</x:v>
      </x:c>
      <x:c r="G197" t="str">
        <x:v>equals</x:v>
      </x:c>
      <x:c r="H197" t="str">
        <x:f>IF(E197=F197,"PASS","FAIL")</x:f>
        <x:v>PASS</x:v>
      </x:c>
    </x:row>
    <x:row r="198">
      <x:c r="B198" t="str">
        <x:v>A-172</x:v>
      </x:c>
      <x:c r="C198" t="str">
        <x:v>GATE</x:v>
      </x:c>
      <x:c r="D198" t="str">
        <x:v>release ledger mirrors governing state</x:v>
      </x:c>
      <x:c r="E198" t="str">
        <x:f>'Release Gates'!J178</x:f>
        <x:v>PASS</x:v>
      </x:c>
      <x:c r="F198" t="str">
        <x:f>IF('Release Gates'!C178="PLANNING","PASS",IF('Release Gates'!C178="PHYSICAL","OPEN","BLOCKED"))</x:f>
        <x:v>PASS</x:v>
      </x:c>
      <x:c r="G198" t="str">
        <x:v>equals</x:v>
      </x:c>
      <x:c r="H198" t="str">
        <x:f>IF(E198=F198,"PASS","FAIL")</x:f>
        <x:v>PASS</x:v>
      </x:c>
    </x:row>
    <x:row r="199">
      <x:c r="B199" t="str">
        <x:v>A-173</x:v>
      </x:c>
      <x:c r="C199" t="str">
        <x:v>GATE</x:v>
      </x:c>
      <x:c r="D199" t="str">
        <x:v>release ledger mirrors governing state</x:v>
      </x:c>
      <x:c r="E199" t="str">
        <x:f>'Release Gates'!J179</x:f>
        <x:v>PASS</x:v>
      </x:c>
      <x:c r="F199" t="str">
        <x:f>IF('Release Gates'!C179="PLANNING","PASS",IF('Release Gates'!C179="PHYSICAL","OPEN","BLOCKED"))</x:f>
        <x:v>PASS</x:v>
      </x:c>
      <x:c r="G199" t="str">
        <x:v>equals</x:v>
      </x:c>
      <x:c r="H199" t="str">
        <x:f>IF(E199=F199,"PASS","FAIL")</x:f>
        <x:v>PASS</x:v>
      </x:c>
    </x:row>
    <x:row r="200">
      <x:c r="B200" t="str">
        <x:v>A-174</x:v>
      </x:c>
      <x:c r="C200" t="str">
        <x:v>GATE</x:v>
      </x:c>
      <x:c r="D200" t="str">
        <x:v>release ledger mirrors governing state</x:v>
      </x:c>
      <x:c r="E200" t="str">
        <x:f>'Release Gates'!J180</x:f>
        <x:v>PASS</x:v>
      </x:c>
      <x:c r="F200" t="str">
        <x:f>IF('Release Gates'!C180="PLANNING","PASS",IF('Release Gates'!C180="PHYSICAL","OPEN","BLOCKED"))</x:f>
        <x:v>PASS</x:v>
      </x:c>
      <x:c r="G200" t="str">
        <x:v>equals</x:v>
      </x:c>
      <x:c r="H200" t="str">
        <x:f>IF(E200=F200,"PASS","FAIL")</x:f>
        <x:v>PASS</x:v>
      </x:c>
    </x:row>
    <x:row r="201">
      <x:c r="B201" t="str">
        <x:v>A-175</x:v>
      </x:c>
      <x:c r="C201" t="str">
        <x:v>GATE</x:v>
      </x:c>
      <x:c r="D201" t="str">
        <x:v>release ledger mirrors governing state</x:v>
      </x:c>
      <x:c r="E201" t="str">
        <x:f>'Release Gates'!J181</x:f>
        <x:v>PASS</x:v>
      </x:c>
      <x:c r="F201" t="str">
        <x:f>IF('Release Gates'!C181="PLANNING","PASS",IF('Release Gates'!C181="PHYSICAL","OPEN","BLOCKED"))</x:f>
        <x:v>PASS</x:v>
      </x:c>
      <x:c r="G201" t="str">
        <x:v>equals</x:v>
      </x:c>
      <x:c r="H201" t="str">
        <x:f>IF(E201=F201,"PASS","FAIL")</x:f>
        <x:v>PASS</x:v>
      </x:c>
    </x:row>
    <x:row r="202">
      <x:c r="B202" t="str">
        <x:v>A-176</x:v>
      </x:c>
      <x:c r="C202" t="str">
        <x:v>GATE</x:v>
      </x:c>
      <x:c r="D202" t="str">
        <x:v>release ledger mirrors governing state</x:v>
      </x:c>
      <x:c r="E202" t="str">
        <x:f>'Release Gates'!J182</x:f>
        <x:v>PASS</x:v>
      </x:c>
      <x:c r="F202" t="str">
        <x:f>IF('Release Gates'!C182="PLANNING","PASS",IF('Release Gates'!C182="PHYSICAL","OPEN","BLOCKED"))</x:f>
        <x:v>PASS</x:v>
      </x:c>
      <x:c r="G202" t="str">
        <x:v>equals</x:v>
      </x:c>
      <x:c r="H202" t="str">
        <x:f>IF(E202=F202,"PASS","FAIL")</x:f>
        <x:v>PASS</x:v>
      </x:c>
    </x:row>
    <x:row r="203">
      <x:c r="B203" t="str">
        <x:v>A-177</x:v>
      </x:c>
      <x:c r="C203" t="str">
        <x:v>GATE</x:v>
      </x:c>
      <x:c r="D203" t="str">
        <x:v>release ledger mirrors governing state</x:v>
      </x:c>
      <x:c r="E203" t="str">
        <x:f>'Release Gates'!J183</x:f>
        <x:v>PASS</x:v>
      </x:c>
      <x:c r="F203" t="str">
        <x:f>IF('Release Gates'!C183="PLANNING","PASS",IF('Release Gates'!C183="PHYSICAL","OPEN","BLOCKED"))</x:f>
        <x:v>PASS</x:v>
      </x:c>
      <x:c r="G203" t="str">
        <x:v>equals</x:v>
      </x:c>
      <x:c r="H203" t="str">
        <x:f>IF(E203=F203,"PASS","FAIL")</x:f>
        <x:v>PASS</x:v>
      </x:c>
    </x:row>
    <x:row r="204">
      <x:c r="B204" t="str">
        <x:v>A-178</x:v>
      </x:c>
      <x:c r="C204" t="str">
        <x:v>GATE</x:v>
      </x:c>
      <x:c r="D204" t="str">
        <x:v>release ledger mirrors governing state</x:v>
      </x:c>
      <x:c r="E204" t="str">
        <x:f>'Release Gates'!J184</x:f>
        <x:v>PASS</x:v>
      </x:c>
      <x:c r="F204" t="str">
        <x:f>IF('Release Gates'!C184="PLANNING","PASS",IF('Release Gates'!C184="PHYSICAL","OPEN","BLOCKED"))</x:f>
        <x:v>PASS</x:v>
      </x:c>
      <x:c r="G204" t="str">
        <x:v>equals</x:v>
      </x:c>
      <x:c r="H204" t="str">
        <x:f>IF(E204=F204,"PASS","FAIL")</x:f>
        <x:v>PASS</x:v>
      </x:c>
    </x:row>
    <x:row r="205">
      <x:c r="B205" t="str">
        <x:v>A-179</x:v>
      </x:c>
      <x:c r="C205" t="str">
        <x:v>GATE</x:v>
      </x:c>
      <x:c r="D205" t="str">
        <x:v>release ledger mirrors governing state</x:v>
      </x:c>
      <x:c r="E205" t="str">
        <x:f>'Release Gates'!J185</x:f>
        <x:v>PASS</x:v>
      </x:c>
      <x:c r="F205" t="str">
        <x:f>IF('Release Gates'!C185="PLANNING","PASS",IF('Release Gates'!C185="PHYSICAL","OPEN","BLOCKED"))</x:f>
        <x:v>PASS</x:v>
      </x:c>
      <x:c r="G205" t="str">
        <x:v>equals</x:v>
      </x:c>
      <x:c r="H205" t="str">
        <x:f>IF(E205=F205,"PASS","FAIL")</x:f>
        <x:v>PASS</x:v>
      </x:c>
    </x:row>
    <x:row r="206">
      <x:c r="B206" t="str">
        <x:v>A-180</x:v>
      </x:c>
      <x:c r="C206" t="str">
        <x:v>GATE</x:v>
      </x:c>
      <x:c r="D206" t="str">
        <x:v>release ledger mirrors governing state</x:v>
      </x:c>
      <x:c r="E206" t="str">
        <x:f>'Release Gates'!J186</x:f>
        <x:v>PASS</x:v>
      </x:c>
      <x:c r="F206" t="str">
        <x:f>IF('Release Gates'!C186="PLANNING","PASS",IF('Release Gates'!C186="PHYSICAL","OPEN","BLOCKED"))</x:f>
        <x:v>PASS</x:v>
      </x:c>
      <x:c r="G206" t="str">
        <x:v>equals</x:v>
      </x:c>
      <x:c r="H206" t="str">
        <x:f>IF(E206=F206,"PASS","FAIL")</x:f>
        <x:v>PASS</x:v>
      </x:c>
    </x:row>
    <x:row r="207">
      <x:c r="B207" t="str">
        <x:v>A-181</x:v>
      </x:c>
      <x:c r="C207" t="str">
        <x:v>GATE</x:v>
      </x:c>
      <x:c r="D207" t="str">
        <x:v>release ledger mirrors governing state</x:v>
      </x:c>
      <x:c r="E207" t="str">
        <x:f>'Release Gates'!J187</x:f>
        <x:v>PASS</x:v>
      </x:c>
      <x:c r="F207" t="str">
        <x:f>IF('Release Gates'!C187="PLANNING","PASS",IF('Release Gates'!C187="PHYSICAL","OPEN","BLOCKED"))</x:f>
        <x:v>PASS</x:v>
      </x:c>
      <x:c r="G207" t="str">
        <x:v>equals</x:v>
      </x:c>
      <x:c r="H207" t="str">
        <x:f>IF(E207=F207,"PASS","FAIL")</x:f>
        <x:v>PASS</x:v>
      </x:c>
    </x:row>
    <x:row r="208">
      <x:c r="B208" t="str">
        <x:v>A-182</x:v>
      </x:c>
      <x:c r="C208" t="str">
        <x:v>GATE</x:v>
      </x:c>
      <x:c r="D208" t="str">
        <x:v>release ledger mirrors governing state</x:v>
      </x:c>
      <x:c r="E208" t="str">
        <x:f>'Release Gates'!J188</x:f>
        <x:v>PASS</x:v>
      </x:c>
      <x:c r="F208" t="str">
        <x:f>IF('Release Gates'!C188="PLANNING","PASS",IF('Release Gates'!C188="PHYSICAL","OPEN","BLOCKED"))</x:f>
        <x:v>PASS</x:v>
      </x:c>
      <x:c r="G208" t="str">
        <x:v>equals</x:v>
      </x:c>
      <x:c r="H208" t="str">
        <x:f>IF(E208=F208,"PASS","FAIL")</x:f>
        <x:v>PASS</x:v>
      </x:c>
    </x:row>
    <x:row r="209">
      <x:c r="B209" t="str">
        <x:v>A-183</x:v>
      </x:c>
      <x:c r="C209" t="str">
        <x:v>GATE</x:v>
      </x:c>
      <x:c r="D209" t="str">
        <x:v>release ledger mirrors governing state</x:v>
      </x:c>
      <x:c r="E209" t="str">
        <x:f>'Release Gates'!J189</x:f>
        <x:v>PASS</x:v>
      </x:c>
      <x:c r="F209" t="str">
        <x:f>IF('Release Gates'!C189="PLANNING","PASS",IF('Release Gates'!C189="PHYSICAL","OPEN","BLOCKED"))</x:f>
        <x:v>PASS</x:v>
      </x:c>
      <x:c r="G209" t="str">
        <x:v>equals</x:v>
      </x:c>
      <x:c r="H209" t="str">
        <x:f>IF(E209=F209,"PASS","FAIL")</x:f>
        <x:v>PASS</x:v>
      </x:c>
    </x:row>
    <x:row r="210">
      <x:c r="B210" t="str">
        <x:v>A-184</x:v>
      </x:c>
      <x:c r="C210" t="str">
        <x:v>GATE</x:v>
      </x:c>
      <x:c r="D210" t="str">
        <x:v>release ledger mirrors governing state</x:v>
      </x:c>
      <x:c r="E210" t="str">
        <x:f>'Release Gates'!J190</x:f>
        <x:v>PASS</x:v>
      </x:c>
      <x:c r="F210" t="str">
        <x:f>IF('Release Gates'!C190="PLANNING","PASS",IF('Release Gates'!C190="PHYSICAL","OPEN","BLOCKED"))</x:f>
        <x:v>PASS</x:v>
      </x:c>
      <x:c r="G210" t="str">
        <x:v>equals</x:v>
      </x:c>
      <x:c r="H210" t="str">
        <x:f>IF(E210=F210,"PASS","FAIL")</x:f>
        <x:v>PASS</x:v>
      </x:c>
    </x:row>
    <x:row r="211">
      <x:c r="B211" t="str">
        <x:v>A-185</x:v>
      </x:c>
      <x:c r="C211" t="str">
        <x:v>GATE</x:v>
      </x:c>
      <x:c r="D211" t="str">
        <x:v>release ledger mirrors governing state</x:v>
      </x:c>
      <x:c r="E211" t="str">
        <x:f>'Release Gates'!J191</x:f>
        <x:v>PASS</x:v>
      </x:c>
      <x:c r="F211" t="str">
        <x:f>IF('Release Gates'!C191="PLANNING","PASS",IF('Release Gates'!C191="PHYSICAL","OPEN","BLOCKED"))</x:f>
        <x:v>PASS</x:v>
      </x:c>
      <x:c r="G211" t="str">
        <x:v>equals</x:v>
      </x:c>
      <x:c r="H211" t="str">
        <x:f>IF(E211=F211,"PASS","FAIL")</x:f>
        <x:v>PASS</x:v>
      </x:c>
    </x:row>
    <x:row r="212">
      <x:c r="B212" t="str">
        <x:v>A-186</x:v>
      </x:c>
      <x:c r="C212" t="str">
        <x:v>GATE</x:v>
      </x:c>
      <x:c r="D212" t="str">
        <x:v>release ledger mirrors governing state</x:v>
      </x:c>
      <x:c r="E212" t="str">
        <x:f>'Release Gates'!J192</x:f>
        <x:v>PASS</x:v>
      </x:c>
      <x:c r="F212" t="str">
        <x:f>IF('Release Gates'!C192="PLANNING","PASS",IF('Release Gates'!C192="PHYSICAL","OPEN","BLOCKED"))</x:f>
        <x:v>PASS</x:v>
      </x:c>
      <x:c r="G212" t="str">
        <x:v>equals</x:v>
      </x:c>
      <x:c r="H212" t="str">
        <x:f>IF(E212=F212,"PASS","FAIL")</x:f>
        <x:v>PASS</x:v>
      </x:c>
    </x:row>
    <x:row r="213">
      <x:c r="B213" t="str">
        <x:v>A-187</x:v>
      </x:c>
      <x:c r="C213" t="str">
        <x:v>GATE</x:v>
      </x:c>
      <x:c r="D213" t="str">
        <x:v>release ledger mirrors governing state</x:v>
      </x:c>
      <x:c r="E213" t="str">
        <x:f>'Release Gates'!J193</x:f>
        <x:v>PASS</x:v>
      </x:c>
      <x:c r="F213" t="str">
        <x:f>IF('Release Gates'!C193="PLANNING","PASS",IF('Release Gates'!C193="PHYSICAL","OPEN","BLOCKED"))</x:f>
        <x:v>PASS</x:v>
      </x:c>
      <x:c r="G213" t="str">
        <x:v>equals</x:v>
      </x:c>
      <x:c r="H213" t="str">
        <x:f>IF(E213=F213,"PASS","FAIL")</x:f>
        <x:v>PASS</x:v>
      </x:c>
    </x:row>
    <x:row r="214">
      <x:c r="B214" t="str">
        <x:v>A-188</x:v>
      </x:c>
      <x:c r="C214" t="str">
        <x:v>GATE</x:v>
      </x:c>
      <x:c r="D214" t="str">
        <x:v>release ledger mirrors governing state</x:v>
      </x:c>
      <x:c r="E214" t="str">
        <x:f>'Release Gates'!J194</x:f>
        <x:v>PASS</x:v>
      </x:c>
      <x:c r="F214" t="str">
        <x:f>IF('Release Gates'!C194="PLANNING","PASS",IF('Release Gates'!C194="PHYSICAL","OPEN","BLOCKED"))</x:f>
        <x:v>PASS</x:v>
      </x:c>
      <x:c r="G214" t="str">
        <x:v>equals</x:v>
      </x:c>
      <x:c r="H214" t="str">
        <x:f>IF(E214=F214,"PASS","FAIL")</x:f>
        <x:v>PASS</x:v>
      </x:c>
    </x:row>
    <x:row r="215">
      <x:c r="B215" t="str">
        <x:v>A-189</x:v>
      </x:c>
      <x:c r="C215" t="str">
        <x:v>GATE</x:v>
      </x:c>
      <x:c r="D215" t="str">
        <x:v>release ledger mirrors governing state</x:v>
      </x:c>
      <x:c r="E215" t="str">
        <x:f>'Release Gates'!J195</x:f>
        <x:v>PASS</x:v>
      </x:c>
      <x:c r="F215" t="str">
        <x:f>IF('Release Gates'!C195="PLANNING","PASS",IF('Release Gates'!C195="PHYSICAL","OPEN","BLOCKED"))</x:f>
        <x:v>PASS</x:v>
      </x:c>
      <x:c r="G215" t="str">
        <x:v>equals</x:v>
      </x:c>
      <x:c r="H215" t="str">
        <x:f>IF(E215=F215,"PASS","FAIL")</x:f>
        <x:v>PASS</x:v>
      </x:c>
    </x:row>
    <x:row r="216">
      <x:c r="B216" t="str">
        <x:v>A-190</x:v>
      </x:c>
      <x:c r="C216" t="str">
        <x:v>GATE</x:v>
      </x:c>
      <x:c r="D216" t="str">
        <x:v>release ledger mirrors governing state</x:v>
      </x:c>
      <x:c r="E216" t="str">
        <x:f>'Release Gates'!J196</x:f>
        <x:v>PASS</x:v>
      </x:c>
      <x:c r="F216" t="str">
        <x:f>IF('Release Gates'!C196="PLANNING","PASS",IF('Release Gates'!C196="PHYSICAL","OPEN","BLOCKED"))</x:f>
        <x:v>PASS</x:v>
      </x:c>
      <x:c r="G216" t="str">
        <x:v>equals</x:v>
      </x:c>
      <x:c r="H216" t="str">
        <x:f>IF(E216=F216,"PASS","FAIL")</x:f>
        <x:v>PASS</x:v>
      </x:c>
    </x:row>
    <x:row r="217">
      <x:c r="B217" t="str">
        <x:v>A-191</x:v>
      </x:c>
      <x:c r="C217" t="str">
        <x:v>GATE</x:v>
      </x:c>
      <x:c r="D217" t="str">
        <x:v>release ledger mirrors governing state</x:v>
      </x:c>
      <x:c r="E217" t="str">
        <x:f>'Release Gates'!J197</x:f>
        <x:v>PASS</x:v>
      </x:c>
      <x:c r="F217" t="str">
        <x:f>IF('Release Gates'!C197="PLANNING","PASS",IF('Release Gates'!C197="PHYSICAL","OPEN","BLOCKED"))</x:f>
        <x:v>PASS</x:v>
      </x:c>
      <x:c r="G217" t="str">
        <x:v>equals</x:v>
      </x:c>
      <x:c r="H217" t="str">
        <x:f>IF(E217=F217,"PASS","FAIL")</x:f>
        <x:v>PASS</x:v>
      </x:c>
    </x:row>
    <x:row r="218">
      <x:c r="B218" t="str">
        <x:v>A-192</x:v>
      </x:c>
      <x:c r="C218" t="str">
        <x:v>GATE</x:v>
      </x:c>
      <x:c r="D218" t="str">
        <x:v>release ledger mirrors governing state</x:v>
      </x:c>
      <x:c r="E218" t="str">
        <x:f>'Release Gates'!J198</x:f>
        <x:v>PASS</x:v>
      </x:c>
      <x:c r="F218" t="str">
        <x:f>IF('Release Gates'!C198="PLANNING","PASS",IF('Release Gates'!C198="PHYSICAL","OPEN","BLOCKED"))</x:f>
        <x:v>PASS</x:v>
      </x:c>
      <x:c r="G218" t="str">
        <x:v>equals</x:v>
      </x:c>
      <x:c r="H218" t="str">
        <x:f>IF(E218=F218,"PASS","FAIL")</x:f>
        <x:v>PASS</x:v>
      </x:c>
    </x:row>
    <x:row r="219">
      <x:c r="B219" t="str">
        <x:v>A-193</x:v>
      </x:c>
      <x:c r="C219" t="str">
        <x:v>GATE</x:v>
      </x:c>
      <x:c r="D219" t="str">
        <x:v>release ledger mirrors governing state</x:v>
      </x:c>
      <x:c r="E219" t="str">
        <x:f>'Release Gates'!J199</x:f>
        <x:v>PASS</x:v>
      </x:c>
      <x:c r="F219" t="str">
        <x:f>IF('Release Gates'!C199="PLANNING","PASS",IF('Release Gates'!C199="PHYSICAL","OPEN","BLOCKED"))</x:f>
        <x:v>PASS</x:v>
      </x:c>
      <x:c r="G219" t="str">
        <x:v>equals</x:v>
      </x:c>
      <x:c r="H219" t="str">
        <x:f>IF(E219=F219,"PASS","FAIL")</x:f>
        <x:v>PASS</x:v>
      </x:c>
    </x:row>
    <x:row r="220">
      <x:c r="B220" t="str">
        <x:v>A-194</x:v>
      </x:c>
      <x:c r="C220" t="str">
        <x:v>GATE</x:v>
      </x:c>
      <x:c r="D220" t="str">
        <x:v>release ledger mirrors governing state</x:v>
      </x:c>
      <x:c r="E220" t="str">
        <x:f>'Release Gates'!J200</x:f>
        <x:v>PASS</x:v>
      </x:c>
      <x:c r="F220" t="str">
        <x:f>IF('Release Gates'!C200="PLANNING","PASS",IF('Release Gates'!C200="PHYSICAL","OPEN","BLOCKED"))</x:f>
        <x:v>PASS</x:v>
      </x:c>
      <x:c r="G220" t="str">
        <x:v>equals</x:v>
      </x:c>
      <x:c r="H220" t="str">
        <x:f>IF(E220=F220,"PASS","FAIL")</x:f>
        <x:v>PASS</x:v>
      </x:c>
    </x:row>
    <x:row r="221">
      <x:c r="B221" t="str">
        <x:v>A-195</x:v>
      </x:c>
      <x:c r="C221" t="str">
        <x:v>GATE</x:v>
      </x:c>
      <x:c r="D221" t="str">
        <x:v>release ledger mirrors governing state</x:v>
      </x:c>
      <x:c r="E221" t="str">
        <x:f>'Release Gates'!J201</x:f>
        <x:v>PASS</x:v>
      </x:c>
      <x:c r="F221" t="str">
        <x:f>IF('Release Gates'!C201="PLANNING","PASS",IF('Release Gates'!C201="PHYSICAL","OPEN","BLOCKED"))</x:f>
        <x:v>PASS</x:v>
      </x:c>
      <x:c r="G221" t="str">
        <x:v>equals</x:v>
      </x:c>
      <x:c r="H221" t="str">
        <x:f>IF(E221=F221,"PASS","FAIL")</x:f>
        <x:v>PASS</x:v>
      </x:c>
    </x:row>
    <x:row r="222">
      <x:c r="B222" t="str">
        <x:v>A-196</x:v>
      </x:c>
      <x:c r="C222" t="str">
        <x:v>GATE</x:v>
      </x:c>
      <x:c r="D222" t="str">
        <x:v>release ledger mirrors governing state</x:v>
      </x:c>
      <x:c r="E222" t="str">
        <x:f>'Release Gates'!J202</x:f>
        <x:v>PASS</x:v>
      </x:c>
      <x:c r="F222" t="str">
        <x:f>IF('Release Gates'!C202="PLANNING","PASS",IF('Release Gates'!C202="PHYSICAL","OPEN","BLOCKED"))</x:f>
        <x:v>PASS</x:v>
      </x:c>
      <x:c r="G222" t="str">
        <x:v>equals</x:v>
      </x:c>
      <x:c r="H222" t="str">
        <x:f>IF(E222=F222,"PASS","FAIL")</x:f>
        <x:v>PASS</x:v>
      </x:c>
    </x:row>
    <x:row r="223">
      <x:c r="B223" t="str">
        <x:v>A-197</x:v>
      </x:c>
      <x:c r="C223" t="str">
        <x:v>GATE</x:v>
      </x:c>
      <x:c r="D223" t="str">
        <x:v>release ledger mirrors governing state</x:v>
      </x:c>
      <x:c r="E223" t="str">
        <x:f>'Release Gates'!J203</x:f>
        <x:v>PASS</x:v>
      </x:c>
      <x:c r="F223" t="str">
        <x:f>IF('Release Gates'!C203="PLANNING","PASS",IF('Release Gates'!C203="PHYSICAL","OPEN","BLOCKED"))</x:f>
        <x:v>PASS</x:v>
      </x:c>
      <x:c r="G223" t="str">
        <x:v>equals</x:v>
      </x:c>
      <x:c r="H223" t="str">
        <x:f>IF(E223=F223,"PASS","FAIL")</x:f>
        <x:v>PASS</x:v>
      </x:c>
    </x:row>
    <x:row r="224">
      <x:c r="B224" t="str">
        <x:v>A-198</x:v>
      </x:c>
      <x:c r="C224" t="str">
        <x:v>GATE</x:v>
      </x:c>
      <x:c r="D224" t="str">
        <x:v>release ledger mirrors governing state</x:v>
      </x:c>
      <x:c r="E224" t="str">
        <x:f>'Release Gates'!J204</x:f>
        <x:v>PASS</x:v>
      </x:c>
      <x:c r="F224" t="str">
        <x:f>IF('Release Gates'!C204="PLANNING","PASS",IF('Release Gates'!C204="PHYSICAL","OPEN","BLOCKED"))</x:f>
        <x:v>PASS</x:v>
      </x:c>
      <x:c r="G224" t="str">
        <x:v>equals</x:v>
      </x:c>
      <x:c r="H224" t="str">
        <x:f>IF(E224=F224,"PASS","FAIL")</x:f>
        <x:v>PASS</x:v>
      </x:c>
    </x:row>
    <x:row r="225">
      <x:c r="B225" t="str">
        <x:v>A-199</x:v>
      </x:c>
      <x:c r="C225" t="str">
        <x:v>GATE</x:v>
      </x:c>
      <x:c r="D225" t="str">
        <x:v>release ledger mirrors governing state</x:v>
      </x:c>
      <x:c r="E225" t="str">
        <x:f>'Release Gates'!J205</x:f>
        <x:v>PASS</x:v>
      </x:c>
      <x:c r="F225" t="str">
        <x:f>IF('Release Gates'!C205="PLANNING","PASS",IF('Release Gates'!C205="PHYSICAL","OPEN","BLOCKED"))</x:f>
        <x:v>PASS</x:v>
      </x:c>
      <x:c r="G225" t="str">
        <x:v>equals</x:v>
      </x:c>
      <x:c r="H225" t="str">
        <x:f>IF(E225=F225,"PASS","FAIL")</x:f>
        <x:v>PASS</x:v>
      </x:c>
    </x:row>
    <x:row r="226">
      <x:c r="B226" t="str">
        <x:v>A-200</x:v>
      </x:c>
      <x:c r="C226" t="str">
        <x:v>GATE</x:v>
      </x:c>
      <x:c r="D226" t="str">
        <x:v>release ledger mirrors governing state</x:v>
      </x:c>
      <x:c r="E226" t="str">
        <x:f>'Release Gates'!J206</x:f>
        <x:v>PASS</x:v>
      </x:c>
      <x:c r="F226" t="str">
        <x:f>IF('Release Gates'!C206="PLANNING","PASS",IF('Release Gates'!C206="PHYSICAL","OPEN","BLOCKED"))</x:f>
        <x:v>PASS</x:v>
      </x:c>
      <x:c r="G226" t="str">
        <x:v>equals</x:v>
      </x:c>
      <x:c r="H226" t="str">
        <x:f>IF(E226=F226,"PASS","FAIL")</x:f>
        <x:v>PASS</x:v>
      </x:c>
    </x:row>
    <x:row r="227">
      <x:c r="B227" t="str">
        <x:v>A-201</x:v>
      </x:c>
      <x:c r="C227" t="str">
        <x:v>GATE</x:v>
      </x:c>
      <x:c r="D227" t="str">
        <x:v>release ledger mirrors governing state</x:v>
      </x:c>
      <x:c r="E227" t="str">
        <x:f>'Release Gates'!J207</x:f>
        <x:v>PASS</x:v>
      </x:c>
      <x:c r="F227" t="str">
        <x:f>IF('Release Gates'!C207="PLANNING","PASS",IF('Release Gates'!C207="PHYSICAL","OPEN","BLOCKED"))</x:f>
        <x:v>PASS</x:v>
      </x:c>
      <x:c r="G227" t="str">
        <x:v>equals</x:v>
      </x:c>
      <x:c r="H227" t="str">
        <x:f>IF(E227=F227,"PASS","FAIL")</x:f>
        <x:v>PASS</x:v>
      </x:c>
    </x:row>
    <x:row r="228">
      <x:c r="B228" t="str">
        <x:v>A-202</x:v>
      </x:c>
      <x:c r="C228" t="str">
        <x:v>GATE</x:v>
      </x:c>
      <x:c r="D228" t="str">
        <x:v>release ledger mirrors governing state</x:v>
      </x:c>
      <x:c r="E228" t="str">
        <x:f>'Release Gates'!J208</x:f>
        <x:v>PASS</x:v>
      </x:c>
      <x:c r="F228" t="str">
        <x:f>IF('Release Gates'!C208="PLANNING","PASS",IF('Release Gates'!C208="PHYSICAL","OPEN","BLOCKED"))</x:f>
        <x:v>PASS</x:v>
      </x:c>
      <x:c r="G228" t="str">
        <x:v>equals</x:v>
      </x:c>
      <x:c r="H228" t="str">
        <x:f>IF(E228=F228,"PASS","FAIL")</x:f>
        <x:v>PASS</x:v>
      </x:c>
    </x:row>
    <x:row r="229">
      <x:c r="B229" t="str">
        <x:v>A-203</x:v>
      </x:c>
      <x:c r="C229" t="str">
        <x:v>GATE</x:v>
      </x:c>
      <x:c r="D229" t="str">
        <x:v>release ledger mirrors governing state</x:v>
      </x:c>
      <x:c r="E229" t="str">
        <x:f>'Release Gates'!J209</x:f>
        <x:v>PASS</x:v>
      </x:c>
      <x:c r="F229" t="str">
        <x:f>IF('Release Gates'!C209="PLANNING","PASS",IF('Release Gates'!C209="PHYSICAL","OPEN","BLOCKED"))</x:f>
        <x:v>PASS</x:v>
      </x:c>
      <x:c r="G229" t="str">
        <x:v>equals</x:v>
      </x:c>
      <x:c r="H229" t="str">
        <x:f>IF(E229=F229,"PASS","FAIL")</x:f>
        <x:v>PASS</x:v>
      </x:c>
    </x:row>
    <x:row r="230">
      <x:c r="B230" t="str">
        <x:v>A-204</x:v>
      </x:c>
      <x:c r="C230" t="str">
        <x:v>GATE</x:v>
      </x:c>
      <x:c r="D230" t="str">
        <x:v>release ledger mirrors governing state</x:v>
      </x:c>
      <x:c r="E230" t="str">
        <x:f>'Release Gates'!J210</x:f>
        <x:v>PASS</x:v>
      </x:c>
      <x:c r="F230" t="str">
        <x:f>IF('Release Gates'!C210="PLANNING","PASS",IF('Release Gates'!C210="PHYSICAL","OPEN","BLOCKED"))</x:f>
        <x:v>PASS</x:v>
      </x:c>
      <x:c r="G230" t="str">
        <x:v>equals</x:v>
      </x:c>
      <x:c r="H230" t="str">
        <x:f>IF(E230=F230,"PASS","FAIL")</x:f>
        <x:v>PASS</x:v>
      </x:c>
    </x:row>
    <x:row r="231">
      <x:c r="B231" t="str">
        <x:v>A-205</x:v>
      </x:c>
      <x:c r="C231" t="str">
        <x:v>GATE</x:v>
      </x:c>
      <x:c r="D231" t="str">
        <x:v>release ledger mirrors governing state</x:v>
      </x:c>
      <x:c r="E231" t="str">
        <x:f>'Release Gates'!J211</x:f>
        <x:v>PASS</x:v>
      </x:c>
      <x:c r="F231" t="str">
        <x:f>IF('Release Gates'!C211="PLANNING","PASS",IF('Release Gates'!C211="PHYSICAL","OPEN","BLOCKED"))</x:f>
        <x:v>PASS</x:v>
      </x:c>
      <x:c r="G231" t="str">
        <x:v>equals</x:v>
      </x:c>
      <x:c r="H231" t="str">
        <x:f>IF(E231=F231,"PASS","FAIL")</x:f>
        <x:v>PASS</x:v>
      </x:c>
    </x:row>
    <x:row r="232">
      <x:c r="B232" t="str">
        <x:v>A-206</x:v>
      </x:c>
      <x:c r="C232" t="str">
        <x:v>GATE</x:v>
      </x:c>
      <x:c r="D232" t="str">
        <x:v>release ledger mirrors governing state</x:v>
      </x:c>
      <x:c r="E232" t="str">
        <x:f>'Release Gates'!J212</x:f>
        <x:v>PASS</x:v>
      </x:c>
      <x:c r="F232" t="str">
        <x:f>IF('Release Gates'!C212="PLANNING","PASS",IF('Release Gates'!C212="PHYSICAL","OPEN","BLOCKED"))</x:f>
        <x:v>PASS</x:v>
      </x:c>
      <x:c r="G232" t="str">
        <x:v>equals</x:v>
      </x:c>
      <x:c r="H232" t="str">
        <x:f>IF(E232=F232,"PASS","FAIL")</x:f>
        <x:v>PASS</x:v>
      </x:c>
    </x:row>
    <x:row r="233">
      <x:c r="B233" t="str">
        <x:v>A-207</x:v>
      </x:c>
      <x:c r="C233" t="str">
        <x:v>GATE</x:v>
      </x:c>
      <x:c r="D233" t="str">
        <x:v>release ledger mirrors governing state</x:v>
      </x:c>
      <x:c r="E233" t="str">
        <x:f>'Release Gates'!J213</x:f>
        <x:v>PASS</x:v>
      </x:c>
      <x:c r="F233" t="str">
        <x:f>IF('Release Gates'!C213="PLANNING","PASS",IF('Release Gates'!C213="PHYSICAL","OPEN","BLOCKED"))</x:f>
        <x:v>PASS</x:v>
      </x:c>
      <x:c r="G233" t="str">
        <x:v>equals</x:v>
      </x:c>
      <x:c r="H233" t="str">
        <x:f>IF(E233=F233,"PASS","FAIL")</x:f>
        <x:v>PASS</x:v>
      </x:c>
    </x:row>
    <x:row r="234">
      <x:c r="B234" t="str">
        <x:v>A-208</x:v>
      </x:c>
      <x:c r="C234" t="str">
        <x:v>GATE</x:v>
      </x:c>
      <x:c r="D234" t="str">
        <x:v>release ledger mirrors governing state</x:v>
      </x:c>
      <x:c r="E234" t="str">
        <x:f>'Release Gates'!J214</x:f>
        <x:v>PASS</x:v>
      </x:c>
      <x:c r="F234" t="str">
        <x:f>IF('Release Gates'!C214="PLANNING","PASS",IF('Release Gates'!C214="PHYSICAL","OPEN","BLOCKED"))</x:f>
        <x:v>PASS</x:v>
      </x:c>
      <x:c r="G234" t="str">
        <x:v>equals</x:v>
      </x:c>
      <x:c r="H234" t="str">
        <x:f>IF(E234=F234,"PASS","FAIL")</x:f>
        <x:v>PASS</x:v>
      </x:c>
    </x:row>
    <x:row r="235">
      <x:c r="B235" t="str">
        <x:v>A-209</x:v>
      </x:c>
      <x:c r="C235" t="str">
        <x:v>GATE</x:v>
      </x:c>
      <x:c r="D235" t="str">
        <x:v>release ledger mirrors governing state</x:v>
      </x:c>
      <x:c r="E235" t="str">
        <x:f>'Release Gates'!J215</x:f>
        <x:v>PASS</x:v>
      </x:c>
      <x:c r="F235" t="str">
        <x:f>IF('Release Gates'!C215="PLANNING","PASS",IF('Release Gates'!C215="PHYSICAL","OPEN","BLOCKED"))</x:f>
        <x:v>PASS</x:v>
      </x:c>
      <x:c r="G235" t="str">
        <x:v>equals</x:v>
      </x:c>
      <x:c r="H235" t="str">
        <x:f>IF(E235=F235,"PASS","FAIL")</x:f>
        <x:v>PASS</x:v>
      </x:c>
    </x:row>
    <x:row r="236">
      <x:c r="B236" t="str">
        <x:v>A-210</x:v>
      </x:c>
      <x:c r="C236" t="str">
        <x:v>GATE</x:v>
      </x:c>
      <x:c r="D236" t="str">
        <x:v>release ledger mirrors governing state</x:v>
      </x:c>
      <x:c r="E236" t="str">
        <x:f>'Release Gates'!J216</x:f>
        <x:v>PASS</x:v>
      </x:c>
      <x:c r="F236" t="str">
        <x:f>IF('Release Gates'!C216="PLANNING","PASS",IF('Release Gates'!C216="PHYSICAL","OPEN","BLOCKED"))</x:f>
        <x:v>PASS</x:v>
      </x:c>
      <x:c r="G236" t="str">
        <x:v>equals</x:v>
      </x:c>
      <x:c r="H236" t="str">
        <x:f>IF(E236=F236,"PASS","FAIL")</x:f>
        <x:v>PASS</x:v>
      </x:c>
    </x:row>
    <x:row r="237">
      <x:c r="B237" t="str">
        <x:v>A-211</x:v>
      </x:c>
      <x:c r="C237" t="str">
        <x:v>GATE</x:v>
      </x:c>
      <x:c r="D237" t="str">
        <x:v>release ledger mirrors governing state</x:v>
      </x:c>
      <x:c r="E237" t="str">
        <x:f>'Release Gates'!J217</x:f>
        <x:v>PASS</x:v>
      </x:c>
      <x:c r="F237" t="str">
        <x:f>IF('Release Gates'!C217="PLANNING","PASS",IF('Release Gates'!C217="PHYSICAL","OPEN","BLOCKED"))</x:f>
        <x:v>PASS</x:v>
      </x:c>
      <x:c r="G237" t="str">
        <x:v>equals</x:v>
      </x:c>
      <x:c r="H237" t="str">
        <x:f>IF(E237=F237,"PASS","FAIL")</x:f>
        <x:v>PASS</x:v>
      </x:c>
    </x:row>
    <x:row r="238">
      <x:c r="B238" t="str">
        <x:v>A-212</x:v>
      </x:c>
      <x:c r="C238" t="str">
        <x:v>GATE</x:v>
      </x:c>
      <x:c r="D238" t="str">
        <x:v>release ledger mirrors governing state</x:v>
      </x:c>
      <x:c r="E238" t="str">
        <x:f>'Release Gates'!J218</x:f>
        <x:v>PASS</x:v>
      </x:c>
      <x:c r="F238" t="str">
        <x:f>IF('Release Gates'!C218="PLANNING","PASS",IF('Release Gates'!C218="PHYSICAL","OPEN","BLOCKED"))</x:f>
        <x:v>PASS</x:v>
      </x:c>
      <x:c r="G238" t="str">
        <x:v>equals</x:v>
      </x:c>
      <x:c r="H238" t="str">
        <x:f>IF(E238=F238,"PASS","FAIL")</x:f>
        <x:v>PASS</x:v>
      </x:c>
    </x:row>
    <x:row r="239">
      <x:c r="B239" t="str">
        <x:v>A-213</x:v>
      </x:c>
      <x:c r="C239" t="str">
        <x:v>GATE</x:v>
      </x:c>
      <x:c r="D239" t="str">
        <x:v>release ledger mirrors governing state</x:v>
      </x:c>
      <x:c r="E239" t="str">
        <x:f>'Release Gates'!J219</x:f>
        <x:v>PASS</x:v>
      </x:c>
      <x:c r="F239" t="str">
        <x:f>IF('Release Gates'!C219="PLANNING","PASS",IF('Release Gates'!C219="PHYSICAL","OPEN","BLOCKED"))</x:f>
        <x:v>PASS</x:v>
      </x:c>
      <x:c r="G239" t="str">
        <x:v>equals</x:v>
      </x:c>
      <x:c r="H239" t="str">
        <x:f>IF(E239=F239,"PASS","FAIL")</x:f>
        <x:v>PASS</x:v>
      </x:c>
    </x:row>
    <x:row r="240">
      <x:c r="B240" t="str">
        <x:v>A-214</x:v>
      </x:c>
      <x:c r="C240" t="str">
        <x:v>GATE</x:v>
      </x:c>
      <x:c r="D240" t="str">
        <x:v>release ledger mirrors governing state</x:v>
      </x:c>
      <x:c r="E240" t="str">
        <x:f>'Release Gates'!J220</x:f>
        <x:v>PASS</x:v>
      </x:c>
      <x:c r="F240" t="str">
        <x:f>IF('Release Gates'!C220="PLANNING","PASS",IF('Release Gates'!C220="PHYSICAL","OPEN","BLOCKED"))</x:f>
        <x:v>PASS</x:v>
      </x:c>
      <x:c r="G240" t="str">
        <x:v>equals</x:v>
      </x:c>
      <x:c r="H240" t="str">
        <x:f>IF(E240=F240,"PASS","FAIL")</x:f>
        <x:v>PASS</x:v>
      </x:c>
    </x:row>
    <x:row r="241">
      <x:c r="B241" t="str">
        <x:v>A-215</x:v>
      </x:c>
      <x:c r="C241" t="str">
        <x:v>GATE</x:v>
      </x:c>
      <x:c r="D241" t="str">
        <x:v>release ledger mirrors governing state</x:v>
      </x:c>
      <x:c r="E241" t="str">
        <x:f>'Release Gates'!J221</x:f>
        <x:v>PASS</x:v>
      </x:c>
      <x:c r="F241" t="str">
        <x:f>IF('Release Gates'!C221="PLANNING","PASS",IF('Release Gates'!C221="PHYSICAL","OPEN","BLOCKED"))</x:f>
        <x:v>PASS</x:v>
      </x:c>
      <x:c r="G241" t="str">
        <x:v>equals</x:v>
      </x:c>
      <x:c r="H241" t="str">
        <x:f>IF(E241=F241,"PASS","FAIL")</x:f>
        <x:v>PASS</x:v>
      </x:c>
    </x:row>
    <x:row r="242">
      <x:c r="B242" t="str">
        <x:v>A-216</x:v>
      </x:c>
      <x:c r="C242" t="str">
        <x:v>GATE</x:v>
      </x:c>
      <x:c r="D242" t="str">
        <x:v>release ledger mirrors governing state</x:v>
      </x:c>
      <x:c r="E242" t="str">
        <x:f>'Release Gates'!J222</x:f>
        <x:v>PASS</x:v>
      </x:c>
      <x:c r="F242" t="str">
        <x:f>IF('Release Gates'!C222="PLANNING","PASS",IF('Release Gates'!C222="PHYSICAL","OPEN","BLOCKED"))</x:f>
        <x:v>PASS</x:v>
      </x:c>
      <x:c r="G242" t="str">
        <x:v>equals</x:v>
      </x:c>
      <x:c r="H242" t="str">
        <x:f>IF(E242=F242,"PASS","FAIL")</x:f>
        <x:v>PASS</x:v>
      </x:c>
    </x:row>
    <x:row r="243">
      <x:c r="B243" t="str">
        <x:v>A-217</x:v>
      </x:c>
      <x:c r="C243" t="str">
        <x:v>GATE</x:v>
      </x:c>
      <x:c r="D243" t="str">
        <x:v>release ledger mirrors governing state</x:v>
      </x:c>
      <x:c r="E243" t="str">
        <x:f>'Release Gates'!J223</x:f>
        <x:v>PASS</x:v>
      </x:c>
      <x:c r="F243" t="str">
        <x:f>IF('Release Gates'!C223="PLANNING","PASS",IF('Release Gates'!C223="PHYSICAL","OPEN","BLOCKED"))</x:f>
        <x:v>PASS</x:v>
      </x:c>
      <x:c r="G243" t="str">
        <x:v>equals</x:v>
      </x:c>
      <x:c r="H243" t="str">
        <x:f>IF(E243=F243,"PASS","FAIL")</x:f>
        <x:v>PASS</x:v>
      </x:c>
    </x:row>
    <x:row r="244">
      <x:c r="B244" t="str">
        <x:v>A-218</x:v>
      </x:c>
      <x:c r="C244" t="str">
        <x:v>GATE</x:v>
      </x:c>
      <x:c r="D244" t="str">
        <x:v>release ledger mirrors governing state</x:v>
      </x:c>
      <x:c r="E244" t="str">
        <x:f>'Release Gates'!J224</x:f>
        <x:v>PASS</x:v>
      </x:c>
      <x:c r="F244" t="str">
        <x:f>IF('Release Gates'!C224="PLANNING","PASS",IF('Release Gates'!C224="PHYSICAL","OPEN","BLOCKED"))</x:f>
        <x:v>PASS</x:v>
      </x:c>
      <x:c r="G244" t="str">
        <x:v>equals</x:v>
      </x:c>
      <x:c r="H244" t="str">
        <x:f>IF(E244=F244,"PASS","FAIL")</x:f>
        <x:v>PASS</x:v>
      </x:c>
    </x:row>
    <x:row r="245">
      <x:c r="B245" t="str">
        <x:v>A-219</x:v>
      </x:c>
      <x:c r="C245" t="str">
        <x:v>GATE</x:v>
      </x:c>
      <x:c r="D245" t="str">
        <x:v>release ledger mirrors governing state</x:v>
      </x:c>
      <x:c r="E245" t="str">
        <x:f>'Release Gates'!J225</x:f>
        <x:v>PASS</x:v>
      </x:c>
      <x:c r="F245" t="str">
        <x:f>IF('Release Gates'!C225="PLANNING","PASS",IF('Release Gates'!C225="PHYSICAL","OPEN","BLOCKED"))</x:f>
        <x:v>PASS</x:v>
      </x:c>
      <x:c r="G245" t="str">
        <x:v>equals</x:v>
      </x:c>
      <x:c r="H245" t="str">
        <x:f>IF(E245=F245,"PASS","FAIL")</x:f>
        <x:v>PASS</x:v>
      </x:c>
    </x:row>
    <x:row r="246">
      <x:c r="B246" t="str">
        <x:v>A-220</x:v>
      </x:c>
      <x:c r="C246" t="str">
        <x:v>GATE</x:v>
      </x:c>
      <x:c r="D246" t="str">
        <x:v>release ledger mirrors governing state</x:v>
      </x:c>
      <x:c r="E246" t="str">
        <x:f>'Release Gates'!J226</x:f>
        <x:v>PASS</x:v>
      </x:c>
      <x:c r="F246" t="str">
        <x:f>IF('Release Gates'!C226="PLANNING","PASS",IF('Release Gates'!C226="PHYSICAL","OPEN","BLOCKED"))</x:f>
        <x:v>PASS</x:v>
      </x:c>
      <x:c r="G246" t="str">
        <x:v>equals</x:v>
      </x:c>
      <x:c r="H246" t="str">
        <x:f>IF(E246=F246,"PASS","FAIL")</x:f>
        <x:v>PASS</x:v>
      </x:c>
    </x:row>
    <x:row r="247">
      <x:c r="B247" t="str">
        <x:v>A-221</x:v>
      </x:c>
      <x:c r="C247" t="str">
        <x:v>GATE</x:v>
      </x:c>
      <x:c r="D247" t="str">
        <x:v>release ledger mirrors governing state</x:v>
      </x:c>
      <x:c r="E247" t="str">
        <x:f>'Release Gates'!J227</x:f>
        <x:v>PASS</x:v>
      </x:c>
      <x:c r="F247" t="str">
        <x:f>IF('Release Gates'!C227="PLANNING","PASS",IF('Release Gates'!C227="PHYSICAL","OPEN","BLOCKED"))</x:f>
        <x:v>PASS</x:v>
      </x:c>
      <x:c r="G247" t="str">
        <x:v>equals</x:v>
      </x:c>
      <x:c r="H247" t="str">
        <x:f>IF(E247=F247,"PASS","FAIL")</x:f>
        <x:v>PASS</x:v>
      </x:c>
    </x:row>
    <x:row r="248">
      <x:c r="B248" t="str">
        <x:v>A-222</x:v>
      </x:c>
      <x:c r="C248" t="str">
        <x:v>GATE</x:v>
      </x:c>
      <x:c r="D248" t="str">
        <x:v>release ledger mirrors governing state</x:v>
      </x:c>
      <x:c r="E248" t="str">
        <x:f>'Release Gates'!J228</x:f>
        <x:v>PASS</x:v>
      </x:c>
      <x:c r="F248" t="str">
        <x:f>IF('Release Gates'!C228="PLANNING","PASS",IF('Release Gates'!C228="PHYSICAL","OPEN","BLOCKED"))</x:f>
        <x:v>PASS</x:v>
      </x:c>
      <x:c r="G248" t="str">
        <x:v>equals</x:v>
      </x:c>
      <x:c r="H248" t="str">
        <x:f>IF(E248=F248,"PASS","FAIL")</x:f>
        <x:v>PASS</x:v>
      </x:c>
    </x:row>
    <x:row r="249">
      <x:c r="B249" t="str">
        <x:v>A-223</x:v>
      </x:c>
      <x:c r="C249" t="str">
        <x:v>GATE</x:v>
      </x:c>
      <x:c r="D249" t="str">
        <x:v>release ledger mirrors governing state</x:v>
      </x:c>
      <x:c r="E249" t="str">
        <x:f>'Release Gates'!J229</x:f>
        <x:v>PASS</x:v>
      </x:c>
      <x:c r="F249" t="str">
        <x:f>IF('Release Gates'!C229="PLANNING","PASS",IF('Release Gates'!C229="PHYSICAL","OPEN","BLOCKED"))</x:f>
        <x:v>PASS</x:v>
      </x:c>
      <x:c r="G249" t="str">
        <x:v>equals</x:v>
      </x:c>
      <x:c r="H249" t="str">
        <x:f>IF(E249=F249,"PASS","FAIL")</x:f>
        <x:v>PASS</x:v>
      </x:c>
    </x:row>
    <x:row r="250">
      <x:c r="B250" t="str">
        <x:v>A-224</x:v>
      </x:c>
      <x:c r="C250" t="str">
        <x:v>GATE</x:v>
      </x:c>
      <x:c r="D250" t="str">
        <x:v>release ledger mirrors governing state</x:v>
      </x:c>
      <x:c r="E250" t="str">
        <x:f>'Release Gates'!J230</x:f>
        <x:v>PASS</x:v>
      </x:c>
      <x:c r="F250" t="str">
        <x:f>IF('Release Gates'!C230="PLANNING","PASS",IF('Release Gates'!C230="PHYSICAL","OPEN","BLOCKED"))</x:f>
        <x:v>PASS</x:v>
      </x:c>
      <x:c r="G250" t="str">
        <x:v>equals</x:v>
      </x:c>
      <x:c r="H250" t="str">
        <x:f>IF(E250=F250,"PASS","FAIL")</x:f>
        <x:v>PASS</x:v>
      </x:c>
    </x:row>
    <x:row r="251">
      <x:c r="B251" t="str">
        <x:v>A-225</x:v>
      </x:c>
      <x:c r="C251" t="str">
        <x:v>GATE</x:v>
      </x:c>
      <x:c r="D251" t="str">
        <x:v>release ledger mirrors governing state</x:v>
      </x:c>
      <x:c r="E251" t="str">
        <x:f>'Release Gates'!J231</x:f>
        <x:v>PASS</x:v>
      </x:c>
      <x:c r="F251" t="str">
        <x:f>IF('Release Gates'!C231="PLANNING","PASS",IF('Release Gates'!C231="PHYSICAL","OPEN","BLOCKED"))</x:f>
        <x:v>PASS</x:v>
      </x:c>
      <x:c r="G251" t="str">
        <x:v>equals</x:v>
      </x:c>
      <x:c r="H251" t="str">
        <x:f>IF(E251=F251,"PASS","FAIL")</x:f>
        <x:v>PASS</x:v>
      </x:c>
    </x:row>
    <x:row r="252">
      <x:c r="B252" t="str">
        <x:v>A-226</x:v>
      </x:c>
      <x:c r="C252" t="str">
        <x:v>GATE</x:v>
      </x:c>
      <x:c r="D252" t="str">
        <x:v>release ledger mirrors governing state</x:v>
      </x:c>
      <x:c r="E252" t="str">
        <x:f>'Release Gates'!J232</x:f>
        <x:v>PASS</x:v>
      </x:c>
      <x:c r="F252" t="str">
        <x:f>IF('Release Gates'!C232="PLANNING","PASS",IF('Release Gates'!C232="PHYSICAL","OPEN","BLOCKED"))</x:f>
        <x:v>PASS</x:v>
      </x:c>
      <x:c r="G252" t="str">
        <x:v>equals</x:v>
      </x:c>
      <x:c r="H252" t="str">
        <x:f>IF(E252=F252,"PASS","FAIL")</x:f>
        <x:v>PASS</x:v>
      </x:c>
    </x:row>
    <x:row r="253">
      <x:c r="B253" t="str">
        <x:v>A-227</x:v>
      </x:c>
      <x:c r="C253" t="str">
        <x:v>GATE</x:v>
      </x:c>
      <x:c r="D253" t="str">
        <x:v>release ledger mirrors governing state</x:v>
      </x:c>
      <x:c r="E253" t="str">
        <x:f>'Release Gates'!J233</x:f>
        <x:v>PASS</x:v>
      </x:c>
      <x:c r="F253" t="str">
        <x:f>IF('Release Gates'!C233="PLANNING","PASS",IF('Release Gates'!C233="PHYSICAL","OPEN","BLOCKED"))</x:f>
        <x:v>PASS</x:v>
      </x:c>
      <x:c r="G253" t="str">
        <x:v>equals</x:v>
      </x:c>
      <x:c r="H253" t="str">
        <x:f>IF(E253=F253,"PASS","FAIL")</x:f>
        <x:v>PASS</x:v>
      </x:c>
    </x:row>
    <x:row r="254">
      <x:c r="B254" t="str">
        <x:v>A-228</x:v>
      </x:c>
      <x:c r="C254" t="str">
        <x:v>GATE</x:v>
      </x:c>
      <x:c r="D254" t="str">
        <x:v>release ledger mirrors governing state</x:v>
      </x:c>
      <x:c r="E254" t="str">
        <x:f>'Release Gates'!J234</x:f>
        <x:v>PASS</x:v>
      </x:c>
      <x:c r="F254" t="str">
        <x:f>IF('Release Gates'!C234="PLANNING","PASS",IF('Release Gates'!C234="PHYSICAL","OPEN","BLOCKED"))</x:f>
        <x:v>PASS</x:v>
      </x:c>
      <x:c r="G254" t="str">
        <x:v>equals</x:v>
      </x:c>
      <x:c r="H254" t="str">
        <x:f>IF(E254=F254,"PASS","FAIL")</x:f>
        <x:v>PASS</x:v>
      </x:c>
    </x:row>
    <x:row r="255">
      <x:c r="B255" t="str">
        <x:v>A-229</x:v>
      </x:c>
      <x:c r="C255" t="str">
        <x:v>GATE</x:v>
      </x:c>
      <x:c r="D255" t="str">
        <x:v>release ledger mirrors governing state</x:v>
      </x:c>
      <x:c r="E255" t="str">
        <x:f>'Release Gates'!J235</x:f>
        <x:v>PASS</x:v>
      </x:c>
      <x:c r="F255" t="str">
        <x:f>IF('Release Gates'!C235="PLANNING","PASS",IF('Release Gates'!C235="PHYSICAL","OPEN","BLOCKED"))</x:f>
        <x:v>PASS</x:v>
      </x:c>
      <x:c r="G255" t="str">
        <x:v>equals</x:v>
      </x:c>
      <x:c r="H255" t="str">
        <x:f>IF(E255=F255,"PASS","FAIL")</x:f>
        <x:v>PASS</x:v>
      </x:c>
    </x:row>
    <x:row r="256">
      <x:c r="B256" t="str">
        <x:v>A-230</x:v>
      </x:c>
      <x:c r="C256" t="str">
        <x:v>GATE</x:v>
      </x:c>
      <x:c r="D256" t="str">
        <x:v>release ledger mirrors governing state</x:v>
      </x:c>
      <x:c r="E256" t="str">
        <x:f>'Release Gates'!J236</x:f>
        <x:v>PASS</x:v>
      </x:c>
      <x:c r="F256" t="str">
        <x:f>IF('Release Gates'!C236="PLANNING","PASS",IF('Release Gates'!C236="PHYSICAL","OPEN","BLOCKED"))</x:f>
        <x:v>PASS</x:v>
      </x:c>
      <x:c r="G256" t="str">
        <x:v>equals</x:v>
      </x:c>
      <x:c r="H256" t="str">
        <x:f>IF(E256=F256,"PASS","FAIL")</x:f>
        <x:v>PASS</x:v>
      </x:c>
    </x:row>
    <x:row r="257">
      <x:c r="B257" t="str">
        <x:v>A-231</x:v>
      </x:c>
      <x:c r="C257" t="str">
        <x:v>GATE</x:v>
      </x:c>
      <x:c r="D257" t="str">
        <x:v>release ledger mirrors governing state</x:v>
      </x:c>
      <x:c r="E257" t="str">
        <x:f>'Release Gates'!J237</x:f>
        <x:v>PASS</x:v>
      </x:c>
      <x:c r="F257" t="str">
        <x:f>IF('Release Gates'!C237="PLANNING","PASS",IF('Release Gates'!C237="PHYSICAL","OPEN","BLOCKED"))</x:f>
        <x:v>PASS</x:v>
      </x:c>
      <x:c r="G257" t="str">
        <x:v>equals</x:v>
      </x:c>
      <x:c r="H257" t="str">
        <x:f>IF(E257=F257,"PASS","FAIL")</x:f>
        <x:v>PASS</x:v>
      </x:c>
    </x:row>
    <x:row r="258">
      <x:c r="B258" t="str">
        <x:v>A-232</x:v>
      </x:c>
      <x:c r="C258" t="str">
        <x:v>GATE</x:v>
      </x:c>
      <x:c r="D258" t="str">
        <x:v>release ledger mirrors governing state</x:v>
      </x:c>
      <x:c r="E258" t="str">
        <x:f>'Release Gates'!J238</x:f>
        <x:v>PASS</x:v>
      </x:c>
      <x:c r="F258" t="str">
        <x:f>IF('Release Gates'!C238="PLANNING","PASS",IF('Release Gates'!C238="PHYSICAL","OPEN","BLOCKED"))</x:f>
        <x:v>PASS</x:v>
      </x:c>
      <x:c r="G258" t="str">
        <x:v>equals</x:v>
      </x:c>
      <x:c r="H258" t="str">
        <x:f>IF(E258=F258,"PASS","FAIL")</x:f>
        <x:v>PASS</x:v>
      </x:c>
    </x:row>
    <x:row r="259">
      <x:c r="B259" t="str">
        <x:v>A-233</x:v>
      </x:c>
      <x:c r="C259" t="str">
        <x:v>GATE</x:v>
      </x:c>
      <x:c r="D259" t="str">
        <x:v>release ledger mirrors governing state</x:v>
      </x:c>
      <x:c r="E259" t="str">
        <x:f>'Release Gates'!J239</x:f>
        <x:v>PASS</x:v>
      </x:c>
      <x:c r="F259" t="str">
        <x:f>IF('Release Gates'!C239="PLANNING","PASS",IF('Release Gates'!C239="PHYSICAL","OPEN","BLOCKED"))</x:f>
        <x:v>PASS</x:v>
      </x:c>
      <x:c r="G259" t="str">
        <x:v>equals</x:v>
      </x:c>
      <x:c r="H259" t="str">
        <x:f>IF(E259=F259,"PASS","FAIL")</x:f>
        <x:v>PASS</x:v>
      </x:c>
    </x:row>
    <x:row r="260">
      <x:c r="B260" t="str">
        <x:v>A-234</x:v>
      </x:c>
      <x:c r="C260" t="str">
        <x:v>GATE</x:v>
      </x:c>
      <x:c r="D260" t="str">
        <x:v>release ledger mirrors governing state</x:v>
      </x:c>
      <x:c r="E260" t="str">
        <x:f>'Release Gates'!J240</x:f>
        <x:v>PASS</x:v>
      </x:c>
      <x:c r="F260" t="str">
        <x:f>IF('Release Gates'!C240="PLANNING","PASS",IF('Release Gates'!C240="PHYSICAL","OPEN","BLOCKED"))</x:f>
        <x:v>PASS</x:v>
      </x:c>
      <x:c r="G260" t="str">
        <x:v>equals</x:v>
      </x:c>
      <x:c r="H260" t="str">
        <x:f>IF(E260=F260,"PASS","FAIL")</x:f>
        <x:v>PASS</x:v>
      </x:c>
    </x:row>
    <x:row r="261">
      <x:c r="B261" t="str">
        <x:v>A-235</x:v>
      </x:c>
      <x:c r="C261" t="str">
        <x:v>GATE</x:v>
      </x:c>
      <x:c r="D261" t="str">
        <x:v>release ledger mirrors governing state</x:v>
      </x:c>
      <x:c r="E261" t="str">
        <x:f>'Release Gates'!J241</x:f>
        <x:v>PASS</x:v>
      </x:c>
      <x:c r="F261" t="str">
        <x:f>IF('Release Gates'!C241="PLANNING","PASS",IF('Release Gates'!C241="PHYSICAL","OPEN","BLOCKED"))</x:f>
        <x:v>PASS</x:v>
      </x:c>
      <x:c r="G261" t="str">
        <x:v>equals</x:v>
      </x:c>
      <x:c r="H261" t="str">
        <x:f>IF(E261=F261,"PASS","FAIL")</x:f>
        <x:v>PASS</x:v>
      </x:c>
    </x:row>
    <x:row r="262">
      <x:c r="B262" t="str">
        <x:v>A-236</x:v>
      </x:c>
      <x:c r="C262" t="str">
        <x:v>GATE</x:v>
      </x:c>
      <x:c r="D262" t="str">
        <x:v>release ledger mirrors governing state</x:v>
      </x:c>
      <x:c r="E262" t="str">
        <x:f>'Release Gates'!J242</x:f>
        <x:v>PASS</x:v>
      </x:c>
      <x:c r="F262" t="str">
        <x:f>IF('Release Gates'!C242="PLANNING","PASS",IF('Release Gates'!C242="PHYSICAL","OPEN","BLOCKED"))</x:f>
        <x:v>PASS</x:v>
      </x:c>
      <x:c r="G262" t="str">
        <x:v>equals</x:v>
      </x:c>
      <x:c r="H262" t="str">
        <x:f>IF(E262=F262,"PASS","FAIL")</x:f>
        <x:v>PASS</x:v>
      </x:c>
    </x:row>
    <x:row r="263">
      <x:c r="B263" t="str">
        <x:v>A-237</x:v>
      </x:c>
      <x:c r="C263" t="str">
        <x:v>GATE</x:v>
      </x:c>
      <x:c r="D263" t="str">
        <x:v>release ledger mirrors governing state</x:v>
      </x:c>
      <x:c r="E263" t="str">
        <x:f>'Release Gates'!J243</x:f>
        <x:v>PASS</x:v>
      </x:c>
      <x:c r="F263" t="str">
        <x:f>IF('Release Gates'!C243="PLANNING","PASS",IF('Release Gates'!C243="PHYSICAL","OPEN","BLOCKED"))</x:f>
        <x:v>PASS</x:v>
      </x:c>
      <x:c r="G263" t="str">
        <x:v>equals</x:v>
      </x:c>
      <x:c r="H263" t="str">
        <x:f>IF(E263=F263,"PASS","FAIL")</x:f>
        <x:v>PASS</x:v>
      </x:c>
    </x:row>
    <x:row r="264">
      <x:c r="B264" t="str">
        <x:v>A-238</x:v>
      </x:c>
      <x:c r="C264" t="str">
        <x:v>GATE</x:v>
      </x:c>
      <x:c r="D264" t="str">
        <x:v>release ledger mirrors governing state</x:v>
      </x:c>
      <x:c r="E264" t="str">
        <x:f>'Release Gates'!J244</x:f>
        <x:v>PASS</x:v>
      </x:c>
      <x:c r="F264" t="str">
        <x:f>IF('Release Gates'!C244="PLANNING","PASS",IF('Release Gates'!C244="PHYSICAL","OPEN","BLOCKED"))</x:f>
        <x:v>PASS</x:v>
      </x:c>
      <x:c r="G264" t="str">
        <x:v>equals</x:v>
      </x:c>
      <x:c r="H264" t="str">
        <x:f>IF(E264=F264,"PASS","FAIL")</x:f>
        <x:v>PASS</x:v>
      </x:c>
    </x:row>
    <x:row r="265">
      <x:c r="B265" t="str">
        <x:v>A-239</x:v>
      </x:c>
      <x:c r="C265" t="str">
        <x:v>GATE</x:v>
      </x:c>
      <x:c r="D265" t="str">
        <x:v>release ledger mirrors governing state</x:v>
      </x:c>
      <x:c r="E265" t="str">
        <x:f>'Release Gates'!J245</x:f>
        <x:v>PASS</x:v>
      </x:c>
      <x:c r="F265" t="str">
        <x:f>IF('Release Gates'!C245="PLANNING","PASS",IF('Release Gates'!C245="PHYSICAL","OPEN","BLOCKED"))</x:f>
        <x:v>PASS</x:v>
      </x:c>
      <x:c r="G265" t="str">
        <x:v>equals</x:v>
      </x:c>
      <x:c r="H265" t="str">
        <x:f>IF(E265=F265,"PASS","FAIL")</x:f>
        <x:v>PASS</x:v>
      </x:c>
    </x:row>
    <x:row r="266">
      <x:c r="B266" t="str">
        <x:v>A-240</x:v>
      </x:c>
      <x:c r="C266" t="str">
        <x:v>GATE</x:v>
      </x:c>
      <x:c r="D266" t="str">
        <x:v>release ledger mirrors governing state</x:v>
      </x:c>
      <x:c r="E266" t="str">
        <x:f>'Release Gates'!J246</x:f>
        <x:v>PASS</x:v>
      </x:c>
      <x:c r="F266" t="str">
        <x:f>IF('Release Gates'!C246="PLANNING","PASS",IF('Release Gates'!C246="PHYSICAL","OPEN","BLOCKED"))</x:f>
        <x:v>PASS</x:v>
      </x:c>
      <x:c r="G266" t="str">
        <x:v>equals</x:v>
      </x:c>
      <x:c r="H266" t="str">
        <x:f>IF(E266=F266,"PASS","FAIL")</x:f>
        <x:v>PASS</x:v>
      </x:c>
    </x:row>
    <x:row r="267">
      <x:c r="B267" t="str">
        <x:v>A-241</x:v>
      </x:c>
      <x:c r="C267" t="str">
        <x:v>GATE</x:v>
      </x:c>
      <x:c r="D267" t="str">
        <x:v>release ledger mirrors governing state</x:v>
      </x:c>
      <x:c r="E267" t="str">
        <x:f>'Release Gates'!J247</x:f>
        <x:v>PASS</x:v>
      </x:c>
      <x:c r="F267" t="str">
        <x:f>IF('Release Gates'!C247="PLANNING","PASS",IF('Release Gates'!C247="PHYSICAL","OPEN","BLOCKED"))</x:f>
        <x:v>PASS</x:v>
      </x:c>
      <x:c r="G267" t="str">
        <x:v>equals</x:v>
      </x:c>
      <x:c r="H267" t="str">
        <x:f>IF(E267=F267,"PASS","FAIL")</x:f>
        <x:v>PASS</x:v>
      </x:c>
    </x:row>
    <x:row r="268">
      <x:c r="B268" t="str">
        <x:v>A-242</x:v>
      </x:c>
      <x:c r="C268" t="str">
        <x:v>GATE</x:v>
      </x:c>
      <x:c r="D268" t="str">
        <x:v>release ledger mirrors governing state</x:v>
      </x:c>
      <x:c r="E268" t="str">
        <x:f>'Release Gates'!J248</x:f>
        <x:v>PASS</x:v>
      </x:c>
      <x:c r="F268" t="str">
        <x:f>IF('Release Gates'!C248="PLANNING","PASS",IF('Release Gates'!C248="PHYSICAL","OPEN","BLOCKED"))</x:f>
        <x:v>PASS</x:v>
      </x:c>
      <x:c r="G268" t="str">
        <x:v>equals</x:v>
      </x:c>
      <x:c r="H268" t="str">
        <x:f>IF(E268=F268,"PASS","FAIL")</x:f>
        <x:v>PASS</x:v>
      </x:c>
    </x:row>
    <x:row r="269">
      <x:c r="B269" t="str">
        <x:v>A-243</x:v>
      </x:c>
      <x:c r="C269" t="str">
        <x:v>GATE</x:v>
      </x:c>
      <x:c r="D269" t="str">
        <x:v>release ledger mirrors governing state</x:v>
      </x:c>
      <x:c r="E269" t="str">
        <x:f>'Release Gates'!J249</x:f>
        <x:v>PASS</x:v>
      </x:c>
      <x:c r="F269" t="str">
        <x:f>IF('Release Gates'!C249="PLANNING","PASS",IF('Release Gates'!C249="PHYSICAL","OPEN","BLOCKED"))</x:f>
        <x:v>PASS</x:v>
      </x:c>
      <x:c r="G269" t="str">
        <x:v>equals</x:v>
      </x:c>
      <x:c r="H269" t="str">
        <x:f>IF(E269=F269,"PASS","FAIL")</x:f>
        <x:v>PASS</x:v>
      </x:c>
    </x:row>
    <x:row r="270">
      <x:c r="B270" t="str">
        <x:v>A-244</x:v>
      </x:c>
      <x:c r="C270" t="str">
        <x:v>GATE</x:v>
      </x:c>
      <x:c r="D270" t="str">
        <x:v>release ledger mirrors governing state</x:v>
      </x:c>
      <x:c r="E270" t="str">
        <x:f>'Release Gates'!J250</x:f>
        <x:v>PASS</x:v>
      </x:c>
      <x:c r="F270" t="str">
        <x:f>IF('Release Gates'!C250="PLANNING","PASS",IF('Release Gates'!C250="PHYSICAL","OPEN","BLOCKED"))</x:f>
        <x:v>PASS</x:v>
      </x:c>
      <x:c r="G270" t="str">
        <x:v>equals</x:v>
      </x:c>
      <x:c r="H270" t="str">
        <x:f>IF(E270=F270,"PASS","FAIL")</x:f>
        <x:v>PASS</x:v>
      </x:c>
    </x:row>
    <x:row r="271">
      <x:c r="B271" t="str">
        <x:v>A-245</x:v>
      </x:c>
      <x:c r="C271" t="str">
        <x:v>GATE</x:v>
      </x:c>
      <x:c r="D271" t="str">
        <x:v>release ledger mirrors governing state</x:v>
      </x:c>
      <x:c r="E271" t="str">
        <x:f>'Release Gates'!J251</x:f>
        <x:v>PASS</x:v>
      </x:c>
      <x:c r="F271" t="str">
        <x:f>IF('Release Gates'!C251="PLANNING","PASS",IF('Release Gates'!C251="PHYSICAL","OPEN","BLOCKED"))</x:f>
        <x:v>PASS</x:v>
      </x:c>
      <x:c r="G271" t="str">
        <x:v>equals</x:v>
      </x:c>
      <x:c r="H271" t="str">
        <x:f>IF(E271=F271,"PASS","FAIL")</x:f>
        <x:v>PASS</x:v>
      </x:c>
    </x:row>
    <x:row r="272">
      <x:c r="B272" t="str">
        <x:v>A-246</x:v>
      </x:c>
      <x:c r="C272" t="str">
        <x:v>GATE</x:v>
      </x:c>
      <x:c r="D272" t="str">
        <x:v>release ledger mirrors governing state</x:v>
      </x:c>
      <x:c r="E272" t="str">
        <x:f>'Release Gates'!J252</x:f>
        <x:v>PASS</x:v>
      </x:c>
      <x:c r="F272" t="str">
        <x:f>IF('Release Gates'!C252="PLANNING","PASS",IF('Release Gates'!C252="PHYSICAL","OPEN","BLOCKED"))</x:f>
        <x:v>PASS</x:v>
      </x:c>
      <x:c r="G272" t="str">
        <x:v>equals</x:v>
      </x:c>
      <x:c r="H272" t="str">
        <x:f>IF(E272=F272,"PASS","FAIL")</x:f>
        <x:v>PASS</x:v>
      </x:c>
    </x:row>
    <x:row r="273">
      <x:c r="B273" t="str">
        <x:v>A-247</x:v>
      </x:c>
      <x:c r="C273" t="str">
        <x:v>GATE</x:v>
      </x:c>
      <x:c r="D273" t="str">
        <x:v>release ledger mirrors governing state</x:v>
      </x:c>
      <x:c r="E273" t="str">
        <x:f>'Release Gates'!J253</x:f>
        <x:v>PASS</x:v>
      </x:c>
      <x:c r="F273" t="str">
        <x:f>IF('Release Gates'!C253="PLANNING","PASS",IF('Release Gates'!C253="PHYSICAL","OPEN","BLOCKED"))</x:f>
        <x:v>PASS</x:v>
      </x:c>
      <x:c r="G273" t="str">
        <x:v>equals</x:v>
      </x:c>
      <x:c r="H273" t="str">
        <x:f>IF(E273=F273,"PASS","FAIL")</x:f>
        <x:v>PASS</x:v>
      </x:c>
    </x:row>
    <x:row r="274">
      <x:c r="B274" t="str">
        <x:v>A-248</x:v>
      </x:c>
      <x:c r="C274" t="str">
        <x:v>GATE</x:v>
      </x:c>
      <x:c r="D274" t="str">
        <x:v>release ledger mirrors governing state</x:v>
      </x:c>
      <x:c r="E274" t="str">
        <x:f>'Release Gates'!J254</x:f>
        <x:v>PASS</x:v>
      </x:c>
      <x:c r="F274" t="str">
        <x:f>IF('Release Gates'!C254="PLANNING","PASS",IF('Release Gates'!C254="PHYSICAL","OPEN","BLOCKED"))</x:f>
        <x:v>PASS</x:v>
      </x:c>
      <x:c r="G274" t="str">
        <x:v>equals</x:v>
      </x:c>
      <x:c r="H274" t="str">
        <x:f>IF(E274=F274,"PASS","FAIL")</x:f>
        <x:v>PASS</x:v>
      </x:c>
    </x:row>
    <x:row r="275">
      <x:c r="B275" t="str">
        <x:v>A-249</x:v>
      </x:c>
      <x:c r="C275" t="str">
        <x:v>GATE</x:v>
      </x:c>
      <x:c r="D275" t="str">
        <x:v>release ledger mirrors governing state</x:v>
      </x:c>
      <x:c r="E275" t="str">
        <x:f>'Release Gates'!J255</x:f>
        <x:v>PASS</x:v>
      </x:c>
      <x:c r="F275" t="str">
        <x:f>IF('Release Gates'!C255="PLANNING","PASS",IF('Release Gates'!C255="PHYSICAL","OPEN","BLOCKED"))</x:f>
        <x:v>PASS</x:v>
      </x:c>
      <x:c r="G275" t="str">
        <x:v>equals</x:v>
      </x:c>
      <x:c r="H275" t="str">
        <x:f>IF(E275=F275,"PASS","FAIL")</x:f>
        <x:v>PASS</x:v>
      </x:c>
    </x:row>
    <x:row r="276">
      <x:c r="B276" t="str">
        <x:v>A-250</x:v>
      </x:c>
      <x:c r="C276" t="str">
        <x:v>GATE</x:v>
      </x:c>
      <x:c r="D276" t="str">
        <x:v>release ledger mirrors governing state</x:v>
      </x:c>
      <x:c r="E276" t="str">
        <x:f>'Release Gates'!J256</x:f>
        <x:v>PASS</x:v>
      </x:c>
      <x:c r="F276" t="str">
        <x:f>IF('Release Gates'!C256="PLANNING","PASS",IF('Release Gates'!C256="PHYSICAL","OPEN","BLOCKED"))</x:f>
        <x:v>PASS</x:v>
      </x:c>
      <x:c r="G276" t="str">
        <x:v>equals</x:v>
      </x:c>
      <x:c r="H276" t="str">
        <x:f>IF(E276=F276,"PASS","FAIL")</x:f>
        <x:v>PASS</x:v>
      </x:c>
    </x:row>
    <x:row r="277">
      <x:c r="B277" t="str">
        <x:v>A-251</x:v>
      </x:c>
      <x:c r="C277" t="str">
        <x:v>GATE</x:v>
      </x:c>
      <x:c r="D277" t="str">
        <x:v>release ledger mirrors governing state</x:v>
      </x:c>
      <x:c r="E277" t="str">
        <x:f>'Release Gates'!J257</x:f>
        <x:v>PASS</x:v>
      </x:c>
      <x:c r="F277" t="str">
        <x:f>IF('Release Gates'!C257="PLANNING","PASS",IF('Release Gates'!C257="PHYSICAL","OPEN","BLOCKED"))</x:f>
        <x:v>PASS</x:v>
      </x:c>
      <x:c r="G277" t="str">
        <x:v>equals</x:v>
      </x:c>
      <x:c r="H277" t="str">
        <x:f>IF(E277=F277,"PASS","FAIL")</x:f>
        <x:v>PASS</x:v>
      </x:c>
    </x:row>
    <x:row r="278">
      <x:c r="B278" t="str">
        <x:v>A-252</x:v>
      </x:c>
      <x:c r="C278" t="str">
        <x:v>GATE</x:v>
      </x:c>
      <x:c r="D278" t="str">
        <x:v>release ledger mirrors governing state</x:v>
      </x:c>
      <x:c r="E278" t="str">
        <x:f>'Release Gates'!J258</x:f>
        <x:v>PASS</x:v>
      </x:c>
      <x:c r="F278" t="str">
        <x:f>IF('Release Gates'!C258="PLANNING","PASS",IF('Release Gates'!C258="PHYSICAL","OPEN","BLOCKED"))</x:f>
        <x:v>PASS</x:v>
      </x:c>
      <x:c r="G278" t="str">
        <x:v>equals</x:v>
      </x:c>
      <x:c r="H278" t="str">
        <x:f>IF(E278=F278,"PASS","FAIL")</x:f>
        <x:v>PASS</x:v>
      </x:c>
    </x:row>
    <x:row r="279">
      <x:c r="B279" t="str">
        <x:v>A-253</x:v>
      </x:c>
      <x:c r="C279" t="str">
        <x:v>GATE</x:v>
      </x:c>
      <x:c r="D279" t="str">
        <x:v>release ledger mirrors governing state</x:v>
      </x:c>
      <x:c r="E279" t="str">
        <x:f>'Release Gates'!J259</x:f>
        <x:v>PASS</x:v>
      </x:c>
      <x:c r="F279" t="str">
        <x:f>IF('Release Gates'!C259="PLANNING","PASS",IF('Release Gates'!C259="PHYSICAL","OPEN","BLOCKED"))</x:f>
        <x:v>PASS</x:v>
      </x:c>
      <x:c r="G279" t="str">
        <x:v>equals</x:v>
      </x:c>
      <x:c r="H279" t="str">
        <x:f>IF(E279=F279,"PASS","FAIL")</x:f>
        <x:v>PASS</x:v>
      </x:c>
    </x:row>
    <x:row r="280">
      <x:c r="B280" t="str">
        <x:v>A-254</x:v>
      </x:c>
      <x:c r="C280" t="str">
        <x:v>GATE</x:v>
      </x:c>
      <x:c r="D280" t="str">
        <x:v>release ledger mirrors governing state</x:v>
      </x:c>
      <x:c r="E280" t="str">
        <x:f>'Release Gates'!J260</x:f>
        <x:v>PASS</x:v>
      </x:c>
      <x:c r="F280" t="str">
        <x:f>IF('Release Gates'!C260="PLANNING","PASS",IF('Release Gates'!C260="PHYSICAL","OPEN","BLOCKED"))</x:f>
        <x:v>PASS</x:v>
      </x:c>
      <x:c r="G280" t="str">
        <x:v>equals</x:v>
      </x:c>
      <x:c r="H280" t="str">
        <x:f>IF(E280=F280,"PASS","FAIL")</x:f>
        <x:v>PASS</x:v>
      </x:c>
    </x:row>
    <x:row r="281">
      <x:c r="B281" t="str">
        <x:v>A-255</x:v>
      </x:c>
      <x:c r="C281" t="str">
        <x:v>GATE</x:v>
      </x:c>
      <x:c r="D281" t="str">
        <x:v>release ledger mirrors governing state</x:v>
      </x:c>
      <x:c r="E281" t="str">
        <x:f>'Release Gates'!J261</x:f>
        <x:v>PASS</x:v>
      </x:c>
      <x:c r="F281" t="str">
        <x:f>IF('Release Gates'!C261="PLANNING","PASS",IF('Release Gates'!C261="PHYSICAL","OPEN","BLOCKED"))</x:f>
        <x:v>PASS</x:v>
      </x:c>
      <x:c r="G281" t="str">
        <x:v>equals</x:v>
      </x:c>
      <x:c r="H281" t="str">
        <x:f>IF(E281=F281,"PASS","FAIL")</x:f>
        <x:v>PASS</x:v>
      </x:c>
    </x:row>
    <x:row r="282">
      <x:c r="B282" t="str">
        <x:v>A-256</x:v>
      </x:c>
      <x:c r="C282" t="str">
        <x:v>GATE</x:v>
      </x:c>
      <x:c r="D282" t="str">
        <x:v>release ledger mirrors governing state</x:v>
      </x:c>
      <x:c r="E282" t="str">
        <x:f>'Release Gates'!J262</x:f>
        <x:v>PASS</x:v>
      </x:c>
      <x:c r="F282" t="str">
        <x:f>IF('Release Gates'!C262="PLANNING","PASS",IF('Release Gates'!C262="PHYSICAL","OPEN","BLOCKED"))</x:f>
        <x:v>PASS</x:v>
      </x:c>
      <x:c r="G282" t="str">
        <x:v>equals</x:v>
      </x:c>
      <x:c r="H282" t="str">
        <x:f>IF(E282=F282,"PASS","FAIL")</x:f>
        <x:v>PASS</x:v>
      </x:c>
    </x:row>
    <x:row r="283">
      <x:c r="B283" t="str">
        <x:v>A-257</x:v>
      </x:c>
      <x:c r="C283" t="str">
        <x:v>GATE</x:v>
      </x:c>
      <x:c r="D283" t="str">
        <x:v>release ledger mirrors governing state</x:v>
      </x:c>
      <x:c r="E283" t="str">
        <x:f>'Release Gates'!J263</x:f>
        <x:v>PASS</x:v>
      </x:c>
      <x:c r="F283" t="str">
        <x:f>IF('Release Gates'!C263="PLANNING","PASS",IF('Release Gates'!C263="PHYSICAL","OPEN","BLOCKED"))</x:f>
        <x:v>PASS</x:v>
      </x:c>
      <x:c r="G283" t="str">
        <x:v>equals</x:v>
      </x:c>
      <x:c r="H283" t="str">
        <x:f>IF(E283=F283,"PASS","FAIL")</x:f>
        <x:v>PASS</x:v>
      </x:c>
    </x:row>
    <x:row r="284">
      <x:c r="B284" t="str">
        <x:v>A-258</x:v>
      </x:c>
      <x:c r="C284" t="str">
        <x:v>GATE</x:v>
      </x:c>
      <x:c r="D284" t="str">
        <x:v>release ledger mirrors governing state</x:v>
      </x:c>
      <x:c r="E284" t="str">
        <x:f>'Release Gates'!J264</x:f>
        <x:v>PASS</x:v>
      </x:c>
      <x:c r="F284" t="str">
        <x:f>IF('Release Gates'!C264="PLANNING","PASS",IF('Release Gates'!C264="PHYSICAL","OPEN","BLOCKED"))</x:f>
        <x:v>PASS</x:v>
      </x:c>
      <x:c r="G284" t="str">
        <x:v>equals</x:v>
      </x:c>
      <x:c r="H284" t="str">
        <x:f>IF(E284=F284,"PASS","FAIL")</x:f>
        <x:v>PASS</x:v>
      </x:c>
    </x:row>
    <x:row r="285">
      <x:c r="B285" t="str">
        <x:v>A-259</x:v>
      </x:c>
      <x:c r="C285" t="str">
        <x:v>GATE</x:v>
      </x:c>
      <x:c r="D285" t="str">
        <x:v>release ledger mirrors governing state</x:v>
      </x:c>
      <x:c r="E285" t="str">
        <x:f>'Release Gates'!J265</x:f>
        <x:v>PASS</x:v>
      </x:c>
      <x:c r="F285" t="str">
        <x:f>IF('Release Gates'!C265="PLANNING","PASS",IF('Release Gates'!C265="PHYSICAL","OPEN","BLOCKED"))</x:f>
        <x:v>PASS</x:v>
      </x:c>
      <x:c r="G285" t="str">
        <x:v>equals</x:v>
      </x:c>
      <x:c r="H285" t="str">
        <x:f>IF(E285=F285,"PASS","FAIL")</x:f>
        <x:v>PASS</x:v>
      </x:c>
    </x:row>
    <x:row r="286">
      <x:c r="B286" t="str">
        <x:v>A-260</x:v>
      </x:c>
      <x:c r="C286" t="str">
        <x:v>GATE</x:v>
      </x:c>
      <x:c r="D286" t="str">
        <x:v>release ledger mirrors governing state</x:v>
      </x:c>
      <x:c r="E286" t="str">
        <x:f>'Release Gates'!J266</x:f>
        <x:v>PASS</x:v>
      </x:c>
      <x:c r="F286" t="str">
        <x:f>IF('Release Gates'!C266="PLANNING","PASS",IF('Release Gates'!C266="PHYSICAL","OPEN","BLOCKED"))</x:f>
        <x:v>PASS</x:v>
      </x:c>
      <x:c r="G286" t="str">
        <x:v>equals</x:v>
      </x:c>
      <x:c r="H286" t="str">
        <x:f>IF(E286=F286,"PASS","FAIL")</x:f>
        <x:v>PASS</x:v>
      </x:c>
    </x:row>
    <x:row r="287">
      <x:c r="B287" t="str">
        <x:v>A-261</x:v>
      </x:c>
      <x:c r="C287" t="str">
        <x:v>GATE</x:v>
      </x:c>
      <x:c r="D287" t="str">
        <x:v>release ledger mirrors governing state</x:v>
      </x:c>
      <x:c r="E287" t="str">
        <x:f>'Release Gates'!J267</x:f>
        <x:v>PASS</x:v>
      </x:c>
      <x:c r="F287" t="str">
        <x:f>IF('Release Gates'!C267="PLANNING","PASS",IF('Release Gates'!C267="PHYSICAL","OPEN","BLOCKED"))</x:f>
        <x:v>PASS</x:v>
      </x:c>
      <x:c r="G287" t="str">
        <x:v>equals</x:v>
      </x:c>
      <x:c r="H287" t="str">
        <x:f>IF(E287=F287,"PASS","FAIL")</x:f>
        <x:v>PASS</x:v>
      </x:c>
    </x:row>
    <x:row r="288">
      <x:c r="B288" t="str">
        <x:v>A-262</x:v>
      </x:c>
      <x:c r="C288" t="str">
        <x:v>GATE</x:v>
      </x:c>
      <x:c r="D288" t="str">
        <x:v>release ledger mirrors governing state</x:v>
      </x:c>
      <x:c r="E288" t="str">
        <x:f>'Release Gates'!J268</x:f>
        <x:v>PASS</x:v>
      </x:c>
      <x:c r="F288" t="str">
        <x:f>IF('Release Gates'!C268="PLANNING","PASS",IF('Release Gates'!C268="PHYSICAL","OPEN","BLOCKED"))</x:f>
        <x:v>PASS</x:v>
      </x:c>
      <x:c r="G288" t="str">
        <x:v>equals</x:v>
      </x:c>
      <x:c r="H288" t="str">
        <x:f>IF(E288=F288,"PASS","FAIL")</x:f>
        <x:v>PASS</x:v>
      </x:c>
    </x:row>
    <x:row r="289">
      <x:c r="B289" t="str">
        <x:v>A-263</x:v>
      </x:c>
      <x:c r="C289" t="str">
        <x:v>GATE</x:v>
      </x:c>
      <x:c r="D289" t="str">
        <x:v>release ledger mirrors governing state</x:v>
      </x:c>
      <x:c r="E289" t="str">
        <x:f>'Release Gates'!J269</x:f>
        <x:v>PASS</x:v>
      </x:c>
      <x:c r="F289" t="str">
        <x:f>IF('Release Gates'!C269="PLANNING","PASS",IF('Release Gates'!C269="PHYSICAL","OPEN","BLOCKED"))</x:f>
        <x:v>PASS</x:v>
      </x:c>
      <x:c r="G289" t="str">
        <x:v>equals</x:v>
      </x:c>
      <x:c r="H289" t="str">
        <x:f>IF(E289=F289,"PASS","FAIL")</x:f>
        <x:v>PASS</x:v>
      </x:c>
    </x:row>
    <x:row r="290">
      <x:c r="B290" t="str">
        <x:v>A-264</x:v>
      </x:c>
      <x:c r="C290" t="str">
        <x:v>GATE</x:v>
      </x:c>
      <x:c r="D290" t="str">
        <x:v>release ledger mirrors governing state</x:v>
      </x:c>
      <x:c r="E290" t="str">
        <x:f>'Release Gates'!J270</x:f>
        <x:v>PASS</x:v>
      </x:c>
      <x:c r="F290" t="str">
        <x:f>IF('Release Gates'!C270="PLANNING","PASS",IF('Release Gates'!C270="PHYSICAL","OPEN","BLOCKED"))</x:f>
        <x:v>PASS</x:v>
      </x:c>
      <x:c r="G290" t="str">
        <x:v>equals</x:v>
      </x:c>
      <x:c r="H290" t="str">
        <x:f>IF(E290=F290,"PASS","FAIL")</x:f>
        <x:v>PASS</x:v>
      </x:c>
    </x:row>
    <x:row r="291">
      <x:c r="B291" t="str">
        <x:v>A-265</x:v>
      </x:c>
      <x:c r="C291" t="str">
        <x:v>GATE</x:v>
      </x:c>
      <x:c r="D291" t="str">
        <x:v>release ledger mirrors governing state</x:v>
      </x:c>
      <x:c r="E291" t="str">
        <x:f>'Release Gates'!J271</x:f>
        <x:v>PASS</x:v>
      </x:c>
      <x:c r="F291" t="str">
        <x:f>IF('Release Gates'!C271="PLANNING","PASS",IF('Release Gates'!C271="PHYSICAL","OPEN","BLOCKED"))</x:f>
        <x:v>PASS</x:v>
      </x:c>
      <x:c r="G291" t="str">
        <x:v>equals</x:v>
      </x:c>
      <x:c r="H291" t="str">
        <x:f>IF(E291=F291,"PASS","FAIL")</x:f>
        <x:v>PASS</x:v>
      </x:c>
    </x:row>
    <x:row r="292">
      <x:c r="B292" t="str">
        <x:v>A-266</x:v>
      </x:c>
      <x:c r="C292" t="str">
        <x:v>GATE</x:v>
      </x:c>
      <x:c r="D292" t="str">
        <x:v>release ledger mirrors governing state</x:v>
      </x:c>
      <x:c r="E292" t="str">
        <x:f>'Release Gates'!J272</x:f>
        <x:v>PASS</x:v>
      </x:c>
      <x:c r="F292" t="str">
        <x:f>IF('Release Gates'!C272="PLANNING","PASS",IF('Release Gates'!C272="PHYSICAL","OPEN","BLOCKED"))</x:f>
        <x:v>PASS</x:v>
      </x:c>
      <x:c r="G292" t="str">
        <x:v>equals</x:v>
      </x:c>
      <x:c r="H292" t="str">
        <x:f>IF(E292=F292,"PASS","FAIL")</x:f>
        <x:v>PASS</x:v>
      </x:c>
    </x:row>
    <x:row r="293">
      <x:c r="B293" t="str">
        <x:v>A-267</x:v>
      </x:c>
      <x:c r="C293" t="str">
        <x:v>GATE</x:v>
      </x:c>
      <x:c r="D293" t="str">
        <x:v>release ledger mirrors governing state</x:v>
      </x:c>
      <x:c r="E293" t="str">
        <x:f>'Release Gates'!J273</x:f>
        <x:v>PASS</x:v>
      </x:c>
      <x:c r="F293" t="str">
        <x:f>IF('Release Gates'!C273="PLANNING","PASS",IF('Release Gates'!C273="PHYSICAL","OPEN","BLOCKED"))</x:f>
        <x:v>PASS</x:v>
      </x:c>
      <x:c r="G293" t="str">
        <x:v>equals</x:v>
      </x:c>
      <x:c r="H293" t="str">
        <x:f>IF(E293=F293,"PASS","FAIL")</x:f>
        <x:v>PASS</x:v>
      </x:c>
    </x:row>
    <x:row r="294">
      <x:c r="B294" t="str">
        <x:v>A-268</x:v>
      </x:c>
      <x:c r="C294" t="str">
        <x:v>GATE</x:v>
      </x:c>
      <x:c r="D294" t="str">
        <x:v>release ledger mirrors governing state</x:v>
      </x:c>
      <x:c r="E294" t="str">
        <x:f>'Release Gates'!J274</x:f>
        <x:v>PASS</x:v>
      </x:c>
      <x:c r="F294" t="str">
        <x:f>IF('Release Gates'!C274="PLANNING","PASS",IF('Release Gates'!C274="PHYSICAL","OPEN","BLOCKED"))</x:f>
        <x:v>PASS</x:v>
      </x:c>
      <x:c r="G294" t="str">
        <x:v>equals</x:v>
      </x:c>
      <x:c r="H294" t="str">
        <x:f>IF(E294=F294,"PASS","FAIL")</x:f>
        <x:v>PASS</x:v>
      </x:c>
    </x:row>
    <x:row r="295">
      <x:c r="B295" t="str">
        <x:v>A-269</x:v>
      </x:c>
      <x:c r="C295" t="str">
        <x:v>GATE</x:v>
      </x:c>
      <x:c r="D295" t="str">
        <x:v>release ledger mirrors governing state</x:v>
      </x:c>
      <x:c r="E295" t="str">
        <x:f>'Release Gates'!J275</x:f>
        <x:v>PASS</x:v>
      </x:c>
      <x:c r="F295" t="str">
        <x:f>IF('Release Gates'!C275="PLANNING","PASS",IF('Release Gates'!C275="PHYSICAL","OPEN","BLOCKED"))</x:f>
        <x:v>PASS</x:v>
      </x:c>
      <x:c r="G295" t="str">
        <x:v>equals</x:v>
      </x:c>
      <x:c r="H295" t="str">
        <x:f>IF(E295=F295,"PASS","FAIL")</x:f>
        <x:v>PASS</x:v>
      </x:c>
    </x:row>
    <x:row r="296">
      <x:c r="B296" t="str">
        <x:v>A-270</x:v>
      </x:c>
      <x:c r="C296" t="str">
        <x:v>GATE</x:v>
      </x:c>
      <x:c r="D296" t="str">
        <x:v>release ledger mirrors governing state</x:v>
      </x:c>
      <x:c r="E296" t="str">
        <x:f>'Release Gates'!J276</x:f>
        <x:v>PASS</x:v>
      </x:c>
      <x:c r="F296" t="str">
        <x:f>IF('Release Gates'!C276="PLANNING","PASS",IF('Release Gates'!C276="PHYSICAL","OPEN","BLOCKED"))</x:f>
        <x:v>PASS</x:v>
      </x:c>
      <x:c r="G296" t="str">
        <x:v>equals</x:v>
      </x:c>
      <x:c r="H296" t="str">
        <x:f>IF(E296=F296,"PASS","FAIL")</x:f>
        <x:v>PASS</x:v>
      </x:c>
    </x:row>
    <x:row r="297">
      <x:c r="B297" t="str">
        <x:v>A-271</x:v>
      </x:c>
      <x:c r="C297" t="str">
        <x:v>GATE</x:v>
      </x:c>
      <x:c r="D297" t="str">
        <x:v>release ledger mirrors governing state</x:v>
      </x:c>
      <x:c r="E297" t="str">
        <x:f>'Release Gates'!J277</x:f>
        <x:v>PASS</x:v>
      </x:c>
      <x:c r="F297" t="str">
        <x:f>IF('Release Gates'!C277="PLANNING","PASS",IF('Release Gates'!C277="PHYSICAL","OPEN","BLOCKED"))</x:f>
        <x:v>PASS</x:v>
      </x:c>
      <x:c r="G297" t="str">
        <x:v>equals</x:v>
      </x:c>
      <x:c r="H297" t="str">
        <x:f>IF(E297=F297,"PASS","FAIL")</x:f>
        <x:v>PASS</x:v>
      </x:c>
    </x:row>
    <x:row r="298">
      <x:c r="B298" t="str">
        <x:v>A-272</x:v>
      </x:c>
      <x:c r="C298" t="str">
        <x:v>GATE</x:v>
      </x:c>
      <x:c r="D298" t="str">
        <x:v>release ledger mirrors governing state</x:v>
      </x:c>
      <x:c r="E298" t="str">
        <x:f>'Release Gates'!J278</x:f>
        <x:v>PASS</x:v>
      </x:c>
      <x:c r="F298" t="str">
        <x:f>IF('Release Gates'!C278="PLANNING","PASS",IF('Release Gates'!C278="PHYSICAL","OPEN","BLOCKED"))</x:f>
        <x:v>PASS</x:v>
      </x:c>
      <x:c r="G298" t="str">
        <x:v>equals</x:v>
      </x:c>
      <x:c r="H298" t="str">
        <x:f>IF(E298=F298,"PASS","FAIL")</x:f>
        <x:v>PASS</x:v>
      </x:c>
    </x:row>
    <x:row r="299">
      <x:c r="B299" t="str">
        <x:v>A-273</x:v>
      </x:c>
      <x:c r="C299" t="str">
        <x:v>GATE</x:v>
      </x:c>
      <x:c r="D299" t="str">
        <x:v>release ledger mirrors governing state</x:v>
      </x:c>
      <x:c r="E299" t="str">
        <x:f>'Release Gates'!J279</x:f>
        <x:v>PASS</x:v>
      </x:c>
      <x:c r="F299" t="str">
        <x:f>IF('Release Gates'!C279="PLANNING","PASS",IF('Release Gates'!C279="PHYSICAL","OPEN","BLOCKED"))</x:f>
        <x:v>PASS</x:v>
      </x:c>
      <x:c r="G299" t="str">
        <x:v>equals</x:v>
      </x:c>
      <x:c r="H299" t="str">
        <x:f>IF(E299=F299,"PASS","FAIL")</x:f>
        <x:v>PASS</x:v>
      </x:c>
    </x:row>
    <x:row r="300">
      <x:c r="B300" t="str">
        <x:v>A-274</x:v>
      </x:c>
      <x:c r="C300" t="str">
        <x:v>GATE</x:v>
      </x:c>
      <x:c r="D300" t="str">
        <x:v>release ledger mirrors governing state</x:v>
      </x:c>
      <x:c r="E300" t="str">
        <x:f>'Release Gates'!J280</x:f>
        <x:v>PASS</x:v>
      </x:c>
      <x:c r="F300" t="str">
        <x:f>IF('Release Gates'!C280="PLANNING","PASS",IF('Release Gates'!C280="PHYSICAL","OPEN","BLOCKED"))</x:f>
        <x:v>PASS</x:v>
      </x:c>
      <x:c r="G300" t="str">
        <x:v>equals</x:v>
      </x:c>
      <x:c r="H300" t="str">
        <x:f>IF(E300=F300,"PASS","FAIL")</x:f>
        <x:v>PASS</x:v>
      </x:c>
    </x:row>
    <x:row r="301">
      <x:c r="B301" t="str">
        <x:v>A-275</x:v>
      </x:c>
      <x:c r="C301" t="str">
        <x:v>GATE</x:v>
      </x:c>
      <x:c r="D301" t="str">
        <x:v>release ledger mirrors governing state</x:v>
      </x:c>
      <x:c r="E301" t="str">
        <x:f>'Release Gates'!J281</x:f>
        <x:v>PASS</x:v>
      </x:c>
      <x:c r="F301" t="str">
        <x:f>IF('Release Gates'!C281="PLANNING","PASS",IF('Release Gates'!C281="PHYSICAL","OPEN","BLOCKED"))</x:f>
        <x:v>PASS</x:v>
      </x:c>
      <x:c r="G301" t="str">
        <x:v>equals</x:v>
      </x:c>
      <x:c r="H301" t="str">
        <x:f>IF(E301=F301,"PASS","FAIL")</x:f>
        <x:v>PASS</x:v>
      </x:c>
    </x:row>
    <x:row r="302">
      <x:c r="B302" t="str">
        <x:v>A-276</x:v>
      </x:c>
      <x:c r="C302" t="str">
        <x:v>GATE</x:v>
      </x:c>
      <x:c r="D302" t="str">
        <x:v>release ledger mirrors governing state</x:v>
      </x:c>
      <x:c r="E302" t="str">
        <x:f>'Release Gates'!J282</x:f>
        <x:v>PASS</x:v>
      </x:c>
      <x:c r="F302" t="str">
        <x:f>IF('Release Gates'!C282="PLANNING","PASS",IF('Release Gates'!C282="PHYSICAL","OPEN","BLOCKED"))</x:f>
        <x:v>PASS</x:v>
      </x:c>
      <x:c r="G302" t="str">
        <x:v>equals</x:v>
      </x:c>
      <x:c r="H302" t="str">
        <x:f>IF(E302=F302,"PASS","FAIL")</x:f>
        <x:v>PASS</x:v>
      </x:c>
    </x:row>
    <x:row r="303">
      <x:c r="B303" t="str">
        <x:v>A-277</x:v>
      </x:c>
      <x:c r="C303" t="str">
        <x:v>GATE</x:v>
      </x:c>
      <x:c r="D303" t="str">
        <x:v>release ledger mirrors governing state</x:v>
      </x:c>
      <x:c r="E303" t="str">
        <x:f>'Release Gates'!J283</x:f>
        <x:v>PASS</x:v>
      </x:c>
      <x:c r="F303" t="str">
        <x:f>IF('Release Gates'!C283="PLANNING","PASS",IF('Release Gates'!C283="PHYSICAL","OPEN","BLOCKED"))</x:f>
        <x:v>PASS</x:v>
      </x:c>
      <x:c r="G303" t="str">
        <x:v>equals</x:v>
      </x:c>
      <x:c r="H303" t="str">
        <x:f>IF(E303=F303,"PASS","FAIL")</x:f>
        <x:v>PASS</x:v>
      </x:c>
    </x:row>
    <x:row r="304">
      <x:c r="B304" t="str">
        <x:v>A-278</x:v>
      </x:c>
      <x:c r="C304" t="str">
        <x:v>GATE</x:v>
      </x:c>
      <x:c r="D304" t="str">
        <x:v>release ledger mirrors governing state</x:v>
      </x:c>
      <x:c r="E304" t="str">
        <x:f>'Release Gates'!J284</x:f>
        <x:v>PASS</x:v>
      </x:c>
      <x:c r="F304" t="str">
        <x:f>IF('Release Gates'!C284="PLANNING","PASS",IF('Release Gates'!C284="PHYSICAL","OPEN","BLOCKED"))</x:f>
        <x:v>PASS</x:v>
      </x:c>
      <x:c r="G304" t="str">
        <x:v>equals</x:v>
      </x:c>
      <x:c r="H304" t="str">
        <x:f>IF(E304=F304,"PASS","FAIL")</x:f>
        <x:v>PASS</x:v>
      </x:c>
    </x:row>
    <x:row r="305">
      <x:c r="B305" t="str">
        <x:v>A-279</x:v>
      </x:c>
      <x:c r="C305" t="str">
        <x:v>GATE</x:v>
      </x:c>
      <x:c r="D305" t="str">
        <x:v>release ledger mirrors governing state</x:v>
      </x:c>
      <x:c r="E305" t="str">
        <x:f>'Release Gates'!J285</x:f>
        <x:v>PASS</x:v>
      </x:c>
      <x:c r="F305" t="str">
        <x:f>IF('Release Gates'!C285="PLANNING","PASS",IF('Release Gates'!C285="PHYSICAL","OPEN","BLOCKED"))</x:f>
        <x:v>PASS</x:v>
      </x:c>
      <x:c r="G305" t="str">
        <x:v>equals</x:v>
      </x:c>
      <x:c r="H305" t="str">
        <x:f>IF(E305=F305,"PASS","FAIL")</x:f>
        <x:v>PASS</x:v>
      </x:c>
    </x:row>
    <x:row r="306">
      <x:c r="B306" t="str">
        <x:v>A-280</x:v>
      </x:c>
      <x:c r="C306" t="str">
        <x:v>GATE</x:v>
      </x:c>
      <x:c r="D306" t="str">
        <x:v>release ledger mirrors governing state</x:v>
      </x:c>
      <x:c r="E306" t="str">
        <x:f>'Release Gates'!J286</x:f>
        <x:v>PASS</x:v>
      </x:c>
      <x:c r="F306" t="str">
        <x:f>IF('Release Gates'!C286="PLANNING","PASS",IF('Release Gates'!C286="PHYSICAL","OPEN","BLOCKED"))</x:f>
        <x:v>PASS</x:v>
      </x:c>
      <x:c r="G306" t="str">
        <x:v>equals</x:v>
      </x:c>
      <x:c r="H306" t="str">
        <x:f>IF(E306=F306,"PASS","FAIL")</x:f>
        <x:v>PASS</x:v>
      </x:c>
    </x:row>
    <x:row r="307">
      <x:c r="B307" t="str">
        <x:v>A-281</x:v>
      </x:c>
      <x:c r="C307" t="str">
        <x:v>GATE</x:v>
      </x:c>
      <x:c r="D307" t="str">
        <x:v>release ledger mirrors governing state</x:v>
      </x:c>
      <x:c r="E307" t="str">
        <x:f>'Release Gates'!J287</x:f>
        <x:v>PASS</x:v>
      </x:c>
      <x:c r="F307" t="str">
        <x:f>IF('Release Gates'!C287="PLANNING","PASS",IF('Release Gates'!C287="PHYSICAL","OPEN","BLOCKED"))</x:f>
        <x:v>PASS</x:v>
      </x:c>
      <x:c r="G307" t="str">
        <x:v>equals</x:v>
      </x:c>
      <x:c r="H307" t="str">
        <x:f>IF(E307=F307,"PASS","FAIL")</x:f>
        <x:v>PASS</x:v>
      </x:c>
    </x:row>
    <x:row r="308">
      <x:c r="B308" t="str">
        <x:v>A-282</x:v>
      </x:c>
      <x:c r="C308" t="str">
        <x:v>GATE</x:v>
      </x:c>
      <x:c r="D308" t="str">
        <x:v>release ledger mirrors governing state</x:v>
      </x:c>
      <x:c r="E308" t="str">
        <x:f>'Release Gates'!J288</x:f>
        <x:v>PASS</x:v>
      </x:c>
      <x:c r="F308" t="str">
        <x:f>IF('Release Gates'!C288="PLANNING","PASS",IF('Release Gates'!C288="PHYSICAL","OPEN","BLOCKED"))</x:f>
        <x:v>PASS</x:v>
      </x:c>
      <x:c r="G308" t="str">
        <x:v>equals</x:v>
      </x:c>
      <x:c r="H308" t="str">
        <x:f>IF(E308=F308,"PASS","FAIL")</x:f>
        <x:v>PASS</x:v>
      </x:c>
    </x:row>
    <x:row r="309">
      <x:c r="B309" t="str">
        <x:v>A-283</x:v>
      </x:c>
      <x:c r="C309" t="str">
        <x:v>GATE</x:v>
      </x:c>
      <x:c r="D309" t="str">
        <x:v>release ledger mirrors governing state</x:v>
      </x:c>
      <x:c r="E309" t="str">
        <x:f>'Release Gates'!J289</x:f>
        <x:v>PASS</x:v>
      </x:c>
      <x:c r="F309" t="str">
        <x:f>IF('Release Gates'!C289="PLANNING","PASS",IF('Release Gates'!C289="PHYSICAL","OPEN","BLOCKED"))</x:f>
        <x:v>PASS</x:v>
      </x:c>
      <x:c r="G309" t="str">
        <x:v>equals</x:v>
      </x:c>
      <x:c r="H309" t="str">
        <x:f>IF(E309=F309,"PASS","FAIL")</x:f>
        <x:v>PASS</x:v>
      </x:c>
    </x:row>
    <x:row r="310">
      <x:c r="B310" t="str">
        <x:v>A-284</x:v>
      </x:c>
      <x:c r="C310" t="str">
        <x:v>GATE</x:v>
      </x:c>
      <x:c r="D310" t="str">
        <x:v>release ledger mirrors governing state</x:v>
      </x:c>
      <x:c r="E310" t="str">
        <x:f>'Release Gates'!J290</x:f>
        <x:v>PASS</x:v>
      </x:c>
      <x:c r="F310" t="str">
        <x:f>IF('Release Gates'!C290="PLANNING","PASS",IF('Release Gates'!C290="PHYSICAL","OPEN","BLOCKED"))</x:f>
        <x:v>PASS</x:v>
      </x:c>
      <x:c r="G310" t="str">
        <x:v>equals</x:v>
      </x:c>
      <x:c r="H310" t="str">
        <x:f>IF(E310=F310,"PASS","FAIL")</x:f>
        <x:v>PASS</x:v>
      </x:c>
    </x:row>
    <x:row r="311">
      <x:c r="B311" t="str">
        <x:v>A-285</x:v>
      </x:c>
      <x:c r="C311" t="str">
        <x:v>GATE</x:v>
      </x:c>
      <x:c r="D311" t="str">
        <x:v>release ledger mirrors governing state</x:v>
      </x:c>
      <x:c r="E311" t="str">
        <x:f>'Release Gates'!J291</x:f>
        <x:v>PASS</x:v>
      </x:c>
      <x:c r="F311" t="str">
        <x:f>IF('Release Gates'!C291="PLANNING","PASS",IF('Release Gates'!C291="PHYSICAL","OPEN","BLOCKED"))</x:f>
        <x:v>PASS</x:v>
      </x:c>
      <x:c r="G311" t="str">
        <x:v>equals</x:v>
      </x:c>
      <x:c r="H311" t="str">
        <x:f>IF(E311=F311,"PASS","FAIL")</x:f>
        <x:v>PASS</x:v>
      </x:c>
    </x:row>
    <x:row r="312">
      <x:c r="B312" t="str">
        <x:v>A-286</x:v>
      </x:c>
      <x:c r="C312" t="str">
        <x:v>GATE</x:v>
      </x:c>
      <x:c r="D312" t="str">
        <x:v>release ledger mirrors governing state</x:v>
      </x:c>
      <x:c r="E312" t="str">
        <x:f>'Release Gates'!J292</x:f>
        <x:v>PASS</x:v>
      </x:c>
      <x:c r="F312" t="str">
        <x:f>IF('Release Gates'!C292="PLANNING","PASS",IF('Release Gates'!C292="PHYSICAL","OPEN","BLOCKED"))</x:f>
        <x:v>PASS</x:v>
      </x:c>
      <x:c r="G312" t="str">
        <x:v>equals</x:v>
      </x:c>
      <x:c r="H312" t="str">
        <x:f>IF(E312=F312,"PASS","FAIL")</x:f>
        <x:v>PASS</x:v>
      </x:c>
    </x:row>
    <x:row r="313">
      <x:c r="B313" t="str">
        <x:v>A-287</x:v>
      </x:c>
      <x:c r="C313" t="str">
        <x:v>GATE</x:v>
      </x:c>
      <x:c r="D313" t="str">
        <x:v>release ledger mirrors governing state</x:v>
      </x:c>
      <x:c r="E313" t="str">
        <x:f>'Release Gates'!J293</x:f>
        <x:v>PASS</x:v>
      </x:c>
      <x:c r="F313" t="str">
        <x:f>IF('Release Gates'!C293="PLANNING","PASS",IF('Release Gates'!C293="PHYSICAL","OPEN","BLOCKED"))</x:f>
        <x:v>PASS</x:v>
      </x:c>
      <x:c r="G313" t="str">
        <x:v>equals</x:v>
      </x:c>
      <x:c r="H313" t="str">
        <x:f>IF(E313=F313,"PASS","FAIL")</x:f>
        <x:v>PASS</x:v>
      </x:c>
    </x:row>
    <x:row r="314">
      <x:c r="B314" t="str">
        <x:v>A-288</x:v>
      </x:c>
      <x:c r="C314" t="str">
        <x:v>GATE</x:v>
      </x:c>
      <x:c r="D314" t="str">
        <x:v>release ledger mirrors governing state</x:v>
      </x:c>
      <x:c r="E314" t="str">
        <x:f>'Release Gates'!J294</x:f>
        <x:v>PASS</x:v>
      </x:c>
      <x:c r="F314" t="str">
        <x:f>IF('Release Gates'!C294="PLANNING","PASS",IF('Release Gates'!C294="PHYSICAL","OPEN","BLOCKED"))</x:f>
        <x:v>PASS</x:v>
      </x:c>
      <x:c r="G314" t="str">
        <x:v>equals</x:v>
      </x:c>
      <x:c r="H314" t="str">
        <x:f>IF(E314=F314,"PASS","FAIL")</x:f>
        <x:v>PASS</x:v>
      </x:c>
    </x:row>
    <x:row r="315">
      <x:c r="B315" t="str">
        <x:v>A-289</x:v>
      </x:c>
      <x:c r="C315" t="str">
        <x:v>GATE</x:v>
      </x:c>
      <x:c r="D315" t="str">
        <x:v>release ledger mirrors governing state</x:v>
      </x:c>
      <x:c r="E315" t="str">
        <x:f>'Release Gates'!J295</x:f>
        <x:v>PASS</x:v>
      </x:c>
      <x:c r="F315" t="str">
        <x:f>IF('Release Gates'!C295="PLANNING","PASS",IF('Release Gates'!C295="PHYSICAL","OPEN","BLOCKED"))</x:f>
        <x:v>PASS</x:v>
      </x:c>
      <x:c r="G315" t="str">
        <x:v>equals</x:v>
      </x:c>
      <x:c r="H315" t="str">
        <x:f>IF(E315=F315,"PASS","FAIL")</x:f>
        <x:v>PASS</x:v>
      </x:c>
    </x:row>
    <x:row r="316">
      <x:c r="B316" t="str">
        <x:v>A-290</x:v>
      </x:c>
      <x:c r="C316" t="str">
        <x:v>GATE</x:v>
      </x:c>
      <x:c r="D316" t="str">
        <x:v>release ledger mirrors governing state</x:v>
      </x:c>
      <x:c r="E316" t="str">
        <x:f>'Release Gates'!J296</x:f>
        <x:v>PASS</x:v>
      </x:c>
      <x:c r="F316" t="str">
        <x:f>IF('Release Gates'!C296="PLANNING","PASS",IF('Release Gates'!C296="PHYSICAL","OPEN","BLOCKED"))</x:f>
        <x:v>PASS</x:v>
      </x:c>
      <x:c r="G316" t="str">
        <x:v>equals</x:v>
      </x:c>
      <x:c r="H316" t="str">
        <x:f>IF(E316=F316,"PASS","FAIL")</x:f>
        <x:v>PASS</x:v>
      </x:c>
    </x:row>
    <x:row r="317">
      <x:c r="B317" t="str">
        <x:v>A-291</x:v>
      </x:c>
      <x:c r="C317" t="str">
        <x:v>GATE</x:v>
      </x:c>
      <x:c r="D317" t="str">
        <x:v>release ledger mirrors governing state</x:v>
      </x:c>
      <x:c r="E317" t="str">
        <x:f>'Release Gates'!J297</x:f>
        <x:v>PASS</x:v>
      </x:c>
      <x:c r="F317" t="str">
        <x:f>IF('Release Gates'!C297="PLANNING","PASS",IF('Release Gates'!C297="PHYSICAL","OPEN","BLOCKED"))</x:f>
        <x:v>PASS</x:v>
      </x:c>
      <x:c r="G317" t="str">
        <x:v>equals</x:v>
      </x:c>
      <x:c r="H317" t="str">
        <x:f>IF(E317=F317,"PASS","FAIL")</x:f>
        <x:v>PASS</x:v>
      </x:c>
    </x:row>
    <x:row r="318">
      <x:c r="B318" t="str">
        <x:v>A-292</x:v>
      </x:c>
      <x:c r="C318" t="str">
        <x:v>GATE</x:v>
      </x:c>
      <x:c r="D318" t="str">
        <x:v>release ledger mirrors governing state</x:v>
      </x:c>
      <x:c r="E318" t="str">
        <x:f>'Release Gates'!J298</x:f>
        <x:v>PASS</x:v>
      </x:c>
      <x:c r="F318" t="str">
        <x:f>IF('Release Gates'!C298="PLANNING","PASS",IF('Release Gates'!C298="PHYSICAL","OPEN","BLOCKED"))</x:f>
        <x:v>PASS</x:v>
      </x:c>
      <x:c r="G318" t="str">
        <x:v>equals</x:v>
      </x:c>
      <x:c r="H318" t="str">
        <x:f>IF(E318=F318,"PASS","FAIL")</x:f>
        <x:v>PASS</x:v>
      </x:c>
    </x:row>
    <x:row r="319">
      <x:c r="B319" t="str">
        <x:v>A-293</x:v>
      </x:c>
      <x:c r="C319" t="str">
        <x:v>GATE</x:v>
      </x:c>
      <x:c r="D319" t="str">
        <x:v>release ledger mirrors governing state</x:v>
      </x:c>
      <x:c r="E319" t="str">
        <x:f>'Release Gates'!J299</x:f>
        <x:v>PASS</x:v>
      </x:c>
      <x:c r="F319" t="str">
        <x:f>IF('Release Gates'!C299="PLANNING","PASS",IF('Release Gates'!C299="PHYSICAL","OPEN","BLOCKED"))</x:f>
        <x:v>PASS</x:v>
      </x:c>
      <x:c r="G319" t="str">
        <x:v>equals</x:v>
      </x:c>
      <x:c r="H319" t="str">
        <x:f>IF(E319=F319,"PASS","FAIL")</x:f>
        <x:v>PASS</x:v>
      </x:c>
    </x:row>
    <x:row r="320">
      <x:c r="B320" t="str">
        <x:v>A-294</x:v>
      </x:c>
      <x:c r="C320" t="str">
        <x:v>GATE</x:v>
      </x:c>
      <x:c r="D320" t="str">
        <x:v>release ledger mirrors governing state</x:v>
      </x:c>
      <x:c r="E320" t="str">
        <x:f>'Release Gates'!J300</x:f>
        <x:v>PASS</x:v>
      </x:c>
      <x:c r="F320" t="str">
        <x:f>IF('Release Gates'!C300="PLANNING","PASS",IF('Release Gates'!C300="PHYSICAL","OPEN","BLOCKED"))</x:f>
        <x:v>PASS</x:v>
      </x:c>
      <x:c r="G320" t="str">
        <x:v>equals</x:v>
      </x:c>
      <x:c r="H320" t="str">
        <x:f>IF(E320=F320,"PASS","FAIL")</x:f>
        <x:v>PASS</x:v>
      </x:c>
    </x:row>
    <x:row r="321">
      <x:c r="B321" t="str">
        <x:v>A-295</x:v>
      </x:c>
      <x:c r="C321" t="str">
        <x:v>GATE</x:v>
      </x:c>
      <x:c r="D321" t="str">
        <x:v>release ledger mirrors governing state</x:v>
      </x:c>
      <x:c r="E321" t="str">
        <x:f>'Release Gates'!J301</x:f>
        <x:v>PASS</x:v>
      </x:c>
      <x:c r="F321" t="str">
        <x:f>IF('Release Gates'!C301="PLANNING","PASS",IF('Release Gates'!C301="PHYSICAL","OPEN","BLOCKED"))</x:f>
        <x:v>PASS</x:v>
      </x:c>
      <x:c r="G321" t="str">
        <x:v>equals</x:v>
      </x:c>
      <x:c r="H321" t="str">
        <x:f>IF(E321=F321,"PASS","FAIL")</x:f>
        <x:v>PASS</x:v>
      </x:c>
    </x:row>
    <x:row r="322">
      <x:c r="B322" t="str">
        <x:v>A-296</x:v>
      </x:c>
      <x:c r="C322" t="str">
        <x:v>GATE</x:v>
      </x:c>
      <x:c r="D322" t="str">
        <x:v>release ledger mirrors governing state</x:v>
      </x:c>
      <x:c r="E322" t="str">
        <x:f>'Release Gates'!J302</x:f>
        <x:v>PASS</x:v>
      </x:c>
      <x:c r="F322" t="str">
        <x:f>IF('Release Gates'!C302="PLANNING","PASS",IF('Release Gates'!C302="PHYSICAL","OPEN","BLOCKED"))</x:f>
        <x:v>PASS</x:v>
      </x:c>
      <x:c r="G322" t="str">
        <x:v>equals</x:v>
      </x:c>
      <x:c r="H322" t="str">
        <x:f>IF(E322=F322,"PASS","FAIL")</x:f>
        <x:v>PASS</x:v>
      </x:c>
    </x:row>
    <x:row r="323">
      <x:c r="B323" t="str">
        <x:v>A-297</x:v>
      </x:c>
      <x:c r="C323" t="str">
        <x:v>GATE</x:v>
      </x:c>
      <x:c r="D323" t="str">
        <x:v>release ledger mirrors governing state</x:v>
      </x:c>
      <x:c r="E323" t="str">
        <x:f>'Release Gates'!J303</x:f>
        <x:v>PASS</x:v>
      </x:c>
      <x:c r="F323" t="str">
        <x:f>IF('Release Gates'!C303="PLANNING","PASS",IF('Release Gates'!C303="PHYSICAL","OPEN","BLOCKED"))</x:f>
        <x:v>PASS</x:v>
      </x:c>
      <x:c r="G323" t="str">
        <x:v>equals</x:v>
      </x:c>
      <x:c r="H323" t="str">
        <x:f>IF(E323=F323,"PASS","FAIL")</x:f>
        <x:v>PASS</x:v>
      </x:c>
    </x:row>
    <x:row r="324">
      <x:c r="B324" t="str">
        <x:v>A-298</x:v>
      </x:c>
      <x:c r="C324" t="str">
        <x:v>GATE</x:v>
      </x:c>
      <x:c r="D324" t="str">
        <x:v>release ledger mirrors governing state</x:v>
      </x:c>
      <x:c r="E324" t="str">
        <x:f>'Release Gates'!J304</x:f>
        <x:v>PASS</x:v>
      </x:c>
      <x:c r="F324" t="str">
        <x:f>IF('Release Gates'!C304="PLANNING","PASS",IF('Release Gates'!C304="PHYSICAL","OPEN","BLOCKED"))</x:f>
        <x:v>PASS</x:v>
      </x:c>
      <x:c r="G324" t="str">
        <x:v>equals</x:v>
      </x:c>
      <x:c r="H324" t="str">
        <x:f>IF(E324=F324,"PASS","FAIL")</x:f>
        <x:v>PASS</x:v>
      </x:c>
    </x:row>
    <x:row r="325">
      <x:c r="B325" t="str">
        <x:v>A-299</x:v>
      </x:c>
      <x:c r="C325" t="str">
        <x:v>GATE</x:v>
      </x:c>
      <x:c r="D325" t="str">
        <x:v>release ledger mirrors governing state</x:v>
      </x:c>
      <x:c r="E325" t="str">
        <x:f>'Release Gates'!J305</x:f>
        <x:v>PASS</x:v>
      </x:c>
      <x:c r="F325" t="str">
        <x:f>IF('Release Gates'!C305="PLANNING","PASS",IF('Release Gates'!C305="PHYSICAL","OPEN","BLOCKED"))</x:f>
        <x:v>PASS</x:v>
      </x:c>
      <x:c r="G325" t="str">
        <x:v>equals</x:v>
      </x:c>
      <x:c r="H325" t="str">
        <x:f>IF(E325=F325,"PASS","FAIL")</x:f>
        <x:v>PASS</x:v>
      </x:c>
    </x:row>
    <x:row r="326">
      <x:c r="B326" t="str">
        <x:v>A-300</x:v>
      </x:c>
      <x:c r="C326" t="str">
        <x:v>GATE</x:v>
      </x:c>
      <x:c r="D326" t="str">
        <x:v>release ledger mirrors governing state</x:v>
      </x:c>
      <x:c r="E326" t="str">
        <x:f>'Release Gates'!J306</x:f>
        <x:v>PASS</x:v>
      </x:c>
      <x:c r="F326" t="str">
        <x:f>IF('Release Gates'!C306="PLANNING","PASS",IF('Release Gates'!C306="PHYSICAL","OPEN","BLOCKED"))</x:f>
        <x:v>PASS</x:v>
      </x:c>
      <x:c r="G326" t="str">
        <x:v>equals</x:v>
      </x:c>
      <x:c r="H326" t="str">
        <x:f>IF(E326=F326,"PASS","FAIL")</x:f>
        <x:v>PASS</x:v>
      </x:c>
    </x:row>
    <x:row r="327">
      <x:c r="B327" t="str">
        <x:v>A-301</x:v>
      </x:c>
      <x:c r="C327" t="str">
        <x:v>GATE</x:v>
      </x:c>
      <x:c r="D327" t="str">
        <x:v>release ledger mirrors governing state</x:v>
      </x:c>
      <x:c r="E327" t="str">
        <x:f>'Release Gates'!J307</x:f>
        <x:v>PASS</x:v>
      </x:c>
      <x:c r="F327" t="str">
        <x:f>IF('Release Gates'!C307="PLANNING","PASS",IF('Release Gates'!C307="PHYSICAL","OPEN","BLOCKED"))</x:f>
        <x:v>PASS</x:v>
      </x:c>
      <x:c r="G327" t="str">
        <x:v>equals</x:v>
      </x:c>
      <x:c r="H327" t="str">
        <x:f>IF(E327=F327,"PASS","FAIL")</x:f>
        <x:v>PASS</x:v>
      </x:c>
    </x:row>
    <x:row r="328">
      <x:c r="B328" t="str">
        <x:v>A-302</x:v>
      </x:c>
      <x:c r="C328" t="str">
        <x:v>GATE</x:v>
      </x:c>
      <x:c r="D328" t="str">
        <x:v>release ledger mirrors governing state</x:v>
      </x:c>
      <x:c r="E328" t="str">
        <x:f>'Release Gates'!J308</x:f>
        <x:v>PASS</x:v>
      </x:c>
      <x:c r="F328" t="str">
        <x:f>IF('Release Gates'!C308="PLANNING","PASS",IF('Release Gates'!C308="PHYSICAL","OPEN","BLOCKED"))</x:f>
        <x:v>PASS</x:v>
      </x:c>
      <x:c r="G328" t="str">
        <x:v>equals</x:v>
      </x:c>
      <x:c r="H328" t="str">
        <x:f>IF(E328=F328,"PASS","FAIL")</x:f>
        <x:v>PASS</x:v>
      </x:c>
    </x:row>
    <x:row r="329">
      <x:c r="B329" t="str">
        <x:v>A-303</x:v>
      </x:c>
      <x:c r="C329" t="str">
        <x:v>GATE</x:v>
      </x:c>
      <x:c r="D329" t="str">
        <x:v>release ledger mirrors governing state</x:v>
      </x:c>
      <x:c r="E329" t="str">
        <x:f>'Release Gates'!J309</x:f>
        <x:v>PASS</x:v>
      </x:c>
      <x:c r="F329" t="str">
        <x:f>IF('Release Gates'!C309="PLANNING","PASS",IF('Release Gates'!C309="PHYSICAL","OPEN","BLOCKED"))</x:f>
        <x:v>PASS</x:v>
      </x:c>
      <x:c r="G329" t="str">
        <x:v>equals</x:v>
      </x:c>
      <x:c r="H329" t="str">
        <x:f>IF(E329=F329,"PASS","FAIL")</x:f>
        <x:v>PASS</x:v>
      </x:c>
    </x:row>
    <x:row r="330">
      <x:c r="B330" t="str">
        <x:v>A-304</x:v>
      </x:c>
      <x:c r="C330" t="str">
        <x:v>GATE</x:v>
      </x:c>
      <x:c r="D330" t="str">
        <x:v>release ledger mirrors governing state</x:v>
      </x:c>
      <x:c r="E330" t="str">
        <x:f>'Release Gates'!J310</x:f>
        <x:v>PASS</x:v>
      </x:c>
      <x:c r="F330" t="str">
        <x:f>IF('Release Gates'!C310="PLANNING","PASS",IF('Release Gates'!C310="PHYSICAL","OPEN","BLOCKED"))</x:f>
        <x:v>PASS</x:v>
      </x:c>
      <x:c r="G330" t="str">
        <x:v>equals</x:v>
      </x:c>
      <x:c r="H330" t="str">
        <x:f>IF(E330=F330,"PASS","FAIL")</x:f>
        <x:v>PASS</x:v>
      </x:c>
    </x:row>
    <x:row r="331">
      <x:c r="B331" t="str">
        <x:v>A-305</x:v>
      </x:c>
      <x:c r="C331" t="str">
        <x:v>GATE</x:v>
      </x:c>
      <x:c r="D331" t="str">
        <x:v>release ledger mirrors governing state</x:v>
      </x:c>
      <x:c r="E331" t="str">
        <x:f>'Release Gates'!J311</x:f>
        <x:v>PASS</x:v>
      </x:c>
      <x:c r="F331" t="str">
        <x:f>IF('Release Gates'!C311="PLANNING","PASS",IF('Release Gates'!C311="PHYSICAL","OPEN","BLOCKED"))</x:f>
        <x:v>PASS</x:v>
      </x:c>
      <x:c r="G331" t="str">
        <x:v>equals</x:v>
      </x:c>
      <x:c r="H331" t="str">
        <x:f>IF(E331=F331,"PASS","FAIL")</x:f>
        <x:v>PASS</x:v>
      </x:c>
    </x:row>
    <x:row r="332">
      <x:c r="B332" t="str">
        <x:v>A-306</x:v>
      </x:c>
      <x:c r="C332" t="str">
        <x:v>GATE</x:v>
      </x:c>
      <x:c r="D332" t="str">
        <x:v>release ledger mirrors governing state</x:v>
      </x:c>
      <x:c r="E332" t="str">
        <x:f>'Release Gates'!J312</x:f>
        <x:v>PASS</x:v>
      </x:c>
      <x:c r="F332" t="str">
        <x:f>IF('Release Gates'!C312="PLANNING","PASS",IF('Release Gates'!C312="PHYSICAL","OPEN","BLOCKED"))</x:f>
        <x:v>PASS</x:v>
      </x:c>
      <x:c r="G332" t="str">
        <x:v>equals</x:v>
      </x:c>
      <x:c r="H332" t="str">
        <x:f>IF(E332=F332,"PASS","FAIL")</x:f>
        <x:v>PASS</x:v>
      </x:c>
    </x:row>
    <x:row r="333">
      <x:c r="B333" t="str">
        <x:v>A-307</x:v>
      </x:c>
      <x:c r="C333" t="str">
        <x:v>GATE</x:v>
      </x:c>
      <x:c r="D333" t="str">
        <x:v>release ledger mirrors governing state</x:v>
      </x:c>
      <x:c r="E333" t="str">
        <x:f>'Release Gates'!J313</x:f>
        <x:v>PASS</x:v>
      </x:c>
      <x:c r="F333" t="str">
        <x:f>IF('Release Gates'!C313="PLANNING","PASS",IF('Release Gates'!C313="PHYSICAL","OPEN","BLOCKED"))</x:f>
        <x:v>PASS</x:v>
      </x:c>
      <x:c r="G333" t="str">
        <x:v>equals</x:v>
      </x:c>
      <x:c r="H333" t="str">
        <x:f>IF(E333=F333,"PASS","FAIL")</x:f>
        <x:v>PASS</x:v>
      </x:c>
    </x:row>
    <x:row r="334">
      <x:c r="B334" t="str">
        <x:v>A-308</x:v>
      </x:c>
      <x:c r="C334" t="str">
        <x:v>GATE</x:v>
      </x:c>
      <x:c r="D334" t="str">
        <x:v>release ledger mirrors governing state</x:v>
      </x:c>
      <x:c r="E334" t="str">
        <x:f>'Release Gates'!J314</x:f>
        <x:v>PASS</x:v>
      </x:c>
      <x:c r="F334" t="str">
        <x:f>IF('Release Gates'!C314="PLANNING","PASS",IF('Release Gates'!C314="PHYSICAL","OPEN","BLOCKED"))</x:f>
        <x:v>PASS</x:v>
      </x:c>
      <x:c r="G334" t="str">
        <x:v>equals</x:v>
      </x:c>
      <x:c r="H334" t="str">
        <x:f>IF(E334=F334,"PASS","FAIL")</x:f>
        <x:v>PASS</x:v>
      </x:c>
    </x:row>
    <x:row r="335">
      <x:c r="B335" t="str">
        <x:v>A-309</x:v>
      </x:c>
      <x:c r="C335" t="str">
        <x:v>GATE</x:v>
      </x:c>
      <x:c r="D335" t="str">
        <x:v>release ledger mirrors governing state</x:v>
      </x:c>
      <x:c r="E335" t="str">
        <x:f>'Release Gates'!J315</x:f>
        <x:v>PASS</x:v>
      </x:c>
      <x:c r="F335" t="str">
        <x:f>IF('Release Gates'!C315="PLANNING","PASS",IF('Release Gates'!C315="PHYSICAL","OPEN","BLOCKED"))</x:f>
        <x:v>PASS</x:v>
      </x:c>
      <x:c r="G335" t="str">
        <x:v>equals</x:v>
      </x:c>
      <x:c r="H335" t="str">
        <x:f>IF(E335=F335,"PASS","FAIL")</x:f>
        <x:v>PASS</x:v>
      </x:c>
    </x:row>
    <x:row r="336">
      <x:c r="B336" t="str">
        <x:v>A-310</x:v>
      </x:c>
      <x:c r="C336" t="str">
        <x:v>GATE</x:v>
      </x:c>
      <x:c r="D336" t="str">
        <x:v>release ledger mirrors governing state</x:v>
      </x:c>
      <x:c r="E336" t="str">
        <x:f>'Release Gates'!J316</x:f>
        <x:v>PASS</x:v>
      </x:c>
      <x:c r="F336" t="str">
        <x:f>IF('Release Gates'!C316="PLANNING","PASS",IF('Release Gates'!C316="PHYSICAL","OPEN","BLOCKED"))</x:f>
        <x:v>PASS</x:v>
      </x:c>
      <x:c r="G336" t="str">
        <x:v>equals</x:v>
      </x:c>
      <x:c r="H336" t="str">
        <x:f>IF(E336=F336,"PASS","FAIL")</x:f>
        <x:v>PASS</x:v>
      </x:c>
    </x:row>
    <x:row r="337">
      <x:c r="B337" t="str">
        <x:v>A-311</x:v>
      </x:c>
      <x:c r="C337" t="str">
        <x:v>GATE</x:v>
      </x:c>
      <x:c r="D337" t="str">
        <x:v>release ledger mirrors governing state</x:v>
      </x:c>
      <x:c r="E337" t="str">
        <x:f>'Release Gates'!J317</x:f>
        <x:v>PASS</x:v>
      </x:c>
      <x:c r="F337" t="str">
        <x:f>IF('Release Gates'!C317="PLANNING","PASS",IF('Release Gates'!C317="PHYSICAL","OPEN","BLOCKED"))</x:f>
        <x:v>PASS</x:v>
      </x:c>
      <x:c r="G337" t="str">
        <x:v>equals</x:v>
      </x:c>
      <x:c r="H337" t="str">
        <x:f>IF(E337=F337,"PASS","FAIL")</x:f>
        <x:v>PASS</x:v>
      </x:c>
    </x:row>
    <x:row r="338">
      <x:c r="B338" t="str">
        <x:v>A-312</x:v>
      </x:c>
      <x:c r="C338" t="str">
        <x:v>GATE</x:v>
      </x:c>
      <x:c r="D338" t="str">
        <x:v>release ledger mirrors governing state</x:v>
      </x:c>
      <x:c r="E338" t="str">
        <x:f>'Release Gates'!J318</x:f>
        <x:v>PASS</x:v>
      </x:c>
      <x:c r="F338" t="str">
        <x:f>IF('Release Gates'!C318="PLANNING","PASS",IF('Release Gates'!C318="PHYSICAL","OPEN","BLOCKED"))</x:f>
        <x:v>PASS</x:v>
      </x:c>
      <x:c r="G338" t="str">
        <x:v>equals</x:v>
      </x:c>
      <x:c r="H338" t="str">
        <x:f>IF(E338=F338,"PASS","FAIL")</x:f>
        <x:v>PASS</x:v>
      </x:c>
    </x:row>
    <x:row r="339">
      <x:c r="B339" t="str">
        <x:v>A-313</x:v>
      </x:c>
      <x:c r="C339" t="str">
        <x:v>GATE</x:v>
      </x:c>
      <x:c r="D339" t="str">
        <x:v>release ledger mirrors governing state</x:v>
      </x:c>
      <x:c r="E339" t="str">
        <x:f>'Release Gates'!J319</x:f>
        <x:v>PASS</x:v>
      </x:c>
      <x:c r="F339" t="str">
        <x:f>IF('Release Gates'!C319="PLANNING","PASS",IF('Release Gates'!C319="PHYSICAL","OPEN","BLOCKED"))</x:f>
        <x:v>PASS</x:v>
      </x:c>
      <x:c r="G339" t="str">
        <x:v>equals</x:v>
      </x:c>
      <x:c r="H339" t="str">
        <x:f>IF(E339=F339,"PASS","FAIL")</x:f>
        <x:v>PASS</x:v>
      </x:c>
    </x:row>
    <x:row r="340">
      <x:c r="B340" t="str">
        <x:v>A-314</x:v>
      </x:c>
      <x:c r="C340" t="str">
        <x:v>GATE</x:v>
      </x:c>
      <x:c r="D340" t="str">
        <x:v>release ledger mirrors governing state</x:v>
      </x:c>
      <x:c r="E340" t="str">
        <x:f>'Release Gates'!J320</x:f>
        <x:v>PASS</x:v>
      </x:c>
      <x:c r="F340" t="str">
        <x:f>IF('Release Gates'!C320="PLANNING","PASS",IF('Release Gates'!C320="PHYSICAL","OPEN","BLOCKED"))</x:f>
        <x:v>PASS</x:v>
      </x:c>
      <x:c r="G340" t="str">
        <x:v>equals</x:v>
      </x:c>
      <x:c r="H340" t="str">
        <x:f>IF(E340=F340,"PASS","FAIL")</x:f>
        <x:v>PASS</x:v>
      </x:c>
    </x:row>
    <x:row r="341">
      <x:c r="B341" t="str">
        <x:v>A-315</x:v>
      </x:c>
      <x:c r="C341" t="str">
        <x:v>GATE</x:v>
      </x:c>
      <x:c r="D341" t="str">
        <x:v>release ledger mirrors governing state</x:v>
      </x:c>
      <x:c r="E341" t="str">
        <x:f>'Release Gates'!J321</x:f>
        <x:v>PASS</x:v>
      </x:c>
      <x:c r="F341" t="str">
        <x:f>IF('Release Gates'!C321="PLANNING","PASS",IF('Release Gates'!C321="PHYSICAL","OPEN","BLOCKED"))</x:f>
        <x:v>PASS</x:v>
      </x:c>
      <x:c r="G341" t="str">
        <x:v>equals</x:v>
      </x:c>
      <x:c r="H341" t="str">
        <x:f>IF(E341=F341,"PASS","FAIL")</x:f>
        <x:v>PASS</x:v>
      </x:c>
    </x:row>
    <x:row r="342">
      <x:c r="B342" t="str">
        <x:v>A-316</x:v>
      </x:c>
      <x:c r="C342" t="str">
        <x:v>GATE</x:v>
      </x:c>
      <x:c r="D342" t="str">
        <x:v>release ledger mirrors governing state</x:v>
      </x:c>
      <x:c r="E342" t="str">
        <x:f>'Release Gates'!J322</x:f>
        <x:v>PASS</x:v>
      </x:c>
      <x:c r="F342" t="str">
        <x:f>IF('Release Gates'!C322="PLANNING","PASS",IF('Release Gates'!C322="PHYSICAL","OPEN","BLOCKED"))</x:f>
        <x:v>PASS</x:v>
      </x:c>
      <x:c r="G342" t="str">
        <x:v>equals</x:v>
      </x:c>
      <x:c r="H342" t="str">
        <x:f>IF(E342=F342,"PASS","FAIL")</x:f>
        <x:v>PASS</x:v>
      </x:c>
    </x:row>
    <x:row r="343">
      <x:c r="B343" t="str">
        <x:v>A-317</x:v>
      </x:c>
      <x:c r="C343" t="str">
        <x:v>GATE</x:v>
      </x:c>
      <x:c r="D343" t="str">
        <x:v>release ledger mirrors governing state</x:v>
      </x:c>
      <x:c r="E343" t="str">
        <x:f>'Release Gates'!J323</x:f>
        <x:v>PASS</x:v>
      </x:c>
      <x:c r="F343" t="str">
        <x:f>IF('Release Gates'!C323="PLANNING","PASS",IF('Release Gates'!C323="PHYSICAL","OPEN","BLOCKED"))</x:f>
        <x:v>PASS</x:v>
      </x:c>
      <x:c r="G343" t="str">
        <x:v>equals</x:v>
      </x:c>
      <x:c r="H343" t="str">
        <x:f>IF(E343=F343,"PASS","FAIL")</x:f>
        <x:v>PASS</x:v>
      </x:c>
    </x:row>
    <x:row r="344">
      <x:c r="B344" t="str">
        <x:v>A-318</x:v>
      </x:c>
      <x:c r="C344" t="str">
        <x:v>GATE</x:v>
      </x:c>
      <x:c r="D344" t="str">
        <x:v>release ledger mirrors governing state</x:v>
      </x:c>
      <x:c r="E344" t="str">
        <x:f>'Release Gates'!J324</x:f>
        <x:v>PASS</x:v>
      </x:c>
      <x:c r="F344" t="str">
        <x:f>IF('Release Gates'!C324="PLANNING","PASS",IF('Release Gates'!C324="PHYSICAL","OPEN","BLOCKED"))</x:f>
        <x:v>PASS</x:v>
      </x:c>
      <x:c r="G344" t="str">
        <x:v>equals</x:v>
      </x:c>
      <x:c r="H344" t="str">
        <x:f>IF(E344=F344,"PASS","FAIL")</x:f>
        <x:v>PASS</x:v>
      </x:c>
    </x:row>
    <x:row r="345">
      <x:c r="B345" t="str">
        <x:v>A-319</x:v>
      </x:c>
      <x:c r="C345" t="str">
        <x:v>GATE</x:v>
      </x:c>
      <x:c r="D345" t="str">
        <x:v>release ledger mirrors governing state</x:v>
      </x:c>
      <x:c r="E345" t="str">
        <x:f>'Release Gates'!J325</x:f>
        <x:v>PASS</x:v>
      </x:c>
      <x:c r="F345" t="str">
        <x:f>IF('Release Gates'!C325="PLANNING","PASS",IF('Release Gates'!C325="PHYSICAL","OPEN","BLOCKED"))</x:f>
        <x:v>PASS</x:v>
      </x:c>
      <x:c r="G345" t="str">
        <x:v>equals</x:v>
      </x:c>
      <x:c r="H345" t="str">
        <x:f>IF(E345=F345,"PASS","FAIL")</x:f>
        <x:v>PASS</x:v>
      </x:c>
    </x:row>
    <x:row r="346">
      <x:c r="B346" t="str">
        <x:v>A-320</x:v>
      </x:c>
      <x:c r="C346" t="str">
        <x:v>GATE</x:v>
      </x:c>
      <x:c r="D346" t="str">
        <x:v>release ledger mirrors governing state</x:v>
      </x:c>
      <x:c r="E346" t="str">
        <x:f>'Release Gates'!J326</x:f>
        <x:v>PASS</x:v>
      </x:c>
      <x:c r="F346" t="str">
        <x:f>IF('Release Gates'!C326="PLANNING","PASS",IF('Release Gates'!C326="PHYSICAL","OPEN","BLOCKED"))</x:f>
        <x:v>PASS</x:v>
      </x:c>
      <x:c r="G346" t="str">
        <x:v>equals</x:v>
      </x:c>
      <x:c r="H346" t="str">
        <x:f>IF(E346=F346,"PASS","FAIL")</x:f>
        <x:v>PASS</x:v>
      </x:c>
    </x:row>
    <x:row r="347">
      <x:c r="B347" t="str">
        <x:v>A-321</x:v>
      </x:c>
      <x:c r="C347" t="str">
        <x:v>GATE</x:v>
      </x:c>
      <x:c r="D347" t="str">
        <x:v>release ledger mirrors governing state</x:v>
      </x:c>
      <x:c r="E347" t="str">
        <x:f>'Release Gates'!J327</x:f>
        <x:v>PASS</x:v>
      </x:c>
      <x:c r="F347" t="str">
        <x:f>IF('Release Gates'!C327="PLANNING","PASS",IF('Release Gates'!C327="PHYSICAL","OPEN","BLOCKED"))</x:f>
        <x:v>PASS</x:v>
      </x:c>
      <x:c r="G347" t="str">
        <x:v>equals</x:v>
      </x:c>
      <x:c r="H347" t="str">
        <x:f>IF(E347=F347,"PASS","FAIL")</x:f>
        <x:v>PASS</x:v>
      </x:c>
    </x:row>
    <x:row r="348">
      <x:c r="B348" t="str">
        <x:v>A-322</x:v>
      </x:c>
      <x:c r="C348" t="str">
        <x:v>GATE</x:v>
      </x:c>
      <x:c r="D348" t="str">
        <x:v>release ledger mirrors governing state</x:v>
      </x:c>
      <x:c r="E348" t="str">
        <x:f>'Release Gates'!J328</x:f>
        <x:v>PASS</x:v>
      </x:c>
      <x:c r="F348" t="str">
        <x:f>IF('Release Gates'!C328="PLANNING","PASS",IF('Release Gates'!C328="PHYSICAL","OPEN","BLOCKED"))</x:f>
        <x:v>PASS</x:v>
      </x:c>
      <x:c r="G348" t="str">
        <x:v>equals</x:v>
      </x:c>
      <x:c r="H348" t="str">
        <x:f>IF(E348=F348,"PASS","FAIL")</x:f>
        <x:v>PASS</x:v>
      </x:c>
    </x:row>
    <x:row r="349">
      <x:c r="B349" t="str">
        <x:v>A-323</x:v>
      </x:c>
      <x:c r="C349" t="str">
        <x:v>GATE</x:v>
      </x:c>
      <x:c r="D349" t="str">
        <x:v>release ledger mirrors governing state</x:v>
      </x:c>
      <x:c r="E349" t="str">
        <x:f>'Release Gates'!J329</x:f>
        <x:v>PASS</x:v>
      </x:c>
      <x:c r="F349" t="str">
        <x:f>IF('Release Gates'!C329="PLANNING","PASS",IF('Release Gates'!C329="PHYSICAL","OPEN","BLOCKED"))</x:f>
        <x:v>PASS</x:v>
      </x:c>
      <x:c r="G349" t="str">
        <x:v>equals</x:v>
      </x:c>
      <x:c r="H349" t="str">
        <x:f>IF(E349=F349,"PASS","FAIL")</x:f>
        <x:v>PASS</x:v>
      </x:c>
    </x:row>
    <x:row r="350">
      <x:c r="B350" t="str">
        <x:v>A-324</x:v>
      </x:c>
      <x:c r="C350" t="str">
        <x:v>GATE</x:v>
      </x:c>
      <x:c r="D350" t="str">
        <x:v>release ledger mirrors governing state</x:v>
      </x:c>
      <x:c r="E350" t="str">
        <x:f>'Release Gates'!J330</x:f>
        <x:v>PASS</x:v>
      </x:c>
      <x:c r="F350" t="str">
        <x:f>IF('Release Gates'!C330="PLANNING","PASS",IF('Release Gates'!C330="PHYSICAL","OPEN","BLOCKED"))</x:f>
        <x:v>PASS</x:v>
      </x:c>
      <x:c r="G350" t="str">
        <x:v>equals</x:v>
      </x:c>
      <x:c r="H350" t="str">
        <x:f>IF(E350=F350,"PASS","FAIL")</x:f>
        <x:v>PASS</x:v>
      </x:c>
    </x:row>
    <x:row r="351">
      <x:c r="B351" t="str">
        <x:v>A-325</x:v>
      </x:c>
      <x:c r="C351" t="str">
        <x:v>GATE</x:v>
      </x:c>
      <x:c r="D351" t="str">
        <x:v>release ledger mirrors governing state</x:v>
      </x:c>
      <x:c r="E351" t="str">
        <x:f>'Release Gates'!J331</x:f>
        <x:v>PASS</x:v>
      </x:c>
      <x:c r="F351" t="str">
        <x:f>IF('Release Gates'!C331="PLANNING","PASS",IF('Release Gates'!C331="PHYSICAL","OPEN","BLOCKED"))</x:f>
        <x:v>PASS</x:v>
      </x:c>
      <x:c r="G351" t="str">
        <x:v>equals</x:v>
      </x:c>
      <x:c r="H351" t="str">
        <x:f>IF(E351=F351,"PASS","FAIL")</x:f>
        <x:v>PASS</x:v>
      </x:c>
    </x:row>
    <x:row r="352">
      <x:c r="B352" t="str">
        <x:v>A-326</x:v>
      </x:c>
      <x:c r="C352" t="str">
        <x:v>GATE</x:v>
      </x:c>
      <x:c r="D352" t="str">
        <x:v>release ledger mirrors governing state</x:v>
      </x:c>
      <x:c r="E352" t="str">
        <x:f>'Release Gates'!J332</x:f>
        <x:v>PASS</x:v>
      </x:c>
      <x:c r="F352" t="str">
        <x:f>IF('Release Gates'!C332="PLANNING","PASS",IF('Release Gates'!C332="PHYSICAL","OPEN","BLOCKED"))</x:f>
        <x:v>PASS</x:v>
      </x:c>
      <x:c r="G352" t="str">
        <x:v>equals</x:v>
      </x:c>
      <x:c r="H352" t="str">
        <x:f>IF(E352=F352,"PASS","FAIL")</x:f>
        <x:v>PASS</x:v>
      </x:c>
    </x:row>
    <x:row r="353">
      <x:c r="B353" t="str">
        <x:v>A-327</x:v>
      </x:c>
      <x:c r="C353" t="str">
        <x:v>GATE</x:v>
      </x:c>
      <x:c r="D353" t="str">
        <x:v>release ledger mirrors governing state</x:v>
      </x:c>
      <x:c r="E353" t="str">
        <x:f>'Release Gates'!J333</x:f>
        <x:v>PASS</x:v>
      </x:c>
      <x:c r="F353" t="str">
        <x:f>IF('Release Gates'!C333="PLANNING","PASS",IF('Release Gates'!C333="PHYSICAL","OPEN","BLOCKED"))</x:f>
        <x:v>PASS</x:v>
      </x:c>
      <x:c r="G353" t="str">
        <x:v>equals</x:v>
      </x:c>
      <x:c r="H353" t="str">
        <x:f>IF(E353=F353,"PASS","FAIL")</x:f>
        <x:v>PASS</x:v>
      </x:c>
    </x:row>
    <x:row r="354">
      <x:c r="B354" t="str">
        <x:v>A-328</x:v>
      </x:c>
      <x:c r="C354" t="str">
        <x:v>GATE</x:v>
      </x:c>
      <x:c r="D354" t="str">
        <x:v>release ledger mirrors governing state</x:v>
      </x:c>
      <x:c r="E354" t="str">
        <x:f>'Release Gates'!J334</x:f>
        <x:v>PASS</x:v>
      </x:c>
      <x:c r="F354" t="str">
        <x:f>IF('Release Gates'!C334="PLANNING","PASS",IF('Release Gates'!C334="PHYSICAL","OPEN","BLOCKED"))</x:f>
        <x:v>PASS</x:v>
      </x:c>
      <x:c r="G354" t="str">
        <x:v>equals</x:v>
      </x:c>
      <x:c r="H354" t="str">
        <x:f>IF(E354=F354,"PASS","FAIL")</x:f>
        <x:v>PASS</x:v>
      </x:c>
    </x:row>
    <x:row r="355">
      <x:c r="B355" t="str">
        <x:v>A-329</x:v>
      </x:c>
      <x:c r="C355" t="str">
        <x:v>GATE</x:v>
      </x:c>
      <x:c r="D355" t="str">
        <x:v>release ledger mirrors governing state</x:v>
      </x:c>
      <x:c r="E355" t="str">
        <x:f>'Release Gates'!J335</x:f>
        <x:v>PASS</x:v>
      </x:c>
      <x:c r="F355" t="str">
        <x:f>IF('Release Gates'!C335="PLANNING","PASS",IF('Release Gates'!C335="PHYSICAL","OPEN","BLOCKED"))</x:f>
        <x:v>PASS</x:v>
      </x:c>
      <x:c r="G355" t="str">
        <x:v>equals</x:v>
      </x:c>
      <x:c r="H355" t="str">
        <x:f>IF(E355=F355,"PASS","FAIL")</x:f>
        <x:v>PASS</x:v>
      </x:c>
    </x:row>
    <x:row r="356">
      <x:c r="B356" t="str">
        <x:v>A-330</x:v>
      </x:c>
      <x:c r="C356" t="str">
        <x:v>GATE</x:v>
      </x:c>
      <x:c r="D356" t="str">
        <x:v>release ledger mirrors governing state</x:v>
      </x:c>
      <x:c r="E356" t="str">
        <x:f>'Release Gates'!J336</x:f>
        <x:v>PASS</x:v>
      </x:c>
      <x:c r="F356" t="str">
        <x:f>IF('Release Gates'!C336="PLANNING","PASS",IF('Release Gates'!C336="PHYSICAL","OPEN","BLOCKED"))</x:f>
        <x:v>PASS</x:v>
      </x:c>
      <x:c r="G356" t="str">
        <x:v>equals</x:v>
      </x:c>
      <x:c r="H356" t="str">
        <x:f>IF(E356=F356,"PASS","FAIL")</x:f>
        <x:v>PASS</x:v>
      </x:c>
    </x:row>
    <x:row r="357">
      <x:c r="B357" t="str">
        <x:v>A-331</x:v>
      </x:c>
      <x:c r="C357" t="str">
        <x:v>GATE</x:v>
      </x:c>
      <x:c r="D357" t="str">
        <x:v>release ledger mirrors governing state</x:v>
      </x:c>
      <x:c r="E357" t="str">
        <x:f>'Release Gates'!J337</x:f>
        <x:v>PASS</x:v>
      </x:c>
      <x:c r="F357" t="str">
        <x:f>IF('Release Gates'!C337="PLANNING","PASS",IF('Release Gates'!C337="PHYSICAL","OPEN","BLOCKED"))</x:f>
        <x:v>PASS</x:v>
      </x:c>
      <x:c r="G357" t="str">
        <x:v>equals</x:v>
      </x:c>
      <x:c r="H357" t="str">
        <x:f>IF(E357=F357,"PASS","FAIL")</x:f>
        <x:v>PASS</x:v>
      </x:c>
    </x:row>
    <x:row r="358">
      <x:c r="B358" t="str">
        <x:v>A-332</x:v>
      </x:c>
      <x:c r="C358" t="str">
        <x:v>GATE</x:v>
      </x:c>
      <x:c r="D358" t="str">
        <x:v>release ledger mirrors governing state</x:v>
      </x:c>
      <x:c r="E358" t="str">
        <x:f>'Release Gates'!J338</x:f>
        <x:v>PASS</x:v>
      </x:c>
      <x:c r="F358" t="str">
        <x:f>IF('Release Gates'!C338="PLANNING","PASS",IF('Release Gates'!C338="PHYSICAL","OPEN","BLOCKED"))</x:f>
        <x:v>PASS</x:v>
      </x:c>
      <x:c r="G358" t="str">
        <x:v>equals</x:v>
      </x:c>
      <x:c r="H358" t="str">
        <x:f>IF(E358=F358,"PASS","FAIL")</x:f>
        <x:v>PASS</x:v>
      </x:c>
    </x:row>
    <x:row r="359">
      <x:c r="B359" t="str">
        <x:v>A-333</x:v>
      </x:c>
      <x:c r="C359" t="str">
        <x:v>GATE</x:v>
      </x:c>
      <x:c r="D359" t="str">
        <x:v>release ledger mirrors governing state</x:v>
      </x:c>
      <x:c r="E359" t="str">
        <x:f>'Release Gates'!J339</x:f>
        <x:v>PASS</x:v>
      </x:c>
      <x:c r="F359" t="str">
        <x:f>IF('Release Gates'!C339="PLANNING","PASS",IF('Release Gates'!C339="PHYSICAL","OPEN","BLOCKED"))</x:f>
        <x:v>PASS</x:v>
      </x:c>
      <x:c r="G359" t="str">
        <x:v>equals</x:v>
      </x:c>
      <x:c r="H359" t="str">
        <x:f>IF(E359=F359,"PASS","FAIL")</x:f>
        <x:v>PASS</x:v>
      </x:c>
    </x:row>
    <x:row r="360">
      <x:c r="B360" t="str">
        <x:v>A-334</x:v>
      </x:c>
      <x:c r="C360" t="str">
        <x:v>GATE</x:v>
      </x:c>
      <x:c r="D360" t="str">
        <x:v>release ledger mirrors governing state</x:v>
      </x:c>
      <x:c r="E360" t="str">
        <x:f>'Release Gates'!J340</x:f>
        <x:v>PASS</x:v>
      </x:c>
      <x:c r="F360" t="str">
        <x:f>IF('Release Gates'!C340="PLANNING","PASS",IF('Release Gates'!C340="PHYSICAL","OPEN","BLOCKED"))</x:f>
        <x:v>PASS</x:v>
      </x:c>
      <x:c r="G360" t="str">
        <x:v>equals</x:v>
      </x:c>
      <x:c r="H360" t="str">
        <x:f>IF(E360=F360,"PASS","FAIL")</x:f>
        <x:v>PASS</x:v>
      </x:c>
    </x:row>
    <x:row r="361">
      <x:c r="B361" t="str">
        <x:v>A-335</x:v>
      </x:c>
      <x:c r="C361" t="str">
        <x:v>GATE</x:v>
      </x:c>
      <x:c r="D361" t="str">
        <x:v>release ledger mirrors governing state</x:v>
      </x:c>
      <x:c r="E361" t="str">
        <x:f>'Release Gates'!J341</x:f>
        <x:v>PASS</x:v>
      </x:c>
      <x:c r="F361" t="str">
        <x:f>IF('Release Gates'!C341="PLANNING","PASS",IF('Release Gates'!C341="PHYSICAL","OPEN","BLOCKED"))</x:f>
        <x:v>PASS</x:v>
      </x:c>
      <x:c r="G361" t="str">
        <x:v>equals</x:v>
      </x:c>
      <x:c r="H361" t="str">
        <x:f>IF(E361=F361,"PASS","FAIL")</x:f>
        <x:v>PASS</x:v>
      </x:c>
    </x:row>
    <x:row r="362">
      <x:c r="B362" t="str">
        <x:v>A-336</x:v>
      </x:c>
      <x:c r="C362" t="str">
        <x:v>GATE</x:v>
      </x:c>
      <x:c r="D362" t="str">
        <x:v>release ledger mirrors governing state</x:v>
      </x:c>
      <x:c r="E362" t="str">
        <x:f>'Release Gates'!J342</x:f>
        <x:v>PASS</x:v>
      </x:c>
      <x:c r="F362" t="str">
        <x:f>IF('Release Gates'!C342="PLANNING","PASS",IF('Release Gates'!C342="PHYSICAL","OPEN","BLOCKED"))</x:f>
        <x:v>PASS</x:v>
      </x:c>
      <x:c r="G362" t="str">
        <x:v>equals</x:v>
      </x:c>
      <x:c r="H362" t="str">
        <x:f>IF(E362=F362,"PASS","FAIL")</x:f>
        <x:v>PASS</x:v>
      </x:c>
    </x:row>
    <x:row r="363">
      <x:c r="B363" t="str">
        <x:v>A-337</x:v>
      </x:c>
      <x:c r="C363" t="str">
        <x:v>GATE</x:v>
      </x:c>
      <x:c r="D363" t="str">
        <x:v>release ledger mirrors governing state</x:v>
      </x:c>
      <x:c r="E363" t="str">
        <x:f>'Release Gates'!J343</x:f>
        <x:v>PASS</x:v>
      </x:c>
      <x:c r="F363" t="str">
        <x:f>IF('Release Gates'!C343="PLANNING","PASS",IF('Release Gates'!C343="PHYSICAL","OPEN","BLOCKED"))</x:f>
        <x:v>PASS</x:v>
      </x:c>
      <x:c r="G363" t="str">
        <x:v>equals</x:v>
      </x:c>
      <x:c r="H363" t="str">
        <x:f>IF(E363=F363,"PASS","FAIL")</x:f>
        <x:v>PASS</x:v>
      </x:c>
    </x:row>
    <x:row r="364">
      <x:c r="B364" t="str">
        <x:v>A-338</x:v>
      </x:c>
      <x:c r="C364" t="str">
        <x:v>GATE</x:v>
      </x:c>
      <x:c r="D364" t="str">
        <x:v>release ledger mirrors governing state</x:v>
      </x:c>
      <x:c r="E364" t="str">
        <x:f>'Release Gates'!J344</x:f>
        <x:v>PASS</x:v>
      </x:c>
      <x:c r="F364" t="str">
        <x:f>IF('Release Gates'!C344="PLANNING","PASS",IF('Release Gates'!C344="PHYSICAL","OPEN","BLOCKED"))</x:f>
        <x:v>PASS</x:v>
      </x:c>
      <x:c r="G364" t="str">
        <x:v>equals</x:v>
      </x:c>
      <x:c r="H364" t="str">
        <x:f>IF(E364=F364,"PASS","FAIL")</x:f>
        <x:v>PASS</x:v>
      </x:c>
    </x:row>
    <x:row r="365">
      <x:c r="B365" t="str">
        <x:v>A-339</x:v>
      </x:c>
      <x:c r="C365" t="str">
        <x:v>GATE</x:v>
      </x:c>
      <x:c r="D365" t="str">
        <x:v>release ledger mirrors governing state</x:v>
      </x:c>
      <x:c r="E365" t="str">
        <x:f>'Release Gates'!J345</x:f>
        <x:v>PASS</x:v>
      </x:c>
      <x:c r="F365" t="str">
        <x:f>IF('Release Gates'!C345="PLANNING","PASS",IF('Release Gates'!C345="PHYSICAL","OPEN","BLOCKED"))</x:f>
        <x:v>PASS</x:v>
      </x:c>
      <x:c r="G365" t="str">
        <x:v>equals</x:v>
      </x:c>
      <x:c r="H365" t="str">
        <x:f>IF(E365=F365,"PASS","FAIL")</x:f>
        <x:v>PASS</x:v>
      </x:c>
    </x:row>
    <x:row r="366">
      <x:c r="B366" t="str">
        <x:v>A-340</x:v>
      </x:c>
      <x:c r="C366" t="str">
        <x:v>GATE</x:v>
      </x:c>
      <x:c r="D366" t="str">
        <x:v>release ledger mirrors governing state</x:v>
      </x:c>
      <x:c r="E366" t="str">
        <x:f>'Release Gates'!J346</x:f>
        <x:v>PASS</x:v>
      </x:c>
      <x:c r="F366" t="str">
        <x:f>IF('Release Gates'!C346="PLANNING","PASS",IF('Release Gates'!C346="PHYSICAL","OPEN","BLOCKED"))</x:f>
        <x:v>PASS</x:v>
      </x:c>
      <x:c r="G366" t="str">
        <x:v>equals</x:v>
      </x:c>
      <x:c r="H366" t="str">
        <x:f>IF(E366=F366,"PASS","FAIL")</x:f>
        <x:v>PASS</x:v>
      </x:c>
    </x:row>
    <x:row r="367">
      <x:c r="B367" t="str">
        <x:v>A-341</x:v>
      </x:c>
      <x:c r="C367" t="str">
        <x:v>GATE</x:v>
      </x:c>
      <x:c r="D367" t="str">
        <x:v>release ledger mirrors governing state</x:v>
      </x:c>
      <x:c r="E367" t="str">
        <x:f>'Release Gates'!J347</x:f>
        <x:v>PASS</x:v>
      </x:c>
      <x:c r="F367" t="str">
        <x:f>IF('Release Gates'!C347="PLANNING","PASS",IF('Release Gates'!C347="PHYSICAL","OPEN","BLOCKED"))</x:f>
        <x:v>PASS</x:v>
      </x:c>
      <x:c r="G367" t="str">
        <x:v>equals</x:v>
      </x:c>
      <x:c r="H367" t="str">
        <x:f>IF(E367=F367,"PASS","FAIL")</x:f>
        <x:v>PASS</x:v>
      </x:c>
    </x:row>
    <x:row r="368">
      <x:c r="B368" t="str">
        <x:v>A-342</x:v>
      </x:c>
      <x:c r="C368" t="str">
        <x:v>GATE</x:v>
      </x:c>
      <x:c r="D368" t="str">
        <x:v>release ledger mirrors governing state</x:v>
      </x:c>
      <x:c r="E368" t="str">
        <x:f>'Release Gates'!J348</x:f>
        <x:v>PASS</x:v>
      </x:c>
      <x:c r="F368" t="str">
        <x:f>IF('Release Gates'!C348="PLANNING","PASS",IF('Release Gates'!C348="PHYSICAL","OPEN","BLOCKED"))</x:f>
        <x:v>PASS</x:v>
      </x:c>
      <x:c r="G368" t="str">
        <x:v>equals</x:v>
      </x:c>
      <x:c r="H368" t="str">
        <x:f>IF(E368=F368,"PASS","FAIL")</x:f>
        <x:v>PASS</x:v>
      </x:c>
    </x:row>
    <x:row r="369">
      <x:c r="B369" t="str">
        <x:v>A-343</x:v>
      </x:c>
      <x:c r="C369" t="str">
        <x:v>GATE</x:v>
      </x:c>
      <x:c r="D369" t="str">
        <x:v>release ledger mirrors governing state</x:v>
      </x:c>
      <x:c r="E369" t="str">
        <x:f>'Release Gates'!J349</x:f>
        <x:v>PASS</x:v>
      </x:c>
      <x:c r="F369" t="str">
        <x:f>IF('Release Gates'!C349="PLANNING","PASS",IF('Release Gates'!C349="PHYSICAL","OPEN","BLOCKED"))</x:f>
        <x:v>PASS</x:v>
      </x:c>
      <x:c r="G369" t="str">
        <x:v>equals</x:v>
      </x:c>
      <x:c r="H369" t="str">
        <x:f>IF(E369=F369,"PASS","FAIL")</x:f>
        <x:v>PASS</x:v>
      </x:c>
    </x:row>
    <x:row r="370">
      <x:c r="B370" t="str">
        <x:v>A-344</x:v>
      </x:c>
      <x:c r="C370" t="str">
        <x:v>GATE</x:v>
      </x:c>
      <x:c r="D370" t="str">
        <x:v>release ledger mirrors governing state</x:v>
      </x:c>
      <x:c r="E370" t="str">
        <x:f>'Release Gates'!J350</x:f>
        <x:v>PASS</x:v>
      </x:c>
      <x:c r="F370" t="str">
        <x:f>IF('Release Gates'!C350="PLANNING","PASS",IF('Release Gates'!C350="PHYSICAL","OPEN","BLOCKED"))</x:f>
        <x:v>PASS</x:v>
      </x:c>
      <x:c r="G370" t="str">
        <x:v>equals</x:v>
      </x:c>
      <x:c r="H370" t="str">
        <x:f>IF(E370=F370,"PASS","FAIL")</x:f>
        <x:v>PASS</x:v>
      </x:c>
    </x:row>
    <x:row r="371">
      <x:c r="B371" t="str">
        <x:v>A-345</x:v>
      </x:c>
      <x:c r="C371" t="str">
        <x:v>GATE</x:v>
      </x:c>
      <x:c r="D371" t="str">
        <x:v>release ledger mirrors governing state</x:v>
      </x:c>
      <x:c r="E371" t="str">
        <x:f>'Release Gates'!J351</x:f>
        <x:v>PASS</x:v>
      </x:c>
      <x:c r="F371" t="str">
        <x:f>IF('Release Gates'!C351="PLANNING","PASS",IF('Release Gates'!C351="PHYSICAL","OPEN","BLOCKED"))</x:f>
        <x:v>PASS</x:v>
      </x:c>
      <x:c r="G371" t="str">
        <x:v>equals</x:v>
      </x:c>
      <x:c r="H371" t="str">
        <x:f>IF(E371=F371,"PASS","FAIL")</x:f>
        <x:v>PASS</x:v>
      </x:c>
    </x:row>
    <x:row r="372">
      <x:c r="B372" t="str">
        <x:v>A-346</x:v>
      </x:c>
      <x:c r="C372" t="str">
        <x:v>GATE</x:v>
      </x:c>
      <x:c r="D372" t="str">
        <x:v>release ledger mirrors governing state</x:v>
      </x:c>
      <x:c r="E372" t="str">
        <x:f>'Release Gates'!J352</x:f>
        <x:v>PASS</x:v>
      </x:c>
      <x:c r="F372" t="str">
        <x:f>IF('Release Gates'!C352="PLANNING","PASS",IF('Release Gates'!C352="PHYSICAL","OPEN","BLOCKED"))</x:f>
        <x:v>PASS</x:v>
      </x:c>
      <x:c r="G372" t="str">
        <x:v>equals</x:v>
      </x:c>
      <x:c r="H372" t="str">
        <x:f>IF(E372=F372,"PASS","FAIL")</x:f>
        <x:v>PASS</x:v>
      </x:c>
    </x:row>
    <x:row r="373">
      <x:c r="B373" t="str">
        <x:v>A-347</x:v>
      </x:c>
      <x:c r="C373" t="str">
        <x:v>GATE</x:v>
      </x:c>
      <x:c r="D373" t="str">
        <x:v>release ledger mirrors governing state</x:v>
      </x:c>
      <x:c r="E373" t="str">
        <x:f>'Release Gates'!J353</x:f>
        <x:v>PASS</x:v>
      </x:c>
      <x:c r="F373" t="str">
        <x:f>IF('Release Gates'!C353="PLANNING","PASS",IF('Release Gates'!C353="PHYSICAL","OPEN","BLOCKED"))</x:f>
        <x:v>PASS</x:v>
      </x:c>
      <x:c r="G373" t="str">
        <x:v>equals</x:v>
      </x:c>
      <x:c r="H373" t="str">
        <x:f>IF(E373=F373,"PASS","FAIL")</x:f>
        <x:v>PASS</x:v>
      </x:c>
    </x:row>
    <x:row r="374">
      <x:c r="B374" t="str">
        <x:v>A-348</x:v>
      </x:c>
      <x:c r="C374" t="str">
        <x:v>GATE</x:v>
      </x:c>
      <x:c r="D374" t="str">
        <x:v>release ledger mirrors governing state</x:v>
      </x:c>
      <x:c r="E374" t="str">
        <x:f>'Release Gates'!J354</x:f>
        <x:v>PASS</x:v>
      </x:c>
      <x:c r="F374" t="str">
        <x:f>IF('Release Gates'!C354="PLANNING","PASS",IF('Release Gates'!C354="PHYSICAL","OPEN","BLOCKED"))</x:f>
        <x:v>PASS</x:v>
      </x:c>
      <x:c r="G374" t="str">
        <x:v>equals</x:v>
      </x:c>
      <x:c r="H374" t="str">
        <x:f>IF(E374=F374,"PASS","FAIL")</x:f>
        <x:v>PASS</x:v>
      </x:c>
    </x:row>
    <x:row r="375">
      <x:c r="B375" t="str">
        <x:v>A-349</x:v>
      </x:c>
      <x:c r="C375" t="str">
        <x:v>GATE</x:v>
      </x:c>
      <x:c r="D375" t="str">
        <x:v>release ledger mirrors governing state</x:v>
      </x:c>
      <x:c r="E375" t="str">
        <x:f>'Release Gates'!J355</x:f>
        <x:v>PASS</x:v>
      </x:c>
      <x:c r="F375" t="str">
        <x:f>IF('Release Gates'!C355="PLANNING","PASS",IF('Release Gates'!C355="PHYSICAL","OPEN","BLOCKED"))</x:f>
        <x:v>PASS</x:v>
      </x:c>
      <x:c r="G375" t="str">
        <x:v>equals</x:v>
      </x:c>
      <x:c r="H375" t="str">
        <x:f>IF(E375=F375,"PASS","FAIL")</x:f>
        <x:v>PASS</x:v>
      </x:c>
    </x:row>
    <x:row r="376">
      <x:c r="B376" t="str">
        <x:v>A-350</x:v>
      </x:c>
      <x:c r="C376" t="str">
        <x:v>GATE</x:v>
      </x:c>
      <x:c r="D376" t="str">
        <x:v>release ledger mirrors governing state</x:v>
      </x:c>
      <x:c r="E376" t="str">
        <x:f>'Release Gates'!J356</x:f>
        <x:v>PASS</x:v>
      </x:c>
      <x:c r="F376" t="str">
        <x:f>IF('Release Gates'!C356="PLANNING","PASS",IF('Release Gates'!C356="PHYSICAL","OPEN","BLOCKED"))</x:f>
        <x:v>PASS</x:v>
      </x:c>
      <x:c r="G376" t="str">
        <x:v>equals</x:v>
      </x:c>
      <x:c r="H376" t="str">
        <x:f>IF(E376=F376,"PASS","FAIL")</x:f>
        <x:v>PASS</x:v>
      </x:c>
    </x:row>
    <x:row r="377">
      <x:c r="B377" t="str">
        <x:v>A-351</x:v>
      </x:c>
      <x:c r="C377" t="str">
        <x:v>GATE</x:v>
      </x:c>
      <x:c r="D377" t="str">
        <x:v>release ledger mirrors governing state</x:v>
      </x:c>
      <x:c r="E377" t="str">
        <x:f>'Release Gates'!J357</x:f>
        <x:v>PASS</x:v>
      </x:c>
      <x:c r="F377" t="str">
        <x:f>IF('Release Gates'!C357="PLANNING","PASS",IF('Release Gates'!C357="PHYSICAL","OPEN","BLOCKED"))</x:f>
        <x:v>PASS</x:v>
      </x:c>
      <x:c r="G377" t="str">
        <x:v>equals</x:v>
      </x:c>
      <x:c r="H377" t="str">
        <x:f>IF(E377=F377,"PASS","FAIL")</x:f>
        <x:v>PASS</x:v>
      </x:c>
    </x:row>
    <x:row r="378">
      <x:c r="B378" t="str">
        <x:v>A-352</x:v>
      </x:c>
      <x:c r="C378" t="str">
        <x:v>GATE</x:v>
      </x:c>
      <x:c r="D378" t="str">
        <x:v>release ledger mirrors governing state</x:v>
      </x:c>
      <x:c r="E378" t="str">
        <x:f>'Release Gates'!J358</x:f>
        <x:v>PASS</x:v>
      </x:c>
      <x:c r="F378" t="str">
        <x:f>IF('Release Gates'!C358="PLANNING","PASS",IF('Release Gates'!C358="PHYSICAL","OPEN","BLOCKED"))</x:f>
        <x:v>PASS</x:v>
      </x:c>
      <x:c r="G378" t="str">
        <x:v>equals</x:v>
      </x:c>
      <x:c r="H378" t="str">
        <x:f>IF(E378=F378,"PASS","FAIL")</x:f>
        <x:v>PASS</x:v>
      </x:c>
    </x:row>
    <x:row r="379">
      <x:c r="B379" t="str">
        <x:v>A-353</x:v>
      </x:c>
      <x:c r="C379" t="str">
        <x:v>GATE</x:v>
      </x:c>
      <x:c r="D379" t="str">
        <x:v>release ledger mirrors governing state</x:v>
      </x:c>
      <x:c r="E379" t="str">
        <x:f>'Release Gates'!J359</x:f>
        <x:v>PASS</x:v>
      </x:c>
      <x:c r="F379" t="str">
        <x:f>IF('Release Gates'!C359="PLANNING","PASS",IF('Release Gates'!C359="PHYSICAL","OPEN","BLOCKED"))</x:f>
        <x:v>PASS</x:v>
      </x:c>
      <x:c r="G379" t="str">
        <x:v>equals</x:v>
      </x:c>
      <x:c r="H379" t="str">
        <x:f>IF(E379=F379,"PASS","FAIL")</x:f>
        <x:v>PASS</x:v>
      </x:c>
    </x:row>
    <x:row r="380">
      <x:c r="B380" t="str">
        <x:v>A-354</x:v>
      </x:c>
      <x:c r="C380" t="str">
        <x:v>GATE</x:v>
      </x:c>
      <x:c r="D380" t="str">
        <x:v>release ledger mirrors governing state</x:v>
      </x:c>
      <x:c r="E380" t="str">
        <x:f>'Release Gates'!J360</x:f>
        <x:v>PASS</x:v>
      </x:c>
      <x:c r="F380" t="str">
        <x:f>IF('Release Gates'!C360="PLANNING","PASS",IF('Release Gates'!C360="PHYSICAL","OPEN","BLOCKED"))</x:f>
        <x:v>PASS</x:v>
      </x:c>
      <x:c r="G380" t="str">
        <x:v>equals</x:v>
      </x:c>
      <x:c r="H380" t="str">
        <x:f>IF(E380=F380,"PASS","FAIL")</x:f>
        <x:v>PASS</x:v>
      </x:c>
    </x:row>
    <x:row r="381">
      <x:c r="B381" t="str">
        <x:v>A-355</x:v>
      </x:c>
      <x:c r="C381" t="str">
        <x:v>GATE</x:v>
      </x:c>
      <x:c r="D381" t="str">
        <x:v>release ledger mirrors governing state</x:v>
      </x:c>
      <x:c r="E381" t="str">
        <x:f>'Release Gates'!J361</x:f>
        <x:v>PASS</x:v>
      </x:c>
      <x:c r="F381" t="str">
        <x:f>IF('Release Gates'!C361="PLANNING","PASS",IF('Release Gates'!C361="PHYSICAL","OPEN","BLOCKED"))</x:f>
        <x:v>PASS</x:v>
      </x:c>
      <x:c r="G381" t="str">
        <x:v>equals</x:v>
      </x:c>
      <x:c r="H381" t="str">
        <x:f>IF(E381=F381,"PASS","FAIL")</x:f>
        <x:v>PASS</x:v>
      </x:c>
    </x:row>
    <x:row r="382">
      <x:c r="B382" t="str">
        <x:v>A-356</x:v>
      </x:c>
      <x:c r="C382" t="str">
        <x:v>GATE</x:v>
      </x:c>
      <x:c r="D382" t="str">
        <x:v>release ledger mirrors governing state</x:v>
      </x:c>
      <x:c r="E382" t="str">
        <x:f>'Release Gates'!J362</x:f>
        <x:v>PASS</x:v>
      </x:c>
      <x:c r="F382" t="str">
        <x:f>IF('Release Gates'!C362="PLANNING","PASS",IF('Release Gates'!C362="PHYSICAL","OPEN","BLOCKED"))</x:f>
        <x:v>PASS</x:v>
      </x:c>
      <x:c r="G382" t="str">
        <x:v>equals</x:v>
      </x:c>
      <x:c r="H382" t="str">
        <x:f>IF(E382=F382,"PASS","FAIL")</x:f>
        <x:v>PASS</x:v>
      </x:c>
    </x:row>
    <x:row r="383">
      <x:c r="B383" t="str">
        <x:v>A-357</x:v>
      </x:c>
      <x:c r="C383" t="str">
        <x:v>GATE</x:v>
      </x:c>
      <x:c r="D383" t="str">
        <x:v>release ledger mirrors governing state</x:v>
      </x:c>
      <x:c r="E383" t="str">
        <x:f>'Release Gates'!J363</x:f>
        <x:v>PASS</x:v>
      </x:c>
      <x:c r="F383" t="str">
        <x:f>IF('Release Gates'!C363="PLANNING","PASS",IF('Release Gates'!C363="PHYSICAL","OPEN","BLOCKED"))</x:f>
        <x:v>PASS</x:v>
      </x:c>
      <x:c r="G383" t="str">
        <x:v>equals</x:v>
      </x:c>
      <x:c r="H383" t="str">
        <x:f>IF(E383=F383,"PASS","FAIL")</x:f>
        <x:v>PASS</x:v>
      </x:c>
    </x:row>
    <x:row r="384">
      <x:c r="B384" t="str">
        <x:v>A-358</x:v>
      </x:c>
      <x:c r="C384" t="str">
        <x:v>GATE</x:v>
      </x:c>
      <x:c r="D384" t="str">
        <x:v>release ledger mirrors governing state</x:v>
      </x:c>
      <x:c r="E384" t="str">
        <x:f>'Release Gates'!J364</x:f>
        <x:v>PASS</x:v>
      </x:c>
      <x:c r="F384" t="str">
        <x:f>IF('Release Gates'!C364="PLANNING","PASS",IF('Release Gates'!C364="PHYSICAL","OPEN","BLOCKED"))</x:f>
        <x:v>PASS</x:v>
      </x:c>
      <x:c r="G384" t="str">
        <x:v>equals</x:v>
      </x:c>
      <x:c r="H384" t="str">
        <x:f>IF(E384=F384,"PASS","FAIL")</x:f>
        <x:v>PASS</x:v>
      </x:c>
    </x:row>
    <x:row r="385">
      <x:c r="B385" t="str">
        <x:v>A-359</x:v>
      </x:c>
      <x:c r="C385" t="str">
        <x:v>GATE</x:v>
      </x:c>
      <x:c r="D385" t="str">
        <x:v>release ledger mirrors governing state</x:v>
      </x:c>
      <x:c r="E385" t="str">
        <x:f>'Release Gates'!J365</x:f>
        <x:v>PASS</x:v>
      </x:c>
      <x:c r="F385" t="str">
        <x:f>IF('Release Gates'!C365="PLANNING","PASS",IF('Release Gates'!C365="PHYSICAL","OPEN","BLOCKED"))</x:f>
        <x:v>PASS</x:v>
      </x:c>
      <x:c r="G385" t="str">
        <x:v>equals</x:v>
      </x:c>
      <x:c r="H385" t="str">
        <x:f>IF(E385=F385,"PASS","FAIL")</x:f>
        <x:v>PASS</x:v>
      </x:c>
    </x:row>
    <x:row r="386">
      <x:c r="B386" t="str">
        <x:v>A-360</x:v>
      </x:c>
      <x:c r="C386" t="str">
        <x:v>GATE</x:v>
      </x:c>
      <x:c r="D386" t="str">
        <x:v>release ledger mirrors governing state</x:v>
      </x:c>
      <x:c r="E386" t="str">
        <x:f>'Release Gates'!J366</x:f>
        <x:v>PASS</x:v>
      </x:c>
      <x:c r="F386" t="str">
        <x:f>IF('Release Gates'!C366="PLANNING","PASS",IF('Release Gates'!C366="PHYSICAL","OPEN","BLOCKED"))</x:f>
        <x:v>PASS</x:v>
      </x:c>
      <x:c r="G386" t="str">
        <x:v>equals</x:v>
      </x:c>
      <x:c r="H386" t="str">
        <x:f>IF(E386=F386,"PASS","FAIL")</x:f>
        <x:v>PASS</x:v>
      </x:c>
    </x:row>
    <x:row r="387">
      <x:c r="B387" t="str">
        <x:v>A-361</x:v>
      </x:c>
      <x:c r="C387" t="str">
        <x:v>GATE</x:v>
      </x:c>
      <x:c r="D387" t="str">
        <x:v>release ledger mirrors governing state</x:v>
      </x:c>
      <x:c r="E387" t="str">
        <x:f>'Release Gates'!J367</x:f>
        <x:v>PASS</x:v>
      </x:c>
      <x:c r="F387" t="str">
        <x:f>IF('Release Gates'!C367="PLANNING","PASS",IF('Release Gates'!C367="PHYSICAL","OPEN","BLOCKED"))</x:f>
        <x:v>PASS</x:v>
      </x:c>
      <x:c r="G387" t="str">
        <x:v>equals</x:v>
      </x:c>
      <x:c r="H387" t="str">
        <x:f>IF(E387=F387,"PASS","FAIL")</x:f>
        <x:v>PASS</x:v>
      </x:c>
    </x:row>
    <x:row r="388">
      <x:c r="B388" t="str">
        <x:v>A-362</x:v>
      </x:c>
      <x:c r="C388" t="str">
        <x:v>GATE</x:v>
      </x:c>
      <x:c r="D388" t="str">
        <x:v>release ledger mirrors governing state</x:v>
      </x:c>
      <x:c r="E388" t="str">
        <x:f>'Release Gates'!J368</x:f>
        <x:v>PASS</x:v>
      </x:c>
      <x:c r="F388" t="str">
        <x:f>IF('Release Gates'!C368="PLANNING","PASS",IF('Release Gates'!C368="PHYSICAL","OPEN","BLOCKED"))</x:f>
        <x:v>PASS</x:v>
      </x:c>
      <x:c r="G388" t="str">
        <x:v>equals</x:v>
      </x:c>
      <x:c r="H388" t="str">
        <x:f>IF(E388=F388,"PASS","FAIL")</x:f>
        <x:v>PASS</x:v>
      </x:c>
    </x:row>
    <x:row r="389">
      <x:c r="B389" t="str">
        <x:v>A-363</x:v>
      </x:c>
      <x:c r="C389" t="str">
        <x:v>GATE</x:v>
      </x:c>
      <x:c r="D389" t="str">
        <x:v>release ledger mirrors governing state</x:v>
      </x:c>
      <x:c r="E389" t="str">
        <x:f>'Release Gates'!J369</x:f>
        <x:v>PASS</x:v>
      </x:c>
      <x:c r="F389" t="str">
        <x:f>IF('Release Gates'!C369="PLANNING","PASS",IF('Release Gates'!C369="PHYSICAL","OPEN","BLOCKED"))</x:f>
        <x:v>PASS</x:v>
      </x:c>
      <x:c r="G389" t="str">
        <x:v>equals</x:v>
      </x:c>
      <x:c r="H389" t="str">
        <x:f>IF(E389=F389,"PASS","FAIL")</x:f>
        <x:v>PASS</x:v>
      </x:c>
    </x:row>
    <x:row r="390">
      <x:c r="B390" t="str">
        <x:v>A-364</x:v>
      </x:c>
      <x:c r="C390" t="str">
        <x:v>GATE</x:v>
      </x:c>
      <x:c r="D390" t="str">
        <x:v>release ledger mirrors governing state</x:v>
      </x:c>
      <x:c r="E390" t="str">
        <x:f>'Release Gates'!J370</x:f>
        <x:v>PASS</x:v>
      </x:c>
      <x:c r="F390" t="str">
        <x:f>IF('Release Gates'!C370="PLANNING","PASS",IF('Release Gates'!C370="PHYSICAL","OPEN","BLOCKED"))</x:f>
        <x:v>PASS</x:v>
      </x:c>
      <x:c r="G390" t="str">
        <x:v>equals</x:v>
      </x:c>
      <x:c r="H390" t="str">
        <x:f>IF(E390=F390,"PASS","FAIL")</x:f>
        <x:v>PASS</x:v>
      </x:c>
    </x:row>
    <x:row r="391">
      <x:c r="B391" t="str">
        <x:v>A-365</x:v>
      </x:c>
      <x:c r="C391" t="str">
        <x:v>GATE</x:v>
      </x:c>
      <x:c r="D391" t="str">
        <x:v>release ledger mirrors governing state</x:v>
      </x:c>
      <x:c r="E391" t="str">
        <x:f>'Release Gates'!J371</x:f>
        <x:v>PASS</x:v>
      </x:c>
      <x:c r="F391" t="str">
        <x:f>IF('Release Gates'!C371="PLANNING","PASS",IF('Release Gates'!C371="PHYSICAL","OPEN","BLOCKED"))</x:f>
        <x:v>PASS</x:v>
      </x:c>
      <x:c r="G391" t="str">
        <x:v>equals</x:v>
      </x:c>
      <x:c r="H391" t="str">
        <x:f>IF(E391=F391,"PASS","FAIL")</x:f>
        <x:v>PASS</x:v>
      </x:c>
    </x:row>
    <x:row r="392">
      <x:c r="B392" t="str">
        <x:v>A-366</x:v>
      </x:c>
      <x:c r="C392" t="str">
        <x:v>GATE</x:v>
      </x:c>
      <x:c r="D392" t="str">
        <x:v>release ledger mirrors governing state</x:v>
      </x:c>
      <x:c r="E392" t="str">
        <x:f>'Release Gates'!J372</x:f>
        <x:v>PASS</x:v>
      </x:c>
      <x:c r="F392" t="str">
        <x:f>IF('Release Gates'!C372="PLANNING","PASS",IF('Release Gates'!C372="PHYSICAL","OPEN","BLOCKED"))</x:f>
        <x:v>PASS</x:v>
      </x:c>
      <x:c r="G392" t="str">
        <x:v>equals</x:v>
      </x:c>
      <x:c r="H392" t="str">
        <x:f>IF(E392=F392,"PASS","FAIL")</x:f>
        <x:v>PASS</x:v>
      </x:c>
    </x:row>
    <x:row r="393">
      <x:c r="B393" t="str">
        <x:v>A-367</x:v>
      </x:c>
      <x:c r="C393" t="str">
        <x:v>GATE</x:v>
      </x:c>
      <x:c r="D393" t="str">
        <x:v>release ledger mirrors governing state</x:v>
      </x:c>
      <x:c r="E393" t="str">
        <x:f>'Release Gates'!J373</x:f>
        <x:v>PASS</x:v>
      </x:c>
      <x:c r="F393" t="str">
        <x:f>IF('Release Gates'!C373="PLANNING","PASS",IF('Release Gates'!C373="PHYSICAL","OPEN","BLOCKED"))</x:f>
        <x:v>PASS</x:v>
      </x:c>
      <x:c r="G393" t="str">
        <x:v>equals</x:v>
      </x:c>
      <x:c r="H393" t="str">
        <x:f>IF(E393=F393,"PASS","FAIL")</x:f>
        <x:v>PASS</x:v>
      </x:c>
    </x:row>
    <x:row r="394">
      <x:c r="B394" t="str">
        <x:v>A-368</x:v>
      </x:c>
      <x:c r="C394" t="str">
        <x:v>GATE</x:v>
      </x:c>
      <x:c r="D394" t="str">
        <x:v>release ledger mirrors governing state</x:v>
      </x:c>
      <x:c r="E394" t="str">
        <x:f>'Release Gates'!J374</x:f>
        <x:v>PASS</x:v>
      </x:c>
      <x:c r="F394" t="str">
        <x:f>IF('Release Gates'!C374="PLANNING","PASS",IF('Release Gates'!C374="PHYSICAL","OPEN","BLOCKED"))</x:f>
        <x:v>PASS</x:v>
      </x:c>
      <x:c r="G394" t="str">
        <x:v>equals</x:v>
      </x:c>
      <x:c r="H394" t="str">
        <x:f>IF(E394=F394,"PASS","FAIL")</x:f>
        <x:v>PASS</x:v>
      </x:c>
    </x:row>
    <x:row r="395">
      <x:c r="B395" t="str">
        <x:v>A-369</x:v>
      </x:c>
      <x:c r="C395" t="str">
        <x:v>GATE</x:v>
      </x:c>
      <x:c r="D395" t="str">
        <x:v>release ledger mirrors governing state</x:v>
      </x:c>
      <x:c r="E395" t="str">
        <x:f>'Release Gates'!J375</x:f>
        <x:v>PASS</x:v>
      </x:c>
      <x:c r="F395" t="str">
        <x:f>IF('Release Gates'!C375="PLANNING","PASS",IF('Release Gates'!C375="PHYSICAL","OPEN","BLOCKED"))</x:f>
        <x:v>PASS</x:v>
      </x:c>
      <x:c r="G395" t="str">
        <x:v>equals</x:v>
      </x:c>
      <x:c r="H395" t="str">
        <x:f>IF(E395=F395,"PASS","FAIL")</x:f>
        <x:v>PASS</x:v>
      </x:c>
    </x:row>
    <x:row r="396">
      <x:c r="B396" t="str">
        <x:v>A-370</x:v>
      </x:c>
      <x:c r="C396" t="str">
        <x:v>GATE</x:v>
      </x:c>
      <x:c r="D396" t="str">
        <x:v>release ledger mirrors governing state</x:v>
      </x:c>
      <x:c r="E396" t="str">
        <x:f>'Release Gates'!J376</x:f>
        <x:v>PASS</x:v>
      </x:c>
      <x:c r="F396" t="str">
        <x:f>IF('Release Gates'!C376="PLANNING","PASS",IF('Release Gates'!C376="PHYSICAL","OPEN","BLOCKED"))</x:f>
        <x:v>PASS</x:v>
      </x:c>
      <x:c r="G396" t="str">
        <x:v>equals</x:v>
      </x:c>
      <x:c r="H396" t="str">
        <x:f>IF(E396=F396,"PASS","FAIL")</x:f>
        <x:v>PASS</x:v>
      </x:c>
    </x:row>
    <x:row r="397">
      <x:c r="B397" t="str">
        <x:v>A-371</x:v>
      </x:c>
      <x:c r="C397" t="str">
        <x:v>GATE</x:v>
      </x:c>
      <x:c r="D397" t="str">
        <x:v>release ledger mirrors governing state</x:v>
      </x:c>
      <x:c r="E397" t="str">
        <x:f>'Release Gates'!J377</x:f>
        <x:v>PASS</x:v>
      </x:c>
      <x:c r="F397" t="str">
        <x:f>IF('Release Gates'!C377="PLANNING","PASS",IF('Release Gates'!C377="PHYSICAL","OPEN","BLOCKED"))</x:f>
        <x:v>PASS</x:v>
      </x:c>
      <x:c r="G397" t="str">
        <x:v>equals</x:v>
      </x:c>
      <x:c r="H397" t="str">
        <x:f>IF(E397=F397,"PASS","FAIL")</x:f>
        <x:v>PASS</x:v>
      </x:c>
    </x:row>
    <x:row r="398">
      <x:c r="B398" t="str">
        <x:v>A-372</x:v>
      </x:c>
      <x:c r="C398" t="str">
        <x:v>GATE</x:v>
      </x:c>
      <x:c r="D398" t="str">
        <x:v>release ledger mirrors governing state</x:v>
      </x:c>
      <x:c r="E398" t="str">
        <x:f>'Release Gates'!J378</x:f>
        <x:v>PASS</x:v>
      </x:c>
      <x:c r="F398" t="str">
        <x:f>IF('Release Gates'!C378="PLANNING","PASS",IF('Release Gates'!C378="PHYSICAL","OPEN","BLOCKED"))</x:f>
        <x:v>PASS</x:v>
      </x:c>
      <x:c r="G398" t="str">
        <x:v>equals</x:v>
      </x:c>
      <x:c r="H398" t="str">
        <x:f>IF(E398=F398,"PASS","FAIL")</x:f>
        <x:v>PASS</x:v>
      </x:c>
    </x:row>
    <x:row r="399">
      <x:c r="B399" t="str">
        <x:v>A-373</x:v>
      </x:c>
      <x:c r="C399" t="str">
        <x:v>GATE</x:v>
      </x:c>
      <x:c r="D399" t="str">
        <x:v>release ledger mirrors governing state</x:v>
      </x:c>
      <x:c r="E399" t="str">
        <x:f>'Release Gates'!J379</x:f>
        <x:v>PASS</x:v>
      </x:c>
      <x:c r="F399" t="str">
        <x:f>IF('Release Gates'!C379="PLANNING","PASS",IF('Release Gates'!C379="PHYSICAL","OPEN","BLOCKED"))</x:f>
        <x:v>PASS</x:v>
      </x:c>
      <x:c r="G399" t="str">
        <x:v>equals</x:v>
      </x:c>
      <x:c r="H399" t="str">
        <x:f>IF(E399=F399,"PASS","FAIL")</x:f>
        <x:v>PASS</x:v>
      </x:c>
    </x:row>
    <x:row r="400">
      <x:c r="B400" t="str">
        <x:v>A-374</x:v>
      </x:c>
      <x:c r="C400" t="str">
        <x:v>GATE</x:v>
      </x:c>
      <x:c r="D400" t="str">
        <x:v>release ledger mirrors governing state</x:v>
      </x:c>
      <x:c r="E400" t="str">
        <x:f>'Release Gates'!J380</x:f>
        <x:v>PASS</x:v>
      </x:c>
      <x:c r="F400" t="str">
        <x:f>IF('Release Gates'!C380="PLANNING","PASS",IF('Release Gates'!C380="PHYSICAL","OPEN","BLOCKED"))</x:f>
        <x:v>PASS</x:v>
      </x:c>
      <x:c r="G400" t="str">
        <x:v>equals</x:v>
      </x:c>
      <x:c r="H400" t="str">
        <x:f>IF(E400=F400,"PASS","FAIL")</x:f>
        <x:v>PASS</x:v>
      </x:c>
    </x:row>
    <x:row r="401">
      <x:c r="B401" t="str">
        <x:v>A-375</x:v>
      </x:c>
      <x:c r="C401" t="str">
        <x:v>GATE</x:v>
      </x:c>
      <x:c r="D401" t="str">
        <x:v>release ledger mirrors governing state</x:v>
      </x:c>
      <x:c r="E401" t="str">
        <x:f>'Release Gates'!J381</x:f>
        <x:v>PASS</x:v>
      </x:c>
      <x:c r="F401" t="str">
        <x:f>IF('Release Gates'!C381="PLANNING","PASS",IF('Release Gates'!C381="PHYSICAL","OPEN","BLOCKED"))</x:f>
        <x:v>PASS</x:v>
      </x:c>
      <x:c r="G401" t="str">
        <x:v>equals</x:v>
      </x:c>
      <x:c r="H401" t="str">
        <x:f>IF(E401=F401,"PASS","FAIL")</x:f>
        <x:v>PASS</x:v>
      </x:c>
    </x:row>
    <x:row r="402">
      <x:c r="B402" t="str">
        <x:v>A-376</x:v>
      </x:c>
      <x:c r="C402" t="str">
        <x:v>GATE</x:v>
      </x:c>
      <x:c r="D402" t="str">
        <x:v>release ledger mirrors governing state</x:v>
      </x:c>
      <x:c r="E402" t="str">
        <x:f>'Release Gates'!J382</x:f>
        <x:v>PASS</x:v>
      </x:c>
      <x:c r="F402" t="str">
        <x:f>IF('Release Gates'!C382="PLANNING","PASS",IF('Release Gates'!C382="PHYSICAL","OPEN","BLOCKED"))</x:f>
        <x:v>PASS</x:v>
      </x:c>
      <x:c r="G402" t="str">
        <x:v>equals</x:v>
      </x:c>
      <x:c r="H402" t="str">
        <x:f>IF(E402=F402,"PASS","FAIL")</x:f>
        <x:v>PASS</x:v>
      </x:c>
    </x:row>
    <x:row r="403">
      <x:c r="B403" t="str">
        <x:v>A-377</x:v>
      </x:c>
      <x:c r="C403" t="str">
        <x:v>GATE</x:v>
      </x:c>
      <x:c r="D403" t="str">
        <x:v>release ledger mirrors governing state</x:v>
      </x:c>
      <x:c r="E403" t="str">
        <x:f>'Release Gates'!J383</x:f>
        <x:v>PASS</x:v>
      </x:c>
      <x:c r="F403" t="str">
        <x:f>IF('Release Gates'!C383="PLANNING","PASS",IF('Release Gates'!C383="PHYSICAL","OPEN","BLOCKED"))</x:f>
        <x:v>PASS</x:v>
      </x:c>
      <x:c r="G403" t="str">
        <x:v>equals</x:v>
      </x:c>
      <x:c r="H403" t="str">
        <x:f>IF(E403=F403,"PASS","FAIL")</x:f>
        <x:v>PASS</x:v>
      </x:c>
    </x:row>
    <x:row r="404">
      <x:c r="B404" t="str">
        <x:v>A-378</x:v>
      </x:c>
      <x:c r="C404" t="str">
        <x:v>GATE</x:v>
      </x:c>
      <x:c r="D404" t="str">
        <x:v>release ledger mirrors governing state</x:v>
      </x:c>
      <x:c r="E404" t="str">
        <x:f>'Release Gates'!J384</x:f>
        <x:v>PASS</x:v>
      </x:c>
      <x:c r="F404" t="str">
        <x:f>IF('Release Gates'!C384="PLANNING","PASS",IF('Release Gates'!C384="PHYSICAL","OPEN","BLOCKED"))</x:f>
        <x:v>PASS</x:v>
      </x:c>
      <x:c r="G404" t="str">
        <x:v>equals</x:v>
      </x:c>
      <x:c r="H404" t="str">
        <x:f>IF(E404=F404,"PASS","FAIL")</x:f>
        <x:v>PASS</x:v>
      </x:c>
    </x:row>
    <x:row r="405">
      <x:c r="B405" t="str">
        <x:v>A-379</x:v>
      </x:c>
      <x:c r="C405" t="str">
        <x:v>GATE</x:v>
      </x:c>
      <x:c r="D405" t="str">
        <x:v>release ledger mirrors governing state</x:v>
      </x:c>
      <x:c r="E405" t="str">
        <x:f>'Release Gates'!J385</x:f>
        <x:v>PASS</x:v>
      </x:c>
      <x:c r="F405" t="str">
        <x:f>IF('Release Gates'!C385="PLANNING","PASS",IF('Release Gates'!C385="PHYSICAL","OPEN","BLOCKED"))</x:f>
        <x:v>PASS</x:v>
      </x:c>
      <x:c r="G405" t="str">
        <x:v>equals</x:v>
      </x:c>
      <x:c r="H405" t="str">
        <x:f>IF(E405=F405,"PASS","FAIL")</x:f>
        <x:v>PASS</x:v>
      </x:c>
    </x:row>
    <x:row r="406">
      <x:c r="B406" t="str">
        <x:v>A-380</x:v>
      </x:c>
      <x:c r="C406" t="str">
        <x:v>GATE</x:v>
      </x:c>
      <x:c r="D406" t="str">
        <x:v>release ledger mirrors governing state</x:v>
      </x:c>
      <x:c r="E406" t="str">
        <x:f>'Release Gates'!J386</x:f>
        <x:v>PASS</x:v>
      </x:c>
      <x:c r="F406" t="str">
        <x:f>IF('Release Gates'!C386="PLANNING","PASS",IF('Release Gates'!C386="PHYSICAL","OPEN","BLOCKED"))</x:f>
        <x:v>PASS</x:v>
      </x:c>
      <x:c r="G406" t="str">
        <x:v>equals</x:v>
      </x:c>
      <x:c r="H406" t="str">
        <x:f>IF(E406=F406,"PASS","FAIL")</x:f>
        <x:v>PASS</x:v>
      </x:c>
    </x:row>
    <x:row r="407">
      <x:c r="B407" t="str">
        <x:v>A-381</x:v>
      </x:c>
      <x:c r="C407" t="str">
        <x:v>GATE</x:v>
      </x:c>
      <x:c r="D407" t="str">
        <x:v>release ledger mirrors governing state</x:v>
      </x:c>
      <x:c r="E407" t="str">
        <x:f>'Release Gates'!J387</x:f>
        <x:v>PASS</x:v>
      </x:c>
      <x:c r="F407" t="str">
        <x:f>IF('Release Gates'!C387="PLANNING","PASS",IF('Release Gates'!C387="PHYSICAL","OPEN","BLOCKED"))</x:f>
        <x:v>PASS</x:v>
      </x:c>
      <x:c r="G407" t="str">
        <x:v>equals</x:v>
      </x:c>
      <x:c r="H407" t="str">
        <x:f>IF(E407=F407,"PASS","FAIL")</x:f>
        <x:v>PASS</x:v>
      </x:c>
    </x:row>
    <x:row r="408">
      <x:c r="B408" t="str">
        <x:v>A-382</x:v>
      </x:c>
      <x:c r="C408" t="str">
        <x:v>GATE</x:v>
      </x:c>
      <x:c r="D408" t="str">
        <x:v>release ledger mirrors governing state</x:v>
      </x:c>
      <x:c r="E408" t="str">
        <x:f>'Release Gates'!J388</x:f>
        <x:v>PASS</x:v>
      </x:c>
      <x:c r="F408" t="str">
        <x:f>IF('Release Gates'!C388="PLANNING","PASS",IF('Release Gates'!C388="PHYSICAL","OPEN","BLOCKED"))</x:f>
        <x:v>PASS</x:v>
      </x:c>
      <x:c r="G408" t="str">
        <x:v>equals</x:v>
      </x:c>
      <x:c r="H408" t="str">
        <x:f>IF(E408=F408,"PASS","FAIL")</x:f>
        <x:v>PASS</x:v>
      </x:c>
    </x:row>
    <x:row r="409">
      <x:c r="B409" t="str">
        <x:v>A-383</x:v>
      </x:c>
      <x:c r="C409" t="str">
        <x:v>GATE</x:v>
      </x:c>
      <x:c r="D409" t="str">
        <x:v>release ledger mirrors governing state</x:v>
      </x:c>
      <x:c r="E409" t="str">
        <x:f>'Release Gates'!J389</x:f>
        <x:v>PASS</x:v>
      </x:c>
      <x:c r="F409" t="str">
        <x:f>IF('Release Gates'!C389="PLANNING","PASS",IF('Release Gates'!C389="PHYSICAL","OPEN","BLOCKED"))</x:f>
        <x:v>PASS</x:v>
      </x:c>
      <x:c r="G409" t="str">
        <x:v>equals</x:v>
      </x:c>
      <x:c r="H409" t="str">
        <x:f>IF(E409=F409,"PASS","FAIL")</x:f>
        <x:v>PASS</x:v>
      </x:c>
    </x:row>
    <x:row r="410">
      <x:c r="B410" t="str">
        <x:v>A-384</x:v>
      </x:c>
      <x:c r="C410" t="str">
        <x:v>GATE</x:v>
      </x:c>
      <x:c r="D410" t="str">
        <x:v>release ledger mirrors governing state</x:v>
      </x:c>
      <x:c r="E410" t="str">
        <x:f>'Release Gates'!J390</x:f>
        <x:v>PASS</x:v>
      </x:c>
      <x:c r="F410" t="str">
        <x:f>IF('Release Gates'!C390="PLANNING","PASS",IF('Release Gates'!C390="PHYSICAL","OPEN","BLOCKED"))</x:f>
        <x:v>PASS</x:v>
      </x:c>
      <x:c r="G410" t="str">
        <x:v>equals</x:v>
      </x:c>
      <x:c r="H410" t="str">
        <x:f>IF(E410=F410,"PASS","FAIL")</x:f>
        <x:v>PASS</x:v>
      </x:c>
    </x:row>
    <x:row r="411">
      <x:c r="B411" t="str">
        <x:v>A-385</x:v>
      </x:c>
      <x:c r="C411" t="str">
        <x:v>GATE</x:v>
      </x:c>
      <x:c r="D411" t="str">
        <x:v>release ledger mirrors governing state</x:v>
      </x:c>
      <x:c r="E411" t="str">
        <x:f>'Release Gates'!J391</x:f>
        <x:v>PASS</x:v>
      </x:c>
      <x:c r="F411" t="str">
        <x:f>IF('Release Gates'!C391="PLANNING","PASS",IF('Release Gates'!C391="PHYSICAL","OPEN","BLOCKED"))</x:f>
        <x:v>PASS</x:v>
      </x:c>
      <x:c r="G411" t="str">
        <x:v>equals</x:v>
      </x:c>
      <x:c r="H411" t="str">
        <x:f>IF(E411=F411,"PASS","FAIL")</x:f>
        <x:v>PASS</x:v>
      </x:c>
    </x:row>
    <x:row r="412">
      <x:c r="B412" t="str">
        <x:v>A-386</x:v>
      </x:c>
      <x:c r="C412" t="str">
        <x:v>GATE</x:v>
      </x:c>
      <x:c r="D412" t="str">
        <x:v>release ledger mirrors governing state</x:v>
      </x:c>
      <x:c r="E412" t="str">
        <x:f>'Release Gates'!J392</x:f>
        <x:v>PASS</x:v>
      </x:c>
      <x:c r="F412" t="str">
        <x:f>IF('Release Gates'!C392="PLANNING","PASS",IF('Release Gates'!C392="PHYSICAL","OPEN","BLOCKED"))</x:f>
        <x:v>PASS</x:v>
      </x:c>
      <x:c r="G412" t="str">
        <x:v>equals</x:v>
      </x:c>
      <x:c r="H412" t="str">
        <x:f>IF(E412=F412,"PASS","FAIL")</x:f>
        <x:v>PASS</x:v>
      </x:c>
    </x:row>
    <x:row r="413">
      <x:c r="B413" t="str">
        <x:v>A-387</x:v>
      </x:c>
      <x:c r="C413" t="str">
        <x:v>GATE</x:v>
      </x:c>
      <x:c r="D413" t="str">
        <x:v>release ledger mirrors governing state</x:v>
      </x:c>
      <x:c r="E413" t="str">
        <x:f>'Release Gates'!J393</x:f>
        <x:v>PASS</x:v>
      </x:c>
      <x:c r="F413" t="str">
        <x:f>IF('Release Gates'!C393="PLANNING","PASS",IF('Release Gates'!C393="PHYSICAL","OPEN","BLOCKED"))</x:f>
        <x:v>PASS</x:v>
      </x:c>
      <x:c r="G413" t="str">
        <x:v>equals</x:v>
      </x:c>
      <x:c r="H413" t="str">
        <x:f>IF(E413=F413,"PASS","FAIL")</x:f>
        <x:v>PASS</x:v>
      </x:c>
    </x:row>
    <x:row r="414">
      <x:c r="B414" t="str">
        <x:v>A-388</x:v>
      </x:c>
      <x:c r="C414" t="str">
        <x:v>GATE</x:v>
      </x:c>
      <x:c r="D414" t="str">
        <x:v>release ledger mirrors governing state</x:v>
      </x:c>
      <x:c r="E414" t="str">
        <x:f>'Release Gates'!J394</x:f>
        <x:v>PASS</x:v>
      </x:c>
      <x:c r="F414" t="str">
        <x:f>IF('Release Gates'!C394="PLANNING","PASS",IF('Release Gates'!C394="PHYSICAL","OPEN","BLOCKED"))</x:f>
        <x:v>PASS</x:v>
      </x:c>
      <x:c r="G414" t="str">
        <x:v>equals</x:v>
      </x:c>
      <x:c r="H414" t="str">
        <x:f>IF(E414=F414,"PASS","FAIL")</x:f>
        <x:v>PASS</x:v>
      </x:c>
    </x:row>
    <x:row r="415">
      <x:c r="B415" t="str">
        <x:v>A-389</x:v>
      </x:c>
      <x:c r="C415" t="str">
        <x:v>GATE</x:v>
      </x:c>
      <x:c r="D415" t="str">
        <x:v>release ledger mirrors governing state</x:v>
      </x:c>
      <x:c r="E415" t="str">
        <x:f>'Release Gates'!J395</x:f>
        <x:v>PASS</x:v>
      </x:c>
      <x:c r="F415" t="str">
        <x:f>IF('Release Gates'!C395="PLANNING","PASS",IF('Release Gates'!C395="PHYSICAL","OPEN","BLOCKED"))</x:f>
        <x:v>PASS</x:v>
      </x:c>
      <x:c r="G415" t="str">
        <x:v>equals</x:v>
      </x:c>
      <x:c r="H415" t="str">
        <x:f>IF(E415=F415,"PASS","FAIL")</x:f>
        <x:v>PASS</x:v>
      </x:c>
    </x:row>
    <x:row r="416">
      <x:c r="B416" t="str">
        <x:v>A-390</x:v>
      </x:c>
      <x:c r="C416" t="str">
        <x:v>GATE</x:v>
      </x:c>
      <x:c r="D416" t="str">
        <x:v>release ledger mirrors governing state</x:v>
      </x:c>
      <x:c r="E416" t="str">
        <x:f>'Release Gates'!J396</x:f>
        <x:v>PASS</x:v>
      </x:c>
      <x:c r="F416" t="str">
        <x:f>IF('Release Gates'!C396="PLANNING","PASS",IF('Release Gates'!C396="PHYSICAL","OPEN","BLOCKED"))</x:f>
        <x:v>PASS</x:v>
      </x:c>
      <x:c r="G416" t="str">
        <x:v>equals</x:v>
      </x:c>
      <x:c r="H416" t="str">
        <x:f>IF(E416=F416,"PASS","FAIL")</x:f>
        <x:v>PASS</x:v>
      </x:c>
    </x:row>
    <x:row r="417">
      <x:c r="B417" t="str">
        <x:v>A-391</x:v>
      </x:c>
      <x:c r="C417" t="str">
        <x:v>GATE</x:v>
      </x:c>
      <x:c r="D417" t="str">
        <x:v>release ledger mirrors governing state</x:v>
      </x:c>
      <x:c r="E417" t="str">
        <x:f>'Release Gates'!J397</x:f>
        <x:v>PASS</x:v>
      </x:c>
      <x:c r="F417" t="str">
        <x:f>IF('Release Gates'!C397="PLANNING","PASS",IF('Release Gates'!C397="PHYSICAL","OPEN","BLOCKED"))</x:f>
        <x:v>PASS</x:v>
      </x:c>
      <x:c r="G417" t="str">
        <x:v>equals</x:v>
      </x:c>
      <x:c r="H417" t="str">
        <x:f>IF(E417=F417,"PASS","FAIL")</x:f>
        <x:v>PASS</x:v>
      </x:c>
    </x:row>
    <x:row r="418">
      <x:c r="B418" t="str">
        <x:v>A-392</x:v>
      </x:c>
      <x:c r="C418" t="str">
        <x:v>GATE</x:v>
      </x:c>
      <x:c r="D418" t="str">
        <x:v>release ledger mirrors governing state</x:v>
      </x:c>
      <x:c r="E418" t="str">
        <x:f>'Release Gates'!J398</x:f>
        <x:v>PASS</x:v>
      </x:c>
      <x:c r="F418" t="str">
        <x:f>IF('Release Gates'!C398="PLANNING","PASS",IF('Release Gates'!C398="PHYSICAL","OPEN","BLOCKED"))</x:f>
        <x:v>PASS</x:v>
      </x:c>
      <x:c r="G418" t="str">
        <x:v>equals</x:v>
      </x:c>
      <x:c r="H418" t="str">
        <x:f>IF(E418=F418,"PASS","FAIL")</x:f>
        <x:v>PASS</x:v>
      </x:c>
    </x:row>
    <x:row r="419">
      <x:c r="B419" t="str">
        <x:v>A-393</x:v>
      </x:c>
      <x:c r="C419" t="str">
        <x:v>GATE</x:v>
      </x:c>
      <x:c r="D419" t="str">
        <x:v>release ledger mirrors governing state</x:v>
      </x:c>
      <x:c r="E419" t="str">
        <x:f>'Release Gates'!J399</x:f>
        <x:v>PASS</x:v>
      </x:c>
      <x:c r="F419" t="str">
        <x:f>IF('Release Gates'!C399="PLANNING","PASS",IF('Release Gates'!C399="PHYSICAL","OPEN","BLOCKED"))</x:f>
        <x:v>PASS</x:v>
      </x:c>
      <x:c r="G419" t="str">
        <x:v>equals</x:v>
      </x:c>
      <x:c r="H419" t="str">
        <x:f>IF(E419=F419,"PASS","FAIL")</x:f>
        <x:v>PASS</x:v>
      </x:c>
    </x:row>
    <x:row r="420">
      <x:c r="B420" t="str">
        <x:v>A-394</x:v>
      </x:c>
      <x:c r="C420" t="str">
        <x:v>GATE</x:v>
      </x:c>
      <x:c r="D420" t="str">
        <x:v>release ledger mirrors governing state</x:v>
      </x:c>
      <x:c r="E420" t="str">
        <x:f>'Release Gates'!J400</x:f>
        <x:v>PASS</x:v>
      </x:c>
      <x:c r="F420" t="str">
        <x:f>IF('Release Gates'!C400="PLANNING","PASS",IF('Release Gates'!C400="PHYSICAL","OPEN","BLOCKED"))</x:f>
        <x:v>PASS</x:v>
      </x:c>
      <x:c r="G420" t="str">
        <x:v>equals</x:v>
      </x:c>
      <x:c r="H420" t="str">
        <x:f>IF(E420=F420,"PASS","FAIL")</x:f>
        <x:v>PASS</x:v>
      </x:c>
    </x:row>
    <x:row r="421">
      <x:c r="B421" t="str">
        <x:v>A-395</x:v>
      </x:c>
      <x:c r="C421" t="str">
        <x:v>GATE</x:v>
      </x:c>
      <x:c r="D421" t="str">
        <x:v>release ledger mirrors governing state</x:v>
      </x:c>
      <x:c r="E421" t="str">
        <x:f>'Release Gates'!J401</x:f>
        <x:v>PASS</x:v>
      </x:c>
      <x:c r="F421" t="str">
        <x:f>IF('Release Gates'!C401="PLANNING","PASS",IF('Release Gates'!C401="PHYSICAL","OPEN","BLOCKED"))</x:f>
        <x:v>PASS</x:v>
      </x:c>
      <x:c r="G421" t="str">
        <x:v>equals</x:v>
      </x:c>
      <x:c r="H421" t="str">
        <x:f>IF(E421=F421,"PASS","FAIL")</x:f>
        <x:v>PASS</x:v>
      </x:c>
    </x:row>
    <x:row r="422">
      <x:c r="B422" t="str">
        <x:v>A-396</x:v>
      </x:c>
      <x:c r="C422" t="str">
        <x:v>GATE</x:v>
      </x:c>
      <x:c r="D422" t="str">
        <x:v>release ledger mirrors governing state</x:v>
      </x:c>
      <x:c r="E422" t="str">
        <x:f>'Release Gates'!J402</x:f>
        <x:v>PASS</x:v>
      </x:c>
      <x:c r="F422" t="str">
        <x:f>IF('Release Gates'!C402="PLANNING","PASS",IF('Release Gates'!C402="PHYSICAL","OPEN","BLOCKED"))</x:f>
        <x:v>PASS</x:v>
      </x:c>
      <x:c r="G422" t="str">
        <x:v>equals</x:v>
      </x:c>
      <x:c r="H422" t="str">
        <x:f>IF(E422=F422,"PASS","FAIL")</x:f>
        <x:v>PASS</x:v>
      </x:c>
    </x:row>
    <x:row r="423">
      <x:c r="B423" t="str">
        <x:v>A-397</x:v>
      </x:c>
      <x:c r="C423" t="str">
        <x:v>GATE</x:v>
      </x:c>
      <x:c r="D423" t="str">
        <x:v>release ledger mirrors governing state</x:v>
      </x:c>
      <x:c r="E423" t="str">
        <x:f>'Release Gates'!J403</x:f>
        <x:v>PASS</x:v>
      </x:c>
      <x:c r="F423" t="str">
        <x:f>IF('Release Gates'!C403="PLANNING","PASS",IF('Release Gates'!C403="PHYSICAL","OPEN","BLOCKED"))</x:f>
        <x:v>PASS</x:v>
      </x:c>
      <x:c r="G423" t="str">
        <x:v>equals</x:v>
      </x:c>
      <x:c r="H423" t="str">
        <x:f>IF(E423=F423,"PASS","FAIL")</x:f>
        <x:v>PASS</x:v>
      </x:c>
    </x:row>
    <x:row r="424">
      <x:c r="B424" t="str">
        <x:v>A-398</x:v>
      </x:c>
      <x:c r="C424" t="str">
        <x:v>GATE</x:v>
      </x:c>
      <x:c r="D424" t="str">
        <x:v>release ledger mirrors governing state</x:v>
      </x:c>
      <x:c r="E424" t="str">
        <x:f>'Release Gates'!J404</x:f>
        <x:v>PASS</x:v>
      </x:c>
      <x:c r="F424" t="str">
        <x:f>IF('Release Gates'!C404="PLANNING","PASS",IF('Release Gates'!C404="PHYSICAL","OPEN","BLOCKED"))</x:f>
        <x:v>PASS</x:v>
      </x:c>
      <x:c r="G424" t="str">
        <x:v>equals</x:v>
      </x:c>
      <x:c r="H424" t="str">
        <x:f>IF(E424=F424,"PASS","FAIL")</x:f>
        <x:v>PASS</x:v>
      </x:c>
    </x:row>
    <x:row r="425">
      <x:c r="B425" t="str">
        <x:v>A-399</x:v>
      </x:c>
      <x:c r="C425" t="str">
        <x:v>GATE</x:v>
      </x:c>
      <x:c r="D425" t="str">
        <x:v>release ledger mirrors governing state</x:v>
      </x:c>
      <x:c r="E425" t="str">
        <x:f>'Release Gates'!J405</x:f>
        <x:v>PASS</x:v>
      </x:c>
      <x:c r="F425" t="str">
        <x:f>IF('Release Gates'!C405="PLANNING","PASS",IF('Release Gates'!C405="PHYSICAL","OPEN","BLOCKED"))</x:f>
        <x:v>PASS</x:v>
      </x:c>
      <x:c r="G425" t="str">
        <x:v>equals</x:v>
      </x:c>
      <x:c r="H425" t="str">
        <x:f>IF(E425=F425,"PASS","FAIL")</x:f>
        <x:v>PASS</x:v>
      </x:c>
    </x:row>
    <x:row r="426">
      <x:c r="B426" t="str">
        <x:v>A-400</x:v>
      </x:c>
      <x:c r="C426" t="str">
        <x:v>GATE</x:v>
      </x:c>
      <x:c r="D426" t="str">
        <x:v>release ledger mirrors governing state</x:v>
      </x:c>
      <x:c r="E426" t="str">
        <x:f>'Release Gates'!J406</x:f>
        <x:v>PASS</x:v>
      </x:c>
      <x:c r="F426" t="str">
        <x:f>IF('Release Gates'!C406="PLANNING","PASS",IF('Release Gates'!C406="PHYSICAL","OPEN","BLOCKED"))</x:f>
        <x:v>PASS</x:v>
      </x:c>
      <x:c r="G426" t="str">
        <x:v>equals</x:v>
      </x:c>
      <x:c r="H426" t="str">
        <x:f>IF(E426=F426,"PASS","FAIL")</x:f>
        <x:v>PASS</x:v>
      </x:c>
    </x:row>
    <x:row r="427">
      <x:c r="B427" t="str">
        <x:v>A-401</x:v>
      </x:c>
      <x:c r="C427" t="str">
        <x:v>GATE</x:v>
      </x:c>
      <x:c r="D427" t="str">
        <x:v>release ledger mirrors governing state</x:v>
      </x:c>
      <x:c r="E427" t="str">
        <x:f>'Release Gates'!J407</x:f>
        <x:v>PASS</x:v>
      </x:c>
      <x:c r="F427" t="str">
        <x:f>IF('Release Gates'!C407="PLANNING","PASS",IF('Release Gates'!C407="PHYSICAL","OPEN","BLOCKED"))</x:f>
        <x:v>PASS</x:v>
      </x:c>
      <x:c r="G427" t="str">
        <x:v>equals</x:v>
      </x:c>
      <x:c r="H427" t="str">
        <x:f>IF(E427=F427,"PASS","FAIL")</x:f>
        <x:v>PASS</x:v>
      </x:c>
    </x:row>
    <x:row r="428">
      <x:c r="B428" t="str">
        <x:v>A-402</x:v>
      </x:c>
      <x:c r="C428" t="str">
        <x:v>GATE</x:v>
      </x:c>
      <x:c r="D428" t="str">
        <x:v>release ledger mirrors governing state</x:v>
      </x:c>
      <x:c r="E428" t="str">
        <x:f>'Release Gates'!J408</x:f>
        <x:v>PASS</x:v>
      </x:c>
      <x:c r="F428" t="str">
        <x:f>IF('Release Gates'!C408="PLANNING","PASS",IF('Release Gates'!C408="PHYSICAL","OPEN","BLOCKED"))</x:f>
        <x:v>PASS</x:v>
      </x:c>
      <x:c r="G428" t="str">
        <x:v>equals</x:v>
      </x:c>
      <x:c r="H428" t="str">
        <x:f>IF(E428=F428,"PASS","FAIL")</x:f>
        <x:v>PASS</x:v>
      </x:c>
    </x:row>
    <x:row r="429">
      <x:c r="B429" t="str">
        <x:v>A-403</x:v>
      </x:c>
      <x:c r="C429" t="str">
        <x:v>GATE</x:v>
      </x:c>
      <x:c r="D429" t="str">
        <x:v>release ledger mirrors governing state</x:v>
      </x:c>
      <x:c r="E429" t="str">
        <x:f>'Release Gates'!J409</x:f>
        <x:v>PASS</x:v>
      </x:c>
      <x:c r="F429" t="str">
        <x:f>IF('Release Gates'!C409="PLANNING","PASS",IF('Release Gates'!C409="PHYSICAL","OPEN","BLOCKED"))</x:f>
        <x:v>PASS</x:v>
      </x:c>
      <x:c r="G429" t="str">
        <x:v>equals</x:v>
      </x:c>
      <x:c r="H429" t="str">
        <x:f>IF(E429=F429,"PASS","FAIL")</x:f>
        <x:v>PASS</x:v>
      </x:c>
    </x:row>
    <x:row r="430">
      <x:c r="B430" t="str">
        <x:v>A-404</x:v>
      </x:c>
      <x:c r="C430" t="str">
        <x:v>GATE</x:v>
      </x:c>
      <x:c r="D430" t="str">
        <x:v>release ledger mirrors governing state</x:v>
      </x:c>
      <x:c r="E430" t="str">
        <x:f>'Release Gates'!J410</x:f>
        <x:v>PASS</x:v>
      </x:c>
      <x:c r="F430" t="str">
        <x:f>IF('Release Gates'!C410="PLANNING","PASS",IF('Release Gates'!C410="PHYSICAL","OPEN","BLOCKED"))</x:f>
        <x:v>PASS</x:v>
      </x:c>
      <x:c r="G430" t="str">
        <x:v>equals</x:v>
      </x:c>
      <x:c r="H430" t="str">
        <x:f>IF(E430=F430,"PASS","FAIL")</x:f>
        <x:v>PASS</x:v>
      </x:c>
    </x:row>
    <x:row r="431">
      <x:c r="B431" t="str">
        <x:v>A-405</x:v>
      </x:c>
      <x:c r="C431" t="str">
        <x:v>GATE</x:v>
      </x:c>
      <x:c r="D431" t="str">
        <x:v>release ledger mirrors governing state</x:v>
      </x:c>
      <x:c r="E431" t="str">
        <x:f>'Release Gates'!J411</x:f>
        <x:v>PASS</x:v>
      </x:c>
      <x:c r="F431" t="str">
        <x:f>IF('Release Gates'!C411="PLANNING","PASS",IF('Release Gates'!C411="PHYSICAL","OPEN","BLOCKED"))</x:f>
        <x:v>PASS</x:v>
      </x:c>
      <x:c r="G431" t="str">
        <x:v>equals</x:v>
      </x:c>
      <x:c r="H431" t="str">
        <x:f>IF(E431=F431,"PASS","FAIL")</x:f>
        <x:v>PASS</x:v>
      </x:c>
    </x:row>
    <x:row r="432">
      <x:c r="B432" t="str">
        <x:v>A-406</x:v>
      </x:c>
      <x:c r="C432" t="str">
        <x:v>GATE</x:v>
      </x:c>
      <x:c r="D432" t="str">
        <x:v>release ledger mirrors governing state</x:v>
      </x:c>
      <x:c r="E432" t="str">
        <x:f>'Release Gates'!J412</x:f>
        <x:v>PASS</x:v>
      </x:c>
      <x:c r="F432" t="str">
        <x:f>IF('Release Gates'!C412="PLANNING","PASS",IF('Release Gates'!C412="PHYSICAL","OPEN","BLOCKED"))</x:f>
        <x:v>PASS</x:v>
      </x:c>
      <x:c r="G432" t="str">
        <x:v>equals</x:v>
      </x:c>
      <x:c r="H432" t="str">
        <x:f>IF(E432=F432,"PASS","FAIL")</x:f>
        <x:v>PASS</x:v>
      </x:c>
    </x:row>
    <x:row r="433">
      <x:c r="B433" t="str">
        <x:v>A-407</x:v>
      </x:c>
      <x:c r="C433" t="str">
        <x:v>GATE</x:v>
      </x:c>
      <x:c r="D433" t="str">
        <x:v>release ledger mirrors governing state</x:v>
      </x:c>
      <x:c r="E433" t="str">
        <x:f>'Release Gates'!J413</x:f>
        <x:v>PASS</x:v>
      </x:c>
      <x:c r="F433" t="str">
        <x:f>IF('Release Gates'!C413="PLANNING","PASS",IF('Release Gates'!C413="PHYSICAL","OPEN","BLOCKED"))</x:f>
        <x:v>PASS</x:v>
      </x:c>
      <x:c r="G433" t="str">
        <x:v>equals</x:v>
      </x:c>
      <x:c r="H433" t="str">
        <x:f>IF(E433=F433,"PASS","FAIL")</x:f>
        <x:v>PASS</x:v>
      </x:c>
    </x:row>
    <x:row r="434">
      <x:c r="B434" t="str">
        <x:v>A-408</x:v>
      </x:c>
      <x:c r="C434" t="str">
        <x:v>GATE</x:v>
      </x:c>
      <x:c r="D434" t="str">
        <x:v>release ledger mirrors governing state</x:v>
      </x:c>
      <x:c r="E434" t="str">
        <x:f>'Release Gates'!J414</x:f>
        <x:v>PASS</x:v>
      </x:c>
      <x:c r="F434" t="str">
        <x:f>IF('Release Gates'!C414="PLANNING","PASS",IF('Release Gates'!C414="PHYSICAL","OPEN","BLOCKED"))</x:f>
        <x:v>PASS</x:v>
      </x:c>
      <x:c r="G434" t="str">
        <x:v>equals</x:v>
      </x:c>
      <x:c r="H434" t="str">
        <x:f>IF(E434=F434,"PASS","FAIL")</x:f>
        <x:v>PASS</x:v>
      </x:c>
    </x:row>
    <x:row r="435">
      <x:c r="B435" t="str">
        <x:v>A-409</x:v>
      </x:c>
      <x:c r="C435" t="str">
        <x:v>GATE</x:v>
      </x:c>
      <x:c r="D435" t="str">
        <x:v>release ledger mirrors governing state</x:v>
      </x:c>
      <x:c r="E435" t="str">
        <x:f>'Release Gates'!J415</x:f>
        <x:v>PASS</x:v>
      </x:c>
      <x:c r="F435" t="str">
        <x:f>IF('Release Gates'!C415="PLANNING","PASS",IF('Release Gates'!C415="PHYSICAL","OPEN","BLOCKED"))</x:f>
        <x:v>PASS</x:v>
      </x:c>
      <x:c r="G435" t="str">
        <x:v>equals</x:v>
      </x:c>
      <x:c r="H435" t="str">
        <x:f>IF(E435=F435,"PASS","FAIL")</x:f>
        <x:v>PASS</x:v>
      </x:c>
    </x:row>
    <x:row r="436">
      <x:c r="B436" t="str">
        <x:v>A-410</x:v>
      </x:c>
      <x:c r="C436" t="str">
        <x:v>GATE</x:v>
      </x:c>
      <x:c r="D436" t="str">
        <x:v>release ledger mirrors governing state</x:v>
      </x:c>
      <x:c r="E436" t="str">
        <x:f>'Release Gates'!J416</x:f>
        <x:v>PASS</x:v>
      </x:c>
      <x:c r="F436" t="str">
        <x:f>IF('Release Gates'!C416="PLANNING","PASS",IF('Release Gates'!C416="PHYSICAL","OPEN","BLOCKED"))</x:f>
        <x:v>PASS</x:v>
      </x:c>
      <x:c r="G436" t="str">
        <x:v>equals</x:v>
      </x:c>
      <x:c r="H436" t="str">
        <x:f>IF(E436=F436,"PASS","FAIL")</x:f>
        <x:v>PASS</x:v>
      </x:c>
    </x:row>
    <x:row r="437">
      <x:c r="B437" t="str">
        <x:v>A-411</x:v>
      </x:c>
      <x:c r="C437" t="str">
        <x:v>GATE</x:v>
      </x:c>
      <x:c r="D437" t="str">
        <x:v>release ledger mirrors governing state</x:v>
      </x:c>
      <x:c r="E437" t="str">
        <x:f>'Release Gates'!J417</x:f>
        <x:v>PASS</x:v>
      </x:c>
      <x:c r="F437" t="str">
        <x:f>IF('Release Gates'!C417="PLANNING","PASS",IF('Release Gates'!C417="PHYSICAL","OPEN","BLOCKED"))</x:f>
        <x:v>PASS</x:v>
      </x:c>
      <x:c r="G437" t="str">
        <x:v>equals</x:v>
      </x:c>
      <x:c r="H437" t="str">
        <x:f>IF(E437=F437,"PASS","FAIL")</x:f>
        <x:v>PASS</x:v>
      </x:c>
    </x:row>
    <x:row r="438">
      <x:c r="B438" t="str">
        <x:v>A-412</x:v>
      </x:c>
      <x:c r="C438" t="str">
        <x:v>GATE</x:v>
      </x:c>
      <x:c r="D438" t="str">
        <x:v>release ledger mirrors governing state</x:v>
      </x:c>
      <x:c r="E438" t="str">
        <x:f>'Release Gates'!J418</x:f>
        <x:v>PASS</x:v>
      </x:c>
      <x:c r="F438" t="str">
        <x:f>IF('Release Gates'!C418="PLANNING","PASS",IF('Release Gates'!C418="PHYSICAL","OPEN","BLOCKED"))</x:f>
        <x:v>PASS</x:v>
      </x:c>
      <x:c r="G438" t="str">
        <x:v>equals</x:v>
      </x:c>
      <x:c r="H438" t="str">
        <x:f>IF(E438=F438,"PASS","FAIL")</x:f>
        <x:v>PASS</x:v>
      </x:c>
    </x:row>
    <x:row r="439">
      <x:c r="B439" t="str">
        <x:v>A-413</x:v>
      </x:c>
      <x:c r="C439" t="str">
        <x:v>GATE</x:v>
      </x:c>
      <x:c r="D439" t="str">
        <x:v>release ledger mirrors governing state</x:v>
      </x:c>
      <x:c r="E439" t="str">
        <x:f>'Release Gates'!J419</x:f>
        <x:v>PASS</x:v>
      </x:c>
      <x:c r="F439" t="str">
        <x:f>IF('Release Gates'!C419="PLANNING","PASS",IF('Release Gates'!C419="PHYSICAL","OPEN","BLOCKED"))</x:f>
        <x:v>PASS</x:v>
      </x:c>
      <x:c r="G439" t="str">
        <x:v>equals</x:v>
      </x:c>
      <x:c r="H439" t="str">
        <x:f>IF(E439=F439,"PASS","FAIL")</x:f>
        <x:v>PASS</x:v>
      </x:c>
    </x:row>
    <x:row r="440">
      <x:c r="B440" t="str">
        <x:v>A-414</x:v>
      </x:c>
      <x:c r="C440" t="str">
        <x:v>GATE</x:v>
      </x:c>
      <x:c r="D440" t="str">
        <x:v>release ledger mirrors governing state</x:v>
      </x:c>
      <x:c r="E440" t="str">
        <x:f>'Release Gates'!J420</x:f>
        <x:v>PASS</x:v>
      </x:c>
      <x:c r="F440" t="str">
        <x:f>IF('Release Gates'!C420="PLANNING","PASS",IF('Release Gates'!C420="PHYSICAL","OPEN","BLOCKED"))</x:f>
        <x:v>PASS</x:v>
      </x:c>
      <x:c r="G440" t="str">
        <x:v>equals</x:v>
      </x:c>
      <x:c r="H440" t="str">
        <x:f>IF(E440=F440,"PASS","FAIL")</x:f>
        <x:v>PASS</x:v>
      </x:c>
    </x:row>
    <x:row r="441">
      <x:c r="B441" t="str">
        <x:v>A-415</x:v>
      </x:c>
      <x:c r="C441" t="str">
        <x:v>GATE</x:v>
      </x:c>
      <x:c r="D441" t="str">
        <x:v>release ledger mirrors governing state</x:v>
      </x:c>
      <x:c r="E441" t="str">
        <x:f>'Release Gates'!J421</x:f>
        <x:v>PASS</x:v>
      </x:c>
      <x:c r="F441" t="str">
        <x:f>IF('Release Gates'!C421="PLANNING","PASS",IF('Release Gates'!C421="PHYSICAL","OPEN","BLOCKED"))</x:f>
        <x:v>PASS</x:v>
      </x:c>
      <x:c r="G441" t="str">
        <x:v>equals</x:v>
      </x:c>
      <x:c r="H441" t="str">
        <x:f>IF(E441=F441,"PASS","FAIL")</x:f>
        <x:v>PASS</x:v>
      </x:c>
    </x:row>
    <x:row r="442">
      <x:c r="B442" t="str">
        <x:v>A-416</x:v>
      </x:c>
      <x:c r="C442" t="str">
        <x:v>GATE</x:v>
      </x:c>
      <x:c r="D442" t="str">
        <x:v>release ledger mirrors governing state</x:v>
      </x:c>
      <x:c r="E442" t="str">
        <x:f>'Release Gates'!J422</x:f>
        <x:v>PASS</x:v>
      </x:c>
      <x:c r="F442" t="str">
        <x:f>IF('Release Gates'!C422="PLANNING","PASS",IF('Release Gates'!C422="PHYSICAL","OPEN","BLOCKED"))</x:f>
        <x:v>PASS</x:v>
      </x:c>
      <x:c r="G442" t="str">
        <x:v>equals</x:v>
      </x:c>
      <x:c r="H442" t="str">
        <x:f>IF(E442=F442,"PASS","FAIL")</x:f>
        <x:v>PASS</x:v>
      </x:c>
    </x:row>
    <x:row r="443">
      <x:c r="B443" t="str">
        <x:v>A-417</x:v>
      </x:c>
      <x:c r="C443" t="str">
        <x:v>GATE</x:v>
      </x:c>
      <x:c r="D443" t="str">
        <x:v>release ledger mirrors governing state</x:v>
      </x:c>
      <x:c r="E443" t="str">
        <x:f>'Release Gates'!J423</x:f>
        <x:v>PASS</x:v>
      </x:c>
      <x:c r="F443" t="str">
        <x:f>IF('Release Gates'!C423="PLANNING","PASS",IF('Release Gates'!C423="PHYSICAL","OPEN","BLOCKED"))</x:f>
        <x:v>PASS</x:v>
      </x:c>
      <x:c r="G443" t="str">
        <x:v>equals</x:v>
      </x:c>
      <x:c r="H443" t="str">
        <x:f>IF(E443=F443,"PASS","FAIL")</x:f>
        <x:v>PASS</x:v>
      </x:c>
    </x:row>
    <x:row r="444">
      <x:c r="B444" t="str">
        <x:v>A-418</x:v>
      </x:c>
      <x:c r="C444" t="str">
        <x:v>GATE</x:v>
      </x:c>
      <x:c r="D444" t="str">
        <x:v>release ledger mirrors governing state</x:v>
      </x:c>
      <x:c r="E444" t="str">
        <x:f>'Release Gates'!J424</x:f>
        <x:v>PASS</x:v>
      </x:c>
      <x:c r="F444" t="str">
        <x:f>IF('Release Gates'!C424="PLANNING","PASS",IF('Release Gates'!C424="PHYSICAL","OPEN","BLOCKED"))</x:f>
        <x:v>PASS</x:v>
      </x:c>
      <x:c r="G444" t="str">
        <x:v>equals</x:v>
      </x:c>
      <x:c r="H444" t="str">
        <x:f>IF(E444=F444,"PASS","FAIL")</x:f>
        <x:v>PASS</x:v>
      </x:c>
    </x:row>
    <x:row r="445">
      <x:c r="B445" t="str">
        <x:v>A-419</x:v>
      </x:c>
      <x:c r="C445" t="str">
        <x:v>GATE</x:v>
      </x:c>
      <x:c r="D445" t="str">
        <x:v>release ledger mirrors governing state</x:v>
      </x:c>
      <x:c r="E445" t="str">
        <x:f>'Release Gates'!J425</x:f>
        <x:v>PASS</x:v>
      </x:c>
      <x:c r="F445" t="str">
        <x:f>IF('Release Gates'!C425="PLANNING","PASS",IF('Release Gates'!C425="PHYSICAL","OPEN","BLOCKED"))</x:f>
        <x:v>PASS</x:v>
      </x:c>
      <x:c r="G445" t="str">
        <x:v>equals</x:v>
      </x:c>
      <x:c r="H445" t="str">
        <x:f>IF(E445=F445,"PASS","FAIL")</x:f>
        <x:v>PASS</x:v>
      </x:c>
    </x:row>
    <x:row r="446">
      <x:c r="B446" t="str">
        <x:v>A-420</x:v>
      </x:c>
      <x:c r="C446" t="str">
        <x:v>GATE</x:v>
      </x:c>
      <x:c r="D446" t="str">
        <x:v>release ledger mirrors governing state</x:v>
      </x:c>
      <x:c r="E446" t="str">
        <x:f>'Release Gates'!J426</x:f>
        <x:v>PASS</x:v>
      </x:c>
      <x:c r="F446" t="str">
        <x:f>IF('Release Gates'!C426="PLANNING","PASS",IF('Release Gates'!C426="PHYSICAL","OPEN","BLOCKED"))</x:f>
        <x:v>PASS</x:v>
      </x:c>
      <x:c r="G446" t="str">
        <x:v>equals</x:v>
      </x:c>
      <x:c r="H446" t="str">
        <x:f>IF(E446=F446,"PASS","FAIL")</x:f>
        <x:v>PASS</x:v>
      </x:c>
    </x:row>
    <x:row r="447">
      <x:c r="B447" t="str">
        <x:v>A-421</x:v>
      </x:c>
      <x:c r="C447" t="str">
        <x:v>GATE</x:v>
      </x:c>
      <x:c r="D447" t="str">
        <x:v>release ledger mirrors governing state</x:v>
      </x:c>
      <x:c r="E447" t="str">
        <x:f>'Release Gates'!J427</x:f>
        <x:v>OPEN</x:v>
      </x:c>
      <x:c r="F447" t="str">
        <x:f>IF('Release Gates'!C427="PLANNING","PASS",IF('Release Gates'!C427="PHYSICAL","OPEN","BLOCKED"))</x:f>
        <x:v>OPEN</x:v>
      </x:c>
      <x:c r="G447" t="str">
        <x:v>equals</x:v>
      </x:c>
      <x:c r="H447" t="str">
        <x:f>IF(E447=F447,"PASS","FAIL")</x:f>
        <x:v>PASS</x:v>
      </x:c>
    </x:row>
    <x:row r="448">
      <x:c r="B448" t="str">
        <x:v>A-422</x:v>
      </x:c>
      <x:c r="C448" t="str">
        <x:v>GATE</x:v>
      </x:c>
      <x:c r="D448" t="str">
        <x:v>release ledger mirrors governing state</x:v>
      </x:c>
      <x:c r="E448" t="str">
        <x:f>'Release Gates'!J428</x:f>
        <x:v>OPEN</x:v>
      </x:c>
      <x:c r="F448" t="str">
        <x:f>IF('Release Gates'!C428="PLANNING","PASS",IF('Release Gates'!C428="PHYSICAL","OPEN","BLOCKED"))</x:f>
        <x:v>OPEN</x:v>
      </x:c>
      <x:c r="G448" t="str">
        <x:v>equals</x:v>
      </x:c>
      <x:c r="H448" t="str">
        <x:f>IF(E448=F448,"PASS","FAIL")</x:f>
        <x:v>PASS</x:v>
      </x:c>
    </x:row>
    <x:row r="449">
      <x:c r="B449" t="str">
        <x:v>A-423</x:v>
      </x:c>
      <x:c r="C449" t="str">
        <x:v>GATE</x:v>
      </x:c>
      <x:c r="D449" t="str">
        <x:v>release ledger mirrors governing state</x:v>
      </x:c>
      <x:c r="E449" t="str">
        <x:f>'Release Gates'!J429</x:f>
        <x:v>OPEN</x:v>
      </x:c>
      <x:c r="F449" t="str">
        <x:f>IF('Release Gates'!C429="PLANNING","PASS",IF('Release Gates'!C429="PHYSICAL","OPEN","BLOCKED"))</x:f>
        <x:v>OPEN</x:v>
      </x:c>
      <x:c r="G449" t="str">
        <x:v>equals</x:v>
      </x:c>
      <x:c r="H449" t="str">
        <x:f>IF(E449=F449,"PASS","FAIL")</x:f>
        <x:v>PASS</x:v>
      </x:c>
    </x:row>
    <x:row r="450">
      <x:c r="B450" t="str">
        <x:v>A-424</x:v>
      </x:c>
      <x:c r="C450" t="str">
        <x:v>GATE</x:v>
      </x:c>
      <x:c r="D450" t="str">
        <x:v>release ledger mirrors governing state</x:v>
      </x:c>
      <x:c r="E450" t="str">
        <x:f>'Release Gates'!J430</x:f>
        <x:v>OPEN</x:v>
      </x:c>
      <x:c r="F450" t="str">
        <x:f>IF('Release Gates'!C430="PLANNING","PASS",IF('Release Gates'!C430="PHYSICAL","OPEN","BLOCKED"))</x:f>
        <x:v>OPEN</x:v>
      </x:c>
      <x:c r="G450" t="str">
        <x:v>equals</x:v>
      </x:c>
      <x:c r="H450" t="str">
        <x:f>IF(E450=F450,"PASS","FAIL")</x:f>
        <x:v>PASS</x:v>
      </x:c>
    </x:row>
    <x:row r="451">
      <x:c r="B451" t="str">
        <x:v>A-425</x:v>
      </x:c>
      <x:c r="C451" t="str">
        <x:v>GATE</x:v>
      </x:c>
      <x:c r="D451" t="str">
        <x:v>release ledger mirrors governing state</x:v>
      </x:c>
      <x:c r="E451" t="str">
        <x:f>'Release Gates'!J431</x:f>
        <x:v>OPEN</x:v>
      </x:c>
      <x:c r="F451" t="str">
        <x:f>IF('Release Gates'!C431="PLANNING","PASS",IF('Release Gates'!C431="PHYSICAL","OPEN","BLOCKED"))</x:f>
        <x:v>OPEN</x:v>
      </x:c>
      <x:c r="G451" t="str">
        <x:v>equals</x:v>
      </x:c>
      <x:c r="H451" t="str">
        <x:f>IF(E451=F451,"PASS","FAIL")</x:f>
        <x:v>PASS</x:v>
      </x:c>
    </x:row>
    <x:row r="452">
      <x:c r="B452" t="str">
        <x:v>A-426</x:v>
      </x:c>
      <x:c r="C452" t="str">
        <x:v>GATE</x:v>
      </x:c>
      <x:c r="D452" t="str">
        <x:v>release ledger mirrors governing state</x:v>
      </x:c>
      <x:c r="E452" t="str">
        <x:f>'Release Gates'!J432</x:f>
        <x:v>OPEN</x:v>
      </x:c>
      <x:c r="F452" t="str">
        <x:f>IF('Release Gates'!C432="PLANNING","PASS",IF('Release Gates'!C432="PHYSICAL","OPEN","BLOCKED"))</x:f>
        <x:v>OPEN</x:v>
      </x:c>
      <x:c r="G452" t="str">
        <x:v>equals</x:v>
      </x:c>
      <x:c r="H452" t="str">
        <x:f>IF(E452=F452,"PASS","FAIL")</x:f>
        <x:v>PASS</x:v>
      </x:c>
    </x:row>
    <x:row r="453">
      <x:c r="B453" t="str">
        <x:v>A-427</x:v>
      </x:c>
      <x:c r="C453" t="str">
        <x:v>GATE</x:v>
      </x:c>
      <x:c r="D453" t="str">
        <x:v>release ledger mirrors governing state</x:v>
      </x:c>
      <x:c r="E453" t="str">
        <x:f>'Release Gates'!J433</x:f>
        <x:v>OPEN</x:v>
      </x:c>
      <x:c r="F453" t="str">
        <x:f>IF('Release Gates'!C433="PLANNING","PASS",IF('Release Gates'!C433="PHYSICAL","OPEN","BLOCKED"))</x:f>
        <x:v>OPEN</x:v>
      </x:c>
      <x:c r="G453" t="str">
        <x:v>equals</x:v>
      </x:c>
      <x:c r="H453" t="str">
        <x:f>IF(E453=F453,"PASS","FAIL")</x:f>
        <x:v>PASS</x:v>
      </x:c>
    </x:row>
    <x:row r="454">
      <x:c r="B454" t="str">
        <x:v>A-428</x:v>
      </x:c>
      <x:c r="C454" t="str">
        <x:v>GATE</x:v>
      </x:c>
      <x:c r="D454" t="str">
        <x:v>release ledger mirrors governing state</x:v>
      </x:c>
      <x:c r="E454" t="str">
        <x:f>'Release Gates'!J434</x:f>
        <x:v>OPEN</x:v>
      </x:c>
      <x:c r="F454" t="str">
        <x:f>IF('Release Gates'!C434="PLANNING","PASS",IF('Release Gates'!C434="PHYSICAL","OPEN","BLOCKED"))</x:f>
        <x:v>OPEN</x:v>
      </x:c>
      <x:c r="G454" t="str">
        <x:v>equals</x:v>
      </x:c>
      <x:c r="H454" t="str">
        <x:f>IF(E454=F454,"PASS","FAIL")</x:f>
        <x:v>PASS</x:v>
      </x:c>
    </x:row>
    <x:row r="455">
      <x:c r="B455" t="str">
        <x:v>A-429</x:v>
      </x:c>
      <x:c r="C455" t="str">
        <x:v>GATE</x:v>
      </x:c>
      <x:c r="D455" t="str">
        <x:v>release ledger mirrors governing state</x:v>
      </x:c>
      <x:c r="E455" t="str">
        <x:f>'Release Gates'!J435</x:f>
        <x:v>OPEN</x:v>
      </x:c>
      <x:c r="F455" t="str">
        <x:f>IF('Release Gates'!C435="PLANNING","PASS",IF('Release Gates'!C435="PHYSICAL","OPEN","BLOCKED"))</x:f>
        <x:v>OPEN</x:v>
      </x:c>
      <x:c r="G455" t="str">
        <x:v>equals</x:v>
      </x:c>
      <x:c r="H455" t="str">
        <x:f>IF(E455=F455,"PASS","FAIL")</x:f>
        <x:v>PASS</x:v>
      </x:c>
    </x:row>
    <x:row r="456">
      <x:c r="B456" t="str">
        <x:v>A-430</x:v>
      </x:c>
      <x:c r="C456" t="str">
        <x:v>GATE</x:v>
      </x:c>
      <x:c r="D456" t="str">
        <x:v>release ledger mirrors governing state</x:v>
      </x:c>
      <x:c r="E456" t="str">
        <x:f>'Release Gates'!J436</x:f>
        <x:v>OPEN</x:v>
      </x:c>
      <x:c r="F456" t="str">
        <x:f>IF('Release Gates'!C436="PLANNING","PASS",IF('Release Gates'!C436="PHYSICAL","OPEN","BLOCKED"))</x:f>
        <x:v>OPEN</x:v>
      </x:c>
      <x:c r="G456" t="str">
        <x:v>equals</x:v>
      </x:c>
      <x:c r="H456" t="str">
        <x:f>IF(E456=F456,"PASS","FAIL")</x:f>
        <x:v>PASS</x:v>
      </x:c>
    </x:row>
    <x:row r="457">
      <x:c r="B457" t="str">
        <x:v>A-431</x:v>
      </x:c>
      <x:c r="C457" t="str">
        <x:v>GATE</x:v>
      </x:c>
      <x:c r="D457" t="str">
        <x:v>release ledger mirrors governing state</x:v>
      </x:c>
      <x:c r="E457" t="str">
        <x:f>'Release Gates'!J437</x:f>
        <x:v>OPEN</x:v>
      </x:c>
      <x:c r="F457" t="str">
        <x:f>IF('Release Gates'!C437="PLANNING","PASS",IF('Release Gates'!C437="PHYSICAL","OPEN","BLOCKED"))</x:f>
        <x:v>OPEN</x:v>
      </x:c>
      <x:c r="G457" t="str">
        <x:v>equals</x:v>
      </x:c>
      <x:c r="H457" t="str">
        <x:f>IF(E457=F457,"PASS","FAIL")</x:f>
        <x:v>PASS</x:v>
      </x:c>
    </x:row>
    <x:row r="458">
      <x:c r="B458" t="str">
        <x:v>A-432</x:v>
      </x:c>
      <x:c r="C458" t="str">
        <x:v>GATE</x:v>
      </x:c>
      <x:c r="D458" t="str">
        <x:v>release ledger mirrors governing state</x:v>
      </x:c>
      <x:c r="E458" t="str">
        <x:f>'Release Gates'!J438</x:f>
        <x:v>OPEN</x:v>
      </x:c>
      <x:c r="F458" t="str">
        <x:f>IF('Release Gates'!C438="PLANNING","PASS",IF('Release Gates'!C438="PHYSICAL","OPEN","BLOCKED"))</x:f>
        <x:v>OPEN</x:v>
      </x:c>
      <x:c r="G458" t="str">
        <x:v>equals</x:v>
      </x:c>
      <x:c r="H458" t="str">
        <x:f>IF(E458=F458,"PASS","FAIL")</x:f>
        <x:v>PASS</x:v>
      </x:c>
    </x:row>
    <x:row r="459">
      <x:c r="B459" t="str">
        <x:v>A-433</x:v>
      </x:c>
      <x:c r="C459" t="str">
        <x:v>GATE</x:v>
      </x:c>
      <x:c r="D459" t="str">
        <x:v>release ledger mirrors governing state</x:v>
      </x:c>
      <x:c r="E459" t="str">
        <x:f>'Release Gates'!J439</x:f>
        <x:v>OPEN</x:v>
      </x:c>
      <x:c r="F459" t="str">
        <x:f>IF('Release Gates'!C439="PLANNING","PASS",IF('Release Gates'!C439="PHYSICAL","OPEN","BLOCKED"))</x:f>
        <x:v>OPEN</x:v>
      </x:c>
      <x:c r="G459" t="str">
        <x:v>equals</x:v>
      </x:c>
      <x:c r="H459" t="str">
        <x:f>IF(E459=F459,"PASS","FAIL")</x:f>
        <x:v>PASS</x:v>
      </x:c>
    </x:row>
    <x:row r="460">
      <x:c r="B460" t="str">
        <x:v>A-434</x:v>
      </x:c>
      <x:c r="C460" t="str">
        <x:v>GATE</x:v>
      </x:c>
      <x:c r="D460" t="str">
        <x:v>release ledger mirrors governing state</x:v>
      </x:c>
      <x:c r="E460" t="str">
        <x:f>'Release Gates'!J440</x:f>
        <x:v>OPEN</x:v>
      </x:c>
      <x:c r="F460" t="str">
        <x:f>IF('Release Gates'!C440="PLANNING","PASS",IF('Release Gates'!C440="PHYSICAL","OPEN","BLOCKED"))</x:f>
        <x:v>OPEN</x:v>
      </x:c>
      <x:c r="G460" t="str">
        <x:v>equals</x:v>
      </x:c>
      <x:c r="H460" t="str">
        <x:f>IF(E460=F460,"PASS","FAIL")</x:f>
        <x:v>PASS</x:v>
      </x:c>
    </x:row>
    <x:row r="461">
      <x:c r="B461" t="str">
        <x:v>A-435</x:v>
      </x:c>
      <x:c r="C461" t="str">
        <x:v>GATE</x:v>
      </x:c>
      <x:c r="D461" t="str">
        <x:v>release ledger mirrors governing state</x:v>
      </x:c>
      <x:c r="E461" t="str">
        <x:f>'Release Gates'!J441</x:f>
        <x:v>OPEN</x:v>
      </x:c>
      <x:c r="F461" t="str">
        <x:f>IF('Release Gates'!C441="PLANNING","PASS",IF('Release Gates'!C441="PHYSICAL","OPEN","BLOCKED"))</x:f>
        <x:v>OPEN</x:v>
      </x:c>
      <x:c r="G461" t="str">
        <x:v>equals</x:v>
      </x:c>
      <x:c r="H461" t="str">
        <x:f>IF(E461=F461,"PASS","FAIL")</x:f>
        <x:v>PASS</x:v>
      </x:c>
    </x:row>
    <x:row r="462">
      <x:c r="B462" t="str">
        <x:v>A-436</x:v>
      </x:c>
      <x:c r="C462" t="str">
        <x:v>GATE</x:v>
      </x:c>
      <x:c r="D462" t="str">
        <x:v>release ledger mirrors governing state</x:v>
      </x:c>
      <x:c r="E462" t="str">
        <x:f>'Release Gates'!J442</x:f>
        <x:v>OPEN</x:v>
      </x:c>
      <x:c r="F462" t="str">
        <x:f>IF('Release Gates'!C442="PLANNING","PASS",IF('Release Gates'!C442="PHYSICAL","OPEN","BLOCKED"))</x:f>
        <x:v>OPEN</x:v>
      </x:c>
      <x:c r="G462" t="str">
        <x:v>equals</x:v>
      </x:c>
      <x:c r="H462" t="str">
        <x:f>IF(E462=F462,"PASS","FAIL")</x:f>
        <x:v>PASS</x:v>
      </x:c>
    </x:row>
    <x:row r="463">
      <x:c r="B463" t="str">
        <x:v>A-437</x:v>
      </x:c>
      <x:c r="C463" t="str">
        <x:v>GATE</x:v>
      </x:c>
      <x:c r="D463" t="str">
        <x:v>release ledger mirrors governing state</x:v>
      </x:c>
      <x:c r="E463" t="str">
        <x:f>'Release Gates'!J443</x:f>
        <x:v>OPEN</x:v>
      </x:c>
      <x:c r="F463" t="str">
        <x:f>IF('Release Gates'!C443="PLANNING","PASS",IF('Release Gates'!C443="PHYSICAL","OPEN","BLOCKED"))</x:f>
        <x:v>OPEN</x:v>
      </x:c>
      <x:c r="G463" t="str">
        <x:v>equals</x:v>
      </x:c>
      <x:c r="H463" t="str">
        <x:f>IF(E463=F463,"PASS","FAIL")</x:f>
        <x:v>PASS</x:v>
      </x:c>
    </x:row>
    <x:row r="464">
      <x:c r="B464" t="str">
        <x:v>A-438</x:v>
      </x:c>
      <x:c r="C464" t="str">
        <x:v>GATE</x:v>
      </x:c>
      <x:c r="D464" t="str">
        <x:v>release ledger mirrors governing state</x:v>
      </x:c>
      <x:c r="E464" t="str">
        <x:f>'Release Gates'!J444</x:f>
        <x:v>OPEN</x:v>
      </x:c>
      <x:c r="F464" t="str">
        <x:f>IF('Release Gates'!C444="PLANNING","PASS",IF('Release Gates'!C444="PHYSICAL","OPEN","BLOCKED"))</x:f>
        <x:v>OPEN</x:v>
      </x:c>
      <x:c r="G464" t="str">
        <x:v>equals</x:v>
      </x:c>
      <x:c r="H464" t="str">
        <x:f>IF(E464=F464,"PASS","FAIL")</x:f>
        <x:v>PASS</x:v>
      </x:c>
    </x:row>
    <x:row r="465">
      <x:c r="B465" t="str">
        <x:v>A-439</x:v>
      </x:c>
      <x:c r="C465" t="str">
        <x:v>GATE</x:v>
      </x:c>
      <x:c r="D465" t="str">
        <x:v>release ledger mirrors governing state</x:v>
      </x:c>
      <x:c r="E465" t="str">
        <x:f>'Release Gates'!J445</x:f>
        <x:v>OPEN</x:v>
      </x:c>
      <x:c r="F465" t="str">
        <x:f>IF('Release Gates'!C445="PLANNING","PASS",IF('Release Gates'!C445="PHYSICAL","OPEN","BLOCKED"))</x:f>
        <x:v>OPEN</x:v>
      </x:c>
      <x:c r="G465" t="str">
        <x:v>equals</x:v>
      </x:c>
      <x:c r="H465" t="str">
        <x:f>IF(E465=F465,"PASS","FAIL")</x:f>
        <x:v>PASS</x:v>
      </x:c>
    </x:row>
    <x:row r="466">
      <x:c r="B466" t="str">
        <x:v>A-440</x:v>
      </x:c>
      <x:c r="C466" t="str">
        <x:v>GATE</x:v>
      </x:c>
      <x:c r="D466" t="str">
        <x:v>release ledger mirrors governing state</x:v>
      </x:c>
      <x:c r="E466" t="str">
        <x:f>'Release Gates'!J446</x:f>
        <x:v>OPEN</x:v>
      </x:c>
      <x:c r="F466" t="str">
        <x:f>IF('Release Gates'!C446="PLANNING","PASS",IF('Release Gates'!C446="PHYSICAL","OPEN","BLOCKED"))</x:f>
        <x:v>OPEN</x:v>
      </x:c>
      <x:c r="G466" t="str">
        <x:v>equals</x:v>
      </x:c>
      <x:c r="H466" t="str">
        <x:f>IF(E466=F466,"PASS","FAIL")</x:f>
        <x:v>PASS</x:v>
      </x:c>
    </x:row>
    <x:row r="467">
      <x:c r="B467" t="str">
        <x:v>A-441</x:v>
      </x:c>
      <x:c r="C467" t="str">
        <x:v>GATE</x:v>
      </x:c>
      <x:c r="D467" t="str">
        <x:v>release ledger mirrors governing state</x:v>
      </x:c>
      <x:c r="E467" t="str">
        <x:f>'Release Gates'!J447</x:f>
        <x:v>OPEN</x:v>
      </x:c>
      <x:c r="F467" t="str">
        <x:f>IF('Release Gates'!C447="PLANNING","PASS",IF('Release Gates'!C447="PHYSICAL","OPEN","BLOCKED"))</x:f>
        <x:v>OPEN</x:v>
      </x:c>
      <x:c r="G467" t="str">
        <x:v>equals</x:v>
      </x:c>
      <x:c r="H467" t="str">
        <x:f>IF(E467=F467,"PASS","FAIL")</x:f>
        <x:v>PASS</x:v>
      </x:c>
    </x:row>
    <x:row r="468">
      <x:c r="B468" t="str">
        <x:v>A-442</x:v>
      </x:c>
      <x:c r="C468" t="str">
        <x:v>GATE</x:v>
      </x:c>
      <x:c r="D468" t="str">
        <x:v>release ledger mirrors governing state</x:v>
      </x:c>
      <x:c r="E468" t="str">
        <x:f>'Release Gates'!J448</x:f>
        <x:v>OPEN</x:v>
      </x:c>
      <x:c r="F468" t="str">
        <x:f>IF('Release Gates'!C448="PLANNING","PASS",IF('Release Gates'!C448="PHYSICAL","OPEN","BLOCKED"))</x:f>
        <x:v>OPEN</x:v>
      </x:c>
      <x:c r="G468" t="str">
        <x:v>equals</x:v>
      </x:c>
      <x:c r="H468" t="str">
        <x:f>IF(E468=F468,"PASS","FAIL")</x:f>
        <x:v>PASS</x:v>
      </x:c>
    </x:row>
    <x:row r="469">
      <x:c r="B469" t="str">
        <x:v>A-443</x:v>
      </x:c>
      <x:c r="C469" t="str">
        <x:v>GATE</x:v>
      </x:c>
      <x:c r="D469" t="str">
        <x:v>release ledger mirrors governing state</x:v>
      </x:c>
      <x:c r="E469" t="str">
        <x:f>'Release Gates'!J449</x:f>
        <x:v>OPEN</x:v>
      </x:c>
      <x:c r="F469" t="str">
        <x:f>IF('Release Gates'!C449="PLANNING","PASS",IF('Release Gates'!C449="PHYSICAL","OPEN","BLOCKED"))</x:f>
        <x:v>OPEN</x:v>
      </x:c>
      <x:c r="G469" t="str">
        <x:v>equals</x:v>
      </x:c>
      <x:c r="H469" t="str">
        <x:f>IF(E469=F469,"PASS","FAIL")</x:f>
        <x:v>PASS</x:v>
      </x:c>
    </x:row>
    <x:row r="470">
      <x:c r="B470" t="str">
        <x:v>A-444</x:v>
      </x:c>
      <x:c r="C470" t="str">
        <x:v>GATE</x:v>
      </x:c>
      <x:c r="D470" t="str">
        <x:v>release ledger mirrors governing state</x:v>
      </x:c>
      <x:c r="E470" t="str">
        <x:f>'Release Gates'!J450</x:f>
        <x:v>OPEN</x:v>
      </x:c>
      <x:c r="F470" t="str">
        <x:f>IF('Release Gates'!C450="PLANNING","PASS",IF('Release Gates'!C450="PHYSICAL","OPEN","BLOCKED"))</x:f>
        <x:v>OPEN</x:v>
      </x:c>
      <x:c r="G470" t="str">
        <x:v>equals</x:v>
      </x:c>
      <x:c r="H470" t="str">
        <x:f>IF(E470=F470,"PASS","FAIL")</x:f>
        <x:v>PASS</x:v>
      </x:c>
    </x:row>
    <x:row r="471">
      <x:c r="B471" t="str">
        <x:v>A-445</x:v>
      </x:c>
      <x:c r="C471" t="str">
        <x:v>GATE</x:v>
      </x:c>
      <x:c r="D471" t="str">
        <x:v>release ledger mirrors governing state</x:v>
      </x:c>
      <x:c r="E471" t="str">
        <x:f>'Release Gates'!J451</x:f>
        <x:v>OPEN</x:v>
      </x:c>
      <x:c r="F471" t="str">
        <x:f>IF('Release Gates'!C451="PLANNING","PASS",IF('Release Gates'!C451="PHYSICAL","OPEN","BLOCKED"))</x:f>
        <x:v>OPEN</x:v>
      </x:c>
      <x:c r="G471" t="str">
        <x:v>equals</x:v>
      </x:c>
      <x:c r="H471" t="str">
        <x:f>IF(E471=F471,"PASS","FAIL")</x:f>
        <x:v>PASS</x:v>
      </x:c>
    </x:row>
    <x:row r="472">
      <x:c r="B472" t="str">
        <x:v>A-446</x:v>
      </x:c>
      <x:c r="C472" t="str">
        <x:v>GATE</x:v>
      </x:c>
      <x:c r="D472" t="str">
        <x:v>release ledger mirrors governing state</x:v>
      </x:c>
      <x:c r="E472" t="str">
        <x:f>'Release Gates'!J452</x:f>
        <x:v>OPEN</x:v>
      </x:c>
      <x:c r="F472" t="str">
        <x:f>IF('Release Gates'!C452="PLANNING","PASS",IF('Release Gates'!C452="PHYSICAL","OPEN","BLOCKED"))</x:f>
        <x:v>OPEN</x:v>
      </x:c>
      <x:c r="G472" t="str">
        <x:v>equals</x:v>
      </x:c>
      <x:c r="H472" t="str">
        <x:f>IF(E472=F472,"PASS","FAIL")</x:f>
        <x:v>PASS</x:v>
      </x:c>
    </x:row>
    <x:row r="473">
      <x:c r="B473" t="str">
        <x:v>A-447</x:v>
      </x:c>
      <x:c r="C473" t="str">
        <x:v>GATE</x:v>
      </x:c>
      <x:c r="D473" t="str">
        <x:v>release ledger mirrors governing state</x:v>
      </x:c>
      <x:c r="E473" t="str">
        <x:f>'Release Gates'!J453</x:f>
        <x:v>OPEN</x:v>
      </x:c>
      <x:c r="F473" t="str">
        <x:f>IF('Release Gates'!C453="PLANNING","PASS",IF('Release Gates'!C453="PHYSICAL","OPEN","BLOCKED"))</x:f>
        <x:v>OPEN</x:v>
      </x:c>
      <x:c r="G473" t="str">
        <x:v>equals</x:v>
      </x:c>
      <x:c r="H473" t="str">
        <x:f>IF(E473=F473,"PASS","FAIL")</x:f>
        <x:v>PASS</x:v>
      </x:c>
    </x:row>
    <x:row r="474">
      <x:c r="B474" t="str">
        <x:v>A-448</x:v>
      </x:c>
      <x:c r="C474" t="str">
        <x:v>GATE</x:v>
      </x:c>
      <x:c r="D474" t="str">
        <x:v>release ledger mirrors governing state</x:v>
      </x:c>
      <x:c r="E474" t="str">
        <x:f>'Release Gates'!J454</x:f>
        <x:v>OPEN</x:v>
      </x:c>
      <x:c r="F474" t="str">
        <x:f>IF('Release Gates'!C454="PLANNING","PASS",IF('Release Gates'!C454="PHYSICAL","OPEN","BLOCKED"))</x:f>
        <x:v>OPEN</x:v>
      </x:c>
      <x:c r="G474" t="str">
        <x:v>equals</x:v>
      </x:c>
      <x:c r="H474" t="str">
        <x:f>IF(E474=F474,"PASS","FAIL")</x:f>
        <x:v>PASS</x:v>
      </x:c>
    </x:row>
    <x:row r="475">
      <x:c r="B475" t="str">
        <x:v>A-449</x:v>
      </x:c>
      <x:c r="C475" t="str">
        <x:v>GATE</x:v>
      </x:c>
      <x:c r="D475" t="str">
        <x:v>release ledger mirrors governing state</x:v>
      </x:c>
      <x:c r="E475" t="str">
        <x:f>'Release Gates'!J455</x:f>
        <x:v>OPEN</x:v>
      </x:c>
      <x:c r="F475" t="str">
        <x:f>IF('Release Gates'!C455="PLANNING","PASS",IF('Release Gates'!C455="PHYSICAL","OPEN","BLOCKED"))</x:f>
        <x:v>OPEN</x:v>
      </x:c>
      <x:c r="G475" t="str">
        <x:v>equals</x:v>
      </x:c>
      <x:c r="H475" t="str">
        <x:f>IF(E475=F475,"PASS","FAIL")</x:f>
        <x:v>PASS</x:v>
      </x:c>
    </x:row>
    <x:row r="476">
      <x:c r="B476" t="str">
        <x:v>A-450</x:v>
      </x:c>
      <x:c r="C476" t="str">
        <x:v>GATE</x:v>
      </x:c>
      <x:c r="D476" t="str">
        <x:v>release ledger mirrors governing state</x:v>
      </x:c>
      <x:c r="E476" t="str">
        <x:f>'Release Gates'!J456</x:f>
        <x:v>OPEN</x:v>
      </x:c>
      <x:c r="F476" t="str">
        <x:f>IF('Release Gates'!C456="PLANNING","PASS",IF('Release Gates'!C456="PHYSICAL","OPEN","BLOCKED"))</x:f>
        <x:v>OPEN</x:v>
      </x:c>
      <x:c r="G476" t="str">
        <x:v>equals</x:v>
      </x:c>
      <x:c r="H476" t="str">
        <x:f>IF(E476=F476,"PASS","FAIL")</x:f>
        <x:v>PASS</x:v>
      </x:c>
    </x:row>
    <x:row r="477">
      <x:c r="B477" t="str">
        <x:v>A-451</x:v>
      </x:c>
      <x:c r="C477" t="str">
        <x:v>GATE</x:v>
      </x:c>
      <x:c r="D477" t="str">
        <x:v>release ledger mirrors governing state</x:v>
      </x:c>
      <x:c r="E477" t="str">
        <x:f>'Release Gates'!J457</x:f>
        <x:v>OPEN</x:v>
      </x:c>
      <x:c r="F477" t="str">
        <x:f>IF('Release Gates'!C457="PLANNING","PASS",IF('Release Gates'!C457="PHYSICAL","OPEN","BLOCKED"))</x:f>
        <x:v>OPEN</x:v>
      </x:c>
      <x:c r="G477" t="str">
        <x:v>equals</x:v>
      </x:c>
      <x:c r="H477" t="str">
        <x:f>IF(E477=F477,"PASS","FAIL")</x:f>
        <x:v>PASS</x:v>
      </x:c>
    </x:row>
    <x:row r="478">
      <x:c r="B478" t="str">
        <x:v>A-452</x:v>
      </x:c>
      <x:c r="C478" t="str">
        <x:v>GATE</x:v>
      </x:c>
      <x:c r="D478" t="str">
        <x:v>release ledger mirrors governing state</x:v>
      </x:c>
      <x:c r="E478" t="str">
        <x:f>'Release Gates'!J458</x:f>
        <x:v>OPEN</x:v>
      </x:c>
      <x:c r="F478" t="str">
        <x:f>IF('Release Gates'!C458="PLANNING","PASS",IF('Release Gates'!C458="PHYSICAL","OPEN","BLOCKED"))</x:f>
        <x:v>OPEN</x:v>
      </x:c>
      <x:c r="G478" t="str">
        <x:v>equals</x:v>
      </x:c>
      <x:c r="H478" t="str">
        <x:f>IF(E478=F478,"PASS","FAIL")</x:f>
        <x:v>PASS</x:v>
      </x:c>
    </x:row>
    <x:row r="479">
      <x:c r="B479" t="str">
        <x:v>A-453</x:v>
      </x:c>
      <x:c r="C479" t="str">
        <x:v>GATE</x:v>
      </x:c>
      <x:c r="D479" t="str">
        <x:v>release ledger mirrors governing state</x:v>
      </x:c>
      <x:c r="E479" t="str">
        <x:f>'Release Gates'!J459</x:f>
        <x:v>OPEN</x:v>
      </x:c>
      <x:c r="F479" t="str">
        <x:f>IF('Release Gates'!C459="PLANNING","PASS",IF('Release Gates'!C459="PHYSICAL","OPEN","BLOCKED"))</x:f>
        <x:v>OPEN</x:v>
      </x:c>
      <x:c r="G479" t="str">
        <x:v>equals</x:v>
      </x:c>
      <x:c r="H479" t="str">
        <x:f>IF(E479=F479,"PASS","FAIL")</x:f>
        <x:v>PASS</x:v>
      </x:c>
    </x:row>
    <x:row r="480">
      <x:c r="B480" t="str">
        <x:v>A-454</x:v>
      </x:c>
      <x:c r="C480" t="str">
        <x:v>GATE</x:v>
      </x:c>
      <x:c r="D480" t="str">
        <x:v>release ledger mirrors governing state</x:v>
      </x:c>
      <x:c r="E480" t="str">
        <x:f>'Release Gates'!J460</x:f>
        <x:v>OPEN</x:v>
      </x:c>
      <x:c r="F480" t="str">
        <x:f>IF('Release Gates'!C460="PLANNING","PASS",IF('Release Gates'!C460="PHYSICAL","OPEN","BLOCKED"))</x:f>
        <x:v>OPEN</x:v>
      </x:c>
      <x:c r="G480" t="str">
        <x:v>equals</x:v>
      </x:c>
      <x:c r="H480" t="str">
        <x:f>IF(E480=F480,"PASS","FAIL")</x:f>
        <x:v>PASS</x:v>
      </x:c>
    </x:row>
    <x:row r="481">
      <x:c r="B481" t="str">
        <x:v>A-455</x:v>
      </x:c>
      <x:c r="C481" t="str">
        <x:v>GATE</x:v>
      </x:c>
      <x:c r="D481" t="str">
        <x:v>release ledger mirrors governing state</x:v>
      </x:c>
      <x:c r="E481" t="str">
        <x:f>'Release Gates'!J461</x:f>
        <x:v>OPEN</x:v>
      </x:c>
      <x:c r="F481" t="str">
        <x:f>IF('Release Gates'!C461="PLANNING","PASS",IF('Release Gates'!C461="PHYSICAL","OPEN","BLOCKED"))</x:f>
        <x:v>OPEN</x:v>
      </x:c>
      <x:c r="G481" t="str">
        <x:v>equals</x:v>
      </x:c>
      <x:c r="H481" t="str">
        <x:f>IF(E481=F481,"PASS","FAIL")</x:f>
        <x:v>PASS</x:v>
      </x:c>
    </x:row>
    <x:row r="482">
      <x:c r="B482" t="str">
        <x:v>A-456</x:v>
      </x:c>
      <x:c r="C482" t="str">
        <x:v>GATE</x:v>
      </x:c>
      <x:c r="D482" t="str">
        <x:v>release ledger mirrors governing state</x:v>
      </x:c>
      <x:c r="E482" t="str">
        <x:f>'Release Gates'!J462</x:f>
        <x:v>OPEN</x:v>
      </x:c>
      <x:c r="F482" t="str">
        <x:f>IF('Release Gates'!C462="PLANNING","PASS",IF('Release Gates'!C462="PHYSICAL","OPEN","BLOCKED"))</x:f>
        <x:v>OPEN</x:v>
      </x:c>
      <x:c r="G482" t="str">
        <x:v>equals</x:v>
      </x:c>
      <x:c r="H482" t="str">
        <x:f>IF(E482=F482,"PASS","FAIL")</x:f>
        <x:v>PASS</x:v>
      </x:c>
    </x:row>
    <x:row r="483">
      <x:c r="B483" t="str">
        <x:v>A-457</x:v>
      </x:c>
      <x:c r="C483" t="str">
        <x:v>GATE</x:v>
      </x:c>
      <x:c r="D483" t="str">
        <x:v>release ledger mirrors governing state</x:v>
      </x:c>
      <x:c r="E483" t="str">
        <x:f>'Release Gates'!J463</x:f>
        <x:v>OPEN</x:v>
      </x:c>
      <x:c r="F483" t="str">
        <x:f>IF('Release Gates'!C463="PLANNING","PASS",IF('Release Gates'!C463="PHYSICAL","OPEN","BLOCKED"))</x:f>
        <x:v>OPEN</x:v>
      </x:c>
      <x:c r="G483" t="str">
        <x:v>equals</x:v>
      </x:c>
      <x:c r="H483" t="str">
        <x:f>IF(E483=F483,"PASS","FAIL")</x:f>
        <x:v>PASS</x:v>
      </x:c>
    </x:row>
    <x:row r="484">
      <x:c r="B484" t="str">
        <x:v>A-458</x:v>
      </x:c>
      <x:c r="C484" t="str">
        <x:v>GATE</x:v>
      </x:c>
      <x:c r="D484" t="str">
        <x:v>release ledger mirrors governing state</x:v>
      </x:c>
      <x:c r="E484" t="str">
        <x:f>'Release Gates'!J464</x:f>
        <x:v>OPEN</x:v>
      </x:c>
      <x:c r="F484" t="str">
        <x:f>IF('Release Gates'!C464="PLANNING","PASS",IF('Release Gates'!C464="PHYSICAL","OPEN","BLOCKED"))</x:f>
        <x:v>OPEN</x:v>
      </x:c>
      <x:c r="G484" t="str">
        <x:v>equals</x:v>
      </x:c>
      <x:c r="H484" t="str">
        <x:f>IF(E484=F484,"PASS","FAIL")</x:f>
        <x:v>PASS</x:v>
      </x:c>
    </x:row>
    <x:row r="485">
      <x:c r="B485" t="str">
        <x:v>A-459</x:v>
      </x:c>
      <x:c r="C485" t="str">
        <x:v>GATE</x:v>
      </x:c>
      <x:c r="D485" t="str">
        <x:v>release ledger mirrors governing state</x:v>
      </x:c>
      <x:c r="E485" t="str">
        <x:f>'Release Gates'!J465</x:f>
        <x:v>OPEN</x:v>
      </x:c>
      <x:c r="F485" t="str">
        <x:f>IF('Release Gates'!C465="PLANNING","PASS",IF('Release Gates'!C465="PHYSICAL","OPEN","BLOCKED"))</x:f>
        <x:v>OPEN</x:v>
      </x:c>
      <x:c r="G485" t="str">
        <x:v>equals</x:v>
      </x:c>
      <x:c r="H485" t="str">
        <x:f>IF(E485=F485,"PASS","FAIL")</x:f>
        <x:v>PASS</x:v>
      </x:c>
    </x:row>
    <x:row r="486">
      <x:c r="B486" t="str">
        <x:v>A-460</x:v>
      </x:c>
      <x:c r="C486" t="str">
        <x:v>GATE</x:v>
      </x:c>
      <x:c r="D486" t="str">
        <x:v>release ledger mirrors governing state</x:v>
      </x:c>
      <x:c r="E486" t="str">
        <x:f>'Release Gates'!J466</x:f>
        <x:v>OPEN</x:v>
      </x:c>
      <x:c r="F486" t="str">
        <x:f>IF('Release Gates'!C466="PLANNING","PASS",IF('Release Gates'!C466="PHYSICAL","OPEN","BLOCKED"))</x:f>
        <x:v>OPEN</x:v>
      </x:c>
      <x:c r="G486" t="str">
        <x:v>equals</x:v>
      </x:c>
      <x:c r="H486" t="str">
        <x:f>IF(E486=F486,"PASS","FAIL")</x:f>
        <x:v>PASS</x:v>
      </x:c>
    </x:row>
    <x:row r="487">
      <x:c r="B487" t="str">
        <x:v>A-461</x:v>
      </x:c>
      <x:c r="C487" t="str">
        <x:v>GATE</x:v>
      </x:c>
      <x:c r="D487" t="str">
        <x:v>release ledger mirrors governing state</x:v>
      </x:c>
      <x:c r="E487" t="str">
        <x:f>'Release Gates'!J467</x:f>
        <x:v>OPEN</x:v>
      </x:c>
      <x:c r="F487" t="str">
        <x:f>IF('Release Gates'!C467="PLANNING","PASS",IF('Release Gates'!C467="PHYSICAL","OPEN","BLOCKED"))</x:f>
        <x:v>OPEN</x:v>
      </x:c>
      <x:c r="G487" t="str">
        <x:v>equals</x:v>
      </x:c>
      <x:c r="H487" t="str">
        <x:f>IF(E487=F487,"PASS","FAIL")</x:f>
        <x:v>PASS</x:v>
      </x:c>
    </x:row>
    <x:row r="488">
      <x:c r="B488" t="str">
        <x:v>A-462</x:v>
      </x:c>
      <x:c r="C488" t="str">
        <x:v>GATE</x:v>
      </x:c>
      <x:c r="D488" t="str">
        <x:v>release ledger mirrors governing state</x:v>
      </x:c>
      <x:c r="E488" t="str">
        <x:f>'Release Gates'!J468</x:f>
        <x:v>OPEN</x:v>
      </x:c>
      <x:c r="F488" t="str">
        <x:f>IF('Release Gates'!C468="PLANNING","PASS",IF('Release Gates'!C468="PHYSICAL","OPEN","BLOCKED"))</x:f>
        <x:v>OPEN</x:v>
      </x:c>
      <x:c r="G488" t="str">
        <x:v>equals</x:v>
      </x:c>
      <x:c r="H488" t="str">
        <x:f>IF(E488=F488,"PASS","FAIL")</x:f>
        <x:v>PASS</x:v>
      </x:c>
    </x:row>
    <x:row r="489">
      <x:c r="B489" t="str">
        <x:v>A-463</x:v>
      </x:c>
      <x:c r="C489" t="str">
        <x:v>GATE</x:v>
      </x:c>
      <x:c r="D489" t="str">
        <x:v>release ledger mirrors governing state</x:v>
      </x:c>
      <x:c r="E489" t="str">
        <x:f>'Release Gates'!J469</x:f>
        <x:v>OPEN</x:v>
      </x:c>
      <x:c r="F489" t="str">
        <x:f>IF('Release Gates'!C469="PLANNING","PASS",IF('Release Gates'!C469="PHYSICAL","OPEN","BLOCKED"))</x:f>
        <x:v>OPEN</x:v>
      </x:c>
      <x:c r="G489" t="str">
        <x:v>equals</x:v>
      </x:c>
      <x:c r="H489" t="str">
        <x:f>IF(E489=F489,"PASS","FAIL")</x:f>
        <x:v>PASS</x:v>
      </x:c>
    </x:row>
    <x:row r="490">
      <x:c r="B490" t="str">
        <x:v>A-464</x:v>
      </x:c>
      <x:c r="C490" t="str">
        <x:v>GATE</x:v>
      </x:c>
      <x:c r="D490" t="str">
        <x:v>release ledger mirrors governing state</x:v>
      </x:c>
      <x:c r="E490" t="str">
        <x:f>'Release Gates'!J470</x:f>
        <x:v>OPEN</x:v>
      </x:c>
      <x:c r="F490" t="str">
        <x:f>IF('Release Gates'!C470="PLANNING","PASS",IF('Release Gates'!C470="PHYSICAL","OPEN","BLOCKED"))</x:f>
        <x:v>OPEN</x:v>
      </x:c>
      <x:c r="G490" t="str">
        <x:v>equals</x:v>
      </x:c>
      <x:c r="H490" t="str">
        <x:f>IF(E490=F490,"PASS","FAIL")</x:f>
        <x:v>PASS</x:v>
      </x:c>
    </x:row>
    <x:row r="491">
      <x:c r="B491" t="str">
        <x:v>A-465</x:v>
      </x:c>
      <x:c r="C491" t="str">
        <x:v>GATE</x:v>
      </x:c>
      <x:c r="D491" t="str">
        <x:v>release ledger mirrors governing state</x:v>
      </x:c>
      <x:c r="E491" t="str">
        <x:f>'Release Gates'!J471</x:f>
        <x:v>OPEN</x:v>
      </x:c>
      <x:c r="F491" t="str">
        <x:f>IF('Release Gates'!C471="PLANNING","PASS",IF('Release Gates'!C471="PHYSICAL","OPEN","BLOCKED"))</x:f>
        <x:v>OPEN</x:v>
      </x:c>
      <x:c r="G491" t="str">
        <x:v>equals</x:v>
      </x:c>
      <x:c r="H491" t="str">
        <x:f>IF(E491=F491,"PASS","FAIL")</x:f>
        <x:v>PASS</x:v>
      </x:c>
    </x:row>
    <x:row r="492">
      <x:c r="B492" t="str">
        <x:v>A-466</x:v>
      </x:c>
      <x:c r="C492" t="str">
        <x:v>GATE</x:v>
      </x:c>
      <x:c r="D492" t="str">
        <x:v>release ledger mirrors governing state</x:v>
      </x:c>
      <x:c r="E492" t="str">
        <x:f>'Release Gates'!J472</x:f>
        <x:v>OPEN</x:v>
      </x:c>
      <x:c r="F492" t="str">
        <x:f>IF('Release Gates'!C472="PLANNING","PASS",IF('Release Gates'!C472="PHYSICAL","OPEN","BLOCKED"))</x:f>
        <x:v>OPEN</x:v>
      </x:c>
      <x:c r="G492" t="str">
        <x:v>equals</x:v>
      </x:c>
      <x:c r="H492" t="str">
        <x:f>IF(E492=F492,"PASS","FAIL")</x:f>
        <x:v>PASS</x:v>
      </x:c>
    </x:row>
    <x:row r="493">
      <x:c r="B493" t="str">
        <x:v>A-467</x:v>
      </x:c>
      <x:c r="C493" t="str">
        <x:v>GATE</x:v>
      </x:c>
      <x:c r="D493" t="str">
        <x:v>release ledger mirrors governing state</x:v>
      </x:c>
      <x:c r="E493" t="str">
        <x:f>'Release Gates'!J473</x:f>
        <x:v>OPEN</x:v>
      </x:c>
      <x:c r="F493" t="str">
        <x:f>IF('Release Gates'!C473="PLANNING","PASS",IF('Release Gates'!C473="PHYSICAL","OPEN","BLOCKED"))</x:f>
        <x:v>OPEN</x:v>
      </x:c>
      <x:c r="G493" t="str">
        <x:v>equals</x:v>
      </x:c>
      <x:c r="H493" t="str">
        <x:f>IF(E493=F493,"PASS","FAIL")</x:f>
        <x:v>PASS</x:v>
      </x:c>
    </x:row>
    <x:row r="494">
      <x:c r="B494" t="str">
        <x:v>A-468</x:v>
      </x:c>
      <x:c r="C494" t="str">
        <x:v>GATE</x:v>
      </x:c>
      <x:c r="D494" t="str">
        <x:v>release ledger mirrors governing state</x:v>
      </x:c>
      <x:c r="E494" t="str">
        <x:f>'Release Gates'!J474</x:f>
        <x:v>OPEN</x:v>
      </x:c>
      <x:c r="F494" t="str">
        <x:f>IF('Release Gates'!C474="PLANNING","PASS",IF('Release Gates'!C474="PHYSICAL","OPEN","BLOCKED"))</x:f>
        <x:v>OPEN</x:v>
      </x:c>
      <x:c r="G494" t="str">
        <x:v>equals</x:v>
      </x:c>
      <x:c r="H494" t="str">
        <x:f>IF(E494=F494,"PASS","FAIL")</x:f>
        <x:v>PASS</x:v>
      </x:c>
    </x:row>
    <x:row r="495">
      <x:c r="B495" t="str">
        <x:v>A-469</x:v>
      </x:c>
      <x:c r="C495" t="str">
        <x:v>GATE</x:v>
      </x:c>
      <x:c r="D495" t="str">
        <x:v>release ledger mirrors governing state</x:v>
      </x:c>
      <x:c r="E495" t="str">
        <x:f>'Release Gates'!J475</x:f>
        <x:v>OPEN</x:v>
      </x:c>
      <x:c r="F495" t="str">
        <x:f>IF('Release Gates'!C475="PLANNING","PASS",IF('Release Gates'!C475="PHYSICAL","OPEN","BLOCKED"))</x:f>
        <x:v>OPEN</x:v>
      </x:c>
      <x:c r="G495" t="str">
        <x:v>equals</x:v>
      </x:c>
      <x:c r="H495" t="str">
        <x:f>IF(E495=F495,"PASS","FAIL")</x:f>
        <x:v>PASS</x:v>
      </x:c>
    </x:row>
    <x:row r="496">
      <x:c r="B496" t="str">
        <x:v>A-470</x:v>
      </x:c>
      <x:c r="C496" t="str">
        <x:v>GATE</x:v>
      </x:c>
      <x:c r="D496" t="str">
        <x:v>release ledger mirrors governing state</x:v>
      </x:c>
      <x:c r="E496" t="str">
        <x:f>'Release Gates'!J476</x:f>
        <x:v>OPEN</x:v>
      </x:c>
      <x:c r="F496" t="str">
        <x:f>IF('Release Gates'!C476="PLANNING","PASS",IF('Release Gates'!C476="PHYSICAL","OPEN","BLOCKED"))</x:f>
        <x:v>OPEN</x:v>
      </x:c>
      <x:c r="G496" t="str">
        <x:v>equals</x:v>
      </x:c>
      <x:c r="H496" t="str">
        <x:f>IF(E496=F496,"PASS","FAIL")</x:f>
        <x:v>PASS</x:v>
      </x:c>
    </x:row>
    <x:row r="497">
      <x:c r="B497" t="str">
        <x:v>A-471</x:v>
      </x:c>
      <x:c r="C497" t="str">
        <x:v>GATE</x:v>
      </x:c>
      <x:c r="D497" t="str">
        <x:v>release ledger mirrors governing state</x:v>
      </x:c>
      <x:c r="E497" t="str">
        <x:f>'Release Gates'!J477</x:f>
        <x:v>OPEN</x:v>
      </x:c>
      <x:c r="F497" t="str">
        <x:f>IF('Release Gates'!C477="PLANNING","PASS",IF('Release Gates'!C477="PHYSICAL","OPEN","BLOCKED"))</x:f>
        <x:v>OPEN</x:v>
      </x:c>
      <x:c r="G497" t="str">
        <x:v>equals</x:v>
      </x:c>
      <x:c r="H497" t="str">
        <x:f>IF(E497=F497,"PASS","FAIL")</x:f>
        <x:v>PASS</x:v>
      </x:c>
    </x:row>
    <x:row r="498">
      <x:c r="B498" t="str">
        <x:v>A-472</x:v>
      </x:c>
      <x:c r="C498" t="str">
        <x:v>GATE</x:v>
      </x:c>
      <x:c r="D498" t="str">
        <x:v>release ledger mirrors governing state</x:v>
      </x:c>
      <x:c r="E498" t="str">
        <x:f>'Release Gates'!J478</x:f>
        <x:v>OPEN</x:v>
      </x:c>
      <x:c r="F498" t="str">
        <x:f>IF('Release Gates'!C478="PLANNING","PASS",IF('Release Gates'!C478="PHYSICAL","OPEN","BLOCKED"))</x:f>
        <x:v>OPEN</x:v>
      </x:c>
      <x:c r="G498" t="str">
        <x:v>equals</x:v>
      </x:c>
      <x:c r="H498" t="str">
        <x:f>IF(E498=F498,"PASS","FAIL")</x:f>
        <x:v>PASS</x:v>
      </x:c>
    </x:row>
    <x:row r="499">
      <x:c r="B499" t="str">
        <x:v>A-473</x:v>
      </x:c>
      <x:c r="C499" t="str">
        <x:v>GATE</x:v>
      </x:c>
      <x:c r="D499" t="str">
        <x:v>release ledger mirrors governing state</x:v>
      </x:c>
      <x:c r="E499" t="str">
        <x:f>'Release Gates'!J479</x:f>
        <x:v>OPEN</x:v>
      </x:c>
      <x:c r="F499" t="str">
        <x:f>IF('Release Gates'!C479="PLANNING","PASS",IF('Release Gates'!C479="PHYSICAL","OPEN","BLOCKED"))</x:f>
        <x:v>OPEN</x:v>
      </x:c>
      <x:c r="G499" t="str">
        <x:v>equals</x:v>
      </x:c>
      <x:c r="H499" t="str">
        <x:f>IF(E499=F499,"PASS","FAIL")</x:f>
        <x:v>PASS</x:v>
      </x:c>
    </x:row>
    <x:row r="500">
      <x:c r="B500" t="str">
        <x:v>A-474</x:v>
      </x:c>
      <x:c r="C500" t="str">
        <x:v>GATE</x:v>
      </x:c>
      <x:c r="D500" t="str">
        <x:v>release ledger mirrors governing state</x:v>
      </x:c>
      <x:c r="E500" t="str">
        <x:f>'Release Gates'!J480</x:f>
        <x:v>OPEN</x:v>
      </x:c>
      <x:c r="F500" t="str">
        <x:f>IF('Release Gates'!C480="PLANNING","PASS",IF('Release Gates'!C480="PHYSICAL","OPEN","BLOCKED"))</x:f>
        <x:v>OPEN</x:v>
      </x:c>
      <x:c r="G500" t="str">
        <x:v>equals</x:v>
      </x:c>
      <x:c r="H500" t="str">
        <x:f>IF(E500=F500,"PASS","FAIL")</x:f>
        <x:v>PASS</x:v>
      </x:c>
    </x:row>
    <x:row r="501">
      <x:c r="B501" t="str">
        <x:v>A-475</x:v>
      </x:c>
      <x:c r="C501" t="str">
        <x:v>GATE</x:v>
      </x:c>
      <x:c r="D501" t="str">
        <x:v>release ledger mirrors governing state</x:v>
      </x:c>
      <x:c r="E501" t="str">
        <x:f>'Release Gates'!J481</x:f>
        <x:v>OPEN</x:v>
      </x:c>
      <x:c r="F501" t="str">
        <x:f>IF('Release Gates'!C481="PLANNING","PASS",IF('Release Gates'!C481="PHYSICAL","OPEN","BLOCKED"))</x:f>
        <x:v>OPEN</x:v>
      </x:c>
      <x:c r="G501" t="str">
        <x:v>equals</x:v>
      </x:c>
      <x:c r="H501" t="str">
        <x:f>IF(E501=F501,"PASS","FAIL")</x:f>
        <x:v>PASS</x:v>
      </x:c>
    </x:row>
    <x:row r="502">
      <x:c r="B502" t="str">
        <x:v>A-476</x:v>
      </x:c>
      <x:c r="C502" t="str">
        <x:v>GATE</x:v>
      </x:c>
      <x:c r="D502" t="str">
        <x:v>release ledger mirrors governing state</x:v>
      </x:c>
      <x:c r="E502" t="str">
        <x:f>'Release Gates'!J482</x:f>
        <x:v>OPEN</x:v>
      </x:c>
      <x:c r="F502" t="str">
        <x:f>IF('Release Gates'!C482="PLANNING","PASS",IF('Release Gates'!C482="PHYSICAL","OPEN","BLOCKED"))</x:f>
        <x:v>OPEN</x:v>
      </x:c>
      <x:c r="G502" t="str">
        <x:v>equals</x:v>
      </x:c>
      <x:c r="H502" t="str">
        <x:f>IF(E502=F502,"PASS","FAIL")</x:f>
        <x:v>PASS</x:v>
      </x:c>
    </x:row>
    <x:row r="503">
      <x:c r="B503" t="str">
        <x:v>A-477</x:v>
      </x:c>
      <x:c r="C503" t="str">
        <x:v>GATE</x:v>
      </x:c>
      <x:c r="D503" t="str">
        <x:v>release ledger mirrors governing state</x:v>
      </x:c>
      <x:c r="E503" t="str">
        <x:f>'Release Gates'!J483</x:f>
        <x:v>OPEN</x:v>
      </x:c>
      <x:c r="F503" t="str">
        <x:f>IF('Release Gates'!C483="PLANNING","PASS",IF('Release Gates'!C483="PHYSICAL","OPEN","BLOCKED"))</x:f>
        <x:v>OPEN</x:v>
      </x:c>
      <x:c r="G503" t="str">
        <x:v>equals</x:v>
      </x:c>
      <x:c r="H503" t="str">
        <x:f>IF(E503=F503,"PASS","FAIL")</x:f>
        <x:v>PASS</x:v>
      </x:c>
    </x:row>
    <x:row r="504">
      <x:c r="B504" t="str">
        <x:v>A-478</x:v>
      </x:c>
      <x:c r="C504" t="str">
        <x:v>GATE</x:v>
      </x:c>
      <x:c r="D504" t="str">
        <x:v>release ledger mirrors governing state</x:v>
      </x:c>
      <x:c r="E504" t="str">
        <x:f>'Release Gates'!J484</x:f>
        <x:v>OPEN</x:v>
      </x:c>
      <x:c r="F504" t="str">
        <x:f>IF('Release Gates'!C484="PLANNING","PASS",IF('Release Gates'!C484="PHYSICAL","OPEN","BLOCKED"))</x:f>
        <x:v>OPEN</x:v>
      </x:c>
      <x:c r="G504" t="str">
        <x:v>equals</x:v>
      </x:c>
      <x:c r="H504" t="str">
        <x:f>IF(E504=F504,"PASS","FAIL")</x:f>
        <x:v>PASS</x:v>
      </x:c>
    </x:row>
    <x:row r="505">
      <x:c r="B505" t="str">
        <x:v>A-479</x:v>
      </x:c>
      <x:c r="C505" t="str">
        <x:v>GATE</x:v>
      </x:c>
      <x:c r="D505" t="str">
        <x:v>release ledger mirrors governing state</x:v>
      </x:c>
      <x:c r="E505" t="str">
        <x:f>'Release Gates'!J485</x:f>
        <x:v>OPEN</x:v>
      </x:c>
      <x:c r="F505" t="str">
        <x:f>IF('Release Gates'!C485="PLANNING","PASS",IF('Release Gates'!C485="PHYSICAL","OPEN","BLOCKED"))</x:f>
        <x:v>OPEN</x:v>
      </x:c>
      <x:c r="G505" t="str">
        <x:v>equals</x:v>
      </x:c>
      <x:c r="H505" t="str">
        <x:f>IF(E505=F505,"PASS","FAIL")</x:f>
        <x:v>PASS</x:v>
      </x:c>
    </x:row>
    <x:row r="506">
      <x:c r="B506" t="str">
        <x:v>A-480</x:v>
      </x:c>
      <x:c r="C506" t="str">
        <x:v>GATE</x:v>
      </x:c>
      <x:c r="D506" t="str">
        <x:v>release ledger mirrors governing state</x:v>
      </x:c>
      <x:c r="E506" t="str">
        <x:f>'Release Gates'!J486</x:f>
        <x:v>OPEN</x:v>
      </x:c>
      <x:c r="F506" t="str">
        <x:f>IF('Release Gates'!C486="PLANNING","PASS",IF('Release Gates'!C486="PHYSICAL","OPEN","BLOCKED"))</x:f>
        <x:v>OPEN</x:v>
      </x:c>
      <x:c r="G506" t="str">
        <x:v>equals</x:v>
      </x:c>
      <x:c r="H506" t="str">
        <x:f>IF(E506=F506,"PASS","FAIL")</x:f>
        <x:v>PASS</x:v>
      </x:c>
    </x:row>
    <x:row r="507">
      <x:c r="B507" t="str">
        <x:v>A-481</x:v>
      </x:c>
      <x:c r="C507" t="str">
        <x:v>GATE</x:v>
      </x:c>
      <x:c r="D507" t="str">
        <x:v>release ledger mirrors governing state</x:v>
      </x:c>
      <x:c r="E507" t="str">
        <x:f>'Release Gates'!J487</x:f>
        <x:v>OPEN</x:v>
      </x:c>
      <x:c r="F507" t="str">
        <x:f>IF('Release Gates'!C487="PLANNING","PASS",IF('Release Gates'!C487="PHYSICAL","OPEN","BLOCKED"))</x:f>
        <x:v>OPEN</x:v>
      </x:c>
      <x:c r="G507" t="str">
        <x:v>equals</x:v>
      </x:c>
      <x:c r="H507" t="str">
        <x:f>IF(E507=F507,"PASS","FAIL")</x:f>
        <x:v>PASS</x:v>
      </x:c>
    </x:row>
    <x:row r="508">
      <x:c r="B508" t="str">
        <x:v>A-482</x:v>
      </x:c>
      <x:c r="C508" t="str">
        <x:v>GATE</x:v>
      </x:c>
      <x:c r="D508" t="str">
        <x:v>release ledger mirrors governing state</x:v>
      </x:c>
      <x:c r="E508" t="str">
        <x:f>'Release Gates'!J488</x:f>
        <x:v>OPEN</x:v>
      </x:c>
      <x:c r="F508" t="str">
        <x:f>IF('Release Gates'!C488="PLANNING","PASS",IF('Release Gates'!C488="PHYSICAL","OPEN","BLOCKED"))</x:f>
        <x:v>OPEN</x:v>
      </x:c>
      <x:c r="G508" t="str">
        <x:v>equals</x:v>
      </x:c>
      <x:c r="H508" t="str">
        <x:f>IF(E508=F508,"PASS","FAIL")</x:f>
        <x:v>PASS</x:v>
      </x:c>
    </x:row>
    <x:row r="509">
      <x:c r="B509" t="str">
        <x:v>A-483</x:v>
      </x:c>
      <x:c r="C509" t="str">
        <x:v>GATE</x:v>
      </x:c>
      <x:c r="D509" t="str">
        <x:v>release ledger mirrors governing state</x:v>
      </x:c>
      <x:c r="E509" t="str">
        <x:f>'Release Gates'!J489</x:f>
        <x:v>OPEN</x:v>
      </x:c>
      <x:c r="F509" t="str">
        <x:f>IF('Release Gates'!C489="PLANNING","PASS",IF('Release Gates'!C489="PHYSICAL","OPEN","BLOCKED"))</x:f>
        <x:v>OPEN</x:v>
      </x:c>
      <x:c r="G509" t="str">
        <x:v>equals</x:v>
      </x:c>
      <x:c r="H509" t="str">
        <x:f>IF(E509=F509,"PASS","FAIL")</x:f>
        <x:v>PASS</x:v>
      </x:c>
    </x:row>
    <x:row r="510">
      <x:c r="B510" t="str">
        <x:v>A-484</x:v>
      </x:c>
      <x:c r="C510" t="str">
        <x:v>GATE</x:v>
      </x:c>
      <x:c r="D510" t="str">
        <x:v>release ledger mirrors governing state</x:v>
      </x:c>
      <x:c r="E510" t="str">
        <x:f>'Release Gates'!J490</x:f>
        <x:v>OPEN</x:v>
      </x:c>
      <x:c r="F510" t="str">
        <x:f>IF('Release Gates'!C490="PLANNING","PASS",IF('Release Gates'!C490="PHYSICAL","OPEN","BLOCKED"))</x:f>
        <x:v>OPEN</x:v>
      </x:c>
      <x:c r="G510" t="str">
        <x:v>equals</x:v>
      </x:c>
      <x:c r="H510" t="str">
        <x:f>IF(E510=F510,"PASS","FAIL")</x:f>
        <x:v>PASS</x:v>
      </x:c>
    </x:row>
    <x:row r="511">
      <x:c r="B511" t="str">
        <x:v>A-485</x:v>
      </x:c>
      <x:c r="C511" t="str">
        <x:v>GATE</x:v>
      </x:c>
      <x:c r="D511" t="str">
        <x:v>release ledger mirrors governing state</x:v>
      </x:c>
      <x:c r="E511" t="str">
        <x:f>'Release Gates'!J491</x:f>
        <x:v>OPEN</x:v>
      </x:c>
      <x:c r="F511" t="str">
        <x:f>IF('Release Gates'!C491="PLANNING","PASS",IF('Release Gates'!C491="PHYSICAL","OPEN","BLOCKED"))</x:f>
        <x:v>OPEN</x:v>
      </x:c>
      <x:c r="G511" t="str">
        <x:v>equals</x:v>
      </x:c>
      <x:c r="H511" t="str">
        <x:f>IF(E511=F511,"PASS","FAIL")</x:f>
        <x:v>PASS</x:v>
      </x:c>
    </x:row>
    <x:row r="512">
      <x:c r="B512" t="str">
        <x:v>A-486</x:v>
      </x:c>
      <x:c r="C512" t="str">
        <x:v>GATE</x:v>
      </x:c>
      <x:c r="D512" t="str">
        <x:v>release ledger mirrors governing state</x:v>
      </x:c>
      <x:c r="E512" t="str">
        <x:f>'Release Gates'!J492</x:f>
        <x:v>OPEN</x:v>
      </x:c>
      <x:c r="F512" t="str">
        <x:f>IF('Release Gates'!C492="PLANNING","PASS",IF('Release Gates'!C492="PHYSICAL","OPEN","BLOCKED"))</x:f>
        <x:v>OPEN</x:v>
      </x:c>
      <x:c r="G512" t="str">
        <x:v>equals</x:v>
      </x:c>
      <x:c r="H512" t="str">
        <x:f>IF(E512=F512,"PASS","FAIL")</x:f>
        <x:v>PASS</x:v>
      </x:c>
    </x:row>
    <x:row r="513">
      <x:c r="B513" t="str">
        <x:v>A-487</x:v>
      </x:c>
      <x:c r="C513" t="str">
        <x:v>GATE</x:v>
      </x:c>
      <x:c r="D513" t="str">
        <x:v>release ledger mirrors governing state</x:v>
      </x:c>
      <x:c r="E513" t="str">
        <x:f>'Release Gates'!J493</x:f>
        <x:v>OPEN</x:v>
      </x:c>
      <x:c r="F513" t="str">
        <x:f>IF('Release Gates'!C493="PLANNING","PASS",IF('Release Gates'!C493="PHYSICAL","OPEN","BLOCKED"))</x:f>
        <x:v>OPEN</x:v>
      </x:c>
      <x:c r="G513" t="str">
        <x:v>equals</x:v>
      </x:c>
      <x:c r="H513" t="str">
        <x:f>IF(E513=F513,"PASS","FAIL")</x:f>
        <x:v>PASS</x:v>
      </x:c>
    </x:row>
    <x:row r="514">
      <x:c r="B514" t="str">
        <x:v>A-488</x:v>
      </x:c>
      <x:c r="C514" t="str">
        <x:v>GATE</x:v>
      </x:c>
      <x:c r="D514" t="str">
        <x:v>release ledger mirrors governing state</x:v>
      </x:c>
      <x:c r="E514" t="str">
        <x:f>'Release Gates'!J494</x:f>
        <x:v>OPEN</x:v>
      </x:c>
      <x:c r="F514" t="str">
        <x:f>IF('Release Gates'!C494="PLANNING","PASS",IF('Release Gates'!C494="PHYSICAL","OPEN","BLOCKED"))</x:f>
        <x:v>OPEN</x:v>
      </x:c>
      <x:c r="G514" t="str">
        <x:v>equals</x:v>
      </x:c>
      <x:c r="H514" t="str">
        <x:f>IF(E514=F514,"PASS","FAIL")</x:f>
        <x:v>PASS</x:v>
      </x:c>
    </x:row>
    <x:row r="515">
      <x:c r="B515" t="str">
        <x:v>A-489</x:v>
      </x:c>
      <x:c r="C515" t="str">
        <x:v>GATE</x:v>
      </x:c>
      <x:c r="D515" t="str">
        <x:v>release ledger mirrors governing state</x:v>
      </x:c>
      <x:c r="E515" t="str">
        <x:f>'Release Gates'!J495</x:f>
        <x:v>OPEN</x:v>
      </x:c>
      <x:c r="F515" t="str">
        <x:f>IF('Release Gates'!C495="PLANNING","PASS",IF('Release Gates'!C495="PHYSICAL","OPEN","BLOCKED"))</x:f>
        <x:v>OPEN</x:v>
      </x:c>
      <x:c r="G515" t="str">
        <x:v>equals</x:v>
      </x:c>
      <x:c r="H515" t="str">
        <x:f>IF(E515=F515,"PASS","FAIL")</x:f>
        <x:v>PASS</x:v>
      </x:c>
    </x:row>
    <x:row r="516">
      <x:c r="B516" t="str">
        <x:v>A-490</x:v>
      </x:c>
      <x:c r="C516" t="str">
        <x:v>GATE</x:v>
      </x:c>
      <x:c r="D516" t="str">
        <x:v>release ledger mirrors governing state</x:v>
      </x:c>
      <x:c r="E516" t="str">
        <x:f>'Release Gates'!J496</x:f>
        <x:v>OPEN</x:v>
      </x:c>
      <x:c r="F516" t="str">
        <x:f>IF('Release Gates'!C496="PLANNING","PASS",IF('Release Gates'!C496="PHYSICAL","OPEN","BLOCKED"))</x:f>
        <x:v>OPEN</x:v>
      </x:c>
      <x:c r="G516" t="str">
        <x:v>equals</x:v>
      </x:c>
      <x:c r="H516" t="str">
        <x:f>IF(E516=F516,"PASS","FAIL")</x:f>
        <x:v>PASS</x:v>
      </x:c>
    </x:row>
    <x:row r="517">
      <x:c r="B517" t="str">
        <x:v>A-491</x:v>
      </x:c>
      <x:c r="C517" t="str">
        <x:v>GATE</x:v>
      </x:c>
      <x:c r="D517" t="str">
        <x:v>release ledger mirrors governing state</x:v>
      </x:c>
      <x:c r="E517" t="str">
        <x:f>'Release Gates'!J497</x:f>
        <x:v>OPEN</x:v>
      </x:c>
      <x:c r="F517" t="str">
        <x:f>IF('Release Gates'!C497="PLANNING","PASS",IF('Release Gates'!C497="PHYSICAL","OPEN","BLOCKED"))</x:f>
        <x:v>OPEN</x:v>
      </x:c>
      <x:c r="G517" t="str">
        <x:v>equals</x:v>
      </x:c>
      <x:c r="H517" t="str">
        <x:f>IF(E517=F517,"PASS","FAIL")</x:f>
        <x:v>PASS</x:v>
      </x:c>
    </x:row>
    <x:row r="518">
      <x:c r="B518" t="str">
        <x:v>A-492</x:v>
      </x:c>
      <x:c r="C518" t="str">
        <x:v>GATE</x:v>
      </x:c>
      <x:c r="D518" t="str">
        <x:v>release ledger mirrors governing state</x:v>
      </x:c>
      <x:c r="E518" t="str">
        <x:f>'Release Gates'!J498</x:f>
        <x:v>OPEN</x:v>
      </x:c>
      <x:c r="F518" t="str">
        <x:f>IF('Release Gates'!C498="PLANNING","PASS",IF('Release Gates'!C498="PHYSICAL","OPEN","BLOCKED"))</x:f>
        <x:v>OPEN</x:v>
      </x:c>
      <x:c r="G518" t="str">
        <x:v>equals</x:v>
      </x:c>
      <x:c r="H518" t="str">
        <x:f>IF(E518=F518,"PASS","FAIL")</x:f>
        <x:v>PASS</x:v>
      </x:c>
    </x:row>
    <x:row r="519">
      <x:c r="B519" t="str">
        <x:v>A-493</x:v>
      </x:c>
      <x:c r="C519" t="str">
        <x:v>GATE</x:v>
      </x:c>
      <x:c r="D519" t="str">
        <x:v>release ledger mirrors governing state</x:v>
      </x:c>
      <x:c r="E519" t="str">
        <x:f>'Release Gates'!J499</x:f>
        <x:v>OPEN</x:v>
      </x:c>
      <x:c r="F519" t="str">
        <x:f>IF('Release Gates'!C499="PLANNING","PASS",IF('Release Gates'!C499="PHYSICAL","OPEN","BLOCKED"))</x:f>
        <x:v>OPEN</x:v>
      </x:c>
      <x:c r="G519" t="str">
        <x:v>equals</x:v>
      </x:c>
      <x:c r="H519" t="str">
        <x:f>IF(E519=F519,"PASS","FAIL")</x:f>
        <x:v>PASS</x:v>
      </x:c>
    </x:row>
    <x:row r="520">
      <x:c r="B520" t="str">
        <x:v>A-494</x:v>
      </x:c>
      <x:c r="C520" t="str">
        <x:v>GATE</x:v>
      </x:c>
      <x:c r="D520" t="str">
        <x:v>release ledger mirrors governing state</x:v>
      </x:c>
      <x:c r="E520" t="str">
        <x:f>'Release Gates'!J500</x:f>
        <x:v>OPEN</x:v>
      </x:c>
      <x:c r="F520" t="str">
        <x:f>IF('Release Gates'!C500="PLANNING","PASS",IF('Release Gates'!C500="PHYSICAL","OPEN","BLOCKED"))</x:f>
        <x:v>OPEN</x:v>
      </x:c>
      <x:c r="G520" t="str">
        <x:v>equals</x:v>
      </x:c>
      <x:c r="H520" t="str">
        <x:f>IF(E520=F520,"PASS","FAIL")</x:f>
        <x:v>PASS</x:v>
      </x:c>
    </x:row>
    <x:row r="521">
      <x:c r="B521" t="str">
        <x:v>A-495</x:v>
      </x:c>
      <x:c r="C521" t="str">
        <x:v>GATE</x:v>
      </x:c>
      <x:c r="D521" t="str">
        <x:v>release ledger mirrors governing state</x:v>
      </x:c>
      <x:c r="E521" t="str">
        <x:f>'Release Gates'!J501</x:f>
        <x:v>OPEN</x:v>
      </x:c>
      <x:c r="F521" t="str">
        <x:f>IF('Release Gates'!C501="PLANNING","PASS",IF('Release Gates'!C501="PHYSICAL","OPEN","BLOCKED"))</x:f>
        <x:v>OPEN</x:v>
      </x:c>
      <x:c r="G521" t="str">
        <x:v>equals</x:v>
      </x:c>
      <x:c r="H521" t="str">
        <x:f>IF(E521=F521,"PASS","FAIL")</x:f>
        <x:v>PASS</x:v>
      </x:c>
    </x:row>
    <x:row r="522">
      <x:c r="B522" t="str">
        <x:v>A-496</x:v>
      </x:c>
      <x:c r="C522" t="str">
        <x:v>GATE</x:v>
      </x:c>
      <x:c r="D522" t="str">
        <x:v>release ledger mirrors governing state</x:v>
      </x:c>
      <x:c r="E522" t="str">
        <x:f>'Release Gates'!J502</x:f>
        <x:v>OPEN</x:v>
      </x:c>
      <x:c r="F522" t="str">
        <x:f>IF('Release Gates'!C502="PLANNING","PASS",IF('Release Gates'!C502="PHYSICAL","OPEN","BLOCKED"))</x:f>
        <x:v>OPEN</x:v>
      </x:c>
      <x:c r="G522" t="str">
        <x:v>equals</x:v>
      </x:c>
      <x:c r="H522" t="str">
        <x:f>IF(E522=F522,"PASS","FAIL")</x:f>
        <x:v>PASS</x:v>
      </x:c>
    </x:row>
    <x:row r="523">
      <x:c r="B523" t="str">
        <x:v>A-497</x:v>
      </x:c>
      <x:c r="C523" t="str">
        <x:v>GATE</x:v>
      </x:c>
      <x:c r="D523" t="str">
        <x:v>release ledger mirrors governing state</x:v>
      </x:c>
      <x:c r="E523" t="str">
        <x:f>'Release Gates'!J503</x:f>
        <x:v>OPEN</x:v>
      </x:c>
      <x:c r="F523" t="str">
        <x:f>IF('Release Gates'!C503="PLANNING","PASS",IF('Release Gates'!C503="PHYSICAL","OPEN","BLOCKED"))</x:f>
        <x:v>OPEN</x:v>
      </x:c>
      <x:c r="G523" t="str">
        <x:v>equals</x:v>
      </x:c>
      <x:c r="H523" t="str">
        <x:f>IF(E523=F523,"PASS","FAIL")</x:f>
        <x:v>PASS</x:v>
      </x:c>
    </x:row>
    <x:row r="524">
      <x:c r="B524" t="str">
        <x:v>A-498</x:v>
      </x:c>
      <x:c r="C524" t="str">
        <x:v>GATE</x:v>
      </x:c>
      <x:c r="D524" t="str">
        <x:v>release ledger mirrors governing state</x:v>
      </x:c>
      <x:c r="E524" t="str">
        <x:f>'Release Gates'!J504</x:f>
        <x:v>OPEN</x:v>
      </x:c>
      <x:c r="F524" t="str">
        <x:f>IF('Release Gates'!C504="PLANNING","PASS",IF('Release Gates'!C504="PHYSICAL","OPEN","BLOCKED"))</x:f>
        <x:v>OPEN</x:v>
      </x:c>
      <x:c r="G524" t="str">
        <x:v>equals</x:v>
      </x:c>
      <x:c r="H524" t="str">
        <x:f>IF(E524=F524,"PASS","FAIL")</x:f>
        <x:v>PASS</x:v>
      </x:c>
    </x:row>
    <x:row r="525">
      <x:c r="B525" t="str">
        <x:v>A-499</x:v>
      </x:c>
      <x:c r="C525" t="str">
        <x:v>GATE</x:v>
      </x:c>
      <x:c r="D525" t="str">
        <x:v>release ledger mirrors governing state</x:v>
      </x:c>
      <x:c r="E525" t="str">
        <x:f>'Release Gates'!J505</x:f>
        <x:v>OPEN</x:v>
      </x:c>
      <x:c r="F525" t="str">
        <x:f>IF('Release Gates'!C505="PLANNING","PASS",IF('Release Gates'!C505="PHYSICAL","OPEN","BLOCKED"))</x:f>
        <x:v>OPEN</x:v>
      </x:c>
      <x:c r="G525" t="str">
        <x:v>equals</x:v>
      </x:c>
      <x:c r="H525" t="str">
        <x:f>IF(E525=F525,"PASS","FAIL")</x:f>
        <x:v>PASS</x:v>
      </x:c>
    </x:row>
    <x:row r="526">
      <x:c r="B526" t="str">
        <x:v>A-500</x:v>
      </x:c>
      <x:c r="C526" t="str">
        <x:v>GATE</x:v>
      </x:c>
      <x:c r="D526" t="str">
        <x:v>release ledger mirrors governing state</x:v>
      </x:c>
      <x:c r="E526" t="str">
        <x:f>'Release Gates'!J506</x:f>
        <x:v>OPEN</x:v>
      </x:c>
      <x:c r="F526" t="str">
        <x:f>IF('Release Gates'!C506="PLANNING","PASS",IF('Release Gates'!C506="PHYSICAL","OPEN","BLOCKED"))</x:f>
        <x:v>OPEN</x:v>
      </x:c>
      <x:c r="G526" t="str">
        <x:v>equals</x:v>
      </x:c>
      <x:c r="H526" t="str">
        <x:f>IF(E526=F526,"PASS","FAIL")</x:f>
        <x:v>PASS</x:v>
      </x:c>
    </x:row>
    <x:row r="527">
      <x:c r="B527" t="str">
        <x:v>A-501</x:v>
      </x:c>
      <x:c r="C527" t="str">
        <x:v>GATE</x:v>
      </x:c>
      <x:c r="D527" t="str">
        <x:v>release ledger mirrors governing state</x:v>
      </x:c>
      <x:c r="E527" t="str">
        <x:f>'Release Gates'!J507</x:f>
        <x:v>OPEN</x:v>
      </x:c>
      <x:c r="F527" t="str">
        <x:f>IF('Release Gates'!C507="PLANNING","PASS",IF('Release Gates'!C507="PHYSICAL","OPEN","BLOCKED"))</x:f>
        <x:v>OPEN</x:v>
      </x:c>
      <x:c r="G527" t="str">
        <x:v>equals</x:v>
      </x:c>
      <x:c r="H527" t="str">
        <x:f>IF(E527=F527,"PASS","FAIL")</x:f>
        <x:v>PASS</x:v>
      </x:c>
    </x:row>
    <x:row r="528">
      <x:c r="B528" t="str">
        <x:v>A-502</x:v>
      </x:c>
      <x:c r="C528" t="str">
        <x:v>GATE</x:v>
      </x:c>
      <x:c r="D528" t="str">
        <x:v>release ledger mirrors governing state</x:v>
      </x:c>
      <x:c r="E528" t="str">
        <x:f>'Release Gates'!J508</x:f>
        <x:v>OPEN</x:v>
      </x:c>
      <x:c r="F528" t="str">
        <x:f>IF('Release Gates'!C508="PLANNING","PASS",IF('Release Gates'!C508="PHYSICAL","OPEN","BLOCKED"))</x:f>
        <x:v>OPEN</x:v>
      </x:c>
      <x:c r="G528" t="str">
        <x:v>equals</x:v>
      </x:c>
      <x:c r="H528" t="str">
        <x:f>IF(E528=F528,"PASS","FAIL")</x:f>
        <x:v>PASS</x:v>
      </x:c>
    </x:row>
    <x:row r="529">
      <x:c r="B529" t="str">
        <x:v>A-503</x:v>
      </x:c>
      <x:c r="C529" t="str">
        <x:v>GATE</x:v>
      </x:c>
      <x:c r="D529" t="str">
        <x:v>release ledger mirrors governing state</x:v>
      </x:c>
      <x:c r="E529" t="str">
        <x:f>'Release Gates'!J509</x:f>
        <x:v>OPEN</x:v>
      </x:c>
      <x:c r="F529" t="str">
        <x:f>IF('Release Gates'!C509="PLANNING","PASS",IF('Release Gates'!C509="PHYSICAL","OPEN","BLOCKED"))</x:f>
        <x:v>OPEN</x:v>
      </x:c>
      <x:c r="G529" t="str">
        <x:v>equals</x:v>
      </x:c>
      <x:c r="H529" t="str">
        <x:f>IF(E529=F529,"PASS","FAIL")</x:f>
        <x:v>PASS</x:v>
      </x:c>
    </x:row>
    <x:row r="530">
      <x:c r="B530" t="str">
        <x:v>A-504</x:v>
      </x:c>
      <x:c r="C530" t="str">
        <x:v>GATE</x:v>
      </x:c>
      <x:c r="D530" t="str">
        <x:v>release ledger mirrors governing state</x:v>
      </x:c>
      <x:c r="E530" t="str">
        <x:f>'Release Gates'!J510</x:f>
        <x:v>OPEN</x:v>
      </x:c>
      <x:c r="F530" t="str">
        <x:f>IF('Release Gates'!C510="PLANNING","PASS",IF('Release Gates'!C510="PHYSICAL","OPEN","BLOCKED"))</x:f>
        <x:v>OPEN</x:v>
      </x:c>
      <x:c r="G530" t="str">
        <x:v>equals</x:v>
      </x:c>
      <x:c r="H530" t="str">
        <x:f>IF(E530=F530,"PASS","FAIL")</x:f>
        <x:v>PASS</x:v>
      </x:c>
    </x:row>
    <x:row r="531">
      <x:c r="B531" t="str">
        <x:v>A-505</x:v>
      </x:c>
      <x:c r="C531" t="str">
        <x:v>GATE</x:v>
      </x:c>
      <x:c r="D531" t="str">
        <x:v>release ledger mirrors governing state</x:v>
      </x:c>
      <x:c r="E531" t="str">
        <x:f>'Release Gates'!J511</x:f>
        <x:v>OPEN</x:v>
      </x:c>
      <x:c r="F531" t="str">
        <x:f>IF('Release Gates'!C511="PLANNING","PASS",IF('Release Gates'!C511="PHYSICAL","OPEN","BLOCKED"))</x:f>
        <x:v>OPEN</x:v>
      </x:c>
      <x:c r="G531" t="str">
        <x:v>equals</x:v>
      </x:c>
      <x:c r="H531" t="str">
        <x:f>IF(E531=F531,"PASS","FAIL")</x:f>
        <x:v>PASS</x:v>
      </x:c>
    </x:row>
    <x:row r="532">
      <x:c r="B532" t="str">
        <x:v>A-506</x:v>
      </x:c>
      <x:c r="C532" t="str">
        <x:v>GATE</x:v>
      </x:c>
      <x:c r="D532" t="str">
        <x:v>release ledger mirrors governing state</x:v>
      </x:c>
      <x:c r="E532" t="str">
        <x:f>'Release Gates'!J512</x:f>
        <x:v>OPEN</x:v>
      </x:c>
      <x:c r="F532" t="str">
        <x:f>IF('Release Gates'!C512="PLANNING","PASS",IF('Release Gates'!C512="PHYSICAL","OPEN","BLOCKED"))</x:f>
        <x:v>OPEN</x:v>
      </x:c>
      <x:c r="G532" t="str">
        <x:v>equals</x:v>
      </x:c>
      <x:c r="H532" t="str">
        <x:f>IF(E532=F532,"PASS","FAIL")</x:f>
        <x:v>PASS</x:v>
      </x:c>
    </x:row>
    <x:row r="533">
      <x:c r="B533" t="str">
        <x:v>A-507</x:v>
      </x:c>
      <x:c r="C533" t="str">
        <x:v>GATE</x:v>
      </x:c>
      <x:c r="D533" t="str">
        <x:v>release ledger mirrors governing state</x:v>
      </x:c>
      <x:c r="E533" t="str">
        <x:f>'Release Gates'!J513</x:f>
        <x:v>OPEN</x:v>
      </x:c>
      <x:c r="F533" t="str">
        <x:f>IF('Release Gates'!C513="PLANNING","PASS",IF('Release Gates'!C513="PHYSICAL","OPEN","BLOCKED"))</x:f>
        <x:v>OPEN</x:v>
      </x:c>
      <x:c r="G533" t="str">
        <x:v>equals</x:v>
      </x:c>
      <x:c r="H533" t="str">
        <x:f>IF(E533=F533,"PASS","FAIL")</x:f>
        <x:v>PASS</x:v>
      </x:c>
    </x:row>
    <x:row r="534">
      <x:c r="B534" t="str">
        <x:v>A-508</x:v>
      </x:c>
      <x:c r="C534" t="str">
        <x:v>GATE</x:v>
      </x:c>
      <x:c r="D534" t="str">
        <x:v>release ledger mirrors governing state</x:v>
      </x:c>
      <x:c r="E534" t="str">
        <x:f>'Release Gates'!J514</x:f>
        <x:v>OPEN</x:v>
      </x:c>
      <x:c r="F534" t="str">
        <x:f>IF('Release Gates'!C514="PLANNING","PASS",IF('Release Gates'!C514="PHYSICAL","OPEN","BLOCKED"))</x:f>
        <x:v>OPEN</x:v>
      </x:c>
      <x:c r="G534" t="str">
        <x:v>equals</x:v>
      </x:c>
      <x:c r="H534" t="str">
        <x:f>IF(E534=F534,"PASS","FAIL")</x:f>
        <x:v>PASS</x:v>
      </x:c>
    </x:row>
    <x:row r="535">
      <x:c r="B535" t="str">
        <x:v>A-509</x:v>
      </x:c>
      <x:c r="C535" t="str">
        <x:v>GATE</x:v>
      </x:c>
      <x:c r="D535" t="str">
        <x:v>release ledger mirrors governing state</x:v>
      </x:c>
      <x:c r="E535" t="str">
        <x:f>'Release Gates'!J515</x:f>
        <x:v>OPEN</x:v>
      </x:c>
      <x:c r="F535" t="str">
        <x:f>IF('Release Gates'!C515="PLANNING","PASS",IF('Release Gates'!C515="PHYSICAL","OPEN","BLOCKED"))</x:f>
        <x:v>OPEN</x:v>
      </x:c>
      <x:c r="G535" t="str">
        <x:v>equals</x:v>
      </x:c>
      <x:c r="H535" t="str">
        <x:f>IF(E535=F535,"PASS","FAIL")</x:f>
        <x:v>PASS</x:v>
      </x:c>
    </x:row>
    <x:row r="536">
      <x:c r="B536" t="str">
        <x:v>A-510</x:v>
      </x:c>
      <x:c r="C536" t="str">
        <x:v>GATE</x:v>
      </x:c>
      <x:c r="D536" t="str">
        <x:v>release ledger mirrors governing state</x:v>
      </x:c>
      <x:c r="E536" t="str">
        <x:f>'Release Gates'!J516</x:f>
        <x:v>OPEN</x:v>
      </x:c>
      <x:c r="F536" t="str">
        <x:f>IF('Release Gates'!C516="PLANNING","PASS",IF('Release Gates'!C516="PHYSICAL","OPEN","BLOCKED"))</x:f>
        <x:v>OPEN</x:v>
      </x:c>
      <x:c r="G536" t="str">
        <x:v>equals</x:v>
      </x:c>
      <x:c r="H536" t="str">
        <x:f>IF(E536=F536,"PASS","FAIL")</x:f>
        <x:v>PASS</x:v>
      </x:c>
    </x:row>
    <x:row r="537">
      <x:c r="B537" t="str">
        <x:v>A-511</x:v>
      </x:c>
      <x:c r="C537" t="str">
        <x:v>GATE</x:v>
      </x:c>
      <x:c r="D537" t="str">
        <x:v>release ledger mirrors governing state</x:v>
      </x:c>
      <x:c r="E537" t="str">
        <x:f>'Release Gates'!J517</x:f>
        <x:v>OPEN</x:v>
      </x:c>
      <x:c r="F537" t="str">
        <x:f>IF('Release Gates'!C517="PLANNING","PASS",IF('Release Gates'!C517="PHYSICAL","OPEN","BLOCKED"))</x:f>
        <x:v>OPEN</x:v>
      </x:c>
      <x:c r="G537" t="str">
        <x:v>equals</x:v>
      </x:c>
      <x:c r="H537" t="str">
        <x:f>IF(E537=F537,"PASS","FAIL")</x:f>
        <x:v>PASS</x:v>
      </x:c>
    </x:row>
    <x:row r="538">
      <x:c r="B538" t="str">
        <x:v>A-512</x:v>
      </x:c>
      <x:c r="C538" t="str">
        <x:v>GATE</x:v>
      </x:c>
      <x:c r="D538" t="str">
        <x:v>release ledger mirrors governing state</x:v>
      </x:c>
      <x:c r="E538" t="str">
        <x:f>'Release Gates'!J518</x:f>
        <x:v>OPEN</x:v>
      </x:c>
      <x:c r="F538" t="str">
        <x:f>IF('Release Gates'!C518="PLANNING","PASS",IF('Release Gates'!C518="PHYSICAL","OPEN","BLOCKED"))</x:f>
        <x:v>OPEN</x:v>
      </x:c>
      <x:c r="G538" t="str">
        <x:v>equals</x:v>
      </x:c>
      <x:c r="H538" t="str">
        <x:f>IF(E538=F538,"PASS","FAIL")</x:f>
        <x:v>PASS</x:v>
      </x:c>
    </x:row>
    <x:row r="539">
      <x:c r="B539" t="str">
        <x:v>A-513</x:v>
      </x:c>
      <x:c r="C539" t="str">
        <x:v>GATE</x:v>
      </x:c>
      <x:c r="D539" t="str">
        <x:v>release ledger mirrors governing state</x:v>
      </x:c>
      <x:c r="E539" t="str">
        <x:f>'Release Gates'!J519</x:f>
        <x:v>OPEN</x:v>
      </x:c>
      <x:c r="F539" t="str">
        <x:f>IF('Release Gates'!C519="PLANNING","PASS",IF('Release Gates'!C519="PHYSICAL","OPEN","BLOCKED"))</x:f>
        <x:v>OPEN</x:v>
      </x:c>
      <x:c r="G539" t="str">
        <x:v>equals</x:v>
      </x:c>
      <x:c r="H539" t="str">
        <x:f>IF(E539=F539,"PASS","FAIL")</x:f>
        <x:v>PASS</x:v>
      </x:c>
    </x:row>
    <x:row r="540">
      <x:c r="B540" t="str">
        <x:v>A-514</x:v>
      </x:c>
      <x:c r="C540" t="str">
        <x:v>GATE</x:v>
      </x:c>
      <x:c r="D540" t="str">
        <x:v>release ledger mirrors governing state</x:v>
      </x:c>
      <x:c r="E540" t="str">
        <x:f>'Release Gates'!J520</x:f>
        <x:v>OPEN</x:v>
      </x:c>
      <x:c r="F540" t="str">
        <x:f>IF('Release Gates'!C520="PLANNING","PASS",IF('Release Gates'!C520="PHYSICAL","OPEN","BLOCKED"))</x:f>
        <x:v>OPEN</x:v>
      </x:c>
      <x:c r="G540" t="str">
        <x:v>equals</x:v>
      </x:c>
      <x:c r="H540" t="str">
        <x:f>IF(E540=F540,"PASS","FAIL")</x:f>
        <x:v>PASS</x:v>
      </x:c>
    </x:row>
    <x:row r="541">
      <x:c r="B541" t="str">
        <x:v>A-515</x:v>
      </x:c>
      <x:c r="C541" t="str">
        <x:v>GATE</x:v>
      </x:c>
      <x:c r="D541" t="str">
        <x:v>release ledger mirrors governing state</x:v>
      </x:c>
      <x:c r="E541" t="str">
        <x:f>'Release Gates'!J521</x:f>
        <x:v>OPEN</x:v>
      </x:c>
      <x:c r="F541" t="str">
        <x:f>IF('Release Gates'!C521="PLANNING","PASS",IF('Release Gates'!C521="PHYSICAL","OPEN","BLOCKED"))</x:f>
        <x:v>OPEN</x:v>
      </x:c>
      <x:c r="G541" t="str">
        <x:v>equals</x:v>
      </x:c>
      <x:c r="H541" t="str">
        <x:f>IF(E541=F541,"PASS","FAIL")</x:f>
        <x:v>PASS</x:v>
      </x:c>
    </x:row>
    <x:row r="542">
      <x:c r="B542" t="str">
        <x:v>A-516</x:v>
      </x:c>
      <x:c r="C542" t="str">
        <x:v>GATE</x:v>
      </x:c>
      <x:c r="D542" t="str">
        <x:v>release ledger mirrors governing state</x:v>
      </x:c>
      <x:c r="E542" t="str">
        <x:f>'Release Gates'!J522</x:f>
        <x:v>OPEN</x:v>
      </x:c>
      <x:c r="F542" t="str">
        <x:f>IF('Release Gates'!C522="PLANNING","PASS",IF('Release Gates'!C522="PHYSICAL","OPEN","BLOCKED"))</x:f>
        <x:v>OPEN</x:v>
      </x:c>
      <x:c r="G542" t="str">
        <x:v>equals</x:v>
      </x:c>
      <x:c r="H542" t="str">
        <x:f>IF(E542=F542,"PASS","FAIL")</x:f>
        <x:v>PASS</x:v>
      </x:c>
    </x:row>
    <x:row r="543">
      <x:c r="B543" t="str">
        <x:v>A-517</x:v>
      </x:c>
      <x:c r="C543" t="str">
        <x:v>GATE</x:v>
      </x:c>
      <x:c r="D543" t="str">
        <x:v>release ledger mirrors governing state</x:v>
      </x:c>
      <x:c r="E543" t="str">
        <x:f>'Release Gates'!J523</x:f>
        <x:v>OPEN</x:v>
      </x:c>
      <x:c r="F543" t="str">
        <x:f>IF('Release Gates'!C523="PLANNING","PASS",IF('Release Gates'!C523="PHYSICAL","OPEN","BLOCKED"))</x:f>
        <x:v>OPEN</x:v>
      </x:c>
      <x:c r="G543" t="str">
        <x:v>equals</x:v>
      </x:c>
      <x:c r="H543" t="str">
        <x:f>IF(E543=F543,"PASS","FAIL")</x:f>
        <x:v>PASS</x:v>
      </x:c>
    </x:row>
    <x:row r="544">
      <x:c r="B544" t="str">
        <x:v>A-518</x:v>
      </x:c>
      <x:c r="C544" t="str">
        <x:v>GATE</x:v>
      </x:c>
      <x:c r="D544" t="str">
        <x:v>release ledger mirrors governing state</x:v>
      </x:c>
      <x:c r="E544" t="str">
        <x:f>'Release Gates'!J524</x:f>
        <x:v>OPEN</x:v>
      </x:c>
      <x:c r="F544" t="str">
        <x:f>IF('Release Gates'!C524="PLANNING","PASS",IF('Release Gates'!C524="PHYSICAL","OPEN","BLOCKED"))</x:f>
        <x:v>OPEN</x:v>
      </x:c>
      <x:c r="G544" t="str">
        <x:v>equals</x:v>
      </x:c>
      <x:c r="H544" t="str">
        <x:f>IF(E544=F544,"PASS","FAIL")</x:f>
        <x:v>PASS</x:v>
      </x:c>
    </x:row>
    <x:row r="545">
      <x:c r="B545" t="str">
        <x:v>A-519</x:v>
      </x:c>
      <x:c r="C545" t="str">
        <x:v>GATE</x:v>
      </x:c>
      <x:c r="D545" t="str">
        <x:v>release ledger mirrors governing state</x:v>
      </x:c>
      <x:c r="E545" t="str">
        <x:f>'Release Gates'!J525</x:f>
        <x:v>OPEN</x:v>
      </x:c>
      <x:c r="F545" t="str">
        <x:f>IF('Release Gates'!C525="PLANNING","PASS",IF('Release Gates'!C525="PHYSICAL","OPEN","BLOCKED"))</x:f>
        <x:v>OPEN</x:v>
      </x:c>
      <x:c r="G545" t="str">
        <x:v>equals</x:v>
      </x:c>
      <x:c r="H545" t="str">
        <x:f>IF(E545=F545,"PASS","FAIL")</x:f>
        <x:v>PASS</x:v>
      </x:c>
    </x:row>
    <x:row r="546">
      <x:c r="B546" t="str">
        <x:v>A-520</x:v>
      </x:c>
      <x:c r="C546" t="str">
        <x:v>GATE</x:v>
      </x:c>
      <x:c r="D546" t="str">
        <x:v>release ledger mirrors governing state</x:v>
      </x:c>
      <x:c r="E546" t="str">
        <x:f>'Release Gates'!J526</x:f>
        <x:v>OPEN</x:v>
      </x:c>
      <x:c r="F546" t="str">
        <x:f>IF('Release Gates'!C526="PLANNING","PASS",IF('Release Gates'!C526="PHYSICAL","OPEN","BLOCKED"))</x:f>
        <x:v>OPEN</x:v>
      </x:c>
      <x:c r="G546" t="str">
        <x:v>equals</x:v>
      </x:c>
      <x:c r="H546" t="str">
        <x:f>IF(E546=F546,"PASS","FAIL")</x:f>
        <x:v>PASS</x:v>
      </x:c>
    </x:row>
    <x:row r="547">
      <x:c r="B547" t="str">
        <x:v>A-521</x:v>
      </x:c>
      <x:c r="C547" t="str">
        <x:v>GATE</x:v>
      </x:c>
      <x:c r="D547" t="str">
        <x:v>release ledger mirrors governing state</x:v>
      </x:c>
      <x:c r="E547" t="str">
        <x:f>'Release Gates'!J527</x:f>
        <x:v>OPEN</x:v>
      </x:c>
      <x:c r="F547" t="str">
        <x:f>IF('Release Gates'!C527="PLANNING","PASS",IF('Release Gates'!C527="PHYSICAL","OPEN","BLOCKED"))</x:f>
        <x:v>OPEN</x:v>
      </x:c>
      <x:c r="G547" t="str">
        <x:v>equals</x:v>
      </x:c>
      <x:c r="H547" t="str">
        <x:f>IF(E547=F547,"PASS","FAIL")</x:f>
        <x:v>PASS</x:v>
      </x:c>
    </x:row>
    <x:row r="548">
      <x:c r="B548" t="str">
        <x:v>A-522</x:v>
      </x:c>
      <x:c r="C548" t="str">
        <x:v>GATE</x:v>
      </x:c>
      <x:c r="D548" t="str">
        <x:v>release ledger mirrors governing state</x:v>
      </x:c>
      <x:c r="E548" t="str">
        <x:f>'Release Gates'!J528</x:f>
        <x:v>OPEN</x:v>
      </x:c>
      <x:c r="F548" t="str">
        <x:f>IF('Release Gates'!C528="PLANNING","PASS",IF('Release Gates'!C528="PHYSICAL","OPEN","BLOCKED"))</x:f>
        <x:v>OPEN</x:v>
      </x:c>
      <x:c r="G548" t="str">
        <x:v>equals</x:v>
      </x:c>
      <x:c r="H548" t="str">
        <x:f>IF(E548=F548,"PASS","FAIL")</x:f>
        <x:v>PASS</x:v>
      </x:c>
    </x:row>
    <x:row r="549">
      <x:c r="B549" t="str">
        <x:v>A-523</x:v>
      </x:c>
      <x:c r="C549" t="str">
        <x:v>GATE</x:v>
      </x:c>
      <x:c r="D549" t="str">
        <x:v>release ledger mirrors governing state</x:v>
      </x:c>
      <x:c r="E549" t="str">
        <x:f>'Release Gates'!J529</x:f>
        <x:v>OPEN</x:v>
      </x:c>
      <x:c r="F549" t="str">
        <x:f>IF('Release Gates'!C529="PLANNING","PASS",IF('Release Gates'!C529="PHYSICAL","OPEN","BLOCKED"))</x:f>
        <x:v>OPEN</x:v>
      </x:c>
      <x:c r="G549" t="str">
        <x:v>equals</x:v>
      </x:c>
      <x:c r="H549" t="str">
        <x:f>IF(E549=F549,"PASS","FAIL")</x:f>
        <x:v>PASS</x:v>
      </x:c>
    </x:row>
    <x:row r="550">
      <x:c r="B550" t="str">
        <x:v>A-524</x:v>
      </x:c>
      <x:c r="C550" t="str">
        <x:v>GATE</x:v>
      </x:c>
      <x:c r="D550" t="str">
        <x:v>release ledger mirrors governing state</x:v>
      </x:c>
      <x:c r="E550" t="str">
        <x:f>'Release Gates'!J530</x:f>
        <x:v>OPEN</x:v>
      </x:c>
      <x:c r="F550" t="str">
        <x:f>IF('Release Gates'!C530="PLANNING","PASS",IF('Release Gates'!C530="PHYSICAL","OPEN","BLOCKED"))</x:f>
        <x:v>OPEN</x:v>
      </x:c>
      <x:c r="G550" t="str">
        <x:v>equals</x:v>
      </x:c>
      <x:c r="H550" t="str">
        <x:f>IF(E550=F550,"PASS","FAIL")</x:f>
        <x:v>PASS</x:v>
      </x:c>
    </x:row>
    <x:row r="551">
      <x:c r="B551" t="str">
        <x:v>A-525</x:v>
      </x:c>
      <x:c r="C551" t="str">
        <x:v>GATE</x:v>
      </x:c>
      <x:c r="D551" t="str">
        <x:v>release ledger mirrors governing state</x:v>
      </x:c>
      <x:c r="E551" t="str">
        <x:f>'Release Gates'!J531</x:f>
        <x:v>OPEN</x:v>
      </x:c>
      <x:c r="F551" t="str">
        <x:f>IF('Release Gates'!C531="PLANNING","PASS",IF('Release Gates'!C531="PHYSICAL","OPEN","BLOCKED"))</x:f>
        <x:v>OPEN</x:v>
      </x:c>
      <x:c r="G551" t="str">
        <x:v>equals</x:v>
      </x:c>
      <x:c r="H551" t="str">
        <x:f>IF(E551=F551,"PASS","FAIL")</x:f>
        <x:v>PASS</x:v>
      </x:c>
    </x:row>
    <x:row r="552">
      <x:c r="B552" t="str">
        <x:v>A-526</x:v>
      </x:c>
      <x:c r="C552" t="str">
        <x:v>GATE</x:v>
      </x:c>
      <x:c r="D552" t="str">
        <x:v>release ledger mirrors governing state</x:v>
      </x:c>
      <x:c r="E552" t="str">
        <x:f>'Release Gates'!J532</x:f>
        <x:v>OPEN</x:v>
      </x:c>
      <x:c r="F552" t="str">
        <x:f>IF('Release Gates'!C532="PLANNING","PASS",IF('Release Gates'!C532="PHYSICAL","OPEN","BLOCKED"))</x:f>
        <x:v>OPEN</x:v>
      </x:c>
      <x:c r="G552" t="str">
        <x:v>equals</x:v>
      </x:c>
      <x:c r="H552" t="str">
        <x:f>IF(E552=F552,"PASS","FAIL")</x:f>
        <x:v>PASS</x:v>
      </x:c>
    </x:row>
    <x:row r="553">
      <x:c r="B553" t="str">
        <x:v>A-527</x:v>
      </x:c>
      <x:c r="C553" t="str">
        <x:v>GATE</x:v>
      </x:c>
      <x:c r="D553" t="str">
        <x:v>release ledger mirrors governing state</x:v>
      </x:c>
      <x:c r="E553" t="str">
        <x:f>'Release Gates'!J533</x:f>
        <x:v>OPEN</x:v>
      </x:c>
      <x:c r="F553" t="str">
        <x:f>IF('Release Gates'!C533="PLANNING","PASS",IF('Release Gates'!C533="PHYSICAL","OPEN","BLOCKED"))</x:f>
        <x:v>OPEN</x:v>
      </x:c>
      <x:c r="G553" t="str">
        <x:v>equals</x:v>
      </x:c>
      <x:c r="H553" t="str">
        <x:f>IF(E553=F553,"PASS","FAIL")</x:f>
        <x:v>PASS</x:v>
      </x:c>
    </x:row>
    <x:row r="554">
      <x:c r="B554" t="str">
        <x:v>A-528</x:v>
      </x:c>
      <x:c r="C554" t="str">
        <x:v>GATE</x:v>
      </x:c>
      <x:c r="D554" t="str">
        <x:v>release ledger mirrors governing state</x:v>
      </x:c>
      <x:c r="E554" t="str">
        <x:f>'Release Gates'!J534</x:f>
        <x:v>OPEN</x:v>
      </x:c>
      <x:c r="F554" t="str">
        <x:f>IF('Release Gates'!C534="PLANNING","PASS",IF('Release Gates'!C534="PHYSICAL","OPEN","BLOCKED"))</x:f>
        <x:v>OPEN</x:v>
      </x:c>
      <x:c r="G554" t="str">
        <x:v>equals</x:v>
      </x:c>
      <x:c r="H554" t="str">
        <x:f>IF(E554=F554,"PASS","FAIL")</x:f>
        <x:v>PASS</x:v>
      </x:c>
    </x:row>
    <x:row r="555">
      <x:c r="B555" t="str">
        <x:v>A-529</x:v>
      </x:c>
      <x:c r="C555" t="str">
        <x:v>GATE</x:v>
      </x:c>
      <x:c r="D555" t="str">
        <x:v>release ledger mirrors governing state</x:v>
      </x:c>
      <x:c r="E555" t="str">
        <x:f>'Release Gates'!J535</x:f>
        <x:v>OPEN</x:v>
      </x:c>
      <x:c r="F555" t="str">
        <x:f>IF('Release Gates'!C535="PLANNING","PASS",IF('Release Gates'!C535="PHYSICAL","OPEN","BLOCKED"))</x:f>
        <x:v>OPEN</x:v>
      </x:c>
      <x:c r="G555" t="str">
        <x:v>equals</x:v>
      </x:c>
      <x:c r="H555" t="str">
        <x:f>IF(E555=F555,"PASS","FAIL")</x:f>
        <x:v>PASS</x:v>
      </x:c>
    </x:row>
    <x:row r="556">
      <x:c r="B556" t="str">
        <x:v>A-530</x:v>
      </x:c>
      <x:c r="C556" t="str">
        <x:v>GATE</x:v>
      </x:c>
      <x:c r="D556" t="str">
        <x:v>release ledger mirrors governing state</x:v>
      </x:c>
      <x:c r="E556" t="str">
        <x:f>'Release Gates'!J536</x:f>
        <x:v>OPEN</x:v>
      </x:c>
      <x:c r="F556" t="str">
        <x:f>IF('Release Gates'!C536="PLANNING","PASS",IF('Release Gates'!C536="PHYSICAL","OPEN","BLOCKED"))</x:f>
        <x:v>OPEN</x:v>
      </x:c>
      <x:c r="G556" t="str">
        <x:v>equals</x:v>
      </x:c>
      <x:c r="H556" t="str">
        <x:f>IF(E556=F556,"PASS","FAIL")</x:f>
        <x:v>PASS</x:v>
      </x:c>
    </x:row>
    <x:row r="557">
      <x:c r="B557" t="str">
        <x:v>A-531</x:v>
      </x:c>
      <x:c r="C557" t="str">
        <x:v>GATE</x:v>
      </x:c>
      <x:c r="D557" t="str">
        <x:v>release ledger mirrors governing state</x:v>
      </x:c>
      <x:c r="E557" t="str">
        <x:f>'Release Gates'!J537</x:f>
        <x:v>OPEN</x:v>
      </x:c>
      <x:c r="F557" t="str">
        <x:f>IF('Release Gates'!C537="PLANNING","PASS",IF('Release Gates'!C537="PHYSICAL","OPEN","BLOCKED"))</x:f>
        <x:v>OPEN</x:v>
      </x:c>
      <x:c r="G557" t="str">
        <x:v>equals</x:v>
      </x:c>
      <x:c r="H557" t="str">
        <x:f>IF(E557=F557,"PASS","FAIL")</x:f>
        <x:v>PASS</x:v>
      </x:c>
    </x:row>
    <x:row r="558">
      <x:c r="B558" t="str">
        <x:v>A-532</x:v>
      </x:c>
      <x:c r="C558" t="str">
        <x:v>GATE</x:v>
      </x:c>
      <x:c r="D558" t="str">
        <x:v>release ledger mirrors governing state</x:v>
      </x:c>
      <x:c r="E558" t="str">
        <x:f>'Release Gates'!J538</x:f>
        <x:v>OPEN</x:v>
      </x:c>
      <x:c r="F558" t="str">
        <x:f>IF('Release Gates'!C538="PLANNING","PASS",IF('Release Gates'!C538="PHYSICAL","OPEN","BLOCKED"))</x:f>
        <x:v>OPEN</x:v>
      </x:c>
      <x:c r="G558" t="str">
        <x:v>equals</x:v>
      </x:c>
      <x:c r="H558" t="str">
        <x:f>IF(E558=F558,"PASS","FAIL")</x:f>
        <x:v>PASS</x:v>
      </x:c>
    </x:row>
    <x:row r="559">
      <x:c r="B559" t="str">
        <x:v>A-533</x:v>
      </x:c>
      <x:c r="C559" t="str">
        <x:v>GATE</x:v>
      </x:c>
      <x:c r="D559" t="str">
        <x:v>release ledger mirrors governing state</x:v>
      </x:c>
      <x:c r="E559" t="str">
        <x:f>'Release Gates'!J539</x:f>
        <x:v>OPEN</x:v>
      </x:c>
      <x:c r="F559" t="str">
        <x:f>IF('Release Gates'!C539="PLANNING","PASS",IF('Release Gates'!C539="PHYSICAL","OPEN","BLOCKED"))</x:f>
        <x:v>OPEN</x:v>
      </x:c>
      <x:c r="G559" t="str">
        <x:v>equals</x:v>
      </x:c>
      <x:c r="H559" t="str">
        <x:f>IF(E559=F559,"PASS","FAIL")</x:f>
        <x:v>PASS</x:v>
      </x:c>
    </x:row>
    <x:row r="560">
      <x:c r="B560" t="str">
        <x:v>A-534</x:v>
      </x:c>
      <x:c r="C560" t="str">
        <x:v>GATE</x:v>
      </x:c>
      <x:c r="D560" t="str">
        <x:v>release ledger mirrors governing state</x:v>
      </x:c>
      <x:c r="E560" t="str">
        <x:f>'Release Gates'!J540</x:f>
        <x:v>OPEN</x:v>
      </x:c>
      <x:c r="F560" t="str">
        <x:f>IF('Release Gates'!C540="PLANNING","PASS",IF('Release Gates'!C540="PHYSICAL","OPEN","BLOCKED"))</x:f>
        <x:v>OPEN</x:v>
      </x:c>
      <x:c r="G560" t="str">
        <x:v>equals</x:v>
      </x:c>
      <x:c r="H560" t="str">
        <x:f>IF(E560=F560,"PASS","FAIL")</x:f>
        <x:v>PASS</x:v>
      </x:c>
    </x:row>
    <x:row r="561">
      <x:c r="B561" t="str">
        <x:v>A-535</x:v>
      </x:c>
      <x:c r="C561" t="str">
        <x:v>GATE</x:v>
      </x:c>
      <x:c r="D561" t="str">
        <x:v>release ledger mirrors governing state</x:v>
      </x:c>
      <x:c r="E561" t="str">
        <x:f>'Release Gates'!J541</x:f>
        <x:v>OPEN</x:v>
      </x:c>
      <x:c r="F561" t="str">
        <x:f>IF('Release Gates'!C541="PLANNING","PASS",IF('Release Gates'!C541="PHYSICAL","OPEN","BLOCKED"))</x:f>
        <x:v>OPEN</x:v>
      </x:c>
      <x:c r="G561" t="str">
        <x:v>equals</x:v>
      </x:c>
      <x:c r="H561" t="str">
        <x:f>IF(E561=F561,"PASS","FAIL")</x:f>
        <x:v>PASS</x:v>
      </x:c>
    </x:row>
    <x:row r="562">
      <x:c r="B562" t="str">
        <x:v>A-536</x:v>
      </x:c>
      <x:c r="C562" t="str">
        <x:v>GATE</x:v>
      </x:c>
      <x:c r="D562" t="str">
        <x:v>release ledger mirrors governing state</x:v>
      </x:c>
      <x:c r="E562" t="str">
        <x:f>'Release Gates'!J542</x:f>
        <x:v>OPEN</x:v>
      </x:c>
      <x:c r="F562" t="str">
        <x:f>IF('Release Gates'!C542="PLANNING","PASS",IF('Release Gates'!C542="PHYSICAL","OPEN","BLOCKED"))</x:f>
        <x:v>OPEN</x:v>
      </x:c>
      <x:c r="G562" t="str">
        <x:v>equals</x:v>
      </x:c>
      <x:c r="H562" t="str">
        <x:f>IF(E562=F562,"PASS","FAIL")</x:f>
        <x:v>PASS</x:v>
      </x:c>
    </x:row>
    <x:row r="563">
      <x:c r="B563" t="str">
        <x:v>A-537</x:v>
      </x:c>
      <x:c r="C563" t="str">
        <x:v>GATE</x:v>
      </x:c>
      <x:c r="D563" t="str">
        <x:v>release ledger mirrors governing state</x:v>
      </x:c>
      <x:c r="E563" t="str">
        <x:f>'Release Gates'!J543</x:f>
        <x:v>OPEN</x:v>
      </x:c>
      <x:c r="F563" t="str">
        <x:f>IF('Release Gates'!C543="PLANNING","PASS",IF('Release Gates'!C543="PHYSICAL","OPEN","BLOCKED"))</x:f>
        <x:v>OPEN</x:v>
      </x:c>
      <x:c r="G563" t="str">
        <x:v>equals</x:v>
      </x:c>
      <x:c r="H563" t="str">
        <x:f>IF(E563=F563,"PASS","FAIL")</x:f>
        <x:v>PASS</x:v>
      </x:c>
    </x:row>
    <x:row r="564">
      <x:c r="B564" t="str">
        <x:v>A-538</x:v>
      </x:c>
      <x:c r="C564" t="str">
        <x:v>GATE</x:v>
      </x:c>
      <x:c r="D564" t="str">
        <x:v>release ledger mirrors governing state</x:v>
      </x:c>
      <x:c r="E564" t="str">
        <x:f>'Release Gates'!J544</x:f>
        <x:v>OPEN</x:v>
      </x:c>
      <x:c r="F564" t="str">
        <x:f>IF('Release Gates'!C544="PLANNING","PASS",IF('Release Gates'!C544="PHYSICAL","OPEN","BLOCKED"))</x:f>
        <x:v>OPEN</x:v>
      </x:c>
      <x:c r="G564" t="str">
        <x:v>equals</x:v>
      </x:c>
      <x:c r="H564" t="str">
        <x:f>IF(E564=F564,"PASS","FAIL")</x:f>
        <x:v>PASS</x:v>
      </x:c>
    </x:row>
    <x:row r="565">
      <x:c r="B565" t="str">
        <x:v>A-539</x:v>
      </x:c>
      <x:c r="C565" t="str">
        <x:v>GATE</x:v>
      </x:c>
      <x:c r="D565" t="str">
        <x:v>release ledger mirrors governing state</x:v>
      </x:c>
      <x:c r="E565" t="str">
        <x:f>'Release Gates'!J545</x:f>
        <x:v>OPEN</x:v>
      </x:c>
      <x:c r="F565" t="str">
        <x:f>IF('Release Gates'!C545="PLANNING","PASS",IF('Release Gates'!C545="PHYSICAL","OPEN","BLOCKED"))</x:f>
        <x:v>OPEN</x:v>
      </x:c>
      <x:c r="G565" t="str">
        <x:v>equals</x:v>
      </x:c>
      <x:c r="H565" t="str">
        <x:f>IF(E565=F565,"PASS","FAIL")</x:f>
        <x:v>PASS</x:v>
      </x:c>
    </x:row>
    <x:row r="566">
      <x:c r="B566" t="str">
        <x:v>A-540</x:v>
      </x:c>
      <x:c r="C566" t="str">
        <x:v>GATE</x:v>
      </x:c>
      <x:c r="D566" t="str">
        <x:v>release ledger mirrors governing state</x:v>
      </x:c>
      <x:c r="E566" t="str">
        <x:f>'Release Gates'!J546</x:f>
        <x:v>OPEN</x:v>
      </x:c>
      <x:c r="F566" t="str">
        <x:f>IF('Release Gates'!C546="PLANNING","PASS",IF('Release Gates'!C546="PHYSICAL","OPEN","BLOCKED"))</x:f>
        <x:v>OPEN</x:v>
      </x:c>
      <x:c r="G566" t="str">
        <x:v>equals</x:v>
      </x:c>
      <x:c r="H566" t="str">
        <x:f>IF(E566=F566,"PASS","FAIL")</x:f>
        <x:v>PASS</x:v>
      </x:c>
    </x:row>
    <x:row r="567">
      <x:c r="B567" t="str">
        <x:v>A-541</x:v>
      </x:c>
      <x:c r="C567" t="str">
        <x:v>GATE</x:v>
      </x:c>
      <x:c r="D567" t="str">
        <x:v>release ledger mirrors governing state</x:v>
      </x:c>
      <x:c r="E567" t="str">
        <x:f>'Release Gates'!J547</x:f>
        <x:v>OPEN</x:v>
      </x:c>
      <x:c r="F567" t="str">
        <x:f>IF('Release Gates'!C547="PLANNING","PASS",IF('Release Gates'!C547="PHYSICAL","OPEN","BLOCKED"))</x:f>
        <x:v>OPEN</x:v>
      </x:c>
      <x:c r="G567" t="str">
        <x:v>equals</x:v>
      </x:c>
      <x:c r="H567" t="str">
        <x:f>IF(E567=F567,"PASS","FAIL")</x:f>
        <x:v>PASS</x:v>
      </x:c>
    </x:row>
    <x:row r="568">
      <x:c r="B568" t="str">
        <x:v>A-542</x:v>
      </x:c>
      <x:c r="C568" t="str">
        <x:v>GATE</x:v>
      </x:c>
      <x:c r="D568" t="str">
        <x:v>release ledger mirrors governing state</x:v>
      </x:c>
      <x:c r="E568" t="str">
        <x:f>'Release Gates'!J548</x:f>
        <x:v>OPEN</x:v>
      </x:c>
      <x:c r="F568" t="str">
        <x:f>IF('Release Gates'!C548="PLANNING","PASS",IF('Release Gates'!C548="PHYSICAL","OPEN","BLOCKED"))</x:f>
        <x:v>OPEN</x:v>
      </x:c>
      <x:c r="G568" t="str">
        <x:v>equals</x:v>
      </x:c>
      <x:c r="H568" t="str">
        <x:f>IF(E568=F568,"PASS","FAIL")</x:f>
        <x:v>PASS</x:v>
      </x:c>
    </x:row>
    <x:row r="569">
      <x:c r="B569" t="str">
        <x:v>A-543</x:v>
      </x:c>
      <x:c r="C569" t="str">
        <x:v>GATE</x:v>
      </x:c>
      <x:c r="D569" t="str">
        <x:v>release ledger mirrors governing state</x:v>
      </x:c>
      <x:c r="E569" t="str">
        <x:f>'Release Gates'!J549</x:f>
        <x:v>OPEN</x:v>
      </x:c>
      <x:c r="F569" t="str">
        <x:f>IF('Release Gates'!C549="PLANNING","PASS",IF('Release Gates'!C549="PHYSICAL","OPEN","BLOCKED"))</x:f>
        <x:v>OPEN</x:v>
      </x:c>
      <x:c r="G569" t="str">
        <x:v>equals</x:v>
      </x:c>
      <x:c r="H569" t="str">
        <x:f>IF(E569=F569,"PASS","FAIL")</x:f>
        <x:v>PASS</x:v>
      </x:c>
    </x:row>
    <x:row r="570">
      <x:c r="B570" t="str">
        <x:v>A-544</x:v>
      </x:c>
      <x:c r="C570" t="str">
        <x:v>GATE</x:v>
      </x:c>
      <x:c r="D570" t="str">
        <x:v>release ledger mirrors governing state</x:v>
      </x:c>
      <x:c r="E570" t="str">
        <x:f>'Release Gates'!J550</x:f>
        <x:v>OPEN</x:v>
      </x:c>
      <x:c r="F570" t="str">
        <x:f>IF('Release Gates'!C550="PLANNING","PASS",IF('Release Gates'!C550="PHYSICAL","OPEN","BLOCKED"))</x:f>
        <x:v>OPEN</x:v>
      </x:c>
      <x:c r="G570" t="str">
        <x:v>equals</x:v>
      </x:c>
      <x:c r="H570" t="str">
        <x:f>IF(E570=F570,"PASS","FAIL")</x:f>
        <x:v>PASS</x:v>
      </x:c>
    </x:row>
    <x:row r="571">
      <x:c r="B571" t="str">
        <x:v>A-545</x:v>
      </x:c>
      <x:c r="C571" t="str">
        <x:v>GATE</x:v>
      </x:c>
      <x:c r="D571" t="str">
        <x:v>release ledger mirrors governing state</x:v>
      </x:c>
      <x:c r="E571" t="str">
        <x:f>'Release Gates'!J551</x:f>
        <x:v>OPEN</x:v>
      </x:c>
      <x:c r="F571" t="str">
        <x:f>IF('Release Gates'!C551="PLANNING","PASS",IF('Release Gates'!C551="PHYSICAL","OPEN","BLOCKED"))</x:f>
        <x:v>OPEN</x:v>
      </x:c>
      <x:c r="G571" t="str">
        <x:v>equals</x:v>
      </x:c>
      <x:c r="H571" t="str">
        <x:f>IF(E571=F571,"PASS","FAIL")</x:f>
        <x:v>PASS</x:v>
      </x:c>
    </x:row>
    <x:row r="572">
      <x:c r="B572" t="str">
        <x:v>A-546</x:v>
      </x:c>
      <x:c r="C572" t="str">
        <x:v>GATE</x:v>
      </x:c>
      <x:c r="D572" t="str">
        <x:v>release ledger mirrors governing state</x:v>
      </x:c>
      <x:c r="E572" t="str">
        <x:f>'Release Gates'!J552</x:f>
        <x:v>OPEN</x:v>
      </x:c>
      <x:c r="F572" t="str">
        <x:f>IF('Release Gates'!C552="PLANNING","PASS",IF('Release Gates'!C552="PHYSICAL","OPEN","BLOCKED"))</x:f>
        <x:v>OPEN</x:v>
      </x:c>
      <x:c r="G572" t="str">
        <x:v>equals</x:v>
      </x:c>
      <x:c r="H572" t="str">
        <x:f>IF(E572=F572,"PASS","FAIL")</x:f>
        <x:v>PASS</x:v>
      </x:c>
    </x:row>
    <x:row r="573">
      <x:c r="B573" t="str">
        <x:v>A-547</x:v>
      </x:c>
      <x:c r="C573" t="str">
        <x:v>GATE</x:v>
      </x:c>
      <x:c r="D573" t="str">
        <x:v>release ledger mirrors governing state</x:v>
      </x:c>
      <x:c r="E573" t="str">
        <x:f>'Release Gates'!J553</x:f>
        <x:v>OPEN</x:v>
      </x:c>
      <x:c r="F573" t="str">
        <x:f>IF('Release Gates'!C553="PLANNING","PASS",IF('Release Gates'!C553="PHYSICAL","OPEN","BLOCKED"))</x:f>
        <x:v>OPEN</x:v>
      </x:c>
      <x:c r="G573" t="str">
        <x:v>equals</x:v>
      </x:c>
      <x:c r="H573" t="str">
        <x:f>IF(E573=F573,"PASS","FAIL")</x:f>
        <x:v>PASS</x:v>
      </x:c>
    </x:row>
    <x:row r="574">
      <x:c r="B574" t="str">
        <x:v>A-548</x:v>
      </x:c>
      <x:c r="C574" t="str">
        <x:v>GATE</x:v>
      </x:c>
      <x:c r="D574" t="str">
        <x:v>release ledger mirrors governing state</x:v>
      </x:c>
      <x:c r="E574" t="str">
        <x:f>'Release Gates'!J554</x:f>
        <x:v>OPEN</x:v>
      </x:c>
      <x:c r="F574" t="str">
        <x:f>IF('Release Gates'!C554="PLANNING","PASS",IF('Release Gates'!C554="PHYSICAL","OPEN","BLOCKED"))</x:f>
        <x:v>OPEN</x:v>
      </x:c>
      <x:c r="G574" t="str">
        <x:v>equals</x:v>
      </x:c>
      <x:c r="H574" t="str">
        <x:f>IF(E574=F574,"PASS","FAIL")</x:f>
        <x:v>PASS</x:v>
      </x:c>
    </x:row>
    <x:row r="575">
      <x:c r="B575" t="str">
        <x:v>A-549</x:v>
      </x:c>
      <x:c r="C575" t="str">
        <x:v>GATE</x:v>
      </x:c>
      <x:c r="D575" t="str">
        <x:v>release ledger mirrors governing state</x:v>
      </x:c>
      <x:c r="E575" t="str">
        <x:f>'Release Gates'!J555</x:f>
        <x:v>OPEN</x:v>
      </x:c>
      <x:c r="F575" t="str">
        <x:f>IF('Release Gates'!C555="PLANNING","PASS",IF('Release Gates'!C555="PHYSICAL","OPEN","BLOCKED"))</x:f>
        <x:v>OPEN</x:v>
      </x:c>
      <x:c r="G575" t="str">
        <x:v>equals</x:v>
      </x:c>
      <x:c r="H575" t="str">
        <x:f>IF(E575=F575,"PASS","FAIL")</x:f>
        <x:v>PASS</x:v>
      </x:c>
    </x:row>
    <x:row r="576">
      <x:c r="B576" t="str">
        <x:v>A-550</x:v>
      </x:c>
      <x:c r="C576" t="str">
        <x:v>GATE</x:v>
      </x:c>
      <x:c r="D576" t="str">
        <x:v>release ledger mirrors governing state</x:v>
      </x:c>
      <x:c r="E576" t="str">
        <x:f>'Release Gates'!J556</x:f>
        <x:v>OPEN</x:v>
      </x:c>
      <x:c r="F576" t="str">
        <x:f>IF('Release Gates'!C556="PLANNING","PASS",IF('Release Gates'!C556="PHYSICAL","OPEN","BLOCKED"))</x:f>
        <x:v>OPEN</x:v>
      </x:c>
      <x:c r="G576" t="str">
        <x:v>equals</x:v>
      </x:c>
      <x:c r="H576" t="str">
        <x:f>IF(E576=F576,"PASS","FAIL")</x:f>
        <x:v>PASS</x:v>
      </x:c>
    </x:row>
    <x:row r="577">
      <x:c r="B577" t="str">
        <x:v>A-551</x:v>
      </x:c>
      <x:c r="C577" t="str">
        <x:v>GATE</x:v>
      </x:c>
      <x:c r="D577" t="str">
        <x:v>release ledger mirrors governing state</x:v>
      </x:c>
      <x:c r="E577" t="str">
        <x:f>'Release Gates'!J557</x:f>
        <x:v>OPEN</x:v>
      </x:c>
      <x:c r="F577" t="str">
        <x:f>IF('Release Gates'!C557="PLANNING","PASS",IF('Release Gates'!C557="PHYSICAL","OPEN","BLOCKED"))</x:f>
        <x:v>OPEN</x:v>
      </x:c>
      <x:c r="G577" t="str">
        <x:v>equals</x:v>
      </x:c>
      <x:c r="H577" t="str">
        <x:f>IF(E577=F577,"PASS","FAIL")</x:f>
        <x:v>PASS</x:v>
      </x:c>
    </x:row>
    <x:row r="578">
      <x:c r="B578" t="str">
        <x:v>A-552</x:v>
      </x:c>
      <x:c r="C578" t="str">
        <x:v>GATE</x:v>
      </x:c>
      <x:c r="D578" t="str">
        <x:v>release ledger mirrors governing state</x:v>
      </x:c>
      <x:c r="E578" t="str">
        <x:f>'Release Gates'!J558</x:f>
        <x:v>OPEN</x:v>
      </x:c>
      <x:c r="F578" t="str">
        <x:f>IF('Release Gates'!C558="PLANNING","PASS",IF('Release Gates'!C558="PHYSICAL","OPEN","BLOCKED"))</x:f>
        <x:v>OPEN</x:v>
      </x:c>
      <x:c r="G578" t="str">
        <x:v>equals</x:v>
      </x:c>
      <x:c r="H578" t="str">
        <x:f>IF(E578=F578,"PASS","FAIL")</x:f>
        <x:v>PASS</x:v>
      </x:c>
    </x:row>
    <x:row r="579">
      <x:c r="B579" t="str">
        <x:v>A-553</x:v>
      </x:c>
      <x:c r="C579" t="str">
        <x:v>GATE</x:v>
      </x:c>
      <x:c r="D579" t="str">
        <x:v>release ledger mirrors governing state</x:v>
      </x:c>
      <x:c r="E579" t="str">
        <x:f>'Release Gates'!J559</x:f>
        <x:v>OPEN</x:v>
      </x:c>
      <x:c r="F579" t="str">
        <x:f>IF('Release Gates'!C559="PLANNING","PASS",IF('Release Gates'!C559="PHYSICAL","OPEN","BLOCKED"))</x:f>
        <x:v>OPEN</x:v>
      </x:c>
      <x:c r="G579" t="str">
        <x:v>equals</x:v>
      </x:c>
      <x:c r="H579" t="str">
        <x:f>IF(E579=F579,"PASS","FAIL")</x:f>
        <x:v>PASS</x:v>
      </x:c>
    </x:row>
    <x:row r="580">
      <x:c r="B580" t="str">
        <x:v>A-554</x:v>
      </x:c>
      <x:c r="C580" t="str">
        <x:v>GATE</x:v>
      </x:c>
      <x:c r="D580" t="str">
        <x:v>release ledger mirrors governing state</x:v>
      </x:c>
      <x:c r="E580" t="str">
        <x:f>'Release Gates'!J560</x:f>
        <x:v>OPEN</x:v>
      </x:c>
      <x:c r="F580" t="str">
        <x:f>IF('Release Gates'!C560="PLANNING","PASS",IF('Release Gates'!C560="PHYSICAL","OPEN","BLOCKED"))</x:f>
        <x:v>OPEN</x:v>
      </x:c>
      <x:c r="G580" t="str">
        <x:v>equals</x:v>
      </x:c>
      <x:c r="H580" t="str">
        <x:f>IF(E580=F580,"PASS","FAIL")</x:f>
        <x:v>PASS</x:v>
      </x:c>
    </x:row>
    <x:row r="581">
      <x:c r="B581" t="str">
        <x:v>A-555</x:v>
      </x:c>
      <x:c r="C581" t="str">
        <x:v>GATE</x:v>
      </x:c>
      <x:c r="D581" t="str">
        <x:v>release ledger mirrors governing state</x:v>
      </x:c>
      <x:c r="E581" t="str">
        <x:f>'Release Gates'!J561</x:f>
        <x:v>OPEN</x:v>
      </x:c>
      <x:c r="F581" t="str">
        <x:f>IF('Release Gates'!C561="PLANNING","PASS",IF('Release Gates'!C561="PHYSICAL","OPEN","BLOCKED"))</x:f>
        <x:v>OPEN</x:v>
      </x:c>
      <x:c r="G581" t="str">
        <x:v>equals</x:v>
      </x:c>
      <x:c r="H581" t="str">
        <x:f>IF(E581=F581,"PASS","FAIL")</x:f>
        <x:v>PASS</x:v>
      </x:c>
    </x:row>
    <x:row r="582">
      <x:c r="B582" t="str">
        <x:v>A-556</x:v>
      </x:c>
      <x:c r="C582" t="str">
        <x:v>GATE</x:v>
      </x:c>
      <x:c r="D582" t="str">
        <x:v>release ledger mirrors governing state</x:v>
      </x:c>
      <x:c r="E582" t="str">
        <x:f>'Release Gates'!J562</x:f>
        <x:v>OPEN</x:v>
      </x:c>
      <x:c r="F582" t="str">
        <x:f>IF('Release Gates'!C562="PLANNING","PASS",IF('Release Gates'!C562="PHYSICAL","OPEN","BLOCKED"))</x:f>
        <x:v>OPEN</x:v>
      </x:c>
      <x:c r="G582" t="str">
        <x:v>equals</x:v>
      </x:c>
      <x:c r="H582" t="str">
        <x:f>IF(E582=F582,"PASS","FAIL")</x:f>
        <x:v>PASS</x:v>
      </x:c>
    </x:row>
    <x:row r="583">
      <x:c r="B583" t="str">
        <x:v>A-557</x:v>
      </x:c>
      <x:c r="C583" t="str">
        <x:v>GATE</x:v>
      </x:c>
      <x:c r="D583" t="str">
        <x:v>release ledger mirrors governing state</x:v>
      </x:c>
      <x:c r="E583" t="str">
        <x:f>'Release Gates'!J563</x:f>
        <x:v>OPEN</x:v>
      </x:c>
      <x:c r="F583" t="str">
        <x:f>IF('Release Gates'!C563="PLANNING","PASS",IF('Release Gates'!C563="PHYSICAL","OPEN","BLOCKED"))</x:f>
        <x:v>OPEN</x:v>
      </x:c>
      <x:c r="G583" t="str">
        <x:v>equals</x:v>
      </x:c>
      <x:c r="H583" t="str">
        <x:f>IF(E583=F583,"PASS","FAIL")</x:f>
        <x:v>PASS</x:v>
      </x:c>
    </x:row>
    <x:row r="584">
      <x:c r="B584" t="str">
        <x:v>A-558</x:v>
      </x:c>
      <x:c r="C584" t="str">
        <x:v>GATE</x:v>
      </x:c>
      <x:c r="D584" t="str">
        <x:v>release ledger mirrors governing state</x:v>
      </x:c>
      <x:c r="E584" t="str">
        <x:f>'Release Gates'!J564</x:f>
        <x:v>OPEN</x:v>
      </x:c>
      <x:c r="F584" t="str">
        <x:f>IF('Release Gates'!C564="PLANNING","PASS",IF('Release Gates'!C564="PHYSICAL","OPEN","BLOCKED"))</x:f>
        <x:v>OPEN</x:v>
      </x:c>
      <x:c r="G584" t="str">
        <x:v>equals</x:v>
      </x:c>
      <x:c r="H584" t="str">
        <x:f>IF(E584=F584,"PASS","FAIL")</x:f>
        <x:v>PASS</x:v>
      </x:c>
    </x:row>
    <x:row r="585">
      <x:c r="B585" t="str">
        <x:v>A-559</x:v>
      </x:c>
      <x:c r="C585" t="str">
        <x:v>GATE</x:v>
      </x:c>
      <x:c r="D585" t="str">
        <x:v>release ledger mirrors governing state</x:v>
      </x:c>
      <x:c r="E585" t="str">
        <x:f>'Release Gates'!J565</x:f>
        <x:v>OPEN</x:v>
      </x:c>
      <x:c r="F585" t="str">
        <x:f>IF('Release Gates'!C565="PLANNING","PASS",IF('Release Gates'!C565="PHYSICAL","OPEN","BLOCKED"))</x:f>
        <x:v>OPEN</x:v>
      </x:c>
      <x:c r="G585" t="str">
        <x:v>equals</x:v>
      </x:c>
      <x:c r="H585" t="str">
        <x:f>IF(E585=F585,"PASS","FAIL")</x:f>
        <x:v>PASS</x:v>
      </x:c>
    </x:row>
    <x:row r="586">
      <x:c r="B586" t="str">
        <x:v>A-560</x:v>
      </x:c>
      <x:c r="C586" t="str">
        <x:v>GATE</x:v>
      </x:c>
      <x:c r="D586" t="str">
        <x:v>release ledger mirrors governing state</x:v>
      </x:c>
      <x:c r="E586" t="str">
        <x:f>'Release Gates'!J566</x:f>
        <x:v>OPEN</x:v>
      </x:c>
      <x:c r="F586" t="str">
        <x:f>IF('Release Gates'!C566="PLANNING","PASS",IF('Release Gates'!C566="PHYSICAL","OPEN","BLOCKED"))</x:f>
        <x:v>OPEN</x:v>
      </x:c>
      <x:c r="G586" t="str">
        <x:v>equals</x:v>
      </x:c>
      <x:c r="H586" t="str">
        <x:f>IF(E586=F586,"PASS","FAIL")</x:f>
        <x:v>PASS</x:v>
      </x:c>
    </x:row>
    <x:row r="587">
      <x:c r="B587" t="str">
        <x:v>A-561</x:v>
      </x:c>
      <x:c r="C587" t="str">
        <x:v>GATE</x:v>
      </x:c>
      <x:c r="D587" t="str">
        <x:v>release ledger mirrors governing state</x:v>
      </x:c>
      <x:c r="E587" t="str">
        <x:f>'Release Gates'!J567</x:f>
        <x:v>OPEN</x:v>
      </x:c>
      <x:c r="F587" t="str">
        <x:f>IF('Release Gates'!C567="PLANNING","PASS",IF('Release Gates'!C567="PHYSICAL","OPEN","BLOCKED"))</x:f>
        <x:v>OPEN</x:v>
      </x:c>
      <x:c r="G587" t="str">
        <x:v>equals</x:v>
      </x:c>
      <x:c r="H587" t="str">
        <x:f>IF(E587=F587,"PASS","FAIL")</x:f>
        <x:v>PASS</x:v>
      </x:c>
    </x:row>
    <x:row r="588">
      <x:c r="B588" t="str">
        <x:v>A-562</x:v>
      </x:c>
      <x:c r="C588" t="str">
        <x:v>GATE</x:v>
      </x:c>
      <x:c r="D588" t="str">
        <x:v>release ledger mirrors governing state</x:v>
      </x:c>
      <x:c r="E588" t="str">
        <x:f>'Release Gates'!J568</x:f>
        <x:v>OPEN</x:v>
      </x:c>
      <x:c r="F588" t="str">
        <x:f>IF('Release Gates'!C568="PLANNING","PASS",IF('Release Gates'!C568="PHYSICAL","OPEN","BLOCKED"))</x:f>
        <x:v>OPEN</x:v>
      </x:c>
      <x:c r="G588" t="str">
        <x:v>equals</x:v>
      </x:c>
      <x:c r="H588" t="str">
        <x:f>IF(E588=F588,"PASS","FAIL")</x:f>
        <x:v>PASS</x:v>
      </x:c>
    </x:row>
    <x:row r="589">
      <x:c r="B589" t="str">
        <x:v>A-563</x:v>
      </x:c>
      <x:c r="C589" t="str">
        <x:v>GATE</x:v>
      </x:c>
      <x:c r="D589" t="str">
        <x:v>release ledger mirrors governing state</x:v>
      </x:c>
      <x:c r="E589" t="str">
        <x:f>'Release Gates'!J569</x:f>
        <x:v>OPEN</x:v>
      </x:c>
      <x:c r="F589" t="str">
        <x:f>IF('Release Gates'!C569="PLANNING","PASS",IF('Release Gates'!C569="PHYSICAL","OPEN","BLOCKED"))</x:f>
        <x:v>OPEN</x:v>
      </x:c>
      <x:c r="G589" t="str">
        <x:v>equals</x:v>
      </x:c>
      <x:c r="H589" t="str">
        <x:f>IF(E589=F589,"PASS","FAIL")</x:f>
        <x:v>PASS</x:v>
      </x:c>
    </x:row>
    <x:row r="590">
      <x:c r="B590" t="str">
        <x:v>A-564</x:v>
      </x:c>
      <x:c r="C590" t="str">
        <x:v>GATE</x:v>
      </x:c>
      <x:c r="D590" t="str">
        <x:v>release ledger mirrors governing state</x:v>
      </x:c>
      <x:c r="E590" t="str">
        <x:f>'Release Gates'!J570</x:f>
        <x:v>OPEN</x:v>
      </x:c>
      <x:c r="F590" t="str">
        <x:f>IF('Release Gates'!C570="PLANNING","PASS",IF('Release Gates'!C570="PHYSICAL","OPEN","BLOCKED"))</x:f>
        <x:v>OPEN</x:v>
      </x:c>
      <x:c r="G590" t="str">
        <x:v>equals</x:v>
      </x:c>
      <x:c r="H590" t="str">
        <x:f>IF(E590=F590,"PASS","FAIL")</x:f>
        <x:v>PASS</x:v>
      </x:c>
    </x:row>
    <x:row r="591">
      <x:c r="B591" t="str">
        <x:v>A-565</x:v>
      </x:c>
      <x:c r="C591" t="str">
        <x:v>GATE</x:v>
      </x:c>
      <x:c r="D591" t="str">
        <x:v>release ledger mirrors governing state</x:v>
      </x:c>
      <x:c r="E591" t="str">
        <x:f>'Release Gates'!J571</x:f>
        <x:v>OPEN</x:v>
      </x:c>
      <x:c r="F591" t="str">
        <x:f>IF('Release Gates'!C571="PLANNING","PASS",IF('Release Gates'!C571="PHYSICAL","OPEN","BLOCKED"))</x:f>
        <x:v>OPEN</x:v>
      </x:c>
      <x:c r="G591" t="str">
        <x:v>equals</x:v>
      </x:c>
      <x:c r="H591" t="str">
        <x:f>IF(E591=F591,"PASS","FAIL")</x:f>
        <x:v>PASS</x:v>
      </x:c>
    </x:row>
    <x:row r="592">
      <x:c r="B592" t="str">
        <x:v>A-566</x:v>
      </x:c>
      <x:c r="C592" t="str">
        <x:v>GATE</x:v>
      </x:c>
      <x:c r="D592" t="str">
        <x:v>release ledger mirrors governing state</x:v>
      </x:c>
      <x:c r="E592" t="str">
        <x:f>'Release Gates'!J572</x:f>
        <x:v>OPEN</x:v>
      </x:c>
      <x:c r="F592" t="str">
        <x:f>IF('Release Gates'!C572="PLANNING","PASS",IF('Release Gates'!C572="PHYSICAL","OPEN","BLOCKED"))</x:f>
        <x:v>OPEN</x:v>
      </x:c>
      <x:c r="G592" t="str">
        <x:v>equals</x:v>
      </x:c>
      <x:c r="H592" t="str">
        <x:f>IF(E592=F592,"PASS","FAIL")</x:f>
        <x:v>PASS</x:v>
      </x:c>
    </x:row>
    <x:row r="593">
      <x:c r="B593" t="str">
        <x:v>A-567</x:v>
      </x:c>
      <x:c r="C593" t="str">
        <x:v>GATE</x:v>
      </x:c>
      <x:c r="D593" t="str">
        <x:v>release ledger mirrors governing state</x:v>
      </x:c>
      <x:c r="E593" t="str">
        <x:f>'Release Gates'!J573</x:f>
        <x:v>OPEN</x:v>
      </x:c>
      <x:c r="F593" t="str">
        <x:f>IF('Release Gates'!C573="PLANNING","PASS",IF('Release Gates'!C573="PHYSICAL","OPEN","BLOCKED"))</x:f>
        <x:v>OPEN</x:v>
      </x:c>
      <x:c r="G593" t="str">
        <x:v>equals</x:v>
      </x:c>
      <x:c r="H593" t="str">
        <x:f>IF(E593=F593,"PASS","FAIL")</x:f>
        <x:v>PASS</x:v>
      </x:c>
    </x:row>
    <x:row r="594">
      <x:c r="B594" t="str">
        <x:v>A-568</x:v>
      </x:c>
      <x:c r="C594" t="str">
        <x:v>GATE</x:v>
      </x:c>
      <x:c r="D594" t="str">
        <x:v>release ledger mirrors governing state</x:v>
      </x:c>
      <x:c r="E594" t="str">
        <x:f>'Release Gates'!J574</x:f>
        <x:v>OPEN</x:v>
      </x:c>
      <x:c r="F594" t="str">
        <x:f>IF('Release Gates'!C574="PLANNING","PASS",IF('Release Gates'!C574="PHYSICAL","OPEN","BLOCKED"))</x:f>
        <x:v>OPEN</x:v>
      </x:c>
      <x:c r="G594" t="str">
        <x:v>equals</x:v>
      </x:c>
      <x:c r="H594" t="str">
        <x:f>IF(E594=F594,"PASS","FAIL")</x:f>
        <x:v>PASS</x:v>
      </x:c>
    </x:row>
    <x:row r="595">
      <x:c r="B595" t="str">
        <x:v>A-569</x:v>
      </x:c>
      <x:c r="C595" t="str">
        <x:v>GATE</x:v>
      </x:c>
      <x:c r="D595" t="str">
        <x:v>release ledger mirrors governing state</x:v>
      </x:c>
      <x:c r="E595" t="str">
        <x:f>'Release Gates'!J575</x:f>
        <x:v>OPEN</x:v>
      </x:c>
      <x:c r="F595" t="str">
        <x:f>IF('Release Gates'!C575="PLANNING","PASS",IF('Release Gates'!C575="PHYSICAL","OPEN","BLOCKED"))</x:f>
        <x:v>OPEN</x:v>
      </x:c>
      <x:c r="G595" t="str">
        <x:v>equals</x:v>
      </x:c>
      <x:c r="H595" t="str">
        <x:f>IF(E595=F595,"PASS","FAIL")</x:f>
        <x:v>PASS</x:v>
      </x:c>
    </x:row>
    <x:row r="596">
      <x:c r="B596" t="str">
        <x:v>A-570</x:v>
      </x:c>
      <x:c r="C596" t="str">
        <x:v>GATE</x:v>
      </x:c>
      <x:c r="D596" t="str">
        <x:v>release ledger mirrors governing state</x:v>
      </x:c>
      <x:c r="E596" t="str">
        <x:f>'Release Gates'!J576</x:f>
        <x:v>OPEN</x:v>
      </x:c>
      <x:c r="F596" t="str">
        <x:f>IF('Release Gates'!C576="PLANNING","PASS",IF('Release Gates'!C576="PHYSICAL","OPEN","BLOCKED"))</x:f>
        <x:v>OPEN</x:v>
      </x:c>
      <x:c r="G596" t="str">
        <x:v>equals</x:v>
      </x:c>
      <x:c r="H596" t="str">
        <x:f>IF(E596=F596,"PASS","FAIL")</x:f>
        <x:v>PASS</x:v>
      </x:c>
    </x:row>
    <x:row r="597">
      <x:c r="B597" t="str">
        <x:v>A-571</x:v>
      </x:c>
      <x:c r="C597" t="str">
        <x:v>GATE</x:v>
      </x:c>
      <x:c r="D597" t="str">
        <x:v>release ledger mirrors governing state</x:v>
      </x:c>
      <x:c r="E597" t="str">
        <x:f>'Release Gates'!J577</x:f>
        <x:v>OPEN</x:v>
      </x:c>
      <x:c r="F597" t="str">
        <x:f>IF('Release Gates'!C577="PLANNING","PASS",IF('Release Gates'!C577="PHYSICAL","OPEN","BLOCKED"))</x:f>
        <x:v>OPEN</x:v>
      </x:c>
      <x:c r="G597" t="str">
        <x:v>equals</x:v>
      </x:c>
      <x:c r="H597" t="str">
        <x:f>IF(E597=F597,"PASS","FAIL")</x:f>
        <x:v>PASS</x:v>
      </x:c>
    </x:row>
    <x:row r="598">
      <x:c r="B598" t="str">
        <x:v>A-572</x:v>
      </x:c>
      <x:c r="C598" t="str">
        <x:v>GATE</x:v>
      </x:c>
      <x:c r="D598" t="str">
        <x:v>release ledger mirrors governing state</x:v>
      </x:c>
      <x:c r="E598" t="str">
        <x:f>'Release Gates'!J578</x:f>
        <x:v>OPEN</x:v>
      </x:c>
      <x:c r="F598" t="str">
        <x:f>IF('Release Gates'!C578="PLANNING","PASS",IF('Release Gates'!C578="PHYSICAL","OPEN","BLOCKED"))</x:f>
        <x:v>OPEN</x:v>
      </x:c>
      <x:c r="G598" t="str">
        <x:v>equals</x:v>
      </x:c>
      <x:c r="H598" t="str">
        <x:f>IF(E598=F598,"PASS","FAIL")</x:f>
        <x:v>PASS</x:v>
      </x:c>
    </x:row>
    <x:row r="599">
      <x:c r="B599" t="str">
        <x:v>A-573</x:v>
      </x:c>
      <x:c r="C599" t="str">
        <x:v>GATE</x:v>
      </x:c>
      <x:c r="D599" t="str">
        <x:v>release ledger mirrors governing state</x:v>
      </x:c>
      <x:c r="E599" t="str">
        <x:f>'Release Gates'!J579</x:f>
        <x:v>OPEN</x:v>
      </x:c>
      <x:c r="F599" t="str">
        <x:f>IF('Release Gates'!C579="PLANNING","PASS",IF('Release Gates'!C579="PHYSICAL","OPEN","BLOCKED"))</x:f>
        <x:v>OPEN</x:v>
      </x:c>
      <x:c r="G599" t="str">
        <x:v>equals</x:v>
      </x:c>
      <x:c r="H599" t="str">
        <x:f>IF(E599=F599,"PASS","FAIL")</x:f>
        <x:v>PASS</x:v>
      </x:c>
    </x:row>
    <x:row r="600">
      <x:c r="B600" t="str">
        <x:v>A-574</x:v>
      </x:c>
      <x:c r="C600" t="str">
        <x:v>GATE</x:v>
      </x:c>
      <x:c r="D600" t="str">
        <x:v>release ledger mirrors governing state</x:v>
      </x:c>
      <x:c r="E600" t="str">
        <x:f>'Release Gates'!J580</x:f>
        <x:v>OPEN</x:v>
      </x:c>
      <x:c r="F600" t="str">
        <x:f>IF('Release Gates'!C580="PLANNING","PASS",IF('Release Gates'!C580="PHYSICAL","OPEN","BLOCKED"))</x:f>
        <x:v>OPEN</x:v>
      </x:c>
      <x:c r="G600" t="str">
        <x:v>equals</x:v>
      </x:c>
      <x:c r="H600" t="str">
        <x:f>IF(E600=F600,"PASS","FAIL")</x:f>
        <x:v>PASS</x:v>
      </x:c>
    </x:row>
    <x:row r="601">
      <x:c r="B601" t="str">
        <x:v>A-575</x:v>
      </x:c>
      <x:c r="C601" t="str">
        <x:v>GATE</x:v>
      </x:c>
      <x:c r="D601" t="str">
        <x:v>release ledger mirrors governing state</x:v>
      </x:c>
      <x:c r="E601" t="str">
        <x:f>'Release Gates'!J581</x:f>
        <x:v>OPEN</x:v>
      </x:c>
      <x:c r="F601" t="str">
        <x:f>IF('Release Gates'!C581="PLANNING","PASS",IF('Release Gates'!C581="PHYSICAL","OPEN","BLOCKED"))</x:f>
        <x:v>OPEN</x:v>
      </x:c>
      <x:c r="G601" t="str">
        <x:v>equals</x:v>
      </x:c>
      <x:c r="H601" t="str">
        <x:f>IF(E601=F601,"PASS","FAIL")</x:f>
        <x:v>PASS</x:v>
      </x:c>
    </x:row>
    <x:row r="602">
      <x:c r="B602" t="str">
        <x:v>A-576</x:v>
      </x:c>
      <x:c r="C602" t="str">
        <x:v>GATE</x:v>
      </x:c>
      <x:c r="D602" t="str">
        <x:v>release ledger mirrors governing state</x:v>
      </x:c>
      <x:c r="E602" t="str">
        <x:f>'Release Gates'!J582</x:f>
        <x:v>OPEN</x:v>
      </x:c>
      <x:c r="F602" t="str">
        <x:f>IF('Release Gates'!C582="PLANNING","PASS",IF('Release Gates'!C582="PHYSICAL","OPEN","BLOCKED"))</x:f>
        <x:v>OPEN</x:v>
      </x:c>
      <x:c r="G602" t="str">
        <x:v>equals</x:v>
      </x:c>
      <x:c r="H602" t="str">
        <x:f>IF(E602=F602,"PASS","FAIL")</x:f>
        <x:v>PASS</x:v>
      </x:c>
    </x:row>
    <x:row r="603">
      <x:c r="B603" t="str">
        <x:v>A-577</x:v>
      </x:c>
      <x:c r="C603" t="str">
        <x:v>GATE</x:v>
      </x:c>
      <x:c r="D603" t="str">
        <x:v>release ledger mirrors governing state</x:v>
      </x:c>
      <x:c r="E603" t="str">
        <x:f>'Release Gates'!J583</x:f>
        <x:v>OPEN</x:v>
      </x:c>
      <x:c r="F603" t="str">
        <x:f>IF('Release Gates'!C583="PLANNING","PASS",IF('Release Gates'!C583="PHYSICAL","OPEN","BLOCKED"))</x:f>
        <x:v>OPEN</x:v>
      </x:c>
      <x:c r="G603" t="str">
        <x:v>equals</x:v>
      </x:c>
      <x:c r="H603" t="str">
        <x:f>IF(E603=F603,"PASS","FAIL")</x:f>
        <x:v>PASS</x:v>
      </x:c>
    </x:row>
    <x:row r="604">
      <x:c r="B604" t="str">
        <x:v>A-578</x:v>
      </x:c>
      <x:c r="C604" t="str">
        <x:v>GATE</x:v>
      </x:c>
      <x:c r="D604" t="str">
        <x:v>release ledger mirrors governing state</x:v>
      </x:c>
      <x:c r="E604" t="str">
        <x:f>'Release Gates'!J584</x:f>
        <x:v>OPEN</x:v>
      </x:c>
      <x:c r="F604" t="str">
        <x:f>IF('Release Gates'!C584="PLANNING","PASS",IF('Release Gates'!C584="PHYSICAL","OPEN","BLOCKED"))</x:f>
        <x:v>OPEN</x:v>
      </x:c>
      <x:c r="G604" t="str">
        <x:v>equals</x:v>
      </x:c>
      <x:c r="H604" t="str">
        <x:f>IF(E604=F604,"PASS","FAIL")</x:f>
        <x:v>PASS</x:v>
      </x:c>
    </x:row>
    <x:row r="605">
      <x:c r="B605" t="str">
        <x:v>A-579</x:v>
      </x:c>
      <x:c r="C605" t="str">
        <x:v>GATE</x:v>
      </x:c>
      <x:c r="D605" t="str">
        <x:v>release ledger mirrors governing state</x:v>
      </x:c>
      <x:c r="E605" t="str">
        <x:f>'Release Gates'!J585</x:f>
        <x:v>OPEN</x:v>
      </x:c>
      <x:c r="F605" t="str">
        <x:f>IF('Release Gates'!C585="PLANNING","PASS",IF('Release Gates'!C585="PHYSICAL","OPEN","BLOCKED"))</x:f>
        <x:v>OPEN</x:v>
      </x:c>
      <x:c r="G605" t="str">
        <x:v>equals</x:v>
      </x:c>
      <x:c r="H605" t="str">
        <x:f>IF(E605=F605,"PASS","FAIL")</x:f>
        <x:v>PASS</x:v>
      </x:c>
    </x:row>
    <x:row r="606">
      <x:c r="B606" t="str">
        <x:v>A-580</x:v>
      </x:c>
      <x:c r="C606" t="str">
        <x:v>GATE</x:v>
      </x:c>
      <x:c r="D606" t="str">
        <x:v>release ledger mirrors governing state</x:v>
      </x:c>
      <x:c r="E606" t="str">
        <x:f>'Release Gates'!J586</x:f>
        <x:v>OPEN</x:v>
      </x:c>
      <x:c r="F606" t="str">
        <x:f>IF('Release Gates'!C586="PLANNING","PASS",IF('Release Gates'!C586="PHYSICAL","OPEN","BLOCKED"))</x:f>
        <x:v>OPEN</x:v>
      </x:c>
      <x:c r="G606" t="str">
        <x:v>equals</x:v>
      </x:c>
      <x:c r="H606" t="str">
        <x:f>IF(E606=F606,"PASS","FAIL")</x:f>
        <x:v>PASS</x:v>
      </x:c>
    </x:row>
    <x:row r="607">
      <x:c r="B607" t="str">
        <x:v>A-581</x:v>
      </x:c>
      <x:c r="C607" t="str">
        <x:v>GATE</x:v>
      </x:c>
      <x:c r="D607" t="str">
        <x:v>release ledger mirrors governing state</x:v>
      </x:c>
      <x:c r="E607" t="str">
        <x:f>'Release Gates'!J587</x:f>
        <x:v>OPEN</x:v>
      </x:c>
      <x:c r="F607" t="str">
        <x:f>IF('Release Gates'!C587="PLANNING","PASS",IF('Release Gates'!C587="PHYSICAL","OPEN","BLOCKED"))</x:f>
        <x:v>OPEN</x:v>
      </x:c>
      <x:c r="G607" t="str">
        <x:v>equals</x:v>
      </x:c>
      <x:c r="H607" t="str">
        <x:f>IF(E607=F607,"PASS","FAIL")</x:f>
        <x:v>PASS</x:v>
      </x:c>
    </x:row>
    <x:row r="608">
      <x:c r="B608" t="str">
        <x:v>A-582</x:v>
      </x:c>
      <x:c r="C608" t="str">
        <x:v>GATE</x:v>
      </x:c>
      <x:c r="D608" t="str">
        <x:v>release ledger mirrors governing state</x:v>
      </x:c>
      <x:c r="E608" t="str">
        <x:f>'Release Gates'!J588</x:f>
        <x:v>OPEN</x:v>
      </x:c>
      <x:c r="F608" t="str">
        <x:f>IF('Release Gates'!C588="PLANNING","PASS",IF('Release Gates'!C588="PHYSICAL","OPEN","BLOCKED"))</x:f>
        <x:v>OPEN</x:v>
      </x:c>
      <x:c r="G608" t="str">
        <x:v>equals</x:v>
      </x:c>
      <x:c r="H608" t="str">
        <x:f>IF(E608=F608,"PASS","FAIL")</x:f>
        <x:v>PASS</x:v>
      </x:c>
    </x:row>
    <x:row r="609">
      <x:c r="B609" t="str">
        <x:v>A-583</x:v>
      </x:c>
      <x:c r="C609" t="str">
        <x:v>GATE</x:v>
      </x:c>
      <x:c r="D609" t="str">
        <x:v>release ledger mirrors governing state</x:v>
      </x:c>
      <x:c r="E609" t="str">
        <x:f>'Release Gates'!J589</x:f>
        <x:v>OPEN</x:v>
      </x:c>
      <x:c r="F609" t="str">
        <x:f>IF('Release Gates'!C589="PLANNING","PASS",IF('Release Gates'!C589="PHYSICAL","OPEN","BLOCKED"))</x:f>
        <x:v>OPEN</x:v>
      </x:c>
      <x:c r="G609" t="str">
        <x:v>equals</x:v>
      </x:c>
      <x:c r="H609" t="str">
        <x:f>IF(E609=F609,"PASS","FAIL")</x:f>
        <x:v>PASS</x:v>
      </x:c>
    </x:row>
    <x:row r="610">
      <x:c r="B610" t="str">
        <x:v>A-584</x:v>
      </x:c>
      <x:c r="C610" t="str">
        <x:v>GATE</x:v>
      </x:c>
      <x:c r="D610" t="str">
        <x:v>release ledger mirrors governing state</x:v>
      </x:c>
      <x:c r="E610" t="str">
        <x:f>'Release Gates'!J590</x:f>
        <x:v>OPEN</x:v>
      </x:c>
      <x:c r="F610" t="str">
        <x:f>IF('Release Gates'!C590="PLANNING","PASS",IF('Release Gates'!C590="PHYSICAL","OPEN","BLOCKED"))</x:f>
        <x:v>OPEN</x:v>
      </x:c>
      <x:c r="G610" t="str">
        <x:v>equals</x:v>
      </x:c>
      <x:c r="H610" t="str">
        <x:f>IF(E610=F610,"PASS","FAIL")</x:f>
        <x:v>PASS</x:v>
      </x:c>
    </x:row>
    <x:row r="611">
      <x:c r="B611" t="str">
        <x:v>A-585</x:v>
      </x:c>
      <x:c r="C611" t="str">
        <x:v>GATE</x:v>
      </x:c>
      <x:c r="D611" t="str">
        <x:v>release ledger mirrors governing state</x:v>
      </x:c>
      <x:c r="E611" t="str">
        <x:f>'Release Gates'!J591</x:f>
        <x:v>OPEN</x:v>
      </x:c>
      <x:c r="F611" t="str">
        <x:f>IF('Release Gates'!C591="PLANNING","PASS",IF('Release Gates'!C591="PHYSICAL","OPEN","BLOCKED"))</x:f>
        <x:v>OPEN</x:v>
      </x:c>
      <x:c r="G611" t="str">
        <x:v>equals</x:v>
      </x:c>
      <x:c r="H611" t="str">
        <x:f>IF(E611=F611,"PASS","FAIL")</x:f>
        <x:v>PASS</x:v>
      </x:c>
    </x:row>
    <x:row r="612">
      <x:c r="B612" t="str">
        <x:v>A-586</x:v>
      </x:c>
      <x:c r="C612" t="str">
        <x:v>GATE</x:v>
      </x:c>
      <x:c r="D612" t="str">
        <x:v>release ledger mirrors governing state</x:v>
      </x:c>
      <x:c r="E612" t="str">
        <x:f>'Release Gates'!J592</x:f>
        <x:v>OPEN</x:v>
      </x:c>
      <x:c r="F612" t="str">
        <x:f>IF('Release Gates'!C592="PLANNING","PASS",IF('Release Gates'!C592="PHYSICAL","OPEN","BLOCKED"))</x:f>
        <x:v>OPEN</x:v>
      </x:c>
      <x:c r="G612" t="str">
        <x:v>equals</x:v>
      </x:c>
      <x:c r="H612" t="str">
        <x:f>IF(E612=F612,"PASS","FAIL")</x:f>
        <x:v>PASS</x:v>
      </x:c>
    </x:row>
    <x:row r="613">
      <x:c r="B613" t="str">
        <x:v>A-587</x:v>
      </x:c>
      <x:c r="C613" t="str">
        <x:v>GATE</x:v>
      </x:c>
      <x:c r="D613" t="str">
        <x:v>release ledger mirrors governing state</x:v>
      </x:c>
      <x:c r="E613" t="str">
        <x:f>'Release Gates'!J593</x:f>
        <x:v>OPEN</x:v>
      </x:c>
      <x:c r="F613" t="str">
        <x:f>IF('Release Gates'!C593="PLANNING","PASS",IF('Release Gates'!C593="PHYSICAL","OPEN","BLOCKED"))</x:f>
        <x:v>OPEN</x:v>
      </x:c>
      <x:c r="G613" t="str">
        <x:v>equals</x:v>
      </x:c>
      <x:c r="H613" t="str">
        <x:f>IF(E613=F613,"PASS","FAIL")</x:f>
        <x:v>PASS</x:v>
      </x:c>
    </x:row>
    <x:row r="614">
      <x:c r="B614" t="str">
        <x:v>A-588</x:v>
      </x:c>
      <x:c r="C614" t="str">
        <x:v>GATE</x:v>
      </x:c>
      <x:c r="D614" t="str">
        <x:v>release ledger mirrors governing state</x:v>
      </x:c>
      <x:c r="E614" t="str">
        <x:f>'Release Gates'!J594</x:f>
        <x:v>OPEN</x:v>
      </x:c>
      <x:c r="F614" t="str">
        <x:f>IF('Release Gates'!C594="PLANNING","PASS",IF('Release Gates'!C594="PHYSICAL","OPEN","BLOCKED"))</x:f>
        <x:v>OPEN</x:v>
      </x:c>
      <x:c r="G614" t="str">
        <x:v>equals</x:v>
      </x:c>
      <x:c r="H614" t="str">
        <x:f>IF(E614=F614,"PASS","FAIL")</x:f>
        <x:v>PASS</x:v>
      </x:c>
    </x:row>
    <x:row r="615">
      <x:c r="B615" t="str">
        <x:v>A-589</x:v>
      </x:c>
      <x:c r="C615" t="str">
        <x:v>GATE</x:v>
      </x:c>
      <x:c r="D615" t="str">
        <x:v>release ledger mirrors governing state</x:v>
      </x:c>
      <x:c r="E615" t="str">
        <x:f>'Release Gates'!J595</x:f>
        <x:v>OPEN</x:v>
      </x:c>
      <x:c r="F615" t="str">
        <x:f>IF('Release Gates'!C595="PLANNING","PASS",IF('Release Gates'!C595="PHYSICAL","OPEN","BLOCKED"))</x:f>
        <x:v>OPEN</x:v>
      </x:c>
      <x:c r="G615" t="str">
        <x:v>equals</x:v>
      </x:c>
      <x:c r="H615" t="str">
        <x:f>IF(E615=F615,"PASS","FAIL")</x:f>
        <x:v>PASS</x:v>
      </x:c>
    </x:row>
    <x:row r="616">
      <x:c r="B616" t="str">
        <x:v>A-590</x:v>
      </x:c>
      <x:c r="C616" t="str">
        <x:v>GATE</x:v>
      </x:c>
      <x:c r="D616" t="str">
        <x:v>release ledger mirrors governing state</x:v>
      </x:c>
      <x:c r="E616" t="str">
        <x:f>'Release Gates'!J596</x:f>
        <x:v>OPEN</x:v>
      </x:c>
      <x:c r="F616" t="str">
        <x:f>IF('Release Gates'!C596="PLANNING","PASS",IF('Release Gates'!C596="PHYSICAL","OPEN","BLOCKED"))</x:f>
        <x:v>OPEN</x:v>
      </x:c>
      <x:c r="G616" t="str">
        <x:v>equals</x:v>
      </x:c>
      <x:c r="H616" t="str">
        <x:f>IF(E616=F616,"PASS","FAIL")</x:f>
        <x:v>PASS</x:v>
      </x:c>
    </x:row>
    <x:row r="617">
      <x:c r="B617" t="str">
        <x:v>A-591</x:v>
      </x:c>
      <x:c r="C617" t="str">
        <x:v>GATE</x:v>
      </x:c>
      <x:c r="D617" t="str">
        <x:v>release ledger mirrors governing state</x:v>
      </x:c>
      <x:c r="E617" t="str">
        <x:f>'Release Gates'!J597</x:f>
        <x:v>OPEN</x:v>
      </x:c>
      <x:c r="F617" t="str">
        <x:f>IF('Release Gates'!C597="PLANNING","PASS",IF('Release Gates'!C597="PHYSICAL","OPEN","BLOCKED"))</x:f>
        <x:v>OPEN</x:v>
      </x:c>
      <x:c r="G617" t="str">
        <x:v>equals</x:v>
      </x:c>
      <x:c r="H617" t="str">
        <x:f>IF(E617=F617,"PASS","FAIL")</x:f>
        <x:v>PASS</x:v>
      </x:c>
    </x:row>
    <x:row r="618">
      <x:c r="B618" t="str">
        <x:v>A-592</x:v>
      </x:c>
      <x:c r="C618" t="str">
        <x:v>GATE</x:v>
      </x:c>
      <x:c r="D618" t="str">
        <x:v>release ledger mirrors governing state</x:v>
      </x:c>
      <x:c r="E618" t="str">
        <x:f>'Release Gates'!J598</x:f>
        <x:v>OPEN</x:v>
      </x:c>
      <x:c r="F618" t="str">
        <x:f>IF('Release Gates'!C598="PLANNING","PASS",IF('Release Gates'!C598="PHYSICAL","OPEN","BLOCKED"))</x:f>
        <x:v>OPEN</x:v>
      </x:c>
      <x:c r="G618" t="str">
        <x:v>equals</x:v>
      </x:c>
      <x:c r="H618" t="str">
        <x:f>IF(E618=F618,"PASS","FAIL")</x:f>
        <x:v>PASS</x:v>
      </x:c>
    </x:row>
    <x:row r="619">
      <x:c r="B619" t="str">
        <x:v>A-593</x:v>
      </x:c>
      <x:c r="C619" t="str">
        <x:v>GATE</x:v>
      </x:c>
      <x:c r="D619" t="str">
        <x:v>release ledger mirrors governing state</x:v>
      </x:c>
      <x:c r="E619" t="str">
        <x:f>'Release Gates'!J599</x:f>
        <x:v>OPEN</x:v>
      </x:c>
      <x:c r="F619" t="str">
        <x:f>IF('Release Gates'!C599="PLANNING","PASS",IF('Release Gates'!C599="PHYSICAL","OPEN","BLOCKED"))</x:f>
        <x:v>OPEN</x:v>
      </x:c>
      <x:c r="G619" t="str">
        <x:v>equals</x:v>
      </x:c>
      <x:c r="H619" t="str">
        <x:f>IF(E619=F619,"PASS","FAIL")</x:f>
        <x:v>PASS</x:v>
      </x:c>
    </x:row>
    <x:row r="620">
      <x:c r="B620" t="str">
        <x:v>A-594</x:v>
      </x:c>
      <x:c r="C620" t="str">
        <x:v>GATE</x:v>
      </x:c>
      <x:c r="D620" t="str">
        <x:v>release ledger mirrors governing state</x:v>
      </x:c>
      <x:c r="E620" t="str">
        <x:f>'Release Gates'!J600</x:f>
        <x:v>OPEN</x:v>
      </x:c>
      <x:c r="F620" t="str">
        <x:f>IF('Release Gates'!C600="PLANNING","PASS",IF('Release Gates'!C600="PHYSICAL","OPEN","BLOCKED"))</x:f>
        <x:v>OPEN</x:v>
      </x:c>
      <x:c r="G620" t="str">
        <x:v>equals</x:v>
      </x:c>
      <x:c r="H620" t="str">
        <x:f>IF(E620=F620,"PASS","FAIL")</x:f>
        <x:v>PASS</x:v>
      </x:c>
    </x:row>
    <x:row r="621">
      <x:c r="B621" t="str">
        <x:v>A-595</x:v>
      </x:c>
      <x:c r="C621" t="str">
        <x:v>GATE</x:v>
      </x:c>
      <x:c r="D621" t="str">
        <x:v>release ledger mirrors governing state</x:v>
      </x:c>
      <x:c r="E621" t="str">
        <x:f>'Release Gates'!J601</x:f>
        <x:v>OPEN</x:v>
      </x:c>
      <x:c r="F621" t="str">
        <x:f>IF('Release Gates'!C601="PLANNING","PASS",IF('Release Gates'!C601="PHYSICAL","OPEN","BLOCKED"))</x:f>
        <x:v>OPEN</x:v>
      </x:c>
      <x:c r="G621" t="str">
        <x:v>equals</x:v>
      </x:c>
      <x:c r="H621" t="str">
        <x:f>IF(E621=F621,"PASS","FAIL")</x:f>
        <x:v>PASS</x:v>
      </x:c>
    </x:row>
    <x:row r="622">
      <x:c r="B622" t="str">
        <x:v>A-596</x:v>
      </x:c>
      <x:c r="C622" t="str">
        <x:v>GATE</x:v>
      </x:c>
      <x:c r="D622" t="str">
        <x:v>release ledger mirrors governing state</x:v>
      </x:c>
      <x:c r="E622" t="str">
        <x:f>'Release Gates'!J602</x:f>
        <x:v>OPEN</x:v>
      </x:c>
      <x:c r="F622" t="str">
        <x:f>IF('Release Gates'!C602="PLANNING","PASS",IF('Release Gates'!C602="PHYSICAL","OPEN","BLOCKED"))</x:f>
        <x:v>OPEN</x:v>
      </x:c>
      <x:c r="G622" t="str">
        <x:v>equals</x:v>
      </x:c>
      <x:c r="H622" t="str">
        <x:f>IF(E622=F622,"PASS","FAIL")</x:f>
        <x:v>PASS</x:v>
      </x:c>
    </x:row>
    <x:row r="623">
      <x:c r="B623" t="str">
        <x:v>A-597</x:v>
      </x:c>
      <x:c r="C623" t="str">
        <x:v>GATE</x:v>
      </x:c>
      <x:c r="D623" t="str">
        <x:v>release ledger mirrors governing state</x:v>
      </x:c>
      <x:c r="E623" t="str">
        <x:f>'Release Gates'!J603</x:f>
        <x:v>OPEN</x:v>
      </x:c>
      <x:c r="F623" t="str">
        <x:f>IF('Release Gates'!C603="PLANNING","PASS",IF('Release Gates'!C603="PHYSICAL","OPEN","BLOCKED"))</x:f>
        <x:v>OPEN</x:v>
      </x:c>
      <x:c r="G623" t="str">
        <x:v>equals</x:v>
      </x:c>
      <x:c r="H623" t="str">
        <x:f>IF(E623=F623,"PASS","FAIL")</x:f>
        <x:v>PASS</x:v>
      </x:c>
    </x:row>
    <x:row r="624">
      <x:c r="B624" t="str">
        <x:v>A-598</x:v>
      </x:c>
      <x:c r="C624" t="str">
        <x:v>GATE</x:v>
      </x:c>
      <x:c r="D624" t="str">
        <x:v>release ledger mirrors governing state</x:v>
      </x:c>
      <x:c r="E624" t="str">
        <x:f>'Release Gates'!J604</x:f>
        <x:v>OPEN</x:v>
      </x:c>
      <x:c r="F624" t="str">
        <x:f>IF('Release Gates'!C604="PLANNING","PASS",IF('Release Gates'!C604="PHYSICAL","OPEN","BLOCKED"))</x:f>
        <x:v>OPEN</x:v>
      </x:c>
      <x:c r="G624" t="str">
        <x:v>equals</x:v>
      </x:c>
      <x:c r="H624" t="str">
        <x:f>IF(E624=F624,"PASS","FAIL")</x:f>
        <x:v>PASS</x:v>
      </x:c>
    </x:row>
    <x:row r="625">
      <x:c r="B625" t="str">
        <x:v>A-599</x:v>
      </x:c>
      <x:c r="C625" t="str">
        <x:v>GATE</x:v>
      </x:c>
      <x:c r="D625" t="str">
        <x:v>release ledger mirrors governing state</x:v>
      </x:c>
      <x:c r="E625" t="str">
        <x:f>'Release Gates'!J605</x:f>
        <x:v>OPEN</x:v>
      </x:c>
      <x:c r="F625" t="str">
        <x:f>IF('Release Gates'!C605="PLANNING","PASS",IF('Release Gates'!C605="PHYSICAL","OPEN","BLOCKED"))</x:f>
        <x:v>OPEN</x:v>
      </x:c>
      <x:c r="G625" t="str">
        <x:v>equals</x:v>
      </x:c>
      <x:c r="H625" t="str">
        <x:f>IF(E625=F625,"PASS","FAIL")</x:f>
        <x:v>PASS</x:v>
      </x:c>
    </x:row>
    <x:row r="626">
      <x:c r="B626" t="str">
        <x:v>A-600</x:v>
      </x:c>
      <x:c r="C626" t="str">
        <x:v>GATE</x:v>
      </x:c>
      <x:c r="D626" t="str">
        <x:v>release ledger mirrors governing state</x:v>
      </x:c>
      <x:c r="E626" t="str">
        <x:f>'Release Gates'!J606</x:f>
        <x:v>OPEN</x:v>
      </x:c>
      <x:c r="F626" t="str">
        <x:f>IF('Release Gates'!C606="PLANNING","PASS",IF('Release Gates'!C606="PHYSICAL","OPEN","BLOCKED"))</x:f>
        <x:v>OPEN</x:v>
      </x:c>
      <x:c r="G626" t="str">
        <x:v>equals</x:v>
      </x:c>
      <x:c r="H626" t="str">
        <x:f>IF(E626=F626,"PASS","FAIL")</x:f>
        <x:v>PASS</x:v>
      </x:c>
    </x:row>
    <x:row r="627">
      <x:c r="B627" t="str">
        <x:v>A-601</x:v>
      </x:c>
      <x:c r="C627" t="str">
        <x:v>GATE</x:v>
      </x:c>
      <x:c r="D627" t="str">
        <x:v>release ledger mirrors governing state</x:v>
      </x:c>
      <x:c r="E627" t="str">
        <x:f>'Release Gates'!J607</x:f>
        <x:v>OPEN</x:v>
      </x:c>
      <x:c r="F627" t="str">
        <x:f>IF('Release Gates'!C607="PLANNING","PASS",IF('Release Gates'!C607="PHYSICAL","OPEN","BLOCKED"))</x:f>
        <x:v>OPEN</x:v>
      </x:c>
      <x:c r="G627" t="str">
        <x:v>equals</x:v>
      </x:c>
      <x:c r="H627" t="str">
        <x:f>IF(E627=F627,"PASS","FAIL")</x:f>
        <x:v>PASS</x:v>
      </x:c>
    </x:row>
    <x:row r="628">
      <x:c r="B628" t="str">
        <x:v>A-602</x:v>
      </x:c>
      <x:c r="C628" t="str">
        <x:v>GATE</x:v>
      </x:c>
      <x:c r="D628" t="str">
        <x:v>release ledger mirrors governing state</x:v>
      </x:c>
      <x:c r="E628" t="str">
        <x:f>'Release Gates'!J608</x:f>
        <x:v>OPEN</x:v>
      </x:c>
      <x:c r="F628" t="str">
        <x:f>IF('Release Gates'!C608="PLANNING","PASS",IF('Release Gates'!C608="PHYSICAL","OPEN","BLOCKED"))</x:f>
        <x:v>OPEN</x:v>
      </x:c>
      <x:c r="G628" t="str">
        <x:v>equals</x:v>
      </x:c>
      <x:c r="H628" t="str">
        <x:f>IF(E628=F628,"PASS","FAIL")</x:f>
        <x:v>PASS</x:v>
      </x:c>
    </x:row>
    <x:row r="629">
      <x:c r="B629" t="str">
        <x:v>A-603</x:v>
      </x:c>
      <x:c r="C629" t="str">
        <x:v>GATE</x:v>
      </x:c>
      <x:c r="D629" t="str">
        <x:v>release ledger mirrors governing state</x:v>
      </x:c>
      <x:c r="E629" t="str">
        <x:f>'Release Gates'!J609</x:f>
        <x:v>OPEN</x:v>
      </x:c>
      <x:c r="F629" t="str">
        <x:f>IF('Release Gates'!C609="PLANNING","PASS",IF('Release Gates'!C609="PHYSICAL","OPEN","BLOCKED"))</x:f>
        <x:v>OPEN</x:v>
      </x:c>
      <x:c r="G629" t="str">
        <x:v>equals</x:v>
      </x:c>
      <x:c r="H629" t="str">
        <x:f>IF(E629=F629,"PASS","FAIL")</x:f>
        <x:v>PASS</x:v>
      </x:c>
    </x:row>
    <x:row r="630">
      <x:c r="B630" t="str">
        <x:v>A-604</x:v>
      </x:c>
      <x:c r="C630" t="str">
        <x:v>GATE</x:v>
      </x:c>
      <x:c r="D630" t="str">
        <x:v>release ledger mirrors governing state</x:v>
      </x:c>
      <x:c r="E630" t="str">
        <x:f>'Release Gates'!J610</x:f>
        <x:v>OPEN</x:v>
      </x:c>
      <x:c r="F630" t="str">
        <x:f>IF('Release Gates'!C610="PLANNING","PASS",IF('Release Gates'!C610="PHYSICAL","OPEN","BLOCKED"))</x:f>
        <x:v>OPEN</x:v>
      </x:c>
      <x:c r="G630" t="str">
        <x:v>equals</x:v>
      </x:c>
      <x:c r="H630" t="str">
        <x:f>IF(E630=F630,"PASS","FAIL")</x:f>
        <x:v>PASS</x:v>
      </x:c>
    </x:row>
    <x:row r="631">
      <x:c r="B631" t="str">
        <x:v>A-605</x:v>
      </x:c>
      <x:c r="C631" t="str">
        <x:v>GATE</x:v>
      </x:c>
      <x:c r="D631" t="str">
        <x:v>release ledger mirrors governing state</x:v>
      </x:c>
      <x:c r="E631" t="str">
        <x:f>'Release Gates'!J611</x:f>
        <x:v>OPEN</x:v>
      </x:c>
      <x:c r="F631" t="str">
        <x:f>IF('Release Gates'!C611="PLANNING","PASS",IF('Release Gates'!C611="PHYSICAL","OPEN","BLOCKED"))</x:f>
        <x:v>OPEN</x:v>
      </x:c>
      <x:c r="G631" t="str">
        <x:v>equals</x:v>
      </x:c>
      <x:c r="H631" t="str">
        <x:f>IF(E631=F631,"PASS","FAIL")</x:f>
        <x:v>PASS</x:v>
      </x:c>
    </x:row>
    <x:row r="632">
      <x:c r="B632" t="str">
        <x:v>A-606</x:v>
      </x:c>
      <x:c r="C632" t="str">
        <x:v>GATE</x:v>
      </x:c>
      <x:c r="D632" t="str">
        <x:v>release ledger mirrors governing state</x:v>
      </x:c>
      <x:c r="E632" t="str">
        <x:f>'Release Gates'!J612</x:f>
        <x:v>OPEN</x:v>
      </x:c>
      <x:c r="F632" t="str">
        <x:f>IF('Release Gates'!C612="PLANNING","PASS",IF('Release Gates'!C612="PHYSICAL","OPEN","BLOCKED"))</x:f>
        <x:v>OPEN</x:v>
      </x:c>
      <x:c r="G632" t="str">
        <x:v>equals</x:v>
      </x:c>
      <x:c r="H632" t="str">
        <x:f>IF(E632=F632,"PASS","FAIL")</x:f>
        <x:v>PASS</x:v>
      </x:c>
    </x:row>
    <x:row r="633">
      <x:c r="B633" t="str">
        <x:v>A-607</x:v>
      </x:c>
      <x:c r="C633" t="str">
        <x:v>GATE</x:v>
      </x:c>
      <x:c r="D633" t="str">
        <x:v>release ledger mirrors governing state</x:v>
      </x:c>
      <x:c r="E633" t="str">
        <x:f>'Release Gates'!J613</x:f>
        <x:v>OPEN</x:v>
      </x:c>
      <x:c r="F633" t="str">
        <x:f>IF('Release Gates'!C613="PLANNING","PASS",IF('Release Gates'!C613="PHYSICAL","OPEN","BLOCKED"))</x:f>
        <x:v>OPEN</x:v>
      </x:c>
      <x:c r="G633" t="str">
        <x:v>equals</x:v>
      </x:c>
      <x:c r="H633" t="str">
        <x:f>IF(E633=F633,"PASS","FAIL")</x:f>
        <x:v>PASS</x:v>
      </x:c>
    </x:row>
    <x:row r="634">
      <x:c r="B634" t="str">
        <x:v>A-608</x:v>
      </x:c>
      <x:c r="C634" t="str">
        <x:v>GATE</x:v>
      </x:c>
      <x:c r="D634" t="str">
        <x:v>release ledger mirrors governing state</x:v>
      </x:c>
      <x:c r="E634" t="str">
        <x:f>'Release Gates'!J614</x:f>
        <x:v>OPEN</x:v>
      </x:c>
      <x:c r="F634" t="str">
        <x:f>IF('Release Gates'!C614="PLANNING","PASS",IF('Release Gates'!C614="PHYSICAL","OPEN","BLOCKED"))</x:f>
        <x:v>OPEN</x:v>
      </x:c>
      <x:c r="G634" t="str">
        <x:v>equals</x:v>
      </x:c>
      <x:c r="H634" t="str">
        <x:f>IF(E634=F634,"PASS","FAIL")</x:f>
        <x:v>PASS</x:v>
      </x:c>
    </x:row>
    <x:row r="635">
      <x:c r="B635" t="str">
        <x:v>A-609</x:v>
      </x:c>
      <x:c r="C635" t="str">
        <x:v>GATE</x:v>
      </x:c>
      <x:c r="D635" t="str">
        <x:v>release ledger mirrors governing state</x:v>
      </x:c>
      <x:c r="E635" t="str">
        <x:f>'Release Gates'!J615</x:f>
        <x:v>OPEN</x:v>
      </x:c>
      <x:c r="F635" t="str">
        <x:f>IF('Release Gates'!C615="PLANNING","PASS",IF('Release Gates'!C615="PHYSICAL","OPEN","BLOCKED"))</x:f>
        <x:v>OPEN</x:v>
      </x:c>
      <x:c r="G635" t="str">
        <x:v>equals</x:v>
      </x:c>
      <x:c r="H635" t="str">
        <x:f>IF(E635=F635,"PASS","FAIL")</x:f>
        <x:v>PASS</x:v>
      </x:c>
    </x:row>
    <x:row r="636">
      <x:c r="B636" t="str">
        <x:v>A-610</x:v>
      </x:c>
      <x:c r="C636" t="str">
        <x:v>GATE</x:v>
      </x:c>
      <x:c r="D636" t="str">
        <x:v>release ledger mirrors governing state</x:v>
      </x:c>
      <x:c r="E636" t="str">
        <x:f>'Release Gates'!J616</x:f>
        <x:v>OPEN</x:v>
      </x:c>
      <x:c r="F636" t="str">
        <x:f>IF('Release Gates'!C616="PLANNING","PASS",IF('Release Gates'!C616="PHYSICAL","OPEN","BLOCKED"))</x:f>
        <x:v>OPEN</x:v>
      </x:c>
      <x:c r="G636" t="str">
        <x:v>equals</x:v>
      </x:c>
      <x:c r="H636" t="str">
        <x:f>IF(E636=F636,"PASS","FAIL")</x:f>
        <x:v>PASS</x:v>
      </x:c>
    </x:row>
    <x:row r="637">
      <x:c r="B637" t="str">
        <x:v>A-611</x:v>
      </x:c>
      <x:c r="C637" t="str">
        <x:v>GATE</x:v>
      </x:c>
      <x:c r="D637" t="str">
        <x:v>release ledger mirrors governing state</x:v>
      </x:c>
      <x:c r="E637" t="str">
        <x:f>'Release Gates'!J617</x:f>
        <x:v>OPEN</x:v>
      </x:c>
      <x:c r="F637" t="str">
        <x:f>IF('Release Gates'!C617="PLANNING","PASS",IF('Release Gates'!C617="PHYSICAL","OPEN","BLOCKED"))</x:f>
        <x:v>OPEN</x:v>
      </x:c>
      <x:c r="G637" t="str">
        <x:v>equals</x:v>
      </x:c>
      <x:c r="H637" t="str">
        <x:f>IF(E637=F637,"PASS","FAIL")</x:f>
        <x:v>PASS</x:v>
      </x:c>
    </x:row>
    <x:row r="638">
      <x:c r="B638" t="str">
        <x:v>A-612</x:v>
      </x:c>
      <x:c r="C638" t="str">
        <x:v>GATE</x:v>
      </x:c>
      <x:c r="D638" t="str">
        <x:v>release ledger mirrors governing state</x:v>
      </x:c>
      <x:c r="E638" t="str">
        <x:f>'Release Gates'!J618</x:f>
        <x:v>OPEN</x:v>
      </x:c>
      <x:c r="F638" t="str">
        <x:f>IF('Release Gates'!C618="PLANNING","PASS",IF('Release Gates'!C618="PHYSICAL","OPEN","BLOCKED"))</x:f>
        <x:v>OPEN</x:v>
      </x:c>
      <x:c r="G638" t="str">
        <x:v>equals</x:v>
      </x:c>
      <x:c r="H638" t="str">
        <x:f>IF(E638=F638,"PASS","FAIL")</x:f>
        <x:v>PASS</x:v>
      </x:c>
    </x:row>
    <x:row r="639">
      <x:c r="B639" t="str">
        <x:v>A-613</x:v>
      </x:c>
      <x:c r="C639" t="str">
        <x:v>GATE</x:v>
      </x:c>
      <x:c r="D639" t="str">
        <x:v>release ledger mirrors governing state</x:v>
      </x:c>
      <x:c r="E639" t="str">
        <x:f>'Release Gates'!J619</x:f>
        <x:v>OPEN</x:v>
      </x:c>
      <x:c r="F639" t="str">
        <x:f>IF('Release Gates'!C619="PLANNING","PASS",IF('Release Gates'!C619="PHYSICAL","OPEN","BLOCKED"))</x:f>
        <x:v>OPEN</x:v>
      </x:c>
      <x:c r="G639" t="str">
        <x:v>equals</x:v>
      </x:c>
      <x:c r="H639" t="str">
        <x:f>IF(E639=F639,"PASS","FAIL")</x:f>
        <x:v>PASS</x:v>
      </x:c>
    </x:row>
    <x:row r="640">
      <x:c r="B640" t="str">
        <x:v>A-614</x:v>
      </x:c>
      <x:c r="C640" t="str">
        <x:v>GATE</x:v>
      </x:c>
      <x:c r="D640" t="str">
        <x:v>release ledger mirrors governing state</x:v>
      </x:c>
      <x:c r="E640" t="str">
        <x:f>'Release Gates'!J620</x:f>
        <x:v>OPEN</x:v>
      </x:c>
      <x:c r="F640" t="str">
        <x:f>IF('Release Gates'!C620="PLANNING","PASS",IF('Release Gates'!C620="PHYSICAL","OPEN","BLOCKED"))</x:f>
        <x:v>OPEN</x:v>
      </x:c>
      <x:c r="G640" t="str">
        <x:v>equals</x:v>
      </x:c>
      <x:c r="H640" t="str">
        <x:f>IF(E640=F640,"PASS","FAIL")</x:f>
        <x:v>PASS</x:v>
      </x:c>
    </x:row>
    <x:row r="641">
      <x:c r="B641" t="str">
        <x:v>A-615</x:v>
      </x:c>
      <x:c r="C641" t="str">
        <x:v>GATE</x:v>
      </x:c>
      <x:c r="D641" t="str">
        <x:v>release ledger mirrors governing state</x:v>
      </x:c>
      <x:c r="E641" t="str">
        <x:f>'Release Gates'!J621</x:f>
        <x:v>OPEN</x:v>
      </x:c>
      <x:c r="F641" t="str">
        <x:f>IF('Release Gates'!C621="PLANNING","PASS",IF('Release Gates'!C621="PHYSICAL","OPEN","BLOCKED"))</x:f>
        <x:v>OPEN</x:v>
      </x:c>
      <x:c r="G641" t="str">
        <x:v>equals</x:v>
      </x:c>
      <x:c r="H641" t="str">
        <x:f>IF(E641=F641,"PASS","FAIL")</x:f>
        <x:v>PASS</x:v>
      </x:c>
    </x:row>
    <x:row r="642">
      <x:c r="B642" t="str">
        <x:v>A-616</x:v>
      </x:c>
      <x:c r="C642" t="str">
        <x:v>GATE</x:v>
      </x:c>
      <x:c r="D642" t="str">
        <x:v>release ledger mirrors governing state</x:v>
      </x:c>
      <x:c r="E642" t="str">
        <x:f>'Release Gates'!J622</x:f>
        <x:v>OPEN</x:v>
      </x:c>
      <x:c r="F642" t="str">
        <x:f>IF('Release Gates'!C622="PLANNING","PASS",IF('Release Gates'!C622="PHYSICAL","OPEN","BLOCKED"))</x:f>
        <x:v>OPEN</x:v>
      </x:c>
      <x:c r="G642" t="str">
        <x:v>equals</x:v>
      </x:c>
      <x:c r="H642" t="str">
        <x:f>IF(E642=F642,"PASS","FAIL")</x:f>
        <x:v>PASS</x:v>
      </x:c>
    </x:row>
    <x:row r="643">
      <x:c r="B643" t="str">
        <x:v>A-617</x:v>
      </x:c>
      <x:c r="C643" t="str">
        <x:v>GATE</x:v>
      </x:c>
      <x:c r="D643" t="str">
        <x:v>release ledger mirrors governing state</x:v>
      </x:c>
      <x:c r="E643" t="str">
        <x:f>'Release Gates'!J623</x:f>
        <x:v>OPEN</x:v>
      </x:c>
      <x:c r="F643" t="str">
        <x:f>IF('Release Gates'!C623="PLANNING","PASS",IF('Release Gates'!C623="PHYSICAL","OPEN","BLOCKED"))</x:f>
        <x:v>OPEN</x:v>
      </x:c>
      <x:c r="G643" t="str">
        <x:v>equals</x:v>
      </x:c>
      <x:c r="H643" t="str">
        <x:f>IF(E643=F643,"PASS","FAIL")</x:f>
        <x:v>PASS</x:v>
      </x:c>
    </x:row>
    <x:row r="644">
      <x:c r="B644" t="str">
        <x:v>A-618</x:v>
      </x:c>
      <x:c r="C644" t="str">
        <x:v>GATE</x:v>
      </x:c>
      <x:c r="D644" t="str">
        <x:v>release ledger mirrors governing state</x:v>
      </x:c>
      <x:c r="E644" t="str">
        <x:f>'Release Gates'!J624</x:f>
        <x:v>OPEN</x:v>
      </x:c>
      <x:c r="F644" t="str">
        <x:f>IF('Release Gates'!C624="PLANNING","PASS",IF('Release Gates'!C624="PHYSICAL","OPEN","BLOCKED"))</x:f>
        <x:v>OPEN</x:v>
      </x:c>
      <x:c r="G644" t="str">
        <x:v>equals</x:v>
      </x:c>
      <x:c r="H644" t="str">
        <x:f>IF(E644=F644,"PASS","FAIL")</x:f>
        <x:v>PASS</x:v>
      </x:c>
    </x:row>
    <x:row r="645">
      <x:c r="B645" t="str">
        <x:v>A-619</x:v>
      </x:c>
      <x:c r="C645" t="str">
        <x:v>GATE</x:v>
      </x:c>
      <x:c r="D645" t="str">
        <x:v>release ledger mirrors governing state</x:v>
      </x:c>
      <x:c r="E645" t="str">
        <x:f>'Release Gates'!J625</x:f>
        <x:v>OPEN</x:v>
      </x:c>
      <x:c r="F645" t="str">
        <x:f>IF('Release Gates'!C625="PLANNING","PASS",IF('Release Gates'!C625="PHYSICAL","OPEN","BLOCKED"))</x:f>
        <x:v>OPEN</x:v>
      </x:c>
      <x:c r="G645" t="str">
        <x:v>equals</x:v>
      </x:c>
      <x:c r="H645" t="str">
        <x:f>IF(E645=F645,"PASS","FAIL")</x:f>
        <x:v>PASS</x:v>
      </x:c>
    </x:row>
    <x:row r="646">
      <x:c r="B646" t="str">
        <x:v>A-620</x:v>
      </x:c>
      <x:c r="C646" t="str">
        <x:v>GATE</x:v>
      </x:c>
      <x:c r="D646" t="str">
        <x:v>release ledger mirrors governing state</x:v>
      </x:c>
      <x:c r="E646" t="str">
        <x:f>'Release Gates'!J626</x:f>
        <x:v>OPEN</x:v>
      </x:c>
      <x:c r="F646" t="str">
        <x:f>IF('Release Gates'!C626="PLANNING","PASS",IF('Release Gates'!C626="PHYSICAL","OPEN","BLOCKED"))</x:f>
        <x:v>OPEN</x:v>
      </x:c>
      <x:c r="G646" t="str">
        <x:v>equals</x:v>
      </x:c>
      <x:c r="H646" t="str">
        <x:f>IF(E646=F646,"PASS","FAIL")</x:f>
        <x:v>PASS</x:v>
      </x:c>
    </x:row>
    <x:row r="647">
      <x:c r="B647" t="str">
        <x:v>A-621</x:v>
      </x:c>
      <x:c r="C647" t="str">
        <x:v>GATE</x:v>
      </x:c>
      <x:c r="D647" t="str">
        <x:v>release ledger mirrors governing state</x:v>
      </x:c>
      <x:c r="E647" t="str">
        <x:f>'Release Gates'!J627</x:f>
        <x:v>OPEN</x:v>
      </x:c>
      <x:c r="F647" t="str">
        <x:f>IF('Release Gates'!C627="PLANNING","PASS",IF('Release Gates'!C627="PHYSICAL","OPEN","BLOCKED"))</x:f>
        <x:v>OPEN</x:v>
      </x:c>
      <x:c r="G647" t="str">
        <x:v>equals</x:v>
      </x:c>
      <x:c r="H647" t="str">
        <x:f>IF(E647=F647,"PASS","FAIL")</x:f>
        <x:v>PASS</x:v>
      </x:c>
    </x:row>
    <x:row r="648">
      <x:c r="B648" t="str">
        <x:v>A-622</x:v>
      </x:c>
      <x:c r="C648" t="str">
        <x:v>GATE</x:v>
      </x:c>
      <x:c r="D648" t="str">
        <x:v>release ledger mirrors governing state</x:v>
      </x:c>
      <x:c r="E648" t="str">
        <x:f>'Release Gates'!J628</x:f>
        <x:v>OPEN</x:v>
      </x:c>
      <x:c r="F648" t="str">
        <x:f>IF('Release Gates'!C628="PLANNING","PASS",IF('Release Gates'!C628="PHYSICAL","OPEN","BLOCKED"))</x:f>
        <x:v>OPEN</x:v>
      </x:c>
      <x:c r="G648" t="str">
        <x:v>equals</x:v>
      </x:c>
      <x:c r="H648" t="str">
        <x:f>IF(E648=F648,"PASS","FAIL")</x:f>
        <x:v>PASS</x:v>
      </x:c>
    </x:row>
    <x:row r="649">
      <x:c r="B649" t="str">
        <x:v>A-623</x:v>
      </x:c>
      <x:c r="C649" t="str">
        <x:v>GATE</x:v>
      </x:c>
      <x:c r="D649" t="str">
        <x:v>release ledger mirrors governing state</x:v>
      </x:c>
      <x:c r="E649" t="str">
        <x:f>'Release Gates'!J629</x:f>
        <x:v>OPEN</x:v>
      </x:c>
      <x:c r="F649" t="str">
        <x:f>IF('Release Gates'!C629="PLANNING","PASS",IF('Release Gates'!C629="PHYSICAL","OPEN","BLOCKED"))</x:f>
        <x:v>OPEN</x:v>
      </x:c>
      <x:c r="G649" t="str">
        <x:v>equals</x:v>
      </x:c>
      <x:c r="H649" t="str">
        <x:f>IF(E649=F649,"PASS","FAIL")</x:f>
        <x:v>PASS</x:v>
      </x:c>
    </x:row>
    <x:row r="650">
      <x:c r="B650" t="str">
        <x:v>A-624</x:v>
      </x:c>
      <x:c r="C650" t="str">
        <x:v>GATE</x:v>
      </x:c>
      <x:c r="D650" t="str">
        <x:v>release ledger mirrors governing state</x:v>
      </x:c>
      <x:c r="E650" t="str">
        <x:f>'Release Gates'!J630</x:f>
        <x:v>OPEN</x:v>
      </x:c>
      <x:c r="F650" t="str">
        <x:f>IF('Release Gates'!C630="PLANNING","PASS",IF('Release Gates'!C630="PHYSICAL","OPEN","BLOCKED"))</x:f>
        <x:v>OPEN</x:v>
      </x:c>
      <x:c r="G650" t="str">
        <x:v>equals</x:v>
      </x:c>
      <x:c r="H650" t="str">
        <x:f>IF(E650=F650,"PASS","FAIL")</x:f>
        <x:v>PASS</x:v>
      </x:c>
    </x:row>
    <x:row r="651">
      <x:c r="B651" t="str">
        <x:v>A-625</x:v>
      </x:c>
      <x:c r="C651" t="str">
        <x:v>GATE</x:v>
      </x:c>
      <x:c r="D651" t="str">
        <x:v>release ledger mirrors governing state</x:v>
      </x:c>
      <x:c r="E651" t="str">
        <x:f>'Release Gates'!J631</x:f>
        <x:v>OPEN</x:v>
      </x:c>
      <x:c r="F651" t="str">
        <x:f>IF('Release Gates'!C631="PLANNING","PASS",IF('Release Gates'!C631="PHYSICAL","OPEN","BLOCKED"))</x:f>
        <x:v>OPEN</x:v>
      </x:c>
      <x:c r="G651" t="str">
        <x:v>equals</x:v>
      </x:c>
      <x:c r="H651" t="str">
        <x:f>IF(E651=F651,"PASS","FAIL")</x:f>
        <x:v>PASS</x:v>
      </x:c>
    </x:row>
    <x:row r="652">
      <x:c r="B652" t="str">
        <x:v>A-626</x:v>
      </x:c>
      <x:c r="C652" t="str">
        <x:v>GATE</x:v>
      </x:c>
      <x:c r="D652" t="str">
        <x:v>release ledger mirrors governing state</x:v>
      </x:c>
      <x:c r="E652" t="str">
        <x:f>'Release Gates'!J632</x:f>
        <x:v>OPEN</x:v>
      </x:c>
      <x:c r="F652" t="str">
        <x:f>IF('Release Gates'!C632="PLANNING","PASS",IF('Release Gates'!C632="PHYSICAL","OPEN","BLOCKED"))</x:f>
        <x:v>OPEN</x:v>
      </x:c>
      <x:c r="G652" t="str">
        <x:v>equals</x:v>
      </x:c>
      <x:c r="H652" t="str">
        <x:f>IF(E652=F652,"PASS","FAIL")</x:f>
        <x:v>PASS</x:v>
      </x:c>
    </x:row>
    <x:row r="653">
      <x:c r="B653" t="str">
        <x:v>A-627</x:v>
      </x:c>
      <x:c r="C653" t="str">
        <x:v>GATE</x:v>
      </x:c>
      <x:c r="D653" t="str">
        <x:v>release ledger mirrors governing state</x:v>
      </x:c>
      <x:c r="E653" t="str">
        <x:f>'Release Gates'!J633</x:f>
        <x:v>OPEN</x:v>
      </x:c>
      <x:c r="F653" t="str">
        <x:f>IF('Release Gates'!C633="PLANNING","PASS",IF('Release Gates'!C633="PHYSICAL","OPEN","BLOCKED"))</x:f>
        <x:v>OPEN</x:v>
      </x:c>
      <x:c r="G653" t="str">
        <x:v>equals</x:v>
      </x:c>
      <x:c r="H653" t="str">
        <x:f>IF(E653=F653,"PASS","FAIL")</x:f>
        <x:v>PASS</x:v>
      </x:c>
    </x:row>
    <x:row r="654">
      <x:c r="B654" t="str">
        <x:v>A-628</x:v>
      </x:c>
      <x:c r="C654" t="str">
        <x:v>GATE</x:v>
      </x:c>
      <x:c r="D654" t="str">
        <x:v>release ledger mirrors governing state</x:v>
      </x:c>
      <x:c r="E654" t="str">
        <x:f>'Release Gates'!J634</x:f>
        <x:v>OPEN</x:v>
      </x:c>
      <x:c r="F654" t="str">
        <x:f>IF('Release Gates'!C634="PLANNING","PASS",IF('Release Gates'!C634="PHYSICAL","OPEN","BLOCKED"))</x:f>
        <x:v>OPEN</x:v>
      </x:c>
      <x:c r="G654" t="str">
        <x:v>equals</x:v>
      </x:c>
      <x:c r="H654" t="str">
        <x:f>IF(E654=F654,"PASS","FAIL")</x:f>
        <x:v>PASS</x:v>
      </x:c>
    </x:row>
    <x:row r="655">
      <x:c r="B655" t="str">
        <x:v>A-629</x:v>
      </x:c>
      <x:c r="C655" t="str">
        <x:v>GATE</x:v>
      </x:c>
      <x:c r="D655" t="str">
        <x:v>release ledger mirrors governing state</x:v>
      </x:c>
      <x:c r="E655" t="str">
        <x:f>'Release Gates'!J635</x:f>
        <x:v>OPEN</x:v>
      </x:c>
      <x:c r="F655" t="str">
        <x:f>IF('Release Gates'!C635="PLANNING","PASS",IF('Release Gates'!C635="PHYSICAL","OPEN","BLOCKED"))</x:f>
        <x:v>OPEN</x:v>
      </x:c>
      <x:c r="G655" t="str">
        <x:v>equals</x:v>
      </x:c>
      <x:c r="H655" t="str">
        <x:f>IF(E655=F655,"PASS","FAIL")</x:f>
        <x:v>PASS</x:v>
      </x:c>
    </x:row>
    <x:row r="656">
      <x:c r="B656" t="str">
        <x:v>A-630</x:v>
      </x:c>
      <x:c r="C656" t="str">
        <x:v>GATE</x:v>
      </x:c>
      <x:c r="D656" t="str">
        <x:v>release ledger mirrors governing state</x:v>
      </x:c>
      <x:c r="E656" t="str">
        <x:f>'Release Gates'!J636</x:f>
        <x:v>OPEN</x:v>
      </x:c>
      <x:c r="F656" t="str">
        <x:f>IF('Release Gates'!C636="PLANNING","PASS",IF('Release Gates'!C636="PHYSICAL","OPEN","BLOCKED"))</x:f>
        <x:v>OPEN</x:v>
      </x:c>
      <x:c r="G656" t="str">
        <x:v>equals</x:v>
      </x:c>
      <x:c r="H656" t="str">
        <x:f>IF(E656=F656,"PASS","FAIL")</x:f>
        <x:v>PASS</x:v>
      </x:c>
    </x:row>
    <x:row r="657">
      <x:c r="B657" t="str">
        <x:v>A-631</x:v>
      </x:c>
      <x:c r="C657" t="str">
        <x:v>GATE</x:v>
      </x:c>
      <x:c r="D657" t="str">
        <x:v>release ledger mirrors governing state</x:v>
      </x:c>
      <x:c r="E657" t="str">
        <x:f>'Release Gates'!J637</x:f>
        <x:v>OPEN</x:v>
      </x:c>
      <x:c r="F657" t="str">
        <x:f>IF('Release Gates'!C637="PLANNING","PASS",IF('Release Gates'!C637="PHYSICAL","OPEN","BLOCKED"))</x:f>
        <x:v>OPEN</x:v>
      </x:c>
      <x:c r="G657" t="str">
        <x:v>equals</x:v>
      </x:c>
      <x:c r="H657" t="str">
        <x:f>IF(E657=F657,"PASS","FAIL")</x:f>
        <x:v>PASS</x:v>
      </x:c>
    </x:row>
    <x:row r="658">
      <x:c r="B658" t="str">
        <x:v>A-632</x:v>
      </x:c>
      <x:c r="C658" t="str">
        <x:v>GATE</x:v>
      </x:c>
      <x:c r="D658" t="str">
        <x:v>release ledger mirrors governing state</x:v>
      </x:c>
      <x:c r="E658" t="str">
        <x:f>'Release Gates'!J638</x:f>
        <x:v>OPEN</x:v>
      </x:c>
      <x:c r="F658" t="str">
        <x:f>IF('Release Gates'!C638="PLANNING","PASS",IF('Release Gates'!C638="PHYSICAL","OPEN","BLOCKED"))</x:f>
        <x:v>OPEN</x:v>
      </x:c>
      <x:c r="G658" t="str">
        <x:v>equals</x:v>
      </x:c>
      <x:c r="H658" t="str">
        <x:f>IF(E658=F658,"PASS","FAIL")</x:f>
        <x:v>PASS</x:v>
      </x:c>
    </x:row>
    <x:row r="659">
      <x:c r="B659" t="str">
        <x:v>A-633</x:v>
      </x:c>
      <x:c r="C659" t="str">
        <x:v>GATE</x:v>
      </x:c>
      <x:c r="D659" t="str">
        <x:v>release ledger mirrors governing state</x:v>
      </x:c>
      <x:c r="E659" t="str">
        <x:f>'Release Gates'!J639</x:f>
        <x:v>OPEN</x:v>
      </x:c>
      <x:c r="F659" t="str">
        <x:f>IF('Release Gates'!C639="PLANNING","PASS",IF('Release Gates'!C639="PHYSICAL","OPEN","BLOCKED"))</x:f>
        <x:v>OPEN</x:v>
      </x:c>
      <x:c r="G659" t="str">
        <x:v>equals</x:v>
      </x:c>
      <x:c r="H659" t="str">
        <x:f>IF(E659=F659,"PASS","FAIL")</x:f>
        <x:v>PASS</x:v>
      </x:c>
    </x:row>
    <x:row r="660">
      <x:c r="B660" t="str">
        <x:v>A-634</x:v>
      </x:c>
      <x:c r="C660" t="str">
        <x:v>GATE</x:v>
      </x:c>
      <x:c r="D660" t="str">
        <x:v>release ledger mirrors governing state</x:v>
      </x:c>
      <x:c r="E660" t="str">
        <x:f>'Release Gates'!J640</x:f>
        <x:v>OPEN</x:v>
      </x:c>
      <x:c r="F660" t="str">
        <x:f>IF('Release Gates'!C640="PLANNING","PASS",IF('Release Gates'!C640="PHYSICAL","OPEN","BLOCKED"))</x:f>
        <x:v>OPEN</x:v>
      </x:c>
      <x:c r="G660" t="str">
        <x:v>equals</x:v>
      </x:c>
      <x:c r="H660" t="str">
        <x:f>IF(E660=F660,"PASS","FAIL")</x:f>
        <x:v>PASS</x:v>
      </x:c>
    </x:row>
    <x:row r="661">
      <x:c r="B661" t="str">
        <x:v>A-635</x:v>
      </x:c>
      <x:c r="C661" t="str">
        <x:v>GATE</x:v>
      </x:c>
      <x:c r="D661" t="str">
        <x:v>release ledger mirrors governing state</x:v>
      </x:c>
      <x:c r="E661" t="str">
        <x:f>'Release Gates'!J641</x:f>
        <x:v>OPEN</x:v>
      </x:c>
      <x:c r="F661" t="str">
        <x:f>IF('Release Gates'!C641="PLANNING","PASS",IF('Release Gates'!C641="PHYSICAL","OPEN","BLOCKED"))</x:f>
        <x:v>OPEN</x:v>
      </x:c>
      <x:c r="G661" t="str">
        <x:v>equals</x:v>
      </x:c>
      <x:c r="H661" t="str">
        <x:f>IF(E661=F661,"PASS","FAIL")</x:f>
        <x:v>PASS</x:v>
      </x:c>
    </x:row>
    <x:row r="662">
      <x:c r="B662" t="str">
        <x:v>A-636</x:v>
      </x:c>
      <x:c r="C662" t="str">
        <x:v>GATE</x:v>
      </x:c>
      <x:c r="D662" t="str">
        <x:v>release ledger mirrors governing state</x:v>
      </x:c>
      <x:c r="E662" t="str">
        <x:f>'Release Gates'!J642</x:f>
        <x:v>OPEN</x:v>
      </x:c>
      <x:c r="F662" t="str">
        <x:f>IF('Release Gates'!C642="PLANNING","PASS",IF('Release Gates'!C642="PHYSICAL","OPEN","BLOCKED"))</x:f>
        <x:v>OPEN</x:v>
      </x:c>
      <x:c r="G662" t="str">
        <x:v>equals</x:v>
      </x:c>
      <x:c r="H662" t="str">
        <x:f>IF(E662=F662,"PASS","FAIL")</x:f>
        <x:v>PASS</x:v>
      </x:c>
    </x:row>
    <x:row r="663">
      <x:c r="B663" t="str">
        <x:v>A-637</x:v>
      </x:c>
      <x:c r="C663" t="str">
        <x:v>GATE</x:v>
      </x:c>
      <x:c r="D663" t="str">
        <x:v>release ledger mirrors governing state</x:v>
      </x:c>
      <x:c r="E663" t="str">
        <x:f>'Release Gates'!J643</x:f>
        <x:v>OPEN</x:v>
      </x:c>
      <x:c r="F663" t="str">
        <x:f>IF('Release Gates'!C643="PLANNING","PASS",IF('Release Gates'!C643="PHYSICAL","OPEN","BLOCKED"))</x:f>
        <x:v>OPEN</x:v>
      </x:c>
      <x:c r="G663" t="str">
        <x:v>equals</x:v>
      </x:c>
      <x:c r="H663" t="str">
        <x:f>IF(E663=F663,"PASS","FAIL")</x:f>
        <x:v>PASS</x:v>
      </x:c>
    </x:row>
    <x:row r="664">
      <x:c r="B664" t="str">
        <x:v>A-638</x:v>
      </x:c>
      <x:c r="C664" t="str">
        <x:v>GATE</x:v>
      </x:c>
      <x:c r="D664" t="str">
        <x:v>release ledger mirrors governing state</x:v>
      </x:c>
      <x:c r="E664" t="str">
        <x:f>'Release Gates'!J644</x:f>
        <x:v>OPEN</x:v>
      </x:c>
      <x:c r="F664" t="str">
        <x:f>IF('Release Gates'!C644="PLANNING","PASS",IF('Release Gates'!C644="PHYSICAL","OPEN","BLOCKED"))</x:f>
        <x:v>OPEN</x:v>
      </x:c>
      <x:c r="G664" t="str">
        <x:v>equals</x:v>
      </x:c>
      <x:c r="H664" t="str">
        <x:f>IF(E664=F664,"PASS","FAIL")</x:f>
        <x:v>PASS</x:v>
      </x:c>
    </x:row>
    <x:row r="665">
      <x:c r="B665" t="str">
        <x:v>A-639</x:v>
      </x:c>
      <x:c r="C665" t="str">
        <x:v>GATE</x:v>
      </x:c>
      <x:c r="D665" t="str">
        <x:v>release ledger mirrors governing state</x:v>
      </x:c>
      <x:c r="E665" t="str">
        <x:f>'Release Gates'!J645</x:f>
        <x:v>OPEN</x:v>
      </x:c>
      <x:c r="F665" t="str">
        <x:f>IF('Release Gates'!C645="PLANNING","PASS",IF('Release Gates'!C645="PHYSICAL","OPEN","BLOCKED"))</x:f>
        <x:v>OPEN</x:v>
      </x:c>
      <x:c r="G665" t="str">
        <x:v>equals</x:v>
      </x:c>
      <x:c r="H665" t="str">
        <x:f>IF(E665=F665,"PASS","FAIL")</x:f>
        <x:v>PASS</x:v>
      </x:c>
    </x:row>
    <x:row r="666">
      <x:c r="B666" t="str">
        <x:v>A-640</x:v>
      </x:c>
      <x:c r="C666" t="str">
        <x:v>GATE</x:v>
      </x:c>
      <x:c r="D666" t="str">
        <x:v>release ledger mirrors governing state</x:v>
      </x:c>
      <x:c r="E666" t="str">
        <x:f>'Release Gates'!J646</x:f>
        <x:v>OPEN</x:v>
      </x:c>
      <x:c r="F666" t="str">
        <x:f>IF('Release Gates'!C646="PLANNING","PASS",IF('Release Gates'!C646="PHYSICAL","OPEN","BLOCKED"))</x:f>
        <x:v>OPEN</x:v>
      </x:c>
      <x:c r="G666" t="str">
        <x:v>equals</x:v>
      </x:c>
      <x:c r="H666" t="str">
        <x:f>IF(E666=F666,"PASS","FAIL")</x:f>
        <x:v>PASS</x:v>
      </x:c>
    </x:row>
    <x:row r="667">
      <x:c r="B667" t="str">
        <x:v>A-641</x:v>
      </x:c>
      <x:c r="C667" t="str">
        <x:v>GATE</x:v>
      </x:c>
      <x:c r="D667" t="str">
        <x:v>release ledger mirrors governing state</x:v>
      </x:c>
      <x:c r="E667" t="str">
        <x:f>'Release Gates'!J647</x:f>
        <x:v>OPEN</x:v>
      </x:c>
      <x:c r="F667" t="str">
        <x:f>IF('Release Gates'!C647="PLANNING","PASS",IF('Release Gates'!C647="PHYSICAL","OPEN","BLOCKED"))</x:f>
        <x:v>OPEN</x:v>
      </x:c>
      <x:c r="G667" t="str">
        <x:v>equals</x:v>
      </x:c>
      <x:c r="H667" t="str">
        <x:f>IF(E667=F667,"PASS","FAIL")</x:f>
        <x:v>PASS</x:v>
      </x:c>
    </x:row>
    <x:row r="668">
      <x:c r="B668" t="str">
        <x:v>A-642</x:v>
      </x:c>
      <x:c r="C668" t="str">
        <x:v>GATE</x:v>
      </x:c>
      <x:c r="D668" t="str">
        <x:v>release ledger mirrors governing state</x:v>
      </x:c>
      <x:c r="E668" t="str">
        <x:f>'Release Gates'!J648</x:f>
        <x:v>OPEN</x:v>
      </x:c>
      <x:c r="F668" t="str">
        <x:f>IF('Release Gates'!C648="PLANNING","PASS",IF('Release Gates'!C648="PHYSICAL","OPEN","BLOCKED"))</x:f>
        <x:v>OPEN</x:v>
      </x:c>
      <x:c r="G668" t="str">
        <x:v>equals</x:v>
      </x:c>
      <x:c r="H668" t="str">
        <x:f>IF(E668=F668,"PASS","FAIL")</x:f>
        <x:v>PASS</x:v>
      </x:c>
    </x:row>
    <x:row r="669">
      <x:c r="B669" t="str">
        <x:v>A-643</x:v>
      </x:c>
      <x:c r="C669" t="str">
        <x:v>GATE</x:v>
      </x:c>
      <x:c r="D669" t="str">
        <x:v>release ledger mirrors governing state</x:v>
      </x:c>
      <x:c r="E669" t="str">
        <x:f>'Release Gates'!J649</x:f>
        <x:v>OPEN</x:v>
      </x:c>
      <x:c r="F669" t="str">
        <x:f>IF('Release Gates'!C649="PLANNING","PASS",IF('Release Gates'!C649="PHYSICAL","OPEN","BLOCKED"))</x:f>
        <x:v>OPEN</x:v>
      </x:c>
      <x:c r="G669" t="str">
        <x:v>equals</x:v>
      </x:c>
      <x:c r="H669" t="str">
        <x:f>IF(E669=F669,"PASS","FAIL")</x:f>
        <x:v>PASS</x:v>
      </x:c>
    </x:row>
    <x:row r="670">
      <x:c r="B670" t="str">
        <x:v>A-644</x:v>
      </x:c>
      <x:c r="C670" t="str">
        <x:v>GATE</x:v>
      </x:c>
      <x:c r="D670" t="str">
        <x:v>release ledger mirrors governing state</x:v>
      </x:c>
      <x:c r="E670" t="str">
        <x:f>'Release Gates'!J650</x:f>
        <x:v>OPEN</x:v>
      </x:c>
      <x:c r="F670" t="str">
        <x:f>IF('Release Gates'!C650="PLANNING","PASS",IF('Release Gates'!C650="PHYSICAL","OPEN","BLOCKED"))</x:f>
        <x:v>OPEN</x:v>
      </x:c>
      <x:c r="G670" t="str">
        <x:v>equals</x:v>
      </x:c>
      <x:c r="H670" t="str">
        <x:f>IF(E670=F670,"PASS","FAIL")</x:f>
        <x:v>PASS</x:v>
      </x:c>
    </x:row>
    <x:row r="671">
      <x:c r="B671" t="str">
        <x:v>A-645</x:v>
      </x:c>
      <x:c r="C671" t="str">
        <x:v>GATE</x:v>
      </x:c>
      <x:c r="D671" t="str">
        <x:v>release ledger mirrors governing state</x:v>
      </x:c>
      <x:c r="E671" t="str">
        <x:f>'Release Gates'!J651</x:f>
        <x:v>OPEN</x:v>
      </x:c>
      <x:c r="F671" t="str">
        <x:f>IF('Release Gates'!C651="PLANNING","PASS",IF('Release Gates'!C651="PHYSICAL","OPEN","BLOCKED"))</x:f>
        <x:v>OPEN</x:v>
      </x:c>
      <x:c r="G671" t="str">
        <x:v>equals</x:v>
      </x:c>
      <x:c r="H671" t="str">
        <x:f>IF(E671=F671,"PASS","FAIL")</x:f>
        <x:v>PASS</x:v>
      </x:c>
    </x:row>
    <x:row r="672">
      <x:c r="B672" t="str">
        <x:v>A-646</x:v>
      </x:c>
      <x:c r="C672" t="str">
        <x:v>GATE</x:v>
      </x:c>
      <x:c r="D672" t="str">
        <x:v>release ledger mirrors governing state</x:v>
      </x:c>
      <x:c r="E672" t="str">
        <x:f>'Release Gates'!J652</x:f>
        <x:v>OPEN</x:v>
      </x:c>
      <x:c r="F672" t="str">
        <x:f>IF('Release Gates'!C652="PLANNING","PASS",IF('Release Gates'!C652="PHYSICAL","OPEN","BLOCKED"))</x:f>
        <x:v>OPEN</x:v>
      </x:c>
      <x:c r="G672" t="str">
        <x:v>equals</x:v>
      </x:c>
      <x:c r="H672" t="str">
        <x:f>IF(E672=F672,"PASS","FAIL")</x:f>
        <x:v>PASS</x:v>
      </x:c>
    </x:row>
    <x:row r="673">
      <x:c r="B673" t="str">
        <x:v>A-647</x:v>
      </x:c>
      <x:c r="C673" t="str">
        <x:v>GATE</x:v>
      </x:c>
      <x:c r="D673" t="str">
        <x:v>release ledger mirrors governing state</x:v>
      </x:c>
      <x:c r="E673" t="str">
        <x:f>'Release Gates'!J653</x:f>
        <x:v>OPEN</x:v>
      </x:c>
      <x:c r="F673" t="str">
        <x:f>IF('Release Gates'!C653="PLANNING","PASS",IF('Release Gates'!C653="PHYSICAL","OPEN","BLOCKED"))</x:f>
        <x:v>OPEN</x:v>
      </x:c>
      <x:c r="G673" t="str">
        <x:v>equals</x:v>
      </x:c>
      <x:c r="H673" t="str">
        <x:f>IF(E673=F673,"PASS","FAIL")</x:f>
        <x:v>PASS</x:v>
      </x:c>
    </x:row>
    <x:row r="674">
      <x:c r="B674" t="str">
        <x:v>A-648</x:v>
      </x:c>
      <x:c r="C674" t="str">
        <x:v>GATE</x:v>
      </x:c>
      <x:c r="D674" t="str">
        <x:v>release ledger mirrors governing state</x:v>
      </x:c>
      <x:c r="E674" t="str">
        <x:f>'Release Gates'!J654</x:f>
        <x:v>OPEN</x:v>
      </x:c>
      <x:c r="F674" t="str">
        <x:f>IF('Release Gates'!C654="PLANNING","PASS",IF('Release Gates'!C654="PHYSICAL","OPEN","BLOCKED"))</x:f>
        <x:v>OPEN</x:v>
      </x:c>
      <x:c r="G674" t="str">
        <x:v>equals</x:v>
      </x:c>
      <x:c r="H674" t="str">
        <x:f>IF(E674=F674,"PASS","FAIL")</x:f>
        <x:v>PASS</x:v>
      </x:c>
    </x:row>
    <x:row r="675">
      <x:c r="B675" t="str">
        <x:v>A-649</x:v>
      </x:c>
      <x:c r="C675" t="str">
        <x:v>GATE</x:v>
      </x:c>
      <x:c r="D675" t="str">
        <x:v>release ledger mirrors governing state</x:v>
      </x:c>
      <x:c r="E675" t="str">
        <x:f>'Release Gates'!J655</x:f>
        <x:v>OPEN</x:v>
      </x:c>
      <x:c r="F675" t="str">
        <x:f>IF('Release Gates'!C655="PLANNING","PASS",IF('Release Gates'!C655="PHYSICAL","OPEN","BLOCKED"))</x:f>
        <x:v>OPEN</x:v>
      </x:c>
      <x:c r="G675" t="str">
        <x:v>equals</x:v>
      </x:c>
      <x:c r="H675" t="str">
        <x:f>IF(E675=F675,"PASS","FAIL")</x:f>
        <x:v>PASS</x:v>
      </x:c>
    </x:row>
    <x:row r="676">
      <x:c r="B676" t="str">
        <x:v>A-650</x:v>
      </x:c>
      <x:c r="C676" t="str">
        <x:v>GATE</x:v>
      </x:c>
      <x:c r="D676" t="str">
        <x:v>release ledger mirrors governing state</x:v>
      </x:c>
      <x:c r="E676" t="str">
        <x:f>'Release Gates'!J656</x:f>
        <x:v>OPEN</x:v>
      </x:c>
      <x:c r="F676" t="str">
        <x:f>IF('Release Gates'!C656="PLANNING","PASS",IF('Release Gates'!C656="PHYSICAL","OPEN","BLOCKED"))</x:f>
        <x:v>OPEN</x:v>
      </x:c>
      <x:c r="G676" t="str">
        <x:v>equals</x:v>
      </x:c>
      <x:c r="H676" t="str">
        <x:f>IF(E676=F676,"PASS","FAIL")</x:f>
        <x:v>PASS</x:v>
      </x:c>
    </x:row>
    <x:row r="677">
      <x:c r="B677" t="str">
        <x:v>A-651</x:v>
      </x:c>
      <x:c r="C677" t="str">
        <x:v>GATE</x:v>
      </x:c>
      <x:c r="D677" t="str">
        <x:v>release ledger mirrors governing state</x:v>
      </x:c>
      <x:c r="E677" t="str">
        <x:f>'Release Gates'!J657</x:f>
        <x:v>OPEN</x:v>
      </x:c>
      <x:c r="F677" t="str">
        <x:f>IF('Release Gates'!C657="PLANNING","PASS",IF('Release Gates'!C657="PHYSICAL","OPEN","BLOCKED"))</x:f>
        <x:v>OPEN</x:v>
      </x:c>
      <x:c r="G677" t="str">
        <x:v>equals</x:v>
      </x:c>
      <x:c r="H677" t="str">
        <x:f>IF(E677=F677,"PASS","FAIL")</x:f>
        <x:v>PASS</x:v>
      </x:c>
    </x:row>
    <x:row r="678">
      <x:c r="B678" t="str">
        <x:v>A-652</x:v>
      </x:c>
      <x:c r="C678" t="str">
        <x:v>GATE</x:v>
      </x:c>
      <x:c r="D678" t="str">
        <x:v>release ledger mirrors governing state</x:v>
      </x:c>
      <x:c r="E678" t="str">
        <x:f>'Release Gates'!J658</x:f>
        <x:v>OPEN</x:v>
      </x:c>
      <x:c r="F678" t="str">
        <x:f>IF('Release Gates'!C658="PLANNING","PASS",IF('Release Gates'!C658="PHYSICAL","OPEN","BLOCKED"))</x:f>
        <x:v>OPEN</x:v>
      </x:c>
      <x:c r="G678" t="str">
        <x:v>equals</x:v>
      </x:c>
      <x:c r="H678" t="str">
        <x:f>IF(E678=F678,"PASS","FAIL")</x:f>
        <x:v>PASS</x:v>
      </x:c>
    </x:row>
    <x:row r="679">
      <x:c r="B679" t="str">
        <x:v>A-653</x:v>
      </x:c>
      <x:c r="C679" t="str">
        <x:v>GATE</x:v>
      </x:c>
      <x:c r="D679" t="str">
        <x:v>release ledger mirrors governing state</x:v>
      </x:c>
      <x:c r="E679" t="str">
        <x:f>'Release Gates'!J659</x:f>
        <x:v>OPEN</x:v>
      </x:c>
      <x:c r="F679" t="str">
        <x:f>IF('Release Gates'!C659="PLANNING","PASS",IF('Release Gates'!C659="PHYSICAL","OPEN","BLOCKED"))</x:f>
        <x:v>OPEN</x:v>
      </x:c>
      <x:c r="G679" t="str">
        <x:v>equals</x:v>
      </x:c>
      <x:c r="H679" t="str">
        <x:f>IF(E679=F679,"PASS","FAIL")</x:f>
        <x:v>PASS</x:v>
      </x:c>
    </x:row>
    <x:row r="680">
      <x:c r="B680" t="str">
        <x:v>A-654</x:v>
      </x:c>
      <x:c r="C680" t="str">
        <x:v>GATE</x:v>
      </x:c>
      <x:c r="D680" t="str">
        <x:v>release ledger mirrors governing state</x:v>
      </x:c>
      <x:c r="E680" t="str">
        <x:f>'Release Gates'!J660</x:f>
        <x:v>OPEN</x:v>
      </x:c>
      <x:c r="F680" t="str">
        <x:f>IF('Release Gates'!C660="PLANNING","PASS",IF('Release Gates'!C660="PHYSICAL","OPEN","BLOCKED"))</x:f>
        <x:v>OPEN</x:v>
      </x:c>
      <x:c r="G680" t="str">
        <x:v>equals</x:v>
      </x:c>
      <x:c r="H680" t="str">
        <x:f>IF(E680=F680,"PASS","FAIL")</x:f>
        <x:v>PASS</x:v>
      </x:c>
    </x:row>
    <x:row r="681">
      <x:c r="B681" t="str">
        <x:v>A-655</x:v>
      </x:c>
      <x:c r="C681" t="str">
        <x:v>GATE</x:v>
      </x:c>
      <x:c r="D681" t="str">
        <x:v>release ledger mirrors governing state</x:v>
      </x:c>
      <x:c r="E681" t="str">
        <x:f>'Release Gates'!J661</x:f>
        <x:v>OPEN</x:v>
      </x:c>
      <x:c r="F681" t="str">
        <x:f>IF('Release Gates'!C661="PLANNING","PASS",IF('Release Gates'!C661="PHYSICAL","OPEN","BLOCKED"))</x:f>
        <x:v>OPEN</x:v>
      </x:c>
      <x:c r="G681" t="str">
        <x:v>equals</x:v>
      </x:c>
      <x:c r="H681" t="str">
        <x:f>IF(E681=F681,"PASS","FAIL")</x:f>
        <x:v>PASS</x:v>
      </x:c>
    </x:row>
    <x:row r="682">
      <x:c r="B682" t="str">
        <x:v>A-656</x:v>
      </x:c>
      <x:c r="C682" t="str">
        <x:v>GATE</x:v>
      </x:c>
      <x:c r="D682" t="str">
        <x:v>release ledger mirrors governing state</x:v>
      </x:c>
      <x:c r="E682" t="str">
        <x:f>'Release Gates'!J662</x:f>
        <x:v>OPEN</x:v>
      </x:c>
      <x:c r="F682" t="str">
        <x:f>IF('Release Gates'!C662="PLANNING","PASS",IF('Release Gates'!C662="PHYSICAL","OPEN","BLOCKED"))</x:f>
        <x:v>OPEN</x:v>
      </x:c>
      <x:c r="G682" t="str">
        <x:v>equals</x:v>
      </x:c>
      <x:c r="H682" t="str">
        <x:f>IF(E682=F682,"PASS","FAIL")</x:f>
        <x:v>PASS</x:v>
      </x:c>
    </x:row>
    <x:row r="683">
      <x:c r="B683" t="str">
        <x:v>A-657</x:v>
      </x:c>
      <x:c r="C683" t="str">
        <x:v>GATE</x:v>
      </x:c>
      <x:c r="D683" t="str">
        <x:v>release ledger mirrors governing state</x:v>
      </x:c>
      <x:c r="E683" t="str">
        <x:f>'Release Gates'!J663</x:f>
        <x:v>OPEN</x:v>
      </x:c>
      <x:c r="F683" t="str">
        <x:f>IF('Release Gates'!C663="PLANNING","PASS",IF('Release Gates'!C663="PHYSICAL","OPEN","BLOCKED"))</x:f>
        <x:v>OPEN</x:v>
      </x:c>
      <x:c r="G683" t="str">
        <x:v>equals</x:v>
      </x:c>
      <x:c r="H683" t="str">
        <x:f>IF(E683=F683,"PASS","FAIL")</x:f>
        <x:v>PASS</x:v>
      </x:c>
    </x:row>
    <x:row r="684">
      <x:c r="B684" t="str">
        <x:v>A-658</x:v>
      </x:c>
      <x:c r="C684" t="str">
        <x:v>GATE</x:v>
      </x:c>
      <x:c r="D684" t="str">
        <x:v>release ledger mirrors governing state</x:v>
      </x:c>
      <x:c r="E684" t="str">
        <x:f>'Release Gates'!J664</x:f>
        <x:v>OPEN</x:v>
      </x:c>
      <x:c r="F684" t="str">
        <x:f>IF('Release Gates'!C664="PLANNING","PASS",IF('Release Gates'!C664="PHYSICAL","OPEN","BLOCKED"))</x:f>
        <x:v>OPEN</x:v>
      </x:c>
      <x:c r="G684" t="str">
        <x:v>equals</x:v>
      </x:c>
      <x:c r="H684" t="str">
        <x:f>IF(E684=F684,"PASS","FAIL")</x:f>
        <x:v>PASS</x:v>
      </x:c>
    </x:row>
    <x:row r="685">
      <x:c r="B685" t="str">
        <x:v>A-659</x:v>
      </x:c>
      <x:c r="C685" t="str">
        <x:v>GATE</x:v>
      </x:c>
      <x:c r="D685" t="str">
        <x:v>release ledger mirrors governing state</x:v>
      </x:c>
      <x:c r="E685" t="str">
        <x:f>'Release Gates'!J665</x:f>
        <x:v>OPEN</x:v>
      </x:c>
      <x:c r="F685" t="str">
        <x:f>IF('Release Gates'!C665="PLANNING","PASS",IF('Release Gates'!C665="PHYSICAL","OPEN","BLOCKED"))</x:f>
        <x:v>OPEN</x:v>
      </x:c>
      <x:c r="G685" t="str">
        <x:v>equals</x:v>
      </x:c>
      <x:c r="H685" t="str">
        <x:f>IF(E685=F685,"PASS","FAIL")</x:f>
        <x:v>PASS</x:v>
      </x:c>
    </x:row>
    <x:row r="686">
      <x:c r="B686" t="str">
        <x:v>A-660</x:v>
      </x:c>
      <x:c r="C686" t="str">
        <x:v>GATE</x:v>
      </x:c>
      <x:c r="D686" t="str">
        <x:v>release ledger mirrors governing state</x:v>
      </x:c>
      <x:c r="E686" t="str">
        <x:f>'Release Gates'!J666</x:f>
        <x:v>OPEN</x:v>
      </x:c>
      <x:c r="F686" t="str">
        <x:f>IF('Release Gates'!C666="PLANNING","PASS",IF('Release Gates'!C666="PHYSICAL","OPEN","BLOCKED"))</x:f>
        <x:v>OPEN</x:v>
      </x:c>
      <x:c r="G686" t="str">
        <x:v>equals</x:v>
      </x:c>
      <x:c r="H686" t="str">
        <x:f>IF(E686=F686,"PASS","FAIL")</x:f>
        <x:v>PASS</x:v>
      </x:c>
    </x:row>
    <x:row r="687">
      <x:c r="B687" t="str">
        <x:v>A-661</x:v>
      </x:c>
      <x:c r="C687" t="str">
        <x:v>GATE</x:v>
      </x:c>
      <x:c r="D687" t="str">
        <x:v>release ledger mirrors governing state</x:v>
      </x:c>
      <x:c r="E687" t="str">
        <x:f>'Release Gates'!J667</x:f>
        <x:v>OPEN</x:v>
      </x:c>
      <x:c r="F687" t="str">
        <x:f>IF('Release Gates'!C667="PLANNING","PASS",IF('Release Gates'!C667="PHYSICAL","OPEN","BLOCKED"))</x:f>
        <x:v>OPEN</x:v>
      </x:c>
      <x:c r="G687" t="str">
        <x:v>equals</x:v>
      </x:c>
      <x:c r="H687" t="str">
        <x:f>IF(E687=F687,"PASS","FAIL")</x:f>
        <x:v>PASS</x:v>
      </x:c>
    </x:row>
    <x:row r="688">
      <x:c r="B688" t="str">
        <x:v>A-662</x:v>
      </x:c>
      <x:c r="C688" t="str">
        <x:v>GATE</x:v>
      </x:c>
      <x:c r="D688" t="str">
        <x:v>release ledger mirrors governing state</x:v>
      </x:c>
      <x:c r="E688" t="str">
        <x:f>'Release Gates'!J668</x:f>
        <x:v>OPEN</x:v>
      </x:c>
      <x:c r="F688" t="str">
        <x:f>IF('Release Gates'!C668="PLANNING","PASS",IF('Release Gates'!C668="PHYSICAL","OPEN","BLOCKED"))</x:f>
        <x:v>OPEN</x:v>
      </x:c>
      <x:c r="G688" t="str">
        <x:v>equals</x:v>
      </x:c>
      <x:c r="H688" t="str">
        <x:f>IF(E688=F688,"PASS","FAIL")</x:f>
        <x:v>PASS</x:v>
      </x:c>
    </x:row>
    <x:row r="689">
      <x:c r="B689" t="str">
        <x:v>A-663</x:v>
      </x:c>
      <x:c r="C689" t="str">
        <x:v>GATE</x:v>
      </x:c>
      <x:c r="D689" t="str">
        <x:v>release ledger mirrors governing state</x:v>
      </x:c>
      <x:c r="E689" t="str">
        <x:f>'Release Gates'!J669</x:f>
        <x:v>OPEN</x:v>
      </x:c>
      <x:c r="F689" t="str">
        <x:f>IF('Release Gates'!C669="PLANNING","PASS",IF('Release Gates'!C669="PHYSICAL","OPEN","BLOCKED"))</x:f>
        <x:v>OPEN</x:v>
      </x:c>
      <x:c r="G689" t="str">
        <x:v>equals</x:v>
      </x:c>
      <x:c r="H689" t="str">
        <x:f>IF(E689=F689,"PASS","FAIL")</x:f>
        <x:v>PASS</x:v>
      </x:c>
    </x:row>
    <x:row r="690">
      <x:c r="B690" t="str">
        <x:v>A-664</x:v>
      </x:c>
      <x:c r="C690" t="str">
        <x:v>GATE</x:v>
      </x:c>
      <x:c r="D690" t="str">
        <x:v>release ledger mirrors governing state</x:v>
      </x:c>
      <x:c r="E690" t="str">
        <x:f>'Release Gates'!J670</x:f>
        <x:v>OPEN</x:v>
      </x:c>
      <x:c r="F690" t="str">
        <x:f>IF('Release Gates'!C670="PLANNING","PASS",IF('Release Gates'!C670="PHYSICAL","OPEN","BLOCKED"))</x:f>
        <x:v>OPEN</x:v>
      </x:c>
      <x:c r="G690" t="str">
        <x:v>equals</x:v>
      </x:c>
      <x:c r="H690" t="str">
        <x:f>IF(E690=F690,"PASS","FAIL")</x:f>
        <x:v>PASS</x:v>
      </x:c>
    </x:row>
    <x:row r="691">
      <x:c r="B691" t="str">
        <x:v>A-665</x:v>
      </x:c>
      <x:c r="C691" t="str">
        <x:v>GATE</x:v>
      </x:c>
      <x:c r="D691" t="str">
        <x:v>release ledger mirrors governing state</x:v>
      </x:c>
      <x:c r="E691" t="str">
        <x:f>'Release Gates'!J671</x:f>
        <x:v>OPEN</x:v>
      </x:c>
      <x:c r="F691" t="str">
        <x:f>IF('Release Gates'!C671="PLANNING","PASS",IF('Release Gates'!C671="PHYSICAL","OPEN","BLOCKED"))</x:f>
        <x:v>OPEN</x:v>
      </x:c>
      <x:c r="G691" t="str">
        <x:v>equals</x:v>
      </x:c>
      <x:c r="H691" t="str">
        <x:f>IF(E691=F691,"PASS","FAIL")</x:f>
        <x:v>PASS</x:v>
      </x:c>
    </x:row>
    <x:row r="692">
      <x:c r="B692" t="str">
        <x:v>A-666</x:v>
      </x:c>
      <x:c r="C692" t="str">
        <x:v>GATE</x:v>
      </x:c>
      <x:c r="D692" t="str">
        <x:v>release ledger mirrors governing state</x:v>
      </x:c>
      <x:c r="E692" t="str">
        <x:f>'Release Gates'!J672</x:f>
        <x:v>OPEN</x:v>
      </x:c>
      <x:c r="F692" t="str">
        <x:f>IF('Release Gates'!C672="PLANNING","PASS",IF('Release Gates'!C672="PHYSICAL","OPEN","BLOCKED"))</x:f>
        <x:v>OPEN</x:v>
      </x:c>
      <x:c r="G692" t="str">
        <x:v>equals</x:v>
      </x:c>
      <x:c r="H692" t="str">
        <x:f>IF(E692=F692,"PASS","FAIL")</x:f>
        <x:v>PASS</x:v>
      </x:c>
    </x:row>
    <x:row r="693">
      <x:c r="B693" t="str">
        <x:v>A-667</x:v>
      </x:c>
      <x:c r="C693" t="str">
        <x:v>GATE</x:v>
      </x:c>
      <x:c r="D693" t="str">
        <x:v>release ledger mirrors governing state</x:v>
      </x:c>
      <x:c r="E693" t="str">
        <x:f>'Release Gates'!J673</x:f>
        <x:v>OPEN</x:v>
      </x:c>
      <x:c r="F693" t="str">
        <x:f>IF('Release Gates'!C673="PLANNING","PASS",IF('Release Gates'!C673="PHYSICAL","OPEN","BLOCKED"))</x:f>
        <x:v>OPEN</x:v>
      </x:c>
      <x:c r="G693" t="str">
        <x:v>equals</x:v>
      </x:c>
      <x:c r="H693" t="str">
        <x:f>IF(E693=F693,"PASS","FAIL")</x:f>
        <x:v>PASS</x:v>
      </x:c>
    </x:row>
    <x:row r="694">
      <x:c r="B694" t="str">
        <x:v>A-668</x:v>
      </x:c>
      <x:c r="C694" t="str">
        <x:v>GATE</x:v>
      </x:c>
      <x:c r="D694" t="str">
        <x:v>release ledger mirrors governing state</x:v>
      </x:c>
      <x:c r="E694" t="str">
        <x:f>'Release Gates'!J674</x:f>
        <x:v>OPEN</x:v>
      </x:c>
      <x:c r="F694" t="str">
        <x:f>IF('Release Gates'!C674="PLANNING","PASS",IF('Release Gates'!C674="PHYSICAL","OPEN","BLOCKED"))</x:f>
        <x:v>OPEN</x:v>
      </x:c>
      <x:c r="G694" t="str">
        <x:v>equals</x:v>
      </x:c>
      <x:c r="H694" t="str">
        <x:f>IF(E694=F694,"PASS","FAIL")</x:f>
        <x:v>PASS</x:v>
      </x:c>
    </x:row>
    <x:row r="695">
      <x:c r="B695" t="str">
        <x:v>A-669</x:v>
      </x:c>
      <x:c r="C695" t="str">
        <x:v>GATE</x:v>
      </x:c>
      <x:c r="D695" t="str">
        <x:v>release ledger mirrors governing state</x:v>
      </x:c>
      <x:c r="E695" t="str">
        <x:f>'Release Gates'!J675</x:f>
        <x:v>OPEN</x:v>
      </x:c>
      <x:c r="F695" t="str">
        <x:f>IF('Release Gates'!C675="PLANNING","PASS",IF('Release Gates'!C675="PHYSICAL","OPEN","BLOCKED"))</x:f>
        <x:v>OPEN</x:v>
      </x:c>
      <x:c r="G695" t="str">
        <x:v>equals</x:v>
      </x:c>
      <x:c r="H695" t="str">
        <x:f>IF(E695=F695,"PASS","FAIL")</x:f>
        <x:v>PASS</x:v>
      </x:c>
    </x:row>
    <x:row r="696">
      <x:c r="B696" t="str">
        <x:v>A-670</x:v>
      </x:c>
      <x:c r="C696" t="str">
        <x:v>GATE</x:v>
      </x:c>
      <x:c r="D696" t="str">
        <x:v>release ledger mirrors governing state</x:v>
      </x:c>
      <x:c r="E696" t="str">
        <x:f>'Release Gates'!J676</x:f>
        <x:v>OPEN</x:v>
      </x:c>
      <x:c r="F696" t="str">
        <x:f>IF('Release Gates'!C676="PLANNING","PASS",IF('Release Gates'!C676="PHYSICAL","OPEN","BLOCKED"))</x:f>
        <x:v>OPEN</x:v>
      </x:c>
      <x:c r="G696" t="str">
        <x:v>equals</x:v>
      </x:c>
      <x:c r="H696" t="str">
        <x:f>IF(E696=F696,"PASS","FAIL")</x:f>
        <x:v>PASS</x:v>
      </x:c>
    </x:row>
    <x:row r="697">
      <x:c r="B697" t="str">
        <x:v>A-671</x:v>
      </x:c>
      <x:c r="C697" t="str">
        <x:v>GATE</x:v>
      </x:c>
      <x:c r="D697" t="str">
        <x:v>release ledger mirrors governing state</x:v>
      </x:c>
      <x:c r="E697" t="str">
        <x:f>'Release Gates'!J677</x:f>
        <x:v>OPEN</x:v>
      </x:c>
      <x:c r="F697" t="str">
        <x:f>IF('Release Gates'!C677="PLANNING","PASS",IF('Release Gates'!C677="PHYSICAL","OPEN","BLOCKED"))</x:f>
        <x:v>OPEN</x:v>
      </x:c>
      <x:c r="G697" t="str">
        <x:v>equals</x:v>
      </x:c>
      <x:c r="H697" t="str">
        <x:f>IF(E697=F697,"PASS","FAIL")</x:f>
        <x:v>PASS</x:v>
      </x:c>
    </x:row>
    <x:row r="698">
      <x:c r="B698" t="str">
        <x:v>A-672</x:v>
      </x:c>
      <x:c r="C698" t="str">
        <x:v>GATE</x:v>
      </x:c>
      <x:c r="D698" t="str">
        <x:v>release ledger mirrors governing state</x:v>
      </x:c>
      <x:c r="E698" t="str">
        <x:f>'Release Gates'!J678</x:f>
        <x:v>OPEN</x:v>
      </x:c>
      <x:c r="F698" t="str">
        <x:f>IF('Release Gates'!C678="PLANNING","PASS",IF('Release Gates'!C678="PHYSICAL","OPEN","BLOCKED"))</x:f>
        <x:v>OPEN</x:v>
      </x:c>
      <x:c r="G698" t="str">
        <x:v>equals</x:v>
      </x:c>
      <x:c r="H698" t="str">
        <x:f>IF(E698=F698,"PASS","FAIL")</x:f>
        <x:v>PASS</x:v>
      </x:c>
    </x:row>
    <x:row r="699">
      <x:c r="B699" t="str">
        <x:v>A-673</x:v>
      </x:c>
      <x:c r="C699" t="str">
        <x:v>GATE</x:v>
      </x:c>
      <x:c r="D699" t="str">
        <x:v>release ledger mirrors governing state</x:v>
      </x:c>
      <x:c r="E699" t="str">
        <x:f>'Release Gates'!J679</x:f>
        <x:v>OPEN</x:v>
      </x:c>
      <x:c r="F699" t="str">
        <x:f>IF('Release Gates'!C679="PLANNING","PASS",IF('Release Gates'!C679="PHYSICAL","OPEN","BLOCKED"))</x:f>
        <x:v>OPEN</x:v>
      </x:c>
      <x:c r="G699" t="str">
        <x:v>equals</x:v>
      </x:c>
      <x:c r="H699" t="str">
        <x:f>IF(E699=F699,"PASS","FAIL")</x:f>
        <x:v>PASS</x:v>
      </x:c>
    </x:row>
    <x:row r="700">
      <x:c r="B700" t="str">
        <x:v>A-674</x:v>
      </x:c>
      <x:c r="C700" t="str">
        <x:v>GATE</x:v>
      </x:c>
      <x:c r="D700" t="str">
        <x:v>release ledger mirrors governing state</x:v>
      </x:c>
      <x:c r="E700" t="str">
        <x:f>'Release Gates'!J680</x:f>
        <x:v>OPEN</x:v>
      </x:c>
      <x:c r="F700" t="str">
        <x:f>IF('Release Gates'!C680="PLANNING","PASS",IF('Release Gates'!C680="PHYSICAL","OPEN","BLOCKED"))</x:f>
        <x:v>OPEN</x:v>
      </x:c>
      <x:c r="G700" t="str">
        <x:v>equals</x:v>
      </x:c>
      <x:c r="H700" t="str">
        <x:f>IF(E700=F700,"PASS","FAIL")</x:f>
        <x:v>PASS</x:v>
      </x:c>
    </x:row>
    <x:row r="701">
      <x:c r="B701" t="str">
        <x:v>A-675</x:v>
      </x:c>
      <x:c r="C701" t="str">
        <x:v>GATE</x:v>
      </x:c>
      <x:c r="D701" t="str">
        <x:v>release ledger mirrors governing state</x:v>
      </x:c>
      <x:c r="E701" t="str">
        <x:f>'Release Gates'!J681</x:f>
        <x:v>OPEN</x:v>
      </x:c>
      <x:c r="F701" t="str">
        <x:f>IF('Release Gates'!C681="PLANNING","PASS",IF('Release Gates'!C681="PHYSICAL","OPEN","BLOCKED"))</x:f>
        <x:v>OPEN</x:v>
      </x:c>
      <x:c r="G701" t="str">
        <x:v>equals</x:v>
      </x:c>
      <x:c r="H701" t="str">
        <x:f>IF(E701=F701,"PASS","FAIL")</x:f>
        <x:v>PASS</x:v>
      </x:c>
    </x:row>
    <x:row r="702">
      <x:c r="B702" t="str">
        <x:v>A-676</x:v>
      </x:c>
      <x:c r="C702" t="str">
        <x:v>GATE</x:v>
      </x:c>
      <x:c r="D702" t="str">
        <x:v>release ledger mirrors governing state</x:v>
      </x:c>
      <x:c r="E702" t="str">
        <x:f>'Release Gates'!J682</x:f>
        <x:v>OPEN</x:v>
      </x:c>
      <x:c r="F702" t="str">
        <x:f>IF('Release Gates'!C682="PLANNING","PASS",IF('Release Gates'!C682="PHYSICAL","OPEN","BLOCKED"))</x:f>
        <x:v>OPEN</x:v>
      </x:c>
      <x:c r="G702" t="str">
        <x:v>equals</x:v>
      </x:c>
      <x:c r="H702" t="str">
        <x:f>IF(E702=F702,"PASS","FAIL")</x:f>
        <x:v>PASS</x:v>
      </x:c>
    </x:row>
    <x:row r="703">
      <x:c r="B703" t="str">
        <x:v>A-677</x:v>
      </x:c>
      <x:c r="C703" t="str">
        <x:v>GATE</x:v>
      </x:c>
      <x:c r="D703" t="str">
        <x:v>release ledger mirrors governing state</x:v>
      </x:c>
      <x:c r="E703" t="str">
        <x:f>'Release Gates'!J683</x:f>
        <x:v>OPEN</x:v>
      </x:c>
      <x:c r="F703" t="str">
        <x:f>IF('Release Gates'!C683="PLANNING","PASS",IF('Release Gates'!C683="PHYSICAL","OPEN","BLOCKED"))</x:f>
        <x:v>OPEN</x:v>
      </x:c>
      <x:c r="G703" t="str">
        <x:v>equals</x:v>
      </x:c>
      <x:c r="H703" t="str">
        <x:f>IF(E703=F703,"PASS","FAIL")</x:f>
        <x:v>PASS</x:v>
      </x:c>
    </x:row>
    <x:row r="704">
      <x:c r="B704" t="str">
        <x:v>A-678</x:v>
      </x:c>
      <x:c r="C704" t="str">
        <x:v>GATE</x:v>
      </x:c>
      <x:c r="D704" t="str">
        <x:v>release ledger mirrors governing state</x:v>
      </x:c>
      <x:c r="E704" t="str">
        <x:f>'Release Gates'!J684</x:f>
        <x:v>OPEN</x:v>
      </x:c>
      <x:c r="F704" t="str">
        <x:f>IF('Release Gates'!C684="PLANNING","PASS",IF('Release Gates'!C684="PHYSICAL","OPEN","BLOCKED"))</x:f>
        <x:v>OPEN</x:v>
      </x:c>
      <x:c r="G704" t="str">
        <x:v>equals</x:v>
      </x:c>
      <x:c r="H704" t="str">
        <x:f>IF(E704=F704,"PASS","FAIL")</x:f>
        <x:v>PASS</x:v>
      </x:c>
    </x:row>
    <x:row r="705">
      <x:c r="B705" t="str">
        <x:v>A-679</x:v>
      </x:c>
      <x:c r="C705" t="str">
        <x:v>GATE</x:v>
      </x:c>
      <x:c r="D705" t="str">
        <x:v>release ledger mirrors governing state</x:v>
      </x:c>
      <x:c r="E705" t="str">
        <x:f>'Release Gates'!J685</x:f>
        <x:v>OPEN</x:v>
      </x:c>
      <x:c r="F705" t="str">
        <x:f>IF('Release Gates'!C685="PLANNING","PASS",IF('Release Gates'!C685="PHYSICAL","OPEN","BLOCKED"))</x:f>
        <x:v>OPEN</x:v>
      </x:c>
      <x:c r="G705" t="str">
        <x:v>equals</x:v>
      </x:c>
      <x:c r="H705" t="str">
        <x:f>IF(E705=F705,"PASS","FAIL")</x:f>
        <x:v>PASS</x:v>
      </x:c>
    </x:row>
    <x:row r="706">
      <x:c r="B706" t="str">
        <x:v>A-680</x:v>
      </x:c>
      <x:c r="C706" t="str">
        <x:v>GATE</x:v>
      </x:c>
      <x:c r="D706" t="str">
        <x:v>release ledger mirrors governing state</x:v>
      </x:c>
      <x:c r="E706" t="str">
        <x:f>'Release Gates'!J686</x:f>
        <x:v>OPEN</x:v>
      </x:c>
      <x:c r="F706" t="str">
        <x:f>IF('Release Gates'!C686="PLANNING","PASS",IF('Release Gates'!C686="PHYSICAL","OPEN","BLOCKED"))</x:f>
        <x:v>OPEN</x:v>
      </x:c>
      <x:c r="G706" t="str">
        <x:v>equals</x:v>
      </x:c>
      <x:c r="H706" t="str">
        <x:f>IF(E706=F706,"PASS","FAIL")</x:f>
        <x:v>PASS</x:v>
      </x:c>
    </x:row>
    <x:row r="707">
      <x:c r="B707" t="str">
        <x:v>A-681</x:v>
      </x:c>
      <x:c r="C707" t="str">
        <x:v>GATE</x:v>
      </x:c>
      <x:c r="D707" t="str">
        <x:v>release ledger mirrors governing state</x:v>
      </x:c>
      <x:c r="E707" t="str">
        <x:f>'Release Gates'!J687</x:f>
        <x:v>OPEN</x:v>
      </x:c>
      <x:c r="F707" t="str">
        <x:f>IF('Release Gates'!C687="PLANNING","PASS",IF('Release Gates'!C687="PHYSICAL","OPEN","BLOCKED"))</x:f>
        <x:v>OPEN</x:v>
      </x:c>
      <x:c r="G707" t="str">
        <x:v>equals</x:v>
      </x:c>
      <x:c r="H707" t="str">
        <x:f>IF(E707=F707,"PASS","FAIL")</x:f>
        <x:v>PASS</x:v>
      </x:c>
    </x:row>
    <x:row r="708">
      <x:c r="B708" t="str">
        <x:v>A-682</x:v>
      </x:c>
      <x:c r="C708" t="str">
        <x:v>GATE</x:v>
      </x:c>
      <x:c r="D708" t="str">
        <x:v>release ledger mirrors governing state</x:v>
      </x:c>
      <x:c r="E708" t="str">
        <x:f>'Release Gates'!J688</x:f>
        <x:v>OPEN</x:v>
      </x:c>
      <x:c r="F708" t="str">
        <x:f>IF('Release Gates'!C688="PLANNING","PASS",IF('Release Gates'!C688="PHYSICAL","OPEN","BLOCKED"))</x:f>
        <x:v>OPEN</x:v>
      </x:c>
      <x:c r="G708" t="str">
        <x:v>equals</x:v>
      </x:c>
      <x:c r="H708" t="str">
        <x:f>IF(E708=F708,"PASS","FAIL")</x:f>
        <x:v>PASS</x:v>
      </x:c>
    </x:row>
    <x:row r="709">
      <x:c r="B709" t="str">
        <x:v>A-683</x:v>
      </x:c>
      <x:c r="C709" t="str">
        <x:v>GATE</x:v>
      </x:c>
      <x:c r="D709" t="str">
        <x:v>release ledger mirrors governing state</x:v>
      </x:c>
      <x:c r="E709" t="str">
        <x:f>'Release Gates'!J689</x:f>
        <x:v>OPEN</x:v>
      </x:c>
      <x:c r="F709" t="str">
        <x:f>IF('Release Gates'!C689="PLANNING","PASS",IF('Release Gates'!C689="PHYSICAL","OPEN","BLOCKED"))</x:f>
        <x:v>OPEN</x:v>
      </x:c>
      <x:c r="G709" t="str">
        <x:v>equals</x:v>
      </x:c>
      <x:c r="H709" t="str">
        <x:f>IF(E709=F709,"PASS","FAIL")</x:f>
        <x:v>PASS</x:v>
      </x:c>
    </x:row>
    <x:row r="710">
      <x:c r="B710" t="str">
        <x:v>A-684</x:v>
      </x:c>
      <x:c r="C710" t="str">
        <x:v>GATE</x:v>
      </x:c>
      <x:c r="D710" t="str">
        <x:v>release ledger mirrors governing state</x:v>
      </x:c>
      <x:c r="E710" t="str">
        <x:f>'Release Gates'!J690</x:f>
        <x:v>OPEN</x:v>
      </x:c>
      <x:c r="F710" t="str">
        <x:f>IF('Release Gates'!C690="PLANNING","PASS",IF('Release Gates'!C690="PHYSICAL","OPEN","BLOCKED"))</x:f>
        <x:v>OPEN</x:v>
      </x:c>
      <x:c r="G710" t="str">
        <x:v>equals</x:v>
      </x:c>
      <x:c r="H710" t="str">
        <x:f>IF(E710=F710,"PASS","FAIL")</x:f>
        <x:v>PASS</x:v>
      </x:c>
    </x:row>
    <x:row r="711">
      <x:c r="B711" t="str">
        <x:v>A-685</x:v>
      </x:c>
      <x:c r="C711" t="str">
        <x:v>GATE</x:v>
      </x:c>
      <x:c r="D711" t="str">
        <x:v>release ledger mirrors governing state</x:v>
      </x:c>
      <x:c r="E711" t="str">
        <x:f>'Release Gates'!J691</x:f>
        <x:v>OPEN</x:v>
      </x:c>
      <x:c r="F711" t="str">
        <x:f>IF('Release Gates'!C691="PLANNING","PASS",IF('Release Gates'!C691="PHYSICAL","OPEN","BLOCKED"))</x:f>
        <x:v>OPEN</x:v>
      </x:c>
      <x:c r="G711" t="str">
        <x:v>equals</x:v>
      </x:c>
      <x:c r="H711" t="str">
        <x:f>IF(E711=F711,"PASS","FAIL")</x:f>
        <x:v>PASS</x:v>
      </x:c>
    </x:row>
    <x:row r="712">
      <x:c r="B712" t="str">
        <x:v>A-686</x:v>
      </x:c>
      <x:c r="C712" t="str">
        <x:v>GATE</x:v>
      </x:c>
      <x:c r="D712" t="str">
        <x:v>release ledger mirrors governing state</x:v>
      </x:c>
      <x:c r="E712" t="str">
        <x:f>'Release Gates'!J692</x:f>
        <x:v>OPEN</x:v>
      </x:c>
      <x:c r="F712" t="str">
        <x:f>IF('Release Gates'!C692="PLANNING","PASS",IF('Release Gates'!C692="PHYSICAL","OPEN","BLOCKED"))</x:f>
        <x:v>OPEN</x:v>
      </x:c>
      <x:c r="G712" t="str">
        <x:v>equals</x:v>
      </x:c>
      <x:c r="H712" t="str">
        <x:f>IF(E712=F712,"PASS","FAIL")</x:f>
        <x:v>PASS</x:v>
      </x:c>
    </x:row>
    <x:row r="713">
      <x:c r="B713" t="str">
        <x:v>A-687</x:v>
      </x:c>
      <x:c r="C713" t="str">
        <x:v>GATE</x:v>
      </x:c>
      <x:c r="D713" t="str">
        <x:v>release ledger mirrors governing state</x:v>
      </x:c>
      <x:c r="E713" t="str">
        <x:f>'Release Gates'!J693</x:f>
        <x:v>OPEN</x:v>
      </x:c>
      <x:c r="F713" t="str">
        <x:f>IF('Release Gates'!C693="PLANNING","PASS",IF('Release Gates'!C693="PHYSICAL","OPEN","BLOCKED"))</x:f>
        <x:v>OPEN</x:v>
      </x:c>
      <x:c r="G713" t="str">
        <x:v>equals</x:v>
      </x:c>
      <x:c r="H713" t="str">
        <x:f>IF(E713=F713,"PASS","FAIL")</x:f>
        <x:v>PASS</x:v>
      </x:c>
    </x:row>
    <x:row r="714">
      <x:c r="B714" t="str">
        <x:v>A-688</x:v>
      </x:c>
      <x:c r="C714" t="str">
        <x:v>GATE</x:v>
      </x:c>
      <x:c r="D714" t="str">
        <x:v>release ledger mirrors governing state</x:v>
      </x:c>
      <x:c r="E714" t="str">
        <x:f>'Release Gates'!J694</x:f>
        <x:v>OPEN</x:v>
      </x:c>
      <x:c r="F714" t="str">
        <x:f>IF('Release Gates'!C694="PLANNING","PASS",IF('Release Gates'!C694="PHYSICAL","OPEN","BLOCKED"))</x:f>
        <x:v>OPEN</x:v>
      </x:c>
      <x:c r="G714" t="str">
        <x:v>equals</x:v>
      </x:c>
      <x:c r="H714" t="str">
        <x:f>IF(E714=F714,"PASS","FAIL")</x:f>
        <x:v>PASS</x:v>
      </x:c>
    </x:row>
    <x:row r="715">
      <x:c r="B715" t="str">
        <x:v>A-689</x:v>
      </x:c>
      <x:c r="C715" t="str">
        <x:v>GATE</x:v>
      </x:c>
      <x:c r="D715" t="str">
        <x:v>release ledger mirrors governing state</x:v>
      </x:c>
      <x:c r="E715" t="str">
        <x:f>'Release Gates'!J695</x:f>
        <x:v>OPEN</x:v>
      </x:c>
      <x:c r="F715" t="str">
        <x:f>IF('Release Gates'!C695="PLANNING","PASS",IF('Release Gates'!C695="PHYSICAL","OPEN","BLOCKED"))</x:f>
        <x:v>OPEN</x:v>
      </x:c>
      <x:c r="G715" t="str">
        <x:v>equals</x:v>
      </x:c>
      <x:c r="H715" t="str">
        <x:f>IF(E715=F715,"PASS","FAIL")</x:f>
        <x:v>PASS</x:v>
      </x:c>
    </x:row>
    <x:row r="716">
      <x:c r="B716" t="str">
        <x:v>A-690</x:v>
      </x:c>
      <x:c r="C716" t="str">
        <x:v>GATE</x:v>
      </x:c>
      <x:c r="D716" t="str">
        <x:v>release ledger mirrors governing state</x:v>
      </x:c>
      <x:c r="E716" t="str">
        <x:f>'Release Gates'!J696</x:f>
        <x:v>OPEN</x:v>
      </x:c>
      <x:c r="F716" t="str">
        <x:f>IF('Release Gates'!C696="PLANNING","PASS",IF('Release Gates'!C696="PHYSICAL","OPEN","BLOCKED"))</x:f>
        <x:v>OPEN</x:v>
      </x:c>
      <x:c r="G716" t="str">
        <x:v>equals</x:v>
      </x:c>
      <x:c r="H716" t="str">
        <x:f>IF(E716=F716,"PASS","FAIL")</x:f>
        <x:v>PASS</x:v>
      </x:c>
    </x:row>
    <x:row r="717">
      <x:c r="B717" t="str">
        <x:v>A-691</x:v>
      </x:c>
      <x:c r="C717" t="str">
        <x:v>GATE</x:v>
      </x:c>
      <x:c r="D717" t="str">
        <x:v>release ledger mirrors governing state</x:v>
      </x:c>
      <x:c r="E717" t="str">
        <x:f>'Release Gates'!J697</x:f>
        <x:v>OPEN</x:v>
      </x:c>
      <x:c r="F717" t="str">
        <x:f>IF('Release Gates'!C697="PLANNING","PASS",IF('Release Gates'!C697="PHYSICAL","OPEN","BLOCKED"))</x:f>
        <x:v>OPEN</x:v>
      </x:c>
      <x:c r="G717" t="str">
        <x:v>equals</x:v>
      </x:c>
      <x:c r="H717" t="str">
        <x:f>IF(E717=F717,"PASS","FAIL")</x:f>
        <x:v>PASS</x:v>
      </x:c>
    </x:row>
    <x:row r="718">
      <x:c r="B718" t="str">
        <x:v>A-692</x:v>
      </x:c>
      <x:c r="C718" t="str">
        <x:v>GATE</x:v>
      </x:c>
      <x:c r="D718" t="str">
        <x:v>release ledger mirrors governing state</x:v>
      </x:c>
      <x:c r="E718" t="str">
        <x:f>'Release Gates'!J698</x:f>
        <x:v>OPEN</x:v>
      </x:c>
      <x:c r="F718" t="str">
        <x:f>IF('Release Gates'!C698="PLANNING","PASS",IF('Release Gates'!C698="PHYSICAL","OPEN","BLOCKED"))</x:f>
        <x:v>OPEN</x:v>
      </x:c>
      <x:c r="G718" t="str">
        <x:v>equals</x:v>
      </x:c>
      <x:c r="H718" t="str">
        <x:f>IF(E718=F718,"PASS","FAIL")</x:f>
        <x:v>PASS</x:v>
      </x:c>
    </x:row>
    <x:row r="719">
      <x:c r="B719" t="str">
        <x:v>A-693</x:v>
      </x:c>
      <x:c r="C719" t="str">
        <x:v>GATE</x:v>
      </x:c>
      <x:c r="D719" t="str">
        <x:v>release ledger mirrors governing state</x:v>
      </x:c>
      <x:c r="E719" t="str">
        <x:f>'Release Gates'!J699</x:f>
        <x:v>OPEN</x:v>
      </x:c>
      <x:c r="F719" t="str">
        <x:f>IF('Release Gates'!C699="PLANNING","PASS",IF('Release Gates'!C699="PHYSICAL","OPEN","BLOCKED"))</x:f>
        <x:v>OPEN</x:v>
      </x:c>
      <x:c r="G719" t="str">
        <x:v>equals</x:v>
      </x:c>
      <x:c r="H719" t="str">
        <x:f>IF(E719=F719,"PASS","FAIL")</x:f>
        <x:v>PASS</x:v>
      </x:c>
    </x:row>
    <x:row r="720">
      <x:c r="B720" t="str">
        <x:v>A-694</x:v>
      </x:c>
      <x:c r="C720" t="str">
        <x:v>GATE</x:v>
      </x:c>
      <x:c r="D720" t="str">
        <x:v>release ledger mirrors governing state</x:v>
      </x:c>
      <x:c r="E720" t="str">
        <x:f>'Release Gates'!J700</x:f>
        <x:v>OPEN</x:v>
      </x:c>
      <x:c r="F720" t="str">
        <x:f>IF('Release Gates'!C700="PLANNING","PASS",IF('Release Gates'!C700="PHYSICAL","OPEN","BLOCKED"))</x:f>
        <x:v>OPEN</x:v>
      </x:c>
      <x:c r="G720" t="str">
        <x:v>equals</x:v>
      </x:c>
      <x:c r="H720" t="str">
        <x:f>IF(E720=F720,"PASS","FAIL")</x:f>
        <x:v>PASS</x:v>
      </x:c>
    </x:row>
    <x:row r="721">
      <x:c r="B721" t="str">
        <x:v>A-695</x:v>
      </x:c>
      <x:c r="C721" t="str">
        <x:v>GATE</x:v>
      </x:c>
      <x:c r="D721" t="str">
        <x:v>release ledger mirrors governing state</x:v>
      </x:c>
      <x:c r="E721" t="str">
        <x:f>'Release Gates'!J701</x:f>
        <x:v>OPEN</x:v>
      </x:c>
      <x:c r="F721" t="str">
        <x:f>IF('Release Gates'!C701="PLANNING","PASS",IF('Release Gates'!C701="PHYSICAL","OPEN","BLOCKED"))</x:f>
        <x:v>OPEN</x:v>
      </x:c>
      <x:c r="G721" t="str">
        <x:v>equals</x:v>
      </x:c>
      <x:c r="H721" t="str">
        <x:f>IF(E721=F721,"PASS","FAIL")</x:f>
        <x:v>PASS</x:v>
      </x:c>
    </x:row>
    <x:row r="722">
      <x:c r="B722" t="str">
        <x:v>A-696</x:v>
      </x:c>
      <x:c r="C722" t="str">
        <x:v>GATE</x:v>
      </x:c>
      <x:c r="D722" t="str">
        <x:v>release ledger mirrors governing state</x:v>
      </x:c>
      <x:c r="E722" t="str">
        <x:f>'Release Gates'!J702</x:f>
        <x:v>OPEN</x:v>
      </x:c>
      <x:c r="F722" t="str">
        <x:f>IF('Release Gates'!C702="PLANNING","PASS",IF('Release Gates'!C702="PHYSICAL","OPEN","BLOCKED"))</x:f>
        <x:v>OPEN</x:v>
      </x:c>
      <x:c r="G722" t="str">
        <x:v>equals</x:v>
      </x:c>
      <x:c r="H722" t="str">
        <x:f>IF(E722=F722,"PASS","FAIL")</x:f>
        <x:v>PASS</x:v>
      </x:c>
    </x:row>
    <x:row r="723">
      <x:c r="B723" t="str">
        <x:v>A-697</x:v>
      </x:c>
      <x:c r="C723" t="str">
        <x:v>GATE</x:v>
      </x:c>
      <x:c r="D723" t="str">
        <x:v>release ledger mirrors governing state</x:v>
      </x:c>
      <x:c r="E723" t="str">
        <x:f>'Release Gates'!J703</x:f>
        <x:v>OPEN</x:v>
      </x:c>
      <x:c r="F723" t="str">
        <x:f>IF('Release Gates'!C703="PLANNING","PASS",IF('Release Gates'!C703="PHYSICAL","OPEN","BLOCKED"))</x:f>
        <x:v>OPEN</x:v>
      </x:c>
      <x:c r="G723" t="str">
        <x:v>equals</x:v>
      </x:c>
      <x:c r="H723" t="str">
        <x:f>IF(E723=F723,"PASS","FAIL")</x:f>
        <x:v>PASS</x:v>
      </x:c>
    </x:row>
    <x:row r="724">
      <x:c r="B724" t="str">
        <x:v>A-698</x:v>
      </x:c>
      <x:c r="C724" t="str">
        <x:v>GATE</x:v>
      </x:c>
      <x:c r="D724" t="str">
        <x:v>release ledger mirrors governing state</x:v>
      </x:c>
      <x:c r="E724" t="str">
        <x:f>'Release Gates'!J704</x:f>
        <x:v>OPEN</x:v>
      </x:c>
      <x:c r="F724" t="str">
        <x:f>IF('Release Gates'!C704="PLANNING","PASS",IF('Release Gates'!C704="PHYSICAL","OPEN","BLOCKED"))</x:f>
        <x:v>OPEN</x:v>
      </x:c>
      <x:c r="G724" t="str">
        <x:v>equals</x:v>
      </x:c>
      <x:c r="H724" t="str">
        <x:f>IF(E724=F724,"PASS","FAIL")</x:f>
        <x:v>PASS</x:v>
      </x:c>
    </x:row>
    <x:row r="725">
      <x:c r="B725" t="str">
        <x:v>A-699</x:v>
      </x:c>
      <x:c r="C725" t="str">
        <x:v>GATE</x:v>
      </x:c>
      <x:c r="D725" t="str">
        <x:v>release ledger mirrors governing state</x:v>
      </x:c>
      <x:c r="E725" t="str">
        <x:f>'Release Gates'!J705</x:f>
        <x:v>OPEN</x:v>
      </x:c>
      <x:c r="F725" t="str">
        <x:f>IF('Release Gates'!C705="PLANNING","PASS",IF('Release Gates'!C705="PHYSICAL","OPEN","BLOCKED"))</x:f>
        <x:v>OPEN</x:v>
      </x:c>
      <x:c r="G725" t="str">
        <x:v>equals</x:v>
      </x:c>
      <x:c r="H725" t="str">
        <x:f>IF(E725=F725,"PASS","FAIL")</x:f>
        <x:v>PASS</x:v>
      </x:c>
    </x:row>
    <x:row r="726">
      <x:c r="B726" t="str">
        <x:v>A-700</x:v>
      </x:c>
      <x:c r="C726" t="str">
        <x:v>GATE</x:v>
      </x:c>
      <x:c r="D726" t="str">
        <x:v>release ledger mirrors governing state</x:v>
      </x:c>
      <x:c r="E726" t="str">
        <x:f>'Release Gates'!J706</x:f>
        <x:v>OPEN</x:v>
      </x:c>
      <x:c r="F726" t="str">
        <x:f>IF('Release Gates'!C706="PLANNING","PASS",IF('Release Gates'!C706="PHYSICAL","OPEN","BLOCKED"))</x:f>
        <x:v>OPEN</x:v>
      </x:c>
      <x:c r="G726" t="str">
        <x:v>equals</x:v>
      </x:c>
      <x:c r="H726" t="str">
        <x:f>IF(E726=F726,"PASS","FAIL")</x:f>
        <x:v>PASS</x:v>
      </x:c>
    </x:row>
    <x:row r="727">
      <x:c r="B727" t="str">
        <x:v>A-701</x:v>
      </x:c>
      <x:c r="C727" t="str">
        <x:v>GATE</x:v>
      </x:c>
      <x:c r="D727" t="str">
        <x:v>release ledger mirrors governing state</x:v>
      </x:c>
      <x:c r="E727" t="str">
        <x:f>'Release Gates'!J707</x:f>
        <x:v>OPEN</x:v>
      </x:c>
      <x:c r="F727" t="str">
        <x:f>IF('Release Gates'!C707="PLANNING","PASS",IF('Release Gates'!C707="PHYSICAL","OPEN","BLOCKED"))</x:f>
        <x:v>OPEN</x:v>
      </x:c>
      <x:c r="G727" t="str">
        <x:v>equals</x:v>
      </x:c>
      <x:c r="H727" t="str">
        <x:f>IF(E727=F727,"PASS","FAIL")</x:f>
        <x:v>PASS</x:v>
      </x:c>
    </x:row>
    <x:row r="728">
      <x:c r="B728" t="str">
        <x:v>A-702</x:v>
      </x:c>
      <x:c r="C728" t="str">
        <x:v>GATE</x:v>
      </x:c>
      <x:c r="D728" t="str">
        <x:v>release ledger mirrors governing state</x:v>
      </x:c>
      <x:c r="E728" t="str">
        <x:f>'Release Gates'!J708</x:f>
        <x:v>OPEN</x:v>
      </x:c>
      <x:c r="F728" t="str">
        <x:f>IF('Release Gates'!C708="PLANNING","PASS",IF('Release Gates'!C708="PHYSICAL","OPEN","BLOCKED"))</x:f>
        <x:v>OPEN</x:v>
      </x:c>
      <x:c r="G728" t="str">
        <x:v>equals</x:v>
      </x:c>
      <x:c r="H728" t="str">
        <x:f>IF(E728=F728,"PASS","FAIL")</x:f>
        <x:v>PASS</x:v>
      </x:c>
    </x:row>
    <x:row r="729">
      <x:c r="B729" t="str">
        <x:v>A-703</x:v>
      </x:c>
      <x:c r="C729" t="str">
        <x:v>GATE</x:v>
      </x:c>
      <x:c r="D729" t="str">
        <x:v>release ledger mirrors governing state</x:v>
      </x:c>
      <x:c r="E729" t="str">
        <x:f>'Release Gates'!J709</x:f>
        <x:v>OPEN</x:v>
      </x:c>
      <x:c r="F729" t="str">
        <x:f>IF('Release Gates'!C709="PLANNING","PASS",IF('Release Gates'!C709="PHYSICAL","OPEN","BLOCKED"))</x:f>
        <x:v>OPEN</x:v>
      </x:c>
      <x:c r="G729" t="str">
        <x:v>equals</x:v>
      </x:c>
      <x:c r="H729" t="str">
        <x:f>IF(E729=F729,"PASS","FAIL")</x:f>
        <x:v>PASS</x:v>
      </x:c>
    </x:row>
    <x:row r="730">
      <x:c r="B730" t="str">
        <x:v>A-704</x:v>
      </x:c>
      <x:c r="C730" t="str">
        <x:v>GATE</x:v>
      </x:c>
      <x:c r="D730" t="str">
        <x:v>release ledger mirrors governing state</x:v>
      </x:c>
      <x:c r="E730" t="str">
        <x:f>'Release Gates'!J710</x:f>
        <x:v>OPEN</x:v>
      </x:c>
      <x:c r="F730" t="str">
        <x:f>IF('Release Gates'!C710="PLANNING","PASS",IF('Release Gates'!C710="PHYSICAL","OPEN","BLOCKED"))</x:f>
        <x:v>OPEN</x:v>
      </x:c>
      <x:c r="G730" t="str">
        <x:v>equals</x:v>
      </x:c>
      <x:c r="H730" t="str">
        <x:f>IF(E730=F730,"PASS","FAIL")</x:f>
        <x:v>PASS</x:v>
      </x:c>
    </x:row>
    <x:row r="731">
      <x:c r="B731" t="str">
        <x:v>A-705</x:v>
      </x:c>
      <x:c r="C731" t="str">
        <x:v>GATE</x:v>
      </x:c>
      <x:c r="D731" t="str">
        <x:v>release ledger mirrors governing state</x:v>
      </x:c>
      <x:c r="E731" t="str">
        <x:f>'Release Gates'!J711</x:f>
        <x:v>OPEN</x:v>
      </x:c>
      <x:c r="F731" t="str">
        <x:f>IF('Release Gates'!C711="PLANNING","PASS",IF('Release Gates'!C711="PHYSICAL","OPEN","BLOCKED"))</x:f>
        <x:v>OPEN</x:v>
      </x:c>
      <x:c r="G731" t="str">
        <x:v>equals</x:v>
      </x:c>
      <x:c r="H731" t="str">
        <x:f>IF(E731=F731,"PASS","FAIL")</x:f>
        <x:v>PASS</x:v>
      </x:c>
    </x:row>
    <x:row r="732">
      <x:c r="B732" t="str">
        <x:v>A-706</x:v>
      </x:c>
      <x:c r="C732" t="str">
        <x:v>GATE</x:v>
      </x:c>
      <x:c r="D732" t="str">
        <x:v>release ledger mirrors governing state</x:v>
      </x:c>
      <x:c r="E732" t="str">
        <x:f>'Release Gates'!J712</x:f>
        <x:v>OPEN</x:v>
      </x:c>
      <x:c r="F732" t="str">
        <x:f>IF('Release Gates'!C712="PLANNING","PASS",IF('Release Gates'!C712="PHYSICAL","OPEN","BLOCKED"))</x:f>
        <x:v>OPEN</x:v>
      </x:c>
      <x:c r="G732" t="str">
        <x:v>equals</x:v>
      </x:c>
      <x:c r="H732" t="str">
        <x:f>IF(E732=F732,"PASS","FAIL")</x:f>
        <x:v>PASS</x:v>
      </x:c>
    </x:row>
    <x:row r="733">
      <x:c r="B733" t="str">
        <x:v>A-707</x:v>
      </x:c>
      <x:c r="C733" t="str">
        <x:v>GATE</x:v>
      </x:c>
      <x:c r="D733" t="str">
        <x:v>release ledger mirrors governing state</x:v>
      </x:c>
      <x:c r="E733" t="str">
        <x:f>'Release Gates'!J713</x:f>
        <x:v>OPEN</x:v>
      </x:c>
      <x:c r="F733" t="str">
        <x:f>IF('Release Gates'!C713="PLANNING","PASS",IF('Release Gates'!C713="PHYSICAL","OPEN","BLOCKED"))</x:f>
        <x:v>OPEN</x:v>
      </x:c>
      <x:c r="G733" t="str">
        <x:v>equals</x:v>
      </x:c>
      <x:c r="H733" t="str">
        <x:f>IF(E733=F733,"PASS","FAIL")</x:f>
        <x:v>PASS</x:v>
      </x:c>
    </x:row>
    <x:row r="734">
      <x:c r="B734" t="str">
        <x:v>A-708</x:v>
      </x:c>
      <x:c r="C734" t="str">
        <x:v>GATE</x:v>
      </x:c>
      <x:c r="D734" t="str">
        <x:v>release ledger mirrors governing state</x:v>
      </x:c>
      <x:c r="E734" t="str">
        <x:f>'Release Gates'!J714</x:f>
        <x:v>OPEN</x:v>
      </x:c>
      <x:c r="F734" t="str">
        <x:f>IF('Release Gates'!C714="PLANNING","PASS",IF('Release Gates'!C714="PHYSICAL","OPEN","BLOCKED"))</x:f>
        <x:v>OPEN</x:v>
      </x:c>
      <x:c r="G734" t="str">
        <x:v>equals</x:v>
      </x:c>
      <x:c r="H734" t="str">
        <x:f>IF(E734=F734,"PASS","FAIL")</x:f>
        <x:v>PASS</x:v>
      </x:c>
    </x:row>
    <x:row r="735">
      <x:c r="B735" t="str">
        <x:v>A-709</x:v>
      </x:c>
      <x:c r="C735" t="str">
        <x:v>GATE</x:v>
      </x:c>
      <x:c r="D735" t="str">
        <x:v>release ledger mirrors governing state</x:v>
      </x:c>
      <x:c r="E735" t="str">
        <x:f>'Release Gates'!J715</x:f>
        <x:v>OPEN</x:v>
      </x:c>
      <x:c r="F735" t="str">
        <x:f>IF('Release Gates'!C715="PLANNING","PASS",IF('Release Gates'!C715="PHYSICAL","OPEN","BLOCKED"))</x:f>
        <x:v>OPEN</x:v>
      </x:c>
      <x:c r="G735" t="str">
        <x:v>equals</x:v>
      </x:c>
      <x:c r="H735" t="str">
        <x:f>IF(E735=F735,"PASS","FAIL")</x:f>
        <x:v>PASS</x:v>
      </x:c>
    </x:row>
    <x:row r="736">
      <x:c r="B736" t="str">
        <x:v>A-710</x:v>
      </x:c>
      <x:c r="C736" t="str">
        <x:v>GATE</x:v>
      </x:c>
      <x:c r="D736" t="str">
        <x:v>release ledger mirrors governing state</x:v>
      </x:c>
      <x:c r="E736" t="str">
        <x:f>'Release Gates'!J716</x:f>
        <x:v>OPEN</x:v>
      </x:c>
      <x:c r="F736" t="str">
        <x:f>IF('Release Gates'!C716="PLANNING","PASS",IF('Release Gates'!C716="PHYSICAL","OPEN","BLOCKED"))</x:f>
        <x:v>OPEN</x:v>
      </x:c>
      <x:c r="G736" t="str">
        <x:v>equals</x:v>
      </x:c>
      <x:c r="H736" t="str">
        <x:f>IF(E736=F736,"PASS","FAIL")</x:f>
        <x:v>PASS</x:v>
      </x:c>
    </x:row>
    <x:row r="737">
      <x:c r="B737" t="str">
        <x:v>A-711</x:v>
      </x:c>
      <x:c r="C737" t="str">
        <x:v>GATE</x:v>
      </x:c>
      <x:c r="D737" t="str">
        <x:v>release ledger mirrors governing state</x:v>
      </x:c>
      <x:c r="E737" t="str">
        <x:f>'Release Gates'!J717</x:f>
        <x:v>OPEN</x:v>
      </x:c>
      <x:c r="F737" t="str">
        <x:f>IF('Release Gates'!C717="PLANNING","PASS",IF('Release Gates'!C717="PHYSICAL","OPEN","BLOCKED"))</x:f>
        <x:v>OPEN</x:v>
      </x:c>
      <x:c r="G737" t="str">
        <x:v>equals</x:v>
      </x:c>
      <x:c r="H737" t="str">
        <x:f>IF(E737=F737,"PASS","FAIL")</x:f>
        <x:v>PASS</x:v>
      </x:c>
    </x:row>
    <x:row r="738">
      <x:c r="B738" t="str">
        <x:v>A-712</x:v>
      </x:c>
      <x:c r="C738" t="str">
        <x:v>GATE</x:v>
      </x:c>
      <x:c r="D738" t="str">
        <x:v>release ledger mirrors governing state</x:v>
      </x:c>
      <x:c r="E738" t="str">
        <x:f>'Release Gates'!J718</x:f>
        <x:v>OPEN</x:v>
      </x:c>
      <x:c r="F738" t="str">
        <x:f>IF('Release Gates'!C718="PLANNING","PASS",IF('Release Gates'!C718="PHYSICAL","OPEN","BLOCKED"))</x:f>
        <x:v>OPEN</x:v>
      </x:c>
      <x:c r="G738" t="str">
        <x:v>equals</x:v>
      </x:c>
      <x:c r="H738" t="str">
        <x:f>IF(E738=F738,"PASS","FAIL")</x:f>
        <x:v>PASS</x:v>
      </x:c>
    </x:row>
    <x:row r="739">
      <x:c r="B739" t="str">
        <x:v>A-713</x:v>
      </x:c>
      <x:c r="C739" t="str">
        <x:v>GATE</x:v>
      </x:c>
      <x:c r="D739" t="str">
        <x:v>release ledger mirrors governing state</x:v>
      </x:c>
      <x:c r="E739" t="str">
        <x:f>'Release Gates'!J719</x:f>
        <x:v>OPEN</x:v>
      </x:c>
      <x:c r="F739" t="str">
        <x:f>IF('Release Gates'!C719="PLANNING","PASS",IF('Release Gates'!C719="PHYSICAL","OPEN","BLOCKED"))</x:f>
        <x:v>OPEN</x:v>
      </x:c>
      <x:c r="G739" t="str">
        <x:v>equals</x:v>
      </x:c>
      <x:c r="H739" t="str">
        <x:f>IF(E739=F739,"PASS","FAIL")</x:f>
        <x:v>PASS</x:v>
      </x:c>
    </x:row>
    <x:row r="740">
      <x:c r="B740" t="str">
        <x:v>A-714</x:v>
      </x:c>
      <x:c r="C740" t="str">
        <x:v>GATE</x:v>
      </x:c>
      <x:c r="D740" t="str">
        <x:v>release ledger mirrors governing state</x:v>
      </x:c>
      <x:c r="E740" t="str">
        <x:f>'Release Gates'!J720</x:f>
        <x:v>OPEN</x:v>
      </x:c>
      <x:c r="F740" t="str">
        <x:f>IF('Release Gates'!C720="PLANNING","PASS",IF('Release Gates'!C720="PHYSICAL","OPEN","BLOCKED"))</x:f>
        <x:v>OPEN</x:v>
      </x:c>
      <x:c r="G740" t="str">
        <x:v>equals</x:v>
      </x:c>
      <x:c r="H740" t="str">
        <x:f>IF(E740=F740,"PASS","FAIL")</x:f>
        <x:v>PASS</x:v>
      </x:c>
    </x:row>
    <x:row r="741">
      <x:c r="B741" t="str">
        <x:v>A-715</x:v>
      </x:c>
      <x:c r="C741" t="str">
        <x:v>GATE</x:v>
      </x:c>
      <x:c r="D741" t="str">
        <x:v>release ledger mirrors governing state</x:v>
      </x:c>
      <x:c r="E741" t="str">
        <x:f>'Release Gates'!J721</x:f>
        <x:v>OPEN</x:v>
      </x:c>
      <x:c r="F741" t="str">
        <x:f>IF('Release Gates'!C721="PLANNING","PASS",IF('Release Gates'!C721="PHYSICAL","OPEN","BLOCKED"))</x:f>
        <x:v>OPEN</x:v>
      </x:c>
      <x:c r="G741" t="str">
        <x:v>equals</x:v>
      </x:c>
      <x:c r="H741" t="str">
        <x:f>IF(E741=F741,"PASS","FAIL")</x:f>
        <x:v>PASS</x:v>
      </x:c>
    </x:row>
    <x:row r="742">
      <x:c r="B742" t="str">
        <x:v>A-716</x:v>
      </x:c>
      <x:c r="C742" t="str">
        <x:v>GATE</x:v>
      </x:c>
      <x:c r="D742" t="str">
        <x:v>release ledger mirrors governing state</x:v>
      </x:c>
      <x:c r="E742" t="str">
        <x:f>'Release Gates'!J722</x:f>
        <x:v>OPEN</x:v>
      </x:c>
      <x:c r="F742" t="str">
        <x:f>IF('Release Gates'!C722="PLANNING","PASS",IF('Release Gates'!C722="PHYSICAL","OPEN","BLOCKED"))</x:f>
        <x:v>OPEN</x:v>
      </x:c>
      <x:c r="G742" t="str">
        <x:v>equals</x:v>
      </x:c>
      <x:c r="H742" t="str">
        <x:f>IF(E742=F742,"PASS","FAIL")</x:f>
        <x:v>PASS</x:v>
      </x:c>
    </x:row>
    <x:row r="743">
      <x:c r="B743" t="str">
        <x:v>A-717</x:v>
      </x:c>
      <x:c r="C743" t="str">
        <x:v>GATE</x:v>
      </x:c>
      <x:c r="D743" t="str">
        <x:v>release ledger mirrors governing state</x:v>
      </x:c>
      <x:c r="E743" t="str">
        <x:f>'Release Gates'!J723</x:f>
        <x:v>OPEN</x:v>
      </x:c>
      <x:c r="F743" t="str">
        <x:f>IF('Release Gates'!C723="PLANNING","PASS",IF('Release Gates'!C723="PHYSICAL","OPEN","BLOCKED"))</x:f>
        <x:v>OPEN</x:v>
      </x:c>
      <x:c r="G743" t="str">
        <x:v>equals</x:v>
      </x:c>
      <x:c r="H743" t="str">
        <x:f>IF(E743=F743,"PASS","FAIL")</x:f>
        <x:v>PASS</x:v>
      </x:c>
    </x:row>
    <x:row r="744">
      <x:c r="B744" t="str">
        <x:v>A-718</x:v>
      </x:c>
      <x:c r="C744" t="str">
        <x:v>GATE</x:v>
      </x:c>
      <x:c r="D744" t="str">
        <x:v>release ledger mirrors governing state</x:v>
      </x:c>
      <x:c r="E744" t="str">
        <x:f>'Release Gates'!J724</x:f>
        <x:v>OPEN</x:v>
      </x:c>
      <x:c r="F744" t="str">
        <x:f>IF('Release Gates'!C724="PLANNING","PASS",IF('Release Gates'!C724="PHYSICAL","OPEN","BLOCKED"))</x:f>
        <x:v>OPEN</x:v>
      </x:c>
      <x:c r="G744" t="str">
        <x:v>equals</x:v>
      </x:c>
      <x:c r="H744" t="str">
        <x:f>IF(E744=F744,"PASS","FAIL")</x:f>
        <x:v>PASS</x:v>
      </x:c>
    </x:row>
    <x:row r="745">
      <x:c r="B745" t="str">
        <x:v>A-719</x:v>
      </x:c>
      <x:c r="C745" t="str">
        <x:v>GATE</x:v>
      </x:c>
      <x:c r="D745" t="str">
        <x:v>release ledger mirrors governing state</x:v>
      </x:c>
      <x:c r="E745" t="str">
        <x:f>'Release Gates'!J725</x:f>
        <x:v>OPEN</x:v>
      </x:c>
      <x:c r="F745" t="str">
        <x:f>IF('Release Gates'!C725="PLANNING","PASS",IF('Release Gates'!C725="PHYSICAL","OPEN","BLOCKED"))</x:f>
        <x:v>OPEN</x:v>
      </x:c>
      <x:c r="G745" t="str">
        <x:v>equals</x:v>
      </x:c>
      <x:c r="H745" t="str">
        <x:f>IF(E745=F745,"PASS","FAIL")</x:f>
        <x:v>PASS</x:v>
      </x:c>
    </x:row>
    <x:row r="746">
      <x:c r="B746" t="str">
        <x:v>A-720</x:v>
      </x:c>
      <x:c r="C746" t="str">
        <x:v>GATE</x:v>
      </x:c>
      <x:c r="D746" t="str">
        <x:v>release ledger mirrors governing state</x:v>
      </x:c>
      <x:c r="E746" t="str">
        <x:f>'Release Gates'!J726</x:f>
        <x:v>OPEN</x:v>
      </x:c>
      <x:c r="F746" t="str">
        <x:f>IF('Release Gates'!C726="PLANNING","PASS",IF('Release Gates'!C726="PHYSICAL","OPEN","BLOCKED"))</x:f>
        <x:v>OPEN</x:v>
      </x:c>
      <x:c r="G746" t="str">
        <x:v>equals</x:v>
      </x:c>
      <x:c r="H746" t="str">
        <x:f>IF(E746=F746,"PASS","FAIL")</x:f>
        <x:v>PASS</x:v>
      </x:c>
    </x:row>
    <x:row r="747">
      <x:c r="B747" t="str">
        <x:v>A-721</x:v>
      </x:c>
      <x:c r="C747" t="str">
        <x:v>GATE</x:v>
      </x:c>
      <x:c r="D747" t="str">
        <x:v>release ledger mirrors governing state</x:v>
      </x:c>
      <x:c r="E747" t="str">
        <x:f>'Release Gates'!J727</x:f>
        <x:v>OPEN</x:v>
      </x:c>
      <x:c r="F747" t="str">
        <x:f>IF('Release Gates'!C727="PLANNING","PASS",IF('Release Gates'!C727="PHYSICAL","OPEN","BLOCKED"))</x:f>
        <x:v>OPEN</x:v>
      </x:c>
      <x:c r="G747" t="str">
        <x:v>equals</x:v>
      </x:c>
      <x:c r="H747" t="str">
        <x:f>IF(E747=F747,"PASS","FAIL")</x:f>
        <x:v>PASS</x:v>
      </x:c>
    </x:row>
    <x:row r="748">
      <x:c r="B748" t="str">
        <x:v>A-722</x:v>
      </x:c>
      <x:c r="C748" t="str">
        <x:v>GATE</x:v>
      </x:c>
      <x:c r="D748" t="str">
        <x:v>release ledger mirrors governing state</x:v>
      </x:c>
      <x:c r="E748" t="str">
        <x:f>'Release Gates'!J728</x:f>
        <x:v>OPEN</x:v>
      </x:c>
      <x:c r="F748" t="str">
        <x:f>IF('Release Gates'!C728="PLANNING","PASS",IF('Release Gates'!C728="PHYSICAL","OPEN","BLOCKED"))</x:f>
        <x:v>OPEN</x:v>
      </x:c>
      <x:c r="G748" t="str">
        <x:v>equals</x:v>
      </x:c>
      <x:c r="H748" t="str">
        <x:f>IF(E748=F748,"PASS","FAIL")</x:f>
        <x:v>PASS</x:v>
      </x:c>
    </x:row>
    <x:row r="749">
      <x:c r="B749" t="str">
        <x:v>A-723</x:v>
      </x:c>
      <x:c r="C749" t="str">
        <x:v>GATE</x:v>
      </x:c>
      <x:c r="D749" t="str">
        <x:v>release ledger mirrors governing state</x:v>
      </x:c>
      <x:c r="E749" t="str">
        <x:f>'Release Gates'!J729</x:f>
        <x:v>OPEN</x:v>
      </x:c>
      <x:c r="F749" t="str">
        <x:f>IF('Release Gates'!C729="PLANNING","PASS",IF('Release Gates'!C729="PHYSICAL","OPEN","BLOCKED"))</x:f>
        <x:v>OPEN</x:v>
      </x:c>
      <x:c r="G749" t="str">
        <x:v>equals</x:v>
      </x:c>
      <x:c r="H749" t="str">
        <x:f>IF(E749=F749,"PASS","FAIL")</x:f>
        <x:v>PASS</x:v>
      </x:c>
    </x:row>
    <x:row r="750">
      <x:c r="B750" t="str">
        <x:v>A-724</x:v>
      </x:c>
      <x:c r="C750" t="str">
        <x:v>GATE</x:v>
      </x:c>
      <x:c r="D750" t="str">
        <x:v>release ledger mirrors governing state</x:v>
      </x:c>
      <x:c r="E750" t="str">
        <x:f>'Release Gates'!J730</x:f>
        <x:v>OPEN</x:v>
      </x:c>
      <x:c r="F750" t="str">
        <x:f>IF('Release Gates'!C730="PLANNING","PASS",IF('Release Gates'!C730="PHYSICAL","OPEN","BLOCKED"))</x:f>
        <x:v>OPEN</x:v>
      </x:c>
      <x:c r="G750" t="str">
        <x:v>equals</x:v>
      </x:c>
      <x:c r="H750" t="str">
        <x:f>IF(E750=F750,"PASS","FAIL")</x:f>
        <x:v>PASS</x:v>
      </x:c>
    </x:row>
    <x:row r="751">
      <x:c r="B751" t="str">
        <x:v>A-725</x:v>
      </x:c>
      <x:c r="C751" t="str">
        <x:v>GATE</x:v>
      </x:c>
      <x:c r="D751" t="str">
        <x:v>release ledger mirrors governing state</x:v>
      </x:c>
      <x:c r="E751" t="str">
        <x:f>'Release Gates'!J731</x:f>
        <x:v>OPEN</x:v>
      </x:c>
      <x:c r="F751" t="str">
        <x:f>IF('Release Gates'!C731="PLANNING","PASS",IF('Release Gates'!C731="PHYSICAL","OPEN","BLOCKED"))</x:f>
        <x:v>OPEN</x:v>
      </x:c>
      <x:c r="G751" t="str">
        <x:v>equals</x:v>
      </x:c>
      <x:c r="H751" t="str">
        <x:f>IF(E751=F751,"PASS","FAIL")</x:f>
        <x:v>PASS</x:v>
      </x:c>
    </x:row>
    <x:row r="752">
      <x:c r="B752" t="str">
        <x:v>A-726</x:v>
      </x:c>
      <x:c r="C752" t="str">
        <x:v>GATE</x:v>
      </x:c>
      <x:c r="D752" t="str">
        <x:v>release ledger mirrors governing state</x:v>
      </x:c>
      <x:c r="E752" t="str">
        <x:f>'Release Gates'!J732</x:f>
        <x:v>OPEN</x:v>
      </x:c>
      <x:c r="F752" t="str">
        <x:f>IF('Release Gates'!C732="PLANNING","PASS",IF('Release Gates'!C732="PHYSICAL","OPEN","BLOCKED"))</x:f>
        <x:v>OPEN</x:v>
      </x:c>
      <x:c r="G752" t="str">
        <x:v>equals</x:v>
      </x:c>
      <x:c r="H752" t="str">
        <x:f>IF(E752=F752,"PASS","FAIL")</x:f>
        <x:v>PASS</x:v>
      </x:c>
    </x:row>
    <x:row r="753">
      <x:c r="B753" t="str">
        <x:v>A-727</x:v>
      </x:c>
      <x:c r="C753" t="str">
        <x:v>GATE</x:v>
      </x:c>
      <x:c r="D753" t="str">
        <x:v>release ledger mirrors governing state</x:v>
      </x:c>
      <x:c r="E753" t="str">
        <x:f>'Release Gates'!J733</x:f>
        <x:v>OPEN</x:v>
      </x:c>
      <x:c r="F753" t="str">
        <x:f>IF('Release Gates'!C733="PLANNING","PASS",IF('Release Gates'!C733="PHYSICAL","OPEN","BLOCKED"))</x:f>
        <x:v>OPEN</x:v>
      </x:c>
      <x:c r="G753" t="str">
        <x:v>equals</x:v>
      </x:c>
      <x:c r="H753" t="str">
        <x:f>IF(E753=F753,"PASS","FAIL")</x:f>
        <x:v>PASS</x:v>
      </x:c>
    </x:row>
    <x:row r="754">
      <x:c r="B754" t="str">
        <x:v>A-728</x:v>
      </x:c>
      <x:c r="C754" t="str">
        <x:v>GATE</x:v>
      </x:c>
      <x:c r="D754" t="str">
        <x:v>release ledger mirrors governing state</x:v>
      </x:c>
      <x:c r="E754" t="str">
        <x:f>'Release Gates'!J734</x:f>
        <x:v>OPEN</x:v>
      </x:c>
      <x:c r="F754" t="str">
        <x:f>IF('Release Gates'!C734="PLANNING","PASS",IF('Release Gates'!C734="PHYSICAL","OPEN","BLOCKED"))</x:f>
        <x:v>OPEN</x:v>
      </x:c>
      <x:c r="G754" t="str">
        <x:v>equals</x:v>
      </x:c>
      <x:c r="H754" t="str">
        <x:f>IF(E754=F754,"PASS","FAIL")</x:f>
        <x:v>PASS</x:v>
      </x:c>
    </x:row>
    <x:row r="755">
      <x:c r="B755" t="str">
        <x:v>A-729</x:v>
      </x:c>
      <x:c r="C755" t="str">
        <x:v>GATE</x:v>
      </x:c>
      <x:c r="D755" t="str">
        <x:v>release ledger mirrors governing state</x:v>
      </x:c>
      <x:c r="E755" t="str">
        <x:f>'Release Gates'!J735</x:f>
        <x:v>OPEN</x:v>
      </x:c>
      <x:c r="F755" t="str">
        <x:f>IF('Release Gates'!C735="PLANNING","PASS",IF('Release Gates'!C735="PHYSICAL","OPEN","BLOCKED"))</x:f>
        <x:v>OPEN</x:v>
      </x:c>
      <x:c r="G755" t="str">
        <x:v>equals</x:v>
      </x:c>
      <x:c r="H755" t="str">
        <x:f>IF(E755=F755,"PASS","FAIL")</x:f>
        <x:v>PASS</x:v>
      </x:c>
    </x:row>
    <x:row r="756">
      <x:c r="B756" t="str">
        <x:v>A-730</x:v>
      </x:c>
      <x:c r="C756" t="str">
        <x:v>GATE</x:v>
      </x:c>
      <x:c r="D756" t="str">
        <x:v>release ledger mirrors governing state</x:v>
      </x:c>
      <x:c r="E756" t="str">
        <x:f>'Release Gates'!J736</x:f>
        <x:v>OPEN</x:v>
      </x:c>
      <x:c r="F756" t="str">
        <x:f>IF('Release Gates'!C736="PLANNING","PASS",IF('Release Gates'!C736="PHYSICAL","OPEN","BLOCKED"))</x:f>
        <x:v>OPEN</x:v>
      </x:c>
      <x:c r="G756" t="str">
        <x:v>equals</x:v>
      </x:c>
      <x:c r="H756" t="str">
        <x:f>IF(E756=F756,"PASS","FAIL")</x:f>
        <x:v>PASS</x:v>
      </x:c>
    </x:row>
    <x:row r="757">
      <x:c r="B757" t="str">
        <x:v>A-731</x:v>
      </x:c>
      <x:c r="C757" t="str">
        <x:v>GATE</x:v>
      </x:c>
      <x:c r="D757" t="str">
        <x:v>release ledger mirrors governing state</x:v>
      </x:c>
      <x:c r="E757" t="str">
        <x:f>'Release Gates'!J737</x:f>
        <x:v>OPEN</x:v>
      </x:c>
      <x:c r="F757" t="str">
        <x:f>IF('Release Gates'!C737="PLANNING","PASS",IF('Release Gates'!C737="PHYSICAL","OPEN","BLOCKED"))</x:f>
        <x:v>OPEN</x:v>
      </x:c>
      <x:c r="G757" t="str">
        <x:v>equals</x:v>
      </x:c>
      <x:c r="H757" t="str">
        <x:f>IF(E757=F757,"PASS","FAIL")</x:f>
        <x:v>PASS</x:v>
      </x:c>
    </x:row>
    <x:row r="758">
      <x:c r="B758" t="str">
        <x:v>A-732</x:v>
      </x:c>
      <x:c r="C758" t="str">
        <x:v>GATE</x:v>
      </x:c>
      <x:c r="D758" t="str">
        <x:v>release ledger mirrors governing state</x:v>
      </x:c>
      <x:c r="E758" t="str">
        <x:f>'Release Gates'!J738</x:f>
        <x:v>OPEN</x:v>
      </x:c>
      <x:c r="F758" t="str">
        <x:f>IF('Release Gates'!C738="PLANNING","PASS",IF('Release Gates'!C738="PHYSICAL","OPEN","BLOCKED"))</x:f>
        <x:v>OPEN</x:v>
      </x:c>
      <x:c r="G758" t="str">
        <x:v>equals</x:v>
      </x:c>
      <x:c r="H758" t="str">
        <x:f>IF(E758=F758,"PASS","FAIL")</x:f>
        <x:v>PASS</x:v>
      </x:c>
    </x:row>
    <x:row r="759">
      <x:c r="B759" t="str">
        <x:v>A-733</x:v>
      </x:c>
      <x:c r="C759" t="str">
        <x:v>GATE</x:v>
      </x:c>
      <x:c r="D759" t="str">
        <x:v>release ledger mirrors governing state</x:v>
      </x:c>
      <x:c r="E759" t="str">
        <x:f>'Release Gates'!J739</x:f>
        <x:v>OPEN</x:v>
      </x:c>
      <x:c r="F759" t="str">
        <x:f>IF('Release Gates'!C739="PLANNING","PASS",IF('Release Gates'!C739="PHYSICAL","OPEN","BLOCKED"))</x:f>
        <x:v>OPEN</x:v>
      </x:c>
      <x:c r="G759" t="str">
        <x:v>equals</x:v>
      </x:c>
      <x:c r="H759" t="str">
        <x:f>IF(E759=F759,"PASS","FAIL")</x:f>
        <x:v>PASS</x:v>
      </x:c>
    </x:row>
    <x:row r="760">
      <x:c r="B760" t="str">
        <x:v>A-734</x:v>
      </x:c>
      <x:c r="C760" t="str">
        <x:v>GATE</x:v>
      </x:c>
      <x:c r="D760" t="str">
        <x:v>release ledger mirrors governing state</x:v>
      </x:c>
      <x:c r="E760" t="str">
        <x:f>'Release Gates'!J740</x:f>
        <x:v>OPEN</x:v>
      </x:c>
      <x:c r="F760" t="str">
        <x:f>IF('Release Gates'!C740="PLANNING","PASS",IF('Release Gates'!C740="PHYSICAL","OPEN","BLOCKED"))</x:f>
        <x:v>OPEN</x:v>
      </x:c>
      <x:c r="G760" t="str">
        <x:v>equals</x:v>
      </x:c>
      <x:c r="H760" t="str">
        <x:f>IF(E760=F760,"PASS","FAIL")</x:f>
        <x:v>PASS</x:v>
      </x:c>
    </x:row>
    <x:row r="761">
      <x:c r="B761" t="str">
        <x:v>A-735</x:v>
      </x:c>
      <x:c r="C761" t="str">
        <x:v>GATE</x:v>
      </x:c>
      <x:c r="D761" t="str">
        <x:v>release ledger mirrors governing state</x:v>
      </x:c>
      <x:c r="E761" t="str">
        <x:f>'Release Gates'!J741</x:f>
        <x:v>OPEN</x:v>
      </x:c>
      <x:c r="F761" t="str">
        <x:f>IF('Release Gates'!C741="PLANNING","PASS",IF('Release Gates'!C741="PHYSICAL","OPEN","BLOCKED"))</x:f>
        <x:v>OPEN</x:v>
      </x:c>
      <x:c r="G761" t="str">
        <x:v>equals</x:v>
      </x:c>
      <x:c r="H761" t="str">
        <x:f>IF(E761=F761,"PASS","FAIL")</x:f>
        <x:v>PASS</x:v>
      </x:c>
    </x:row>
    <x:row r="762">
      <x:c r="B762" t="str">
        <x:v>A-736</x:v>
      </x:c>
      <x:c r="C762" t="str">
        <x:v>GATE</x:v>
      </x:c>
      <x:c r="D762" t="str">
        <x:v>release ledger mirrors governing state</x:v>
      </x:c>
      <x:c r="E762" t="str">
        <x:f>'Release Gates'!J742</x:f>
        <x:v>OPEN</x:v>
      </x:c>
      <x:c r="F762" t="str">
        <x:f>IF('Release Gates'!C742="PLANNING","PASS",IF('Release Gates'!C742="PHYSICAL","OPEN","BLOCKED"))</x:f>
        <x:v>OPEN</x:v>
      </x:c>
      <x:c r="G762" t="str">
        <x:v>equals</x:v>
      </x:c>
      <x:c r="H762" t="str">
        <x:f>IF(E762=F762,"PASS","FAIL")</x:f>
        <x:v>PASS</x:v>
      </x:c>
    </x:row>
    <x:row r="763">
      <x:c r="B763" t="str">
        <x:v>A-737</x:v>
      </x:c>
      <x:c r="C763" t="str">
        <x:v>GATE</x:v>
      </x:c>
      <x:c r="D763" t="str">
        <x:v>release ledger mirrors governing state</x:v>
      </x:c>
      <x:c r="E763" t="str">
        <x:f>'Release Gates'!J743</x:f>
        <x:v>OPEN</x:v>
      </x:c>
      <x:c r="F763" t="str">
        <x:f>IF('Release Gates'!C743="PLANNING","PASS",IF('Release Gates'!C743="PHYSICAL","OPEN","BLOCKED"))</x:f>
        <x:v>OPEN</x:v>
      </x:c>
      <x:c r="G763" t="str">
        <x:v>equals</x:v>
      </x:c>
      <x:c r="H763" t="str">
        <x:f>IF(E763=F763,"PASS","FAIL")</x:f>
        <x:v>PASS</x:v>
      </x:c>
    </x:row>
    <x:row r="764">
      <x:c r="B764" t="str">
        <x:v>A-738</x:v>
      </x:c>
      <x:c r="C764" t="str">
        <x:v>GATE</x:v>
      </x:c>
      <x:c r="D764" t="str">
        <x:v>release ledger mirrors governing state</x:v>
      </x:c>
      <x:c r="E764" t="str">
        <x:f>'Release Gates'!J744</x:f>
        <x:v>OPEN</x:v>
      </x:c>
      <x:c r="F764" t="str">
        <x:f>IF('Release Gates'!C744="PLANNING","PASS",IF('Release Gates'!C744="PHYSICAL","OPEN","BLOCKED"))</x:f>
        <x:v>OPEN</x:v>
      </x:c>
      <x:c r="G764" t="str">
        <x:v>equals</x:v>
      </x:c>
      <x:c r="H764" t="str">
        <x:f>IF(E764=F764,"PASS","FAIL")</x:f>
        <x:v>PASS</x:v>
      </x:c>
    </x:row>
    <x:row r="765">
      <x:c r="B765" t="str">
        <x:v>A-739</x:v>
      </x:c>
      <x:c r="C765" t="str">
        <x:v>GATE</x:v>
      </x:c>
      <x:c r="D765" t="str">
        <x:v>release ledger mirrors governing state</x:v>
      </x:c>
      <x:c r="E765" t="str">
        <x:f>'Release Gates'!J745</x:f>
        <x:v>OPEN</x:v>
      </x:c>
      <x:c r="F765" t="str">
        <x:f>IF('Release Gates'!C745="PLANNING","PASS",IF('Release Gates'!C745="PHYSICAL","OPEN","BLOCKED"))</x:f>
        <x:v>OPEN</x:v>
      </x:c>
      <x:c r="G765" t="str">
        <x:v>equals</x:v>
      </x:c>
      <x:c r="H765" t="str">
        <x:f>IF(E765=F765,"PASS","FAIL")</x:f>
        <x:v>PASS</x:v>
      </x:c>
    </x:row>
    <x:row r="766">
      <x:c r="B766" t="str">
        <x:v>A-740</x:v>
      </x:c>
      <x:c r="C766" t="str">
        <x:v>GATE</x:v>
      </x:c>
      <x:c r="D766" t="str">
        <x:v>release ledger mirrors governing state</x:v>
      </x:c>
      <x:c r="E766" t="str">
        <x:f>'Release Gates'!J746</x:f>
        <x:v>OPEN</x:v>
      </x:c>
      <x:c r="F766" t="str">
        <x:f>IF('Release Gates'!C746="PLANNING","PASS",IF('Release Gates'!C746="PHYSICAL","OPEN","BLOCKED"))</x:f>
        <x:v>OPEN</x:v>
      </x:c>
      <x:c r="G766" t="str">
        <x:v>equals</x:v>
      </x:c>
      <x:c r="H766" t="str">
        <x:f>IF(E766=F766,"PASS","FAIL")</x:f>
        <x:v>PASS</x:v>
      </x:c>
    </x:row>
    <x:row r="767">
      <x:c r="B767" t="str">
        <x:v>A-741</x:v>
      </x:c>
      <x:c r="C767" t="str">
        <x:v>GATE</x:v>
      </x:c>
      <x:c r="D767" t="str">
        <x:v>release ledger mirrors governing state</x:v>
      </x:c>
      <x:c r="E767" t="str">
        <x:f>'Release Gates'!J747</x:f>
        <x:v>OPEN</x:v>
      </x:c>
      <x:c r="F767" t="str">
        <x:f>IF('Release Gates'!C747="PLANNING","PASS",IF('Release Gates'!C747="PHYSICAL","OPEN","BLOCKED"))</x:f>
        <x:v>OPEN</x:v>
      </x:c>
      <x:c r="G767" t="str">
        <x:v>equals</x:v>
      </x:c>
      <x:c r="H767" t="str">
        <x:f>IF(E767=F767,"PASS","FAIL")</x:f>
        <x:v>PASS</x:v>
      </x:c>
    </x:row>
    <x:row r="768">
      <x:c r="B768" t="str">
        <x:v>A-742</x:v>
      </x:c>
      <x:c r="C768" t="str">
        <x:v>GATE</x:v>
      </x:c>
      <x:c r="D768" t="str">
        <x:v>release ledger mirrors governing state</x:v>
      </x:c>
      <x:c r="E768" t="str">
        <x:f>'Release Gates'!J748</x:f>
        <x:v>OPEN</x:v>
      </x:c>
      <x:c r="F768" t="str">
        <x:f>IF('Release Gates'!C748="PLANNING","PASS",IF('Release Gates'!C748="PHYSICAL","OPEN","BLOCKED"))</x:f>
        <x:v>OPEN</x:v>
      </x:c>
      <x:c r="G768" t="str">
        <x:v>equals</x:v>
      </x:c>
      <x:c r="H768" t="str">
        <x:f>IF(E768=F768,"PASS","FAIL")</x:f>
        <x:v>PASS</x:v>
      </x:c>
    </x:row>
    <x:row r="769">
      <x:c r="B769" t="str">
        <x:v>A-743</x:v>
      </x:c>
      <x:c r="C769" t="str">
        <x:v>GATE</x:v>
      </x:c>
      <x:c r="D769" t="str">
        <x:v>release ledger mirrors governing state</x:v>
      </x:c>
      <x:c r="E769" t="str">
        <x:f>'Release Gates'!J749</x:f>
        <x:v>OPEN</x:v>
      </x:c>
      <x:c r="F769" t="str">
        <x:f>IF('Release Gates'!C749="PLANNING","PASS",IF('Release Gates'!C749="PHYSICAL","OPEN","BLOCKED"))</x:f>
        <x:v>OPEN</x:v>
      </x:c>
      <x:c r="G769" t="str">
        <x:v>equals</x:v>
      </x:c>
      <x:c r="H769" t="str">
        <x:f>IF(E769=F769,"PASS","FAIL")</x:f>
        <x:v>PASS</x:v>
      </x:c>
    </x:row>
    <x:row r="770">
      <x:c r="B770" t="str">
        <x:v>A-744</x:v>
      </x:c>
      <x:c r="C770" t="str">
        <x:v>GATE</x:v>
      </x:c>
      <x:c r="D770" t="str">
        <x:v>release ledger mirrors governing state</x:v>
      </x:c>
      <x:c r="E770" t="str">
        <x:f>'Release Gates'!J750</x:f>
        <x:v>OPEN</x:v>
      </x:c>
      <x:c r="F770" t="str">
        <x:f>IF('Release Gates'!C750="PLANNING","PASS",IF('Release Gates'!C750="PHYSICAL","OPEN","BLOCKED"))</x:f>
        <x:v>OPEN</x:v>
      </x:c>
      <x:c r="G770" t="str">
        <x:v>equals</x:v>
      </x:c>
      <x:c r="H770" t="str">
        <x:f>IF(E770=F770,"PASS","FAIL")</x:f>
        <x:v>PASS</x:v>
      </x:c>
    </x:row>
    <x:row r="771">
      <x:c r="B771" t="str">
        <x:v>A-745</x:v>
      </x:c>
      <x:c r="C771" t="str">
        <x:v>GATE</x:v>
      </x:c>
      <x:c r="D771" t="str">
        <x:v>release ledger mirrors governing state</x:v>
      </x:c>
      <x:c r="E771" t="str">
        <x:f>'Release Gates'!J751</x:f>
        <x:v>OPEN</x:v>
      </x:c>
      <x:c r="F771" t="str">
        <x:f>IF('Release Gates'!C751="PLANNING","PASS",IF('Release Gates'!C751="PHYSICAL","OPEN","BLOCKED"))</x:f>
        <x:v>OPEN</x:v>
      </x:c>
      <x:c r="G771" t="str">
        <x:v>equals</x:v>
      </x:c>
      <x:c r="H771" t="str">
        <x:f>IF(E771=F771,"PASS","FAIL")</x:f>
        <x:v>PASS</x:v>
      </x:c>
    </x:row>
    <x:row r="772">
      <x:c r="B772" t="str">
        <x:v>A-746</x:v>
      </x:c>
      <x:c r="C772" t="str">
        <x:v>GATE</x:v>
      </x:c>
      <x:c r="D772" t="str">
        <x:v>release ledger mirrors governing state</x:v>
      </x:c>
      <x:c r="E772" t="str">
        <x:f>'Release Gates'!J752</x:f>
        <x:v>OPEN</x:v>
      </x:c>
      <x:c r="F772" t="str">
        <x:f>IF('Release Gates'!C752="PLANNING","PASS",IF('Release Gates'!C752="PHYSICAL","OPEN","BLOCKED"))</x:f>
        <x:v>OPEN</x:v>
      </x:c>
      <x:c r="G772" t="str">
        <x:v>equals</x:v>
      </x:c>
      <x:c r="H772" t="str">
        <x:f>IF(E772=F772,"PASS","FAIL")</x:f>
        <x:v>PASS</x:v>
      </x:c>
    </x:row>
    <x:row r="773">
      <x:c r="B773" t="str">
        <x:v>A-747</x:v>
      </x:c>
      <x:c r="C773" t="str">
        <x:v>GATE</x:v>
      </x:c>
      <x:c r="D773" t="str">
        <x:v>release ledger mirrors governing state</x:v>
      </x:c>
      <x:c r="E773" t="str">
        <x:f>'Release Gates'!J753</x:f>
        <x:v>OPEN</x:v>
      </x:c>
      <x:c r="F773" t="str">
        <x:f>IF('Release Gates'!C753="PLANNING","PASS",IF('Release Gates'!C753="PHYSICAL","OPEN","BLOCKED"))</x:f>
        <x:v>OPEN</x:v>
      </x:c>
      <x:c r="G773" t="str">
        <x:v>equals</x:v>
      </x:c>
      <x:c r="H773" t="str">
        <x:f>IF(E773=F773,"PASS","FAIL")</x:f>
        <x:v>PASS</x:v>
      </x:c>
    </x:row>
    <x:row r="774">
      <x:c r="B774" t="str">
        <x:v>A-748</x:v>
      </x:c>
      <x:c r="C774" t="str">
        <x:v>GATE</x:v>
      </x:c>
      <x:c r="D774" t="str">
        <x:v>release ledger mirrors governing state</x:v>
      </x:c>
      <x:c r="E774" t="str">
        <x:f>'Release Gates'!J754</x:f>
        <x:v>OPEN</x:v>
      </x:c>
      <x:c r="F774" t="str">
        <x:f>IF('Release Gates'!C754="PLANNING","PASS",IF('Release Gates'!C754="PHYSICAL","OPEN","BLOCKED"))</x:f>
        <x:v>OPEN</x:v>
      </x:c>
      <x:c r="G774" t="str">
        <x:v>equals</x:v>
      </x:c>
      <x:c r="H774" t="str">
        <x:f>IF(E774=F774,"PASS","FAIL")</x:f>
        <x:v>PASS</x:v>
      </x:c>
    </x:row>
    <x:row r="775">
      <x:c r="B775" t="str">
        <x:v>A-749</x:v>
      </x:c>
      <x:c r="C775" t="str">
        <x:v>GATE</x:v>
      </x:c>
      <x:c r="D775" t="str">
        <x:v>release ledger mirrors governing state</x:v>
      </x:c>
      <x:c r="E775" t="str">
        <x:f>'Release Gates'!J755</x:f>
        <x:v>OPEN</x:v>
      </x:c>
      <x:c r="F775" t="str">
        <x:f>IF('Release Gates'!C755="PLANNING","PASS",IF('Release Gates'!C755="PHYSICAL","OPEN","BLOCKED"))</x:f>
        <x:v>OPEN</x:v>
      </x:c>
      <x:c r="G775" t="str">
        <x:v>equals</x:v>
      </x:c>
      <x:c r="H775" t="str">
        <x:f>IF(E775=F775,"PASS","FAIL")</x:f>
        <x:v>PASS</x:v>
      </x:c>
    </x:row>
    <x:row r="776">
      <x:c r="B776" t="str">
        <x:v>A-750</x:v>
      </x:c>
      <x:c r="C776" t="str">
        <x:v>GATE</x:v>
      </x:c>
      <x:c r="D776" t="str">
        <x:v>release ledger mirrors governing state</x:v>
      </x:c>
      <x:c r="E776" t="str">
        <x:f>'Release Gates'!J756</x:f>
        <x:v>OPEN</x:v>
      </x:c>
      <x:c r="F776" t="str">
        <x:f>IF('Release Gates'!C756="PLANNING","PASS",IF('Release Gates'!C756="PHYSICAL","OPEN","BLOCKED"))</x:f>
        <x:v>OPEN</x:v>
      </x:c>
      <x:c r="G776" t="str">
        <x:v>equals</x:v>
      </x:c>
      <x:c r="H776" t="str">
        <x:f>IF(E776=F776,"PASS","FAIL")</x:f>
        <x:v>PASS</x:v>
      </x:c>
    </x:row>
    <x:row r="777">
      <x:c r="B777" t="str">
        <x:v>A-751</x:v>
      </x:c>
      <x:c r="C777" t="str">
        <x:v>GATE</x:v>
      </x:c>
      <x:c r="D777" t="str">
        <x:v>release ledger mirrors governing state</x:v>
      </x:c>
      <x:c r="E777" t="str">
        <x:f>'Release Gates'!J757</x:f>
        <x:v>OPEN</x:v>
      </x:c>
      <x:c r="F777" t="str">
        <x:f>IF('Release Gates'!C757="PLANNING","PASS",IF('Release Gates'!C757="PHYSICAL","OPEN","BLOCKED"))</x:f>
        <x:v>OPEN</x:v>
      </x:c>
      <x:c r="G777" t="str">
        <x:v>equals</x:v>
      </x:c>
      <x:c r="H777" t="str">
        <x:f>IF(E777=F777,"PASS","FAIL")</x:f>
        <x:v>PASS</x:v>
      </x:c>
    </x:row>
    <x:row r="778">
      <x:c r="B778" t="str">
        <x:v>A-752</x:v>
      </x:c>
      <x:c r="C778" t="str">
        <x:v>GATE</x:v>
      </x:c>
      <x:c r="D778" t="str">
        <x:v>release ledger mirrors governing state</x:v>
      </x:c>
      <x:c r="E778" t="str">
        <x:f>'Release Gates'!J758</x:f>
        <x:v>OPEN</x:v>
      </x:c>
      <x:c r="F778" t="str">
        <x:f>IF('Release Gates'!C758="PLANNING","PASS",IF('Release Gates'!C758="PHYSICAL","OPEN","BLOCKED"))</x:f>
        <x:v>OPEN</x:v>
      </x:c>
      <x:c r="G778" t="str">
        <x:v>equals</x:v>
      </x:c>
      <x:c r="H778" t="str">
        <x:f>IF(E778=F778,"PASS","FAIL")</x:f>
        <x:v>PASS</x:v>
      </x:c>
    </x:row>
    <x:row r="779">
      <x:c r="B779" t="str">
        <x:v>A-753</x:v>
      </x:c>
      <x:c r="C779" t="str">
        <x:v>GATE</x:v>
      </x:c>
      <x:c r="D779" t="str">
        <x:v>release ledger mirrors governing state</x:v>
      </x:c>
      <x:c r="E779" t="str">
        <x:f>'Release Gates'!J759</x:f>
        <x:v>OPEN</x:v>
      </x:c>
      <x:c r="F779" t="str">
        <x:f>IF('Release Gates'!C759="PLANNING","PASS",IF('Release Gates'!C759="PHYSICAL","OPEN","BLOCKED"))</x:f>
        <x:v>OPEN</x:v>
      </x:c>
      <x:c r="G779" t="str">
        <x:v>equals</x:v>
      </x:c>
      <x:c r="H779" t="str">
        <x:f>IF(E779=F779,"PASS","FAIL")</x:f>
        <x:v>PASS</x:v>
      </x:c>
    </x:row>
    <x:row r="780">
      <x:c r="B780" t="str">
        <x:v>A-754</x:v>
      </x:c>
      <x:c r="C780" t="str">
        <x:v>GATE</x:v>
      </x:c>
      <x:c r="D780" t="str">
        <x:v>release ledger mirrors governing state</x:v>
      </x:c>
      <x:c r="E780" t="str">
        <x:f>'Release Gates'!J760</x:f>
        <x:v>OPEN</x:v>
      </x:c>
      <x:c r="F780" t="str">
        <x:f>IF('Release Gates'!C760="PLANNING","PASS",IF('Release Gates'!C760="PHYSICAL","OPEN","BLOCKED"))</x:f>
        <x:v>OPEN</x:v>
      </x:c>
      <x:c r="G780" t="str">
        <x:v>equals</x:v>
      </x:c>
      <x:c r="H780" t="str">
        <x:f>IF(E780=F780,"PASS","FAIL")</x:f>
        <x:v>PASS</x:v>
      </x:c>
    </x:row>
    <x:row r="781">
      <x:c r="B781" t="str">
        <x:v>A-755</x:v>
      </x:c>
      <x:c r="C781" t="str">
        <x:v>GATE</x:v>
      </x:c>
      <x:c r="D781" t="str">
        <x:v>release ledger mirrors governing state</x:v>
      </x:c>
      <x:c r="E781" t="str">
        <x:f>'Release Gates'!J761</x:f>
        <x:v>OPEN</x:v>
      </x:c>
      <x:c r="F781" t="str">
        <x:f>IF('Release Gates'!C761="PLANNING","PASS",IF('Release Gates'!C761="PHYSICAL","OPEN","BLOCKED"))</x:f>
        <x:v>OPEN</x:v>
      </x:c>
      <x:c r="G781" t="str">
        <x:v>equals</x:v>
      </x:c>
      <x:c r="H781" t="str">
        <x:f>IF(E781=F781,"PASS","FAIL")</x:f>
        <x:v>PASS</x:v>
      </x:c>
    </x:row>
    <x:row r="782">
      <x:c r="B782" t="str">
        <x:v>A-756</x:v>
      </x:c>
      <x:c r="C782" t="str">
        <x:v>GATE</x:v>
      </x:c>
      <x:c r="D782" t="str">
        <x:v>release ledger mirrors governing state</x:v>
      </x:c>
      <x:c r="E782" t="str">
        <x:f>'Release Gates'!J762</x:f>
        <x:v>OPEN</x:v>
      </x:c>
      <x:c r="F782" t="str">
        <x:f>IF('Release Gates'!C762="PLANNING","PASS",IF('Release Gates'!C762="PHYSICAL","OPEN","BLOCKED"))</x:f>
        <x:v>OPEN</x:v>
      </x:c>
      <x:c r="G782" t="str">
        <x:v>equals</x:v>
      </x:c>
      <x:c r="H782" t="str">
        <x:f>IF(E782=F782,"PASS","FAIL")</x:f>
        <x:v>PASS</x:v>
      </x:c>
    </x:row>
    <x:row r="783">
      <x:c r="B783" t="str">
        <x:v>A-757</x:v>
      </x:c>
      <x:c r="C783" t="str">
        <x:v>GATE</x:v>
      </x:c>
      <x:c r="D783" t="str">
        <x:v>release ledger mirrors governing state</x:v>
      </x:c>
      <x:c r="E783" t="str">
        <x:f>'Release Gates'!J763</x:f>
        <x:v>OPEN</x:v>
      </x:c>
      <x:c r="F783" t="str">
        <x:f>IF('Release Gates'!C763="PLANNING","PASS",IF('Release Gates'!C763="PHYSICAL","OPEN","BLOCKED"))</x:f>
        <x:v>OPEN</x:v>
      </x:c>
      <x:c r="G783" t="str">
        <x:v>equals</x:v>
      </x:c>
      <x:c r="H783" t="str">
        <x:f>IF(E783=F783,"PASS","FAIL")</x:f>
        <x:v>PASS</x:v>
      </x:c>
    </x:row>
    <x:row r="784">
      <x:c r="B784" t="str">
        <x:v>A-758</x:v>
      </x:c>
      <x:c r="C784" t="str">
        <x:v>GATE</x:v>
      </x:c>
      <x:c r="D784" t="str">
        <x:v>release ledger mirrors governing state</x:v>
      </x:c>
      <x:c r="E784" t="str">
        <x:f>'Release Gates'!J764</x:f>
        <x:v>OPEN</x:v>
      </x:c>
      <x:c r="F784" t="str">
        <x:f>IF('Release Gates'!C764="PLANNING","PASS",IF('Release Gates'!C764="PHYSICAL","OPEN","BLOCKED"))</x:f>
        <x:v>OPEN</x:v>
      </x:c>
      <x:c r="G784" t="str">
        <x:v>equals</x:v>
      </x:c>
      <x:c r="H784" t="str">
        <x:f>IF(E784=F784,"PASS","FAIL")</x:f>
        <x:v>PASS</x:v>
      </x:c>
    </x:row>
    <x:row r="785">
      <x:c r="B785" t="str">
        <x:v>A-759</x:v>
      </x:c>
      <x:c r="C785" t="str">
        <x:v>GATE</x:v>
      </x:c>
      <x:c r="D785" t="str">
        <x:v>release ledger mirrors governing state</x:v>
      </x:c>
      <x:c r="E785" t="str">
        <x:f>'Release Gates'!J765</x:f>
        <x:v>OPEN</x:v>
      </x:c>
      <x:c r="F785" t="str">
        <x:f>IF('Release Gates'!C765="PLANNING","PASS",IF('Release Gates'!C765="PHYSICAL","OPEN","BLOCKED"))</x:f>
        <x:v>OPEN</x:v>
      </x:c>
      <x:c r="G785" t="str">
        <x:v>equals</x:v>
      </x:c>
      <x:c r="H785" t="str">
        <x:f>IF(E785=F785,"PASS","FAIL")</x:f>
        <x:v>PASS</x:v>
      </x:c>
    </x:row>
    <x:row r="786">
      <x:c r="B786" t="str">
        <x:v>A-760</x:v>
      </x:c>
      <x:c r="C786" t="str">
        <x:v>GATE</x:v>
      </x:c>
      <x:c r="D786" t="str">
        <x:v>release ledger mirrors governing state</x:v>
      </x:c>
      <x:c r="E786" t="str">
        <x:f>'Release Gates'!J766</x:f>
        <x:v>OPEN</x:v>
      </x:c>
      <x:c r="F786" t="str">
        <x:f>IF('Release Gates'!C766="PLANNING","PASS",IF('Release Gates'!C766="PHYSICAL","OPEN","BLOCKED"))</x:f>
        <x:v>OPEN</x:v>
      </x:c>
      <x:c r="G786" t="str">
        <x:v>equals</x:v>
      </x:c>
      <x:c r="H786" t="str">
        <x:f>IF(E786=F786,"PASS","FAIL")</x:f>
        <x:v>PASS</x:v>
      </x:c>
    </x:row>
    <x:row r="787">
      <x:c r="B787" t="str">
        <x:v>A-761</x:v>
      </x:c>
      <x:c r="C787" t="str">
        <x:v>GATE</x:v>
      </x:c>
      <x:c r="D787" t="str">
        <x:v>release ledger mirrors governing state</x:v>
      </x:c>
      <x:c r="E787" t="str">
        <x:f>'Release Gates'!J767</x:f>
        <x:v>OPEN</x:v>
      </x:c>
      <x:c r="F787" t="str">
        <x:f>IF('Release Gates'!C767="PLANNING","PASS",IF('Release Gates'!C767="PHYSICAL","OPEN","BLOCKED"))</x:f>
        <x:v>OPEN</x:v>
      </x:c>
      <x:c r="G787" t="str">
        <x:v>equals</x:v>
      </x:c>
      <x:c r="H787" t="str">
        <x:f>IF(E787=F787,"PASS","FAIL")</x:f>
        <x:v>PASS</x:v>
      </x:c>
    </x:row>
    <x:row r="788">
      <x:c r="B788" t="str">
        <x:v>A-762</x:v>
      </x:c>
      <x:c r="C788" t="str">
        <x:v>GATE</x:v>
      </x:c>
      <x:c r="D788" t="str">
        <x:v>release ledger mirrors governing state</x:v>
      </x:c>
      <x:c r="E788" t="str">
        <x:f>'Release Gates'!J768</x:f>
        <x:v>OPEN</x:v>
      </x:c>
      <x:c r="F788" t="str">
        <x:f>IF('Release Gates'!C768="PLANNING","PASS",IF('Release Gates'!C768="PHYSICAL","OPEN","BLOCKED"))</x:f>
        <x:v>OPEN</x:v>
      </x:c>
      <x:c r="G788" t="str">
        <x:v>equals</x:v>
      </x:c>
      <x:c r="H788" t="str">
        <x:f>IF(E788=F788,"PASS","FAIL")</x:f>
        <x:v>PASS</x:v>
      </x:c>
    </x:row>
    <x:row r="789">
      <x:c r="B789" t="str">
        <x:v>A-763</x:v>
      </x:c>
      <x:c r="C789" t="str">
        <x:v>GATE</x:v>
      </x:c>
      <x:c r="D789" t="str">
        <x:v>release ledger mirrors governing state</x:v>
      </x:c>
      <x:c r="E789" t="str">
        <x:f>'Release Gates'!J769</x:f>
        <x:v>OPEN</x:v>
      </x:c>
      <x:c r="F789" t="str">
        <x:f>IF('Release Gates'!C769="PLANNING","PASS",IF('Release Gates'!C769="PHYSICAL","OPEN","BLOCKED"))</x:f>
        <x:v>OPEN</x:v>
      </x:c>
      <x:c r="G789" t="str">
        <x:v>equals</x:v>
      </x:c>
      <x:c r="H789" t="str">
        <x:f>IF(E789=F789,"PASS","FAIL")</x:f>
        <x:v>PASS</x:v>
      </x:c>
    </x:row>
    <x:row r="790">
      <x:c r="B790" t="str">
        <x:v>A-764</x:v>
      </x:c>
      <x:c r="C790" t="str">
        <x:v>GATE</x:v>
      </x:c>
      <x:c r="D790" t="str">
        <x:v>release ledger mirrors governing state</x:v>
      </x:c>
      <x:c r="E790" t="str">
        <x:f>'Release Gates'!J770</x:f>
        <x:v>OPEN</x:v>
      </x:c>
      <x:c r="F790" t="str">
        <x:f>IF('Release Gates'!C770="PLANNING","PASS",IF('Release Gates'!C770="PHYSICAL","OPEN","BLOCKED"))</x:f>
        <x:v>OPEN</x:v>
      </x:c>
      <x:c r="G790" t="str">
        <x:v>equals</x:v>
      </x:c>
      <x:c r="H790" t="str">
        <x:f>IF(E790=F790,"PASS","FAIL")</x:f>
        <x:v>PASS</x:v>
      </x:c>
    </x:row>
    <x:row r="791">
      <x:c r="B791" t="str">
        <x:v>A-765</x:v>
      </x:c>
      <x:c r="C791" t="str">
        <x:v>GATE</x:v>
      </x:c>
      <x:c r="D791" t="str">
        <x:v>release ledger mirrors governing state</x:v>
      </x:c>
      <x:c r="E791" t="str">
        <x:f>'Release Gates'!J771</x:f>
        <x:v>OPEN</x:v>
      </x:c>
      <x:c r="F791" t="str">
        <x:f>IF('Release Gates'!C771="PLANNING","PASS",IF('Release Gates'!C771="PHYSICAL","OPEN","BLOCKED"))</x:f>
        <x:v>OPEN</x:v>
      </x:c>
      <x:c r="G791" t="str">
        <x:v>equals</x:v>
      </x:c>
      <x:c r="H791" t="str">
        <x:f>IF(E791=F791,"PASS","FAIL")</x:f>
        <x:v>PASS</x:v>
      </x:c>
    </x:row>
    <x:row r="792">
      <x:c r="B792" t="str">
        <x:v>A-766</x:v>
      </x:c>
      <x:c r="C792" t="str">
        <x:v>GATE</x:v>
      </x:c>
      <x:c r="D792" t="str">
        <x:v>release ledger mirrors governing state</x:v>
      </x:c>
      <x:c r="E792" t="str">
        <x:f>'Release Gates'!J772</x:f>
        <x:v>OPEN</x:v>
      </x:c>
      <x:c r="F792" t="str">
        <x:f>IF('Release Gates'!C772="PLANNING","PASS",IF('Release Gates'!C772="PHYSICAL","OPEN","BLOCKED"))</x:f>
        <x:v>OPEN</x:v>
      </x:c>
      <x:c r="G792" t="str">
        <x:v>equals</x:v>
      </x:c>
      <x:c r="H792" t="str">
        <x:f>IF(E792=F792,"PASS","FAIL")</x:f>
        <x:v>PASS</x:v>
      </x:c>
    </x:row>
    <x:row r="793">
      <x:c r="B793" t="str">
        <x:v>A-767</x:v>
      </x:c>
      <x:c r="C793" t="str">
        <x:v>GATE</x:v>
      </x:c>
      <x:c r="D793" t="str">
        <x:v>release ledger mirrors governing state</x:v>
      </x:c>
      <x:c r="E793" t="str">
        <x:f>'Release Gates'!J773</x:f>
        <x:v>OPEN</x:v>
      </x:c>
      <x:c r="F793" t="str">
        <x:f>IF('Release Gates'!C773="PLANNING","PASS",IF('Release Gates'!C773="PHYSICAL","OPEN","BLOCKED"))</x:f>
        <x:v>OPEN</x:v>
      </x:c>
      <x:c r="G793" t="str">
        <x:v>equals</x:v>
      </x:c>
      <x:c r="H793" t="str">
        <x:f>IF(E793=F793,"PASS","FAIL")</x:f>
        <x:v>PASS</x:v>
      </x:c>
    </x:row>
    <x:row r="794">
      <x:c r="B794" t="str">
        <x:v>A-768</x:v>
      </x:c>
      <x:c r="C794" t="str">
        <x:v>GATE</x:v>
      </x:c>
      <x:c r="D794" t="str">
        <x:v>release ledger mirrors governing state</x:v>
      </x:c>
      <x:c r="E794" t="str">
        <x:f>'Release Gates'!J774</x:f>
        <x:v>OPEN</x:v>
      </x:c>
      <x:c r="F794" t="str">
        <x:f>IF('Release Gates'!C774="PLANNING","PASS",IF('Release Gates'!C774="PHYSICAL","OPEN","BLOCKED"))</x:f>
        <x:v>OPEN</x:v>
      </x:c>
      <x:c r="G794" t="str">
        <x:v>equals</x:v>
      </x:c>
      <x:c r="H794" t="str">
        <x:f>IF(E794=F794,"PASS","FAIL")</x:f>
        <x:v>PASS</x:v>
      </x:c>
    </x:row>
    <x:row r="795">
      <x:c r="B795" t="str">
        <x:v>A-769</x:v>
      </x:c>
      <x:c r="C795" t="str">
        <x:v>GATE</x:v>
      </x:c>
      <x:c r="D795" t="str">
        <x:v>release ledger mirrors governing state</x:v>
      </x:c>
      <x:c r="E795" t="str">
        <x:f>'Release Gates'!J775</x:f>
        <x:v>OPEN</x:v>
      </x:c>
      <x:c r="F795" t="str">
        <x:f>IF('Release Gates'!C775="PLANNING","PASS",IF('Release Gates'!C775="PHYSICAL","OPEN","BLOCKED"))</x:f>
        <x:v>OPEN</x:v>
      </x:c>
      <x:c r="G795" t="str">
        <x:v>equals</x:v>
      </x:c>
      <x:c r="H795" t="str">
        <x:f>IF(E795=F795,"PASS","FAIL")</x:f>
        <x:v>PASS</x:v>
      </x:c>
    </x:row>
    <x:row r="796">
      <x:c r="B796" t="str">
        <x:v>A-770</x:v>
      </x:c>
      <x:c r="C796" t="str">
        <x:v>GATE</x:v>
      </x:c>
      <x:c r="D796" t="str">
        <x:v>release ledger mirrors governing state</x:v>
      </x:c>
      <x:c r="E796" t="str">
        <x:f>'Release Gates'!J776</x:f>
        <x:v>OPEN</x:v>
      </x:c>
      <x:c r="F796" t="str">
        <x:f>IF('Release Gates'!C776="PLANNING","PASS",IF('Release Gates'!C776="PHYSICAL","OPEN","BLOCKED"))</x:f>
        <x:v>OPEN</x:v>
      </x:c>
      <x:c r="G796" t="str">
        <x:v>equals</x:v>
      </x:c>
      <x:c r="H796" t="str">
        <x:f>IF(E796=F796,"PASS","FAIL")</x:f>
        <x:v>PASS</x:v>
      </x:c>
    </x:row>
    <x:row r="797">
      <x:c r="B797" t="str">
        <x:v>A-771</x:v>
      </x:c>
      <x:c r="C797" t="str">
        <x:v>GATE</x:v>
      </x:c>
      <x:c r="D797" t="str">
        <x:v>release ledger mirrors governing state</x:v>
      </x:c>
      <x:c r="E797" t="str">
        <x:f>'Release Gates'!J777</x:f>
        <x:v>OPEN</x:v>
      </x:c>
      <x:c r="F797" t="str">
        <x:f>IF('Release Gates'!C777="PLANNING","PASS",IF('Release Gates'!C777="PHYSICAL","OPEN","BLOCKED"))</x:f>
        <x:v>OPEN</x:v>
      </x:c>
      <x:c r="G797" t="str">
        <x:v>equals</x:v>
      </x:c>
      <x:c r="H797" t="str">
        <x:f>IF(E797=F797,"PASS","FAIL")</x:f>
        <x:v>PASS</x:v>
      </x:c>
    </x:row>
    <x:row r="798">
      <x:c r="B798" t="str">
        <x:v>A-772</x:v>
      </x:c>
      <x:c r="C798" t="str">
        <x:v>GATE</x:v>
      </x:c>
      <x:c r="D798" t="str">
        <x:v>release ledger mirrors governing state</x:v>
      </x:c>
      <x:c r="E798" t="str">
        <x:f>'Release Gates'!J778</x:f>
        <x:v>OPEN</x:v>
      </x:c>
      <x:c r="F798" t="str">
        <x:f>IF('Release Gates'!C778="PLANNING","PASS",IF('Release Gates'!C778="PHYSICAL","OPEN","BLOCKED"))</x:f>
        <x:v>OPEN</x:v>
      </x:c>
      <x:c r="G798" t="str">
        <x:v>equals</x:v>
      </x:c>
      <x:c r="H798" t="str">
        <x:f>IF(E798=F798,"PASS","FAIL")</x:f>
        <x:v>PASS</x:v>
      </x:c>
    </x:row>
    <x:row r="799">
      <x:c r="B799" t="str">
        <x:v>A-773</x:v>
      </x:c>
      <x:c r="C799" t="str">
        <x:v>GATE</x:v>
      </x:c>
      <x:c r="D799" t="str">
        <x:v>release ledger mirrors governing state</x:v>
      </x:c>
      <x:c r="E799" t="str">
        <x:f>'Release Gates'!J779</x:f>
        <x:v>OPEN</x:v>
      </x:c>
      <x:c r="F799" t="str">
        <x:f>IF('Release Gates'!C779="PLANNING","PASS",IF('Release Gates'!C779="PHYSICAL","OPEN","BLOCKED"))</x:f>
        <x:v>OPEN</x:v>
      </x:c>
      <x:c r="G799" t="str">
        <x:v>equals</x:v>
      </x:c>
      <x:c r="H799" t="str">
        <x:f>IF(E799=F799,"PASS","FAIL")</x:f>
        <x:v>PASS</x:v>
      </x:c>
    </x:row>
    <x:row r="800">
      <x:c r="B800" t="str">
        <x:v>A-774</x:v>
      </x:c>
      <x:c r="C800" t="str">
        <x:v>GATE</x:v>
      </x:c>
      <x:c r="D800" t="str">
        <x:v>release ledger mirrors governing state</x:v>
      </x:c>
      <x:c r="E800" t="str">
        <x:f>'Release Gates'!J780</x:f>
        <x:v>OPEN</x:v>
      </x:c>
      <x:c r="F800" t="str">
        <x:f>IF('Release Gates'!C780="PLANNING","PASS",IF('Release Gates'!C780="PHYSICAL","OPEN","BLOCKED"))</x:f>
        <x:v>OPEN</x:v>
      </x:c>
      <x:c r="G800" t="str">
        <x:v>equals</x:v>
      </x:c>
      <x:c r="H800" t="str">
        <x:f>IF(E800=F800,"PASS","FAIL")</x:f>
        <x:v>PASS</x:v>
      </x:c>
    </x:row>
    <x:row r="801">
      <x:c r="B801" t="str">
        <x:v>A-775</x:v>
      </x:c>
      <x:c r="C801" t="str">
        <x:v>GATE</x:v>
      </x:c>
      <x:c r="D801" t="str">
        <x:v>release ledger mirrors governing state</x:v>
      </x:c>
      <x:c r="E801" t="str">
        <x:f>'Release Gates'!J781</x:f>
        <x:v>OPEN</x:v>
      </x:c>
      <x:c r="F801" t="str">
        <x:f>IF('Release Gates'!C781="PLANNING","PASS",IF('Release Gates'!C781="PHYSICAL","OPEN","BLOCKED"))</x:f>
        <x:v>OPEN</x:v>
      </x:c>
      <x:c r="G801" t="str">
        <x:v>equals</x:v>
      </x:c>
      <x:c r="H801" t="str">
        <x:f>IF(E801=F801,"PASS","FAIL")</x:f>
        <x:v>PASS</x:v>
      </x:c>
    </x:row>
    <x:row r="802">
      <x:c r="B802" t="str">
        <x:v>A-776</x:v>
      </x:c>
      <x:c r="C802" t="str">
        <x:v>GATE</x:v>
      </x:c>
      <x:c r="D802" t="str">
        <x:v>release ledger mirrors governing state</x:v>
      </x:c>
      <x:c r="E802" t="str">
        <x:f>'Release Gates'!J782</x:f>
        <x:v>OPEN</x:v>
      </x:c>
      <x:c r="F802" t="str">
        <x:f>IF('Release Gates'!C782="PLANNING","PASS",IF('Release Gates'!C782="PHYSICAL","OPEN","BLOCKED"))</x:f>
        <x:v>OPEN</x:v>
      </x:c>
      <x:c r="G802" t="str">
        <x:v>equals</x:v>
      </x:c>
      <x:c r="H802" t="str">
        <x:f>IF(E802=F802,"PASS","FAIL")</x:f>
        <x:v>PASS</x:v>
      </x:c>
    </x:row>
    <x:row r="803">
      <x:c r="B803" t="str">
        <x:v>A-777</x:v>
      </x:c>
      <x:c r="C803" t="str">
        <x:v>GATE</x:v>
      </x:c>
      <x:c r="D803" t="str">
        <x:v>release ledger mirrors governing state</x:v>
      </x:c>
      <x:c r="E803" t="str">
        <x:f>'Release Gates'!J783</x:f>
        <x:v>OPEN</x:v>
      </x:c>
      <x:c r="F803" t="str">
        <x:f>IF('Release Gates'!C783="PLANNING","PASS",IF('Release Gates'!C783="PHYSICAL","OPEN","BLOCKED"))</x:f>
        <x:v>OPEN</x:v>
      </x:c>
      <x:c r="G803" t="str">
        <x:v>equals</x:v>
      </x:c>
      <x:c r="H803" t="str">
        <x:f>IF(E803=F803,"PASS","FAIL")</x:f>
        <x:v>PASS</x:v>
      </x:c>
    </x:row>
    <x:row r="804">
      <x:c r="B804" t="str">
        <x:v>A-778</x:v>
      </x:c>
      <x:c r="C804" t="str">
        <x:v>GATE</x:v>
      </x:c>
      <x:c r="D804" t="str">
        <x:v>release ledger mirrors governing state</x:v>
      </x:c>
      <x:c r="E804" t="str">
        <x:f>'Release Gates'!J784</x:f>
        <x:v>OPEN</x:v>
      </x:c>
      <x:c r="F804" t="str">
        <x:f>IF('Release Gates'!C784="PLANNING","PASS",IF('Release Gates'!C784="PHYSICAL","OPEN","BLOCKED"))</x:f>
        <x:v>OPEN</x:v>
      </x:c>
      <x:c r="G804" t="str">
        <x:v>equals</x:v>
      </x:c>
      <x:c r="H804" t="str">
        <x:f>IF(E804=F804,"PASS","FAIL")</x:f>
        <x:v>PASS</x:v>
      </x:c>
    </x:row>
    <x:row r="805">
      <x:c r="B805" t="str">
        <x:v>A-779</x:v>
      </x:c>
      <x:c r="C805" t="str">
        <x:v>GATE</x:v>
      </x:c>
      <x:c r="D805" t="str">
        <x:v>release ledger mirrors governing state</x:v>
      </x:c>
      <x:c r="E805" t="str">
        <x:f>'Release Gates'!J785</x:f>
        <x:v>OPEN</x:v>
      </x:c>
      <x:c r="F805" t="str">
        <x:f>IF('Release Gates'!C785="PLANNING","PASS",IF('Release Gates'!C785="PHYSICAL","OPEN","BLOCKED"))</x:f>
        <x:v>OPEN</x:v>
      </x:c>
      <x:c r="G805" t="str">
        <x:v>equals</x:v>
      </x:c>
      <x:c r="H805" t="str">
        <x:f>IF(E805=F805,"PASS","FAIL")</x:f>
        <x:v>PASS</x:v>
      </x:c>
    </x:row>
    <x:row r="806">
      <x:c r="B806" t="str">
        <x:v>A-780</x:v>
      </x:c>
      <x:c r="C806" t="str">
        <x:v>GATE</x:v>
      </x:c>
      <x:c r="D806" t="str">
        <x:v>release ledger mirrors governing state</x:v>
      </x:c>
      <x:c r="E806" t="str">
        <x:f>'Release Gates'!J786</x:f>
        <x:v>OPEN</x:v>
      </x:c>
      <x:c r="F806" t="str">
        <x:f>IF('Release Gates'!C786="PLANNING","PASS",IF('Release Gates'!C786="PHYSICAL","OPEN","BLOCKED"))</x:f>
        <x:v>OPEN</x:v>
      </x:c>
      <x:c r="G806" t="str">
        <x:v>equals</x:v>
      </x:c>
      <x:c r="H806" t="str">
        <x:f>IF(E806=F806,"PASS","FAIL")</x:f>
        <x:v>PASS</x:v>
      </x:c>
    </x:row>
    <x:row r="807">
      <x:c r="B807" t="str">
        <x:v>A-781</x:v>
      </x:c>
      <x:c r="C807" t="str">
        <x:v>GATE</x:v>
      </x:c>
      <x:c r="D807" t="str">
        <x:v>release ledger mirrors governing state</x:v>
      </x:c>
      <x:c r="E807" t="str">
        <x:f>'Release Gates'!J787</x:f>
        <x:v>OPEN</x:v>
      </x:c>
      <x:c r="F807" t="str">
        <x:f>IF('Release Gates'!C787="PLANNING","PASS",IF('Release Gates'!C787="PHYSICAL","OPEN","BLOCKED"))</x:f>
        <x:v>OPEN</x:v>
      </x:c>
      <x:c r="G807" t="str">
        <x:v>equals</x:v>
      </x:c>
      <x:c r="H807" t="str">
        <x:f>IF(E807=F807,"PASS","FAIL")</x:f>
        <x:v>PASS</x:v>
      </x:c>
    </x:row>
    <x:row r="808">
      <x:c r="B808" t="str">
        <x:v>A-782</x:v>
      </x:c>
      <x:c r="C808" t="str">
        <x:v>GATE</x:v>
      </x:c>
      <x:c r="D808" t="str">
        <x:v>release ledger mirrors governing state</x:v>
      </x:c>
      <x:c r="E808" t="str">
        <x:f>'Release Gates'!J788</x:f>
        <x:v>OPEN</x:v>
      </x:c>
      <x:c r="F808" t="str">
        <x:f>IF('Release Gates'!C788="PLANNING","PASS",IF('Release Gates'!C788="PHYSICAL","OPEN","BLOCKED"))</x:f>
        <x:v>OPEN</x:v>
      </x:c>
      <x:c r="G808" t="str">
        <x:v>equals</x:v>
      </x:c>
      <x:c r="H808" t="str">
        <x:f>IF(E808=F808,"PASS","FAIL")</x:f>
        <x:v>PASS</x:v>
      </x:c>
    </x:row>
    <x:row r="809">
      <x:c r="B809" t="str">
        <x:v>A-783</x:v>
      </x:c>
      <x:c r="C809" t="str">
        <x:v>GATE</x:v>
      </x:c>
      <x:c r="D809" t="str">
        <x:v>release ledger mirrors governing state</x:v>
      </x:c>
      <x:c r="E809" t="str">
        <x:f>'Release Gates'!J789</x:f>
        <x:v>OPEN</x:v>
      </x:c>
      <x:c r="F809" t="str">
        <x:f>IF('Release Gates'!C789="PLANNING","PASS",IF('Release Gates'!C789="PHYSICAL","OPEN","BLOCKED"))</x:f>
        <x:v>OPEN</x:v>
      </x:c>
      <x:c r="G809" t="str">
        <x:v>equals</x:v>
      </x:c>
      <x:c r="H809" t="str">
        <x:f>IF(E809=F809,"PASS","FAIL")</x:f>
        <x:v>PASS</x:v>
      </x:c>
    </x:row>
    <x:row r="810">
      <x:c r="B810" t="str">
        <x:v>A-784</x:v>
      </x:c>
      <x:c r="C810" t="str">
        <x:v>GATE</x:v>
      </x:c>
      <x:c r="D810" t="str">
        <x:v>release ledger mirrors governing state</x:v>
      </x:c>
      <x:c r="E810" t="str">
        <x:f>'Release Gates'!J790</x:f>
        <x:v>OPEN</x:v>
      </x:c>
      <x:c r="F810" t="str">
        <x:f>IF('Release Gates'!C790="PLANNING","PASS",IF('Release Gates'!C790="PHYSICAL","OPEN","BLOCKED"))</x:f>
        <x:v>OPEN</x:v>
      </x:c>
      <x:c r="G810" t="str">
        <x:v>equals</x:v>
      </x:c>
      <x:c r="H810" t="str">
        <x:f>IF(E810=F810,"PASS","FAIL")</x:f>
        <x:v>PASS</x:v>
      </x:c>
    </x:row>
    <x:row r="811">
      <x:c r="B811" t="str">
        <x:v>A-785</x:v>
      </x:c>
      <x:c r="C811" t="str">
        <x:v>GATE</x:v>
      </x:c>
      <x:c r="D811" t="str">
        <x:v>release ledger mirrors governing state</x:v>
      </x:c>
      <x:c r="E811" t="str">
        <x:f>'Release Gates'!J791</x:f>
        <x:v>OPEN</x:v>
      </x:c>
      <x:c r="F811" t="str">
        <x:f>IF('Release Gates'!C791="PLANNING","PASS",IF('Release Gates'!C791="PHYSICAL","OPEN","BLOCKED"))</x:f>
        <x:v>OPEN</x:v>
      </x:c>
      <x:c r="G811" t="str">
        <x:v>equals</x:v>
      </x:c>
      <x:c r="H811" t="str">
        <x:f>IF(E811=F811,"PASS","FAIL")</x:f>
        <x:v>PASS</x:v>
      </x:c>
    </x:row>
    <x:row r="812">
      <x:c r="B812" t="str">
        <x:v>A-786</x:v>
      </x:c>
      <x:c r="C812" t="str">
        <x:v>GATE</x:v>
      </x:c>
      <x:c r="D812" t="str">
        <x:v>release ledger mirrors governing state</x:v>
      </x:c>
      <x:c r="E812" t="str">
        <x:f>'Release Gates'!J792</x:f>
        <x:v>OPEN</x:v>
      </x:c>
      <x:c r="F812" t="str">
        <x:f>IF('Release Gates'!C792="PLANNING","PASS",IF('Release Gates'!C792="PHYSICAL","OPEN","BLOCKED"))</x:f>
        <x:v>OPEN</x:v>
      </x:c>
      <x:c r="G812" t="str">
        <x:v>equals</x:v>
      </x:c>
      <x:c r="H812" t="str">
        <x:f>IF(E812=F812,"PASS","FAIL")</x:f>
        <x:v>PASS</x:v>
      </x:c>
    </x:row>
    <x:row r="813">
      <x:c r="B813" t="str">
        <x:v>A-787</x:v>
      </x:c>
      <x:c r="C813" t="str">
        <x:v>GATE</x:v>
      </x:c>
      <x:c r="D813" t="str">
        <x:v>release ledger mirrors governing state</x:v>
      </x:c>
      <x:c r="E813" t="str">
        <x:f>'Release Gates'!J793</x:f>
        <x:v>OPEN</x:v>
      </x:c>
      <x:c r="F813" t="str">
        <x:f>IF('Release Gates'!C793="PLANNING","PASS",IF('Release Gates'!C793="PHYSICAL","OPEN","BLOCKED"))</x:f>
        <x:v>OPEN</x:v>
      </x:c>
      <x:c r="G813" t="str">
        <x:v>equals</x:v>
      </x:c>
      <x:c r="H813" t="str">
        <x:f>IF(E813=F813,"PASS","FAIL")</x:f>
        <x:v>PASS</x:v>
      </x:c>
    </x:row>
    <x:row r="814">
      <x:c r="B814" t="str">
        <x:v>A-788</x:v>
      </x:c>
      <x:c r="C814" t="str">
        <x:v>GATE</x:v>
      </x:c>
      <x:c r="D814" t="str">
        <x:v>release ledger mirrors governing state</x:v>
      </x:c>
      <x:c r="E814" t="str">
        <x:f>'Release Gates'!J794</x:f>
        <x:v>OPEN</x:v>
      </x:c>
      <x:c r="F814" t="str">
        <x:f>IF('Release Gates'!C794="PLANNING","PASS",IF('Release Gates'!C794="PHYSICAL","OPEN","BLOCKED"))</x:f>
        <x:v>OPEN</x:v>
      </x:c>
      <x:c r="G814" t="str">
        <x:v>equals</x:v>
      </x:c>
      <x:c r="H814" t="str">
        <x:f>IF(E814=F814,"PASS","FAIL")</x:f>
        <x:v>PASS</x:v>
      </x:c>
    </x:row>
    <x:row r="815">
      <x:c r="B815" t="str">
        <x:v>A-789</x:v>
      </x:c>
      <x:c r="C815" t="str">
        <x:v>GATE</x:v>
      </x:c>
      <x:c r="D815" t="str">
        <x:v>release ledger mirrors governing state</x:v>
      </x:c>
      <x:c r="E815" t="str">
        <x:f>'Release Gates'!J795</x:f>
        <x:v>OPEN</x:v>
      </x:c>
      <x:c r="F815" t="str">
        <x:f>IF('Release Gates'!C795="PLANNING","PASS",IF('Release Gates'!C795="PHYSICAL","OPEN","BLOCKED"))</x:f>
        <x:v>OPEN</x:v>
      </x:c>
      <x:c r="G815" t="str">
        <x:v>equals</x:v>
      </x:c>
      <x:c r="H815" t="str">
        <x:f>IF(E815=F815,"PASS","FAIL")</x:f>
        <x:v>PASS</x:v>
      </x:c>
    </x:row>
    <x:row r="816">
      <x:c r="B816" t="str">
        <x:v>A-790</x:v>
      </x:c>
      <x:c r="C816" t="str">
        <x:v>GATE</x:v>
      </x:c>
      <x:c r="D816" t="str">
        <x:v>release ledger mirrors governing state</x:v>
      </x:c>
      <x:c r="E816" t="str">
        <x:f>'Release Gates'!J796</x:f>
        <x:v>OPEN</x:v>
      </x:c>
      <x:c r="F816" t="str">
        <x:f>IF('Release Gates'!C796="PLANNING","PASS",IF('Release Gates'!C796="PHYSICAL","OPEN","BLOCKED"))</x:f>
        <x:v>OPEN</x:v>
      </x:c>
      <x:c r="G816" t="str">
        <x:v>equals</x:v>
      </x:c>
      <x:c r="H816" t="str">
        <x:f>IF(E816=F816,"PASS","FAIL")</x:f>
        <x:v>PASS</x:v>
      </x:c>
    </x:row>
    <x:row r="817">
      <x:c r="B817" t="str">
        <x:v>A-791</x:v>
      </x:c>
      <x:c r="C817" t="str">
        <x:v>GATE</x:v>
      </x:c>
      <x:c r="D817" t="str">
        <x:v>release ledger mirrors governing state</x:v>
      </x:c>
      <x:c r="E817" t="str">
        <x:f>'Release Gates'!J797</x:f>
        <x:v>OPEN</x:v>
      </x:c>
      <x:c r="F817" t="str">
        <x:f>IF('Release Gates'!C797="PLANNING","PASS",IF('Release Gates'!C797="PHYSICAL","OPEN","BLOCKED"))</x:f>
        <x:v>OPEN</x:v>
      </x:c>
      <x:c r="G817" t="str">
        <x:v>equals</x:v>
      </x:c>
      <x:c r="H817" t="str">
        <x:f>IF(E817=F817,"PASS","FAIL")</x:f>
        <x:v>PASS</x:v>
      </x:c>
    </x:row>
    <x:row r="818">
      <x:c r="B818" t="str">
        <x:v>A-792</x:v>
      </x:c>
      <x:c r="C818" t="str">
        <x:v>GATE</x:v>
      </x:c>
      <x:c r="D818" t="str">
        <x:v>release ledger mirrors governing state</x:v>
      </x:c>
      <x:c r="E818" t="str">
        <x:f>'Release Gates'!J798</x:f>
        <x:v>OPEN</x:v>
      </x:c>
      <x:c r="F818" t="str">
        <x:f>IF('Release Gates'!C798="PLANNING","PASS",IF('Release Gates'!C798="PHYSICAL","OPEN","BLOCKED"))</x:f>
        <x:v>OPEN</x:v>
      </x:c>
      <x:c r="G818" t="str">
        <x:v>equals</x:v>
      </x:c>
      <x:c r="H818" t="str">
        <x:f>IF(E818=F818,"PASS","FAIL")</x:f>
        <x:v>PASS</x:v>
      </x:c>
    </x:row>
    <x:row r="819">
      <x:c r="B819" t="str">
        <x:v>A-793</x:v>
      </x:c>
      <x:c r="C819" t="str">
        <x:v>GATE</x:v>
      </x:c>
      <x:c r="D819" t="str">
        <x:v>release ledger mirrors governing state</x:v>
      </x:c>
      <x:c r="E819" t="str">
        <x:f>'Release Gates'!J799</x:f>
        <x:v>OPEN</x:v>
      </x:c>
      <x:c r="F819" t="str">
        <x:f>IF('Release Gates'!C799="PLANNING","PASS",IF('Release Gates'!C799="PHYSICAL","OPEN","BLOCKED"))</x:f>
        <x:v>OPEN</x:v>
      </x:c>
      <x:c r="G819" t="str">
        <x:v>equals</x:v>
      </x:c>
      <x:c r="H819" t="str">
        <x:f>IF(E819=F819,"PASS","FAIL")</x:f>
        <x:v>PASS</x:v>
      </x:c>
    </x:row>
    <x:row r="820">
      <x:c r="B820" t="str">
        <x:v>A-794</x:v>
      </x:c>
      <x:c r="C820" t="str">
        <x:v>GATE</x:v>
      </x:c>
      <x:c r="D820" t="str">
        <x:v>release ledger mirrors governing state</x:v>
      </x:c>
      <x:c r="E820" t="str">
        <x:f>'Release Gates'!J800</x:f>
        <x:v>OPEN</x:v>
      </x:c>
      <x:c r="F820" t="str">
        <x:f>IF('Release Gates'!C800="PLANNING","PASS",IF('Release Gates'!C800="PHYSICAL","OPEN","BLOCKED"))</x:f>
        <x:v>OPEN</x:v>
      </x:c>
      <x:c r="G820" t="str">
        <x:v>equals</x:v>
      </x:c>
      <x:c r="H820" t="str">
        <x:f>IF(E820=F820,"PASS","FAIL")</x:f>
        <x:v>PASS</x:v>
      </x:c>
    </x:row>
    <x:row r="821">
      <x:c r="B821" t="str">
        <x:v>A-795</x:v>
      </x:c>
      <x:c r="C821" t="str">
        <x:v>GATE</x:v>
      </x:c>
      <x:c r="D821" t="str">
        <x:v>release ledger mirrors governing state</x:v>
      </x:c>
      <x:c r="E821" t="str">
        <x:f>'Release Gates'!J801</x:f>
        <x:v>OPEN</x:v>
      </x:c>
      <x:c r="F821" t="str">
        <x:f>IF('Release Gates'!C801="PLANNING","PASS",IF('Release Gates'!C801="PHYSICAL","OPEN","BLOCKED"))</x:f>
        <x:v>OPEN</x:v>
      </x:c>
      <x:c r="G821" t="str">
        <x:v>equals</x:v>
      </x:c>
      <x:c r="H821" t="str">
        <x:f>IF(E821=F821,"PASS","FAIL")</x:f>
        <x:v>PASS</x:v>
      </x:c>
    </x:row>
    <x:row r="822">
      <x:c r="B822" t="str">
        <x:v>A-796</x:v>
      </x:c>
      <x:c r="C822" t="str">
        <x:v>GATE</x:v>
      </x:c>
      <x:c r="D822" t="str">
        <x:v>release ledger mirrors governing state</x:v>
      </x:c>
      <x:c r="E822" t="str">
        <x:f>'Release Gates'!J802</x:f>
        <x:v>OPEN</x:v>
      </x:c>
      <x:c r="F822" t="str">
        <x:f>IF('Release Gates'!C802="PLANNING","PASS",IF('Release Gates'!C802="PHYSICAL","OPEN","BLOCKED"))</x:f>
        <x:v>OPEN</x:v>
      </x:c>
      <x:c r="G822" t="str">
        <x:v>equals</x:v>
      </x:c>
      <x:c r="H822" t="str">
        <x:f>IF(E822=F822,"PASS","FAIL")</x:f>
        <x:v>PASS</x:v>
      </x:c>
    </x:row>
    <x:row r="823">
      <x:c r="B823" t="str">
        <x:v>A-797</x:v>
      </x:c>
      <x:c r="C823" t="str">
        <x:v>GATE</x:v>
      </x:c>
      <x:c r="D823" t="str">
        <x:v>release ledger mirrors governing state</x:v>
      </x:c>
      <x:c r="E823" t="str">
        <x:f>'Release Gates'!J803</x:f>
        <x:v>OPEN</x:v>
      </x:c>
      <x:c r="F823" t="str">
        <x:f>IF('Release Gates'!C803="PLANNING","PASS",IF('Release Gates'!C803="PHYSICAL","OPEN","BLOCKED"))</x:f>
        <x:v>OPEN</x:v>
      </x:c>
      <x:c r="G823" t="str">
        <x:v>equals</x:v>
      </x:c>
      <x:c r="H823" t="str">
        <x:f>IF(E823=F823,"PASS","FAIL")</x:f>
        <x:v>PASS</x:v>
      </x:c>
    </x:row>
    <x:row r="824">
      <x:c r="B824" t="str">
        <x:v>A-798</x:v>
      </x:c>
      <x:c r="C824" t="str">
        <x:v>GATE</x:v>
      </x:c>
      <x:c r="D824" t="str">
        <x:v>release ledger mirrors governing state</x:v>
      </x:c>
      <x:c r="E824" t="str">
        <x:f>'Release Gates'!J804</x:f>
        <x:v>OPEN</x:v>
      </x:c>
      <x:c r="F824" t="str">
        <x:f>IF('Release Gates'!C804="PLANNING","PASS",IF('Release Gates'!C804="PHYSICAL","OPEN","BLOCKED"))</x:f>
        <x:v>OPEN</x:v>
      </x:c>
      <x:c r="G824" t="str">
        <x:v>equals</x:v>
      </x:c>
      <x:c r="H824" t="str">
        <x:f>IF(E824=F824,"PASS","FAIL")</x:f>
        <x:v>PASS</x:v>
      </x:c>
    </x:row>
    <x:row r="825">
      <x:c r="B825" t="str">
        <x:v>A-799</x:v>
      </x:c>
      <x:c r="C825" t="str">
        <x:v>GATE</x:v>
      </x:c>
      <x:c r="D825" t="str">
        <x:v>release ledger mirrors governing state</x:v>
      </x:c>
      <x:c r="E825" t="str">
        <x:f>'Release Gates'!J805</x:f>
        <x:v>OPEN</x:v>
      </x:c>
      <x:c r="F825" t="str">
        <x:f>IF('Release Gates'!C805="PLANNING","PASS",IF('Release Gates'!C805="PHYSICAL","OPEN","BLOCKED"))</x:f>
        <x:v>OPEN</x:v>
      </x:c>
      <x:c r="G825" t="str">
        <x:v>equals</x:v>
      </x:c>
      <x:c r="H825" t="str">
        <x:f>IF(E825=F825,"PASS","FAIL")</x:f>
        <x:v>PASS</x:v>
      </x:c>
    </x:row>
    <x:row r="826">
      <x:c r="B826" t="str">
        <x:v>A-800</x:v>
      </x:c>
      <x:c r="C826" t="str">
        <x:v>GATE</x:v>
      </x:c>
      <x:c r="D826" t="str">
        <x:v>release ledger mirrors governing state</x:v>
      </x:c>
      <x:c r="E826" t="str">
        <x:f>'Release Gates'!J806</x:f>
        <x:v>OPEN</x:v>
      </x:c>
      <x:c r="F826" t="str">
        <x:f>IF('Release Gates'!C806="PLANNING","PASS",IF('Release Gates'!C806="PHYSICAL","OPEN","BLOCKED"))</x:f>
        <x:v>OPEN</x:v>
      </x:c>
      <x:c r="G826" t="str">
        <x:v>equals</x:v>
      </x:c>
      <x:c r="H826" t="str">
        <x:f>IF(E826=F826,"PASS","FAIL")</x:f>
        <x:v>PASS</x:v>
      </x:c>
    </x:row>
    <x:row r="827">
      <x:c r="B827" t="str">
        <x:v>A-801</x:v>
      </x:c>
      <x:c r="C827" t="str">
        <x:v>GATE</x:v>
      </x:c>
      <x:c r="D827" t="str">
        <x:v>release ledger mirrors governing state</x:v>
      </x:c>
      <x:c r="E827" t="str">
        <x:f>'Release Gates'!J807</x:f>
        <x:v>OPEN</x:v>
      </x:c>
      <x:c r="F827" t="str">
        <x:f>IF('Release Gates'!C807="PLANNING","PASS",IF('Release Gates'!C807="PHYSICAL","OPEN","BLOCKED"))</x:f>
        <x:v>OPEN</x:v>
      </x:c>
      <x:c r="G827" t="str">
        <x:v>equals</x:v>
      </x:c>
      <x:c r="H827" t="str">
        <x:f>IF(E827=F827,"PASS","FAIL")</x:f>
        <x:v>PASS</x:v>
      </x:c>
    </x:row>
    <x:row r="828">
      <x:c r="B828" t="str">
        <x:v>A-802</x:v>
      </x:c>
      <x:c r="C828" t="str">
        <x:v>GATE</x:v>
      </x:c>
      <x:c r="D828" t="str">
        <x:v>release ledger mirrors governing state</x:v>
      </x:c>
      <x:c r="E828" t="str">
        <x:f>'Release Gates'!J808</x:f>
        <x:v>OPEN</x:v>
      </x:c>
      <x:c r="F828" t="str">
        <x:f>IF('Release Gates'!C808="PLANNING","PASS",IF('Release Gates'!C808="PHYSICAL","OPEN","BLOCKED"))</x:f>
        <x:v>OPEN</x:v>
      </x:c>
      <x:c r="G828" t="str">
        <x:v>equals</x:v>
      </x:c>
      <x:c r="H828" t="str">
        <x:f>IF(E828=F828,"PASS","FAIL")</x:f>
        <x:v>PASS</x:v>
      </x:c>
    </x:row>
    <x:row r="829">
      <x:c r="B829" t="str">
        <x:v>A-803</x:v>
      </x:c>
      <x:c r="C829" t="str">
        <x:v>GATE</x:v>
      </x:c>
      <x:c r="D829" t="str">
        <x:v>release ledger mirrors governing state</x:v>
      </x:c>
      <x:c r="E829" t="str">
        <x:f>'Release Gates'!J809</x:f>
        <x:v>OPEN</x:v>
      </x:c>
      <x:c r="F829" t="str">
        <x:f>IF('Release Gates'!C809="PLANNING","PASS",IF('Release Gates'!C809="PHYSICAL","OPEN","BLOCKED"))</x:f>
        <x:v>OPEN</x:v>
      </x:c>
      <x:c r="G829" t="str">
        <x:v>equals</x:v>
      </x:c>
      <x:c r="H829" t="str">
        <x:f>IF(E829=F829,"PASS","FAIL")</x:f>
        <x:v>PASS</x:v>
      </x:c>
    </x:row>
    <x:row r="830">
      <x:c r="B830" t="str">
        <x:v>A-804</x:v>
      </x:c>
      <x:c r="C830" t="str">
        <x:v>GATE</x:v>
      </x:c>
      <x:c r="D830" t="str">
        <x:v>release ledger mirrors governing state</x:v>
      </x:c>
      <x:c r="E830" t="str">
        <x:f>'Release Gates'!J810</x:f>
        <x:v>OPEN</x:v>
      </x:c>
      <x:c r="F830" t="str">
        <x:f>IF('Release Gates'!C810="PLANNING","PASS",IF('Release Gates'!C810="PHYSICAL","OPEN","BLOCKED"))</x:f>
        <x:v>OPEN</x:v>
      </x:c>
      <x:c r="G830" t="str">
        <x:v>equals</x:v>
      </x:c>
      <x:c r="H830" t="str">
        <x:f>IF(E830=F830,"PASS","FAIL")</x:f>
        <x:v>PASS</x:v>
      </x:c>
    </x:row>
    <x:row r="831">
      <x:c r="B831" t="str">
        <x:v>A-805</x:v>
      </x:c>
      <x:c r="C831" t="str">
        <x:v>GATE</x:v>
      </x:c>
      <x:c r="D831" t="str">
        <x:v>release ledger mirrors governing state</x:v>
      </x:c>
      <x:c r="E831" t="str">
        <x:f>'Release Gates'!J811</x:f>
        <x:v>OPEN</x:v>
      </x:c>
      <x:c r="F831" t="str">
        <x:f>IF('Release Gates'!C811="PLANNING","PASS",IF('Release Gates'!C811="PHYSICAL","OPEN","BLOCKED"))</x:f>
        <x:v>OPEN</x:v>
      </x:c>
      <x:c r="G831" t="str">
        <x:v>equals</x:v>
      </x:c>
      <x:c r="H831" t="str">
        <x:f>IF(E831=F831,"PASS","FAIL")</x:f>
        <x:v>PASS</x:v>
      </x:c>
    </x:row>
    <x:row r="832">
      <x:c r="B832" t="str">
        <x:v>A-806</x:v>
      </x:c>
      <x:c r="C832" t="str">
        <x:v>GATE</x:v>
      </x:c>
      <x:c r="D832" t="str">
        <x:v>release ledger mirrors governing state</x:v>
      </x:c>
      <x:c r="E832" t="str">
        <x:f>'Release Gates'!J812</x:f>
        <x:v>OPEN</x:v>
      </x:c>
      <x:c r="F832" t="str">
        <x:f>IF('Release Gates'!C812="PLANNING","PASS",IF('Release Gates'!C812="PHYSICAL","OPEN","BLOCKED"))</x:f>
        <x:v>OPEN</x:v>
      </x:c>
      <x:c r="G832" t="str">
        <x:v>equals</x:v>
      </x:c>
      <x:c r="H832" t="str">
        <x:f>IF(E832=F832,"PASS","FAIL")</x:f>
        <x:v>PASS</x:v>
      </x:c>
    </x:row>
    <x:row r="833">
      <x:c r="B833" t="str">
        <x:v>A-807</x:v>
      </x:c>
      <x:c r="C833" t="str">
        <x:v>GATE</x:v>
      </x:c>
      <x:c r="D833" t="str">
        <x:v>release ledger mirrors governing state</x:v>
      </x:c>
      <x:c r="E833" t="str">
        <x:f>'Release Gates'!J813</x:f>
        <x:v>OPEN</x:v>
      </x:c>
      <x:c r="F833" t="str">
        <x:f>IF('Release Gates'!C813="PLANNING","PASS",IF('Release Gates'!C813="PHYSICAL","OPEN","BLOCKED"))</x:f>
        <x:v>OPEN</x:v>
      </x:c>
      <x:c r="G833" t="str">
        <x:v>equals</x:v>
      </x:c>
      <x:c r="H833" t="str">
        <x:f>IF(E833=F833,"PASS","FAIL")</x:f>
        <x:v>PASS</x:v>
      </x:c>
    </x:row>
    <x:row r="834">
      <x:c r="B834" t="str">
        <x:v>A-808</x:v>
      </x:c>
      <x:c r="C834" t="str">
        <x:v>GATE</x:v>
      </x:c>
      <x:c r="D834" t="str">
        <x:v>release ledger mirrors governing state</x:v>
      </x:c>
      <x:c r="E834" t="str">
        <x:f>'Release Gates'!J814</x:f>
        <x:v>OPEN</x:v>
      </x:c>
      <x:c r="F834" t="str">
        <x:f>IF('Release Gates'!C814="PLANNING","PASS",IF('Release Gates'!C814="PHYSICAL","OPEN","BLOCKED"))</x:f>
        <x:v>OPEN</x:v>
      </x:c>
      <x:c r="G834" t="str">
        <x:v>equals</x:v>
      </x:c>
      <x:c r="H834" t="str">
        <x:f>IF(E834=F834,"PASS","FAIL")</x:f>
        <x:v>PASS</x:v>
      </x:c>
    </x:row>
    <x:row r="835">
      <x:c r="B835" t="str">
        <x:v>A-809</x:v>
      </x:c>
      <x:c r="C835" t="str">
        <x:v>GATE</x:v>
      </x:c>
      <x:c r="D835" t="str">
        <x:v>release ledger mirrors governing state</x:v>
      </x:c>
      <x:c r="E835" t="str">
        <x:f>'Release Gates'!J815</x:f>
        <x:v>OPEN</x:v>
      </x:c>
      <x:c r="F835" t="str">
        <x:f>IF('Release Gates'!C815="PLANNING","PASS",IF('Release Gates'!C815="PHYSICAL","OPEN","BLOCKED"))</x:f>
        <x:v>OPEN</x:v>
      </x:c>
      <x:c r="G835" t="str">
        <x:v>equals</x:v>
      </x:c>
      <x:c r="H835" t="str">
        <x:f>IF(E835=F835,"PASS","FAIL")</x:f>
        <x:v>PASS</x:v>
      </x:c>
    </x:row>
    <x:row r="836">
      <x:c r="B836" t="str">
        <x:v>A-810</x:v>
      </x:c>
      <x:c r="C836" t="str">
        <x:v>GATE</x:v>
      </x:c>
      <x:c r="D836" t="str">
        <x:v>release ledger mirrors governing state</x:v>
      </x:c>
      <x:c r="E836" t="str">
        <x:f>'Release Gates'!J816</x:f>
        <x:v>OPEN</x:v>
      </x:c>
      <x:c r="F836" t="str">
        <x:f>IF('Release Gates'!C816="PLANNING","PASS",IF('Release Gates'!C816="PHYSICAL","OPEN","BLOCKED"))</x:f>
        <x:v>OPEN</x:v>
      </x:c>
      <x:c r="G836" t="str">
        <x:v>equals</x:v>
      </x:c>
      <x:c r="H836" t="str">
        <x:f>IF(E836=F836,"PASS","FAIL")</x:f>
        <x:v>PASS</x:v>
      </x:c>
    </x:row>
    <x:row r="837">
      <x:c r="B837" t="str">
        <x:v>A-811</x:v>
      </x:c>
      <x:c r="C837" t="str">
        <x:v>GATE</x:v>
      </x:c>
      <x:c r="D837" t="str">
        <x:v>release ledger mirrors governing state</x:v>
      </x:c>
      <x:c r="E837" t="str">
        <x:f>'Release Gates'!J817</x:f>
        <x:v>OPEN</x:v>
      </x:c>
      <x:c r="F837" t="str">
        <x:f>IF('Release Gates'!C817="PLANNING","PASS",IF('Release Gates'!C817="PHYSICAL","OPEN","BLOCKED"))</x:f>
        <x:v>OPEN</x:v>
      </x:c>
      <x:c r="G837" t="str">
        <x:v>equals</x:v>
      </x:c>
      <x:c r="H837" t="str">
        <x:f>IF(E837=F837,"PASS","FAIL")</x:f>
        <x:v>PASS</x:v>
      </x:c>
    </x:row>
    <x:row r="838">
      <x:c r="B838" t="str">
        <x:v>A-812</x:v>
      </x:c>
      <x:c r="C838" t="str">
        <x:v>GATE</x:v>
      </x:c>
      <x:c r="D838" t="str">
        <x:v>release ledger mirrors governing state</x:v>
      </x:c>
      <x:c r="E838" t="str">
        <x:f>'Release Gates'!J818</x:f>
        <x:v>OPEN</x:v>
      </x:c>
      <x:c r="F838" t="str">
        <x:f>IF('Release Gates'!C818="PLANNING","PASS",IF('Release Gates'!C818="PHYSICAL","OPEN","BLOCKED"))</x:f>
        <x:v>OPEN</x:v>
      </x:c>
      <x:c r="G838" t="str">
        <x:v>equals</x:v>
      </x:c>
      <x:c r="H838" t="str">
        <x:f>IF(E838=F838,"PASS","FAIL")</x:f>
        <x:v>PASS</x:v>
      </x:c>
    </x:row>
    <x:row r="839">
      <x:c r="B839" t="str">
        <x:v>A-813</x:v>
      </x:c>
      <x:c r="C839" t="str">
        <x:v>GATE</x:v>
      </x:c>
      <x:c r="D839" t="str">
        <x:v>release ledger mirrors governing state</x:v>
      </x:c>
      <x:c r="E839" t="str">
        <x:f>'Release Gates'!J819</x:f>
        <x:v>OPEN</x:v>
      </x:c>
      <x:c r="F839" t="str">
        <x:f>IF('Release Gates'!C819="PLANNING","PASS",IF('Release Gates'!C819="PHYSICAL","OPEN","BLOCKED"))</x:f>
        <x:v>OPEN</x:v>
      </x:c>
      <x:c r="G839" t="str">
        <x:v>equals</x:v>
      </x:c>
      <x:c r="H839" t="str">
        <x:f>IF(E839=F839,"PASS","FAIL")</x:f>
        <x:v>PASS</x:v>
      </x:c>
    </x:row>
    <x:row r="840">
      <x:c r="B840" t="str">
        <x:v>A-814</x:v>
      </x:c>
      <x:c r="C840" t="str">
        <x:v>GATE</x:v>
      </x:c>
      <x:c r="D840" t="str">
        <x:v>release ledger mirrors governing state</x:v>
      </x:c>
      <x:c r="E840" t="str">
        <x:f>'Release Gates'!J820</x:f>
        <x:v>OPEN</x:v>
      </x:c>
      <x:c r="F840" t="str">
        <x:f>IF('Release Gates'!C820="PLANNING","PASS",IF('Release Gates'!C820="PHYSICAL","OPEN","BLOCKED"))</x:f>
        <x:v>OPEN</x:v>
      </x:c>
      <x:c r="G840" t="str">
        <x:v>equals</x:v>
      </x:c>
      <x:c r="H840" t="str">
        <x:f>IF(E840=F840,"PASS","FAIL")</x:f>
        <x:v>PASS</x:v>
      </x:c>
    </x:row>
    <x:row r="841">
      <x:c r="B841" t="str">
        <x:v>A-815</x:v>
      </x:c>
      <x:c r="C841" t="str">
        <x:v>GATE</x:v>
      </x:c>
      <x:c r="D841" t="str">
        <x:v>release ledger mirrors governing state</x:v>
      </x:c>
      <x:c r="E841" t="str">
        <x:f>'Release Gates'!J821</x:f>
        <x:v>OPEN</x:v>
      </x:c>
      <x:c r="F841" t="str">
        <x:f>IF('Release Gates'!C821="PLANNING","PASS",IF('Release Gates'!C821="PHYSICAL","OPEN","BLOCKED"))</x:f>
        <x:v>OPEN</x:v>
      </x:c>
      <x:c r="G841" t="str">
        <x:v>equals</x:v>
      </x:c>
      <x:c r="H841" t="str">
        <x:f>IF(E841=F841,"PASS","FAIL")</x:f>
        <x:v>PASS</x:v>
      </x:c>
    </x:row>
    <x:row r="842">
      <x:c r="B842" t="str">
        <x:v>A-816</x:v>
      </x:c>
      <x:c r="C842" t="str">
        <x:v>GATE</x:v>
      </x:c>
      <x:c r="D842" t="str">
        <x:v>release ledger mirrors governing state</x:v>
      </x:c>
      <x:c r="E842" t="str">
        <x:f>'Release Gates'!J822</x:f>
        <x:v>OPEN</x:v>
      </x:c>
      <x:c r="F842" t="str">
        <x:f>IF('Release Gates'!C822="PLANNING","PASS",IF('Release Gates'!C822="PHYSICAL","OPEN","BLOCKED"))</x:f>
        <x:v>OPEN</x:v>
      </x:c>
      <x:c r="G842" t="str">
        <x:v>equals</x:v>
      </x:c>
      <x:c r="H842" t="str">
        <x:f>IF(E842=F842,"PASS","FAIL")</x:f>
        <x:v>PASS</x:v>
      </x:c>
    </x:row>
    <x:row r="843">
      <x:c r="B843" t="str">
        <x:v>A-817</x:v>
      </x:c>
      <x:c r="C843" t="str">
        <x:v>GATE</x:v>
      </x:c>
      <x:c r="D843" t="str">
        <x:v>release ledger mirrors governing state</x:v>
      </x:c>
      <x:c r="E843" t="str">
        <x:f>'Release Gates'!J823</x:f>
        <x:v>OPEN</x:v>
      </x:c>
      <x:c r="F843" t="str">
        <x:f>IF('Release Gates'!C823="PLANNING","PASS",IF('Release Gates'!C823="PHYSICAL","OPEN","BLOCKED"))</x:f>
        <x:v>OPEN</x:v>
      </x:c>
      <x:c r="G843" t="str">
        <x:v>equals</x:v>
      </x:c>
      <x:c r="H843" t="str">
        <x:f>IF(E843=F843,"PASS","FAIL")</x:f>
        <x:v>PASS</x:v>
      </x:c>
    </x:row>
    <x:row r="844">
      <x:c r="B844" t="str">
        <x:v>A-818</x:v>
      </x:c>
      <x:c r="C844" t="str">
        <x:v>GATE</x:v>
      </x:c>
      <x:c r="D844" t="str">
        <x:v>release ledger mirrors governing state</x:v>
      </x:c>
      <x:c r="E844" t="str">
        <x:f>'Release Gates'!J824</x:f>
        <x:v>OPEN</x:v>
      </x:c>
      <x:c r="F844" t="str">
        <x:f>IF('Release Gates'!C824="PLANNING","PASS",IF('Release Gates'!C824="PHYSICAL","OPEN","BLOCKED"))</x:f>
        <x:v>OPEN</x:v>
      </x:c>
      <x:c r="G844" t="str">
        <x:v>equals</x:v>
      </x:c>
      <x:c r="H844" t="str">
        <x:f>IF(E844=F844,"PASS","FAIL")</x:f>
        <x:v>PASS</x:v>
      </x:c>
    </x:row>
    <x:row r="845">
      <x:c r="B845" t="str">
        <x:v>A-819</x:v>
      </x:c>
      <x:c r="C845" t="str">
        <x:v>GATE</x:v>
      </x:c>
      <x:c r="D845" t="str">
        <x:v>release ledger mirrors governing state</x:v>
      </x:c>
      <x:c r="E845" t="str">
        <x:f>'Release Gates'!J825</x:f>
        <x:v>OPEN</x:v>
      </x:c>
      <x:c r="F845" t="str">
        <x:f>IF('Release Gates'!C825="PLANNING","PASS",IF('Release Gates'!C825="PHYSICAL","OPEN","BLOCKED"))</x:f>
        <x:v>OPEN</x:v>
      </x:c>
      <x:c r="G845" t="str">
        <x:v>equals</x:v>
      </x:c>
      <x:c r="H845" t="str">
        <x:f>IF(E845=F845,"PASS","FAIL")</x:f>
        <x:v>PASS</x:v>
      </x:c>
    </x:row>
    <x:row r="846">
      <x:c r="B846" t="str">
        <x:v>A-820</x:v>
      </x:c>
      <x:c r="C846" t="str">
        <x:v>GATE</x:v>
      </x:c>
      <x:c r="D846" t="str">
        <x:v>release ledger mirrors governing state</x:v>
      </x:c>
      <x:c r="E846" t="str">
        <x:f>'Release Gates'!J826</x:f>
        <x:v>OPEN</x:v>
      </x:c>
      <x:c r="F846" t="str">
        <x:f>IF('Release Gates'!C826="PLANNING","PASS",IF('Release Gates'!C826="PHYSICAL","OPEN","BLOCKED"))</x:f>
        <x:v>OPEN</x:v>
      </x:c>
      <x:c r="G846" t="str">
        <x:v>equals</x:v>
      </x:c>
      <x:c r="H846" t="str">
        <x:f>IF(E846=F846,"PASS","FAIL")</x:f>
        <x:v>PASS</x:v>
      </x:c>
    </x:row>
    <x:row r="847">
      <x:c r="B847" t="str">
        <x:v>A-821</x:v>
      </x:c>
      <x:c r="C847" t="str">
        <x:v>GATE</x:v>
      </x:c>
      <x:c r="D847" t="str">
        <x:v>release ledger mirrors governing state</x:v>
      </x:c>
      <x:c r="E847" t="str">
        <x:f>'Release Gates'!J827</x:f>
        <x:v>OPEN</x:v>
      </x:c>
      <x:c r="F847" t="str">
        <x:f>IF('Release Gates'!C827="PLANNING","PASS",IF('Release Gates'!C827="PHYSICAL","OPEN","BLOCKED"))</x:f>
        <x:v>OPEN</x:v>
      </x:c>
      <x:c r="G847" t="str">
        <x:v>equals</x:v>
      </x:c>
      <x:c r="H847" t="str">
        <x:f>IF(E847=F847,"PASS","FAIL")</x:f>
        <x:v>PASS</x:v>
      </x:c>
    </x:row>
    <x:row r="848">
      <x:c r="B848" t="str">
        <x:v>A-822</x:v>
      </x:c>
      <x:c r="C848" t="str">
        <x:v>GATE</x:v>
      </x:c>
      <x:c r="D848" t="str">
        <x:v>release ledger mirrors governing state</x:v>
      </x:c>
      <x:c r="E848" t="str">
        <x:f>'Release Gates'!J828</x:f>
        <x:v>OPEN</x:v>
      </x:c>
      <x:c r="F848" t="str">
        <x:f>IF('Release Gates'!C828="PLANNING","PASS",IF('Release Gates'!C828="PHYSICAL","OPEN","BLOCKED"))</x:f>
        <x:v>OPEN</x:v>
      </x:c>
      <x:c r="G848" t="str">
        <x:v>equals</x:v>
      </x:c>
      <x:c r="H848" t="str">
        <x:f>IF(E848=F848,"PASS","FAIL")</x:f>
        <x:v>PASS</x:v>
      </x:c>
    </x:row>
    <x:row r="849">
      <x:c r="B849" t="str">
        <x:v>A-823</x:v>
      </x:c>
      <x:c r="C849" t="str">
        <x:v>GATE</x:v>
      </x:c>
      <x:c r="D849" t="str">
        <x:v>release ledger mirrors governing state</x:v>
      </x:c>
      <x:c r="E849" t="str">
        <x:f>'Release Gates'!J829</x:f>
        <x:v>OPEN</x:v>
      </x:c>
      <x:c r="F849" t="str">
        <x:f>IF('Release Gates'!C829="PLANNING","PASS",IF('Release Gates'!C829="PHYSICAL","OPEN","BLOCKED"))</x:f>
        <x:v>OPEN</x:v>
      </x:c>
      <x:c r="G849" t="str">
        <x:v>equals</x:v>
      </x:c>
      <x:c r="H849" t="str">
        <x:f>IF(E849=F849,"PASS","FAIL")</x:f>
        <x:v>PASS</x:v>
      </x:c>
    </x:row>
    <x:row r="850">
      <x:c r="B850" t="str">
        <x:v>A-824</x:v>
      </x:c>
      <x:c r="C850" t="str">
        <x:v>GATE</x:v>
      </x:c>
      <x:c r="D850" t="str">
        <x:v>release ledger mirrors governing state</x:v>
      </x:c>
      <x:c r="E850" t="str">
        <x:f>'Release Gates'!J830</x:f>
        <x:v>OPEN</x:v>
      </x:c>
      <x:c r="F850" t="str">
        <x:f>IF('Release Gates'!C830="PLANNING","PASS",IF('Release Gates'!C830="PHYSICAL","OPEN","BLOCKED"))</x:f>
        <x:v>OPEN</x:v>
      </x:c>
      <x:c r="G850" t="str">
        <x:v>equals</x:v>
      </x:c>
      <x:c r="H850" t="str">
        <x:f>IF(E850=F850,"PASS","FAIL")</x:f>
        <x:v>PASS</x:v>
      </x:c>
    </x:row>
    <x:row r="851">
      <x:c r="B851" t="str">
        <x:v>A-825</x:v>
      </x:c>
      <x:c r="C851" t="str">
        <x:v>GATE</x:v>
      </x:c>
      <x:c r="D851" t="str">
        <x:v>release ledger mirrors governing state</x:v>
      </x:c>
      <x:c r="E851" t="str">
        <x:f>'Release Gates'!J831</x:f>
        <x:v>OPEN</x:v>
      </x:c>
      <x:c r="F851" t="str">
        <x:f>IF('Release Gates'!C831="PLANNING","PASS",IF('Release Gates'!C831="PHYSICAL","OPEN","BLOCKED"))</x:f>
        <x:v>OPEN</x:v>
      </x:c>
      <x:c r="G851" t="str">
        <x:v>equals</x:v>
      </x:c>
      <x:c r="H851" t="str">
        <x:f>IF(E851=F851,"PASS","FAIL")</x:f>
        <x:v>PASS</x:v>
      </x:c>
    </x:row>
    <x:row r="852">
      <x:c r="B852" t="str">
        <x:v>A-826</x:v>
      </x:c>
      <x:c r="C852" t="str">
        <x:v>GATE</x:v>
      </x:c>
      <x:c r="D852" t="str">
        <x:v>release ledger mirrors governing state</x:v>
      </x:c>
      <x:c r="E852" t="str">
        <x:f>'Release Gates'!J832</x:f>
        <x:v>OPEN</x:v>
      </x:c>
      <x:c r="F852" t="str">
        <x:f>IF('Release Gates'!C832="PLANNING","PASS",IF('Release Gates'!C832="PHYSICAL","OPEN","BLOCKED"))</x:f>
        <x:v>OPEN</x:v>
      </x:c>
      <x:c r="G852" t="str">
        <x:v>equals</x:v>
      </x:c>
      <x:c r="H852" t="str">
        <x:f>IF(E852=F852,"PASS","FAIL")</x:f>
        <x:v>PASS</x:v>
      </x:c>
    </x:row>
    <x:row r="853">
      <x:c r="B853" t="str">
        <x:v>A-827</x:v>
      </x:c>
      <x:c r="C853" t="str">
        <x:v>GATE</x:v>
      </x:c>
      <x:c r="D853" t="str">
        <x:v>release ledger mirrors governing state</x:v>
      </x:c>
      <x:c r="E853" t="str">
        <x:f>'Release Gates'!J833</x:f>
        <x:v>OPEN</x:v>
      </x:c>
      <x:c r="F853" t="str">
        <x:f>IF('Release Gates'!C833="PLANNING","PASS",IF('Release Gates'!C833="PHYSICAL","OPEN","BLOCKED"))</x:f>
        <x:v>OPEN</x:v>
      </x:c>
      <x:c r="G853" t="str">
        <x:v>equals</x:v>
      </x:c>
      <x:c r="H853" t="str">
        <x:f>IF(E853=F853,"PASS","FAIL")</x:f>
        <x:v>PASS</x:v>
      </x:c>
    </x:row>
    <x:row r="854">
      <x:c r="B854" t="str">
        <x:v>A-828</x:v>
      </x:c>
      <x:c r="C854" t="str">
        <x:v>GATE</x:v>
      </x:c>
      <x:c r="D854" t="str">
        <x:v>release ledger mirrors governing state</x:v>
      </x:c>
      <x:c r="E854" t="str">
        <x:f>'Release Gates'!J834</x:f>
        <x:v>OPEN</x:v>
      </x:c>
      <x:c r="F854" t="str">
        <x:f>IF('Release Gates'!C834="PLANNING","PASS",IF('Release Gates'!C834="PHYSICAL","OPEN","BLOCKED"))</x:f>
        <x:v>OPEN</x:v>
      </x:c>
      <x:c r="G854" t="str">
        <x:v>equals</x:v>
      </x:c>
      <x:c r="H854" t="str">
        <x:f>IF(E854=F854,"PASS","FAIL")</x:f>
        <x:v>PASS</x:v>
      </x:c>
    </x:row>
    <x:row r="855">
      <x:c r="B855" t="str">
        <x:v>A-829</x:v>
      </x:c>
      <x:c r="C855" t="str">
        <x:v>GATE</x:v>
      </x:c>
      <x:c r="D855" t="str">
        <x:v>release ledger mirrors governing state</x:v>
      </x:c>
      <x:c r="E855" t="str">
        <x:f>'Release Gates'!J835</x:f>
        <x:v>OPEN</x:v>
      </x:c>
      <x:c r="F855" t="str">
        <x:f>IF('Release Gates'!C835="PLANNING","PASS",IF('Release Gates'!C835="PHYSICAL","OPEN","BLOCKED"))</x:f>
        <x:v>OPEN</x:v>
      </x:c>
      <x:c r="G855" t="str">
        <x:v>equals</x:v>
      </x:c>
      <x:c r="H855" t="str">
        <x:f>IF(E855=F855,"PASS","FAIL")</x:f>
        <x:v>PASS</x:v>
      </x:c>
    </x:row>
    <x:row r="856">
      <x:c r="B856" t="str">
        <x:v>A-830</x:v>
      </x:c>
      <x:c r="C856" t="str">
        <x:v>GATE</x:v>
      </x:c>
      <x:c r="D856" t="str">
        <x:v>release ledger mirrors governing state</x:v>
      </x:c>
      <x:c r="E856" t="str">
        <x:f>'Release Gates'!J836</x:f>
        <x:v>OPEN</x:v>
      </x:c>
      <x:c r="F856" t="str">
        <x:f>IF('Release Gates'!C836="PLANNING","PASS",IF('Release Gates'!C836="PHYSICAL","OPEN","BLOCKED"))</x:f>
        <x:v>OPEN</x:v>
      </x:c>
      <x:c r="G856" t="str">
        <x:v>equals</x:v>
      </x:c>
      <x:c r="H856" t="str">
        <x:f>IF(E856=F856,"PASS","FAIL")</x:f>
        <x:v>PASS</x:v>
      </x:c>
    </x:row>
    <x:row r="857">
      <x:c r="B857" t="str">
        <x:v>A-831</x:v>
      </x:c>
      <x:c r="C857" t="str">
        <x:v>GATE</x:v>
      </x:c>
      <x:c r="D857" t="str">
        <x:v>release ledger mirrors governing state</x:v>
      </x:c>
      <x:c r="E857" t="str">
        <x:f>'Release Gates'!J837</x:f>
        <x:v>OPEN</x:v>
      </x:c>
      <x:c r="F857" t="str">
        <x:f>IF('Release Gates'!C837="PLANNING","PASS",IF('Release Gates'!C837="PHYSICAL","OPEN","BLOCKED"))</x:f>
        <x:v>OPEN</x:v>
      </x:c>
      <x:c r="G857" t="str">
        <x:v>equals</x:v>
      </x:c>
      <x:c r="H857" t="str">
        <x:f>IF(E857=F857,"PASS","FAIL")</x:f>
        <x:v>PASS</x:v>
      </x:c>
    </x:row>
    <x:row r="858">
      <x:c r="B858" t="str">
        <x:v>A-832</x:v>
      </x:c>
      <x:c r="C858" t="str">
        <x:v>GATE</x:v>
      </x:c>
      <x:c r="D858" t="str">
        <x:v>release ledger mirrors governing state</x:v>
      </x:c>
      <x:c r="E858" t="str">
        <x:f>'Release Gates'!J838</x:f>
        <x:v>OPEN</x:v>
      </x:c>
      <x:c r="F858" t="str">
        <x:f>IF('Release Gates'!C838="PLANNING","PASS",IF('Release Gates'!C838="PHYSICAL","OPEN","BLOCKED"))</x:f>
        <x:v>OPEN</x:v>
      </x:c>
      <x:c r="G858" t="str">
        <x:v>equals</x:v>
      </x:c>
      <x:c r="H858" t="str">
        <x:f>IF(E858=F858,"PASS","FAIL")</x:f>
        <x:v>PASS</x:v>
      </x:c>
    </x:row>
    <x:row r="859">
      <x:c r="B859" t="str">
        <x:v>A-833</x:v>
      </x:c>
      <x:c r="C859" t="str">
        <x:v>GATE</x:v>
      </x:c>
      <x:c r="D859" t="str">
        <x:v>release ledger mirrors governing state</x:v>
      </x:c>
      <x:c r="E859" t="str">
        <x:f>'Release Gates'!J839</x:f>
        <x:v>OPEN</x:v>
      </x:c>
      <x:c r="F859" t="str">
        <x:f>IF('Release Gates'!C839="PLANNING","PASS",IF('Release Gates'!C839="PHYSICAL","OPEN","BLOCKED"))</x:f>
        <x:v>OPEN</x:v>
      </x:c>
      <x:c r="G859" t="str">
        <x:v>equals</x:v>
      </x:c>
      <x:c r="H859" t="str">
        <x:f>IF(E859=F859,"PASS","FAIL")</x:f>
        <x:v>PASS</x:v>
      </x:c>
    </x:row>
    <x:row r="860">
      <x:c r="B860" t="str">
        <x:v>A-834</x:v>
      </x:c>
      <x:c r="C860" t="str">
        <x:v>GATE</x:v>
      </x:c>
      <x:c r="D860" t="str">
        <x:v>release ledger mirrors governing state</x:v>
      </x:c>
      <x:c r="E860" t="str">
        <x:f>'Release Gates'!J840</x:f>
        <x:v>OPEN</x:v>
      </x:c>
      <x:c r="F860" t="str">
        <x:f>IF('Release Gates'!C840="PLANNING","PASS",IF('Release Gates'!C840="PHYSICAL","OPEN","BLOCKED"))</x:f>
        <x:v>OPEN</x:v>
      </x:c>
      <x:c r="G860" t="str">
        <x:v>equals</x:v>
      </x:c>
      <x:c r="H860" t="str">
        <x:f>IF(E860=F860,"PASS","FAIL")</x:f>
        <x:v>PASS</x:v>
      </x:c>
    </x:row>
    <x:row r="861">
      <x:c r="B861" t="str">
        <x:v>A-835</x:v>
      </x:c>
      <x:c r="C861" t="str">
        <x:v>GATE</x:v>
      </x:c>
      <x:c r="D861" t="str">
        <x:v>release ledger mirrors governing state</x:v>
      </x:c>
      <x:c r="E861" t="str">
        <x:f>'Release Gates'!J841</x:f>
        <x:v>OPEN</x:v>
      </x:c>
      <x:c r="F861" t="str">
        <x:f>IF('Release Gates'!C841="PLANNING","PASS",IF('Release Gates'!C841="PHYSICAL","OPEN","BLOCKED"))</x:f>
        <x:v>OPEN</x:v>
      </x:c>
      <x:c r="G861" t="str">
        <x:v>equals</x:v>
      </x:c>
      <x:c r="H861" t="str">
        <x:f>IF(E861=F861,"PASS","FAIL")</x:f>
        <x:v>PASS</x:v>
      </x:c>
    </x:row>
    <x:row r="862">
      <x:c r="B862" t="str">
        <x:v>A-836</x:v>
      </x:c>
      <x:c r="C862" t="str">
        <x:v>GATE</x:v>
      </x:c>
      <x:c r="D862" t="str">
        <x:v>release ledger mirrors governing state</x:v>
      </x:c>
      <x:c r="E862" t="str">
        <x:f>'Release Gates'!J842</x:f>
        <x:v>OPEN</x:v>
      </x:c>
      <x:c r="F862" t="str">
        <x:f>IF('Release Gates'!C842="PLANNING","PASS",IF('Release Gates'!C842="PHYSICAL","OPEN","BLOCKED"))</x:f>
        <x:v>OPEN</x:v>
      </x:c>
      <x:c r="G862" t="str">
        <x:v>equals</x:v>
      </x:c>
      <x:c r="H862" t="str">
        <x:f>IF(E862=F862,"PASS","FAIL")</x:f>
        <x:v>PASS</x:v>
      </x:c>
    </x:row>
    <x:row r="863">
      <x:c r="B863" t="str">
        <x:v>A-837</x:v>
      </x:c>
      <x:c r="C863" t="str">
        <x:v>GATE</x:v>
      </x:c>
      <x:c r="D863" t="str">
        <x:v>release ledger mirrors governing state</x:v>
      </x:c>
      <x:c r="E863" t="str">
        <x:f>'Release Gates'!J843</x:f>
        <x:v>OPEN</x:v>
      </x:c>
      <x:c r="F863" t="str">
        <x:f>IF('Release Gates'!C843="PLANNING","PASS",IF('Release Gates'!C843="PHYSICAL","OPEN","BLOCKED"))</x:f>
        <x:v>OPEN</x:v>
      </x:c>
      <x:c r="G863" t="str">
        <x:v>equals</x:v>
      </x:c>
      <x:c r="H863" t="str">
        <x:f>IF(E863=F863,"PASS","FAIL")</x:f>
        <x:v>PASS</x:v>
      </x:c>
    </x:row>
    <x:row r="864">
      <x:c r="B864" t="str">
        <x:v>A-838</x:v>
      </x:c>
      <x:c r="C864" t="str">
        <x:v>GATE</x:v>
      </x:c>
      <x:c r="D864" t="str">
        <x:v>release ledger mirrors governing state</x:v>
      </x:c>
      <x:c r="E864" t="str">
        <x:f>'Release Gates'!J844</x:f>
        <x:v>OPEN</x:v>
      </x:c>
      <x:c r="F864" t="str">
        <x:f>IF('Release Gates'!C844="PLANNING","PASS",IF('Release Gates'!C844="PHYSICAL","OPEN","BLOCKED"))</x:f>
        <x:v>OPEN</x:v>
      </x:c>
      <x:c r="G864" t="str">
        <x:v>equals</x:v>
      </x:c>
      <x:c r="H864" t="str">
        <x:f>IF(E864=F864,"PASS","FAIL")</x:f>
        <x:v>PASS</x:v>
      </x:c>
    </x:row>
    <x:row r="865">
      <x:c r="B865" t="str">
        <x:v>A-839</x:v>
      </x:c>
      <x:c r="C865" t="str">
        <x:v>GATE</x:v>
      </x:c>
      <x:c r="D865" t="str">
        <x:v>release ledger mirrors governing state</x:v>
      </x:c>
      <x:c r="E865" t="str">
        <x:f>'Release Gates'!J845</x:f>
        <x:v>OPEN</x:v>
      </x:c>
      <x:c r="F865" t="str">
        <x:f>IF('Release Gates'!C845="PLANNING","PASS",IF('Release Gates'!C845="PHYSICAL","OPEN","BLOCKED"))</x:f>
        <x:v>OPEN</x:v>
      </x:c>
      <x:c r="G865" t="str">
        <x:v>equals</x:v>
      </x:c>
      <x:c r="H865" t="str">
        <x:f>IF(E865=F865,"PASS","FAIL")</x:f>
        <x:v>PASS</x:v>
      </x:c>
    </x:row>
    <x:row r="866">
      <x:c r="B866" t="str">
        <x:v>A-840</x:v>
      </x:c>
      <x:c r="C866" t="str">
        <x:v>GATE</x:v>
      </x:c>
      <x:c r="D866" t="str">
        <x:v>release ledger mirrors governing state</x:v>
      </x:c>
      <x:c r="E866" t="str">
        <x:f>'Release Gates'!J846</x:f>
        <x:v>OPEN</x:v>
      </x:c>
      <x:c r="F866" t="str">
        <x:f>IF('Release Gates'!C846="PLANNING","PASS",IF('Release Gates'!C846="PHYSICAL","OPEN","BLOCKED"))</x:f>
        <x:v>OPEN</x:v>
      </x:c>
      <x:c r="G866" t="str">
        <x:v>equals</x:v>
      </x:c>
      <x:c r="H866" t="str">
        <x:f>IF(E866=F866,"PASS","FAIL")</x:f>
        <x:v>PASS</x:v>
      </x:c>
    </x:row>
    <x:row r="867">
      <x:c r="B867" t="str">
        <x:v>A-841</x:v>
      </x:c>
      <x:c r="C867" t="str">
        <x:v>GATE</x:v>
      </x:c>
      <x:c r="D867" t="str">
        <x:v>release ledger mirrors governing state</x:v>
      </x:c>
      <x:c r="E867" t="str">
        <x:f>'Release Gates'!J847</x:f>
        <x:v>OPEN</x:v>
      </x:c>
      <x:c r="F867" t="str">
        <x:f>IF('Release Gates'!C847="PLANNING","PASS",IF('Release Gates'!C847="PHYSICAL","OPEN","BLOCKED"))</x:f>
        <x:v>OPEN</x:v>
      </x:c>
      <x:c r="G867" t="str">
        <x:v>equals</x:v>
      </x:c>
      <x:c r="H867" t="str">
        <x:f>IF(E867=F867,"PASS","FAIL")</x:f>
        <x:v>PASS</x:v>
      </x:c>
    </x:row>
    <x:row r="868">
      <x:c r="B868" t="str">
        <x:v>A-842</x:v>
      </x:c>
      <x:c r="C868" t="str">
        <x:v>GATE</x:v>
      </x:c>
      <x:c r="D868" t="str">
        <x:v>release ledger mirrors governing state</x:v>
      </x:c>
      <x:c r="E868" t="str">
        <x:f>'Release Gates'!J848</x:f>
        <x:v>OPEN</x:v>
      </x:c>
      <x:c r="F868" t="str">
        <x:f>IF('Release Gates'!C848="PLANNING","PASS",IF('Release Gates'!C848="PHYSICAL","OPEN","BLOCKED"))</x:f>
        <x:v>OPEN</x:v>
      </x:c>
      <x:c r="G868" t="str">
        <x:v>equals</x:v>
      </x:c>
      <x:c r="H868" t="str">
        <x:f>IF(E868=F868,"PASS","FAIL")</x:f>
        <x:v>PASS</x:v>
      </x:c>
    </x:row>
    <x:row r="869">
      <x:c r="B869" t="str">
        <x:v>A-843</x:v>
      </x:c>
      <x:c r="C869" t="str">
        <x:v>GATE</x:v>
      </x:c>
      <x:c r="D869" t="str">
        <x:v>release ledger mirrors governing state</x:v>
      </x:c>
      <x:c r="E869" t="str">
        <x:f>'Release Gates'!J849</x:f>
        <x:v>OPEN</x:v>
      </x:c>
      <x:c r="F869" t="str">
        <x:f>IF('Release Gates'!C849="PLANNING","PASS",IF('Release Gates'!C849="PHYSICAL","OPEN","BLOCKED"))</x:f>
        <x:v>OPEN</x:v>
      </x:c>
      <x:c r="G869" t="str">
        <x:v>equals</x:v>
      </x:c>
      <x:c r="H869" t="str">
        <x:f>IF(E869=F869,"PASS","FAIL")</x:f>
        <x:v>PASS</x:v>
      </x:c>
    </x:row>
    <x:row r="870">
      <x:c r="B870" t="str">
        <x:v>A-844</x:v>
      </x:c>
      <x:c r="C870" t="str">
        <x:v>GATE</x:v>
      </x:c>
      <x:c r="D870" t="str">
        <x:v>release ledger mirrors governing state</x:v>
      </x:c>
      <x:c r="E870" t="str">
        <x:f>'Release Gates'!J850</x:f>
        <x:v>OPEN</x:v>
      </x:c>
      <x:c r="F870" t="str">
        <x:f>IF('Release Gates'!C850="PLANNING","PASS",IF('Release Gates'!C850="PHYSICAL","OPEN","BLOCKED"))</x:f>
        <x:v>OPEN</x:v>
      </x:c>
      <x:c r="G870" t="str">
        <x:v>equals</x:v>
      </x:c>
      <x:c r="H870" t="str">
        <x:f>IF(E870=F870,"PASS","FAIL")</x:f>
        <x:v>PASS</x:v>
      </x:c>
    </x:row>
    <x:row r="871">
      <x:c r="B871" t="str">
        <x:v>A-845</x:v>
      </x:c>
      <x:c r="C871" t="str">
        <x:v>GATE</x:v>
      </x:c>
      <x:c r="D871" t="str">
        <x:v>release ledger mirrors governing state</x:v>
      </x:c>
      <x:c r="E871" t="str">
        <x:f>'Release Gates'!J851</x:f>
        <x:v>OPEN</x:v>
      </x:c>
      <x:c r="F871" t="str">
        <x:f>IF('Release Gates'!C851="PLANNING","PASS",IF('Release Gates'!C851="PHYSICAL","OPEN","BLOCKED"))</x:f>
        <x:v>OPEN</x:v>
      </x:c>
      <x:c r="G871" t="str">
        <x:v>equals</x:v>
      </x:c>
      <x:c r="H871" t="str">
        <x:f>IF(E871=F871,"PASS","FAIL")</x:f>
        <x:v>PASS</x:v>
      </x:c>
    </x:row>
    <x:row r="872">
      <x:c r="B872" t="str">
        <x:v>A-846</x:v>
      </x:c>
      <x:c r="C872" t="str">
        <x:v>GATE</x:v>
      </x:c>
      <x:c r="D872" t="str">
        <x:v>release ledger mirrors governing state</x:v>
      </x:c>
      <x:c r="E872" t="str">
        <x:f>'Release Gates'!J852</x:f>
        <x:v>OPEN</x:v>
      </x:c>
      <x:c r="F872" t="str">
        <x:f>IF('Release Gates'!C852="PLANNING","PASS",IF('Release Gates'!C852="PHYSICAL","OPEN","BLOCKED"))</x:f>
        <x:v>OPEN</x:v>
      </x:c>
      <x:c r="G872" t="str">
        <x:v>equals</x:v>
      </x:c>
      <x:c r="H872" t="str">
        <x:f>IF(E872=F872,"PASS","FAIL")</x:f>
        <x:v>PASS</x:v>
      </x:c>
    </x:row>
    <x:row r="873">
      <x:c r="B873" t="str">
        <x:v>A-847</x:v>
      </x:c>
      <x:c r="C873" t="str">
        <x:v>GATE</x:v>
      </x:c>
      <x:c r="D873" t="str">
        <x:v>release ledger mirrors governing state</x:v>
      </x:c>
      <x:c r="E873" t="str">
        <x:f>'Release Gates'!J853</x:f>
        <x:v>OPEN</x:v>
      </x:c>
      <x:c r="F873" t="str">
        <x:f>IF('Release Gates'!C853="PLANNING","PASS",IF('Release Gates'!C853="PHYSICAL","OPEN","BLOCKED"))</x:f>
        <x:v>OPEN</x:v>
      </x:c>
      <x:c r="G873" t="str">
        <x:v>equals</x:v>
      </x:c>
      <x:c r="H873" t="str">
        <x:f>IF(E873=F873,"PASS","FAIL")</x:f>
        <x:v>PASS</x:v>
      </x:c>
    </x:row>
    <x:row r="874">
      <x:c r="B874" t="str">
        <x:v>A-848</x:v>
      </x:c>
      <x:c r="C874" t="str">
        <x:v>GATE</x:v>
      </x:c>
      <x:c r="D874" t="str">
        <x:v>release ledger mirrors governing state</x:v>
      </x:c>
      <x:c r="E874" t="str">
        <x:f>'Release Gates'!J854</x:f>
        <x:v>OPEN</x:v>
      </x:c>
      <x:c r="F874" t="str">
        <x:f>IF('Release Gates'!C854="PLANNING","PASS",IF('Release Gates'!C854="PHYSICAL","OPEN","BLOCKED"))</x:f>
        <x:v>OPEN</x:v>
      </x:c>
      <x:c r="G874" t="str">
        <x:v>equals</x:v>
      </x:c>
      <x:c r="H874" t="str">
        <x:f>IF(E874=F874,"PASS","FAIL")</x:f>
        <x:v>PASS</x:v>
      </x:c>
    </x:row>
    <x:row r="875">
      <x:c r="B875" t="str">
        <x:v>A-849</x:v>
      </x:c>
      <x:c r="C875" t="str">
        <x:v>GATE</x:v>
      </x:c>
      <x:c r="D875" t="str">
        <x:v>release ledger mirrors governing state</x:v>
      </x:c>
      <x:c r="E875" t="str">
        <x:f>'Release Gates'!J855</x:f>
        <x:v>OPEN</x:v>
      </x:c>
      <x:c r="F875" t="str">
        <x:f>IF('Release Gates'!C855="PLANNING","PASS",IF('Release Gates'!C855="PHYSICAL","OPEN","BLOCKED"))</x:f>
        <x:v>OPEN</x:v>
      </x:c>
      <x:c r="G875" t="str">
        <x:v>equals</x:v>
      </x:c>
      <x:c r="H875" t="str">
        <x:f>IF(E875=F875,"PASS","FAIL")</x:f>
        <x:v>PASS</x:v>
      </x:c>
    </x:row>
    <x:row r="876">
      <x:c r="B876" t="str">
        <x:v>A-850</x:v>
      </x:c>
      <x:c r="C876" t="str">
        <x:v>GATE</x:v>
      </x:c>
      <x:c r="D876" t="str">
        <x:v>release ledger mirrors governing state</x:v>
      </x:c>
      <x:c r="E876" t="str">
        <x:f>'Release Gates'!J856</x:f>
        <x:v>OPEN</x:v>
      </x:c>
      <x:c r="F876" t="str">
        <x:f>IF('Release Gates'!C856="PLANNING","PASS",IF('Release Gates'!C856="PHYSICAL","OPEN","BLOCKED"))</x:f>
        <x:v>OPEN</x:v>
      </x:c>
      <x:c r="G876" t="str">
        <x:v>equals</x:v>
      </x:c>
      <x:c r="H876" t="str">
        <x:f>IF(E876=F876,"PASS","FAIL")</x:f>
        <x:v>PASS</x:v>
      </x:c>
    </x:row>
    <x:row r="877">
      <x:c r="B877" t="str">
        <x:v>A-851</x:v>
      </x:c>
      <x:c r="C877" t="str">
        <x:v>GATE</x:v>
      </x:c>
      <x:c r="D877" t="str">
        <x:v>release ledger mirrors governing state</x:v>
      </x:c>
      <x:c r="E877" t="str">
        <x:f>'Release Gates'!J857</x:f>
        <x:v>OPEN</x:v>
      </x:c>
      <x:c r="F877" t="str">
        <x:f>IF('Release Gates'!C857="PLANNING","PASS",IF('Release Gates'!C857="PHYSICAL","OPEN","BLOCKED"))</x:f>
        <x:v>OPEN</x:v>
      </x:c>
      <x:c r="G877" t="str">
        <x:v>equals</x:v>
      </x:c>
      <x:c r="H877" t="str">
        <x:f>IF(E877=F877,"PASS","FAIL")</x:f>
        <x:v>PASS</x:v>
      </x:c>
    </x:row>
    <x:row r="878">
      <x:c r="B878" t="str">
        <x:v>A-852</x:v>
      </x:c>
      <x:c r="C878" t="str">
        <x:v>GATE</x:v>
      </x:c>
      <x:c r="D878" t="str">
        <x:v>release ledger mirrors governing state</x:v>
      </x:c>
      <x:c r="E878" t="str">
        <x:f>'Release Gates'!J858</x:f>
        <x:v>OPEN</x:v>
      </x:c>
      <x:c r="F878" t="str">
        <x:f>IF('Release Gates'!C858="PLANNING","PASS",IF('Release Gates'!C858="PHYSICAL","OPEN","BLOCKED"))</x:f>
        <x:v>OPEN</x:v>
      </x:c>
      <x:c r="G878" t="str">
        <x:v>equals</x:v>
      </x:c>
      <x:c r="H878" t="str">
        <x:f>IF(E878=F878,"PASS","FAIL")</x:f>
        <x:v>PASS</x:v>
      </x:c>
    </x:row>
    <x:row r="879">
      <x:c r="B879" t="str">
        <x:v>A-853</x:v>
      </x:c>
      <x:c r="C879" t="str">
        <x:v>GATE</x:v>
      </x:c>
      <x:c r="D879" t="str">
        <x:v>release ledger mirrors governing state</x:v>
      </x:c>
      <x:c r="E879" t="str">
        <x:f>'Release Gates'!J859</x:f>
        <x:v>OPEN</x:v>
      </x:c>
      <x:c r="F879" t="str">
        <x:f>IF('Release Gates'!C859="PLANNING","PASS",IF('Release Gates'!C859="PHYSICAL","OPEN","BLOCKED"))</x:f>
        <x:v>OPEN</x:v>
      </x:c>
      <x:c r="G879" t="str">
        <x:v>equals</x:v>
      </x:c>
      <x:c r="H879" t="str">
        <x:f>IF(E879=F879,"PASS","FAIL")</x:f>
        <x:v>PASS</x:v>
      </x:c>
    </x:row>
    <x:row r="880">
      <x:c r="B880" t="str">
        <x:v>A-854</x:v>
      </x:c>
      <x:c r="C880" t="str">
        <x:v>GATE</x:v>
      </x:c>
      <x:c r="D880" t="str">
        <x:v>release ledger mirrors governing state</x:v>
      </x:c>
      <x:c r="E880" t="str">
        <x:f>'Release Gates'!J860</x:f>
        <x:v>OPEN</x:v>
      </x:c>
      <x:c r="F880" t="str">
        <x:f>IF('Release Gates'!C860="PLANNING","PASS",IF('Release Gates'!C860="PHYSICAL","OPEN","BLOCKED"))</x:f>
        <x:v>OPEN</x:v>
      </x:c>
      <x:c r="G880" t="str">
        <x:v>equals</x:v>
      </x:c>
      <x:c r="H880" t="str">
        <x:f>IF(E880=F880,"PASS","FAIL")</x:f>
        <x:v>PASS</x:v>
      </x:c>
    </x:row>
    <x:row r="881">
      <x:c r="B881" t="str">
        <x:v>A-855</x:v>
      </x:c>
      <x:c r="C881" t="str">
        <x:v>GATE</x:v>
      </x:c>
      <x:c r="D881" t="str">
        <x:v>release ledger mirrors governing state</x:v>
      </x:c>
      <x:c r="E881" t="str">
        <x:f>'Release Gates'!J861</x:f>
        <x:v>OPEN</x:v>
      </x:c>
      <x:c r="F881" t="str">
        <x:f>IF('Release Gates'!C861="PLANNING","PASS",IF('Release Gates'!C861="PHYSICAL","OPEN","BLOCKED"))</x:f>
        <x:v>OPEN</x:v>
      </x:c>
      <x:c r="G881" t="str">
        <x:v>equals</x:v>
      </x:c>
      <x:c r="H881" t="str">
        <x:f>IF(E881=F881,"PASS","FAIL")</x:f>
        <x:v>PASS</x:v>
      </x:c>
    </x:row>
    <x:row r="882">
      <x:c r="B882" t="str">
        <x:v>A-856</x:v>
      </x:c>
      <x:c r="C882" t="str">
        <x:v>GATE</x:v>
      </x:c>
      <x:c r="D882" t="str">
        <x:v>release ledger mirrors governing state</x:v>
      </x:c>
      <x:c r="E882" t="str">
        <x:f>'Release Gates'!J862</x:f>
        <x:v>OPEN</x:v>
      </x:c>
      <x:c r="F882" t="str">
        <x:f>IF('Release Gates'!C862="PLANNING","PASS",IF('Release Gates'!C862="PHYSICAL","OPEN","BLOCKED"))</x:f>
        <x:v>OPEN</x:v>
      </x:c>
      <x:c r="G882" t="str">
        <x:v>equals</x:v>
      </x:c>
      <x:c r="H882" t="str">
        <x:f>IF(E882=F882,"PASS","FAIL")</x:f>
        <x:v>PASS</x:v>
      </x:c>
    </x:row>
    <x:row r="883">
      <x:c r="B883" t="str">
        <x:v>A-857</x:v>
      </x:c>
      <x:c r="C883" t="str">
        <x:v>GATE</x:v>
      </x:c>
      <x:c r="D883" t="str">
        <x:v>release ledger mirrors governing state</x:v>
      </x:c>
      <x:c r="E883" t="str">
        <x:f>'Release Gates'!J863</x:f>
        <x:v>OPEN</x:v>
      </x:c>
      <x:c r="F883" t="str">
        <x:f>IF('Release Gates'!C863="PLANNING","PASS",IF('Release Gates'!C863="PHYSICAL","OPEN","BLOCKED"))</x:f>
        <x:v>OPEN</x:v>
      </x:c>
      <x:c r="G883" t="str">
        <x:v>equals</x:v>
      </x:c>
      <x:c r="H883" t="str">
        <x:f>IF(E883=F883,"PASS","FAIL")</x:f>
        <x:v>PASS</x:v>
      </x:c>
    </x:row>
    <x:row r="884">
      <x:c r="B884" t="str">
        <x:v>A-858</x:v>
      </x:c>
      <x:c r="C884" t="str">
        <x:v>GATE</x:v>
      </x:c>
      <x:c r="D884" t="str">
        <x:v>release ledger mirrors governing state</x:v>
      </x:c>
      <x:c r="E884" t="str">
        <x:f>'Release Gates'!J864</x:f>
        <x:v>OPEN</x:v>
      </x:c>
      <x:c r="F884" t="str">
        <x:f>IF('Release Gates'!C864="PLANNING","PASS",IF('Release Gates'!C864="PHYSICAL","OPEN","BLOCKED"))</x:f>
        <x:v>OPEN</x:v>
      </x:c>
      <x:c r="G884" t="str">
        <x:v>equals</x:v>
      </x:c>
      <x:c r="H884" t="str">
        <x:f>IF(E884=F884,"PASS","FAIL")</x:f>
        <x:v>PASS</x:v>
      </x:c>
    </x:row>
    <x:row r="885">
      <x:c r="B885" t="str">
        <x:v>A-859</x:v>
      </x:c>
      <x:c r="C885" t="str">
        <x:v>GATE</x:v>
      </x:c>
      <x:c r="D885" t="str">
        <x:v>release ledger mirrors governing state</x:v>
      </x:c>
      <x:c r="E885" t="str">
        <x:f>'Release Gates'!J865</x:f>
        <x:v>OPEN</x:v>
      </x:c>
      <x:c r="F885" t="str">
        <x:f>IF('Release Gates'!C865="PLANNING","PASS",IF('Release Gates'!C865="PHYSICAL","OPEN","BLOCKED"))</x:f>
        <x:v>OPEN</x:v>
      </x:c>
      <x:c r="G885" t="str">
        <x:v>equals</x:v>
      </x:c>
      <x:c r="H885" t="str">
        <x:f>IF(E885=F885,"PASS","FAIL")</x:f>
        <x:v>PASS</x:v>
      </x:c>
    </x:row>
    <x:row r="886">
      <x:c r="B886" t="str">
        <x:v>A-860</x:v>
      </x:c>
      <x:c r="C886" t="str">
        <x:v>GATE</x:v>
      </x:c>
      <x:c r="D886" t="str">
        <x:v>release ledger mirrors governing state</x:v>
      </x:c>
      <x:c r="E886" t="str">
        <x:f>'Release Gates'!J866</x:f>
        <x:v>OPEN</x:v>
      </x:c>
      <x:c r="F886" t="str">
        <x:f>IF('Release Gates'!C866="PLANNING","PASS",IF('Release Gates'!C866="PHYSICAL","OPEN","BLOCKED"))</x:f>
        <x:v>OPEN</x:v>
      </x:c>
      <x:c r="G886" t="str">
        <x:v>equals</x:v>
      </x:c>
      <x:c r="H886" t="str">
        <x:f>IF(E886=F886,"PASS","FAIL")</x:f>
        <x:v>PASS</x:v>
      </x:c>
    </x:row>
    <x:row r="887">
      <x:c r="B887" t="str">
        <x:v>A-861</x:v>
      </x:c>
      <x:c r="C887" t="str">
        <x:v>GATE</x:v>
      </x:c>
      <x:c r="D887" t="str">
        <x:v>release ledger mirrors governing state</x:v>
      </x:c>
      <x:c r="E887" t="str">
        <x:f>'Release Gates'!J867</x:f>
        <x:v>OPEN</x:v>
      </x:c>
      <x:c r="F887" t="str">
        <x:f>IF('Release Gates'!C867="PLANNING","PASS",IF('Release Gates'!C867="PHYSICAL","OPEN","BLOCKED"))</x:f>
        <x:v>OPEN</x:v>
      </x:c>
      <x:c r="G887" t="str">
        <x:v>equals</x:v>
      </x:c>
      <x:c r="H887" t="str">
        <x:f>IF(E887=F887,"PASS","FAIL")</x:f>
        <x:v>PASS</x:v>
      </x:c>
    </x:row>
    <x:row r="888">
      <x:c r="B888" t="str">
        <x:v>A-862</x:v>
      </x:c>
      <x:c r="C888" t="str">
        <x:v>GATE</x:v>
      </x:c>
      <x:c r="D888" t="str">
        <x:v>release ledger mirrors governing state</x:v>
      </x:c>
      <x:c r="E888" t="str">
        <x:f>'Release Gates'!J868</x:f>
        <x:v>OPEN</x:v>
      </x:c>
      <x:c r="F888" t="str">
        <x:f>IF('Release Gates'!C868="PLANNING","PASS",IF('Release Gates'!C868="PHYSICAL","OPEN","BLOCKED"))</x:f>
        <x:v>OPEN</x:v>
      </x:c>
      <x:c r="G888" t="str">
        <x:v>equals</x:v>
      </x:c>
      <x:c r="H888" t="str">
        <x:f>IF(E888=F888,"PASS","FAIL")</x:f>
        <x:v>PASS</x:v>
      </x:c>
    </x:row>
    <x:row r="889">
      <x:c r="B889" t="str">
        <x:v>A-863</x:v>
      </x:c>
      <x:c r="C889" t="str">
        <x:v>GATE</x:v>
      </x:c>
      <x:c r="D889" t="str">
        <x:v>release ledger mirrors governing state</x:v>
      </x:c>
      <x:c r="E889" t="str">
        <x:f>'Release Gates'!J869</x:f>
        <x:v>OPEN</x:v>
      </x:c>
      <x:c r="F889" t="str">
        <x:f>IF('Release Gates'!C869="PLANNING","PASS",IF('Release Gates'!C869="PHYSICAL","OPEN","BLOCKED"))</x:f>
        <x:v>OPEN</x:v>
      </x:c>
      <x:c r="G889" t="str">
        <x:v>equals</x:v>
      </x:c>
      <x:c r="H889" t="str">
        <x:f>IF(E889=F889,"PASS","FAIL")</x:f>
        <x:v>PASS</x:v>
      </x:c>
    </x:row>
    <x:row r="890">
      <x:c r="B890" t="str">
        <x:v>A-864</x:v>
      </x:c>
      <x:c r="C890" t="str">
        <x:v>GATE</x:v>
      </x:c>
      <x:c r="D890" t="str">
        <x:v>release ledger mirrors governing state</x:v>
      </x:c>
      <x:c r="E890" t="str">
        <x:f>'Release Gates'!J870</x:f>
        <x:v>OPEN</x:v>
      </x:c>
      <x:c r="F890" t="str">
        <x:f>IF('Release Gates'!C870="PLANNING","PASS",IF('Release Gates'!C870="PHYSICAL","OPEN","BLOCKED"))</x:f>
        <x:v>OPEN</x:v>
      </x:c>
      <x:c r="G890" t="str">
        <x:v>equals</x:v>
      </x:c>
      <x:c r="H890" t="str">
        <x:f>IF(E890=F890,"PASS","FAIL")</x:f>
        <x:v>PASS</x:v>
      </x:c>
    </x:row>
    <x:row r="891">
      <x:c r="B891" t="str">
        <x:v>A-865</x:v>
      </x:c>
      <x:c r="C891" t="str">
        <x:v>GATE</x:v>
      </x:c>
      <x:c r="D891" t="str">
        <x:v>release ledger mirrors governing state</x:v>
      </x:c>
      <x:c r="E891" t="str">
        <x:f>'Release Gates'!J871</x:f>
        <x:v>OPEN</x:v>
      </x:c>
      <x:c r="F891" t="str">
        <x:f>IF('Release Gates'!C871="PLANNING","PASS",IF('Release Gates'!C871="PHYSICAL","OPEN","BLOCKED"))</x:f>
        <x:v>OPEN</x:v>
      </x:c>
      <x:c r="G891" t="str">
        <x:v>equals</x:v>
      </x:c>
      <x:c r="H891" t="str">
        <x:f>IF(E891=F891,"PASS","FAIL")</x:f>
        <x:v>PASS</x:v>
      </x:c>
    </x:row>
    <x:row r="892">
      <x:c r="B892" t="str">
        <x:v>A-866</x:v>
      </x:c>
      <x:c r="C892" t="str">
        <x:v>GATE</x:v>
      </x:c>
      <x:c r="D892" t="str">
        <x:v>release ledger mirrors governing state</x:v>
      </x:c>
      <x:c r="E892" t="str">
        <x:f>'Release Gates'!J872</x:f>
        <x:v>OPEN</x:v>
      </x:c>
      <x:c r="F892" t="str">
        <x:f>IF('Release Gates'!C872="PLANNING","PASS",IF('Release Gates'!C872="PHYSICAL","OPEN","BLOCKED"))</x:f>
        <x:v>OPEN</x:v>
      </x:c>
      <x:c r="G892" t="str">
        <x:v>equals</x:v>
      </x:c>
      <x:c r="H892" t="str">
        <x:f>IF(E892=F892,"PASS","FAIL")</x:f>
        <x:v>PASS</x:v>
      </x:c>
    </x:row>
    <x:row r="893">
      <x:c r="B893" t="str">
        <x:v>A-867</x:v>
      </x:c>
      <x:c r="C893" t="str">
        <x:v>GATE</x:v>
      </x:c>
      <x:c r="D893" t="str">
        <x:v>release ledger mirrors governing state</x:v>
      </x:c>
      <x:c r="E893" t="str">
        <x:f>'Release Gates'!J873</x:f>
        <x:v>OPEN</x:v>
      </x:c>
      <x:c r="F893" t="str">
        <x:f>IF('Release Gates'!C873="PLANNING","PASS",IF('Release Gates'!C873="PHYSICAL","OPEN","BLOCKED"))</x:f>
        <x:v>OPEN</x:v>
      </x:c>
      <x:c r="G893" t="str">
        <x:v>equals</x:v>
      </x:c>
      <x:c r="H893" t="str">
        <x:f>IF(E893=F893,"PASS","FAIL")</x:f>
        <x:v>PASS</x:v>
      </x:c>
    </x:row>
    <x:row r="894">
      <x:c r="B894" t="str">
        <x:v>A-868</x:v>
      </x:c>
      <x:c r="C894" t="str">
        <x:v>GATE</x:v>
      </x:c>
      <x:c r="D894" t="str">
        <x:v>release ledger mirrors governing state</x:v>
      </x:c>
      <x:c r="E894" t="str">
        <x:f>'Release Gates'!J874</x:f>
        <x:v>OPEN</x:v>
      </x:c>
      <x:c r="F894" t="str">
        <x:f>IF('Release Gates'!C874="PLANNING","PASS",IF('Release Gates'!C874="PHYSICAL","OPEN","BLOCKED"))</x:f>
        <x:v>OPEN</x:v>
      </x:c>
      <x:c r="G894" t="str">
        <x:v>equals</x:v>
      </x:c>
      <x:c r="H894" t="str">
        <x:f>IF(E894=F894,"PASS","FAIL")</x:f>
        <x:v>PASS</x:v>
      </x:c>
    </x:row>
    <x:row r="895">
      <x:c r="B895" t="str">
        <x:v>A-869</x:v>
      </x:c>
      <x:c r="C895" t="str">
        <x:v>GATE</x:v>
      </x:c>
      <x:c r="D895" t="str">
        <x:v>release ledger mirrors governing state</x:v>
      </x:c>
      <x:c r="E895" t="str">
        <x:f>'Release Gates'!J875</x:f>
        <x:v>OPEN</x:v>
      </x:c>
      <x:c r="F895" t="str">
        <x:f>IF('Release Gates'!C875="PLANNING","PASS",IF('Release Gates'!C875="PHYSICAL","OPEN","BLOCKED"))</x:f>
        <x:v>OPEN</x:v>
      </x:c>
      <x:c r="G895" t="str">
        <x:v>equals</x:v>
      </x:c>
      <x:c r="H895" t="str">
        <x:f>IF(E895=F895,"PASS","FAIL")</x:f>
        <x:v>PASS</x:v>
      </x:c>
    </x:row>
    <x:row r="896">
      <x:c r="B896" t="str">
        <x:v>A-870</x:v>
      </x:c>
      <x:c r="C896" t="str">
        <x:v>GATE</x:v>
      </x:c>
      <x:c r="D896" t="str">
        <x:v>release ledger mirrors governing state</x:v>
      </x:c>
      <x:c r="E896" t="str">
        <x:f>'Release Gates'!J876</x:f>
        <x:v>OPEN</x:v>
      </x:c>
      <x:c r="F896" t="str">
        <x:f>IF('Release Gates'!C876="PLANNING","PASS",IF('Release Gates'!C876="PHYSICAL","OPEN","BLOCKED"))</x:f>
        <x:v>OPEN</x:v>
      </x:c>
      <x:c r="G896" t="str">
        <x:v>equals</x:v>
      </x:c>
      <x:c r="H896" t="str">
        <x:f>IF(E896=F896,"PASS","FAIL")</x:f>
        <x:v>PASS</x:v>
      </x:c>
    </x:row>
    <x:row r="897">
      <x:c r="B897" t="str">
        <x:v>A-871</x:v>
      </x:c>
      <x:c r="C897" t="str">
        <x:v>GATE</x:v>
      </x:c>
      <x:c r="D897" t="str">
        <x:v>release ledger mirrors governing state</x:v>
      </x:c>
      <x:c r="E897" t="str">
        <x:f>'Release Gates'!J877</x:f>
        <x:v>OPEN</x:v>
      </x:c>
      <x:c r="F897" t="str">
        <x:f>IF('Release Gates'!C877="PLANNING","PASS",IF('Release Gates'!C877="PHYSICAL","OPEN","BLOCKED"))</x:f>
        <x:v>OPEN</x:v>
      </x:c>
      <x:c r="G897" t="str">
        <x:v>equals</x:v>
      </x:c>
      <x:c r="H897" t="str">
        <x:f>IF(E897=F897,"PASS","FAIL")</x:f>
        <x:v>PASS</x:v>
      </x:c>
    </x:row>
    <x:row r="898">
      <x:c r="B898" t="str">
        <x:v>A-872</x:v>
      </x:c>
      <x:c r="C898" t="str">
        <x:v>GATE</x:v>
      </x:c>
      <x:c r="D898" t="str">
        <x:v>release ledger mirrors governing state</x:v>
      </x:c>
      <x:c r="E898" t="str">
        <x:f>'Release Gates'!J878</x:f>
        <x:v>OPEN</x:v>
      </x:c>
      <x:c r="F898" t="str">
        <x:f>IF('Release Gates'!C878="PLANNING","PASS",IF('Release Gates'!C878="PHYSICAL","OPEN","BLOCKED"))</x:f>
        <x:v>OPEN</x:v>
      </x:c>
      <x:c r="G898" t="str">
        <x:v>equals</x:v>
      </x:c>
      <x:c r="H898" t="str">
        <x:f>IF(E898=F898,"PASS","FAIL")</x:f>
        <x:v>PASS</x:v>
      </x:c>
    </x:row>
    <x:row r="899">
      <x:c r="B899" t="str">
        <x:v>A-873</x:v>
      </x:c>
      <x:c r="C899" t="str">
        <x:v>GATE</x:v>
      </x:c>
      <x:c r="D899" t="str">
        <x:v>release ledger mirrors governing state</x:v>
      </x:c>
      <x:c r="E899" t="str">
        <x:f>'Release Gates'!J879</x:f>
        <x:v>OPEN</x:v>
      </x:c>
      <x:c r="F899" t="str">
        <x:f>IF('Release Gates'!C879="PLANNING","PASS",IF('Release Gates'!C879="PHYSICAL","OPEN","BLOCKED"))</x:f>
        <x:v>OPEN</x:v>
      </x:c>
      <x:c r="G899" t="str">
        <x:v>equals</x:v>
      </x:c>
      <x:c r="H899" t="str">
        <x:f>IF(E899=F899,"PASS","FAIL")</x:f>
        <x:v>PASS</x:v>
      </x:c>
    </x:row>
    <x:row r="900">
      <x:c r="B900" t="str">
        <x:v>A-874</x:v>
      </x:c>
      <x:c r="C900" t="str">
        <x:v>GATE</x:v>
      </x:c>
      <x:c r="D900" t="str">
        <x:v>release ledger mirrors governing state</x:v>
      </x:c>
      <x:c r="E900" t="str">
        <x:f>'Release Gates'!J880</x:f>
        <x:v>OPEN</x:v>
      </x:c>
      <x:c r="F900" t="str">
        <x:f>IF('Release Gates'!C880="PLANNING","PASS",IF('Release Gates'!C880="PHYSICAL","OPEN","BLOCKED"))</x:f>
        <x:v>OPEN</x:v>
      </x:c>
      <x:c r="G900" t="str">
        <x:v>equals</x:v>
      </x:c>
      <x:c r="H900" t="str">
        <x:f>IF(E900=F900,"PASS","FAIL")</x:f>
        <x:v>PASS</x:v>
      </x:c>
    </x:row>
    <x:row r="901">
      <x:c r="B901" t="str">
        <x:v>A-875</x:v>
      </x:c>
      <x:c r="C901" t="str">
        <x:v>GATE</x:v>
      </x:c>
      <x:c r="D901" t="str">
        <x:v>release ledger mirrors governing state</x:v>
      </x:c>
      <x:c r="E901" t="str">
        <x:f>'Release Gates'!J881</x:f>
        <x:v>OPEN</x:v>
      </x:c>
      <x:c r="F901" t="str">
        <x:f>IF('Release Gates'!C881="PLANNING","PASS",IF('Release Gates'!C881="PHYSICAL","OPEN","BLOCKED"))</x:f>
        <x:v>OPEN</x:v>
      </x:c>
      <x:c r="G901" t="str">
        <x:v>equals</x:v>
      </x:c>
      <x:c r="H901" t="str">
        <x:f>IF(E901=F901,"PASS","FAIL")</x:f>
        <x:v>PASS</x:v>
      </x:c>
    </x:row>
    <x:row r="902">
      <x:c r="B902" t="str">
        <x:v>A-876</x:v>
      </x:c>
      <x:c r="C902" t="str">
        <x:v>GATE</x:v>
      </x:c>
      <x:c r="D902" t="str">
        <x:v>release ledger mirrors governing state</x:v>
      </x:c>
      <x:c r="E902" t="str">
        <x:f>'Release Gates'!J882</x:f>
        <x:v>OPEN</x:v>
      </x:c>
      <x:c r="F902" t="str">
        <x:f>IF('Release Gates'!C882="PLANNING","PASS",IF('Release Gates'!C882="PHYSICAL","OPEN","BLOCKED"))</x:f>
        <x:v>OPEN</x:v>
      </x:c>
      <x:c r="G902" t="str">
        <x:v>equals</x:v>
      </x:c>
      <x:c r="H902" t="str">
        <x:f>IF(E902=F902,"PASS","FAIL")</x:f>
        <x:v>PASS</x:v>
      </x:c>
    </x:row>
    <x:row r="903">
      <x:c r="B903" t="str">
        <x:v>A-877</x:v>
      </x:c>
      <x:c r="C903" t="str">
        <x:v>GATE</x:v>
      </x:c>
      <x:c r="D903" t="str">
        <x:v>release ledger mirrors governing state</x:v>
      </x:c>
      <x:c r="E903" t="str">
        <x:f>'Release Gates'!J883</x:f>
        <x:v>OPEN</x:v>
      </x:c>
      <x:c r="F903" t="str">
        <x:f>IF('Release Gates'!C883="PLANNING","PASS",IF('Release Gates'!C883="PHYSICAL","OPEN","BLOCKED"))</x:f>
        <x:v>OPEN</x:v>
      </x:c>
      <x:c r="G903" t="str">
        <x:v>equals</x:v>
      </x:c>
      <x:c r="H903" t="str">
        <x:f>IF(E903=F903,"PASS","FAIL")</x:f>
        <x:v>PASS</x:v>
      </x:c>
    </x:row>
    <x:row r="904">
      <x:c r="B904" t="str">
        <x:v>A-878</x:v>
      </x:c>
      <x:c r="C904" t="str">
        <x:v>GATE</x:v>
      </x:c>
      <x:c r="D904" t="str">
        <x:v>release ledger mirrors governing state</x:v>
      </x:c>
      <x:c r="E904" t="str">
        <x:f>'Release Gates'!J884</x:f>
        <x:v>OPEN</x:v>
      </x:c>
      <x:c r="F904" t="str">
        <x:f>IF('Release Gates'!C884="PLANNING","PASS",IF('Release Gates'!C884="PHYSICAL","OPEN","BLOCKED"))</x:f>
        <x:v>OPEN</x:v>
      </x:c>
      <x:c r="G904" t="str">
        <x:v>equals</x:v>
      </x:c>
      <x:c r="H904" t="str">
        <x:f>IF(E904=F904,"PASS","FAIL")</x:f>
        <x:v>PASS</x:v>
      </x:c>
    </x:row>
    <x:row r="905">
      <x:c r="B905" t="str">
        <x:v>A-879</x:v>
      </x:c>
      <x:c r="C905" t="str">
        <x:v>GATE</x:v>
      </x:c>
      <x:c r="D905" t="str">
        <x:v>release ledger mirrors governing state</x:v>
      </x:c>
      <x:c r="E905" t="str">
        <x:f>'Release Gates'!J885</x:f>
        <x:v>OPEN</x:v>
      </x:c>
      <x:c r="F905" t="str">
        <x:f>IF('Release Gates'!C885="PLANNING","PASS",IF('Release Gates'!C885="PHYSICAL","OPEN","BLOCKED"))</x:f>
        <x:v>OPEN</x:v>
      </x:c>
      <x:c r="G905" t="str">
        <x:v>equals</x:v>
      </x:c>
      <x:c r="H905" t="str">
        <x:f>IF(E905=F905,"PASS","FAIL")</x:f>
        <x:v>PASS</x:v>
      </x:c>
    </x:row>
    <x:row r="906">
      <x:c r="B906" t="str">
        <x:v>A-880</x:v>
      </x:c>
      <x:c r="C906" t="str">
        <x:v>GATE</x:v>
      </x:c>
      <x:c r="D906" t="str">
        <x:v>release ledger mirrors governing state</x:v>
      </x:c>
      <x:c r="E906" t="str">
        <x:f>'Release Gates'!J886</x:f>
        <x:v>OPEN</x:v>
      </x:c>
      <x:c r="F906" t="str">
        <x:f>IF('Release Gates'!C886="PLANNING","PASS",IF('Release Gates'!C886="PHYSICAL","OPEN","BLOCKED"))</x:f>
        <x:v>OPEN</x:v>
      </x:c>
      <x:c r="G906" t="str">
        <x:v>equals</x:v>
      </x:c>
      <x:c r="H906" t="str">
        <x:f>IF(E906=F906,"PASS","FAIL")</x:f>
        <x:v>PASS</x:v>
      </x:c>
    </x:row>
    <x:row r="907">
      <x:c r="B907" t="str">
        <x:v>A-881</x:v>
      </x:c>
      <x:c r="C907" t="str">
        <x:v>GATE</x:v>
      </x:c>
      <x:c r="D907" t="str">
        <x:v>release ledger mirrors governing state</x:v>
      </x:c>
      <x:c r="E907" t="str">
        <x:f>'Release Gates'!J887</x:f>
        <x:v>OPEN</x:v>
      </x:c>
      <x:c r="F907" t="str">
        <x:f>IF('Release Gates'!C887="PLANNING","PASS",IF('Release Gates'!C887="PHYSICAL","OPEN","BLOCKED"))</x:f>
        <x:v>OPEN</x:v>
      </x:c>
      <x:c r="G907" t="str">
        <x:v>equals</x:v>
      </x:c>
      <x:c r="H907" t="str">
        <x:f>IF(E907=F907,"PASS","FAIL")</x:f>
        <x:v>PASS</x:v>
      </x:c>
    </x:row>
    <x:row r="908">
      <x:c r="B908" t="str">
        <x:v>A-882</x:v>
      </x:c>
      <x:c r="C908" t="str">
        <x:v>GATE</x:v>
      </x:c>
      <x:c r="D908" t="str">
        <x:v>release ledger mirrors governing state</x:v>
      </x:c>
      <x:c r="E908" t="str">
        <x:f>'Release Gates'!J888</x:f>
        <x:v>OPEN</x:v>
      </x:c>
      <x:c r="F908" t="str">
        <x:f>IF('Release Gates'!C888="PLANNING","PASS",IF('Release Gates'!C888="PHYSICAL","OPEN","BLOCKED"))</x:f>
        <x:v>OPEN</x:v>
      </x:c>
      <x:c r="G908" t="str">
        <x:v>equals</x:v>
      </x:c>
      <x:c r="H908" t="str">
        <x:f>IF(E908=F908,"PASS","FAIL")</x:f>
        <x:v>PASS</x:v>
      </x:c>
    </x:row>
    <x:row r="909">
      <x:c r="B909" t="str">
        <x:v>A-883</x:v>
      </x:c>
      <x:c r="C909" t="str">
        <x:v>GATE</x:v>
      </x:c>
      <x:c r="D909" t="str">
        <x:v>release ledger mirrors governing state</x:v>
      </x:c>
      <x:c r="E909" t="str">
        <x:f>'Release Gates'!J889</x:f>
        <x:v>OPEN</x:v>
      </x:c>
      <x:c r="F909" t="str">
        <x:f>IF('Release Gates'!C889="PLANNING","PASS",IF('Release Gates'!C889="PHYSICAL","OPEN","BLOCKED"))</x:f>
        <x:v>OPEN</x:v>
      </x:c>
      <x:c r="G909" t="str">
        <x:v>equals</x:v>
      </x:c>
      <x:c r="H909" t="str">
        <x:f>IF(E909=F909,"PASS","FAIL")</x:f>
        <x:v>PASS</x:v>
      </x:c>
    </x:row>
    <x:row r="910">
      <x:c r="B910" t="str">
        <x:v>A-884</x:v>
      </x:c>
      <x:c r="C910" t="str">
        <x:v>GATE</x:v>
      </x:c>
      <x:c r="D910" t="str">
        <x:v>release ledger mirrors governing state</x:v>
      </x:c>
      <x:c r="E910" t="str">
        <x:f>'Release Gates'!J890</x:f>
        <x:v>OPEN</x:v>
      </x:c>
      <x:c r="F910" t="str">
        <x:f>IF('Release Gates'!C890="PLANNING","PASS",IF('Release Gates'!C890="PHYSICAL","OPEN","BLOCKED"))</x:f>
        <x:v>OPEN</x:v>
      </x:c>
      <x:c r="G910" t="str">
        <x:v>equals</x:v>
      </x:c>
      <x:c r="H910" t="str">
        <x:f>IF(E910=F910,"PASS","FAIL")</x:f>
        <x:v>PASS</x:v>
      </x:c>
    </x:row>
    <x:row r="911">
      <x:c r="B911" t="str">
        <x:v>A-885</x:v>
      </x:c>
      <x:c r="C911" t="str">
        <x:v>GATE</x:v>
      </x:c>
      <x:c r="D911" t="str">
        <x:v>release ledger mirrors governing state</x:v>
      </x:c>
      <x:c r="E911" t="str">
        <x:f>'Release Gates'!J891</x:f>
        <x:v>OPEN</x:v>
      </x:c>
      <x:c r="F911" t="str">
        <x:f>IF('Release Gates'!C891="PLANNING","PASS",IF('Release Gates'!C891="PHYSICAL","OPEN","BLOCKED"))</x:f>
        <x:v>OPEN</x:v>
      </x:c>
      <x:c r="G911" t="str">
        <x:v>equals</x:v>
      </x:c>
      <x:c r="H911" t="str">
        <x:f>IF(E911=F911,"PASS","FAIL")</x:f>
        <x:v>PASS</x:v>
      </x:c>
    </x:row>
    <x:row r="912">
      <x:c r="B912" t="str">
        <x:v>A-886</x:v>
      </x:c>
      <x:c r="C912" t="str">
        <x:v>GATE</x:v>
      </x:c>
      <x:c r="D912" t="str">
        <x:v>release ledger mirrors governing state</x:v>
      </x:c>
      <x:c r="E912" t="str">
        <x:f>'Release Gates'!J892</x:f>
        <x:v>OPEN</x:v>
      </x:c>
      <x:c r="F912" t="str">
        <x:f>IF('Release Gates'!C892="PLANNING","PASS",IF('Release Gates'!C892="PHYSICAL","OPEN","BLOCKED"))</x:f>
        <x:v>OPEN</x:v>
      </x:c>
      <x:c r="G912" t="str">
        <x:v>equals</x:v>
      </x:c>
      <x:c r="H912" t="str">
        <x:f>IF(E912=F912,"PASS","FAIL")</x:f>
        <x:v>PASS</x:v>
      </x:c>
    </x:row>
    <x:row r="913">
      <x:c r="B913" t="str">
        <x:v>A-887</x:v>
      </x:c>
      <x:c r="C913" t="str">
        <x:v>GATE</x:v>
      </x:c>
      <x:c r="D913" t="str">
        <x:v>release ledger mirrors governing state</x:v>
      </x:c>
      <x:c r="E913" t="str">
        <x:f>'Release Gates'!J893</x:f>
        <x:v>OPEN</x:v>
      </x:c>
      <x:c r="F913" t="str">
        <x:f>IF('Release Gates'!C893="PLANNING","PASS",IF('Release Gates'!C893="PHYSICAL","OPEN","BLOCKED"))</x:f>
        <x:v>OPEN</x:v>
      </x:c>
      <x:c r="G913" t="str">
        <x:v>equals</x:v>
      </x:c>
      <x:c r="H913" t="str">
        <x:f>IF(E913=F913,"PASS","FAIL")</x:f>
        <x:v>PASS</x:v>
      </x:c>
    </x:row>
    <x:row r="914">
      <x:c r="B914" t="str">
        <x:v>A-888</x:v>
      </x:c>
      <x:c r="C914" t="str">
        <x:v>GATE</x:v>
      </x:c>
      <x:c r="D914" t="str">
        <x:v>release ledger mirrors governing state</x:v>
      </x:c>
      <x:c r="E914" t="str">
        <x:f>'Release Gates'!J894</x:f>
        <x:v>OPEN</x:v>
      </x:c>
      <x:c r="F914" t="str">
        <x:f>IF('Release Gates'!C894="PLANNING","PASS",IF('Release Gates'!C894="PHYSICAL","OPEN","BLOCKED"))</x:f>
        <x:v>OPEN</x:v>
      </x:c>
      <x:c r="G914" t="str">
        <x:v>equals</x:v>
      </x:c>
      <x:c r="H914" t="str">
        <x:f>IF(E914=F914,"PASS","FAIL")</x:f>
        <x:v>PASS</x:v>
      </x:c>
    </x:row>
    <x:row r="915">
      <x:c r="B915" t="str">
        <x:v>A-889</x:v>
      </x:c>
      <x:c r="C915" t="str">
        <x:v>GATE</x:v>
      </x:c>
      <x:c r="D915" t="str">
        <x:v>release ledger mirrors governing state</x:v>
      </x:c>
      <x:c r="E915" t="str">
        <x:f>'Release Gates'!J895</x:f>
        <x:v>OPEN</x:v>
      </x:c>
      <x:c r="F915" t="str">
        <x:f>IF('Release Gates'!C895="PLANNING","PASS",IF('Release Gates'!C895="PHYSICAL","OPEN","BLOCKED"))</x:f>
        <x:v>OPEN</x:v>
      </x:c>
      <x:c r="G915" t="str">
        <x:v>equals</x:v>
      </x:c>
      <x:c r="H915" t="str">
        <x:f>IF(E915=F915,"PASS","FAIL")</x:f>
        <x:v>PASS</x:v>
      </x:c>
    </x:row>
    <x:row r="916">
      <x:c r="B916" t="str">
        <x:v>A-890</x:v>
      </x:c>
      <x:c r="C916" t="str">
        <x:v>GATE</x:v>
      </x:c>
      <x:c r="D916" t="str">
        <x:v>release ledger mirrors governing state</x:v>
      </x:c>
      <x:c r="E916" t="str">
        <x:f>'Release Gates'!J896</x:f>
        <x:v>OPEN</x:v>
      </x:c>
      <x:c r="F916" t="str">
        <x:f>IF('Release Gates'!C896="PLANNING","PASS",IF('Release Gates'!C896="PHYSICAL","OPEN","BLOCKED"))</x:f>
        <x:v>OPEN</x:v>
      </x:c>
      <x:c r="G916" t="str">
        <x:v>equals</x:v>
      </x:c>
      <x:c r="H916" t="str">
        <x:f>IF(E916=F916,"PASS","FAIL")</x:f>
        <x:v>PASS</x:v>
      </x:c>
    </x:row>
    <x:row r="917">
      <x:c r="B917" t="str">
        <x:v>A-891</x:v>
      </x:c>
      <x:c r="C917" t="str">
        <x:v>GATE</x:v>
      </x:c>
      <x:c r="D917" t="str">
        <x:v>release ledger mirrors governing state</x:v>
      </x:c>
      <x:c r="E917" t="str">
        <x:f>'Release Gates'!J897</x:f>
        <x:v>OPEN</x:v>
      </x:c>
      <x:c r="F917" t="str">
        <x:f>IF('Release Gates'!C897="PLANNING","PASS",IF('Release Gates'!C897="PHYSICAL","OPEN","BLOCKED"))</x:f>
        <x:v>OPEN</x:v>
      </x:c>
      <x:c r="G917" t="str">
        <x:v>equals</x:v>
      </x:c>
      <x:c r="H917" t="str">
        <x:f>IF(E917=F917,"PASS","FAIL")</x:f>
        <x:v>PASS</x:v>
      </x:c>
    </x:row>
    <x:row r="918">
      <x:c r="B918" t="str">
        <x:v>A-892</x:v>
      </x:c>
      <x:c r="C918" t="str">
        <x:v>GATE</x:v>
      </x:c>
      <x:c r="D918" t="str">
        <x:v>release ledger mirrors governing state</x:v>
      </x:c>
      <x:c r="E918" t="str">
        <x:f>'Release Gates'!J898</x:f>
        <x:v>OPEN</x:v>
      </x:c>
      <x:c r="F918" t="str">
        <x:f>IF('Release Gates'!C898="PLANNING","PASS",IF('Release Gates'!C898="PHYSICAL","OPEN","BLOCKED"))</x:f>
        <x:v>OPEN</x:v>
      </x:c>
      <x:c r="G918" t="str">
        <x:v>equals</x:v>
      </x:c>
      <x:c r="H918" t="str">
        <x:f>IF(E918=F918,"PASS","FAIL")</x:f>
        <x:v>PASS</x:v>
      </x:c>
    </x:row>
    <x:row r="919">
      <x:c r="B919" t="str">
        <x:v>A-893</x:v>
      </x:c>
      <x:c r="C919" t="str">
        <x:v>GATE</x:v>
      </x:c>
      <x:c r="D919" t="str">
        <x:v>release ledger mirrors governing state</x:v>
      </x:c>
      <x:c r="E919" t="str">
        <x:f>'Release Gates'!J899</x:f>
        <x:v>OPEN</x:v>
      </x:c>
      <x:c r="F919" t="str">
        <x:f>IF('Release Gates'!C899="PLANNING","PASS",IF('Release Gates'!C899="PHYSICAL","OPEN","BLOCKED"))</x:f>
        <x:v>OPEN</x:v>
      </x:c>
      <x:c r="G919" t="str">
        <x:v>equals</x:v>
      </x:c>
      <x:c r="H919" t="str">
        <x:f>IF(E919=F919,"PASS","FAIL")</x:f>
        <x:v>PASS</x:v>
      </x:c>
    </x:row>
    <x:row r="920">
      <x:c r="B920" t="str">
        <x:v>A-894</x:v>
      </x:c>
      <x:c r="C920" t="str">
        <x:v>GATE</x:v>
      </x:c>
      <x:c r="D920" t="str">
        <x:v>release ledger mirrors governing state</x:v>
      </x:c>
      <x:c r="E920" t="str">
        <x:f>'Release Gates'!J900</x:f>
        <x:v>OPEN</x:v>
      </x:c>
      <x:c r="F920" t="str">
        <x:f>IF('Release Gates'!C900="PLANNING","PASS",IF('Release Gates'!C900="PHYSICAL","OPEN","BLOCKED"))</x:f>
        <x:v>OPEN</x:v>
      </x:c>
      <x:c r="G920" t="str">
        <x:v>equals</x:v>
      </x:c>
      <x:c r="H920" t="str">
        <x:f>IF(E920=F920,"PASS","FAIL")</x:f>
        <x:v>PASS</x:v>
      </x:c>
    </x:row>
    <x:row r="921">
      <x:c r="B921" t="str">
        <x:v>A-895</x:v>
      </x:c>
      <x:c r="C921" t="str">
        <x:v>GATE</x:v>
      </x:c>
      <x:c r="D921" t="str">
        <x:v>release ledger mirrors governing state</x:v>
      </x:c>
      <x:c r="E921" t="str">
        <x:f>'Release Gates'!J901</x:f>
        <x:v>OPEN</x:v>
      </x:c>
      <x:c r="F921" t="str">
        <x:f>IF('Release Gates'!C901="PLANNING","PASS",IF('Release Gates'!C901="PHYSICAL","OPEN","BLOCKED"))</x:f>
        <x:v>OPEN</x:v>
      </x:c>
      <x:c r="G921" t="str">
        <x:v>equals</x:v>
      </x:c>
      <x:c r="H921" t="str">
        <x:f>IF(E921=F921,"PASS","FAIL")</x:f>
        <x:v>PASS</x:v>
      </x:c>
    </x:row>
    <x:row r="922">
      <x:c r="B922" t="str">
        <x:v>A-896</x:v>
      </x:c>
      <x:c r="C922" t="str">
        <x:v>GATE</x:v>
      </x:c>
      <x:c r="D922" t="str">
        <x:v>release ledger mirrors governing state</x:v>
      </x:c>
      <x:c r="E922" t="str">
        <x:f>'Release Gates'!J902</x:f>
        <x:v>OPEN</x:v>
      </x:c>
      <x:c r="F922" t="str">
        <x:f>IF('Release Gates'!C902="PLANNING","PASS",IF('Release Gates'!C902="PHYSICAL","OPEN","BLOCKED"))</x:f>
        <x:v>OPEN</x:v>
      </x:c>
      <x:c r="G922" t="str">
        <x:v>equals</x:v>
      </x:c>
      <x:c r="H922" t="str">
        <x:f>IF(E922=F922,"PASS","FAIL")</x:f>
        <x:v>PASS</x:v>
      </x:c>
    </x:row>
    <x:row r="923">
      <x:c r="B923" t="str">
        <x:v>A-897</x:v>
      </x:c>
      <x:c r="C923" t="str">
        <x:v>GATE</x:v>
      </x:c>
      <x:c r="D923" t="str">
        <x:v>release ledger mirrors governing state</x:v>
      </x:c>
      <x:c r="E923" t="str">
        <x:f>'Release Gates'!J903</x:f>
        <x:v>OPEN</x:v>
      </x:c>
      <x:c r="F923" t="str">
        <x:f>IF('Release Gates'!C903="PLANNING","PASS",IF('Release Gates'!C903="PHYSICAL","OPEN","BLOCKED"))</x:f>
        <x:v>OPEN</x:v>
      </x:c>
      <x:c r="G923" t="str">
        <x:v>equals</x:v>
      </x:c>
      <x:c r="H923" t="str">
        <x:f>IF(E923=F923,"PASS","FAIL")</x:f>
        <x:v>PASS</x:v>
      </x:c>
    </x:row>
    <x:row r="924">
      <x:c r="B924" t="str">
        <x:v>A-898</x:v>
      </x:c>
      <x:c r="C924" t="str">
        <x:v>GATE</x:v>
      </x:c>
      <x:c r="D924" t="str">
        <x:v>release ledger mirrors governing state</x:v>
      </x:c>
      <x:c r="E924" t="str">
        <x:f>'Release Gates'!J904</x:f>
        <x:v>OPEN</x:v>
      </x:c>
      <x:c r="F924" t="str">
        <x:f>IF('Release Gates'!C904="PLANNING","PASS",IF('Release Gates'!C904="PHYSICAL","OPEN","BLOCKED"))</x:f>
        <x:v>OPEN</x:v>
      </x:c>
      <x:c r="G924" t="str">
        <x:v>equals</x:v>
      </x:c>
      <x:c r="H924" t="str">
        <x:f>IF(E924=F924,"PASS","FAIL")</x:f>
        <x:v>PASS</x:v>
      </x:c>
    </x:row>
    <x:row r="925">
      <x:c r="B925" t="str">
        <x:v>A-899</x:v>
      </x:c>
      <x:c r="C925" t="str">
        <x:v>GATE</x:v>
      </x:c>
      <x:c r="D925" t="str">
        <x:v>release ledger mirrors governing state</x:v>
      </x:c>
      <x:c r="E925" t="str">
        <x:f>'Release Gates'!J905</x:f>
        <x:v>OPEN</x:v>
      </x:c>
      <x:c r="F925" t="str">
        <x:f>IF('Release Gates'!C905="PLANNING","PASS",IF('Release Gates'!C905="PHYSICAL","OPEN","BLOCKED"))</x:f>
        <x:v>OPEN</x:v>
      </x:c>
      <x:c r="G925" t="str">
        <x:v>equals</x:v>
      </x:c>
      <x:c r="H925" t="str">
        <x:f>IF(E925=F925,"PASS","FAIL")</x:f>
        <x:v>PASS</x:v>
      </x:c>
    </x:row>
    <x:row r="926">
      <x:c r="B926" t="str">
        <x:v>A-900</x:v>
      </x:c>
      <x:c r="C926" t="str">
        <x:v>GATE</x:v>
      </x:c>
      <x:c r="D926" t="str">
        <x:v>release ledger mirrors governing state</x:v>
      </x:c>
      <x:c r="E926" t="str">
        <x:f>'Release Gates'!J906</x:f>
        <x:v>OPEN</x:v>
      </x:c>
      <x:c r="F926" t="str">
        <x:f>IF('Release Gates'!C906="PLANNING","PASS",IF('Release Gates'!C906="PHYSICAL","OPEN","BLOCKED"))</x:f>
        <x:v>OPEN</x:v>
      </x:c>
      <x:c r="G926" t="str">
        <x:v>equals</x:v>
      </x:c>
      <x:c r="H926" t="str">
        <x:f>IF(E926=F926,"PASS","FAIL")</x:f>
        <x:v>PASS</x:v>
      </x:c>
    </x:row>
    <x:row r="927">
      <x:c r="B927" t="str">
        <x:v>A-901</x:v>
      </x:c>
      <x:c r="C927" t="str">
        <x:v>GATE</x:v>
      </x:c>
      <x:c r="D927" t="str">
        <x:v>release ledger mirrors governing state</x:v>
      </x:c>
      <x:c r="E927" t="str">
        <x:f>'Release Gates'!J907</x:f>
        <x:v>OPEN</x:v>
      </x:c>
      <x:c r="F927" t="str">
        <x:f>IF('Release Gates'!C907="PLANNING","PASS",IF('Release Gates'!C907="PHYSICAL","OPEN","BLOCKED"))</x:f>
        <x:v>OPEN</x:v>
      </x:c>
      <x:c r="G927" t="str">
        <x:v>equals</x:v>
      </x:c>
      <x:c r="H927" t="str">
        <x:f>IF(E927=F927,"PASS","FAIL")</x:f>
        <x:v>PASS</x:v>
      </x:c>
    </x:row>
    <x:row r="928">
      <x:c r="B928" t="str">
        <x:v>A-902</x:v>
      </x:c>
      <x:c r="C928" t="str">
        <x:v>GATE</x:v>
      </x:c>
      <x:c r="D928" t="str">
        <x:v>release ledger mirrors governing state</x:v>
      </x:c>
      <x:c r="E928" t="str">
        <x:f>'Release Gates'!J908</x:f>
        <x:v>OPEN</x:v>
      </x:c>
      <x:c r="F928" t="str">
        <x:f>IF('Release Gates'!C908="PLANNING","PASS",IF('Release Gates'!C908="PHYSICAL","OPEN","BLOCKED"))</x:f>
        <x:v>OPEN</x:v>
      </x:c>
      <x:c r="G928" t="str">
        <x:v>equals</x:v>
      </x:c>
      <x:c r="H928" t="str">
        <x:f>IF(E928=F928,"PASS","FAIL")</x:f>
        <x:v>PASS</x:v>
      </x:c>
    </x:row>
    <x:row r="929">
      <x:c r="B929" t="str">
        <x:v>A-903</x:v>
      </x:c>
      <x:c r="C929" t="str">
        <x:v>GATE</x:v>
      </x:c>
      <x:c r="D929" t="str">
        <x:v>release ledger mirrors governing state</x:v>
      </x:c>
      <x:c r="E929" t="str">
        <x:f>'Release Gates'!J909</x:f>
        <x:v>OPEN</x:v>
      </x:c>
      <x:c r="F929" t="str">
        <x:f>IF('Release Gates'!C909="PLANNING","PASS",IF('Release Gates'!C909="PHYSICAL","OPEN","BLOCKED"))</x:f>
        <x:v>OPEN</x:v>
      </x:c>
      <x:c r="G929" t="str">
        <x:v>equals</x:v>
      </x:c>
      <x:c r="H929" t="str">
        <x:f>IF(E929=F929,"PASS","FAIL")</x:f>
        <x:v>PASS</x:v>
      </x:c>
    </x:row>
    <x:row r="930">
      <x:c r="B930" t="str">
        <x:v>A-904</x:v>
      </x:c>
      <x:c r="C930" t="str">
        <x:v>GATE</x:v>
      </x:c>
      <x:c r="D930" t="str">
        <x:v>release ledger mirrors governing state</x:v>
      </x:c>
      <x:c r="E930" t="str">
        <x:f>'Release Gates'!J910</x:f>
        <x:v>OPEN</x:v>
      </x:c>
      <x:c r="F930" t="str">
        <x:f>IF('Release Gates'!C910="PLANNING","PASS",IF('Release Gates'!C910="PHYSICAL","OPEN","BLOCKED"))</x:f>
        <x:v>OPEN</x:v>
      </x:c>
      <x:c r="G930" t="str">
        <x:v>equals</x:v>
      </x:c>
      <x:c r="H930" t="str">
        <x:f>IF(E930=F930,"PASS","FAIL")</x:f>
        <x:v>PASS</x:v>
      </x:c>
    </x:row>
    <x:row r="931">
      <x:c r="B931" t="str">
        <x:v>A-905</x:v>
      </x:c>
      <x:c r="C931" t="str">
        <x:v>GATE</x:v>
      </x:c>
      <x:c r="D931" t="str">
        <x:v>release ledger mirrors governing state</x:v>
      </x:c>
      <x:c r="E931" t="str">
        <x:f>'Release Gates'!J911</x:f>
        <x:v>OPEN</x:v>
      </x:c>
      <x:c r="F931" t="str">
        <x:f>IF('Release Gates'!C911="PLANNING","PASS",IF('Release Gates'!C911="PHYSICAL","OPEN","BLOCKED"))</x:f>
        <x:v>OPEN</x:v>
      </x:c>
      <x:c r="G931" t="str">
        <x:v>equals</x:v>
      </x:c>
      <x:c r="H931" t="str">
        <x:f>IF(E931=F931,"PASS","FAIL")</x:f>
        <x:v>PASS</x:v>
      </x:c>
    </x:row>
    <x:row r="932">
      <x:c r="B932" t="str">
        <x:v>A-906</x:v>
      </x:c>
      <x:c r="C932" t="str">
        <x:v>GATE</x:v>
      </x:c>
      <x:c r="D932" t="str">
        <x:v>release ledger mirrors governing state</x:v>
      </x:c>
      <x:c r="E932" t="str">
        <x:f>'Release Gates'!J912</x:f>
        <x:v>OPEN</x:v>
      </x:c>
      <x:c r="F932" t="str">
        <x:f>IF('Release Gates'!C912="PLANNING","PASS",IF('Release Gates'!C912="PHYSICAL","OPEN","BLOCKED"))</x:f>
        <x:v>OPEN</x:v>
      </x:c>
      <x:c r="G932" t="str">
        <x:v>equals</x:v>
      </x:c>
      <x:c r="H932" t="str">
        <x:f>IF(E932=F932,"PASS","FAIL")</x:f>
        <x:v>PASS</x:v>
      </x:c>
    </x:row>
    <x:row r="933">
      <x:c r="B933" t="str">
        <x:v>A-907</x:v>
      </x:c>
      <x:c r="C933" t="str">
        <x:v>GATE</x:v>
      </x:c>
      <x:c r="D933" t="str">
        <x:v>release ledger mirrors governing state</x:v>
      </x:c>
      <x:c r="E933" t="str">
        <x:f>'Release Gates'!J913</x:f>
        <x:v>OPEN</x:v>
      </x:c>
      <x:c r="F933" t="str">
        <x:f>IF('Release Gates'!C913="PLANNING","PASS",IF('Release Gates'!C913="PHYSICAL","OPEN","BLOCKED"))</x:f>
        <x:v>OPEN</x:v>
      </x:c>
      <x:c r="G933" t="str">
        <x:v>equals</x:v>
      </x:c>
      <x:c r="H933" t="str">
        <x:f>IF(E933=F933,"PASS","FAIL")</x:f>
        <x:v>PASS</x:v>
      </x:c>
    </x:row>
    <x:row r="934">
      <x:c r="B934" t="str">
        <x:v>A-908</x:v>
      </x:c>
      <x:c r="C934" t="str">
        <x:v>GATE</x:v>
      </x:c>
      <x:c r="D934" t="str">
        <x:v>release ledger mirrors governing state</x:v>
      </x:c>
      <x:c r="E934" t="str">
        <x:f>'Release Gates'!J914</x:f>
        <x:v>OPEN</x:v>
      </x:c>
      <x:c r="F934" t="str">
        <x:f>IF('Release Gates'!C914="PLANNING","PASS",IF('Release Gates'!C914="PHYSICAL","OPEN","BLOCKED"))</x:f>
        <x:v>OPEN</x:v>
      </x:c>
      <x:c r="G934" t="str">
        <x:v>equals</x:v>
      </x:c>
      <x:c r="H934" t="str">
        <x:f>IF(E934=F934,"PASS","FAIL")</x:f>
        <x:v>PASS</x:v>
      </x:c>
    </x:row>
    <x:row r="935">
      <x:c r="B935" t="str">
        <x:v>A-909</x:v>
      </x:c>
      <x:c r="C935" t="str">
        <x:v>GATE</x:v>
      </x:c>
      <x:c r="D935" t="str">
        <x:v>release ledger mirrors governing state</x:v>
      </x:c>
      <x:c r="E935" t="str">
        <x:f>'Release Gates'!J915</x:f>
        <x:v>OPEN</x:v>
      </x:c>
      <x:c r="F935" t="str">
        <x:f>IF('Release Gates'!C915="PLANNING","PASS",IF('Release Gates'!C915="PHYSICAL","OPEN","BLOCKED"))</x:f>
        <x:v>OPEN</x:v>
      </x:c>
      <x:c r="G935" t="str">
        <x:v>equals</x:v>
      </x:c>
      <x:c r="H935" t="str">
        <x:f>IF(E935=F935,"PASS","FAIL")</x:f>
        <x:v>PASS</x:v>
      </x:c>
    </x:row>
    <x:row r="936">
      <x:c r="B936" t="str">
        <x:v>A-910</x:v>
      </x:c>
      <x:c r="C936" t="str">
        <x:v>GATE</x:v>
      </x:c>
      <x:c r="D936" t="str">
        <x:v>release ledger mirrors governing state</x:v>
      </x:c>
      <x:c r="E936" t="str">
        <x:f>'Release Gates'!J916</x:f>
        <x:v>OPEN</x:v>
      </x:c>
      <x:c r="F936" t="str">
        <x:f>IF('Release Gates'!C916="PLANNING","PASS",IF('Release Gates'!C916="PHYSICAL","OPEN","BLOCKED"))</x:f>
        <x:v>OPEN</x:v>
      </x:c>
      <x:c r="G936" t="str">
        <x:v>equals</x:v>
      </x:c>
      <x:c r="H936" t="str">
        <x:f>IF(E936=F936,"PASS","FAIL")</x:f>
        <x:v>PASS</x:v>
      </x:c>
    </x:row>
    <x:row r="937">
      <x:c r="B937" t="str">
        <x:v>A-911</x:v>
      </x:c>
      <x:c r="C937" t="str">
        <x:v>GATE</x:v>
      </x:c>
      <x:c r="D937" t="str">
        <x:v>release ledger mirrors governing state</x:v>
      </x:c>
      <x:c r="E937" t="str">
        <x:f>'Release Gates'!J917</x:f>
        <x:v>OPEN</x:v>
      </x:c>
      <x:c r="F937" t="str">
        <x:f>IF('Release Gates'!C917="PLANNING","PASS",IF('Release Gates'!C917="PHYSICAL","OPEN","BLOCKED"))</x:f>
        <x:v>OPEN</x:v>
      </x:c>
      <x:c r="G937" t="str">
        <x:v>equals</x:v>
      </x:c>
      <x:c r="H937" t="str">
        <x:f>IF(E937=F937,"PASS","FAIL")</x:f>
        <x:v>PASS</x:v>
      </x:c>
    </x:row>
    <x:row r="938">
      <x:c r="B938" t="str">
        <x:v>A-912</x:v>
      </x:c>
      <x:c r="C938" t="str">
        <x:v>GATE</x:v>
      </x:c>
      <x:c r="D938" t="str">
        <x:v>release ledger mirrors governing state</x:v>
      </x:c>
      <x:c r="E938" t="str">
        <x:f>'Release Gates'!J918</x:f>
        <x:v>OPEN</x:v>
      </x:c>
      <x:c r="F938" t="str">
        <x:f>IF('Release Gates'!C918="PLANNING","PASS",IF('Release Gates'!C918="PHYSICAL","OPEN","BLOCKED"))</x:f>
        <x:v>OPEN</x:v>
      </x:c>
      <x:c r="G938" t="str">
        <x:v>equals</x:v>
      </x:c>
      <x:c r="H938" t="str">
        <x:f>IF(E938=F938,"PASS","FAIL")</x:f>
        <x:v>PASS</x:v>
      </x:c>
    </x:row>
    <x:row r="939">
      <x:c r="B939" t="str">
        <x:v>A-913</x:v>
      </x:c>
      <x:c r="C939" t="str">
        <x:v>GATE</x:v>
      </x:c>
      <x:c r="D939" t="str">
        <x:v>release ledger mirrors governing state</x:v>
      </x:c>
      <x:c r="E939" t="str">
        <x:f>'Release Gates'!J919</x:f>
        <x:v>OPEN</x:v>
      </x:c>
      <x:c r="F939" t="str">
        <x:f>IF('Release Gates'!C919="PLANNING","PASS",IF('Release Gates'!C919="PHYSICAL","OPEN","BLOCKED"))</x:f>
        <x:v>OPEN</x:v>
      </x:c>
      <x:c r="G939" t="str">
        <x:v>equals</x:v>
      </x:c>
      <x:c r="H939" t="str">
        <x:f>IF(E939=F939,"PASS","FAIL")</x:f>
        <x:v>PASS</x:v>
      </x:c>
    </x:row>
    <x:row r="940">
      <x:c r="B940" t="str">
        <x:v>A-914</x:v>
      </x:c>
      <x:c r="C940" t="str">
        <x:v>GATE</x:v>
      </x:c>
      <x:c r="D940" t="str">
        <x:v>release ledger mirrors governing state</x:v>
      </x:c>
      <x:c r="E940" t="str">
        <x:f>'Release Gates'!J920</x:f>
        <x:v>OPEN</x:v>
      </x:c>
      <x:c r="F940" t="str">
        <x:f>IF('Release Gates'!C920="PLANNING","PASS",IF('Release Gates'!C920="PHYSICAL","OPEN","BLOCKED"))</x:f>
        <x:v>OPEN</x:v>
      </x:c>
      <x:c r="G940" t="str">
        <x:v>equals</x:v>
      </x:c>
      <x:c r="H940" t="str">
        <x:f>IF(E940=F940,"PASS","FAIL")</x:f>
        <x:v>PASS</x:v>
      </x:c>
    </x:row>
    <x:row r="941">
      <x:c r="B941" t="str">
        <x:v>A-915</x:v>
      </x:c>
      <x:c r="C941" t="str">
        <x:v>GATE</x:v>
      </x:c>
      <x:c r="D941" t="str">
        <x:v>release ledger mirrors governing state</x:v>
      </x:c>
      <x:c r="E941" t="str">
        <x:f>'Release Gates'!J921</x:f>
        <x:v>OPEN</x:v>
      </x:c>
      <x:c r="F941" t="str">
        <x:f>IF('Release Gates'!C921="PLANNING","PASS",IF('Release Gates'!C921="PHYSICAL","OPEN","BLOCKED"))</x:f>
        <x:v>OPEN</x:v>
      </x:c>
      <x:c r="G941" t="str">
        <x:v>equals</x:v>
      </x:c>
      <x:c r="H941" t="str">
        <x:f>IF(E941=F941,"PASS","FAIL")</x:f>
        <x:v>PASS</x:v>
      </x:c>
    </x:row>
    <x:row r="942">
      <x:c r="B942" t="str">
        <x:v>A-916</x:v>
      </x:c>
      <x:c r="C942" t="str">
        <x:v>GATE</x:v>
      </x:c>
      <x:c r="D942" t="str">
        <x:v>release ledger mirrors governing state</x:v>
      </x:c>
      <x:c r="E942" t="str">
        <x:f>'Release Gates'!J922</x:f>
        <x:v>OPEN</x:v>
      </x:c>
      <x:c r="F942" t="str">
        <x:f>IF('Release Gates'!C922="PLANNING","PASS",IF('Release Gates'!C922="PHYSICAL","OPEN","BLOCKED"))</x:f>
        <x:v>OPEN</x:v>
      </x:c>
      <x:c r="G942" t="str">
        <x:v>equals</x:v>
      </x:c>
      <x:c r="H942" t="str">
        <x:f>IF(E942=F942,"PASS","FAIL")</x:f>
        <x:v>PASS</x:v>
      </x:c>
    </x:row>
    <x:row r="943">
      <x:c r="B943" t="str">
        <x:v>A-917</x:v>
      </x:c>
      <x:c r="C943" t="str">
        <x:v>GATE</x:v>
      </x:c>
      <x:c r="D943" t="str">
        <x:v>release ledger mirrors governing state</x:v>
      </x:c>
      <x:c r="E943" t="str">
        <x:f>'Release Gates'!J923</x:f>
        <x:v>OPEN</x:v>
      </x:c>
      <x:c r="F943" t="str">
        <x:f>IF('Release Gates'!C923="PLANNING","PASS",IF('Release Gates'!C923="PHYSICAL","OPEN","BLOCKED"))</x:f>
        <x:v>OPEN</x:v>
      </x:c>
      <x:c r="G943" t="str">
        <x:v>equals</x:v>
      </x:c>
      <x:c r="H943" t="str">
        <x:f>IF(E943=F943,"PASS","FAIL")</x:f>
        <x:v>PASS</x:v>
      </x:c>
    </x:row>
    <x:row r="944">
      <x:c r="B944" t="str">
        <x:v>A-918</x:v>
      </x:c>
      <x:c r="C944" t="str">
        <x:v>GATE</x:v>
      </x:c>
      <x:c r="D944" t="str">
        <x:v>release ledger mirrors governing state</x:v>
      </x:c>
      <x:c r="E944" t="str">
        <x:f>'Release Gates'!J924</x:f>
        <x:v>OPEN</x:v>
      </x:c>
      <x:c r="F944" t="str">
        <x:f>IF('Release Gates'!C924="PLANNING","PASS",IF('Release Gates'!C924="PHYSICAL","OPEN","BLOCKED"))</x:f>
        <x:v>OPEN</x:v>
      </x:c>
      <x:c r="G944" t="str">
        <x:v>equals</x:v>
      </x:c>
      <x:c r="H944" t="str">
        <x:f>IF(E944=F944,"PASS","FAIL")</x:f>
        <x:v>PASS</x:v>
      </x:c>
    </x:row>
    <x:row r="945">
      <x:c r="B945" t="str">
        <x:v>A-919</x:v>
      </x:c>
      <x:c r="C945" t="str">
        <x:v>GATE</x:v>
      </x:c>
      <x:c r="D945" t="str">
        <x:v>release ledger mirrors governing state</x:v>
      </x:c>
      <x:c r="E945" t="str">
        <x:f>'Release Gates'!J925</x:f>
        <x:v>OPEN</x:v>
      </x:c>
      <x:c r="F945" t="str">
        <x:f>IF('Release Gates'!C925="PLANNING","PASS",IF('Release Gates'!C925="PHYSICAL","OPEN","BLOCKED"))</x:f>
        <x:v>OPEN</x:v>
      </x:c>
      <x:c r="G945" t="str">
        <x:v>equals</x:v>
      </x:c>
      <x:c r="H945" t="str">
        <x:f>IF(E945=F945,"PASS","FAIL")</x:f>
        <x:v>PASS</x:v>
      </x:c>
    </x:row>
    <x:row r="946">
      <x:c r="B946" t="str">
        <x:v>A-920</x:v>
      </x:c>
      <x:c r="C946" t="str">
        <x:v>GATE</x:v>
      </x:c>
      <x:c r="D946" t="str">
        <x:v>release ledger mirrors governing state</x:v>
      </x:c>
      <x:c r="E946" t="str">
        <x:f>'Release Gates'!J926</x:f>
        <x:v>OPEN</x:v>
      </x:c>
      <x:c r="F946" t="str">
        <x:f>IF('Release Gates'!C926="PLANNING","PASS",IF('Release Gates'!C926="PHYSICAL","OPEN","BLOCKED"))</x:f>
        <x:v>OPEN</x:v>
      </x:c>
      <x:c r="G946" t="str">
        <x:v>equals</x:v>
      </x:c>
      <x:c r="H946" t="str">
        <x:f>IF(E946=F946,"PASS","FAIL")</x:f>
        <x:v>PASS</x:v>
      </x:c>
    </x:row>
    <x:row r="947">
      <x:c r="B947" t="str">
        <x:v>A-921</x:v>
      </x:c>
      <x:c r="C947" t="str">
        <x:v>GATE</x:v>
      </x:c>
      <x:c r="D947" t="str">
        <x:v>release ledger mirrors governing state</x:v>
      </x:c>
      <x:c r="E947" t="str">
        <x:f>'Release Gates'!J927</x:f>
        <x:v>OPEN</x:v>
      </x:c>
      <x:c r="F947" t="str">
        <x:f>IF('Release Gates'!C927="PLANNING","PASS",IF('Release Gates'!C927="PHYSICAL","OPEN","BLOCKED"))</x:f>
        <x:v>OPEN</x:v>
      </x:c>
      <x:c r="G947" t="str">
        <x:v>equals</x:v>
      </x:c>
      <x:c r="H947" t="str">
        <x:f>IF(E947=F947,"PASS","FAIL")</x:f>
        <x:v>PASS</x:v>
      </x:c>
    </x:row>
    <x:row r="948">
      <x:c r="B948" t="str">
        <x:v>A-922</x:v>
      </x:c>
      <x:c r="C948" t="str">
        <x:v>GATE</x:v>
      </x:c>
      <x:c r="D948" t="str">
        <x:v>release ledger mirrors governing state</x:v>
      </x:c>
      <x:c r="E948" t="str">
        <x:f>'Release Gates'!J928</x:f>
        <x:v>OPEN</x:v>
      </x:c>
      <x:c r="F948" t="str">
        <x:f>IF('Release Gates'!C928="PLANNING","PASS",IF('Release Gates'!C928="PHYSICAL","OPEN","BLOCKED"))</x:f>
        <x:v>OPEN</x:v>
      </x:c>
      <x:c r="G948" t="str">
        <x:v>equals</x:v>
      </x:c>
      <x:c r="H948" t="str">
        <x:f>IF(E948=F948,"PASS","FAIL")</x:f>
        <x:v>PASS</x:v>
      </x:c>
    </x:row>
    <x:row r="949">
      <x:c r="B949" t="str">
        <x:v>A-923</x:v>
      </x:c>
      <x:c r="C949" t="str">
        <x:v>GATE</x:v>
      </x:c>
      <x:c r="D949" t="str">
        <x:v>release ledger mirrors governing state</x:v>
      </x:c>
      <x:c r="E949" t="str">
        <x:f>'Release Gates'!J929</x:f>
        <x:v>OPEN</x:v>
      </x:c>
      <x:c r="F949" t="str">
        <x:f>IF('Release Gates'!C929="PLANNING","PASS",IF('Release Gates'!C929="PHYSICAL","OPEN","BLOCKED"))</x:f>
        <x:v>OPEN</x:v>
      </x:c>
      <x:c r="G949" t="str">
        <x:v>equals</x:v>
      </x:c>
      <x:c r="H949" t="str">
        <x:f>IF(E949=F949,"PASS","FAIL")</x:f>
        <x:v>PASS</x:v>
      </x:c>
    </x:row>
    <x:row r="950">
      <x:c r="B950" t="str">
        <x:v>A-924</x:v>
      </x:c>
      <x:c r="C950" t="str">
        <x:v>GATE</x:v>
      </x:c>
      <x:c r="D950" t="str">
        <x:v>release ledger mirrors governing state</x:v>
      </x:c>
      <x:c r="E950" t="str">
        <x:f>'Release Gates'!J930</x:f>
        <x:v>OPEN</x:v>
      </x:c>
      <x:c r="F950" t="str">
        <x:f>IF('Release Gates'!C930="PLANNING","PASS",IF('Release Gates'!C930="PHYSICAL","OPEN","BLOCKED"))</x:f>
        <x:v>OPEN</x:v>
      </x:c>
      <x:c r="G950" t="str">
        <x:v>equals</x:v>
      </x:c>
      <x:c r="H950" t="str">
        <x:f>IF(E950=F950,"PASS","FAIL")</x:f>
        <x:v>PASS</x:v>
      </x:c>
    </x:row>
    <x:row r="951">
      <x:c r="B951" t="str">
        <x:v>A-925</x:v>
      </x:c>
      <x:c r="C951" t="str">
        <x:v>GATE</x:v>
      </x:c>
      <x:c r="D951" t="str">
        <x:v>release ledger mirrors governing state</x:v>
      </x:c>
      <x:c r="E951" t="str">
        <x:f>'Release Gates'!J931</x:f>
        <x:v>OPEN</x:v>
      </x:c>
      <x:c r="F951" t="str">
        <x:f>IF('Release Gates'!C931="PLANNING","PASS",IF('Release Gates'!C931="PHYSICAL","OPEN","BLOCKED"))</x:f>
        <x:v>OPEN</x:v>
      </x:c>
      <x:c r="G951" t="str">
        <x:v>equals</x:v>
      </x:c>
      <x:c r="H951" t="str">
        <x:f>IF(E951=F951,"PASS","FAIL")</x:f>
        <x:v>PASS</x:v>
      </x:c>
    </x:row>
    <x:row r="952">
      <x:c r="B952" t="str">
        <x:v>A-926</x:v>
      </x:c>
      <x:c r="C952" t="str">
        <x:v>GATE</x:v>
      </x:c>
      <x:c r="D952" t="str">
        <x:v>release ledger mirrors governing state</x:v>
      </x:c>
      <x:c r="E952" t="str">
        <x:f>'Release Gates'!J932</x:f>
        <x:v>OPEN</x:v>
      </x:c>
      <x:c r="F952" t="str">
        <x:f>IF('Release Gates'!C932="PLANNING","PASS",IF('Release Gates'!C932="PHYSICAL","OPEN","BLOCKED"))</x:f>
        <x:v>OPEN</x:v>
      </x:c>
      <x:c r="G952" t="str">
        <x:v>equals</x:v>
      </x:c>
      <x:c r="H952" t="str">
        <x:f>IF(E952=F952,"PASS","FAIL")</x:f>
        <x:v>PASS</x:v>
      </x:c>
    </x:row>
    <x:row r="953">
      <x:c r="B953" t="str">
        <x:v>A-927</x:v>
      </x:c>
      <x:c r="C953" t="str">
        <x:v>GATE</x:v>
      </x:c>
      <x:c r="D953" t="str">
        <x:v>release ledger mirrors governing state</x:v>
      </x:c>
      <x:c r="E953" t="str">
        <x:f>'Release Gates'!J933</x:f>
        <x:v>OPEN</x:v>
      </x:c>
      <x:c r="F953" t="str">
        <x:f>IF('Release Gates'!C933="PLANNING","PASS",IF('Release Gates'!C933="PHYSICAL","OPEN","BLOCKED"))</x:f>
        <x:v>OPEN</x:v>
      </x:c>
      <x:c r="G953" t="str">
        <x:v>equals</x:v>
      </x:c>
      <x:c r="H953" t="str">
        <x:f>IF(E953=F953,"PASS","FAIL")</x:f>
        <x:v>PASS</x:v>
      </x:c>
    </x:row>
    <x:row r="954">
      <x:c r="B954" t="str">
        <x:v>A-928</x:v>
      </x:c>
      <x:c r="C954" t="str">
        <x:v>GATE</x:v>
      </x:c>
      <x:c r="D954" t="str">
        <x:v>release ledger mirrors governing state</x:v>
      </x:c>
      <x:c r="E954" t="str">
        <x:f>'Release Gates'!J934</x:f>
        <x:v>OPEN</x:v>
      </x:c>
      <x:c r="F954" t="str">
        <x:f>IF('Release Gates'!C934="PLANNING","PASS",IF('Release Gates'!C934="PHYSICAL","OPEN","BLOCKED"))</x:f>
        <x:v>OPEN</x:v>
      </x:c>
      <x:c r="G954" t="str">
        <x:v>equals</x:v>
      </x:c>
      <x:c r="H954" t="str">
        <x:f>IF(E954=F954,"PASS","FAIL")</x:f>
        <x:v>PASS</x:v>
      </x:c>
    </x:row>
    <x:row r="955">
      <x:c r="B955" t="str">
        <x:v>A-929</x:v>
      </x:c>
      <x:c r="C955" t="str">
        <x:v>GATE</x:v>
      </x:c>
      <x:c r="D955" t="str">
        <x:v>release ledger mirrors governing state</x:v>
      </x:c>
      <x:c r="E955" t="str">
        <x:f>'Release Gates'!J935</x:f>
        <x:v>OPEN</x:v>
      </x:c>
      <x:c r="F955" t="str">
        <x:f>IF('Release Gates'!C935="PLANNING","PASS",IF('Release Gates'!C935="PHYSICAL","OPEN","BLOCKED"))</x:f>
        <x:v>OPEN</x:v>
      </x:c>
      <x:c r="G955" t="str">
        <x:v>equals</x:v>
      </x:c>
      <x:c r="H955" t="str">
        <x:f>IF(E955=F955,"PASS","FAIL")</x:f>
        <x:v>PASS</x:v>
      </x:c>
    </x:row>
    <x:row r="956">
      <x:c r="B956" t="str">
        <x:v>A-930</x:v>
      </x:c>
      <x:c r="C956" t="str">
        <x:v>GATE</x:v>
      </x:c>
      <x:c r="D956" t="str">
        <x:v>release ledger mirrors governing state</x:v>
      </x:c>
      <x:c r="E956" t="str">
        <x:f>'Release Gates'!J936</x:f>
        <x:v>OPEN</x:v>
      </x:c>
      <x:c r="F956" t="str">
        <x:f>IF('Release Gates'!C936="PLANNING","PASS",IF('Release Gates'!C936="PHYSICAL","OPEN","BLOCKED"))</x:f>
        <x:v>OPEN</x:v>
      </x:c>
      <x:c r="G956" t="str">
        <x:v>equals</x:v>
      </x:c>
      <x:c r="H956" t="str">
        <x:f>IF(E956=F956,"PASS","FAIL")</x:f>
        <x:v>PASS</x:v>
      </x:c>
    </x:row>
    <x:row r="957">
      <x:c r="B957" t="str">
        <x:v>A-931</x:v>
      </x:c>
      <x:c r="C957" t="str">
        <x:v>GATE</x:v>
      </x:c>
      <x:c r="D957" t="str">
        <x:v>release ledger mirrors governing state</x:v>
      </x:c>
      <x:c r="E957" t="str">
        <x:f>'Release Gates'!J937</x:f>
        <x:v>OPEN</x:v>
      </x:c>
      <x:c r="F957" t="str">
        <x:f>IF('Release Gates'!C937="PLANNING","PASS",IF('Release Gates'!C937="PHYSICAL","OPEN","BLOCKED"))</x:f>
        <x:v>OPEN</x:v>
      </x:c>
      <x:c r="G957" t="str">
        <x:v>equals</x:v>
      </x:c>
      <x:c r="H957" t="str">
        <x:f>IF(E957=F957,"PASS","FAIL")</x:f>
        <x:v>PASS</x:v>
      </x:c>
    </x:row>
    <x:row r="958">
      <x:c r="B958" t="str">
        <x:v>A-932</x:v>
      </x:c>
      <x:c r="C958" t="str">
        <x:v>GATE</x:v>
      </x:c>
      <x:c r="D958" t="str">
        <x:v>release ledger mirrors governing state</x:v>
      </x:c>
      <x:c r="E958" t="str">
        <x:f>'Release Gates'!J938</x:f>
        <x:v>OPEN</x:v>
      </x:c>
      <x:c r="F958" t="str">
        <x:f>IF('Release Gates'!C938="PLANNING","PASS",IF('Release Gates'!C938="PHYSICAL","OPEN","BLOCKED"))</x:f>
        <x:v>OPEN</x:v>
      </x:c>
      <x:c r="G958" t="str">
        <x:v>equals</x:v>
      </x:c>
      <x:c r="H958" t="str">
        <x:f>IF(E958=F958,"PASS","FAIL")</x:f>
        <x:v>PASS</x:v>
      </x:c>
    </x:row>
    <x:row r="959">
      <x:c r="B959" t="str">
        <x:v>A-933</x:v>
      </x:c>
      <x:c r="C959" t="str">
        <x:v>GATE</x:v>
      </x:c>
      <x:c r="D959" t="str">
        <x:v>release ledger mirrors governing state</x:v>
      </x:c>
      <x:c r="E959" t="str">
        <x:f>'Release Gates'!J939</x:f>
        <x:v>OPEN</x:v>
      </x:c>
      <x:c r="F959" t="str">
        <x:f>IF('Release Gates'!C939="PLANNING","PASS",IF('Release Gates'!C939="PHYSICAL","OPEN","BLOCKED"))</x:f>
        <x:v>OPEN</x:v>
      </x:c>
      <x:c r="G959" t="str">
        <x:v>equals</x:v>
      </x:c>
      <x:c r="H959" t="str">
        <x:f>IF(E959=F959,"PASS","FAIL")</x:f>
        <x:v>PASS</x:v>
      </x:c>
    </x:row>
    <x:row r="960">
      <x:c r="B960" t="str">
        <x:v>A-934</x:v>
      </x:c>
      <x:c r="C960" t="str">
        <x:v>GATE</x:v>
      </x:c>
      <x:c r="D960" t="str">
        <x:v>release ledger mirrors governing state</x:v>
      </x:c>
      <x:c r="E960" t="str">
        <x:f>'Release Gates'!J940</x:f>
        <x:v>OPEN</x:v>
      </x:c>
      <x:c r="F960" t="str">
        <x:f>IF('Release Gates'!C940="PLANNING","PASS",IF('Release Gates'!C940="PHYSICAL","OPEN","BLOCKED"))</x:f>
        <x:v>OPEN</x:v>
      </x:c>
      <x:c r="G960" t="str">
        <x:v>equals</x:v>
      </x:c>
      <x:c r="H960" t="str">
        <x:f>IF(E960=F960,"PASS","FAIL")</x:f>
        <x:v>PASS</x:v>
      </x:c>
    </x:row>
    <x:row r="961">
      <x:c r="B961" t="str">
        <x:v>A-935</x:v>
      </x:c>
      <x:c r="C961" t="str">
        <x:v>GATE</x:v>
      </x:c>
      <x:c r="D961" t="str">
        <x:v>release ledger mirrors governing state</x:v>
      </x:c>
      <x:c r="E961" t="str">
        <x:f>'Release Gates'!J941</x:f>
        <x:v>OPEN</x:v>
      </x:c>
      <x:c r="F961" t="str">
        <x:f>IF('Release Gates'!C941="PLANNING","PASS",IF('Release Gates'!C941="PHYSICAL","OPEN","BLOCKED"))</x:f>
        <x:v>OPEN</x:v>
      </x:c>
      <x:c r="G961" t="str">
        <x:v>equals</x:v>
      </x:c>
      <x:c r="H961" t="str">
        <x:f>IF(E961=F961,"PASS","FAIL")</x:f>
        <x:v>PASS</x:v>
      </x:c>
    </x:row>
    <x:row r="962">
      <x:c r="B962" t="str">
        <x:v>A-936</x:v>
      </x:c>
      <x:c r="C962" t="str">
        <x:v>GATE</x:v>
      </x:c>
      <x:c r="D962" t="str">
        <x:v>release ledger mirrors governing state</x:v>
      </x:c>
      <x:c r="E962" t="str">
        <x:f>'Release Gates'!J942</x:f>
        <x:v>OPEN</x:v>
      </x:c>
      <x:c r="F962" t="str">
        <x:f>IF('Release Gates'!C942="PLANNING","PASS",IF('Release Gates'!C942="PHYSICAL","OPEN","BLOCKED"))</x:f>
        <x:v>OPEN</x:v>
      </x:c>
      <x:c r="G962" t="str">
        <x:v>equals</x:v>
      </x:c>
      <x:c r="H962" t="str">
        <x:f>IF(E962=F962,"PASS","FAIL")</x:f>
        <x:v>PASS</x:v>
      </x:c>
    </x:row>
    <x:row r="963">
      <x:c r="B963" t="str">
        <x:v>A-937</x:v>
      </x:c>
      <x:c r="C963" t="str">
        <x:v>GATE</x:v>
      </x:c>
      <x:c r="D963" t="str">
        <x:v>release ledger mirrors governing state</x:v>
      </x:c>
      <x:c r="E963" t="str">
        <x:f>'Release Gates'!J943</x:f>
        <x:v>OPEN</x:v>
      </x:c>
      <x:c r="F963" t="str">
        <x:f>IF('Release Gates'!C943="PLANNING","PASS",IF('Release Gates'!C943="PHYSICAL","OPEN","BLOCKED"))</x:f>
        <x:v>OPEN</x:v>
      </x:c>
      <x:c r="G963" t="str">
        <x:v>equals</x:v>
      </x:c>
      <x:c r="H963" t="str">
        <x:f>IF(E963=F963,"PASS","FAIL")</x:f>
        <x:v>PASS</x:v>
      </x:c>
    </x:row>
    <x:row r="964">
      <x:c r="B964" t="str">
        <x:v>A-938</x:v>
      </x:c>
      <x:c r="C964" t="str">
        <x:v>GATE</x:v>
      </x:c>
      <x:c r="D964" t="str">
        <x:v>release ledger mirrors governing state</x:v>
      </x:c>
      <x:c r="E964" t="str">
        <x:f>'Release Gates'!J944</x:f>
        <x:v>OPEN</x:v>
      </x:c>
      <x:c r="F964" t="str">
        <x:f>IF('Release Gates'!C944="PLANNING","PASS",IF('Release Gates'!C944="PHYSICAL","OPEN","BLOCKED"))</x:f>
        <x:v>OPEN</x:v>
      </x:c>
      <x:c r="G964" t="str">
        <x:v>equals</x:v>
      </x:c>
      <x:c r="H964" t="str">
        <x:f>IF(E964=F964,"PASS","FAIL")</x:f>
        <x:v>PASS</x:v>
      </x:c>
    </x:row>
    <x:row r="965">
      <x:c r="B965" t="str">
        <x:v>A-939</x:v>
      </x:c>
      <x:c r="C965" t="str">
        <x:v>GATE</x:v>
      </x:c>
      <x:c r="D965" t="str">
        <x:v>release ledger mirrors governing state</x:v>
      </x:c>
      <x:c r="E965" t="str">
        <x:f>'Release Gates'!J945</x:f>
        <x:v>OPEN</x:v>
      </x:c>
      <x:c r="F965" t="str">
        <x:f>IF('Release Gates'!C945="PLANNING","PASS",IF('Release Gates'!C945="PHYSICAL","OPEN","BLOCKED"))</x:f>
        <x:v>OPEN</x:v>
      </x:c>
      <x:c r="G965" t="str">
        <x:v>equals</x:v>
      </x:c>
      <x:c r="H965" t="str">
        <x:f>IF(E965=F965,"PASS","FAIL")</x:f>
        <x:v>PASS</x:v>
      </x:c>
    </x:row>
    <x:row r="966">
      <x:c r="B966" t="str">
        <x:v>A-940</x:v>
      </x:c>
      <x:c r="C966" t="str">
        <x:v>GATE</x:v>
      </x:c>
      <x:c r="D966" t="str">
        <x:v>release ledger mirrors governing state</x:v>
      </x:c>
      <x:c r="E966" t="str">
        <x:f>'Release Gates'!J946</x:f>
        <x:v>OPEN</x:v>
      </x:c>
      <x:c r="F966" t="str">
        <x:f>IF('Release Gates'!C946="PLANNING","PASS",IF('Release Gates'!C946="PHYSICAL","OPEN","BLOCKED"))</x:f>
        <x:v>OPEN</x:v>
      </x:c>
      <x:c r="G966" t="str">
        <x:v>equals</x:v>
      </x:c>
      <x:c r="H966" t="str">
        <x:f>IF(E966=F966,"PASS","FAIL")</x:f>
        <x:v>PASS</x:v>
      </x:c>
    </x:row>
    <x:row r="967">
      <x:c r="B967" t="str">
        <x:v>A-941</x:v>
      </x:c>
      <x:c r="C967" t="str">
        <x:v>GATE</x:v>
      </x:c>
      <x:c r="D967" t="str">
        <x:v>release ledger mirrors governing state</x:v>
      </x:c>
      <x:c r="E967" t="str">
        <x:f>'Release Gates'!J947</x:f>
        <x:v>OPEN</x:v>
      </x:c>
      <x:c r="F967" t="str">
        <x:f>IF('Release Gates'!C947="PLANNING","PASS",IF('Release Gates'!C947="PHYSICAL","OPEN","BLOCKED"))</x:f>
        <x:v>OPEN</x:v>
      </x:c>
      <x:c r="G967" t="str">
        <x:v>equals</x:v>
      </x:c>
      <x:c r="H967" t="str">
        <x:f>IF(E967=F967,"PASS","FAIL")</x:f>
        <x:v>PASS</x:v>
      </x:c>
    </x:row>
    <x:row r="968">
      <x:c r="B968" t="str">
        <x:v>A-942</x:v>
      </x:c>
      <x:c r="C968" t="str">
        <x:v>GATE</x:v>
      </x:c>
      <x:c r="D968" t="str">
        <x:v>release ledger mirrors governing state</x:v>
      </x:c>
      <x:c r="E968" t="str">
        <x:f>'Release Gates'!J948</x:f>
        <x:v>OPEN</x:v>
      </x:c>
      <x:c r="F968" t="str">
        <x:f>IF('Release Gates'!C948="PLANNING","PASS",IF('Release Gates'!C948="PHYSICAL","OPEN","BLOCKED"))</x:f>
        <x:v>OPEN</x:v>
      </x:c>
      <x:c r="G968" t="str">
        <x:v>equals</x:v>
      </x:c>
      <x:c r="H968" t="str">
        <x:f>IF(E968=F968,"PASS","FAIL")</x:f>
        <x:v>PASS</x:v>
      </x:c>
    </x:row>
    <x:row r="969">
      <x:c r="B969" t="str">
        <x:v>A-943</x:v>
      </x:c>
      <x:c r="C969" t="str">
        <x:v>GATE</x:v>
      </x:c>
      <x:c r="D969" t="str">
        <x:v>release ledger mirrors governing state</x:v>
      </x:c>
      <x:c r="E969" t="str">
        <x:f>'Release Gates'!J949</x:f>
        <x:v>BLOCKED</x:v>
      </x:c>
      <x:c r="F969" t="str">
        <x:f>IF('Release Gates'!C949="PLANNING","PASS",IF('Release Gates'!C949="PHYSICAL","OPEN","BLOCKED"))</x:f>
        <x:v>BLOCKED</x:v>
      </x:c>
      <x:c r="G969" t="str">
        <x:v>equals</x:v>
      </x:c>
      <x:c r="H969" t="str">
        <x:f>IF(E969=F969,"PASS","FAIL")</x:f>
        <x:v>PASS</x:v>
      </x:c>
    </x:row>
    <x:row r="970">
      <x:c r="B970" t="str">
        <x:v>A-944</x:v>
      </x:c>
      <x:c r="C970" t="str">
        <x:v>GATE</x:v>
      </x:c>
      <x:c r="D970" t="str">
        <x:v>release ledger mirrors governing state</x:v>
      </x:c>
      <x:c r="E970" t="str">
        <x:f>'Release Gates'!J950</x:f>
        <x:v>BLOCKED</x:v>
      </x:c>
      <x:c r="F970" t="str">
        <x:f>IF('Release Gates'!C950="PLANNING","PASS",IF('Release Gates'!C950="PHYSICAL","OPEN","BLOCKED"))</x:f>
        <x:v>BLOCKED</x:v>
      </x:c>
      <x:c r="G970" t="str">
        <x:v>equals</x:v>
      </x:c>
      <x:c r="H970" t="str">
        <x:f>IF(E970=F970,"PASS","FAIL")</x:f>
        <x:v>PASS</x:v>
      </x:c>
    </x:row>
    <x:row r="971">
      <x:c r="B971" t="str">
        <x:v>A-945</x:v>
      </x:c>
      <x:c r="C971" t="str">
        <x:v>GATE</x:v>
      </x:c>
      <x:c r="D971" t="str">
        <x:v>release ledger mirrors governing state</x:v>
      </x:c>
      <x:c r="E971" t="str">
        <x:f>'Release Gates'!J951</x:f>
        <x:v>BLOCKED</x:v>
      </x:c>
      <x:c r="F971" t="str">
        <x:f>IF('Release Gates'!C951="PLANNING","PASS",IF('Release Gates'!C951="PHYSICAL","OPEN","BLOCKED"))</x:f>
        <x:v>BLOCKED</x:v>
      </x:c>
      <x:c r="G971" t="str">
        <x:v>equals</x:v>
      </x:c>
      <x:c r="H971" t="str">
        <x:f>IF(E971=F971,"PASS","FAIL")</x:f>
        <x:v>PASS</x:v>
      </x:c>
    </x:row>
    <x:row r="972">
      <x:c r="B972" t="str">
        <x:v>A-946</x:v>
      </x:c>
      <x:c r="C972" t="str">
        <x:v>GATE</x:v>
      </x:c>
      <x:c r="D972" t="str">
        <x:v>release ledger mirrors governing state</x:v>
      </x:c>
      <x:c r="E972" t="str">
        <x:f>'Release Gates'!J952</x:f>
        <x:v>BLOCKED</x:v>
      </x:c>
      <x:c r="F972" t="str">
        <x:f>IF('Release Gates'!C952="PLANNING","PASS",IF('Release Gates'!C952="PHYSICAL","OPEN","BLOCKED"))</x:f>
        <x:v>BLOCKED</x:v>
      </x:c>
      <x:c r="G972" t="str">
        <x:v>equals</x:v>
      </x:c>
      <x:c r="H972" t="str">
        <x:f>IF(E972=F972,"PASS","FAIL")</x:f>
        <x:v>PASS</x:v>
      </x:c>
    </x:row>
    <x:row r="973">
      <x:c r="B973" t="str">
        <x:v>A-947</x:v>
      </x:c>
      <x:c r="C973" t="str">
        <x:v>GATE</x:v>
      </x:c>
      <x:c r="D973" t="str">
        <x:v>release ledger mirrors governing state</x:v>
      </x:c>
      <x:c r="E973" t="str">
        <x:f>'Release Gates'!J953</x:f>
        <x:v>BLOCKED</x:v>
      </x:c>
      <x:c r="F973" t="str">
        <x:f>IF('Release Gates'!C953="PLANNING","PASS",IF('Release Gates'!C953="PHYSICAL","OPEN","BLOCKED"))</x:f>
        <x:v>BLOCKED</x:v>
      </x:c>
      <x:c r="G973" t="str">
        <x:v>equals</x:v>
      </x:c>
      <x:c r="H973" t="str">
        <x:f>IF(E973=F973,"PASS","FAIL")</x:f>
        <x:v>PASS</x:v>
      </x:c>
    </x:row>
    <x:row r="974">
      <x:c r="B974" t="str">
        <x:v>A-948</x:v>
      </x:c>
      <x:c r="C974" t="str">
        <x:v>GATE</x:v>
      </x:c>
      <x:c r="D974" t="str">
        <x:v>release ledger mirrors governing state</x:v>
      </x:c>
      <x:c r="E974" t="str">
        <x:f>'Release Gates'!J954</x:f>
        <x:v>BLOCKED</x:v>
      </x:c>
      <x:c r="F974" t="str">
        <x:f>IF('Release Gates'!C954="PLANNING","PASS",IF('Release Gates'!C954="PHYSICAL","OPEN","BLOCKED"))</x:f>
        <x:v>BLOCKED</x:v>
      </x:c>
      <x:c r="G974" t="str">
        <x:v>equals</x:v>
      </x:c>
      <x:c r="H974" t="str">
        <x:f>IF(E974=F974,"PASS","FAIL")</x:f>
        <x:v>PASS</x:v>
      </x:c>
    </x:row>
    <x:row r="975">
      <x:c r="B975" t="str">
        <x:v>A-949</x:v>
      </x:c>
      <x:c r="C975" t="str">
        <x:v>GATE</x:v>
      </x:c>
      <x:c r="D975" t="str">
        <x:v>release ledger mirrors governing state</x:v>
      </x:c>
      <x:c r="E975" t="str">
        <x:f>'Release Gates'!J955</x:f>
        <x:v>BLOCKED</x:v>
      </x:c>
      <x:c r="F975" t="str">
        <x:f>IF('Release Gates'!C955="PLANNING","PASS",IF('Release Gates'!C955="PHYSICAL","OPEN","BLOCKED"))</x:f>
        <x:v>BLOCKED</x:v>
      </x:c>
      <x:c r="G975" t="str">
        <x:v>equals</x:v>
      </x:c>
      <x:c r="H975" t="str">
        <x:f>IF(E975=F975,"PASS","FAIL")</x:f>
        <x:v>PASS</x:v>
      </x:c>
    </x:row>
    <x:row r="976">
      <x:c r="B976" t="str">
        <x:v>A-950</x:v>
      </x:c>
      <x:c r="C976" t="str">
        <x:v>GATE</x:v>
      </x:c>
      <x:c r="D976" t="str">
        <x:v>release ledger mirrors governing state</x:v>
      </x:c>
      <x:c r="E976" t="str">
        <x:f>'Release Gates'!J956</x:f>
        <x:v>BLOCKED</x:v>
      </x:c>
      <x:c r="F976" t="str">
        <x:f>IF('Release Gates'!C956="PLANNING","PASS",IF('Release Gates'!C956="PHYSICAL","OPEN","BLOCKED"))</x:f>
        <x:v>BLOCKED</x:v>
      </x:c>
      <x:c r="G976" t="str">
        <x:v>equals</x:v>
      </x:c>
      <x:c r="H976" t="str">
        <x:f>IF(E976=F976,"PASS","FAIL")</x:f>
        <x:v>PASS</x:v>
      </x:c>
    </x:row>
    <x:row r="977">
      <x:c r="B977" t="str">
        <x:v>A-951</x:v>
      </x:c>
      <x:c r="C977" t="str">
        <x:v>GATE</x:v>
      </x:c>
      <x:c r="D977" t="str">
        <x:v>release ledger mirrors governing state</x:v>
      </x:c>
      <x:c r="E977" t="str">
        <x:f>'Release Gates'!J957</x:f>
        <x:v>BLOCKED</x:v>
      </x:c>
      <x:c r="F977" t="str">
        <x:f>IF('Release Gates'!C957="PLANNING","PASS",IF('Release Gates'!C957="PHYSICAL","OPEN","BLOCKED"))</x:f>
        <x:v>BLOCKED</x:v>
      </x:c>
      <x:c r="G977" t="str">
        <x:v>equals</x:v>
      </x:c>
      <x:c r="H977" t="str">
        <x:f>IF(E977=F977,"PASS","FAIL")</x:f>
        <x:v>PASS</x:v>
      </x:c>
    </x:row>
  </x:sheetData>
  <x:conditionalFormatting sqref="H7:H977">
    <x:cfRule type="containsText" dxfId="28" priority="1" operator="containsText" text="FAIL"/>
    <x:cfRule type="containsText" dxfId="29" priority="2" operator="containsText" text="BLOCKED"/>
    <x:cfRule type="containsText" dxfId="30" priority="3" operator="containsText" text="OPEN"/>
    <x:cfRule type="containsText" dxfId="31" priority="4" operator="containsText" text="PASS"/>
  </x:conditionalFormatting>
  <x:pageMargins left="0.7" right="0.7" top="0.75" bottom="0.75" header="0.3" footer="0.3"/>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2" max="2" width="12" hidden="0" customWidth="1"/>
    <x:col min="3" max="3" width="27" hidden="0" customWidth="1"/>
    <x:col min="4" max="4" width="33" hidden="0" customWidth="1"/>
    <x:col min="5" max="5" width="62" hidden="0" customWidth="1"/>
    <x:col min="6" max="6" width="17" hidden="0" customWidth="1"/>
    <x:col min="7" max="7" width="15" hidden="0" customWidth="1"/>
  </x:cols>
  <x:sheetData>
    <x:row r="2">
      <x:c r="B2" s="1" t="str">
        <x:v>Authority and prohibition ledger</x:v>
      </x:c>
    </x:row>
    <x:row r="3">
      <x:c r="B3" s="2" t="str">
        <x:v>No spreadsheet formula grants physical acceptance, source release, production, rendering or operations authority.</x:v>
      </x:c>
    </x:row>
    <x:row r="5">
      <x:c r="B5" s="3"/>
      <x:c r="C5" s="3"/>
      <x:c r="D5" s="3"/>
      <x:c r="E5" s="3"/>
      <x:c r="F5" s="3"/>
      <x:c r="G5" s="3"/>
      <x:c r="H5" s="3"/>
      <x:c r="I5" s="3"/>
      <x:c r="J5" s="3"/>
      <x:c r="K5" s="3"/>
      <x:c r="L5" s="3"/>
      <x:c r="M5" s="3"/>
      <x:c r="N5" s="3"/>
      <x:c r="O5" s="3"/>
      <x:c r="P5" s="3"/>
      <x:c r="Q5" s="3"/>
      <x:c r="R5" s="3"/>
    </x:row>
    <x:row r="6" ht="24" customHeight="1">
      <x:c r="B6" s="7" t="str">
        <x:v>ID</x:v>
      </x:c>
      <x:c r="C6" s="7" t="str">
        <x:v>Authority object</x:v>
      </x:c>
      <x:c r="D6" s="7" t="str">
        <x:v>Owner</x:v>
      </x:c>
      <x:c r="E6" s="7" t="str">
        <x:v>Scope</x:v>
      </x:c>
      <x:c r="F6" s="7" t="str">
        <x:v>Current value</x:v>
      </x:c>
      <x:c r="G6" s="7" t="str">
        <x:v>State</x:v>
      </x:c>
    </x:row>
    <x:row r="7" ht="29" customHeight="1">
      <x:c r="B7" t="str">
        <x:v>AU-01</x:v>
      </x:c>
      <x:c r="C7" t="str">
        <x:v>RHP design basis</x:v>
      </x:c>
      <x:c r="D7" t="str">
        <x:v>design authority</x:v>
      </x:c>
      <x:c r="E7" s="16" t="str">
        <x:v>scope, interfaces and planning gates</x:v>
      </x:c>
      <x:c r="F7" t="n">
        <x:v>1</x:v>
      </x:c>
      <x:c r="G7" t="str">
        <x:v>ACTIVE</x:v>
      </x:c>
    </x:row>
    <x:row r="8" ht="29" customHeight="1">
      <x:c r="B8" t="str">
        <x:v>AU-02</x:v>
      </x:c>
      <x:c r="C8" t="str">
        <x:v>rig physical acceptance</x:v>
      </x:c>
      <x:c r="D8" t="str">
        <x:v>independent acceptance board</x:v>
      </x:c>
      <x:c r="E8" s="16" t="str">
        <x:v>each of 522 physical articles</x:v>
      </x:c>
      <x:c r="F8" t="n">
        <x:v>0</x:v>
      </x:c>
      <x:c r="G8" t="str">
        <x:v>OPEN</x:v>
      </x:c>
    </x:row>
    <x:row r="9" ht="29" customHeight="1">
      <x:c r="B9" t="str">
        <x:v>AU-03</x:v>
      </x:c>
      <x:c r="C9" t="str">
        <x:v>source-stage disposition</x:v>
      </x:c>
      <x:c r="D9" t="str">
        <x:v>source-release board</x:v>
      </x:c>
      <x:c r="E9" s="16" t="str">
        <x:v>each stage in SQ-01 through SQ-09</x:v>
      </x:c>
      <x:c r="F9" t="n">
        <x:v>0</x:v>
      </x:c>
      <x:c r="G9" t="str">
        <x:v>OPEN</x:v>
      </x:c>
    </x:row>
    <x:row r="10" ht="29" customHeight="1">
      <x:c r="B10" t="str">
        <x:v>AU-04</x:v>
      </x:c>
      <x:c r="C10" t="str">
        <x:v>architecture selection</x:v>
      </x:c>
      <x:c r="D10" t="str">
        <x:v>RHT independent board</x:v>
      </x:c>
      <x:c r="E10" s="16" t="str">
        <x:v>no weighted compensation for failed conjunctive rule</x:v>
      </x:c>
      <x:c r="F10" t="n">
        <x:v>0</x:v>
      </x:c>
      <x:c r="G10" t="str">
        <x:v>BLOCKED</x:v>
      </x:c>
    </x:row>
    <x:row r="11" ht="29" customHeight="1">
      <x:c r="B11" t="str">
        <x:v>AU-05</x:v>
      </x:c>
      <x:c r="C11" t="str">
        <x:v>configuration freeze</x:v>
      </x:c>
      <x:c r="D11" t="str">
        <x:v>Root B configuration authority</x:v>
      </x:c>
      <x:c r="E11" s="16" t="str">
        <x:v>selected geometry and interfaces</x:v>
      </x:c>
      <x:c r="F11" t="n">
        <x:v>0</x:v>
      </x:c>
      <x:c r="G11" t="str">
        <x:v>BLOCKED</x:v>
      </x:c>
    </x:row>
    <x:row r="12" ht="29" customHeight="1">
      <x:c r="B12" t="str">
        <x:v>AU-06</x:v>
      </x:c>
      <x:c r="C12" t="str">
        <x:v>energetic operation</x:v>
      </x:c>
      <x:c r="D12" t="str">
        <x:v>source-release authority</x:v>
      </x:c>
      <x:c r="E12" s="16" t="str">
        <x:v>quarter and full-source execution</x:v>
      </x:c>
      <x:c r="F12" t="n">
        <x:v>0</x:v>
      </x:c>
      <x:c r="G12" t="str">
        <x:v>BLOCKED</x:v>
      </x:c>
    </x:row>
    <x:row r="13" ht="29" customHeight="1">
      <x:c r="B13" t="str">
        <x:v>AU-07</x:v>
      </x:c>
      <x:c r="C13" t="str">
        <x:v>production</x:v>
      </x:c>
      <x:c r="D13" t="str">
        <x:v>Department acquisition authority</x:v>
      </x:c>
      <x:c r="E13" s="16" t="str">
        <x:v>production and fleet use</x:v>
      </x:c>
      <x:c r="F13" t="n">
        <x:v>0</x:v>
      </x:c>
      <x:c r="G13" t="str">
        <x:v>BLOCKED</x:v>
      </x:c>
    </x:row>
    <x:row r="14" ht="29" customHeight="1">
      <x:c r="B14" t="str">
        <x:v>AU-08</x:v>
      </x:c>
      <x:c r="C14" t="str">
        <x:v>exterior rendering</x:v>
      </x:c>
      <x:c r="D14" t="str">
        <x:v>research-program authority</x:v>
      </x:c>
      <x:c r="E14" s="16" t="str">
        <x:v>only after first-principles physical learning</x:v>
      </x:c>
      <x:c r="F14" t="n">
        <x:v>0</x:v>
      </x:c>
      <x:c r="G14" t="str">
        <x:v>BLOCKED</x:v>
      </x:c>
    </x:row>
    <x:row r="15" ht="29" customHeight="1">
      <x:c r="B15" t="str">
        <x:v>AU-09</x:v>
      </x:c>
      <x:c r="C15" t="str">
        <x:v>C2 integration</x:v>
      </x:c>
      <x:c r="D15" t="str">
        <x:v>CISA authority</x:v>
      </x:c>
      <x:c r="E15" s="16" t="str">
        <x:v>operational command integration</x:v>
      </x:c>
      <x:c r="F15" t="n">
        <x:v>0</x:v>
      </x:c>
      <x:c r="G15" t="str">
        <x:v>BLOCKED</x:v>
      </x:c>
    </x:row>
  </x:sheetData>
  <x:conditionalFormatting sqref="G7:G15">
    <x:cfRule type="containsText" dxfId="32" priority="1" operator="containsText" text="FAIL"/>
    <x:cfRule type="containsText" dxfId="33" priority="2" operator="containsText" text="BLOCKED"/>
    <x:cfRule type="containsText" dxfId="34" priority="3" operator="containsText" text="OPEN"/>
    <x:cfRule type="containsText" dxfId="35" priority="4" operator="containsText" text="PASS"/>
  </x:conditionalFormatting>
  <x:pageMargins left="0.7" right="0.7" top="0.75" bottom="0.75" header="0.3" footer="0.3"/>
</x:worksheet>
</file>

<file path=xl/worksheets/sheet27.xml><?xml version="1.0" encoding="utf-8"?>
<x:worksheet xmlns:x="http://schemas.openxmlformats.org/spreadsheetml/2006/main">
  <x:sheetPr>
    <x:tabColor rgb="FFA6A6A6"/>
  </x:sheetPr>
  <x:sheetViews>
    <x:sheetView showGridLines="0" workbookViewId="0">
      <x:pane xSplit="2" ySplit="6" topLeftCell="C7" activePane="bottomRight" state="frozen"/>
    </x:sheetView>
  </x:sheetViews>
  <x:sheetFormatPr defaultRowHeight="15"/>
  <x:cols>
    <x:col min="2" max="2" width="24" hidden="0" customWidth="1"/>
    <x:col min="3" max="3" width="116" hidden="0" customWidth="1"/>
  </x:cols>
  <x:sheetData>
    <x:row r="2">
      <x:c r="B2" s="1" t="str">
        <x:v>Workbook use and authority</x:v>
      </x:c>
    </x:row>
    <x:row r="3">
      <x:c r="B3" s="2" t="str">
        <x:v>RHP-1 is a facility and experimental-constitution specification. It does not certify hardware or authorize source operation.</x:v>
      </x:c>
    </x:row>
    <x:row r="5">
      <x:c r="B5" s="3"/>
      <x:c r="C5" s="3"/>
      <x:c r="D5" s="3"/>
      <x:c r="E5" s="3"/>
      <x:c r="F5" s="3"/>
      <x:c r="G5" s="3"/>
      <x:c r="H5" s="3"/>
      <x:c r="I5" s="3"/>
      <x:c r="J5" s="3"/>
      <x:c r="K5" s="3"/>
      <x:c r="L5" s="3"/>
      <x:c r="M5" s="3"/>
      <x:c r="N5" s="3"/>
      <x:c r="O5" s="3"/>
      <x:c r="P5" s="3"/>
      <x:c r="Q5" s="3"/>
      <x:c r="R5" s="3"/>
    </x:row>
    <x:row r="6" ht="24" customHeight="1">
      <x:c r="B6" s="7" t="str">
        <x:v>Topic</x:v>
      </x:c>
      <x:c r="C6" s="7" t="str">
        <x:v>Rule</x:v>
      </x:c>
    </x:row>
    <x:row r="7" ht="34" customHeight="1">
      <x:c r="B7" t="str">
        <x:v>Decision</x:v>
      </x:c>
      <x:c r="C7" s="16" t="str">
        <x:v>Constitute six public, neutral full-scale transient rigs that can test RC-1, RC-2 and RC-3 without embedding a preferred downstream geometry.</x:v>
      </x:c>
    </x:row>
    <x:row r="8" ht="34" customHeight="1">
      <x:c r="B8" t="str">
        <x:v>Facility</x:v>
      </x:c>
      <x:c r="C8" s="16" t="str">
        <x:v>Two rigs at each of PTC-A, PTC-B and PTC-C. PTC-A carries destructive and rebuild duties; PTC-B and PTC-C are unlike operational siblings.</x:v>
      </x:c>
    </x:row>
    <x:row r="9" ht="34" customHeight="1">
      <x:c r="B9" t="str">
        <x:v>Source</x:v>
      </x:c>
      <x:c r="C9" s="16" t="str">
        <x:v>A 2,000-kilogram vessel with a planning gross volume near 3.994 cubic meters, about one cubic meter of initial vapor space, a 3.0 MPa design basis and a 4.5 MPa proof basis.</x:v>
      </x:c>
    </x:row>
    <x:row r="10" ht="34" customHeight="1">
      <x:c r="B10" t="str">
        <x:v>Thermal boundary</x:v>
      </x:c>
      <x:c r="C10" s="16" t="str">
        <x:v>Sixteen independently metered 0.5 MW zones per rig provide 8 MW per rig and 48 MW across the public system.</x:v>
      </x:c>
    </x:row>
    <x:row r="11" ht="34" customHeight="1">
      <x:c r="B11" t="str">
        <x:v>Neutrality</x:v>
      </x:c>
      <x:c r="C11" s="16" t="str">
        <x:v>The public plant ends upstream of the candidate nozzle cassette. There is no common downstream plenum, receiver or terminal-disposition element.</x:v>
      </x:c>
    </x:row>
    <x:row r="12" ht="34" customHeight="1">
      <x:c r="B12" t="str">
        <x:v>Routes</x:v>
      </x:c>
      <x:c r="C12" s="16" t="str">
        <x:v>Eighteen 80-meter bays contain 144 replaceable ten-meter segments, 54 calibrated restriction cassettes and supports at four-meter spacing.</x:v>
      </x:c>
    </x:row>
    <x:row r="13" ht="34" customHeight="1">
      <x:c r="B13" t="str">
        <x:v>Receivers</x:v>
      </x:c>
      <x:c r="C13" s="16" t="str">
        <x:v>Six common pads carry candidate-specific interfaces. RC-1, RC-2 and RC-3 nominal liquid-equivalent volumes are approximately 4.68, 12.16 and 10.00 cubic meters at 80 percent fill.</x:v>
      </x:c>
    </x:row>
    <x:row r="14" ht="34" customHeight="1">
      <x:c r="B14" t="str">
        <x:v>Evidence</x:v>
      </x:c>
      <x:c r="C14" s="16" t="str">
        <x:v>Eighteen functions preserve 504 native channels at approximately 288.736 MB/s. The inherited campaign basis remains 306 registered events.</x:v>
      </x:c>
    </x:row>
    <x:row r="15" ht="34" customHeight="1">
      <x:c r="B15" t="str">
        <x:v>Uncertainty</x:v>
      </x:c>
      <x:c r="C15" s="16" t="str">
        <x:v>The planned six-term mass allocation has a one-sigma RSS near 2.19 kilograms and a k=2 expansion near 4.38 kilograms against a 5-kilogram limit.</x:v>
      </x:c>
    </x:row>
    <x:row r="16" ht="34" customHeight="1">
      <x:c r="B16" t="str">
        <x:v>Safety</x:v>
      </x:c>
      <x:c r="C16" s="16" t="str">
        <x:v>Every rig carries passive, analog hardwired and diverse programmable safety paths, each with local energy and no common final element.</x:v>
      </x:c>
    </x:row>
    <x:row r="17" ht="34" customHeight="1">
      <x:c r="B17" t="str">
        <x:v>Finance</x:v>
      </x:c>
      <x:c r="C17" s="16" t="str">
        <x:v>The RHP-1 design allocation is USD 410 million of capital and USD 72 million per year. Gross net addition beyond RHT-1 is USD 110 million and USD 24 million per year.</x:v>
      </x:c>
    </x:row>
    <x:row r="18" ht="34" customHeight="1">
      <x:c r="B18" t="str">
        <x:v>Authority</x:v>
      </x:c>
      <x:c r="C18" s="16" t="str">
        <x:v>Planning completeness is 420 of 420. Physical acceptance is 0 of 522. Nine downstream authorities remain blocked.</x:v>
      </x:c>
    </x:row>
    <x:row r="19" ht="34" customHeight="1">
      <x:c r="B19" t="str">
        <x:v>Rendering</x:v>
      </x:c>
      <x:c r="C19" s="16" t="str">
        <x:v>Exterior rendering remains blocked until the first-principles physical program resolves geometry, operating envelope, failure behavior and recovery needs.</x:v>
      </x:c>
    </x:row>
    <x:row r="20" ht="34" customHeight="1">
      <x:c r="B20" t="str">
        <x:v>Sources</x:v>
      </x:c>
      <x:c r="C20" s="16" t="str">
        <x:v>Internal authority only: CISA-1, PTC-0, RSP-1, MCR-1, SBD-1 and RHT-1. No external-site material is used.</x:v>
      </x:c>
    </x:row>
  </x:sheetData>
  <x:pageMargins left="0.7" right="0.7" top="0.75" bottom="0.75" header="0.3" footer="0.3"/>
</x:worksheet>
</file>