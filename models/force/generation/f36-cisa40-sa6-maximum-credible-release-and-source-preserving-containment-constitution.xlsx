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b56bae107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c4d13adb8249b8"/>
    <x:sheet xmlns:r="http://schemas.openxmlformats.org/officeDocument/2006/relationships" name="Controls" sheetId="2" r:id="R5c836d92e3b44a92"/>
    <x:sheet xmlns:r="http://schemas.openxmlformats.org/officeDocument/2006/relationships" name="Source States" sheetId="3" r:id="Ref0e26bcdcc54f2c"/>
    <x:sheet xmlns:r="http://schemas.openxmlformats.org/officeDocument/2006/relationships" name="Liquid Release" sheetId="4" r:id="R9ebb58046ac34736"/>
    <x:sheet xmlns:r="http://schemas.openxmlformats.org/officeDocument/2006/relationships" name="DME Release" sheetId="5" r:id="Rbae2974407894e44"/>
    <x:sheet xmlns:r="http://schemas.openxmlformats.org/officeDocument/2006/relationships" name="Dilution" sheetId="6" r:id="Rdbf99006b364466b"/>
    <x:sheet xmlns:r="http://schemas.openxmlformats.org/officeDocument/2006/relationships" name="Fire Screen" sheetId="7" r:id="Rb7f3c054494e46c8"/>
    <x:sheet xmlns:r="http://schemas.openxmlformats.org/officeDocument/2006/relationships" name="Explosion Screen" sheetId="8" r:id="R72d13317a1da483a"/>
    <x:sheet xmlns:r="http://schemas.openxmlformats.org/officeDocument/2006/relationships" name="Propagation" sheetId="9" r:id="R77e33a18927645fd"/>
    <x:sheet xmlns:r="http://schemas.openxmlformats.org/officeDocument/2006/relationships" name="Cell Architecture" sheetId="10" r:id="Rbec874cef3f54605"/>
    <x:sheet xmlns:r="http://schemas.openxmlformats.org/officeDocument/2006/relationships" name="Hazard Worlds" sheetId="11" r:id="R5403f89f83a74632"/>
    <x:sheet xmlns:r="http://schemas.openxmlformats.org/officeDocument/2006/relationships" name="Trial Register" sheetId="12" r:id="R13bf951d92674f53"/>
    <x:sheet xmlns:r="http://schemas.openxmlformats.org/officeDocument/2006/relationships" name="Instrumentation" sheetId="13" r:id="R211259d7671c4b0d"/>
    <x:sheet xmlns:r="http://schemas.openxmlformats.org/officeDocument/2006/relationships" name="Safety Logic" sheetId="14" r:id="R9d442daab8da4baa"/>
    <x:sheet xmlns:r="http://schemas.openxmlformats.org/officeDocument/2006/relationships" name="Recovery Evidence" sheetId="15" r:id="Rd3044316c05249b0"/>
    <x:sheet xmlns:r="http://schemas.openxmlformats.org/officeDocument/2006/relationships" name="Schedule" sheetId="16" r:id="R0d7863f9d1d34964"/>
    <x:sheet xmlns:r="http://schemas.openxmlformats.org/officeDocument/2006/relationships" name="Capital" sheetId="17" r:id="R59f4e7b0363847a8"/>
    <x:sheet xmlns:r="http://schemas.openxmlformats.org/officeDocument/2006/relationships" name="Annual Support" sheetId="18" r:id="Reefa4c6a90d3469b"/>
    <x:sheet xmlns:r="http://schemas.openxmlformats.org/officeDocument/2006/relationships" name="Release Gates" sheetId="19" r:id="Rc0b3fdf676184d08"/>
    <x:sheet xmlns:r="http://schemas.openxmlformats.org/officeDocument/2006/relationships" name="Audit" sheetId="20" r:id="R436be812392d4279"/>
    <x:sheet xmlns:r="http://schemas.openxmlformats.org/officeDocument/2006/relationships" name="ReadMe" sheetId="21" r:id="Rc17e64337b6c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"/>
    <x:numFmt numFmtId="201" formatCode="#,##0.000"/>
    <x:numFmt numFmtId="202" formatCode="#,##0.0"/>
    <x:numFmt numFmtId="203" formatCode="0%"/>
    <x:numFmt numFmtId="204" formatCode="#,##0.00"/>
    <x:numFmt numFmtId="205" formatCode="0.0"/>
    <x:numFmt numFmtId="206" formatCode="$#,##0.0;($#,##0.0);-"/>
    <x:numFmt numFmtId="207" formatCode="0"/>
  </x:numFmts>
  <x:fonts count="8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70C0"/>
      <x:name val="Arial"/>
    </x:font>
    <x:font>
      <x:b/>
      <x:sz val="10"/>
      <x:color rgb="FF273444"/>
      <x:name val="Arial"/>
    </x:font>
    <x:font>
      <x:b/>
      <x:sz val="10"/>
      <x:color rgb="FF8A65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17324D"/>
      </x:bottom>
    </x:border>
    <x:border>
      <x:bottom style="thin">
        <x:color rgb="FFC8D3DD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206" fontId="5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6" fontId="6" fillId="3" borderId="0" xfId="0" applyNumberFormat="1" applyFont="1" applyFill="1" applyBorder="1"/>
    <x:xf numFmtId="206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94"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894b322c8473d" /><Relationship Type="http://schemas.openxmlformats.org/officeDocument/2006/relationships/theme" Target="/xl/theme/theme1.xml" Id="R8ae991a298584480" /><Relationship Type="http://schemas.openxmlformats.org/officeDocument/2006/relationships/sharedStrings" Target="/xl/sharedStrings.xml" Id="R1878bf2df07c4844" /><Relationship Type="http://schemas.openxmlformats.org/officeDocument/2006/relationships/worksheet" Target="/xl/worksheets/sheet1.xml" Id="R78c4d13adb8249b8" /><Relationship Type="http://schemas.openxmlformats.org/officeDocument/2006/relationships/worksheet" Target="/xl/worksheets/sheet2.xml" Id="R5c836d92e3b44a92" /><Relationship Type="http://schemas.openxmlformats.org/officeDocument/2006/relationships/worksheet" Target="/xl/worksheets/sheet3.xml" Id="Ref0e26bcdcc54f2c" /><Relationship Type="http://schemas.openxmlformats.org/officeDocument/2006/relationships/worksheet" Target="/xl/worksheets/sheet4.xml" Id="R9ebb58046ac34736" /><Relationship Type="http://schemas.openxmlformats.org/officeDocument/2006/relationships/worksheet" Target="/xl/worksheets/sheet5.xml" Id="Rbae2974407894e44" /><Relationship Type="http://schemas.openxmlformats.org/officeDocument/2006/relationships/worksheet" Target="/xl/worksheets/sheet6.xml" Id="Rdbf99006b364466b" /><Relationship Type="http://schemas.openxmlformats.org/officeDocument/2006/relationships/worksheet" Target="/xl/worksheets/sheet7.xml" Id="Rb7f3c054494e46c8" /><Relationship Type="http://schemas.openxmlformats.org/officeDocument/2006/relationships/worksheet" Target="/xl/worksheets/sheet8.xml" Id="R72d13317a1da483a" /><Relationship Type="http://schemas.openxmlformats.org/officeDocument/2006/relationships/worksheet" Target="/xl/worksheets/sheet9.xml" Id="R77e33a18927645fd" /><Relationship Type="http://schemas.openxmlformats.org/officeDocument/2006/relationships/worksheet" Target="/xl/worksheets/sheet10.xml" Id="Rbec874cef3f54605" /><Relationship Type="http://schemas.openxmlformats.org/officeDocument/2006/relationships/worksheet" Target="/xl/worksheets/sheet11.xml" Id="R5403f89f83a74632" /><Relationship Type="http://schemas.openxmlformats.org/officeDocument/2006/relationships/worksheet" Target="/xl/worksheets/sheet12.xml" Id="R13bf951d92674f53" /><Relationship Type="http://schemas.openxmlformats.org/officeDocument/2006/relationships/worksheet" Target="/xl/worksheets/sheet13.xml" Id="R211259d7671c4b0d" /><Relationship Type="http://schemas.openxmlformats.org/officeDocument/2006/relationships/worksheet" Target="/xl/worksheets/sheet14.xml" Id="R9d442daab8da4baa" /><Relationship Type="http://schemas.openxmlformats.org/officeDocument/2006/relationships/worksheet" Target="/xl/worksheets/sheet15.xml" Id="Rd3044316c05249b0" /><Relationship Type="http://schemas.openxmlformats.org/officeDocument/2006/relationships/worksheet" Target="/xl/worksheets/sheet16.xml" Id="R0d7863f9d1d34964" /><Relationship Type="http://schemas.openxmlformats.org/officeDocument/2006/relationships/worksheet" Target="/xl/worksheets/sheet17.xml" Id="R59f4e7b0363847a8" /><Relationship Type="http://schemas.openxmlformats.org/officeDocument/2006/relationships/worksheet" Target="/xl/worksheets/sheet18.xml" Id="Reefa4c6a90d3469b" /><Relationship Type="http://schemas.openxmlformats.org/officeDocument/2006/relationships/worksheet" Target="/xl/worksheets/sheet19.xml" Id="Rc0b3fdf676184d08" /><Relationship Type="http://schemas.openxmlformats.org/officeDocument/2006/relationships/worksheet" Target="/xl/worksheets/sheet20.xml" Id="R436be812392d4279" /><Relationship Type="http://schemas.openxmlformats.org/officeDocument/2006/relationships/worksheet" Target="/xl/worksheets/sheet21.xml" Id="Rc17e64337b6c41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352f71cfdd47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Chemical-energy source by admission state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Chemical energy (GJ)</c:v>
          </c:tx>
          <c:cat>
            <c:strRef>
              <c:f>'Summary'!$B$25:$B$28</c:f>
              <c:strCache>
                <c:ptCount val="0"/>
              </c:strCache>
            </c:strRef>
          </c:cat>
          <c:val>
            <c:numRef>
              <c:f>'Summary'!$C$25:$C$28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28</xdr:row>
      <xdr:rowOff>0</xdr:rowOff>
    </xdr:from>
    <xdr:to>
      <xdr:col>16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352f71cfdd47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b4c2bc43a0497e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9" hidden="0" customWidth="1"/>
    <x:col min="3" max="3" width="20" hidden="0" customWidth="1"/>
    <x:col min="4" max="4" width="18" hidden="0" customWidth="1"/>
    <x:col min="5" max="5" width="4" hidden="0" customWidth="1"/>
    <x:col min="6" max="6" width="4" hidden="0" customWidth="1"/>
    <x:col min="7" max="7" width="4" hidden="0" customWidth="1"/>
    <x:col min="8" max="8" width="42" hidden="0" customWidth="1"/>
    <x:col min="9" max="9" width="20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</x:cols>
  <x:sheetData>
    <x:row r="2">
      <x:c r="B2" s="1" t="str">
        <x:v>MCR-1 SA6 maximum credible release and source-preserving containment</x:v>
      </x:c>
    </x:row>
    <x:row r="3">
      <x:c r="B3" s="2" t="str">
        <x:v>The governing decision is staged source admission: C1 permits one live compartment; C2 remains blocked until passive propagation denial is physically accepted.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>
      <x:c r="B6" s="29" t="str">
        <x:v>Source-state results</x:v>
      </x:c>
      <x:c r="C6" s="29" t="str">
        <x:v>Source-state results</x:v>
      </x:c>
      <x:c r="D6" s="29" t="str">
        <x:v>Source-state results</x:v>
      </x:c>
      <x:c r="E6" s="29" t="str">
        <x:v>Source-state results</x:v>
      </x:c>
      <x:c r="H6" s="29" t="str">
        <x:v>Program and release</x:v>
      </x:c>
      <x:c r="I6" s="29" t="str">
        <x:v>Program and release</x:v>
      </x:c>
      <x:c r="J6" s="29" t="str">
        <x:v>Program and release</x:v>
      </x:c>
      <x:c r="K6" s="29" t="str">
        <x:v>Program and release</x:v>
      </x:c>
    </x:row>
    <x:row r="7">
      <x:c r="B7" s="10" t="str">
        <x:v>Root A C1 chemical energy (GJ)</x:v>
      </x:c>
      <x:c r="C7" s="16" t="n">
        <x:f>'Source States'!I8</x:f>
        <x:v>85.176</x:v>
      </x:c>
      <x:c r="D7" s="10" t="str">
        <x:v>C1 planning</x:v>
      </x:c>
      <x:c r="H7" s="10" t="str">
        <x:v>Containment cells</x:v>
      </x:c>
      <x:c r="I7" s="16" t="n">
        <x:f>'Controls'!$D$34+'Controls'!$D$35</x:f>
        <x:v>3</x:v>
      </x:c>
    </x:row>
    <x:row r="8">
      <x:c r="B8" s="10" t="str">
        <x:v>Root B C1 chemical energy (GJ)</x:v>
      </x:c>
      <x:c r="C8" s="16" t="n">
        <x:f>'Source States'!I11</x:f>
        <x:v>57.024</x:v>
      </x:c>
      <x:c r="D8" s="10" t="str">
        <x:v>C1 planning</x:v>
      </x:c>
      <x:c r="H8" s="10" t="str">
        <x:v>Root-world cards</x:v>
      </x:c>
      <x:c r="I8" s="16" t="n">
        <x:f>COUNTA('Hazard Worlds'!B7:B30)</x:f>
        <x:v>24</x:v>
      </x:c>
    </x:row>
    <x:row r="9">
      <x:c r="B9" s="10" t="str">
        <x:v>Root A C2 upper-bound energy (GJ)</x:v>
      </x:c>
      <x:c r="C9" s="16" t="n">
        <x:f>'Source States'!I9</x:f>
        <x:v>340.704</x:v>
      </x:c>
      <x:c r="D9" s="10" t="str">
        <x:v>C2 bounding</x:v>
      </x:c>
      <x:c r="H9" s="10" t="str">
        <x:v>Safety-case events</x:v>
      </x:c>
      <x:c r="I9" s="16" t="n">
        <x:f>COUNTA('Trial Register'!B7:B86)</x:f>
        <x:v>80</x:v>
      </x:c>
    </x:row>
    <x:row r="10">
      <x:c r="B10" s="10" t="str">
        <x:v>Root B C2 upper-bound energy (GJ)</x:v>
      </x:c>
      <x:c r="C10" s="16" t="n">
        <x:f>'Source States'!I12</x:f>
        <x:v>228.096</x:v>
      </x:c>
      <x:c r="D10" s="10" t="str">
        <x:v>C2 bounding</x:v>
      </x:c>
      <x:c r="H10" s="10" t="str">
        <x:v>Propagation claims</x:v>
      </x:c>
      <x:c r="I10" s="16" t="n">
        <x:f>COUNTA('Propagation'!B7:B30)</x:f>
        <x:v>24</x:v>
      </x:c>
    </x:row>
    <x:row r="11">
      <x:c r="B11" s="10" t="str">
        <x:v>Root B C1 gas before allowance (m3)</x:v>
      </x:c>
      <x:c r="C11" s="16" t="n">
        <x:f>'Source States'!K11</x:f>
        <x:v>1060</x:v>
      </x:c>
      <x:c r="D11" s="10" t="str">
        <x:v>planning</x:v>
      </x:c>
      <x:c r="H11" s="10" t="str">
        <x:v>Reserved workforce</x:v>
      </x:c>
      <x:c r="I11" s="16" t="n">
        <x:f>'Controls'!$D$67</x:f>
        <x:v>216</x:v>
      </x:c>
    </x:row>
    <x:row r="12">
      <x:c r="B12" s="10" t="str">
        <x:v>Root B C2 gas before allowance (m3)</x:v>
      </x:c>
      <x:c r="C12" s="16" t="n">
        <x:f>'Source States'!K12</x:f>
        <x:v>4240</x:v>
      </x:c>
      <x:c r="D12" s="10" t="str">
        <x:v>C2 bounding</x:v>
      </x:c>
      <x:c r="H12" s="10" t="str">
        <x:v>Delivery window (months)</x:v>
      </x:c>
      <x:c r="I12" s="16" t="n">
        <x:f>'Controls'!$D$41</x:f>
        <x:v>30</x:v>
      </x:c>
    </x:row>
    <x:row r="13">
      <x:c r="B13" s="10" t="str">
        <x:v>Active-ventilation DME limit (kg/s)</x:v>
      </x:c>
      <x:c r="C13" s="16" t="n">
        <x:f>'DME Release'!D9</x:f>
        <x:v>0.17109452972767453</x:v>
      </x:c>
      <x:c r="D13" s="10" t="str">
        <x:v>planning</x:v>
      </x:c>
      <x:c r="H13" s="10" t="str">
        <x:v>MCR-1 capital (USD M)</x:v>
      </x:c>
      <x:c r="I13" s="16" t="n">
        <x:f>'Capital'!E12</x:f>
        <x:v>260</x:v>
      </x:c>
    </x:row>
    <x:row r="14">
      <x:c r="B14" s="10" t="str">
        <x:v>C1 gas-holder reserve (m3)</x:v>
      </x:c>
      <x:c r="C14" s="16" t="n">
        <x:f>'DME Release'!N11</x:f>
        <x:v>409.99999999999955</x:v>
      </x:c>
      <x:c r="D14" s="10" t="str">
        <x:v>planning</x:v>
      </x:c>
      <x:c r="H14" s="10" t="str">
        <x:v>MCR-1 annual support (USD M/year)</x:v>
      </x:c>
      <x:c r="I14" s="16" t="n">
        <x:f>'Annual Support'!E11</x:f>
        <x:v>25</x:v>
      </x:c>
    </x:row>
    <x:row r="15">
      <x:c r="B15" s="10" t="str">
        <x:v>Root A C1 thermal distance (m)</x:v>
      </x:c>
      <x:c r="C15" s="16" t="n">
        <x:f>'Fire Screen'!L7</x:f>
        <x:v>31.927438029784643</x:v>
      </x:c>
      <x:c r="D15" s="10" t="str">
        <x:v>planning</x:v>
      </x:c>
      <x:c r="H15" s="10" t="str">
        <x:v>Thirty-month support (USD M)</x:v>
      </x:c>
      <x:c r="I15" s="16" t="n">
        <x:f>'Annual Support'!E11*'Controls'!$D$41/12</x:f>
        <x:v>62.5</x:v>
      </x:c>
    </x:row>
    <x:row r="16">
      <x:c r="B16" s="10" t="str">
        <x:v>Root B C1 thermal distance (m)</x:v>
      </x:c>
      <x:c r="C16" s="16" t="n">
        <x:f>'Fire Screen'!L9</x:f>
        <x:v>28.068077388821663</x:v>
      </x:c>
      <x:c r="D16" s="10" t="str">
        <x:v>planning</x:v>
      </x:c>
      <x:c r="H16" s="10" t="str">
        <x:v>Thirty-month exposure (USD M)</x:v>
      </x:c>
      <x:c r="I16" s="16" t="n">
        <x:f>'Capital'!E12+'Annual Support'!E11*'Controls'!$D$41/12</x:f>
        <x:v>322.5</x:v>
      </x:c>
    </x:row>
    <x:row r="17">
      <x:c r="B17" s="10" t="str">
        <x:v>Root A C1 one-psi distance at 5% (m)</x:v>
      </x:c>
      <x:c r="C17" s="16" t="n">
        <x:f>'Explosion Screen'!M8</x:f>
        <x:v>120.71088552789399</x:v>
      </x:c>
      <x:c r="D17" s="10" t="str">
        <x:v>planning</x:v>
      </x:c>
      <x:c r="H17" s="10" t="str">
        <x:v>BRD-3R capital (USD M)</x:v>
      </x:c>
      <x:c r="I17" s="16" t="n">
        <x:f>'Capital'!E22</x:f>
        <x:v>780</x:v>
      </x:c>
    </x:row>
    <x:row r="18">
      <x:c r="B18" s="11" t="str">
        <x:v>Root B C1 one-psi distance at 5% (m)</x:v>
      </x:c>
      <x:c r="C18" s="17" t="n">
        <x:f>'Explosion Screen'!M14</x:f>
        <x:v>105.59902658584724</x:v>
      </x:c>
      <x:c r="D18" s="11" t="str">
        <x:v>planning</x:v>
      </x:c>
      <x:c r="H18" s="10" t="str">
        <x:v>BRD-3R annual support (USD M/year)</x:v>
      </x:c>
      <x:c r="I18" s="16" t="n">
        <x:f>'Annual Support'!E21</x:f>
        <x:v>157</x:v>
      </x:c>
    </x:row>
    <x:row r="19">
      <x:c r="H19" s="10" t="str">
        <x:v>BRD-3U capital (USD M)</x:v>
      </x:c>
      <x:c r="I19" s="16" t="n">
        <x:f>'Capital'!E23</x:f>
        <x:v>908</x:v>
      </x:c>
    </x:row>
    <x:row r="20">
      <x:c r="H20" s="10" t="str">
        <x:v>BRD-3U annual support (USD M/year)</x:v>
      </x:c>
      <x:c r="I20" s="16" t="n">
        <x:f>'Annual Support'!E22</x:f>
        <x:v>198</x:v>
      </x:c>
    </x:row>
    <x:row r="21" ht="42" customHeight="1">
      <x:c r="B21" s="42" t="str">
        <x:v>C2 remains BLOCKED. The 2,000 m3 gas holder retains one thermally expanded DME compartment with 410 m3 reserve, but not the 6,360 m3 four-compartment bounding volume. Ventilation reaches its planning limit near 0.171 kg/s and cannot control a line or compartment release.</x:v>
      </x:c>
      <x:c r="H21" s="10" t="str">
        <x:v>CISA capital remaining (USD M)</x:v>
      </x:c>
      <x:c r="I21" s="16" t="n">
        <x:f>'Capital'!E25</x:f>
        <x:v>180</x:v>
      </x:c>
    </x:row>
    <x:row r="22">
      <x:c r="H22" s="10" t="str">
        <x:v>CISA annual remaining (USD M/year)</x:v>
      </x:c>
      <x:c r="I22" s="16" t="n">
        <x:f>'Annual Support'!E24</x:f>
        <x:v>103</x:v>
      </x:c>
    </x:row>
    <x:row r="23">
      <x:c r="H23" s="10" t="str">
        <x:v>Planning gates passing</x:v>
      </x:c>
      <x:c r="I23" s="16" t="n">
        <x:f>COUNTIF('Release Gates'!I7:I78,"PASS")</x:f>
        <x:v>72</x:v>
      </x:c>
    </x:row>
    <x:row r="24">
      <x:c r="B24" s="8" t="str">
        <x:v>Energy case</x:v>
      </x:c>
      <x:c r="C24" s="8" t="str">
        <x:v>Chemical energy (GJ)</x:v>
      </x:c>
      <x:c r="H24" s="10" t="str">
        <x:v>Physical gates open</x:v>
      </x:c>
      <x:c r="I24" s="16" t="n">
        <x:f>COUNTIF('Release Gates'!I79:I197,"OPEN")</x:f>
        <x:v>119</x:v>
      </x:c>
    </x:row>
    <x:row r="25">
      <x:c r="B25" s="10" t="str">
        <x:v>Root A C1</x:v>
      </x:c>
      <x:c r="C25" s="16" t="n">
        <x:f>'Source States'!I8</x:f>
        <x:v>85.176</x:v>
      </x:c>
      <x:c r="H25" s="10" t="str">
        <x:v>Downstream gates blocked</x:v>
      </x:c>
      <x:c r="I25" s="16" t="n">
        <x:f>COUNTIF('Release Gates'!I198:I204,"BLOCKED")</x:f>
        <x:v>7</x:v>
      </x:c>
    </x:row>
    <x:row r="26">
      <x:c r="B26" s="10" t="str">
        <x:v>Root B C1</x:v>
      </x:c>
      <x:c r="C26" s="16" t="n">
        <x:f>'Source States'!I11</x:f>
        <x:v>57.024</x:v>
      </x:c>
      <x:c r="H26" s="11" t="str">
        <x:v>Accepted physical sources</x:v>
      </x:c>
      <x:c r="I26" s="17" t="n">
        <x:f>'Controls'!$D$65</x:f>
        <x:v>0</x:v>
      </x:c>
    </x:row>
    <x:row r="27">
      <x:c r="B27" s="10" t="str">
        <x:v>Root A C2</x:v>
      </x:c>
      <x:c r="C27" s="16" t="n">
        <x:f>'Source States'!I9</x:f>
        <x:v>340.704</x:v>
      </x:c>
    </x:row>
    <x:row r="28">
      <x:c r="B28" s="11" t="str">
        <x:v>Root B C2</x:v>
      </x:c>
      <x:c r="C28" s="17" t="n">
        <x:f>'Source States'!I12</x:f>
        <x:v>228.096</x:v>
      </x:c>
    </x:row>
  </x:sheetData>
  <x:mergeCells>
    <x:mergeCell ref="B2:P2"/>
    <x:mergeCell ref="B3:P3"/>
    <x:mergeCell ref="B6:E6"/>
    <x:mergeCell ref="H6:K6"/>
    <x:mergeCell ref="B21:E21"/>
  </x:mergeCells>
  <x:conditionalFormatting sqref="D7:D18">
    <x:cfRule type="containsText" dxfId="280" priority="1" operator="containsText" text="PASS"/>
    <x:cfRule type="containsText" dxfId="281" priority="2" operator="containsText" text="AUTHORIZED"/>
    <x:cfRule type="containsText" dxfId="282" priority="3" operator="containsText" text="DEFINED"/>
    <x:cfRule type="containsText" dxfId="283" priority="4" operator="containsText" text="READY"/>
    <x:cfRule type="containsText" dxfId="284" priority="5" operator="containsText" text="HOLD"/>
    <x:cfRule type="containsText" dxfId="285" priority="6" operator="containsText" text="OPEN"/>
    <x:cfRule type="containsText" dxfId="286" priority="7" operator="containsText" text="BLOCKED"/>
    <x:cfRule type="containsText" dxfId="287" priority="8" operator="containsText" text="PLANNING"/>
    <x:cfRule type="containsText" dxfId="288" priority="9" operator="containsText" text="QUARANTINE"/>
    <x:cfRule type="containsText" dxfId="289" priority="10" operator="containsText" text="INDETERMINATE"/>
    <x:cfRule type="containsText" dxfId="290" priority="11" operator="containsText" text="FAIL"/>
    <x:cfRule type="containsText" dxfId="291" priority="12" operator="containsText" text="REJECT"/>
    <x:cfRule type="containsText" dxfId="292" priority="13" operator="containsText" text="INVALID"/>
    <x:cfRule type="containsText" dxfId="293" priority="14" operator="containsText" text="STOP"/>
  </x:conditionalFormatting>
  <x:pageMargins left="0.7" right="0.7" top="0.75" bottom="0.75" header="0.3" footer="0.3"/>
  <x:drawing xmlns:r="http://schemas.openxmlformats.org/officeDocument/2006/relationships" r:id="R3fb4c2bc43a0497e"/>
</x:worksheet>
</file>

<file path=xl/worksheets/sheet2.xml><?xml version="1.0" encoding="utf-8"?>
<x:worksheet xmlns:x="http://schemas.openxmlformats.org/spreadsheetml/2006/main">
  <x:sheetPr>
    <x:tabColor rgb="FF78A9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8" hidden="0" customWidth="1"/>
    <x:col min="4" max="4" width="18" hidden="0" customWidth="1"/>
    <x:col min="5" max="5" width="23" hidden="0" customWidth="1"/>
    <x:col min="6" max="6" width="16" hidden="0" customWidth="1"/>
    <x:col min="7" max="7" width="22" hidden="0" customWidth="1"/>
  </x:cols>
  <x:sheetData>
    <x:row r="2">
      <x:c r="B2" s="1" t="str">
        <x:v>MCR-1 controls</x:v>
      </x:c>
    </x:row>
    <x:row r="3">
      <x:c r="B3" s="2" t="str">
        <x:v>Blue values are inherited boundaries or declared safety-case hypotheses. They are not physical hazard evidence.</x:v>
      </x:c>
    </x:row>
    <x:row r="4">
      <x:c r="B4" s="3"/>
      <x:c r="C4" s="3"/>
      <x:c r="D4" s="3"/>
      <x:c r="E4" s="3"/>
      <x:c r="F4" s="3"/>
      <x:c r="G4" s="3"/>
      <x:c r="H4" s="3"/>
    </x:row>
    <x:row r="6">
      <x:c r="B6" s="8" t="str">
        <x:v>ID</x:v>
      </x:c>
      <x:c r="C6" s="8" t="str">
        <x:v>Control</x:v>
      </x:c>
      <x:c r="D6" s="8" t="str">
        <x:v>Value</x:v>
      </x:c>
      <x:c r="E6" s="8" t="str">
        <x:v>Unit</x:v>
      </x:c>
      <x:c r="F6" s="8" t="str">
        <x:v>State</x:v>
      </x:c>
      <x:c r="G6" s="8" t="str">
        <x:v>Authority</x:v>
      </x:c>
    </x:row>
    <x:row r="7">
      <x:c r="B7" s="10" t="str">
        <x:v>C01</x:v>
      </x:c>
      <x:c r="C7" s="10" t="str">
        <x:v>Energy compartments per rack</x:v>
      </x:c>
      <x:c r="D7" s="14" t="n">
        <x:v>4</x:v>
      </x:c>
      <x:c r="E7" s="10" t="str">
        <x:v>compartments</x:v>
      </x:c>
      <x:c r="F7" s="10" t="str">
        <x:v>FROZEN</x:v>
      </x:c>
      <x:c r="G7" s="10" t="str">
        <x:v>CRET-1</x:v>
      </x:c>
    </x:row>
    <x:row r="8">
      <x:c r="B8" s="10" t="str">
        <x:v>C02</x:v>
      </x:c>
      <x:c r="C8" s="10" t="str">
        <x:v>Source mass per compartment</x:v>
      </x:c>
      <x:c r="D8" s="14" t="n">
        <x:v>2000</x:v>
      </x:c>
      <x:c r="E8" s="10" t="str">
        <x:v>kg</x:v>
      </x:c>
      <x:c r="F8" s="10" t="str">
        <x:v>FROZEN</x:v>
      </x:c>
      <x:c r="G8" s="10" t="str">
        <x:v>RSP-1</x:v>
      </x:c>
    </x:row>
    <x:row r="9">
      <x:c r="B9" s="10" t="str">
        <x:v>C03</x:v>
      </x:c>
      <x:c r="C9" s="10" t="str">
        <x:v>Root A specific chemical energy</x:v>
      </x:c>
      <x:c r="D9" s="14" t="n">
        <x:v>42.588</x:v>
      </x:c>
      <x:c r="E9" s="10" t="str">
        <x:v>MJ/kg</x:v>
      </x:c>
      <x:c r="F9" s="10" t="str">
        <x:v>HYPOTHESIS</x:v>
      </x:c>
      <x:c r="G9" s="10" t="str">
        <x:v>BPT-1 conversion</x:v>
      </x:c>
    </x:row>
    <x:row r="10">
      <x:c r="B10" s="10" t="str">
        <x:v>C04</x:v>
      </x:c>
      <x:c r="C10" s="10" t="str">
        <x:v>Root B specific chemical energy</x:v>
      </x:c>
      <x:c r="D10" s="14" t="n">
        <x:v>28.512</x:v>
      </x:c>
      <x:c r="E10" s="10" t="str">
        <x:v>MJ/kg</x:v>
      </x:c>
      <x:c r="F10" s="10" t="str">
        <x:v>HYPOTHESIS</x:v>
      </x:c>
      <x:c r="G10" s="10" t="str">
        <x:v>BPT-1 conversion</x:v>
      </x:c>
    </x:row>
    <x:row r="11">
      <x:c r="B11" s="10" t="str">
        <x:v>C05</x:v>
      </x:c>
      <x:c r="C11" s="10" t="str">
        <x:v>Root A liquid density</x:v>
      </x:c>
      <x:c r="D11" s="14" t="n">
        <x:v>800</x:v>
      </x:c>
      <x:c r="E11" s="10" t="str">
        <x:v>kg/m3</x:v>
      </x:c>
      <x:c r="F11" s="10" t="str">
        <x:v>HYPOTHESIS</x:v>
      </x:c>
      <x:c r="G11" s="10" t="str">
        <x:v>MCR-1</x:v>
      </x:c>
    </x:row>
    <x:row r="12">
      <x:c r="B12" s="10" t="str">
        <x:v>C06</x:v>
      </x:c>
      <x:c r="C12" s="10" t="str">
        <x:v>Root B liquid density</x:v>
      </x:c>
      <x:c r="D12" s="14" t="n">
        <x:v>668</x:v>
      </x:c>
      <x:c r="E12" s="10" t="str">
        <x:v>kg/m3</x:v>
      </x:c>
      <x:c r="F12" s="10" t="str">
        <x:v>HYPOTHESIS</x:v>
      </x:c>
      <x:c r="G12" s="10" t="str">
        <x:v>MCR-1</x:v>
      </x:c>
    </x:row>
    <x:row r="13">
      <x:c r="B13" s="10" t="str">
        <x:v>C07</x:v>
      </x:c>
      <x:c r="C13" s="10" t="str">
        <x:v>Root B reference-state gas expansion</x:v>
      </x:c>
      <x:c r="D13" s="14" t="n">
        <x:v>0.53</x:v>
      </x:c>
      <x:c r="E13" s="10" t="str">
        <x:v>m3/kg</x:v>
      </x:c>
      <x:c r="F13" s="10" t="str">
        <x:v>FROZEN</x:v>
      </x:c>
      <x:c r="G13" s="10" t="str">
        <x:v>RSP-1</x:v>
      </x:c>
    </x:row>
    <x:row r="14">
      <x:c r="B14" s="10" t="str">
        <x:v>C08</x:v>
      </x:c>
      <x:c r="C14" s="10" t="str">
        <x:v>Root B planning lower flammable fraction</x:v>
      </x:c>
      <x:c r="D14" s="14" t="n">
        <x:v>0.03</x:v>
      </x:c>
      <x:c r="E14" s="10" t="str">
        <x:v>volume fraction</x:v>
      </x:c>
      <x:c r="F14" s="10" t="str">
        <x:v>HYPOTHESIS</x:v>
      </x:c>
      <x:c r="G14" s="10" t="str">
        <x:v>MCR-1</x:v>
      </x:c>
    </x:row>
    <x:row r="15">
      <x:c r="B15" s="10" t="str">
        <x:v>C09</x:v>
      </x:c>
      <x:c r="C15" s="10" t="str">
        <x:v>Ventilation concentration target</x:v>
      </x:c>
      <x:c r="D15" s="14" t="n">
        <x:v>0.25</x:v>
      </x:c>
      <x:c r="E15" s="10" t="str">
        <x:v>fraction of lower limit</x:v>
      </x:c>
      <x:c r="F15" s="10" t="str">
        <x:v>DESIGN</x:v>
      </x:c>
      <x:c r="G15" s="10" t="str">
        <x:v>MCR-1</x:v>
      </x:c>
    </x:row>
    <x:row r="16">
      <x:c r="B16" s="10" t="str">
        <x:v>C10</x:v>
      </x:c>
      <x:c r="C16" s="10" t="str">
        <x:v>Local emergency ventilation</x:v>
      </x:c>
      <x:c r="D16" s="14" t="n">
        <x:v>12</x:v>
      </x:c>
      <x:c r="E16" s="10" t="str">
        <x:v>m3/s</x:v>
      </x:c>
      <x:c r="F16" s="10" t="str">
        <x:v>DESIGN</x:v>
      </x:c>
      <x:c r="G16" s="10" t="str">
        <x:v>MCR-1</x:v>
      </x:c>
    </x:row>
    <x:row r="17">
      <x:c r="B17" s="10" t="str">
        <x:v>C11</x:v>
      </x:c>
      <x:c r="C17" s="10" t="str">
        <x:v>Source-preserving gas holder</x:v>
      </x:c>
      <x:c r="D17" s="14" t="n">
        <x:v>2000</x:v>
      </x:c>
      <x:c r="E17" s="10" t="str">
        <x:v>m3</x:v>
      </x:c>
      <x:c r="F17" s="10" t="str">
        <x:v>DESIGN</x:v>
      </x:c>
      <x:c r="G17" s="10" t="str">
        <x:v>MCR-1</x:v>
      </x:c>
    </x:row>
    <x:row r="18">
      <x:c r="B18" s="10" t="str">
        <x:v>C12</x:v>
      </x:c>
      <x:c r="C18" s="10" t="str">
        <x:v>Gas thermal expansion allowance</x:v>
      </x:c>
      <x:c r="D18" s="14" t="n">
        <x:v>1.5</x:v>
      </x:c>
      <x:c r="E18" s="10" t="str">
        <x:v>factor</x:v>
      </x:c>
      <x:c r="F18" s="10" t="str">
        <x:v>DESIGN</x:v>
      </x:c>
      <x:c r="G18" s="10" t="str">
        <x:v>MCR-1</x:v>
      </x:c>
    </x:row>
    <x:row r="19">
      <x:c r="B19" s="10" t="str">
        <x:v>C13</x:v>
      </x:c>
      <x:c r="C19" s="10" t="str">
        <x:v>Local liquid containment factor</x:v>
      </x:c>
      <x:c r="D19" s="14" t="n">
        <x:v>5</x:v>
      </x:c>
      <x:c r="E19" s="10" t="str">
        <x:v>times source volume</x:v>
      </x:c>
      <x:c r="F19" s="10" t="str">
        <x:v>DESIGN</x:v>
      </x:c>
      <x:c r="G19" s="10" t="str">
        <x:v>MCR-1</x:v>
      </x:c>
    </x:row>
    <x:row r="20">
      <x:c r="B20" s="10" t="str">
        <x:v>C14</x:v>
      </x:c>
      <x:c r="C20" s="10" t="str">
        <x:v>Segregated firewater retention</x:v>
      </x:c>
      <x:c r="D20" s="14" t="n">
        <x:v>120</x:v>
      </x:c>
      <x:c r="E20" s="10" t="str">
        <x:v>m3/cell</x:v>
      </x:c>
      <x:c r="F20" s="10" t="str">
        <x:v>DESIGN</x:v>
      </x:c>
      <x:c r="G20" s="10" t="str">
        <x:v>MCR-1</x:v>
      </x:c>
    </x:row>
    <x:row r="21">
      <x:c r="B21" s="10" t="str">
        <x:v>C15</x:v>
      </x:c>
      <x:c r="C21" s="10" t="str">
        <x:v>Root A bounded pool area</x:v>
      </x:c>
      <x:c r="D21" s="14" t="n">
        <x:v>25</x:v>
      </x:c>
      <x:c r="E21" s="10" t="str">
        <x:v>m2</x:v>
      </x:c>
      <x:c r="F21" s="10" t="str">
        <x:v>HYPOTHESIS</x:v>
      </x:c>
      <x:c r="G21" s="10" t="str">
        <x:v>MCR-1</x:v>
      </x:c>
    </x:row>
    <x:row r="22">
      <x:c r="B22" s="10" t="str">
        <x:v>C16</x:v>
      </x:c>
      <x:c r="C22" s="10" t="str">
        <x:v>Root A pool burning rate</x:v>
      </x:c>
      <x:c r="D22" s="14" t="n">
        <x:v>0.055</x:v>
      </x:c>
      <x:c r="E22" s="10" t="str">
        <x:v>kg/m2/s</x:v>
      </x:c>
      <x:c r="F22" s="10" t="str">
        <x:v>HYPOTHESIS</x:v>
      </x:c>
      <x:c r="G22" s="10" t="str">
        <x:v>MCR-1</x:v>
      </x:c>
    </x:row>
    <x:row r="23">
      <x:c r="B23" s="10" t="str">
        <x:v>C17</x:v>
      </x:c>
      <x:c r="C23" s="10" t="str">
        <x:v>Root A radiative fraction</x:v>
      </x:c>
      <x:c r="D23" s="14" t="n">
        <x:v>0.35</x:v>
      </x:c>
      <x:c r="E23" s="10" t="str">
        <x:v>fraction</x:v>
      </x:c>
      <x:c r="F23" s="10" t="str">
        <x:v>HYPOTHESIS</x:v>
      </x:c>
      <x:c r="G23" s="10" t="str">
        <x:v>MCR-1</x:v>
      </x:c>
    </x:row>
    <x:row r="24">
      <x:c r="B24" s="10" t="str">
        <x:v>C18</x:v>
      </x:c>
      <x:c r="C24" s="10" t="str">
        <x:v>Root B bounded burn duration</x:v>
      </x:c>
      <x:c r="D24" s="14" t="n">
        <x:v>900</x:v>
      </x:c>
      <x:c r="E24" s="10" t="str">
        <x:v>s</x:v>
      </x:c>
      <x:c r="F24" s="10" t="str">
        <x:v>HYPOTHESIS</x:v>
      </x:c>
      <x:c r="G24" s="10" t="str">
        <x:v>MCR-1</x:v>
      </x:c>
    </x:row>
    <x:row r="25">
      <x:c r="B25" s="10" t="str">
        <x:v>C19</x:v>
      </x:c>
      <x:c r="C25" s="10" t="str">
        <x:v>Root B radiative fraction</x:v>
      </x:c>
      <x:c r="D25" s="14" t="n">
        <x:v>0.25</x:v>
      </x:c>
      <x:c r="E25" s="10" t="str">
        <x:v>fraction</x:v>
      </x:c>
      <x:c r="F25" s="10" t="str">
        <x:v>HYPOTHESIS</x:v>
      </x:c>
      <x:c r="G25" s="10" t="str">
        <x:v>MCR-1</x:v>
      </x:c>
    </x:row>
    <x:row r="26">
      <x:c r="B26" s="10" t="str">
        <x:v>C20</x:v>
      </x:c>
      <x:c r="C26" s="10" t="str">
        <x:v>Thermal boundary target</x:v>
      </x:c>
      <x:c r="D26" s="14" t="n">
        <x:v>1.6</x:v>
      </x:c>
      <x:c r="E26" s="10" t="str">
        <x:v>kW/m2</x:v>
      </x:c>
      <x:c r="F26" s="10" t="str">
        <x:v>DESIGN</x:v>
      </x:c>
      <x:c r="G26" s="10" t="str">
        <x:v>MCR-1</x:v>
      </x:c>
    </x:row>
    <x:row r="27">
      <x:c r="B27" s="10" t="str">
        <x:v>C21</x:v>
      </x:c>
      <x:c r="C27" s="10" t="str">
        <x:v>TNT reference energy</x:v>
      </x:c>
      <x:c r="D27" s="14" t="n">
        <x:v>4.184</x:v>
      </x:c>
      <x:c r="E27" s="10" t="str">
        <x:v>MJ/kg</x:v>
      </x:c>
      <x:c r="F27" s="10" t="str">
        <x:v>HYPOTHESIS</x:v>
      </x:c>
      <x:c r="G27" s="10" t="str">
        <x:v>MCR-1</x:v>
      </x:c>
    </x:row>
    <x:row r="28">
      <x:c r="B28" s="10" t="str">
        <x:v>C22</x:v>
      </x:c>
      <x:c r="C28" s="10" t="str">
        <x:v>Low combustion participation</x:v>
      </x:c>
      <x:c r="D28" s="14" t="n">
        <x:v>0.01</x:v>
      </x:c>
      <x:c r="E28" s="10" t="str">
        <x:v>fraction</x:v>
      </x:c>
      <x:c r="F28" s="10" t="str">
        <x:v>HYPOTHESIS</x:v>
      </x:c>
      <x:c r="G28" s="10" t="str">
        <x:v>MCR-1</x:v>
      </x:c>
    </x:row>
    <x:row r="29">
      <x:c r="B29" s="10" t="str">
        <x:v>C23</x:v>
      </x:c>
      <x:c r="C29" s="10" t="str">
        <x:v>Central combustion participation</x:v>
      </x:c>
      <x:c r="D29" s="14" t="n">
        <x:v>0.05</x:v>
      </x:c>
      <x:c r="E29" s="10" t="str">
        <x:v>fraction</x:v>
      </x:c>
      <x:c r="F29" s="10" t="str">
        <x:v>HYPOTHESIS</x:v>
      </x:c>
      <x:c r="G29" s="10" t="str">
        <x:v>MCR-1</x:v>
      </x:c>
    </x:row>
    <x:row r="30">
      <x:c r="B30" s="10" t="str">
        <x:v>C24</x:v>
      </x:c>
      <x:c r="C30" s="10" t="str">
        <x:v>High combustion participation</x:v>
      </x:c>
      <x:c r="D30" s="14" t="n">
        <x:v>0.1</x:v>
      </x:c>
      <x:c r="E30" s="10" t="str">
        <x:v>fraction</x:v>
      </x:c>
      <x:c r="F30" s="10" t="str">
        <x:v>HYPOTHESIS</x:v>
      </x:c>
      <x:c r="G30" s="10" t="str">
        <x:v>MCR-1</x:v>
      </x:c>
    </x:row>
    <x:row r="31">
      <x:c r="B31" s="10" t="str">
        <x:v>C25</x:v>
      </x:c>
      <x:c r="C31" s="10" t="str">
        <x:v>Five psi scaled distance</x:v>
      </x:c>
      <x:c r="D31" s="14" t="n">
        <x:v>4.5</x:v>
      </x:c>
      <x:c r="E31" s="10" t="str">
        <x:v>m/kg^(1/3)</x:v>
      </x:c>
      <x:c r="F31" s="10" t="str">
        <x:v>HYPOTHESIS</x:v>
      </x:c>
      <x:c r="G31" s="10" t="str">
        <x:v>MCR-1</x:v>
      </x:c>
    </x:row>
    <x:row r="32">
      <x:c r="B32" s="10" t="str">
        <x:v>C26</x:v>
      </x:c>
      <x:c r="C32" s="10" t="str">
        <x:v>Three psi scaled distance</x:v>
      </x:c>
      <x:c r="D32" s="14" t="n">
        <x:v>6</x:v>
      </x:c>
      <x:c r="E32" s="10" t="str">
        <x:v>m/kg^(1/3)</x:v>
      </x:c>
      <x:c r="F32" s="10" t="str">
        <x:v>HYPOTHESIS</x:v>
      </x:c>
      <x:c r="G32" s="10" t="str">
        <x:v>MCR-1</x:v>
      </x:c>
    </x:row>
    <x:row r="33">
      <x:c r="B33" s="10" t="str">
        <x:v>C27</x:v>
      </x:c>
      <x:c r="C33" s="10" t="str">
        <x:v>One psi scaled distance</x:v>
      </x:c>
      <x:c r="D33" s="14" t="n">
        <x:v>12</x:v>
      </x:c>
      <x:c r="E33" s="10" t="str">
        <x:v>m/kg^(1/3)</x:v>
      </x:c>
      <x:c r="F33" s="10" t="str">
        <x:v>HYPOTHESIS</x:v>
      </x:c>
      <x:c r="G33" s="10" t="str">
        <x:v>MCR-1</x:v>
      </x:c>
    </x:row>
    <x:row r="34">
      <x:c r="B34" s="10" t="str">
        <x:v>C28</x:v>
      </x:c>
      <x:c r="C34" s="10" t="str">
        <x:v>Source-preserving lane cells</x:v>
      </x:c>
      <x:c r="D34" s="14" t="n">
        <x:v>2</x:v>
      </x:c>
      <x:c r="E34" s="10" t="str">
        <x:v>cells</x:v>
      </x:c>
      <x:c r="F34" s="10" t="str">
        <x:v>DESIGN</x:v>
      </x:c>
      <x:c r="G34" s="10" t="str">
        <x:v>MCR-1</x:v>
      </x:c>
    </x:row>
    <x:row r="35">
      <x:c r="B35" s="10" t="str">
        <x:v>C29</x:v>
      </x:c>
      <x:c r="C35" s="10" t="str">
        <x:v>Destructive consequence cells</x:v>
      </x:c>
      <x:c r="D35" s="14" t="n">
        <x:v>1</x:v>
      </x:c>
      <x:c r="E35" s="10" t="str">
        <x:v>cells</x:v>
      </x:c>
      <x:c r="F35" s="10" t="str">
        <x:v>DESIGN</x:v>
      </x:c>
      <x:c r="G35" s="10" t="str">
        <x:v>MCR-1</x:v>
      </x:c>
    </x:row>
    <x:row r="36">
      <x:c r="B36" s="10" t="str">
        <x:v>C30</x:v>
      </x:c>
      <x:c r="C36" s="10" t="str">
        <x:v>Hazard-world classes</x:v>
      </x:c>
      <x:c r="D36" s="14" t="n">
        <x:v>12</x:v>
      </x:c>
      <x:c r="E36" s="10" t="str">
        <x:v>worlds/root</x:v>
      </x:c>
      <x:c r="F36" s="10" t="str">
        <x:v>DESIGN</x:v>
      </x:c>
      <x:c r="G36" s="10" t="str">
        <x:v>MCR-1</x:v>
      </x:c>
    </x:row>
    <x:row r="37">
      <x:c r="B37" s="10" t="str">
        <x:v>C31</x:v>
      </x:c>
      <x:c r="C37" s="10" t="str">
        <x:v>Inserted-fault trials</x:v>
      </x:c>
      <x:c r="D37" s="14" t="n">
        <x:v>48</x:v>
      </x:c>
      <x:c r="E37" s="10" t="str">
        <x:v>trials</x:v>
      </x:c>
      <x:c r="F37" s="10" t="str">
        <x:v>DESIGN</x:v>
      </x:c>
      <x:c r="G37" s="10" t="str">
        <x:v>MCR-1</x:v>
      </x:c>
    </x:row>
    <x:row r="38">
      <x:c r="B38" s="10" t="str">
        <x:v>C32</x:v>
      </x:c>
      <x:c r="C38" s="10" t="str">
        <x:v>Clean control trials</x:v>
      </x:c>
      <x:c r="D38" s="14" t="n">
        <x:v>24</x:v>
      </x:c>
      <x:c r="E38" s="10" t="str">
        <x:v>trials</x:v>
      </x:c>
      <x:c r="F38" s="10" t="str">
        <x:v>DESIGN</x:v>
      </x:c>
      <x:c r="G38" s="10" t="str">
        <x:v>MCR-1</x:v>
      </x:c>
    </x:row>
    <x:row r="39">
      <x:c r="B39" s="10" t="str">
        <x:v>C33</x:v>
      </x:c>
      <x:c r="C39" s="10" t="str">
        <x:v>Cross-site hazardous replays</x:v>
      </x:c>
      <x:c r="D39" s="14" t="n">
        <x:v>8</x:v>
      </x:c>
      <x:c r="E39" s="10" t="str">
        <x:v>replays</x:v>
      </x:c>
      <x:c r="F39" s="10" t="str">
        <x:v>DESIGN</x:v>
      </x:c>
      <x:c r="G39" s="10" t="str">
        <x:v>MCR-1</x:v>
      </x:c>
    </x:row>
    <x:row r="40">
      <x:c r="B40" s="10" t="str">
        <x:v>C34</x:v>
      </x:c>
      <x:c r="C40" s="10" t="str">
        <x:v>Safety-case event total</x:v>
      </x:c>
      <x:c r="D40" s="14" t="n">
        <x:v>80</x:v>
      </x:c>
      <x:c r="E40" s="10" t="str">
        <x:v>events</x:v>
      </x:c>
      <x:c r="F40" s="10" t="str">
        <x:v>DESIGN</x:v>
      </x:c>
      <x:c r="G40" s="10" t="str">
        <x:v>MCR-1</x:v>
      </x:c>
    </x:row>
    <x:row r="41">
      <x:c r="B41" s="10" t="str">
        <x:v>C35</x:v>
      </x:c>
      <x:c r="C41" s="10" t="str">
        <x:v>Safety-case delivery window</x:v>
      </x:c>
      <x:c r="D41" s="14" t="n">
        <x:v>30</x:v>
      </x:c>
      <x:c r="E41" s="10" t="str">
        <x:v>months</x:v>
      </x:c>
      <x:c r="F41" s="10" t="str">
        <x:v>DESIGN</x:v>
      </x:c>
      <x:c r="G41" s="10" t="str">
        <x:v>MCR-1</x:v>
      </x:c>
    </x:row>
    <x:row r="42">
      <x:c r="B42" s="10" t="str">
        <x:v>C36</x:v>
      </x:c>
      <x:c r="C42" s="10" t="str">
        <x:v>MCR-1 capital</x:v>
      </x:c>
      <x:c r="D42" s="14" t="n">
        <x:v>0.26</x:v>
      </x:c>
      <x:c r="E42" s="10" t="str">
        <x:v>USD B</x:v>
      </x:c>
      <x:c r="F42" s="10" t="str">
        <x:v>DESIGN</x:v>
      </x:c>
      <x:c r="G42" s="10" t="str">
        <x:v>MCR-1</x:v>
      </x:c>
    </x:row>
    <x:row r="43">
      <x:c r="B43" s="10" t="str">
        <x:v>C37</x:v>
      </x:c>
      <x:c r="C43" s="10" t="str">
        <x:v>MCR-1 annual support</x:v>
      </x:c>
      <x:c r="D43" s="14" t="n">
        <x:v>0.025</x:v>
      </x:c>
      <x:c r="E43" s="10" t="str">
        <x:v>USD B/year</x:v>
      </x:c>
      <x:c r="F43" s="10" t="str">
        <x:v>DESIGN</x:v>
      </x:c>
      <x:c r="G43" s="10" t="str">
        <x:v>MCR-1</x:v>
      </x:c>
    </x:row>
    <x:row r="44">
      <x:c r="B44" s="10" t="str">
        <x:v>C38</x:v>
      </x:c>
      <x:c r="C44" s="10" t="str">
        <x:v>RSP-1 capital</x:v>
      </x:c>
      <x:c r="D44" s="14" t="n">
        <x:v>0.168</x:v>
      </x:c>
      <x:c r="E44" s="10" t="str">
        <x:v>USD B</x:v>
      </x:c>
      <x:c r="F44" s="10" t="str">
        <x:v>FROZEN</x:v>
      </x:c>
      <x:c r="G44" s="10" t="str">
        <x:v>RSP-1</x:v>
      </x:c>
    </x:row>
    <x:row r="45">
      <x:c r="B45" s="10" t="str">
        <x:v>C39</x:v>
      </x:c>
      <x:c r="C45" s="10" t="str">
        <x:v>RSP-1 annual support</x:v>
      </x:c>
      <x:c r="D45" s="14" t="n">
        <x:v>0.044</x:v>
      </x:c>
      <x:c r="E45" s="10" t="str">
        <x:v>USD B/year</x:v>
      </x:c>
      <x:c r="F45" s="10" t="str">
        <x:v>FROZEN</x:v>
      </x:c>
      <x:c r="G45" s="10" t="str">
        <x:v>RSP-1</x:v>
      </x:c>
    </x:row>
    <x:row r="46">
      <x:c r="B46" s="10" t="str">
        <x:v>C40</x:v>
      </x:c>
      <x:c r="C46" s="10" t="str">
        <x:v>Other CISA-specific capital reserve</x:v>
      </x:c>
      <x:c r="D46" s="14" t="n">
        <x:v>0.034</x:v>
      </x:c>
      <x:c r="E46" s="10" t="str">
        <x:v>USD B</x:v>
      </x:c>
      <x:c r="F46" s="10" t="str">
        <x:v>DESIGN</x:v>
      </x:c>
      <x:c r="G46" s="10" t="str">
        <x:v>MCR-1</x:v>
      </x:c>
    </x:row>
    <x:row r="47">
      <x:c r="B47" s="10" t="str">
        <x:v>C41</x:v>
      </x:c>
      <x:c r="C47" s="10" t="str">
        <x:v>Other CISA-specific annual reserve</x:v>
      </x:c>
      <x:c r="D47" s="14" t="n">
        <x:v>0.004</x:v>
      </x:c>
      <x:c r="E47" s="10" t="str">
        <x:v>USD B/year</x:v>
      </x:c>
      <x:c r="F47" s="10" t="str">
        <x:v>DESIGN</x:v>
      </x:c>
      <x:c r="G47" s="10" t="str">
        <x:v>MCR-1</x:v>
      </x:c>
    </x:row>
    <x:row r="48">
      <x:c r="B48" s="10" t="str">
        <x:v>C42</x:v>
      </x:c>
      <x:c r="C48" s="10" t="str">
        <x:v>Shared-estate capital reservation</x:v>
      </x:c>
      <x:c r="D48" s="14" t="n">
        <x:v>0.128</x:v>
      </x:c>
      <x:c r="E48" s="10" t="str">
        <x:v>USD B</x:v>
      </x:c>
      <x:c r="F48" s="10" t="str">
        <x:v>FROZEN</x:v>
      </x:c>
      <x:c r="G48" s="10" t="str">
        <x:v>PTC-0</x:v>
      </x:c>
    </x:row>
    <x:row r="49">
      <x:c r="B49" s="10" t="str">
        <x:v>C43</x:v>
      </x:c>
      <x:c r="C49" s="10" t="str">
        <x:v>Shared-estate annual reservation</x:v>
      </x:c>
      <x:c r="D49" s="14" t="n">
        <x:v>0.041</x:v>
      </x:c>
      <x:c r="E49" s="10" t="str">
        <x:v>USD B/year</x:v>
      </x:c>
      <x:c r="F49" s="10" t="str">
        <x:v>FROZEN</x:v>
      </x:c>
      <x:c r="G49" s="10" t="str">
        <x:v>PTC-0</x:v>
      </x:c>
    </x:row>
    <x:row r="50">
      <x:c r="B50" s="10" t="str">
        <x:v>C44</x:v>
      </x:c>
      <x:c r="C50" s="10" t="str">
        <x:v>BRD-1 capital</x:v>
      </x:c>
      <x:c r="D50" s="14" t="n">
        <x:v>0.318</x:v>
      </x:c>
      <x:c r="E50" s="10" t="str">
        <x:v>USD B</x:v>
      </x:c>
      <x:c r="F50" s="10" t="str">
        <x:v>FROZEN</x:v>
      </x:c>
      <x:c r="G50" s="10" t="str">
        <x:v>BRD-1</x:v>
      </x:c>
    </x:row>
    <x:row r="51">
      <x:c r="B51" s="10" t="str">
        <x:v>C45</x:v>
      </x:c>
      <x:c r="C51" s="10" t="str">
        <x:v>BRD-1 annual support</x:v>
      </x:c>
      <x:c r="D51" s="14" t="n">
        <x:v>0.084</x:v>
      </x:c>
      <x:c r="E51" s="10" t="str">
        <x:v>USD B/year</x:v>
      </x:c>
      <x:c r="F51" s="10" t="str">
        <x:v>FROZEN</x:v>
      </x:c>
      <x:c r="G51" s="10" t="str">
        <x:v>BRD-1</x:v>
      </x:c>
    </x:row>
    <x:row r="52">
      <x:c r="B52" s="10" t="str">
        <x:v>C46</x:v>
      </x:c>
      <x:c r="C52" s="10" t="str">
        <x:v>CISA-1 capital boundary</x:v>
      </x:c>
      <x:c r="D52" s="14" t="n">
        <x:v>0.96</x:v>
      </x:c>
      <x:c r="E52" s="10" t="str">
        <x:v>USD B</x:v>
      </x:c>
      <x:c r="F52" s="10" t="str">
        <x:v>FROZEN</x:v>
      </x:c>
      <x:c r="G52" s="10" t="str">
        <x:v>CISA-1</x:v>
      </x:c>
    </x:row>
    <x:row r="53">
      <x:c r="B53" s="10" t="str">
        <x:v>C47</x:v>
      </x:c>
      <x:c r="C53" s="10" t="str">
        <x:v>CISA-1 annual boundary</x:v>
      </x:c>
      <x:c r="D53" s="14" t="n">
        <x:v>0.26</x:v>
      </x:c>
      <x:c r="E53" s="10" t="str">
        <x:v>USD B/year</x:v>
      </x:c>
      <x:c r="F53" s="10" t="str">
        <x:v>FROZEN</x:v>
      </x:c>
      <x:c r="G53" s="10" t="str">
        <x:v>CISA-1</x:v>
      </x:c>
    </x:row>
    <x:row r="54">
      <x:c r="B54" s="10" t="str">
        <x:v>C48</x:v>
      </x:c>
      <x:c r="C54" s="10" t="str">
        <x:v>Cell physical acceptance</x:v>
      </x:c>
      <x:c r="D54" s="14" t="n">
        <x:v>0</x:v>
      </x:c>
      <x:c r="E54" s="10" t="str">
        <x:v>binary</x:v>
      </x:c>
      <x:c r="F54" s="10" t="str">
        <x:v>OPEN</x:v>
      </x:c>
      <x:c r="G54" s="10" t="str">
        <x:v>physical source</x:v>
      </x:c>
    </x:row>
    <x:row r="55">
      <x:c r="B55" s="10" t="str">
        <x:v>C49</x:v>
      </x:c>
      <x:c r="C55" s="10" t="str">
        <x:v>Propagation-denial physical evidence</x:v>
      </x:c>
      <x:c r="D55" s="14" t="n">
        <x:v>0</x:v>
      </x:c>
      <x:c r="E55" s="10" t="str">
        <x:v>binary</x:v>
      </x:c>
      <x:c r="F55" s="10" t="str">
        <x:v>OPEN</x:v>
      </x:c>
      <x:c r="G55" s="10" t="str">
        <x:v>physical source</x:v>
      </x:c>
    </x:row>
    <x:row r="56">
      <x:c r="B56" s="10" t="str">
        <x:v>C50</x:v>
      </x:c>
      <x:c r="C56" s="10" t="str">
        <x:v>Hazard trials executed</x:v>
      </x:c>
      <x:c r="D56" s="14" t="n">
        <x:v>0</x:v>
      </x:c>
      <x:c r="E56" s="10" t="str">
        <x:v>binary</x:v>
      </x:c>
      <x:c r="F56" s="10" t="str">
        <x:v>OPEN</x:v>
      </x:c>
      <x:c r="G56" s="10" t="str">
        <x:v>physical source</x:v>
      </x:c>
    </x:row>
    <x:row r="57">
      <x:c r="B57" s="10" t="str">
        <x:v>C51</x:v>
      </x:c>
      <x:c r="C57" s="10" t="str">
        <x:v>Eight-tonne C2 admission</x:v>
      </x:c>
      <x:c r="D57" s="14" t="n">
        <x:v>0</x:v>
      </x:c>
      <x:c r="E57" s="10" t="str">
        <x:v>binary</x:v>
      </x:c>
      <x:c r="F57" s="10" t="str">
        <x:v>BLOCKED</x:v>
      </x:c>
      <x:c r="G57" s="10" t="str">
        <x:v>downstream</x:v>
      </x:c>
    </x:row>
    <x:row r="58">
      <x:c r="B58" s="10" t="str">
        <x:v>C52</x:v>
      </x:c>
      <x:c r="C58" s="10" t="str">
        <x:v>SDEC-1 execution authority</x:v>
      </x:c>
      <x:c r="D58" s="14" t="n">
        <x:v>0</x:v>
      </x:c>
      <x:c r="E58" s="10" t="str">
        <x:v>binary</x:v>
      </x:c>
      <x:c r="F58" s="10" t="str">
        <x:v>BLOCKED</x:v>
      </x:c>
      <x:c r="G58" s="10" t="str">
        <x:v>downstream</x:v>
      </x:c>
    </x:row>
    <x:row r="59">
      <x:c r="B59" s="10" t="str">
        <x:v>C53</x:v>
      </x:c>
      <x:c r="C59" s="10" t="str">
        <x:v>Complete-article admission</x:v>
      </x:c>
      <x:c r="D59" s="14" t="n">
        <x:v>0</x:v>
      </x:c>
      <x:c r="E59" s="10" t="str">
        <x:v>binary</x:v>
      </x:c>
      <x:c r="F59" s="10" t="str">
        <x:v>BLOCKED</x:v>
      </x:c>
      <x:c r="G59" s="10" t="str">
        <x:v>downstream</x:v>
      </x:c>
    </x:row>
    <x:row r="60">
      <x:c r="B60" s="10" t="str">
        <x:v>C54</x:v>
      </x:c>
      <x:c r="C60" s="10" t="str">
        <x:v>CISA-RB1 disposition</x:v>
      </x:c>
      <x:c r="D60" s="14" t="n">
        <x:v>0</x:v>
      </x:c>
      <x:c r="E60" s="10" t="str">
        <x:v>binary</x:v>
      </x:c>
      <x:c r="F60" s="10" t="str">
        <x:v>BLOCKED</x:v>
      </x:c>
      <x:c r="G60" s="10" t="str">
        <x:v>downstream</x:v>
      </x:c>
    </x:row>
    <x:row r="61">
      <x:c r="B61" s="10" t="str">
        <x:v>C55</x:v>
      </x:c>
      <x:c r="C61" s="10" t="str">
        <x:v>CRC-E01 admission</x:v>
      </x:c>
      <x:c r="D61" s="14" t="n">
        <x:v>0</x:v>
      </x:c>
      <x:c r="E61" s="10" t="str">
        <x:v>binary</x:v>
      </x:c>
      <x:c r="F61" s="10" t="str">
        <x:v>BLOCKED</x:v>
      </x:c>
      <x:c r="G61" s="10" t="str">
        <x:v>downstream</x:v>
      </x:c>
    </x:row>
    <x:row r="62">
      <x:c r="B62" s="10" t="str">
        <x:v>C56</x:v>
      </x:c>
      <x:c r="C62" s="10" t="str">
        <x:v>Production authority</x:v>
      </x:c>
      <x:c r="D62" s="14" t="n">
        <x:v>0</x:v>
      </x:c>
      <x:c r="E62" s="10" t="str">
        <x:v>binary</x:v>
      </x:c>
      <x:c r="F62" s="10" t="str">
        <x:v>BLOCKED</x:v>
      </x:c>
      <x:c r="G62" s="10" t="str">
        <x:v>downstream</x:v>
      </x:c>
    </x:row>
    <x:row r="63">
      <x:c r="B63" s="10" t="str">
        <x:v>C57</x:v>
      </x:c>
      <x:c r="C63" s="10" t="str">
        <x:v>Exterior rendering authority</x:v>
      </x:c>
      <x:c r="D63" s="14" t="n">
        <x:v>0</x:v>
      </x:c>
      <x:c r="E63" s="10" t="str">
        <x:v>binary</x:v>
      </x:c>
      <x:c r="F63" s="10" t="str">
        <x:v>BLOCKED</x:v>
      </x:c>
      <x:c r="G63" s="10" t="str">
        <x:v>downstream</x:v>
      </x:c>
    </x:row>
    <x:row r="64">
      <x:c r="B64" s="10" t="str">
        <x:v>C58</x:v>
      </x:c>
      <x:c r="C64" s="10" t="str">
        <x:v>Financial execution authority</x:v>
      </x:c>
      <x:c r="D64" s="14" t="n">
        <x:v>0</x:v>
      </x:c>
      <x:c r="E64" s="10" t="str">
        <x:v>binary</x:v>
      </x:c>
      <x:c r="F64" s="10" t="str">
        <x:v>OPEN</x:v>
      </x:c>
      <x:c r="G64" s="10" t="str">
        <x:v>funding source</x:v>
      </x:c>
    </x:row>
    <x:row r="65">
      <x:c r="B65" s="10" t="str">
        <x:v>C59</x:v>
      </x:c>
      <x:c r="C65" s="10" t="str">
        <x:v>Accepted physical source count</x:v>
      </x:c>
      <x:c r="D65" s="14" t="n">
        <x:v>0</x:v>
      </x:c>
      <x:c r="E65" s="10" t="str">
        <x:v>sources</x:v>
      </x:c>
      <x:c r="F65" s="10" t="str">
        <x:v>OPEN</x:v>
      </x:c>
      <x:c r="G65" s="10" t="str">
        <x:v>physical source</x:v>
      </x:c>
    </x:row>
    <x:row r="66">
      <x:c r="B66" s="10" t="str">
        <x:v>C60</x:v>
      </x:c>
      <x:c r="C66" s="10" t="str">
        <x:v>Independent evidence originals</x:v>
      </x:c>
      <x:c r="D66" s="14" t="n">
        <x:v>2</x:v>
      </x:c>
      <x:c r="E66" s="10" t="str">
        <x:v>originals</x:v>
      </x:c>
      <x:c r="F66" s="10" t="str">
        <x:v>FROZEN</x:v>
      </x:c>
      <x:c r="G66" s="10" t="str">
        <x:v>SDEC-1</x:v>
      </x:c>
    </x:row>
    <x:row r="67">
      <x:c r="B67" s="10" t="str">
        <x:v>C61</x:v>
      </x:c>
      <x:c r="C67" s="10" t="str">
        <x:v>Reserved safety-case workforce</x:v>
      </x:c>
      <x:c r="D67" s="14" t="n">
        <x:v>216</x:v>
      </x:c>
      <x:c r="E67" s="10" t="str">
        <x:v>positions</x:v>
      </x:c>
      <x:c r="F67" s="10" t="str">
        <x:v>DESIGN</x:v>
      </x:c>
      <x:c r="G67" s="10" t="str">
        <x:v>MCR-1</x:v>
      </x:c>
    </x:row>
    <x:row r="68">
      <x:c r="B68" s="10" t="str">
        <x:v>C62</x:v>
      </x:c>
      <x:c r="C68" s="10" t="str">
        <x:v>Planning gates</x:v>
      </x:c>
      <x:c r="D68" s="14" t="n">
        <x:v>72</x:v>
      </x:c>
      <x:c r="E68" s="10" t="str">
        <x:v>gates</x:v>
      </x:c>
      <x:c r="F68" s="10" t="str">
        <x:v>DESIGN</x:v>
      </x:c>
      <x:c r="G68" s="10" t="str">
        <x:v>MCR-1</x:v>
      </x:c>
    </x:row>
    <x:row r="69">
      <x:c r="B69" s="10" t="str">
        <x:v>C63</x:v>
      </x:c>
      <x:c r="C69" s="10" t="str">
        <x:v>Physical gates</x:v>
      </x:c>
      <x:c r="D69" s="14" t="n">
        <x:v>119</x:v>
      </x:c>
      <x:c r="E69" s="10" t="str">
        <x:v>gates</x:v>
      </x:c>
      <x:c r="F69" s="10" t="str">
        <x:v>DESIGN</x:v>
      </x:c>
      <x:c r="G69" s="10" t="str">
        <x:v>MCR-1</x:v>
      </x:c>
    </x:row>
    <x:row r="70">
      <x:c r="B70" s="11" t="str">
        <x:v>C64</x:v>
      </x:c>
      <x:c r="C70" s="11" t="str">
        <x:v>Downstream gates</x:v>
      </x:c>
      <x:c r="D70" s="15" t="n">
        <x:v>7</x:v>
      </x:c>
      <x:c r="E70" s="11" t="str">
        <x:v>gates</x:v>
      </x:c>
      <x:c r="F70" s="11" t="str">
        <x:v>DESIGN</x:v>
      </x:c>
      <x:c r="G70" s="11" t="str">
        <x:v>MCR-1</x:v>
      </x:c>
    </x:row>
  </x:sheetData>
  <x:mergeCells>
    <x:mergeCell ref="B2:H2"/>
    <x:mergeCell ref="B3:H3"/>
  </x:mergeCells>
  <x:conditionalFormatting sqref="F7:F70">
    <x:cfRule type="containsText" dxfId="0" priority="1" operator="containsText" text="PASS"/>
    <x:cfRule type="containsText" dxfId="1" priority="2" operator="containsText" text="AUTHORIZED"/>
    <x:cfRule type="containsText" dxfId="2" priority="3" operator="containsText" text="DEFINED"/>
    <x:cfRule type="containsText" dxfId="3" priority="4" operator="containsText" text="READY"/>
    <x:cfRule type="containsText" dxfId="4" priority="5" operator="containsText" text="HOLD"/>
    <x:cfRule type="containsText" dxfId="5" priority="6" operator="containsText" text="OPEN"/>
    <x:cfRule type="containsText" dxfId="6" priority="7" operator="containsText" text="BLOCKED"/>
    <x:cfRule type="containsText" dxfId="7" priority="8" operator="containsText" text="PLANNING"/>
    <x:cfRule type="containsText" dxfId="8" priority="9" operator="containsText" text="QUARANTINE"/>
    <x:cfRule type="containsText" dxfId="9" priority="10" operator="containsText" text="INDETERMINATE"/>
    <x:cfRule type="containsText" dxfId="10" priority="11" operator="containsText" text="FAIL"/>
    <x:cfRule type="containsText" dxfId="11" priority="12" operator="containsText" text="REJECT"/>
    <x:cfRule type="containsText" dxfId="12" priority="13" operator="containsText" text="INVALID"/>
    <x:cfRule type="containsText" dxfId="13" priority="14" operator="containsText" text="STOP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8" hidden="0" customWidth="1"/>
    <x:col min="3" max="3" width="9" hidden="0" customWidth="1"/>
    <x:col min="4" max="4" width="18" hidden="0" customWidth="1"/>
    <x:col min="5" max="5" width="39" hidden="0" customWidth="1"/>
    <x:col min="6" max="6" width="20" hidden="0" customWidth="1"/>
    <x:col min="7" max="7" width="17" hidden="0" customWidth="1"/>
    <x:col min="8" max="8" width="20" hidden="0" customWidth="1"/>
    <x:col min="9" max="9" width="18" hidden="0" customWidth="1"/>
    <x:col min="10" max="10" width="17" hidden="0" customWidth="1"/>
    <x:col min="11" max="11" width="17" hidden="0" customWidth="1"/>
    <x:col min="12" max="12" width="17" hidden="0" customWidth="1"/>
    <x:col min="13" max="13" width="15" hidden="0" customWidth="1"/>
    <x:col min="14" max="14" width="15" hidden="0" customWidth="1"/>
    <x:col min="15" max="15" width="16" hidden="0" customWidth="1"/>
  </x:cols>
  <x:sheetData>
    <x:row r="2">
      <x:c r="B2" s="1" t="str">
        <x:v>C0, C1 and C2 source-admission states</x:v>
      </x:c>
    </x:row>
    <x:row r="3">
      <x:c r="B3" s="2" t="str">
        <x:v>The two-tonne release is a claim earned by propagation denial. Until then, the eight-tonne rack remains the unconfined upper bound.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>
      <x:c r="B6" s="8" t="str">
        <x:v>Root</x:v>
      </x:c>
      <x:c r="C6" s="8" t="str">
        <x:v>State</x:v>
      </x:c>
      <x:c r="D6" s="8" t="str">
        <x:v>Active compartments</x:v>
      </x:c>
      <x:c r="E6" s="8" t="str">
        <x:v>Operating rule</x:v>
      </x:c>
      <x:c r="F6" s="8" t="str">
        <x:v>Mass per compartment (kg)</x:v>
      </x:c>
      <x:c r="G6" s="8" t="str">
        <x:v>Active mass (kg)</x:v>
      </x:c>
      <x:c r="H6" s="8" t="str">
        <x:v>Specific energy (MJ/kg)</x:v>
      </x:c>
      <x:c r="I6" s="8" t="str">
        <x:v>Chemical energy (GJ)</x:v>
      </x:c>
      <x:c r="J6" s="8" t="str">
        <x:v>Liquid volume (m3)</x:v>
      </x:c>
      <x:c r="K6" s="8" t="str">
        <x:v>Gas volume (m3)</x:v>
      </x:c>
      <x:c r="L6" s="8" t="str">
        <x:v>Gas-holder ratio</x:v>
      </x:c>
      <x:c r="M6" s="8" t="str">
        <x:v>Planning check</x:v>
      </x:c>
      <x:c r="N6" s="8" t="str">
        <x:v>Physical source</x:v>
      </x:c>
      <x:c r="O6" s="8" t="str">
        <x:v>Admission state</x:v>
      </x:c>
    </x:row>
    <x:row r="7">
      <x:c r="B7" s="10" t="str">
        <x:v>A</x:v>
      </x:c>
      <x:c r="C7" s="10" t="str">
        <x:v>C0</x:v>
      </x:c>
      <x:c r="D7" s="10" t="n">
        <x:v>0</x:v>
      </x:c>
      <x:c r="E7" s="10" t="str">
        <x:v>no hazardous media</x:v>
      </x:c>
      <x:c r="F7" s="16" t="n">
        <x:f>'Controls'!$D$8</x:f>
        <x:v>2000</x:v>
      </x:c>
      <x:c r="G7" s="16" t="n">
        <x:f>D7*F7</x:f>
        <x:v>0</x:v>
      </x:c>
      <x:c r="H7" s="16" t="n">
        <x:f>IF(B7="A",'Controls'!$D$9,'Controls'!$D$10)</x:f>
        <x:v>42.588</x:v>
      </x:c>
      <x:c r="I7" s="16" t="n">
        <x:f>G7*H7/1000</x:f>
        <x:v>0</x:v>
      </x:c>
      <x:c r="J7" s="16" t="n">
        <x:f>IF(B7="A",G7/'Controls'!$D$11,G7/'Controls'!$D$12)</x:f>
        <x:v>0</x:v>
      </x:c>
      <x:c r="K7" s="16" t="n">
        <x:f>IF(B7="B",G7*'Controls'!$D$13,0)</x:f>
        <x:v>0</x:v>
      </x:c>
      <x:c r="L7" s="16" t="n">
        <x:f>IF(K7=0,0,'Controls'!$D$17/(K7*'Controls'!$D$18))</x:f>
        <x:v>0</x:v>
      </x:c>
      <x:c r="M7" s="10" t="str">
        <x:f>IF(AND(D7&gt;=0,D7&lt;='Controls'!$D$7,ABS(G7-D7*F7)&lt;0.0001,ABS(I7-G7*H7/1000)&lt;0.0001),"PASS","FAIL")</x:f>
        <x:v>PASS</x:v>
      </x:c>
      <x:c r="N7" s="12" t="n">
        <x:v>0</x:v>
      </x:c>
      <x:c r="O7" s="10" t="str">
        <x:f>IF(M7&lt;&gt;"PASS","FAIL",IF(C7="C0","DEFINED",IF(C7="C1",IF(N7=1,"PASS","OPEN"),IF(AND('Controls'!$D$55=1,'Controls'!$D$57=1,N7=1),"PASS","BLOCKED"))))</x:f>
        <x:v>DEFINED</x:v>
      </x:c>
    </x:row>
    <x:row r="8">
      <x:c r="B8" s="10" t="str">
        <x:v>A</x:v>
      </x:c>
      <x:c r="C8" s="10" t="str">
        <x:v>C1</x:v>
      </x:c>
      <x:c r="D8" s="10" t="n">
        <x:v>1</x:v>
      </x:c>
      <x:c r="E8" s="10" t="str">
        <x:v>one live compartment; adjacent stations inert</x:v>
      </x:c>
      <x:c r="F8" s="16" t="n">
        <x:f>'Controls'!$D$8</x:f>
        <x:v>2000</x:v>
      </x:c>
      <x:c r="G8" s="16" t="n">
        <x:f>D8*F8</x:f>
        <x:v>2000</x:v>
      </x:c>
      <x:c r="H8" s="16" t="n">
        <x:f>IF(B8="A",'Controls'!$D$9,'Controls'!$D$10)</x:f>
        <x:v>42.588</x:v>
      </x:c>
      <x:c r="I8" s="16" t="n">
        <x:f>G8*H8/1000</x:f>
        <x:v>85.176</x:v>
      </x:c>
      <x:c r="J8" s="16" t="n">
        <x:f>IF(B8="A",G8/'Controls'!$D$11,G8/'Controls'!$D$12)</x:f>
        <x:v>2.5</x:v>
      </x:c>
      <x:c r="K8" s="16" t="n">
        <x:f>IF(B8="B",G8*'Controls'!$D$13,0)</x:f>
        <x:v>0</x:v>
      </x:c>
      <x:c r="L8" s="16" t="n">
        <x:f>IF(K8=0,0,'Controls'!$D$17/(K8*'Controls'!$D$18))</x:f>
        <x:v>0</x:v>
      </x:c>
      <x:c r="M8" s="10" t="str">
        <x:f>IF(AND(D8&gt;=0,D8&lt;='Controls'!$D$7,ABS(G8-D8*F8)&lt;0.0001,ABS(I8-G8*H8/1000)&lt;0.0001),"PASS","FAIL")</x:f>
        <x:v>PASS</x:v>
      </x:c>
      <x:c r="N8" s="12" t="n">
        <x:v>0</x:v>
      </x:c>
      <x:c r="O8" s="10" t="str">
        <x:f>IF(M8&lt;&gt;"PASS","FAIL",IF(C8="C0","DEFINED",IF(C8="C1",IF(N8=1,"PASS","OPEN"),IF(AND('Controls'!$D$55=1,'Controls'!$D$57=1,N8=1),"PASS","BLOCKED"))))</x:f>
        <x:v>OPEN</x:v>
      </x:c>
    </x:row>
    <x:row r="9">
      <x:c r="B9" s="10" t="str">
        <x:v>A</x:v>
      </x:c>
      <x:c r="C9" s="10" t="str">
        <x:v>C2</x:v>
      </x:c>
      <x:c r="D9" s="10" t="n">
        <x:v>4</x:v>
      </x:c>
      <x:c r="E9" s="10" t="str">
        <x:v>four live compartments after propagation denial</x:v>
      </x:c>
      <x:c r="F9" s="16" t="n">
        <x:f>'Controls'!$D$8</x:f>
        <x:v>2000</x:v>
      </x:c>
      <x:c r="G9" s="16" t="n">
        <x:f>D9*F9</x:f>
        <x:v>8000</x:v>
      </x:c>
      <x:c r="H9" s="16" t="n">
        <x:f>IF(B9="A",'Controls'!$D$9,'Controls'!$D$10)</x:f>
        <x:v>42.588</x:v>
      </x:c>
      <x:c r="I9" s="16" t="n">
        <x:f>G9*H9/1000</x:f>
        <x:v>340.704</x:v>
      </x:c>
      <x:c r="J9" s="16" t="n">
        <x:f>IF(B9="A",G9/'Controls'!$D$11,G9/'Controls'!$D$12)</x:f>
        <x:v>10</x:v>
      </x:c>
      <x:c r="K9" s="16" t="n">
        <x:f>IF(B9="B",G9*'Controls'!$D$13,0)</x:f>
        <x:v>0</x:v>
      </x:c>
      <x:c r="L9" s="16" t="n">
        <x:f>IF(K9=0,0,'Controls'!$D$17/(K9*'Controls'!$D$18))</x:f>
        <x:v>0</x:v>
      </x:c>
      <x:c r="M9" s="10" t="str">
        <x:f>IF(AND(D9&gt;=0,D9&lt;='Controls'!$D$7,ABS(G9-D9*F9)&lt;0.0001,ABS(I9-G9*H9/1000)&lt;0.0001),"PASS","FAIL")</x:f>
        <x:v>PASS</x:v>
      </x:c>
      <x:c r="N9" s="12" t="n">
        <x:v>0</x:v>
      </x:c>
      <x:c r="O9" s="10" t="str">
        <x:f>IF(M9&lt;&gt;"PASS","FAIL",IF(C9="C0","DEFINED",IF(C9="C1",IF(N9=1,"PASS","OPEN"),IF(AND('Controls'!$D$55=1,'Controls'!$D$57=1,N9=1),"PASS","BLOCKED"))))</x:f>
        <x:v>BLOCKED</x:v>
      </x:c>
    </x:row>
    <x:row r="10">
      <x:c r="B10" s="10" t="str">
        <x:v>B</x:v>
      </x:c>
      <x:c r="C10" s="10" t="str">
        <x:v>C0</x:v>
      </x:c>
      <x:c r="D10" s="10" t="n">
        <x:v>0</x:v>
      </x:c>
      <x:c r="E10" s="10" t="str">
        <x:v>no hazardous media</x:v>
      </x:c>
      <x:c r="F10" s="16" t="n">
        <x:f>'Controls'!$D$8</x:f>
        <x:v>2000</x:v>
      </x:c>
      <x:c r="G10" s="16" t="n">
        <x:f>D10*F10</x:f>
        <x:v>0</x:v>
      </x:c>
      <x:c r="H10" s="16" t="n">
        <x:f>IF(B10="A",'Controls'!$D$9,'Controls'!$D$10)</x:f>
        <x:v>28.512</x:v>
      </x:c>
      <x:c r="I10" s="16" t="n">
        <x:f>G10*H10/1000</x:f>
        <x:v>0</x:v>
      </x:c>
      <x:c r="J10" s="16" t="n">
        <x:f>IF(B10="A",G10/'Controls'!$D$11,G10/'Controls'!$D$12)</x:f>
        <x:v>0</x:v>
      </x:c>
      <x:c r="K10" s="16" t="n">
        <x:f>IF(B10="B",G10*'Controls'!$D$13,0)</x:f>
        <x:v>0</x:v>
      </x:c>
      <x:c r="L10" s="16" t="n">
        <x:f>IF(K10=0,0,'Controls'!$D$17/(K10*'Controls'!$D$18))</x:f>
        <x:v>0</x:v>
      </x:c>
      <x:c r="M10" s="10" t="str">
        <x:f>IF(AND(D10&gt;=0,D10&lt;='Controls'!$D$7,ABS(G10-D10*F10)&lt;0.0001,ABS(I10-G10*H10/1000)&lt;0.0001),"PASS","FAIL")</x:f>
        <x:v>PASS</x:v>
      </x:c>
      <x:c r="N10" s="12" t="n">
        <x:v>0</x:v>
      </x:c>
      <x:c r="O10" s="10" t="str">
        <x:f>IF(M10&lt;&gt;"PASS","FAIL",IF(C10="C0","DEFINED",IF(C10="C1",IF(N10=1,"PASS","OPEN"),IF(AND('Controls'!$D$55=1,'Controls'!$D$57=1,N10=1),"PASS","BLOCKED"))))</x:f>
        <x:v>DEFINED</x:v>
      </x:c>
    </x:row>
    <x:row r="11">
      <x:c r="B11" s="10" t="str">
        <x:v>B</x:v>
      </x:c>
      <x:c r="C11" s="10" t="str">
        <x:v>C1</x:v>
      </x:c>
      <x:c r="D11" s="10" t="n">
        <x:v>1</x:v>
      </x:c>
      <x:c r="E11" s="10" t="str">
        <x:v>one live compartment; adjacent stations inert</x:v>
      </x:c>
      <x:c r="F11" s="16" t="n">
        <x:f>'Controls'!$D$8</x:f>
        <x:v>2000</x:v>
      </x:c>
      <x:c r="G11" s="16" t="n">
        <x:f>D11*F11</x:f>
        <x:v>2000</x:v>
      </x:c>
      <x:c r="H11" s="16" t="n">
        <x:f>IF(B11="A",'Controls'!$D$9,'Controls'!$D$10)</x:f>
        <x:v>28.512</x:v>
      </x:c>
      <x:c r="I11" s="16" t="n">
        <x:f>G11*H11/1000</x:f>
        <x:v>57.024</x:v>
      </x:c>
      <x:c r="J11" s="16" t="n">
        <x:f>IF(B11="A",G11/'Controls'!$D$11,G11/'Controls'!$D$12)</x:f>
        <x:v>2.9940119760479043</x:v>
      </x:c>
      <x:c r="K11" s="16" t="n">
        <x:f>IF(B11="B",G11*'Controls'!$D$13,0)</x:f>
        <x:v>1060</x:v>
      </x:c>
      <x:c r="L11" s="16" t="n">
        <x:f>IF(K11=0,0,'Controls'!$D$17/(K11*'Controls'!$D$18))</x:f>
        <x:v>1.2578616352201257</x:v>
      </x:c>
      <x:c r="M11" s="10" t="str">
        <x:f>IF(AND(D11&gt;=0,D11&lt;='Controls'!$D$7,ABS(G11-D11*F11)&lt;0.0001,ABS(I11-G11*H11/1000)&lt;0.0001),"PASS","FAIL")</x:f>
        <x:v>PASS</x:v>
      </x:c>
      <x:c r="N11" s="12" t="n">
        <x:v>0</x:v>
      </x:c>
      <x:c r="O11" s="10" t="str">
        <x:f>IF(M11&lt;&gt;"PASS","FAIL",IF(C11="C0","DEFINED",IF(C11="C1",IF(N11=1,"PASS","OPEN"),IF(AND('Controls'!$D$55=1,'Controls'!$D$57=1,N11=1),"PASS","BLOCKED"))))</x:f>
        <x:v>OPEN</x:v>
      </x:c>
    </x:row>
    <x:row r="12">
      <x:c r="B12" s="11" t="str">
        <x:v>B</x:v>
      </x:c>
      <x:c r="C12" s="11" t="str">
        <x:v>C2</x:v>
      </x:c>
      <x:c r="D12" s="11" t="n">
        <x:v>4</x:v>
      </x:c>
      <x:c r="E12" s="11" t="str">
        <x:v>four live compartments after propagation denial</x:v>
      </x:c>
      <x:c r="F12" s="17" t="n">
        <x:f>'Controls'!$D$8</x:f>
        <x:v>2000</x:v>
      </x:c>
      <x:c r="G12" s="17" t="n">
        <x:f>D12*F12</x:f>
        <x:v>8000</x:v>
      </x:c>
      <x:c r="H12" s="17" t="n">
        <x:f>IF(B12="A",'Controls'!$D$9,'Controls'!$D$10)</x:f>
        <x:v>28.512</x:v>
      </x:c>
      <x:c r="I12" s="17" t="n">
        <x:f>G12*H12/1000</x:f>
        <x:v>228.096</x:v>
      </x:c>
      <x:c r="J12" s="17" t="n">
        <x:f>IF(B12="A",G12/'Controls'!$D$11,G12/'Controls'!$D$12)</x:f>
        <x:v>11.976047904191617</x:v>
      </x:c>
      <x:c r="K12" s="17" t="n">
        <x:f>IF(B12="B",G12*'Controls'!$D$13,0)</x:f>
        <x:v>4240</x:v>
      </x:c>
      <x:c r="L12" s="17" t="n">
        <x:f>IF(K12=0,0,'Controls'!$D$17/(K12*'Controls'!$D$18))</x:f>
        <x:v>0.31446540880503143</x:v>
      </x:c>
      <x:c r="M12" s="11" t="str">
        <x:f>IF(AND(D12&gt;=0,D12&lt;='Controls'!$D$7,ABS(G12-D12*F12)&lt;0.0001,ABS(I12-G12*H12/1000)&lt;0.0001),"PASS","FAIL")</x:f>
        <x:v>PASS</x:v>
      </x:c>
      <x:c r="N12" s="13" t="n">
        <x:v>0</x:v>
      </x:c>
      <x:c r="O12" s="11" t="str">
        <x:f>IF(M12&lt;&gt;"PASS","FAIL",IF(C12="C0","DEFINED",IF(C12="C1",IF(N12=1,"PASS","OPEN"),IF(AND('Controls'!$D$55=1,'Controls'!$D$57=1,N12=1),"PASS","BLOCKED"))))</x:f>
        <x:v>BLOCKED</x:v>
      </x:c>
    </x:row>
  </x:sheetData>
  <x:mergeCells>
    <x:mergeCell ref="B2:P2"/>
    <x:mergeCell ref="B3:P3"/>
  </x:mergeCells>
  <x:conditionalFormatting sqref="M7:O12">
    <x:cfRule type="containsText" dxfId="14" priority="1" operator="containsText" text="PASS"/>
    <x:cfRule type="containsText" dxfId="15" priority="2" operator="containsText" text="AUTHORIZED"/>
    <x:cfRule type="containsText" dxfId="16" priority="3" operator="containsText" text="DEFINED"/>
    <x:cfRule type="containsText" dxfId="17" priority="4" operator="containsText" text="READY"/>
    <x:cfRule type="containsText" dxfId="18" priority="5" operator="containsText" text="HOLD"/>
    <x:cfRule type="containsText" dxfId="19" priority="6" operator="containsText" text="OPEN"/>
    <x:cfRule type="containsText" dxfId="20" priority="7" operator="containsText" text="BLOCKED"/>
    <x:cfRule type="containsText" dxfId="21" priority="8" operator="containsText" text="PLANNING"/>
    <x:cfRule type="containsText" dxfId="22" priority="9" operator="containsText" text="QUARANTINE"/>
    <x:cfRule type="containsText" dxfId="23" priority="10" operator="containsText" text="INDETERMINATE"/>
    <x:cfRule type="containsText" dxfId="24" priority="11" operator="containsText" text="FAIL"/>
    <x:cfRule type="containsText" dxfId="25" priority="12" operator="containsText" text="REJECT"/>
    <x:cfRule type="containsText" dxfId="26" priority="13" operator="containsText" text="INVALID"/>
    <x:cfRule type="containsText" dxfId="27" priority="14" operator="containsText" text="STOP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8" hidden="0" customWidth="1"/>
    <x:col min="3" max="3" width="9" hidden="0" customWidth="1"/>
    <x:col min="4" max="4" width="19" hidden="0" customWidth="1"/>
    <x:col min="5" max="5" width="22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19" hidden="0" customWidth="1"/>
    <x:col min="11" max="11" width="25" hidden="0" customWidth="1"/>
    <x:col min="12" max="12" width="22" hidden="0" customWidth="1"/>
    <x:col min="13" max="13" width="16" hidden="0" customWidth="1"/>
  </x:cols>
  <x:sheetData>
    <x:row r="2">
      <x:c r="B2" s="1" t="str">
        <x:v>Liquid capture and firewater segregation</x:v>
      </x:c>
    </x:row>
    <x:row r="3">
      <x:c r="B3" s="2" t="str">
        <x:v>Local fuel capture and contaminated firewater are separate inventories. The inherited 40 m3 allowance cannot be counted twice.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6">
      <x:c r="B6" s="8" t="str">
        <x:v>Root</x:v>
      </x:c>
      <x:c r="C6" s="8" t="str">
        <x:v>State</x:v>
      </x:c>
      <x:c r="D6" s="8" t="str">
        <x:v>Release mass (kg)</x:v>
      </x:c>
      <x:c r="E6" s="8" t="str">
        <x:v>Liquid density (kg/m3)</x:v>
      </x:c>
      <x:c r="F6" s="8" t="str">
        <x:v>Liquid volume (m3)</x:v>
      </x:c>
      <x:c r="G6" s="8" t="str">
        <x:v>Containment factor</x:v>
      </x:c>
      <x:c r="H6" s="8" t="str">
        <x:v>Minimum local capture (m3)</x:v>
      </x:c>
      <x:c r="I6" s="8" t="str">
        <x:v>Inherited local capture (m3)</x:v>
      </x:c>
      <x:c r="J6" s="8" t="str">
        <x:v>Local capacity ratio</x:v>
      </x:c>
      <x:c r="K6" s="8" t="str">
        <x:v>Segregated firewater (m3)</x:v>
      </x:c>
      <x:c r="L6" s="8" t="str">
        <x:v>Combined retention (m3)</x:v>
      </x:c>
      <x:c r="M6" s="8" t="str">
        <x:v>Planning state</x:v>
      </x:c>
    </x:row>
    <x:row r="7">
      <x:c r="B7" s="10" t="str">
        <x:v>A</x:v>
      </x:c>
      <x:c r="C7" s="10" t="str">
        <x:v>C1</x:v>
      </x:c>
      <x:c r="D7" s="16" t="n">
        <x:v>2000</x:v>
      </x:c>
      <x:c r="E7" s="16" t="n">
        <x:f>IF(B7="A",'Controls'!$D$11,'Controls'!$D$12)</x:f>
        <x:v>800</x:v>
      </x:c>
      <x:c r="F7" s="16" t="n">
        <x:f>D7/E7</x:f>
        <x:v>2.5</x:v>
      </x:c>
      <x:c r="G7" s="16" t="n">
        <x:f>'Controls'!$D$19</x:f>
        <x:v>5</x:v>
      </x:c>
      <x:c r="H7" s="16" t="n">
        <x:f>F7*G7</x:f>
        <x:v>12.5</x:v>
      </x:c>
      <x:c r="I7" s="16" t="n">
        <x:v>40</x:v>
      </x:c>
      <x:c r="J7" s="16" t="n">
        <x:f>I7/H7</x:f>
        <x:v>3.2</x:v>
      </x:c>
      <x:c r="K7" s="16" t="n">
        <x:f>'Controls'!$D$20</x:f>
        <x:v>120</x:v>
      </x:c>
      <x:c r="L7" s="16" t="n">
        <x:f>H7+K7</x:f>
        <x:v>132.5</x:v>
      </x:c>
      <x:c r="M7" s="10" t="str">
        <x:f>IF(C7="C1",IF(J7&gt;=1,"PASS","FAIL"),IF(J7&gt;=1,"PASS","BLOCKED"))</x:f>
        <x:v>PASS</x:v>
      </x:c>
    </x:row>
    <x:row r="8">
      <x:c r="B8" s="10" t="str">
        <x:v>A</x:v>
      </x:c>
      <x:c r="C8" s="10" t="str">
        <x:v>C2</x:v>
      </x:c>
      <x:c r="D8" s="16" t="n">
        <x:v>8000</x:v>
      </x:c>
      <x:c r="E8" s="16" t="n">
        <x:f>IF(B8="A",'Controls'!$D$11,'Controls'!$D$12)</x:f>
        <x:v>800</x:v>
      </x:c>
      <x:c r="F8" s="16" t="n">
        <x:f>D8/E8</x:f>
        <x:v>10</x:v>
      </x:c>
      <x:c r="G8" s="16" t="n">
        <x:f>'Controls'!$D$19</x:f>
        <x:v>5</x:v>
      </x:c>
      <x:c r="H8" s="16" t="n">
        <x:f>F8*G8</x:f>
        <x:v>50</x:v>
      </x:c>
      <x:c r="I8" s="16" t="n">
        <x:v>40</x:v>
      </x:c>
      <x:c r="J8" s="16" t="n">
        <x:f>I8/H8</x:f>
        <x:v>0.8</x:v>
      </x:c>
      <x:c r="K8" s="16" t="n">
        <x:f>'Controls'!$D$20</x:f>
        <x:v>120</x:v>
      </x:c>
      <x:c r="L8" s="16" t="n">
        <x:f>H8+K8</x:f>
        <x:v>170</x:v>
      </x:c>
      <x:c r="M8" s="10" t="str">
        <x:f>IF(C8="C1",IF(J8&gt;=1,"PASS","FAIL"),IF(J8&gt;=1,"PASS","BLOCKED"))</x:f>
        <x:v>BLOCKED</x:v>
      </x:c>
    </x:row>
    <x:row r="9">
      <x:c r="B9" s="10" t="str">
        <x:v>B</x:v>
      </x:c>
      <x:c r="C9" s="10" t="str">
        <x:v>C1</x:v>
      </x:c>
      <x:c r="D9" s="16" t="n">
        <x:v>2000</x:v>
      </x:c>
      <x:c r="E9" s="16" t="n">
        <x:f>IF(B9="A",'Controls'!$D$11,'Controls'!$D$12)</x:f>
        <x:v>668</x:v>
      </x:c>
      <x:c r="F9" s="16" t="n">
        <x:f>D9/E9</x:f>
        <x:v>2.9940119760479043</x:v>
      </x:c>
      <x:c r="G9" s="16" t="n">
        <x:f>'Controls'!$D$19</x:f>
        <x:v>5</x:v>
      </x:c>
      <x:c r="H9" s="16" t="n">
        <x:f>F9*G9</x:f>
        <x:v>14.970059880239521</x:v>
      </x:c>
      <x:c r="I9" s="16" t="n">
        <x:v>40</x:v>
      </x:c>
      <x:c r="J9" s="16" t="n">
        <x:f>I9/H9</x:f>
        <x:v>2.672</x:v>
      </x:c>
      <x:c r="K9" s="16" t="n">
        <x:f>'Controls'!$D$20</x:f>
        <x:v>120</x:v>
      </x:c>
      <x:c r="L9" s="16" t="n">
        <x:f>H9+K9</x:f>
        <x:v>134.97005988023952</x:v>
      </x:c>
      <x:c r="M9" s="10" t="str">
        <x:f>IF(C9="C1",IF(J9&gt;=1,"PASS","FAIL"),IF(J9&gt;=1,"PASS","BLOCKED"))</x:f>
        <x:v>PASS</x:v>
      </x:c>
    </x:row>
    <x:row r="10">
      <x:c r="B10" s="11" t="str">
        <x:v>B</x:v>
      </x:c>
      <x:c r="C10" s="11" t="str">
        <x:v>C2</x:v>
      </x:c>
      <x:c r="D10" s="17" t="n">
        <x:v>8000</x:v>
      </x:c>
      <x:c r="E10" s="17" t="n">
        <x:f>IF(B10="A",'Controls'!$D$11,'Controls'!$D$12)</x:f>
        <x:v>668</x:v>
      </x:c>
      <x:c r="F10" s="17" t="n">
        <x:f>D10/E10</x:f>
        <x:v>11.976047904191617</x:v>
      </x:c>
      <x:c r="G10" s="17" t="n">
        <x:f>'Controls'!$D$19</x:f>
        <x:v>5</x:v>
      </x:c>
      <x:c r="H10" s="17" t="n">
        <x:f>F10*G10</x:f>
        <x:v>59.880239520958085</x:v>
      </x:c>
      <x:c r="I10" s="17" t="n">
        <x:v>40</x:v>
      </x:c>
      <x:c r="J10" s="17" t="n">
        <x:f>I10/H10</x:f>
        <x:v>0.668</x:v>
      </x:c>
      <x:c r="K10" s="17" t="n">
        <x:f>'Controls'!$D$20</x:f>
        <x:v>120</x:v>
      </x:c>
      <x:c r="L10" s="17" t="n">
        <x:f>H10+K10</x:f>
        <x:v>179.88023952095807</x:v>
      </x:c>
      <x:c r="M10" s="11" t="str">
        <x:f>IF(C10="C1",IF(J10&gt;=1,"PASS","FAIL"),IF(J10&gt;=1,"PASS","BLOCKED"))</x:f>
        <x:v>BLOCKED</x:v>
      </x:c>
    </x:row>
  </x:sheetData>
  <x:mergeCells>
    <x:mergeCell ref="B2:N2"/>
    <x:mergeCell ref="B3:N3"/>
  </x:mergeCells>
  <x:conditionalFormatting sqref="M7:M10">
    <x:cfRule type="containsText" dxfId="28" priority="1" operator="containsText" text="PASS"/>
    <x:cfRule type="containsText" dxfId="29" priority="2" operator="containsText" text="AUTHORIZED"/>
    <x:cfRule type="containsText" dxfId="30" priority="3" operator="containsText" text="DEFINED"/>
    <x:cfRule type="containsText" dxfId="31" priority="4" operator="containsText" text="READY"/>
    <x:cfRule type="containsText" dxfId="32" priority="5" operator="containsText" text="HOLD"/>
    <x:cfRule type="containsText" dxfId="33" priority="6" operator="containsText" text="OPEN"/>
    <x:cfRule type="containsText" dxfId="34" priority="7" operator="containsText" text="BLOCKED"/>
    <x:cfRule type="containsText" dxfId="35" priority="8" operator="containsText" text="PLANNING"/>
    <x:cfRule type="containsText" dxfId="36" priority="9" operator="containsText" text="QUARANTINE"/>
    <x:cfRule type="containsText" dxfId="37" priority="10" operator="containsText" text="INDETERMINATE"/>
    <x:cfRule type="containsText" dxfId="38" priority="11" operator="containsText" text="FAIL"/>
    <x:cfRule type="containsText" dxfId="39" priority="12" operator="containsText" text="REJECT"/>
    <x:cfRule type="containsText" dxfId="40" priority="13" operator="containsText" text="INVALID"/>
    <x:cfRule type="containsText" dxfId="41" priority="14" operator="containsText" text="STOP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5" hidden="0" customWidth="1"/>
    <x:col min="4" max="4" width="19" hidden="0" customWidth="1"/>
    <x:col min="5" max="5" width="18" hidden="0" customWidth="1"/>
    <x:col min="6" max="6" width="19" hidden="0" customWidth="1"/>
    <x:col min="7" max="7" width="24" hidden="0" customWidth="1"/>
    <x:col min="8" max="8" width="19" hidden="0" customWidth="1"/>
    <x:col min="9" max="9" width="18" hidden="0" customWidth="1"/>
    <x:col min="10" max="10" width="26" hidden="0" customWidth="1"/>
    <x:col min="11" max="11" width="19" hidden="0" customWidth="1"/>
    <x:col min="12" max="12" width="19" hidden="0" customWidth="1"/>
    <x:col min="13" max="13" width="19" hidden="0" customWidth="1"/>
    <x:col min="14" max="14" width="18" hidden="0" customWidth="1"/>
    <x:col min="15" max="15" width="15" hidden="0" customWidth="1"/>
  </x:cols>
  <x:sheetData>
    <x:row r="2">
      <x:c r="B2" s="1" t="str">
        <x:v>Root B release-rate and retention screen</x:v>
      </x:c>
    </x:row>
    <x:row r="3">
      <x:c r="B3" s="2" t="str">
        <x:v>Ventilation manages only small leakage. Larger rates require a passive outdoor route, remote retention and last-resort safe disposal.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>
      <x:c r="B6" s="8" t="str">
        <x:v>Case</x:v>
      </x:c>
      <x:c r="C6" s="8" t="str">
        <x:v>Duration (s)</x:v>
      </x:c>
      <x:c r="D6" s="8" t="str">
        <x:v>Mass flow (kg/s)</x:v>
      </x:c>
      <x:c r="E6" s="8" t="str">
        <x:v>Gas flow (m3/s)</x:v>
      </x:c>
      <x:c r="F6" s="8" t="str">
        <x:v>Target concentration</x:v>
      </x:c>
      <x:c r="G6" s="8" t="str">
        <x:v>Dilution air needed (m3/s)</x:v>
      </x:c>
      <x:c r="H6" s="8" t="str">
        <x:v>Ventilation (m3/s)</x:v>
      </x:c>
      <x:c r="I6" s="8" t="str">
        <x:v>Ventilation ratio</x:v>
      </x:c>
      <x:c r="J6" s="8" t="str">
        <x:v>Primary route</x:v>
      </x:c>
      <x:c r="K6" s="8" t="str">
        <x:v>Released mass (kg)</x:v>
      </x:c>
      <x:c r="L6" s="8" t="str">
        <x:v>Expanded gas (m3)</x:v>
      </x:c>
      <x:c r="M6" s="8" t="str">
        <x:v>Holder capacity (m3)</x:v>
      </x:c>
      <x:c r="N6" s="8" t="str">
        <x:v>Holder margin (m3)</x:v>
      </x:c>
      <x:c r="O6" s="8" t="str">
        <x:v>Planning state</x:v>
      </x:c>
    </x:row>
    <x:row r="7">
      <x:c r="B7" s="10" t="str">
        <x:v>seal seep</x:v>
      </x:c>
      <x:c r="C7" s="16" t="n">
        <x:v>120</x:v>
      </x:c>
      <x:c r="D7" s="16" t="n">
        <x:v>0.01</x:v>
      </x:c>
      <x:c r="E7" s="16" t="n">
        <x:f>D7*'Controls'!$D$13</x:f>
        <x:v>0.0053</x:v>
      </x:c>
      <x:c r="F7" s="16" t="n">
        <x:f>'Controls'!$D$14*'Controls'!$D$15</x:f>
        <x:v>0.0075</x:v>
      </x:c>
      <x:c r="G7" s="16" t="n">
        <x:f>E7*(1/F7-1)</x:f>
        <x:v>0.7013666666666667</x:v>
      </x:c>
      <x:c r="H7" s="16" t="n">
        <x:f>'Controls'!$D$16</x:f>
        <x:v>12</x:v>
      </x:c>
      <x:c r="I7" s="16" t="n">
        <x:f>H7/G7</x:f>
        <x:v>17.109452972767453</x:v>
      </x:c>
      <x:c r="J7" s="10" t="str">
        <x:f>IF(I7&gt;=1,"active dilution","passive outdoor retention")</x:f>
        <x:v>active dilution</x:v>
      </x:c>
      <x:c r="K7" s="18" t="n">
        <x:f>C7*D7</x:f>
        <x:v>1.2</x:v>
      </x:c>
      <x:c r="L7" s="18" t="n">
        <x:f>K7*'Controls'!$D$13*'Controls'!$D$18</x:f>
        <x:v>0.954</x:v>
      </x:c>
      <x:c r="M7" s="18" t="n">
        <x:f>'Controls'!$D$17</x:f>
        <x:v>2000</x:v>
      </x:c>
      <x:c r="N7" s="18" t="n">
        <x:f>M7-L7</x:f>
        <x:v>1999.046</x:v>
      </x:c>
      <x:c r="O7" s="10" t="str">
        <x:f>IF(I7&gt;=1,"PASS",IF(N7&gt;=0,"PASS","BLOCKED"))</x:f>
        <x:v>PASS</x:v>
      </x:c>
    </x:row>
    <x:row r="8">
      <x:c r="B8" s="10" t="str">
        <x:v>small leak</x:v>
      </x:c>
      <x:c r="C8" s="16" t="n">
        <x:v>120</x:v>
      </x:c>
      <x:c r="D8" s="16" t="n">
        <x:v>0.05</x:v>
      </x:c>
      <x:c r="E8" s="16" t="n">
        <x:f>D8*'Controls'!$D$13</x:f>
        <x:v>0.026500000000000003</x:v>
      </x:c>
      <x:c r="F8" s="16" t="n">
        <x:f>'Controls'!$D$14*'Controls'!$D$15</x:f>
        <x:v>0.0075</x:v>
      </x:c>
      <x:c r="G8" s="16" t="n">
        <x:f>E8*(1/F8-1)</x:f>
        <x:v>3.506833333333334</x:v>
      </x:c>
      <x:c r="H8" s="16" t="n">
        <x:f>'Controls'!$D$16</x:f>
        <x:v>12</x:v>
      </x:c>
      <x:c r="I8" s="16" t="n">
        <x:f>H8/G8</x:f>
        <x:v>3.42189059455349</x:v>
      </x:c>
      <x:c r="J8" s="10" t="str">
        <x:f>IF(I8&gt;=1,"active dilution","passive outdoor retention")</x:f>
        <x:v>active dilution</x:v>
      </x:c>
      <x:c r="K8" s="18" t="n">
        <x:f>C8*D8</x:f>
        <x:v>6</x:v>
      </x:c>
      <x:c r="L8" s="18" t="n">
        <x:f>K8*'Controls'!$D$13*'Controls'!$D$18</x:f>
        <x:v>4.7700000000000005</x:v>
      </x:c>
      <x:c r="M8" s="18" t="n">
        <x:f>'Controls'!$D$17</x:f>
        <x:v>2000</x:v>
      </x:c>
      <x:c r="N8" s="18" t="n">
        <x:f>M8-L8</x:f>
        <x:v>1995.23</x:v>
      </x:c>
      <x:c r="O8" s="10" t="str">
        <x:f>IF(I8&gt;=1,"PASS",IF(N8&gt;=0,"PASS","BLOCKED"))</x:f>
        <x:v>PASS</x:v>
      </x:c>
    </x:row>
    <x:row r="9">
      <x:c r="B9" s="10" t="str">
        <x:v>ventilation limit</x:v>
      </x:c>
      <x:c r="C9" s="16" t="n">
        <x:v>120</x:v>
      </x:c>
      <x:c r="D9" s="16" t="n">
        <x:f>'Controls'!$D$16*('Controls'!$D$14*'Controls'!$D$15)/(1-'Controls'!$D$14*'Controls'!$D$15)/'Controls'!$D$13</x:f>
        <x:v>0.17109452972767453</x:v>
      </x:c>
      <x:c r="E9" s="16" t="n">
        <x:f>D9*'Controls'!$D$13</x:f>
        <x:v>0.0906801007556675</x:v>
      </x:c>
      <x:c r="F9" s="16" t="n">
        <x:f>'Controls'!$D$14*'Controls'!$D$15</x:f>
        <x:v>0.0075</x:v>
      </x:c>
      <x:c r="G9" s="16" t="n">
        <x:f>E9*(1/F9-1)</x:f>
        <x:v>12</x:v>
      </x:c>
      <x:c r="H9" s="16" t="n">
        <x:f>'Controls'!$D$16</x:f>
        <x:v>12</x:v>
      </x:c>
      <x:c r="I9" s="16" t="n">
        <x:f>H9/G9</x:f>
        <x:v>1</x:v>
      </x:c>
      <x:c r="J9" s="10" t="str">
        <x:f>IF(I9&gt;=1,"active dilution","passive outdoor retention")</x:f>
        <x:v>active dilution</x:v>
      </x:c>
      <x:c r="K9" s="18" t="n">
        <x:f>C9*D9</x:f>
        <x:v>20.531343567320942</x:v>
      </x:c>
      <x:c r="L9" s="18" t="n">
        <x:f>K9*'Controls'!$D$13*'Controls'!$D$18</x:f>
        <x:v>16.32241813602015</x:v>
      </x:c>
      <x:c r="M9" s="18" t="n">
        <x:f>'Controls'!$D$17</x:f>
        <x:v>2000</x:v>
      </x:c>
      <x:c r="N9" s="18" t="n">
        <x:f>M9-L9</x:f>
        <x:v>1983.6775818639799</x:v>
      </x:c>
      <x:c r="O9" s="10" t="str">
        <x:f>IF(I9&gt;=1,"PASS",IF(N9&gt;=0,"PASS","BLOCKED"))</x:f>
        <x:v>PASS</x:v>
      </x:c>
    </x:row>
    <x:row r="10">
      <x:c r="B10" s="10" t="str">
        <x:v>transfer-line break</x:v>
      </x:c>
      <x:c r="C10" s="16" t="n">
        <x:v>120</x:v>
      </x:c>
      <x:c r="D10" s="16" t="n">
        <x:v>1</x:v>
      </x:c>
      <x:c r="E10" s="16" t="n">
        <x:f>D10*'Controls'!$D$13</x:f>
        <x:v>0.53</x:v>
      </x:c>
      <x:c r="F10" s="16" t="n">
        <x:f>'Controls'!$D$14*'Controls'!$D$15</x:f>
        <x:v>0.0075</x:v>
      </x:c>
      <x:c r="G10" s="16" t="n">
        <x:f>E10*(1/F10-1)</x:f>
        <x:v>70.13666666666667</x:v>
      </x:c>
      <x:c r="H10" s="16" t="n">
        <x:f>'Controls'!$D$16</x:f>
        <x:v>12</x:v>
      </x:c>
      <x:c r="I10" s="16" t="n">
        <x:f>H10/G10</x:f>
        <x:v>0.17109452972767453</x:v>
      </x:c>
      <x:c r="J10" s="10" t="str">
        <x:f>IF(I10&gt;=1,"active dilution","passive outdoor retention")</x:f>
        <x:v>passive outdoor retention</x:v>
      </x:c>
      <x:c r="K10" s="18" t="n">
        <x:f>C10*D10</x:f>
        <x:v>120</x:v>
      </x:c>
      <x:c r="L10" s="18" t="n">
        <x:f>K10*'Controls'!$D$13*'Controls'!$D$18</x:f>
        <x:v>95.4</x:v>
      </x:c>
      <x:c r="M10" s="18" t="n">
        <x:f>'Controls'!$D$17</x:f>
        <x:v>2000</x:v>
      </x:c>
      <x:c r="N10" s="18" t="n">
        <x:f>M10-L10</x:f>
        <x:v>1904.6</x:v>
      </x:c>
      <x:c r="O10" s="10" t="str">
        <x:f>IF(I10&gt;=1,"PASS",IF(N10&gt;=0,"PASS","BLOCKED"))</x:f>
        <x:v>PASS</x:v>
      </x:c>
    </x:row>
    <x:row r="11">
      <x:c r="B11" s="10" t="str">
        <x:v>C1 compartment release</x:v>
      </x:c>
      <x:c r="C11" s="16" t="n">
        <x:v>120</x:v>
      </x:c>
      <x:c r="D11" s="16" t="n">
        <x:f>'Controls'!$D$8/C11</x:f>
        <x:v>16.666666666666668</x:v>
      </x:c>
      <x:c r="E11" s="16" t="n">
        <x:f>D11*'Controls'!$D$13</x:f>
        <x:v>8.833333333333334</x:v>
      </x:c>
      <x:c r="F11" s="16" t="n">
        <x:f>'Controls'!$D$14*'Controls'!$D$15</x:f>
        <x:v>0.0075</x:v>
      </x:c>
      <x:c r="G11" s="16" t="n">
        <x:f>E11*(1/F11-1)</x:f>
        <x:v>1168.9444444444446</x:v>
      </x:c>
      <x:c r="H11" s="16" t="n">
        <x:f>'Controls'!$D$16</x:f>
        <x:v>12</x:v>
      </x:c>
      <x:c r="I11" s="16" t="n">
        <x:f>H11/G11</x:f>
        <x:v>0.010265671783660472</x:v>
      </x:c>
      <x:c r="J11" s="10" t="str">
        <x:f>IF(I11&gt;=1,"active dilution","passive outdoor retention")</x:f>
        <x:v>passive outdoor retention</x:v>
      </x:c>
      <x:c r="K11" s="18" t="n">
        <x:f>C11*D11</x:f>
        <x:v>2000.0000000000002</x:v>
      </x:c>
      <x:c r="L11" s="18" t="n">
        <x:f>K11*'Controls'!$D$13*'Controls'!$D$18</x:f>
        <x:v>1590.0000000000005</x:v>
      </x:c>
      <x:c r="M11" s="18" t="n">
        <x:f>'Controls'!$D$17</x:f>
        <x:v>2000</x:v>
      </x:c>
      <x:c r="N11" s="18" t="n">
        <x:f>M11-L11</x:f>
        <x:v>409.99999999999955</x:v>
      </x:c>
      <x:c r="O11" s="10" t="str">
        <x:f>IF(I11&gt;=1,"PASS",IF(N11&gt;=0,"PASS","BLOCKED"))</x:f>
        <x:v>PASS</x:v>
      </x:c>
    </x:row>
    <x:row r="12">
      <x:c r="B12" s="11" t="str">
        <x:v>C2 rack release</x:v>
      </x:c>
      <x:c r="C12" s="17" t="n">
        <x:v>120</x:v>
      </x:c>
      <x:c r="D12" s="17" t="n">
        <x:f>'Controls'!$D$7*'Controls'!$D$8/C12</x:f>
        <x:v>66.66666666666667</x:v>
      </x:c>
      <x:c r="E12" s="17" t="n">
        <x:f>D12*'Controls'!$D$13</x:f>
        <x:v>35.333333333333336</x:v>
      </x:c>
      <x:c r="F12" s="17" t="n">
        <x:f>'Controls'!$D$14*'Controls'!$D$15</x:f>
        <x:v>0.0075</x:v>
      </x:c>
      <x:c r="G12" s="17" t="n">
        <x:f>E12*(1/F12-1)</x:f>
        <x:v>4675.777777777778</x:v>
      </x:c>
      <x:c r="H12" s="17" t="n">
        <x:f>'Controls'!$D$16</x:f>
        <x:v>12</x:v>
      </x:c>
      <x:c r="I12" s="17" t="n">
        <x:f>H12/G12</x:f>
        <x:v>0.002566417945915118</x:v>
      </x:c>
      <x:c r="J12" s="11" t="str">
        <x:f>IF(I12&gt;=1,"active dilution","passive outdoor retention")</x:f>
        <x:v>passive outdoor retention</x:v>
      </x:c>
      <x:c r="K12" s="19" t="n">
        <x:f>C12*D12</x:f>
        <x:v>8000.000000000001</x:v>
      </x:c>
      <x:c r="L12" s="19" t="n">
        <x:f>K12*'Controls'!$D$13*'Controls'!$D$18</x:f>
        <x:v>6360.000000000002</x:v>
      </x:c>
      <x:c r="M12" s="19" t="n">
        <x:f>'Controls'!$D$17</x:f>
        <x:v>2000</x:v>
      </x:c>
      <x:c r="N12" s="19" t="n">
        <x:f>M12-L12</x:f>
        <x:v>-4360.000000000002</x:v>
      </x:c>
      <x:c r="O12" s="11" t="str">
        <x:f>IF(I12&gt;=1,"PASS",IF(N12&gt;=0,"PASS","BLOCKED"))</x:f>
        <x:v>BLOCKED</x:v>
      </x:c>
    </x:row>
  </x:sheetData>
  <x:mergeCells>
    <x:mergeCell ref="B2:P2"/>
    <x:mergeCell ref="B3:P3"/>
  </x:mergeCells>
  <x:conditionalFormatting sqref="O7:O12">
    <x:cfRule type="containsText" dxfId="42" priority="1" operator="containsText" text="PASS"/>
    <x:cfRule type="containsText" dxfId="43" priority="2" operator="containsText" text="AUTHORIZED"/>
    <x:cfRule type="containsText" dxfId="44" priority="3" operator="containsText" text="DEFINED"/>
    <x:cfRule type="containsText" dxfId="45" priority="4" operator="containsText" text="READY"/>
    <x:cfRule type="containsText" dxfId="46" priority="5" operator="containsText" text="HOLD"/>
    <x:cfRule type="containsText" dxfId="47" priority="6" operator="containsText" text="OPEN"/>
    <x:cfRule type="containsText" dxfId="48" priority="7" operator="containsText" text="BLOCKED"/>
    <x:cfRule type="containsText" dxfId="49" priority="8" operator="containsText" text="PLANNING"/>
    <x:cfRule type="containsText" dxfId="50" priority="9" operator="containsText" text="QUARANTINE"/>
    <x:cfRule type="containsText" dxfId="51" priority="10" operator="containsText" text="INDETERMINATE"/>
    <x:cfRule type="containsText" dxfId="52" priority="11" operator="containsText" text="FAIL"/>
    <x:cfRule type="containsText" dxfId="53" priority="12" operator="containsText" text="REJECT"/>
    <x:cfRule type="containsText" dxfId="54" priority="13" operator="containsText" text="INVALID"/>
    <x:cfRule type="containsText" dxfId="55" priority="14" operator="containsText" text="STOP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3" hidden="0" customWidth="1"/>
    <x:col min="3" max="3" width="18" hidden="0" customWidth="1"/>
    <x:col min="4" max="4" width="19" hidden="0" customWidth="1"/>
    <x:col min="5" max="5" width="24" hidden="0" customWidth="1"/>
    <x:col min="6" max="6" width="23" hidden="0" customWidth="1"/>
    <x:col min="7" max="7" width="17" hidden="0" customWidth="1"/>
    <x:col min="8" max="8" width="25" hidden="0" customWidth="1"/>
    <x:col min="9" max="9" width="27" hidden="0" customWidth="1"/>
    <x:col min="10" max="10" width="26" hidden="0" customWidth="1"/>
    <x:col min="11" max="11" width="28" hidden="0" customWidth="1"/>
    <x:col min="12" max="12" width="15" hidden="0" customWidth="1"/>
    <x:col min="13" max="13" width="35" hidden="0" customWidth="1"/>
  </x:cols>
  <x:sheetData>
    <x:row r="2">
      <x:c r="B2" s="1" t="str">
        <x:v>Root B ventilation applicability</x:v>
      </x:c>
    </x:row>
    <x:row r="3">
      <x:c r="B3" s="2" t="str">
        <x:v>Required air is calculated against 25 percent of the declared lower flammable fraction. The table defines the active-system boundary, not a full-release safeguard.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6">
      <x:c r="B6" s="8" t="str">
        <x:v>DME release rate (kg/s)</x:v>
      </x:c>
      <x:c r="C6" s="8" t="str">
        <x:v>Gas rate (m3/s)</x:v>
      </x:c>
      <x:c r="D6" s="8" t="str">
        <x:v>Target concentration</x:v>
      </x:c>
      <x:c r="E6" s="8" t="str">
        <x:v>Required clean air (m3/s)</x:v>
      </x:c>
      <x:c r="F6" s="8" t="str">
        <x:v>Installed ventilation (m3/s)</x:v>
      </x:c>
      <x:c r="G6" s="8" t="str">
        <x:v>Capacity ratio</x:v>
      </x:c>
      <x:c r="H6" s="8" t="str">
        <x:v>Mass released in 120 s (kg)</x:v>
      </x:c>
      <x:c r="I6" s="8" t="str">
        <x:v>Expanded gas in 120 s (m3)</x:v>
      </x:c>
      <x:c r="J6" s="8" t="str">
        <x:v>Air changes in 1,000 m3 cell (/h)</x:v>
      </x:c>
      <x:c r="K6" s="8" t="str">
        <x:v>Creditable control</x:v>
      </x:c>
      <x:c r="L6" s="8" t="str">
        <x:v>Planning state</x:v>
      </x:c>
      <x:c r="M6" s="8" t="str">
        <x:v>Interpretation</x:v>
      </x:c>
    </x:row>
    <x:row r="7">
      <x:c r="B7" s="16" t="n">
        <x:v>0.01</x:v>
      </x:c>
      <x:c r="C7" s="16" t="n">
        <x:f>B7*'Controls'!$D$13</x:f>
        <x:v>0.0053</x:v>
      </x:c>
      <x:c r="D7" s="16" t="n">
        <x:f>'Controls'!$D$14*'Controls'!$D$15</x:f>
        <x:v>0.0075</x:v>
      </x:c>
      <x:c r="E7" s="16" t="n">
        <x:f>C7*(1/D7-1)</x:f>
        <x:v>0.7013666666666667</x:v>
      </x:c>
      <x:c r="F7" s="16" t="n">
        <x:f>'Controls'!$D$16</x:f>
        <x:v>12</x:v>
      </x:c>
      <x:c r="G7" s="16" t="n">
        <x:f>F7/E7</x:f>
        <x:v>17.109452972767453</x:v>
      </x:c>
      <x:c r="H7" s="16" t="n">
        <x:f>B7*120</x:f>
        <x:v>1.2</x:v>
      </x:c>
      <x:c r="I7" s="16" t="n">
        <x:f>H7*'Controls'!$D$13*'Controls'!$D$18</x:f>
        <x:v>0.954</x:v>
      </x:c>
      <x:c r="J7" s="16" t="n">
        <x:f>F7*3600/1000</x:f>
        <x:v>43.2</x:v>
      </x:c>
      <x:c r="K7" s="10" t="str">
        <x:f>IF(G7&gt;=1,"active ventilation","outdoor route and retention")</x:f>
        <x:v>active ventilation</x:v>
      </x:c>
      <x:c r="L7" s="10" t="str">
        <x:f>IF(G7&gt;=1,"PASS","LIMIT")</x:f>
        <x:v>PASS</x:v>
      </x:c>
      <x:c r="M7" s="10" t="str">
        <x:f>IF(G7&gt;=1,"dilution may be credited after physical proof","ventilation cannot bound this source")</x:f>
        <x:v>dilution may be credited after physical proof</x:v>
      </x:c>
    </x:row>
    <x:row r="8">
      <x:c r="B8" s="16" t="n">
        <x:v>0.025</x:v>
      </x:c>
      <x:c r="C8" s="16" t="n">
        <x:f>B8*'Controls'!$D$13</x:f>
        <x:v>0.013250000000000001</x:v>
      </x:c>
      <x:c r="D8" s="16" t="n">
        <x:f>'Controls'!$D$14*'Controls'!$D$15</x:f>
        <x:v>0.0075</x:v>
      </x:c>
      <x:c r="E8" s="16" t="n">
        <x:f>C8*(1/D8-1)</x:f>
        <x:v>1.753416666666667</x:v>
      </x:c>
      <x:c r="F8" s="16" t="n">
        <x:f>'Controls'!$D$16</x:f>
        <x:v>12</x:v>
      </x:c>
      <x:c r="G8" s="16" t="n">
        <x:f>F8/E8</x:f>
        <x:v>6.84378118910698</x:v>
      </x:c>
      <x:c r="H8" s="16" t="n">
        <x:f>B8*120</x:f>
        <x:v>3</x:v>
      </x:c>
      <x:c r="I8" s="16" t="n">
        <x:f>H8*'Controls'!$D$13*'Controls'!$D$18</x:f>
        <x:v>2.3850000000000002</x:v>
      </x:c>
      <x:c r="J8" s="16" t="n">
        <x:f>F8*3600/1000</x:f>
        <x:v>43.2</x:v>
      </x:c>
      <x:c r="K8" s="10" t="str">
        <x:f>IF(G8&gt;=1,"active ventilation","outdoor route and retention")</x:f>
        <x:v>active ventilation</x:v>
      </x:c>
      <x:c r="L8" s="10" t="str">
        <x:f>IF(G8&gt;=1,"PASS","LIMIT")</x:f>
        <x:v>PASS</x:v>
      </x:c>
      <x:c r="M8" s="10" t="str">
        <x:f>IF(G8&gt;=1,"dilution may be credited after physical proof","ventilation cannot bound this source")</x:f>
        <x:v>dilution may be credited after physical proof</x:v>
      </x:c>
    </x:row>
    <x:row r="9">
      <x:c r="B9" s="16" t="n">
        <x:v>0.05</x:v>
      </x:c>
      <x:c r="C9" s="16" t="n">
        <x:f>B9*'Controls'!$D$13</x:f>
        <x:v>0.026500000000000003</x:v>
      </x:c>
      <x:c r="D9" s="16" t="n">
        <x:f>'Controls'!$D$14*'Controls'!$D$15</x:f>
        <x:v>0.0075</x:v>
      </x:c>
      <x:c r="E9" s="16" t="n">
        <x:f>C9*(1/D9-1)</x:f>
        <x:v>3.506833333333334</x:v>
      </x:c>
      <x:c r="F9" s="16" t="n">
        <x:f>'Controls'!$D$16</x:f>
        <x:v>12</x:v>
      </x:c>
      <x:c r="G9" s="16" t="n">
        <x:f>F9/E9</x:f>
        <x:v>3.42189059455349</x:v>
      </x:c>
      <x:c r="H9" s="16" t="n">
        <x:f>B9*120</x:f>
        <x:v>6</x:v>
      </x:c>
      <x:c r="I9" s="16" t="n">
        <x:f>H9*'Controls'!$D$13*'Controls'!$D$18</x:f>
        <x:v>4.7700000000000005</x:v>
      </x:c>
      <x:c r="J9" s="16" t="n">
        <x:f>F9*3600/1000</x:f>
        <x:v>43.2</x:v>
      </x:c>
      <x:c r="K9" s="10" t="str">
        <x:f>IF(G9&gt;=1,"active ventilation","outdoor route and retention")</x:f>
        <x:v>active ventilation</x:v>
      </x:c>
      <x:c r="L9" s="10" t="str">
        <x:f>IF(G9&gt;=1,"PASS","LIMIT")</x:f>
        <x:v>PASS</x:v>
      </x:c>
      <x:c r="M9" s="10" t="str">
        <x:f>IF(G9&gt;=1,"dilution may be credited after physical proof","ventilation cannot bound this source")</x:f>
        <x:v>dilution may be credited after physical proof</x:v>
      </x:c>
    </x:row>
    <x:row r="10">
      <x:c r="B10" s="16" t="n">
        <x:v>0.1</x:v>
      </x:c>
      <x:c r="C10" s="16" t="n">
        <x:f>B10*'Controls'!$D$13</x:f>
        <x:v>0.053000000000000005</x:v>
      </x:c>
      <x:c r="D10" s="16" t="n">
        <x:f>'Controls'!$D$14*'Controls'!$D$15</x:f>
        <x:v>0.0075</x:v>
      </x:c>
      <x:c r="E10" s="16" t="n">
        <x:f>C10*(1/D10-1)</x:f>
        <x:v>7.013666666666668</x:v>
      </x:c>
      <x:c r="F10" s="16" t="n">
        <x:f>'Controls'!$D$16</x:f>
        <x:v>12</x:v>
      </x:c>
      <x:c r="G10" s="16" t="n">
        <x:f>F10/E10</x:f>
        <x:v>1.710945297276745</x:v>
      </x:c>
      <x:c r="H10" s="16" t="n">
        <x:f>B10*120</x:f>
        <x:v>12</x:v>
      </x:c>
      <x:c r="I10" s="16" t="n">
        <x:f>H10*'Controls'!$D$13*'Controls'!$D$18</x:f>
        <x:v>9.540000000000001</x:v>
      </x:c>
      <x:c r="J10" s="16" t="n">
        <x:f>F10*3600/1000</x:f>
        <x:v>43.2</x:v>
      </x:c>
      <x:c r="K10" s="10" t="str">
        <x:f>IF(G10&gt;=1,"active ventilation","outdoor route and retention")</x:f>
        <x:v>active ventilation</x:v>
      </x:c>
      <x:c r="L10" s="10" t="str">
        <x:f>IF(G10&gt;=1,"PASS","LIMIT")</x:f>
        <x:v>PASS</x:v>
      </x:c>
      <x:c r="M10" s="10" t="str">
        <x:f>IF(G10&gt;=1,"dilution may be credited after physical proof","ventilation cannot bound this source")</x:f>
        <x:v>dilution may be credited after physical proof</x:v>
      </x:c>
    </x:row>
    <x:row r="11">
      <x:c r="B11" s="16" t="n">
        <x:v>0.17</x:v>
      </x:c>
      <x:c r="C11" s="16" t="n">
        <x:f>B11*'Controls'!$D$13</x:f>
        <x:v>0.09010000000000001</x:v>
      </x:c>
      <x:c r="D11" s="16" t="n">
        <x:f>'Controls'!$D$14*'Controls'!$D$15</x:f>
        <x:v>0.0075</x:v>
      </x:c>
      <x:c r="E11" s="16" t="n">
        <x:f>C11*(1/D11-1)</x:f>
        <x:v>11.923233333333336</x:v>
      </x:c>
      <x:c r="F11" s="16" t="n">
        <x:f>'Controls'!$D$16</x:f>
        <x:v>12</x:v>
      </x:c>
      <x:c r="G11" s="16" t="n">
        <x:f>F11/E11</x:f>
        <x:v>1.0064384101627912</x:v>
      </x:c>
      <x:c r="H11" s="16" t="n">
        <x:f>B11*120</x:f>
        <x:v>20.400000000000002</x:v>
      </x:c>
      <x:c r="I11" s="16" t="n">
        <x:f>H11*'Controls'!$D$13*'Controls'!$D$18</x:f>
        <x:v>16.218000000000004</x:v>
      </x:c>
      <x:c r="J11" s="16" t="n">
        <x:f>F11*3600/1000</x:f>
        <x:v>43.2</x:v>
      </x:c>
      <x:c r="K11" s="10" t="str">
        <x:f>IF(G11&gt;=1,"active ventilation","outdoor route and retention")</x:f>
        <x:v>active ventilation</x:v>
      </x:c>
      <x:c r="L11" s="10" t="str">
        <x:f>IF(G11&gt;=1,"PASS","LIMIT")</x:f>
        <x:v>PASS</x:v>
      </x:c>
      <x:c r="M11" s="10" t="str">
        <x:f>IF(G11&gt;=1,"dilution may be credited after physical proof","ventilation cannot bound this source")</x:f>
        <x:v>dilution may be credited after physical proof</x:v>
      </x:c>
    </x:row>
    <x:row r="12">
      <x:c r="B12" s="16" t="n">
        <x:v>0.25</x:v>
      </x:c>
      <x:c r="C12" s="16" t="n">
        <x:f>B12*'Controls'!$D$13</x:f>
        <x:v>0.1325</x:v>
      </x:c>
      <x:c r="D12" s="16" t="n">
        <x:f>'Controls'!$D$14*'Controls'!$D$15</x:f>
        <x:v>0.0075</x:v>
      </x:c>
      <x:c r="E12" s="16" t="n">
        <x:f>C12*(1/D12-1)</x:f>
        <x:v>17.534166666666668</x:v>
      </x:c>
      <x:c r="F12" s="16" t="n">
        <x:f>'Controls'!$D$16</x:f>
        <x:v>12</x:v>
      </x:c>
      <x:c r="G12" s="16" t="n">
        <x:f>F12/E12</x:f>
        <x:v>0.6843781189106981</x:v>
      </x:c>
      <x:c r="H12" s="16" t="n">
        <x:f>B12*120</x:f>
        <x:v>30</x:v>
      </x:c>
      <x:c r="I12" s="16" t="n">
        <x:f>H12*'Controls'!$D$13*'Controls'!$D$18</x:f>
        <x:v>23.85</x:v>
      </x:c>
      <x:c r="J12" s="16" t="n">
        <x:f>F12*3600/1000</x:f>
        <x:v>43.2</x:v>
      </x:c>
      <x:c r="K12" s="10" t="str">
        <x:f>IF(G12&gt;=1,"active ventilation","outdoor route and retention")</x:f>
        <x:v>outdoor route and retention</x:v>
      </x:c>
      <x:c r="L12" s="10" t="str">
        <x:f>IF(G12&gt;=1,"PASS","LIMIT")</x:f>
        <x:v>LIMIT</x:v>
      </x:c>
      <x:c r="M12" s="10" t="str">
        <x:f>IF(G12&gt;=1,"dilution may be credited after physical proof","ventilation cannot bound this source")</x:f>
        <x:v>ventilation cannot bound this source</x:v>
      </x:c>
    </x:row>
    <x:row r="13">
      <x:c r="B13" s="16" t="n">
        <x:v>0.5</x:v>
      </x:c>
      <x:c r="C13" s="16" t="n">
        <x:f>B13*'Controls'!$D$13</x:f>
        <x:v>0.265</x:v>
      </x:c>
      <x:c r="D13" s="16" t="n">
        <x:f>'Controls'!$D$14*'Controls'!$D$15</x:f>
        <x:v>0.0075</x:v>
      </x:c>
      <x:c r="E13" s="16" t="n">
        <x:f>C13*(1/D13-1)</x:f>
        <x:v>35.068333333333335</x:v>
      </x:c>
      <x:c r="F13" s="16" t="n">
        <x:f>'Controls'!$D$16</x:f>
        <x:v>12</x:v>
      </x:c>
      <x:c r="G13" s="16" t="n">
        <x:f>F13/E13</x:f>
        <x:v>0.34218905945534905</x:v>
      </x:c>
      <x:c r="H13" s="16" t="n">
        <x:f>B13*120</x:f>
        <x:v>60</x:v>
      </x:c>
      <x:c r="I13" s="16" t="n">
        <x:f>H13*'Controls'!$D$13*'Controls'!$D$18</x:f>
        <x:v>47.7</x:v>
      </x:c>
      <x:c r="J13" s="16" t="n">
        <x:f>F13*3600/1000</x:f>
        <x:v>43.2</x:v>
      </x:c>
      <x:c r="K13" s="10" t="str">
        <x:f>IF(G13&gt;=1,"active ventilation","outdoor route and retention")</x:f>
        <x:v>outdoor route and retention</x:v>
      </x:c>
      <x:c r="L13" s="10" t="str">
        <x:f>IF(G13&gt;=1,"PASS","LIMIT")</x:f>
        <x:v>LIMIT</x:v>
      </x:c>
      <x:c r="M13" s="10" t="str">
        <x:f>IF(G13&gt;=1,"dilution may be credited after physical proof","ventilation cannot bound this source")</x:f>
        <x:v>ventilation cannot bound this source</x:v>
      </x:c>
    </x:row>
    <x:row r="14">
      <x:c r="B14" s="16" t="n">
        <x:v>1</x:v>
      </x:c>
      <x:c r="C14" s="16" t="n">
        <x:f>B14*'Controls'!$D$13</x:f>
        <x:v>0.53</x:v>
      </x:c>
      <x:c r="D14" s="16" t="n">
        <x:f>'Controls'!$D$14*'Controls'!$D$15</x:f>
        <x:v>0.0075</x:v>
      </x:c>
      <x:c r="E14" s="16" t="n">
        <x:f>C14*(1/D14-1)</x:f>
        <x:v>70.13666666666667</x:v>
      </x:c>
      <x:c r="F14" s="16" t="n">
        <x:f>'Controls'!$D$16</x:f>
        <x:v>12</x:v>
      </x:c>
      <x:c r="G14" s="16" t="n">
        <x:f>F14/E14</x:f>
        <x:v>0.17109452972767453</x:v>
      </x:c>
      <x:c r="H14" s="16" t="n">
        <x:f>B14*120</x:f>
        <x:v>120</x:v>
      </x:c>
      <x:c r="I14" s="16" t="n">
        <x:f>H14*'Controls'!$D$13*'Controls'!$D$18</x:f>
        <x:v>95.4</x:v>
      </x:c>
      <x:c r="J14" s="16" t="n">
        <x:f>F14*3600/1000</x:f>
        <x:v>43.2</x:v>
      </x:c>
      <x:c r="K14" s="10" t="str">
        <x:f>IF(G14&gt;=1,"active ventilation","outdoor route and retention")</x:f>
        <x:v>outdoor route and retention</x:v>
      </x:c>
      <x:c r="L14" s="10" t="str">
        <x:f>IF(G14&gt;=1,"PASS","LIMIT")</x:f>
        <x:v>LIMIT</x:v>
      </x:c>
      <x:c r="M14" s="10" t="str">
        <x:f>IF(G14&gt;=1,"dilution may be credited after physical proof","ventilation cannot bound this source")</x:f>
        <x:v>ventilation cannot bound this source</x:v>
      </x:c>
    </x:row>
    <x:row r="15">
      <x:c r="B15" s="16" t="n">
        <x:v>5</x:v>
      </x:c>
      <x:c r="C15" s="16" t="n">
        <x:f>B15*'Controls'!$D$13</x:f>
        <x:v>2.6500000000000004</x:v>
      </x:c>
      <x:c r="D15" s="16" t="n">
        <x:f>'Controls'!$D$14*'Controls'!$D$15</x:f>
        <x:v>0.0075</x:v>
      </x:c>
      <x:c r="E15" s="16" t="n">
        <x:f>C15*(1/D15-1)</x:f>
        <x:v>350.6833333333334</x:v>
      </x:c>
      <x:c r="F15" s="16" t="n">
        <x:f>'Controls'!$D$16</x:f>
        <x:v>12</x:v>
      </x:c>
      <x:c r="G15" s="16" t="n">
        <x:f>F15/E15</x:f>
        <x:v>0.0342189059455349</x:v>
      </x:c>
      <x:c r="H15" s="16" t="n">
        <x:f>B15*120</x:f>
        <x:v>600</x:v>
      </x:c>
      <x:c r="I15" s="16" t="n">
        <x:f>H15*'Controls'!$D$13*'Controls'!$D$18</x:f>
        <x:v>477</x:v>
      </x:c>
      <x:c r="J15" s="16" t="n">
        <x:f>F15*3600/1000</x:f>
        <x:v>43.2</x:v>
      </x:c>
      <x:c r="K15" s="10" t="str">
        <x:f>IF(G15&gt;=1,"active ventilation","outdoor route and retention")</x:f>
        <x:v>outdoor route and retention</x:v>
      </x:c>
      <x:c r="L15" s="10" t="str">
        <x:f>IF(G15&gt;=1,"PASS","LIMIT")</x:f>
        <x:v>LIMIT</x:v>
      </x:c>
      <x:c r="M15" s="10" t="str">
        <x:f>IF(G15&gt;=1,"dilution may be credited after physical proof","ventilation cannot bound this source")</x:f>
        <x:v>ventilation cannot bound this source</x:v>
      </x:c>
    </x:row>
    <x:row r="16">
      <x:c r="B16" s="17" t="n">
        <x:v>16.666667</x:v>
      </x:c>
      <x:c r="C16" s="17" t="n">
        <x:f>B16*'Controls'!$D$13</x:f>
        <x:v>8.833333510000001</x:v>
      </x:c>
      <x:c r="D16" s="17" t="n">
        <x:f>'Controls'!$D$14*'Controls'!$D$15</x:f>
        <x:v>0.0075</x:v>
      </x:c>
      <x:c r="E16" s="17" t="n">
        <x:f>C16*(1/D16-1)</x:f>
        <x:v>1168.9444678233335</x:v>
      </x:c>
      <x:c r="F16" s="17" t="n">
        <x:f>'Controls'!$D$16</x:f>
        <x:v>12</x:v>
      </x:c>
      <x:c r="G16" s="17" t="n">
        <x:f>F16/E16</x:f>
        <x:v>0.01026567157834704</x:v>
      </x:c>
      <x:c r="H16" s="17" t="n">
        <x:f>B16*120</x:f>
        <x:v>2000.0000400000001</x:v>
      </x:c>
      <x:c r="I16" s="17" t="n">
        <x:f>H16*'Controls'!$D$13*'Controls'!$D$18</x:f>
        <x:v>1590.0000318000002</x:v>
      </x:c>
      <x:c r="J16" s="17" t="n">
        <x:f>F16*3600/1000</x:f>
        <x:v>43.2</x:v>
      </x:c>
      <x:c r="K16" s="11" t="str">
        <x:f>IF(G16&gt;=1,"active ventilation","outdoor route and retention")</x:f>
        <x:v>outdoor route and retention</x:v>
      </x:c>
      <x:c r="L16" s="11" t="str">
        <x:f>IF(G16&gt;=1,"PASS","LIMIT")</x:f>
        <x:v>LIMIT</x:v>
      </x:c>
      <x:c r="M16" s="11" t="str">
        <x:f>IF(G16&gt;=1,"dilution may be credited after physical proof","ventilation cannot bound this source")</x:f>
        <x:v>ventilation cannot bound this source</x:v>
      </x:c>
    </x:row>
  </x:sheetData>
  <x:mergeCells>
    <x:mergeCell ref="B2:N2"/>
    <x:mergeCell ref="B3:N3"/>
  </x:mergeCells>
  <x:conditionalFormatting sqref="L7:L16">
    <x:cfRule type="containsText" dxfId="56" priority="1" operator="containsText" text="PASS"/>
    <x:cfRule type="containsText" dxfId="57" priority="2" operator="containsText" text="AUTHORIZED"/>
    <x:cfRule type="containsText" dxfId="58" priority="3" operator="containsText" text="DEFINED"/>
    <x:cfRule type="containsText" dxfId="59" priority="4" operator="containsText" text="READY"/>
    <x:cfRule type="containsText" dxfId="60" priority="5" operator="containsText" text="HOLD"/>
    <x:cfRule type="containsText" dxfId="61" priority="6" operator="containsText" text="OPEN"/>
    <x:cfRule type="containsText" dxfId="62" priority="7" operator="containsText" text="BLOCKED"/>
    <x:cfRule type="containsText" dxfId="63" priority="8" operator="containsText" text="PLANNING"/>
    <x:cfRule type="containsText" dxfId="64" priority="9" operator="containsText" text="QUARANTINE"/>
    <x:cfRule type="containsText" dxfId="65" priority="10" operator="containsText" text="INDETERMINATE"/>
    <x:cfRule type="containsText" dxfId="66" priority="11" operator="containsText" text="FAIL"/>
    <x:cfRule type="containsText" dxfId="67" priority="12" operator="containsText" text="REJECT"/>
    <x:cfRule type="containsText" dxfId="68" priority="13" operator="containsText" text="INVALID"/>
    <x:cfRule type="containsText" dxfId="69" priority="14" operator="containsText" text="STOP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8" hidden="0" customWidth="1"/>
    <x:col min="3" max="3" width="9" hidden="0" customWidth="1"/>
    <x:col min="4" max="4" width="19" hidden="0" customWidth="1"/>
    <x:col min="5" max="5" width="40" hidden="0" customWidth="1"/>
    <x:col min="6" max="6" width="14" hidden="0" customWidth="1"/>
    <x:col min="7" max="7" width="15" hidden="0" customWidth="1"/>
    <x:col min="8" max="8" width="19" hidden="0" customWidth="1"/>
    <x:col min="9" max="9" width="23" hidden="0" customWidth="1"/>
    <x:col min="10" max="10" width="18" hidden="0" customWidth="1"/>
    <x:col min="11" max="11" width="20" hidden="0" customWidth="1"/>
    <x:col min="12" max="12" width="25" hidden="0" customWidth="1"/>
    <x:col min="13" max="13" width="23" hidden="0" customWidth="1"/>
    <x:col min="14" max="14" width="23" hidden="0" customWidth="1"/>
    <x:col min="15" max="15" width="24" hidden="0" customWidth="1"/>
    <x:col min="16" max="16" width="16" hidden="0" customWidth="1"/>
  </x:cols>
  <x:sheetData>
    <x:row r="2">
      <x:c r="B2" s="1" t="str">
        <x:v>Thermal-radiation planning screen</x:v>
      </x:c>
    </x:row>
    <x:row r="3">
      <x:c r="B3" s="2" t="str">
        <x:v>Point-source screening is used only to size a conservative investigation domain. Detailed flame geometry, shielding and weather remain physical-analysis gates.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6">
      <x:c r="B6" s="8" t="str">
        <x:v>Root</x:v>
      </x:c>
      <x:c r="C6" s="8" t="str">
        <x:v>State</x:v>
      </x:c>
      <x:c r="D6" s="8" t="str">
        <x:v>Active compartments</x:v>
      </x:c>
      <x:c r="E6" s="8" t="str">
        <x:v>Case</x:v>
      </x:c>
      <x:c r="F6" s="8" t="str">
        <x:v>Mass (kg)</x:v>
      </x:c>
      <x:c r="G6" s="8" t="str">
        <x:v>Energy (GJ)</x:v>
      </x:c>
      <x:c r="H6" s="8" t="str">
        <x:v>Burn duration (s)</x:v>
      </x:c>
      <x:c r="I6" s="8" t="str">
        <x:v>Heat-release rate (MW)</x:v>
      </x:c>
      <x:c r="J6" s="8" t="str">
        <x:v>Radiative fraction</x:v>
      </x:c>
      <x:c r="K6" s="8" t="str">
        <x:v>Radiative power (MW)</x:v>
      </x:c>
      <x:c r="L6" s="8" t="str">
        <x:v>Distance at target flux (m)</x:v>
      </x:c>
      <x:c r="M6" s="8" t="str">
        <x:v>Flux at 25 m (kW/m2)</x:v>
      </x:c>
      <x:c r="N6" s="8" t="str">
        <x:v>Flux at 50 m (kW/m2)</x:v>
      </x:c>
      <x:c r="O6" s="8" t="str">
        <x:v>Flux at 100 m (kW/m2)</x:v>
      </x:c>
      <x:c r="P6" s="8" t="str">
        <x:v>Planning state</x:v>
      </x:c>
    </x:row>
    <x:row r="7">
      <x:c r="B7" s="10" t="str">
        <x:v>A</x:v>
      </x:c>
      <x:c r="C7" s="10" t="str">
        <x:v>C1</x:v>
      </x:c>
      <x:c r="D7" s="10" t="n">
        <x:v>1</x:v>
      </x:c>
      <x:c r="E7" s="10" t="str">
        <x:v>bounded liquid pool</x:v>
      </x:c>
      <x:c r="F7" s="16" t="n">
        <x:f>D7*'Controls'!$D$8</x:f>
        <x:v>2000</x:v>
      </x:c>
      <x:c r="G7" s="16" t="n">
        <x:f>F7*IF(B7="A",'Controls'!$D$9,'Controls'!$D$10)/1000</x:f>
        <x:v>85.176</x:v>
      </x:c>
      <x:c r="H7" s="16" t="n">
        <x:f>IF(B7="A",F7/('Controls'!$D$21*D7*'Controls'!$D$22),'Controls'!$D$24)</x:f>
        <x:v>1454.5454545454545</x:v>
      </x:c>
      <x:c r="I7" s="16" t="n">
        <x:f>G7*1000/H7</x:f>
        <x:v>58.5585</x:v>
      </x:c>
      <x:c r="J7" s="16" t="n">
        <x:f>IF(B7="A",'Controls'!$D$23,'Controls'!$D$25)</x:f>
        <x:v>0.35</x:v>
      </x:c>
      <x:c r="K7" s="16" t="n">
        <x:f>I7*J7</x:f>
        <x:v>20.495475</x:v>
      </x:c>
      <x:c r="L7" s="16" t="n">
        <x:f>SQRT(K7*1000/(4*PI()*'Controls'!$D$26))</x:f>
        <x:v>31.927438029784643</x:v>
      </x:c>
      <x:c r="M7" s="16" t="n">
        <x:f>K7*1000/(4*PI()*25^2)</x:f>
        <x:v>2.609564925813091</x:v>
      </x:c>
      <x:c r="N7" s="16" t="n">
        <x:f>K7*1000/(4*PI()*50^2)</x:f>
        <x:v>0.6523912314532727</x:v>
      </x:c>
      <x:c r="O7" s="16" t="n">
        <x:f>K7*1000/(4*PI()*100^2)</x:f>
        <x:v>0.16309780786331818</x:v>
      </x:c>
      <x:c r="P7" s="10" t="str">
        <x:f>IF(AND(G7&gt;0,H7&gt;0,L7&gt;0),IF(C7="C1","PASS","BOUNDING"),"FAIL")</x:f>
        <x:v>PASS</x:v>
      </x:c>
    </x:row>
    <x:row r="8">
      <x:c r="B8" s="10" t="str">
        <x:v>A</x:v>
      </x:c>
      <x:c r="C8" s="10" t="str">
        <x:v>C2</x:v>
      </x:c>
      <x:c r="D8" s="10" t="n">
        <x:v>4</x:v>
      </x:c>
      <x:c r="E8" s="10" t="str">
        <x:v>uncontrolled four-compartment escalation</x:v>
      </x:c>
      <x:c r="F8" s="16" t="n">
        <x:f>D8*'Controls'!$D$8</x:f>
        <x:v>8000</x:v>
      </x:c>
      <x:c r="G8" s="16" t="n">
        <x:f>F8*IF(B8="A",'Controls'!$D$9,'Controls'!$D$10)/1000</x:f>
        <x:v>340.704</x:v>
      </x:c>
      <x:c r="H8" s="16" t="n">
        <x:f>IF(B8="A",F8/('Controls'!$D$21*D8*'Controls'!$D$22),'Controls'!$D$24)</x:f>
        <x:v>1454.5454545454545</x:v>
      </x:c>
      <x:c r="I8" s="16" t="n">
        <x:f>G8*1000/H8</x:f>
        <x:v>234.234</x:v>
      </x:c>
      <x:c r="J8" s="16" t="n">
        <x:f>IF(B8="A",'Controls'!$D$23,'Controls'!$D$25)</x:f>
        <x:v>0.35</x:v>
      </x:c>
      <x:c r="K8" s="16" t="n">
        <x:f>I8*J8</x:f>
        <x:v>81.9819</x:v>
      </x:c>
      <x:c r="L8" s="16" t="n">
        <x:f>SQRT(K8*1000/(4*PI()*'Controls'!$D$26))</x:f>
        <x:v>63.854876059569285</x:v>
      </x:c>
      <x:c r="M8" s="16" t="n">
        <x:f>K8*1000/(4*PI()*25^2)</x:f>
        <x:v>10.438259703252363</x:v>
      </x:c>
      <x:c r="N8" s="16" t="n">
        <x:f>K8*1000/(4*PI()*50^2)</x:f>
        <x:v>2.609564925813091</x:v>
      </x:c>
      <x:c r="O8" s="16" t="n">
        <x:f>K8*1000/(4*PI()*100^2)</x:f>
        <x:v>0.6523912314532727</x:v>
      </x:c>
      <x:c r="P8" s="10" t="str">
        <x:f>IF(AND(G8&gt;0,H8&gt;0,L8&gt;0),IF(C8="C1","PASS","BOUNDING"),"FAIL")</x:f>
        <x:v>BOUNDING</x:v>
      </x:c>
    </x:row>
    <x:row r="9">
      <x:c r="B9" s="10" t="str">
        <x:v>B</x:v>
      </x:c>
      <x:c r="C9" s="10" t="str">
        <x:v>C1</x:v>
      </x:c>
      <x:c r="D9" s="10" t="n">
        <x:v>1</x:v>
      </x:c>
      <x:c r="E9" s="10" t="str">
        <x:v>bounded DME fire</x:v>
      </x:c>
      <x:c r="F9" s="16" t="n">
        <x:f>D9*'Controls'!$D$8</x:f>
        <x:v>2000</x:v>
      </x:c>
      <x:c r="G9" s="16" t="n">
        <x:f>F9*IF(B9="A",'Controls'!$D$9,'Controls'!$D$10)/1000</x:f>
        <x:v>57.024</x:v>
      </x:c>
      <x:c r="H9" s="16" t="n">
        <x:f>IF(B9="A",F9/('Controls'!$D$21*D9*'Controls'!$D$22),'Controls'!$D$24)</x:f>
        <x:v>900</x:v>
      </x:c>
      <x:c r="I9" s="16" t="n">
        <x:f>G9*1000/H9</x:f>
        <x:v>63.36</x:v>
      </x:c>
      <x:c r="J9" s="16" t="n">
        <x:f>IF(B9="A",'Controls'!$D$23,'Controls'!$D$25)</x:f>
        <x:v>0.25</x:v>
      </x:c>
      <x:c r="K9" s="16" t="n">
        <x:f>I9*J9</x:f>
        <x:v>15.84</x:v>
      </x:c>
      <x:c r="L9" s="16" t="n">
        <x:f>SQRT(K9*1000/(4*PI()*'Controls'!$D$26))</x:f>
        <x:v>28.068077388821663</x:v>
      </x:c>
      <x:c r="M9" s="16" t="n">
        <x:f>K9*1000/(4*PI()*25^2)</x:f>
        <x:v>2.016811438860498</x:v>
      </x:c>
      <x:c r="N9" s="16" t="n">
        <x:f>K9*1000/(4*PI()*50^2)</x:f>
        <x:v>0.5042028597151245</x:v>
      </x:c>
      <x:c r="O9" s="16" t="n">
        <x:f>K9*1000/(4*PI()*100^2)</x:f>
        <x:v>0.12605071492878112</x:v>
      </x:c>
      <x:c r="P9" s="10" t="str">
        <x:f>IF(AND(G9&gt;0,H9&gt;0,L9&gt;0),IF(C9="C1","PASS","BOUNDING"),"FAIL")</x:f>
        <x:v>PASS</x:v>
      </x:c>
    </x:row>
    <x:row r="10">
      <x:c r="B10" s="11" t="str">
        <x:v>B</x:v>
      </x:c>
      <x:c r="C10" s="11" t="str">
        <x:v>C2</x:v>
      </x:c>
      <x:c r="D10" s="11" t="n">
        <x:v>4</x:v>
      </x:c>
      <x:c r="E10" s="11" t="str">
        <x:v>uncontrolled four-compartment escalation</x:v>
      </x:c>
      <x:c r="F10" s="17" t="n">
        <x:f>D10*'Controls'!$D$8</x:f>
        <x:v>8000</x:v>
      </x:c>
      <x:c r="G10" s="17" t="n">
        <x:f>F10*IF(B10="A",'Controls'!$D$9,'Controls'!$D$10)/1000</x:f>
        <x:v>228.096</x:v>
      </x:c>
      <x:c r="H10" s="17" t="n">
        <x:f>IF(B10="A",F10/('Controls'!$D$21*D10*'Controls'!$D$22),'Controls'!$D$24)</x:f>
        <x:v>900</x:v>
      </x:c>
      <x:c r="I10" s="17" t="n">
        <x:f>G10*1000/H10</x:f>
        <x:v>253.44</x:v>
      </x:c>
      <x:c r="J10" s="17" t="n">
        <x:f>IF(B10="A",'Controls'!$D$23,'Controls'!$D$25)</x:f>
        <x:v>0.25</x:v>
      </x:c>
      <x:c r="K10" s="17" t="n">
        <x:f>I10*J10</x:f>
        <x:v>63.36</x:v>
      </x:c>
      <x:c r="L10" s="17" t="n">
        <x:f>SQRT(K10*1000/(4*PI()*'Controls'!$D$26))</x:f>
        <x:v>56.13615477764333</x:v>
      </x:c>
      <x:c r="M10" s="17" t="n">
        <x:f>K10*1000/(4*PI()*25^2)</x:f>
        <x:v>8.067245755441991</x:v>
      </x:c>
      <x:c r="N10" s="17" t="n">
        <x:f>K10*1000/(4*PI()*50^2)</x:f>
        <x:v>2.016811438860498</x:v>
      </x:c>
      <x:c r="O10" s="17" t="n">
        <x:f>K10*1000/(4*PI()*100^2)</x:f>
        <x:v>0.5042028597151245</x:v>
      </x:c>
      <x:c r="P10" s="11" t="str">
        <x:f>IF(AND(G10&gt;0,H10&gt;0,L10&gt;0),IF(C10="C1","PASS","BOUNDING"),"FAIL")</x:f>
        <x:v>BOUNDING</x:v>
      </x:c>
    </x:row>
  </x:sheetData>
  <x:mergeCells>
    <x:mergeCell ref="B2:Q2"/>
    <x:mergeCell ref="B3:Q3"/>
  </x:mergeCells>
  <x:conditionalFormatting sqref="P7:P10">
    <x:cfRule type="containsText" dxfId="70" priority="1" operator="containsText" text="PASS"/>
    <x:cfRule type="containsText" dxfId="71" priority="2" operator="containsText" text="AUTHORIZED"/>
    <x:cfRule type="containsText" dxfId="72" priority="3" operator="containsText" text="DEFINED"/>
    <x:cfRule type="containsText" dxfId="73" priority="4" operator="containsText" text="READY"/>
    <x:cfRule type="containsText" dxfId="74" priority="5" operator="containsText" text="HOLD"/>
    <x:cfRule type="containsText" dxfId="75" priority="6" operator="containsText" text="OPEN"/>
    <x:cfRule type="containsText" dxfId="76" priority="7" operator="containsText" text="BLOCKED"/>
    <x:cfRule type="containsText" dxfId="77" priority="8" operator="containsText" text="PLANNING"/>
    <x:cfRule type="containsText" dxfId="78" priority="9" operator="containsText" text="QUARANTINE"/>
    <x:cfRule type="containsText" dxfId="79" priority="10" operator="containsText" text="INDETERMINATE"/>
    <x:cfRule type="containsText" dxfId="80" priority="11" operator="containsText" text="FAIL"/>
    <x:cfRule type="containsText" dxfId="81" priority="12" operator="containsText" text="REJECT"/>
    <x:cfRule type="containsText" dxfId="82" priority="13" operator="containsText" text="INVALID"/>
    <x:cfRule type="containsText" dxfId="83" priority="14" operator="containsText" text="STOP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8" hidden="0" customWidth="1"/>
    <x:col min="3" max="3" width="9" hidden="0" customWidth="1"/>
    <x:col min="4" max="4" width="20" hidden="0" customWidth="1"/>
    <x:col min="5" max="5" width="20" hidden="0" customWidth="1"/>
    <x:col min="6" max="6" width="21" hidden="0" customWidth="1"/>
    <x:col min="7" max="7" width="19" hidden="0" customWidth="1"/>
    <x:col min="8" max="8" width="23" hidden="0" customWidth="1"/>
    <x:col min="9" max="9" width="20" hidden="0" customWidth="1"/>
    <x:col min="10" max="10" width="17" hidden="0" customWidth="1"/>
    <x:col min="11" max="11" width="23" hidden="0" customWidth="1"/>
    <x:col min="12" max="12" width="24" hidden="0" customWidth="1"/>
    <x:col min="13" max="13" width="23" hidden="0" customWidth="1"/>
    <x:col min="14" max="14" width="23" hidden="0" customWidth="1"/>
    <x:col min="15" max="15" width="15" hidden="0" customWidth="1"/>
  </x:cols>
  <x:sheetData>
    <x:row r="2">
      <x:c r="B2" s="1" t="str">
        <x:v>Combustion-participation and stand-off screen</x:v>
      </x:c>
    </x:row>
    <x:row r="3">
      <x:c r="B3" s="2" t="str">
        <x:v>TNT equivalence and scaled distance are declared planning hypotheses. They set the analysis domain and do not replace dispersion or blast validation.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>
      <x:c r="B6" s="8" t="str">
        <x:v>Root</x:v>
      </x:c>
      <x:c r="C6" s="8" t="str">
        <x:v>State</x:v>
      </x:c>
      <x:c r="D6" s="8" t="str">
        <x:v>Participation case</x:v>
      </x:c>
      <x:c r="E6" s="8" t="str">
        <x:v>Active compartments</x:v>
      </x:c>
      <x:c r="F6" s="8" t="str">
        <x:v>Chemical energy (GJ)</x:v>
      </x:c>
      <x:c r="G6" s="8" t="str">
        <x:v>Participation fraction</x:v>
      </x:c>
      <x:c r="H6" s="8" t="str">
        <x:v>Participating energy (GJ)</x:v>
      </x:c>
      <x:c r="I6" s="8" t="str">
        <x:v>TNT equivalent (kg)</x:v>
      </x:c>
      <x:c r="J6" s="8" t="str">
        <x:v>Cube-root mass</x:v>
      </x:c>
      <x:c r="K6" s="8" t="str">
        <x:v>Five psi distance (m)</x:v>
      </x:c>
      <x:c r="L6" s="8" t="str">
        <x:v>Three psi distance (m)</x:v>
      </x:c>
      <x:c r="M6" s="8" t="str">
        <x:v>One psi distance (m)</x:v>
      </x:c>
      <x:c r="N6" s="8" t="str">
        <x:v>Provisional exclusion (m)</x:v>
      </x:c>
      <x:c r="O6" s="8" t="str">
        <x:v>Planning state</x:v>
      </x:c>
    </x:row>
    <x:row r="7">
      <x:c r="B7" s="10" t="str">
        <x:v>A</x:v>
      </x:c>
      <x:c r="C7" s="10" t="str">
        <x:v>C1</x:v>
      </x:c>
      <x:c r="D7" s="10" t="str">
        <x:v>1 percent</x:v>
      </x:c>
      <x:c r="E7" s="16" t="n">
        <x:v>1</x:v>
      </x:c>
      <x:c r="F7" s="16" t="n">
        <x:f>E7*'Controls'!$D$8*IF(B7="A",'Controls'!$D$9,'Controls'!$D$10)/1000</x:f>
        <x:v>85.176</x:v>
      </x:c>
      <x:c r="G7" s="16" t="n">
        <x:f>'Controls'!$D$28</x:f>
        <x:v>0.01</x:v>
      </x:c>
      <x:c r="H7" s="16" t="n">
        <x:f>F7*G7</x:f>
        <x:v>0.8517600000000001</x:v>
      </x:c>
      <x:c r="I7" s="16" t="n">
        <x:f>H7*1000/'Controls'!$D$27</x:f>
        <x:v>203.57552581261953</x:v>
      </x:c>
      <x:c r="J7" s="16" t="n">
        <x:f>I7^(1/3)</x:f>
        <x:v>5.882679507982413</x:v>
      </x:c>
      <x:c r="K7" s="16" t="n">
        <x:f>J7*'Controls'!$D$31</x:f>
        <x:v>26.47205778592086</x:v>
      </x:c>
      <x:c r="L7" s="16" t="n">
        <x:f>J7*'Controls'!$D$32</x:f>
        <x:v>35.29607704789448</x:v>
      </x:c>
      <x:c r="M7" s="16" t="n">
        <x:f>J7*'Controls'!$D$33</x:f>
        <x:v>70.59215409578896</x:v>
      </x:c>
      <x:c r="N7" s="16" t="n">
        <x:f>CEILING(M7*1.25,10)</x:f>
        <x:v>90</x:v>
      </x:c>
      <x:c r="O7" s="10" t="str">
        <x:f>IF(AND(I7&gt;0,K7&gt;0,L7&gt;K7,M7&gt;L7,N7&gt;=M7),"PASS","FAIL")</x:f>
        <x:v>PASS</x:v>
      </x:c>
    </x:row>
    <x:row r="8">
      <x:c r="B8" s="10" t="str">
        <x:v>A</x:v>
      </x:c>
      <x:c r="C8" s="10" t="str">
        <x:v>C1</x:v>
      </x:c>
      <x:c r="D8" s="10" t="str">
        <x:v>5 percent</x:v>
      </x:c>
      <x:c r="E8" s="16" t="n">
        <x:v>1</x:v>
      </x:c>
      <x:c r="F8" s="16" t="n">
        <x:f>E8*'Controls'!$D$8*IF(B8="A",'Controls'!$D$9,'Controls'!$D$10)/1000</x:f>
        <x:v>85.176</x:v>
      </x:c>
      <x:c r="G8" s="16" t="n">
        <x:f>'Controls'!$D$29</x:f>
        <x:v>0.05</x:v>
      </x:c>
      <x:c r="H8" s="16" t="n">
        <x:f>F8*G8</x:f>
        <x:v>4.2588</x:v>
      </x:c>
      <x:c r="I8" s="16" t="n">
        <x:f>H8*1000/'Controls'!$D$27</x:f>
        <x:v>1017.8776290630975</x:v>
      </x:c>
      <x:c r="J8" s="16" t="n">
        <x:f>I8^(1/3)</x:f>
        <x:v>10.059240460657833</x:v>
      </x:c>
      <x:c r="K8" s="16" t="n">
        <x:f>J8*'Controls'!$D$31</x:f>
        <x:v>45.26658207296025</x:v>
      </x:c>
      <x:c r="L8" s="16" t="n">
        <x:f>J8*'Controls'!$D$32</x:f>
        <x:v>60.355442763946996</x:v>
      </x:c>
      <x:c r="M8" s="16" t="n">
        <x:f>J8*'Controls'!$D$33</x:f>
        <x:v>120.71088552789399</x:v>
      </x:c>
      <x:c r="N8" s="16" t="n">
        <x:f>CEILING(M8*1.25,10)</x:f>
        <x:v>160</x:v>
      </x:c>
      <x:c r="O8" s="10" t="str">
        <x:f>IF(AND(I8&gt;0,K8&gt;0,L8&gt;K8,M8&gt;L8,N8&gt;=M8),"PASS","FAIL")</x:f>
        <x:v>PASS</x:v>
      </x:c>
    </x:row>
    <x:row r="9">
      <x:c r="B9" s="10" t="str">
        <x:v>A</x:v>
      </x:c>
      <x:c r="C9" s="10" t="str">
        <x:v>C1</x:v>
      </x:c>
      <x:c r="D9" s="10" t="str">
        <x:v>10 percent</x:v>
      </x:c>
      <x:c r="E9" s="16" t="n">
        <x:v>1</x:v>
      </x:c>
      <x:c r="F9" s="16" t="n">
        <x:f>E9*'Controls'!$D$8*IF(B9="A",'Controls'!$D$9,'Controls'!$D$10)/1000</x:f>
        <x:v>85.176</x:v>
      </x:c>
      <x:c r="G9" s="16" t="n">
        <x:f>'Controls'!$D$30</x:f>
        <x:v>0.1</x:v>
      </x:c>
      <x:c r="H9" s="16" t="n">
        <x:f>F9*G9</x:f>
        <x:v>8.5176</x:v>
      </x:c>
      <x:c r="I9" s="16" t="n">
        <x:f>H9*1000/'Controls'!$D$27</x:f>
        <x:v>2035.755258126195</x:v>
      </x:c>
      <x:c r="J9" s="16" t="n">
        <x:f>I9^(1/3)</x:f>
        <x:v>12.673848802337004</x:v>
      </x:c>
      <x:c r="K9" s="16" t="n">
        <x:f>J9*'Controls'!$D$31</x:f>
        <x:v>57.03231961051652</x:v>
      </x:c>
      <x:c r="L9" s="16" t="n">
        <x:f>J9*'Controls'!$D$32</x:f>
        <x:v>76.04309281402202</x:v>
      </x:c>
      <x:c r="M9" s="16" t="n">
        <x:f>J9*'Controls'!$D$33</x:f>
        <x:v>152.08618562804403</x:v>
      </x:c>
      <x:c r="N9" s="16" t="n">
        <x:f>CEILING(M9*1.25,10)</x:f>
        <x:v>200</x:v>
      </x:c>
      <x:c r="O9" s="10" t="str">
        <x:f>IF(AND(I9&gt;0,K9&gt;0,L9&gt;K9,M9&gt;L9,N9&gt;=M9),"PASS","FAIL")</x:f>
        <x:v>PASS</x:v>
      </x:c>
    </x:row>
    <x:row r="10">
      <x:c r="B10" s="10" t="str">
        <x:v>A</x:v>
      </x:c>
      <x:c r="C10" s="10" t="str">
        <x:v>C2</x:v>
      </x:c>
      <x:c r="D10" s="10" t="str">
        <x:v>1 percent</x:v>
      </x:c>
      <x:c r="E10" s="16" t="n">
        <x:v>4</x:v>
      </x:c>
      <x:c r="F10" s="16" t="n">
        <x:f>E10*'Controls'!$D$8*IF(B10="A",'Controls'!$D$9,'Controls'!$D$10)/1000</x:f>
        <x:v>340.704</x:v>
      </x:c>
      <x:c r="G10" s="16" t="n">
        <x:f>'Controls'!$D$28</x:f>
        <x:v>0.01</x:v>
      </x:c>
      <x:c r="H10" s="16" t="n">
        <x:f>F10*G10</x:f>
        <x:v>3.4070400000000003</x:v>
      </x:c>
      <x:c r="I10" s="16" t="n">
        <x:f>H10*1000/'Controls'!$D$27</x:f>
        <x:v>814.3021032504781</x:v>
      </x:c>
      <x:c r="J10" s="16" t="n">
        <x:f>I10^(1/3)</x:f>
        <x:v>9.338171639363052</x:v>
      </x:c>
      <x:c r="K10" s="16" t="n">
        <x:f>J10*'Controls'!$D$31</x:f>
        <x:v>42.021772377133736</x:v>
      </x:c>
      <x:c r="L10" s="16" t="n">
        <x:f>J10*'Controls'!$D$32</x:f>
        <x:v>56.02902983617831</x:v>
      </x:c>
      <x:c r="M10" s="16" t="n">
        <x:f>J10*'Controls'!$D$33</x:f>
        <x:v>112.05805967235662</x:v>
      </x:c>
      <x:c r="N10" s="16" t="n">
        <x:f>CEILING(M10*1.25,10)</x:f>
        <x:v>150</x:v>
      </x:c>
      <x:c r="O10" s="10" t="str">
        <x:f>IF(AND(I10&gt;0,K10&gt;0,L10&gt;K10,M10&gt;L10,N10&gt;=M10),"PASS","FAIL")</x:f>
        <x:v>PASS</x:v>
      </x:c>
    </x:row>
    <x:row r="11">
      <x:c r="B11" s="10" t="str">
        <x:v>A</x:v>
      </x:c>
      <x:c r="C11" s="10" t="str">
        <x:v>C2</x:v>
      </x:c>
      <x:c r="D11" s="10" t="str">
        <x:v>5 percent</x:v>
      </x:c>
      <x:c r="E11" s="16" t="n">
        <x:v>4</x:v>
      </x:c>
      <x:c r="F11" s="16" t="n">
        <x:f>E11*'Controls'!$D$8*IF(B11="A",'Controls'!$D$9,'Controls'!$D$10)/1000</x:f>
        <x:v>340.704</x:v>
      </x:c>
      <x:c r="G11" s="16" t="n">
        <x:f>'Controls'!$D$29</x:f>
        <x:v>0.05</x:v>
      </x:c>
      <x:c r="H11" s="16" t="n">
        <x:f>F11*G11</x:f>
        <x:v>17.0352</x:v>
      </x:c>
      <x:c r="I11" s="16" t="n">
        <x:f>H11*1000/'Controls'!$D$27</x:f>
        <x:v>4071.51051625239</x:v>
      </x:c>
      <x:c r="J11" s="16" t="n">
        <x:f>I11^(1/3)</x:f>
        <x:v>15.968048889249317</x:v>
      </x:c>
      <x:c r="K11" s="16" t="n">
        <x:f>J11*'Controls'!$D$31</x:f>
        <x:v>71.85622000162192</x:v>
      </x:c>
      <x:c r="L11" s="16" t="n">
        <x:f>J11*'Controls'!$D$32</x:f>
        <x:v>95.8082933354959</x:v>
      </x:c>
      <x:c r="M11" s="16" t="n">
        <x:f>J11*'Controls'!$D$33</x:f>
        <x:v>191.6165866709918</x:v>
      </x:c>
      <x:c r="N11" s="16" t="n">
        <x:f>CEILING(M11*1.25,10)</x:f>
        <x:v>240</x:v>
      </x:c>
      <x:c r="O11" s="10" t="str">
        <x:f>IF(AND(I11&gt;0,K11&gt;0,L11&gt;K11,M11&gt;L11,N11&gt;=M11),"PASS","FAIL")</x:f>
        <x:v>PASS</x:v>
      </x:c>
    </x:row>
    <x:row r="12">
      <x:c r="B12" s="10" t="str">
        <x:v>A</x:v>
      </x:c>
      <x:c r="C12" s="10" t="str">
        <x:v>C2</x:v>
      </x:c>
      <x:c r="D12" s="10" t="str">
        <x:v>10 percent</x:v>
      </x:c>
      <x:c r="E12" s="16" t="n">
        <x:v>4</x:v>
      </x:c>
      <x:c r="F12" s="16" t="n">
        <x:f>E12*'Controls'!$D$8*IF(B12="A",'Controls'!$D$9,'Controls'!$D$10)/1000</x:f>
        <x:v>340.704</x:v>
      </x:c>
      <x:c r="G12" s="16" t="n">
        <x:f>'Controls'!$D$30</x:f>
        <x:v>0.1</x:v>
      </x:c>
      <x:c r="H12" s="16" t="n">
        <x:f>F12*G12</x:f>
        <x:v>34.0704</x:v>
      </x:c>
      <x:c r="I12" s="16" t="n">
        <x:f>H12*1000/'Controls'!$D$27</x:f>
        <x:v>8143.02103250478</x:v>
      </x:c>
      <x:c r="J12" s="16" t="n">
        <x:f>I12^(1/3)</x:f>
        <x:v>20.118480921315662</x:v>
      </x:c>
      <x:c r="K12" s="16" t="n">
        <x:f>J12*'Controls'!$D$31</x:f>
        <x:v>90.53316414592048</x:v>
      </x:c>
      <x:c r="L12" s="16" t="n">
        <x:f>J12*'Controls'!$D$32</x:f>
        <x:v>120.71088552789396</x:v>
      </x:c>
      <x:c r="M12" s="16" t="n">
        <x:f>J12*'Controls'!$D$33</x:f>
        <x:v>241.42177105578793</x:v>
      </x:c>
      <x:c r="N12" s="16" t="n">
        <x:f>CEILING(M12*1.25,10)</x:f>
        <x:v>310</x:v>
      </x:c>
      <x:c r="O12" s="10" t="str">
        <x:f>IF(AND(I12&gt;0,K12&gt;0,L12&gt;K12,M12&gt;L12,N12&gt;=M12),"PASS","FAIL")</x:f>
        <x:v>PASS</x:v>
      </x:c>
    </x:row>
    <x:row r="13">
      <x:c r="B13" s="10" t="str">
        <x:v>B</x:v>
      </x:c>
      <x:c r="C13" s="10" t="str">
        <x:v>C1</x:v>
      </x:c>
      <x:c r="D13" s="10" t="str">
        <x:v>1 percent</x:v>
      </x:c>
      <x:c r="E13" s="16" t="n">
        <x:v>1</x:v>
      </x:c>
      <x:c r="F13" s="16" t="n">
        <x:f>E13*'Controls'!$D$8*IF(B13="A",'Controls'!$D$9,'Controls'!$D$10)/1000</x:f>
        <x:v>57.024</x:v>
      </x:c>
      <x:c r="G13" s="16" t="n">
        <x:f>'Controls'!$D$28</x:f>
        <x:v>0.01</x:v>
      </x:c>
      <x:c r="H13" s="16" t="n">
        <x:f>F13*G13</x:f>
        <x:v>0.57024</x:v>
      </x:c>
      <x:c r="I13" s="16" t="n">
        <x:f>H13*1000/'Controls'!$D$27</x:f>
        <x:v>136.2906309751434</x:v>
      </x:c>
      <x:c r="J13" s="16" t="n">
        <x:f>I13^(1/3)</x:f>
        <x:v>5.146223781250489</x:v>
      </x:c>
      <x:c r="K13" s="16" t="n">
        <x:f>J13*'Controls'!$D$31</x:f>
        <x:v>23.158007015627202</x:v>
      </x:c>
      <x:c r="L13" s="16" t="n">
        <x:f>J13*'Controls'!$D$32</x:f>
        <x:v>30.877342687502935</x:v>
      </x:c>
      <x:c r="M13" s="16" t="n">
        <x:f>J13*'Controls'!$D$33</x:f>
        <x:v>61.75468537500587</x:v>
      </x:c>
      <x:c r="N13" s="16" t="n">
        <x:f>CEILING(M13*1.25,10)</x:f>
        <x:v>80</x:v>
      </x:c>
      <x:c r="O13" s="10" t="str">
        <x:f>IF(AND(I13&gt;0,K13&gt;0,L13&gt;K13,M13&gt;L13,N13&gt;=M13),"PASS","FAIL")</x:f>
        <x:v>PASS</x:v>
      </x:c>
    </x:row>
    <x:row r="14">
      <x:c r="B14" s="10" t="str">
        <x:v>B</x:v>
      </x:c>
      <x:c r="C14" s="10" t="str">
        <x:v>C1</x:v>
      </x:c>
      <x:c r="D14" s="10" t="str">
        <x:v>5 percent</x:v>
      </x:c>
      <x:c r="E14" s="16" t="n">
        <x:v>1</x:v>
      </x:c>
      <x:c r="F14" s="16" t="n">
        <x:f>E14*'Controls'!$D$8*IF(B14="A",'Controls'!$D$9,'Controls'!$D$10)/1000</x:f>
        <x:v>57.024</x:v>
      </x:c>
      <x:c r="G14" s="16" t="n">
        <x:f>'Controls'!$D$29</x:f>
        <x:v>0.05</x:v>
      </x:c>
      <x:c r="H14" s="16" t="n">
        <x:f>F14*G14</x:f>
        <x:v>2.8512000000000004</x:v>
      </x:c>
      <x:c r="I14" s="16" t="n">
        <x:f>H14*1000/'Controls'!$D$27</x:f>
        <x:v>681.453154875717</x:v>
      </x:c>
      <x:c r="J14" s="16" t="n">
        <x:f>I14^(1/3)</x:f>
        <x:v>8.799918882153937</x:v>
      </x:c>
      <x:c r="K14" s="16" t="n">
        <x:f>J14*'Controls'!$D$31</x:f>
        <x:v>39.599634969692715</x:v>
      </x:c>
      <x:c r="L14" s="16" t="n">
        <x:f>J14*'Controls'!$D$32</x:f>
        <x:v>52.79951329292362</x:v>
      </x:c>
      <x:c r="M14" s="16" t="n">
        <x:f>J14*'Controls'!$D$33</x:f>
        <x:v>105.59902658584724</x:v>
      </x:c>
      <x:c r="N14" s="16" t="n">
        <x:f>CEILING(M14*1.25,10)</x:f>
        <x:v>140</x:v>
      </x:c>
      <x:c r="O14" s="10" t="str">
        <x:f>IF(AND(I14&gt;0,K14&gt;0,L14&gt;K14,M14&gt;L14,N14&gt;=M14),"PASS","FAIL")</x:f>
        <x:v>PASS</x:v>
      </x:c>
    </x:row>
    <x:row r="15">
      <x:c r="B15" s="10" t="str">
        <x:v>B</x:v>
      </x:c>
      <x:c r="C15" s="10" t="str">
        <x:v>C1</x:v>
      </x:c>
      <x:c r="D15" s="10" t="str">
        <x:v>10 percent</x:v>
      </x:c>
      <x:c r="E15" s="16" t="n">
        <x:v>1</x:v>
      </x:c>
      <x:c r="F15" s="16" t="n">
        <x:f>E15*'Controls'!$D$8*IF(B15="A",'Controls'!$D$9,'Controls'!$D$10)/1000</x:f>
        <x:v>57.024</x:v>
      </x:c>
      <x:c r="G15" s="16" t="n">
        <x:f>'Controls'!$D$30</x:f>
        <x:v>0.1</x:v>
      </x:c>
      <x:c r="H15" s="16" t="n">
        <x:f>F15*G15</x:f>
        <x:v>5.702400000000001</x:v>
      </x:c>
      <x:c r="I15" s="16" t="n">
        <x:f>H15*1000/'Controls'!$D$27</x:f>
        <x:v>1362.906309751434</x:v>
      </x:c>
      <x:c r="J15" s="16" t="n">
        <x:f>I15^(1/3)</x:f>
        <x:v>11.087203036993106</x:v>
      </x:c>
      <x:c r="K15" s="16" t="n">
        <x:f>J15*'Controls'!$D$31</x:f>
        <x:v>49.892413666468975</x:v>
      </x:c>
      <x:c r="L15" s="16" t="n">
        <x:f>J15*'Controls'!$D$32</x:f>
        <x:v>66.52321822195864</x:v>
      </x:c>
      <x:c r="M15" s="16" t="n">
        <x:f>J15*'Controls'!$D$33</x:f>
        <x:v>133.0464364439173</x:v>
      </x:c>
      <x:c r="N15" s="16" t="n">
        <x:f>CEILING(M15*1.25,10)</x:f>
        <x:v>170</x:v>
      </x:c>
      <x:c r="O15" s="10" t="str">
        <x:f>IF(AND(I15&gt;0,K15&gt;0,L15&gt;K15,M15&gt;L15,N15&gt;=M15),"PASS","FAIL")</x:f>
        <x:v>PASS</x:v>
      </x:c>
    </x:row>
    <x:row r="16">
      <x:c r="B16" s="10" t="str">
        <x:v>B</x:v>
      </x:c>
      <x:c r="C16" s="10" t="str">
        <x:v>C2</x:v>
      </x:c>
      <x:c r="D16" s="10" t="str">
        <x:v>1 percent</x:v>
      </x:c>
      <x:c r="E16" s="16" t="n">
        <x:v>4</x:v>
      </x:c>
      <x:c r="F16" s="16" t="n">
        <x:f>E16*'Controls'!$D$8*IF(B16="A",'Controls'!$D$9,'Controls'!$D$10)/1000</x:f>
        <x:v>228.096</x:v>
      </x:c>
      <x:c r="G16" s="16" t="n">
        <x:f>'Controls'!$D$28</x:f>
        <x:v>0.01</x:v>
      </x:c>
      <x:c r="H16" s="16" t="n">
        <x:f>F16*G16</x:f>
        <x:v>2.28096</x:v>
      </x:c>
      <x:c r="I16" s="16" t="n">
        <x:f>H16*1000/'Controls'!$D$27</x:f>
        <x:v>545.1625239005735</x:v>
      </x:c>
      <x:c r="J16" s="16" t="n">
        <x:f>I16^(1/3)</x:f>
        <x:v>8.169121044020791</x:v>
      </x:c>
      <x:c r="K16" s="16" t="n">
        <x:f>J16*'Controls'!$D$31</x:f>
        <x:v>36.761044698093556</x:v>
      </x:c>
      <x:c r="L16" s="16" t="n">
        <x:f>J16*'Controls'!$D$32</x:f>
        <x:v>49.01472626412475</x:v>
      </x:c>
      <x:c r="M16" s="16" t="n">
        <x:f>J16*'Controls'!$D$33</x:f>
        <x:v>98.0294525282495</x:v>
      </x:c>
      <x:c r="N16" s="16" t="n">
        <x:f>CEILING(M16*1.25,10)</x:f>
        <x:v>130</x:v>
      </x:c>
      <x:c r="O16" s="10" t="str">
        <x:f>IF(AND(I16&gt;0,K16&gt;0,L16&gt;K16,M16&gt;L16,N16&gt;=M16),"PASS","FAIL")</x:f>
        <x:v>PASS</x:v>
      </x:c>
    </x:row>
    <x:row r="17">
      <x:c r="B17" s="10" t="str">
        <x:v>B</x:v>
      </x:c>
      <x:c r="C17" s="10" t="str">
        <x:v>C2</x:v>
      </x:c>
      <x:c r="D17" s="10" t="str">
        <x:v>5 percent</x:v>
      </x:c>
      <x:c r="E17" s="16" t="n">
        <x:v>4</x:v>
      </x:c>
      <x:c r="F17" s="16" t="n">
        <x:f>E17*'Controls'!$D$8*IF(B17="A",'Controls'!$D$9,'Controls'!$D$10)/1000</x:f>
        <x:v>228.096</x:v>
      </x:c>
      <x:c r="G17" s="16" t="n">
        <x:f>'Controls'!$D$29</x:f>
        <x:v>0.05</x:v>
      </x:c>
      <x:c r="H17" s="16" t="n">
        <x:f>F17*G17</x:f>
        <x:v>11.404800000000002</x:v>
      </x:c>
      <x:c r="I17" s="16" t="n">
        <x:f>H17*1000/'Controls'!$D$27</x:f>
        <x:v>2725.812619502868</x:v>
      </x:c>
      <x:c r="J17" s="16" t="n">
        <x:f>I17^(1/3)</x:f>
        <x:v>13.96900049076598</x:v>
      </x:c>
      <x:c r="K17" s="16" t="n">
        <x:f>J17*'Controls'!$D$31</x:f>
        <x:v>62.86050220844691</x:v>
      </x:c>
      <x:c r="L17" s="16" t="n">
        <x:f>J17*'Controls'!$D$32</x:f>
        <x:v>83.81400294459588</x:v>
      </x:c>
      <x:c r="M17" s="16" t="n">
        <x:f>J17*'Controls'!$D$33</x:f>
        <x:v>167.62800588919177</x:v>
      </x:c>
      <x:c r="N17" s="16" t="n">
        <x:f>CEILING(M17*1.25,10)</x:f>
        <x:v>210</x:v>
      </x:c>
      <x:c r="O17" s="10" t="str">
        <x:f>IF(AND(I17&gt;0,K17&gt;0,L17&gt;K17,M17&gt;L17,N17&gt;=M17),"PASS","FAIL")</x:f>
        <x:v>PASS</x:v>
      </x:c>
    </x:row>
    <x:row r="18">
      <x:c r="B18" s="11" t="str">
        <x:v>B</x:v>
      </x:c>
      <x:c r="C18" s="11" t="str">
        <x:v>C2</x:v>
      </x:c>
      <x:c r="D18" s="11" t="str">
        <x:v>10 percent</x:v>
      </x:c>
      <x:c r="E18" s="17" t="n">
        <x:v>4</x:v>
      </x:c>
      <x:c r="F18" s="17" t="n">
        <x:f>E18*'Controls'!$D$8*IF(B18="A",'Controls'!$D$9,'Controls'!$D$10)/1000</x:f>
        <x:v>228.096</x:v>
      </x:c>
      <x:c r="G18" s="17" t="n">
        <x:f>'Controls'!$D$30</x:f>
        <x:v>0.1</x:v>
      </x:c>
      <x:c r="H18" s="17" t="n">
        <x:f>F18*G18</x:f>
        <x:v>22.809600000000003</x:v>
      </x:c>
      <x:c r="I18" s="17" t="n">
        <x:f>H18*1000/'Controls'!$D$27</x:f>
        <x:v>5451.625239005736</x:v>
      </x:c>
      <x:c r="J18" s="17" t="n">
        <x:f>I18^(1/3)</x:f>
        <x:v>17.59983776430787</x:v>
      </x:c>
      <x:c r="K18" s="17" t="n">
        <x:f>J18*'Controls'!$D$31</x:f>
        <x:v>79.19926993938542</x:v>
      </x:c>
      <x:c r="L18" s="17" t="n">
        <x:f>J18*'Controls'!$D$32</x:f>
        <x:v>105.59902658584723</x:v>
      </x:c>
      <x:c r="M18" s="17" t="n">
        <x:f>J18*'Controls'!$D$33</x:f>
        <x:v>211.19805317169445</x:v>
      </x:c>
      <x:c r="N18" s="17" t="n">
        <x:f>CEILING(M18*1.25,10)</x:f>
        <x:v>270</x:v>
      </x:c>
      <x:c r="O18" s="11" t="str">
        <x:f>IF(AND(I18&gt;0,K18&gt;0,L18&gt;K18,M18&gt;L18,N18&gt;=M18),"PASS","FAIL")</x:f>
        <x:v>PASS</x:v>
      </x:c>
    </x:row>
  </x:sheetData>
  <x:mergeCells>
    <x:mergeCell ref="B2:P2"/>
    <x:mergeCell ref="B3:P3"/>
  </x:mergeCells>
  <x:conditionalFormatting sqref="O7:O18">
    <x:cfRule type="containsText" dxfId="84" priority="1" operator="containsText" text="PASS"/>
    <x:cfRule type="containsText" dxfId="85" priority="2" operator="containsText" text="AUTHORIZED"/>
    <x:cfRule type="containsText" dxfId="86" priority="3" operator="containsText" text="DEFINED"/>
    <x:cfRule type="containsText" dxfId="87" priority="4" operator="containsText" text="READY"/>
    <x:cfRule type="containsText" dxfId="88" priority="5" operator="containsText" text="HOLD"/>
    <x:cfRule type="containsText" dxfId="89" priority="6" operator="containsText" text="OPEN"/>
    <x:cfRule type="containsText" dxfId="90" priority="7" operator="containsText" text="BLOCKED"/>
    <x:cfRule type="containsText" dxfId="91" priority="8" operator="containsText" text="PLANNING"/>
    <x:cfRule type="containsText" dxfId="92" priority="9" operator="containsText" text="QUARANTINE"/>
    <x:cfRule type="containsText" dxfId="93" priority="10" operator="containsText" text="INDETERMINATE"/>
    <x:cfRule type="containsText" dxfId="94" priority="11" operator="containsText" text="FAIL"/>
    <x:cfRule type="containsText" dxfId="95" priority="12" operator="containsText" text="REJECT"/>
    <x:cfRule type="containsText" dxfId="96" priority="13" operator="containsText" text="INVALID"/>
    <x:cfRule type="containsText" dxfId="97" priority="14" operator="containsText" text="STOP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1" hidden="0" customWidth="1"/>
    <x:col min="3" max="3" width="8" hidden="0" customWidth="1"/>
    <x:col min="4" max="4" width="11" hidden="0" customWidth="1"/>
    <x:col min="5" max="5" width="37" hidden="0" customWidth="1"/>
    <x:col min="6" max="6" width="42" hidden="0" customWidth="1"/>
    <x:col min="7" max="7" width="16" hidden="0" customWidth="1"/>
    <x:col min="8" max="8" width="19" hidden="0" customWidth="1"/>
    <x:col min="9" max="9" width="18" hidden="0" customWidth="1"/>
    <x:col min="10" max="10" width="17" hidden="0" customWidth="1"/>
    <x:col min="11" max="11" width="15" hidden="0" customWidth="1"/>
    <x:col min="12" max="12" width="15" hidden="0" customWidth="1"/>
    <x:col min="13" max="13" width="15" hidden="0" customWidth="1"/>
    <x:col min="14" max="14" width="12" hidden="0" customWidth="1"/>
  </x:cols>
  <x:sheetData>
    <x:row r="2">
      <x:c r="B2" s="1" t="str">
        <x:v>Twenty-four propagation-denial claims</x:v>
      </x:c>
    </x:row>
    <x:row r="3">
      <x:c r="B3" s="2" t="str">
        <x:v>C2 cannot use the two-tonne maximum credible release until every root-site passive separation claim closes with native physical evidence.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6">
      <x:c r="B6" s="8" t="str">
        <x:v>Site</x:v>
      </x:c>
      <x:c r="C6" s="8" t="str">
        <x:v>Root</x:v>
      </x:c>
      <x:c r="D6" s="8" t="str">
        <x:v>Claim ID</x:v>
      </x:c>
      <x:c r="E6" s="8" t="str">
        <x:v>Passive function</x:v>
      </x:c>
      <x:c r="F6" s="8" t="str">
        <x:v>Required result</x:v>
      </x:c>
      <x:c r="G6" s="8" t="str">
        <x:v>Design package</x:v>
      </x:c>
      <x:c r="H6" s="8" t="str">
        <x:v>Independent protocol</x:v>
      </x:c>
      <x:c r="I6" s="8" t="str">
        <x:v>Physical execution</x:v>
      </x:c>
      <x:c r="J6" s="8" t="str">
        <x:v>Accepted result</x:v>
      </x:c>
      <x:c r="K6" s="8" t="str">
        <x:v>Authority record</x:v>
      </x:c>
      <x:c r="L6" s="8" t="str">
        <x:v>Planning state</x:v>
      </x:c>
      <x:c r="M6" s="8" t="str">
        <x:v>Physical state</x:v>
      </x:c>
      <x:c r="N6" s="8" t="str">
        <x:v>C2 credit</x:v>
      </x:c>
    </x:row>
    <x:row r="7">
      <x:c r="B7" s="10" t="str">
        <x:v>PTC-B</x:v>
      </x:c>
      <x:c r="C7" s="10" t="str">
        <x:v>A</x:v>
      </x:c>
      <x:c r="D7" s="10" t="str">
        <x:v>P01</x:v>
      </x:c>
      <x:c r="E7" s="10" t="str">
        <x:v>independent vessel or liquid boundary</x:v>
      </x:c>
      <x:c r="F7" s="10" t="str">
        <x:v>one compartment remains the source</x:v>
      </x:c>
      <x:c r="G7" s="10" t="n">
        <x:v>1</x:v>
      </x:c>
      <x:c r="H7" s="10" t="n">
        <x:v>1</x:v>
      </x:c>
      <x:c r="I7" s="12" t="n">
        <x:v>0</x:v>
      </x:c>
      <x:c r="J7" s="12" t="n">
        <x:v>0</x:v>
      </x:c>
      <x:c r="K7" s="10"/>
      <x:c r="L7" s="10" t="str">
        <x:f>IF(AND(G7=1,H7=1),"PASS","FAIL")</x:f>
        <x:v>PASS</x:v>
      </x:c>
      <x:c r="M7" s="10" t="str">
        <x:f>IF(L7&lt;&gt;"PASS","FAIL",IF(AND(I7=1,J7=1,K7=1),"PASS",IF(OR(I7=1,J7=1,K7=1),"FAIL","OPEN")))</x:f>
        <x:v>OPEN</x:v>
      </x:c>
      <x:c r="N7" s="10" t="n">
        <x:f>IF(M7="PASS",1,0)</x:f>
        <x:v>0</x:v>
      </x:c>
    </x:row>
    <x:row r="8">
      <x:c r="B8" s="10" t="str">
        <x:v>PTC-B</x:v>
      </x:c>
      <x:c r="C8" s="10" t="str">
        <x:v>A</x:v>
      </x:c>
      <x:c r="D8" s="10" t="str">
        <x:v>P02</x:v>
      </x:c>
      <x:c r="E8" s="10" t="str">
        <x:v>no common fuel manifold</x:v>
      </x:c>
      <x:c r="F8" s="10" t="str">
        <x:v>one break cannot drain adjacent compartments</x:v>
      </x:c>
      <x:c r="G8" s="10" t="n">
        <x:v>1</x:v>
      </x:c>
      <x:c r="H8" s="10" t="n">
        <x:v>1</x:v>
      </x:c>
      <x:c r="I8" s="12" t="n">
        <x:v>0</x:v>
      </x:c>
      <x:c r="J8" s="12" t="n">
        <x:v>0</x:v>
      </x:c>
      <x:c r="K8" s="10"/>
      <x:c r="L8" s="10" t="str">
        <x:f>IF(AND(G8=1,H8=1),"PASS","FAIL")</x:f>
        <x:v>PASS</x:v>
      </x:c>
      <x:c r="M8" s="10" t="str">
        <x:f>IF(L8&lt;&gt;"PASS","FAIL",IF(AND(I8=1,J8=1,K8=1),"PASS",IF(OR(I8=1,J8=1,K8=1),"FAIL","OPEN")))</x:f>
        <x:v>OPEN</x:v>
      </x:c>
      <x:c r="N8" s="10" t="n">
        <x:f>IF(M8="PASS",1,0)</x:f>
        <x:v>0</x:v>
      </x:c>
    </x:row>
    <x:row r="9">
      <x:c r="B9" s="10" t="str">
        <x:v>PTC-B</x:v>
      </x:c>
      <x:c r="C9" s="10" t="str">
        <x:v>A</x:v>
      </x:c>
      <x:c r="D9" s="10" t="str">
        <x:v>P03</x:v>
      </x:c>
      <x:c r="E9" s="10" t="str">
        <x:v>directional relief without common return</x:v>
      </x:c>
      <x:c r="F9" s="10" t="str">
        <x:v>one relief event cannot pressurize a neighbor</x:v>
      </x:c>
      <x:c r="G9" s="10" t="n">
        <x:v>1</x:v>
      </x:c>
      <x:c r="H9" s="10" t="n">
        <x:v>1</x:v>
      </x:c>
      <x:c r="I9" s="12" t="n">
        <x:v>0</x:v>
      </x:c>
      <x:c r="J9" s="12" t="n">
        <x:v>0</x:v>
      </x:c>
      <x:c r="K9" s="10"/>
      <x:c r="L9" s="10" t="str">
        <x:f>IF(AND(G9=1,H9=1),"PASS","FAIL")</x:f>
        <x:v>PASS</x:v>
      </x:c>
      <x:c r="M9" s="10" t="str">
        <x:f>IF(L9&lt;&gt;"PASS","FAIL",IF(AND(I9=1,J9=1,K9=1),"PASS",IF(OR(I9=1,J9=1,K9=1),"FAIL","OPEN")))</x:f>
        <x:v>OPEN</x:v>
      </x:c>
      <x:c r="N9" s="10" t="n">
        <x:f>IF(M9="PASS",1,0)</x:f>
        <x:v>0</x:v>
      </x:c>
    </x:row>
    <x:row r="10">
      <x:c r="B10" s="10" t="str">
        <x:v>PTC-B</x:v>
      </x:c>
      <x:c r="C10" s="10" t="str">
        <x:v>A</x:v>
      </x:c>
      <x:c r="D10" s="10" t="str">
        <x:v>P04</x:v>
      </x:c>
      <x:c r="E10" s="10" t="str">
        <x:v>segregated drainage or knockout</x:v>
      </x:c>
      <x:c r="F10" s="10" t="str">
        <x:v>released source cannot enter another station</x:v>
      </x:c>
      <x:c r="G10" s="10" t="n">
        <x:v>1</x:v>
      </x:c>
      <x:c r="H10" s="10" t="n">
        <x:v>1</x:v>
      </x:c>
      <x:c r="I10" s="12" t="n">
        <x:v>0</x:v>
      </x:c>
      <x:c r="J10" s="12" t="n">
        <x:v>0</x:v>
      </x:c>
      <x:c r="K10" s="10"/>
      <x:c r="L10" s="10" t="str">
        <x:f>IF(AND(G10=1,H10=1),"PASS","FAIL")</x:f>
        <x:v>PASS</x:v>
      </x:c>
      <x:c r="M10" s="10" t="str">
        <x:f>IF(L10&lt;&gt;"PASS","FAIL",IF(AND(I10=1,J10=1,K10=1),"PASS",IF(OR(I10=1,J10=1,K10=1),"FAIL","OPEN")))</x:f>
        <x:v>OPEN</x:v>
      </x:c>
      <x:c r="N10" s="10" t="n">
        <x:f>IF(M10="PASS",1,0)</x:f>
        <x:v>0</x:v>
      </x:c>
    </x:row>
    <x:row r="11">
      <x:c r="B11" s="10" t="str">
        <x:v>PTC-B</x:v>
      </x:c>
      <x:c r="C11" s="10" t="str">
        <x:v>A</x:v>
      </x:c>
      <x:c r="D11" s="10" t="str">
        <x:v>P05</x:v>
      </x:c>
      <x:c r="E11" s="10" t="str">
        <x:v>thermal escalation barrier</x:v>
      </x:c>
      <x:c r="F11" s="10" t="str">
        <x:v>adjacent source remains below escalation limit</x:v>
      </x:c>
      <x:c r="G11" s="10" t="n">
        <x:v>1</x:v>
      </x:c>
      <x:c r="H11" s="10" t="n">
        <x:v>1</x:v>
      </x:c>
      <x:c r="I11" s="12" t="n">
        <x:v>0</x:v>
      </x:c>
      <x:c r="J11" s="12" t="n">
        <x:v>0</x:v>
      </x:c>
      <x:c r="K11" s="10"/>
      <x:c r="L11" s="10" t="str">
        <x:f>IF(AND(G11=1,H11=1),"PASS","FAIL")</x:f>
        <x:v>PASS</x:v>
      </x:c>
      <x:c r="M11" s="10" t="str">
        <x:f>IF(L11&lt;&gt;"PASS","FAIL",IF(AND(I11=1,J11=1,K11=1),"PASS",IF(OR(I11=1,J11=1,K11=1),"FAIL","OPEN")))</x:f>
        <x:v>OPEN</x:v>
      </x:c>
      <x:c r="N11" s="10" t="n">
        <x:f>IF(M11="PASS",1,0)</x:f>
        <x:v>0</x:v>
      </x:c>
    </x:row>
    <x:row r="12">
      <x:c r="B12" s="10" t="str">
        <x:v>PTC-B</x:v>
      </x:c>
      <x:c r="C12" s="10" t="str">
        <x:v>A</x:v>
      </x:c>
      <x:c r="D12" s="10" t="str">
        <x:v>P06</x:v>
      </x:c>
      <x:c r="E12" s="10" t="str">
        <x:v>fragment shadow and independent support</x:v>
      </x:c>
      <x:c r="F12" s="10" t="str">
        <x:v>one rupture cannot breach or drop a neighbor</x:v>
      </x:c>
      <x:c r="G12" s="10" t="n">
        <x:v>1</x:v>
      </x:c>
      <x:c r="H12" s="10" t="n">
        <x:v>1</x:v>
      </x:c>
      <x:c r="I12" s="12" t="n">
        <x:v>0</x:v>
      </x:c>
      <x:c r="J12" s="12" t="n">
        <x:v>0</x:v>
      </x:c>
      <x:c r="K12" s="10"/>
      <x:c r="L12" s="10" t="str">
        <x:f>IF(AND(G12=1,H12=1),"PASS","FAIL")</x:f>
        <x:v>PASS</x:v>
      </x:c>
      <x:c r="M12" s="10" t="str">
        <x:f>IF(L12&lt;&gt;"PASS","FAIL",IF(AND(I12=1,J12=1,K12=1),"PASS",IF(OR(I12=1,J12=1,K12=1),"FAIL","OPEN")))</x:f>
        <x:v>OPEN</x:v>
      </x:c>
      <x:c r="N12" s="10" t="n">
        <x:f>IF(M12="PASS",1,0)</x:f>
        <x:v>0</x:v>
      </x:c>
    </x:row>
    <x:row r="13">
      <x:c r="B13" s="10" t="str">
        <x:v>PTC-B</x:v>
      </x:c>
      <x:c r="C13" s="10" t="str">
        <x:v>B</x:v>
      </x:c>
      <x:c r="D13" s="10" t="str">
        <x:v>P01</x:v>
      </x:c>
      <x:c r="E13" s="10" t="str">
        <x:v>independent vessel or liquid boundary</x:v>
      </x:c>
      <x:c r="F13" s="10" t="str">
        <x:v>one compartment remains the source</x:v>
      </x:c>
      <x:c r="G13" s="10" t="n">
        <x:v>1</x:v>
      </x:c>
      <x:c r="H13" s="10" t="n">
        <x:v>1</x:v>
      </x:c>
      <x:c r="I13" s="12" t="n">
        <x:v>0</x:v>
      </x:c>
      <x:c r="J13" s="12" t="n">
        <x:v>0</x:v>
      </x:c>
      <x:c r="K13" s="10"/>
      <x:c r="L13" s="10" t="str">
        <x:f>IF(AND(G13=1,H13=1),"PASS","FAIL")</x:f>
        <x:v>PASS</x:v>
      </x:c>
      <x:c r="M13" s="10" t="str">
        <x:f>IF(L13&lt;&gt;"PASS","FAIL",IF(AND(I13=1,J13=1,K13=1),"PASS",IF(OR(I13=1,J13=1,K13=1),"FAIL","OPEN")))</x:f>
        <x:v>OPEN</x:v>
      </x:c>
      <x:c r="N13" s="10" t="n">
        <x:f>IF(M13="PASS",1,0)</x:f>
        <x:v>0</x:v>
      </x:c>
    </x:row>
    <x:row r="14">
      <x:c r="B14" s="10" t="str">
        <x:v>PTC-B</x:v>
      </x:c>
      <x:c r="C14" s="10" t="str">
        <x:v>B</x:v>
      </x:c>
      <x:c r="D14" s="10" t="str">
        <x:v>P02</x:v>
      </x:c>
      <x:c r="E14" s="10" t="str">
        <x:v>no common fuel manifold</x:v>
      </x:c>
      <x:c r="F14" s="10" t="str">
        <x:v>one break cannot drain adjacent compartments</x:v>
      </x:c>
      <x:c r="G14" s="10" t="n">
        <x:v>1</x:v>
      </x:c>
      <x:c r="H14" s="10" t="n">
        <x:v>1</x:v>
      </x:c>
      <x:c r="I14" s="12" t="n">
        <x:v>0</x:v>
      </x:c>
      <x:c r="J14" s="12" t="n">
        <x:v>0</x:v>
      </x:c>
      <x:c r="K14" s="10"/>
      <x:c r="L14" s="10" t="str">
        <x:f>IF(AND(G14=1,H14=1),"PASS","FAIL")</x:f>
        <x:v>PASS</x:v>
      </x:c>
      <x:c r="M14" s="10" t="str">
        <x:f>IF(L14&lt;&gt;"PASS","FAIL",IF(AND(I14=1,J14=1,K14=1),"PASS",IF(OR(I14=1,J14=1,K14=1),"FAIL","OPEN")))</x:f>
        <x:v>OPEN</x:v>
      </x:c>
      <x:c r="N14" s="10" t="n">
        <x:f>IF(M14="PASS",1,0)</x:f>
        <x:v>0</x:v>
      </x:c>
    </x:row>
    <x:row r="15">
      <x:c r="B15" s="10" t="str">
        <x:v>PTC-B</x:v>
      </x:c>
      <x:c r="C15" s="10" t="str">
        <x:v>B</x:v>
      </x:c>
      <x:c r="D15" s="10" t="str">
        <x:v>P03</x:v>
      </x:c>
      <x:c r="E15" s="10" t="str">
        <x:v>directional relief without common return</x:v>
      </x:c>
      <x:c r="F15" s="10" t="str">
        <x:v>one relief event cannot pressurize a neighbor</x:v>
      </x:c>
      <x:c r="G15" s="10" t="n">
        <x:v>1</x:v>
      </x:c>
      <x:c r="H15" s="10" t="n">
        <x:v>1</x:v>
      </x:c>
      <x:c r="I15" s="12" t="n">
        <x:v>0</x:v>
      </x:c>
      <x:c r="J15" s="12" t="n">
        <x:v>0</x:v>
      </x:c>
      <x:c r="K15" s="10"/>
      <x:c r="L15" s="10" t="str">
        <x:f>IF(AND(G15=1,H15=1),"PASS","FAIL")</x:f>
        <x:v>PASS</x:v>
      </x:c>
      <x:c r="M15" s="10" t="str">
        <x:f>IF(L15&lt;&gt;"PASS","FAIL",IF(AND(I15=1,J15=1,K15=1),"PASS",IF(OR(I15=1,J15=1,K15=1),"FAIL","OPEN")))</x:f>
        <x:v>OPEN</x:v>
      </x:c>
      <x:c r="N15" s="10" t="n">
        <x:f>IF(M15="PASS",1,0)</x:f>
        <x:v>0</x:v>
      </x:c>
    </x:row>
    <x:row r="16">
      <x:c r="B16" s="10" t="str">
        <x:v>PTC-B</x:v>
      </x:c>
      <x:c r="C16" s="10" t="str">
        <x:v>B</x:v>
      </x:c>
      <x:c r="D16" s="10" t="str">
        <x:v>P04</x:v>
      </x:c>
      <x:c r="E16" s="10" t="str">
        <x:v>segregated drainage or knockout</x:v>
      </x:c>
      <x:c r="F16" s="10" t="str">
        <x:v>released source cannot enter another station</x:v>
      </x:c>
      <x:c r="G16" s="10" t="n">
        <x:v>1</x:v>
      </x:c>
      <x:c r="H16" s="10" t="n">
        <x:v>1</x:v>
      </x:c>
      <x:c r="I16" s="12" t="n">
        <x:v>0</x:v>
      </x:c>
      <x:c r="J16" s="12" t="n">
        <x:v>0</x:v>
      </x:c>
      <x:c r="K16" s="10"/>
      <x:c r="L16" s="10" t="str">
        <x:f>IF(AND(G16=1,H16=1),"PASS","FAIL")</x:f>
        <x:v>PASS</x:v>
      </x:c>
      <x:c r="M16" s="10" t="str">
        <x:f>IF(L16&lt;&gt;"PASS","FAIL",IF(AND(I16=1,J16=1,K16=1),"PASS",IF(OR(I16=1,J16=1,K16=1),"FAIL","OPEN")))</x:f>
        <x:v>OPEN</x:v>
      </x:c>
      <x:c r="N16" s="10" t="n">
        <x:f>IF(M16="PASS",1,0)</x:f>
        <x:v>0</x:v>
      </x:c>
    </x:row>
    <x:row r="17">
      <x:c r="B17" s="10" t="str">
        <x:v>PTC-B</x:v>
      </x:c>
      <x:c r="C17" s="10" t="str">
        <x:v>B</x:v>
      </x:c>
      <x:c r="D17" s="10" t="str">
        <x:v>P05</x:v>
      </x:c>
      <x:c r="E17" s="10" t="str">
        <x:v>thermal escalation barrier</x:v>
      </x:c>
      <x:c r="F17" s="10" t="str">
        <x:v>adjacent source remains below escalation limit</x:v>
      </x:c>
      <x:c r="G17" s="10" t="n">
        <x:v>1</x:v>
      </x:c>
      <x:c r="H17" s="10" t="n">
        <x:v>1</x:v>
      </x:c>
      <x:c r="I17" s="12" t="n">
        <x:v>0</x:v>
      </x:c>
      <x:c r="J17" s="12" t="n">
        <x:v>0</x:v>
      </x:c>
      <x:c r="K17" s="10"/>
      <x:c r="L17" s="10" t="str">
        <x:f>IF(AND(G17=1,H17=1),"PASS","FAIL")</x:f>
        <x:v>PASS</x:v>
      </x:c>
      <x:c r="M17" s="10" t="str">
        <x:f>IF(L17&lt;&gt;"PASS","FAIL",IF(AND(I17=1,J17=1,K17=1),"PASS",IF(OR(I17=1,J17=1,K17=1),"FAIL","OPEN")))</x:f>
        <x:v>OPEN</x:v>
      </x:c>
      <x:c r="N17" s="10" t="n">
        <x:f>IF(M17="PASS",1,0)</x:f>
        <x:v>0</x:v>
      </x:c>
    </x:row>
    <x:row r="18">
      <x:c r="B18" s="10" t="str">
        <x:v>PTC-B</x:v>
      </x:c>
      <x:c r="C18" s="10" t="str">
        <x:v>B</x:v>
      </x:c>
      <x:c r="D18" s="10" t="str">
        <x:v>P06</x:v>
      </x:c>
      <x:c r="E18" s="10" t="str">
        <x:v>fragment shadow and independent support</x:v>
      </x:c>
      <x:c r="F18" s="10" t="str">
        <x:v>one rupture cannot breach or drop a neighbor</x:v>
      </x:c>
      <x:c r="G18" s="10" t="n">
        <x:v>1</x:v>
      </x:c>
      <x:c r="H18" s="10" t="n">
        <x:v>1</x:v>
      </x:c>
      <x:c r="I18" s="12" t="n">
        <x:v>0</x:v>
      </x:c>
      <x:c r="J18" s="12" t="n">
        <x:v>0</x:v>
      </x:c>
      <x:c r="K18" s="10"/>
      <x:c r="L18" s="10" t="str">
        <x:f>IF(AND(G18=1,H18=1),"PASS","FAIL")</x:f>
        <x:v>PASS</x:v>
      </x:c>
      <x:c r="M18" s="10" t="str">
        <x:f>IF(L18&lt;&gt;"PASS","FAIL",IF(AND(I18=1,J18=1,K18=1),"PASS",IF(OR(I18=1,J18=1,K18=1),"FAIL","OPEN")))</x:f>
        <x:v>OPEN</x:v>
      </x:c>
      <x:c r="N18" s="10" t="n">
        <x:f>IF(M18="PASS",1,0)</x:f>
        <x:v>0</x:v>
      </x:c>
    </x:row>
    <x:row r="19">
      <x:c r="B19" s="10" t="str">
        <x:v>PTC-C</x:v>
      </x:c>
      <x:c r="C19" s="10" t="str">
        <x:v>A</x:v>
      </x:c>
      <x:c r="D19" s="10" t="str">
        <x:v>P01</x:v>
      </x:c>
      <x:c r="E19" s="10" t="str">
        <x:v>independent vessel or liquid boundary</x:v>
      </x:c>
      <x:c r="F19" s="10" t="str">
        <x:v>one compartment remains the source</x:v>
      </x:c>
      <x:c r="G19" s="10" t="n">
        <x:v>1</x:v>
      </x:c>
      <x:c r="H19" s="10" t="n">
        <x:v>1</x:v>
      </x:c>
      <x:c r="I19" s="12" t="n">
        <x:v>0</x:v>
      </x:c>
      <x:c r="J19" s="12" t="n">
        <x:v>0</x:v>
      </x:c>
      <x:c r="K19" s="10"/>
      <x:c r="L19" s="10" t="str">
        <x:f>IF(AND(G19=1,H19=1),"PASS","FAIL")</x:f>
        <x:v>PASS</x:v>
      </x:c>
      <x:c r="M19" s="10" t="str">
        <x:f>IF(L19&lt;&gt;"PASS","FAIL",IF(AND(I19=1,J19=1,K19=1),"PASS",IF(OR(I19=1,J19=1,K19=1),"FAIL","OPEN")))</x:f>
        <x:v>OPEN</x:v>
      </x:c>
      <x:c r="N19" s="10" t="n">
        <x:f>IF(M19="PASS",1,0)</x:f>
        <x:v>0</x:v>
      </x:c>
    </x:row>
    <x:row r="20">
      <x:c r="B20" s="10" t="str">
        <x:v>PTC-C</x:v>
      </x:c>
      <x:c r="C20" s="10" t="str">
        <x:v>A</x:v>
      </x:c>
      <x:c r="D20" s="10" t="str">
        <x:v>P02</x:v>
      </x:c>
      <x:c r="E20" s="10" t="str">
        <x:v>no common fuel manifold</x:v>
      </x:c>
      <x:c r="F20" s="10" t="str">
        <x:v>one break cannot drain adjacent compartments</x:v>
      </x:c>
      <x:c r="G20" s="10" t="n">
        <x:v>1</x:v>
      </x:c>
      <x:c r="H20" s="10" t="n">
        <x:v>1</x:v>
      </x:c>
      <x:c r="I20" s="12" t="n">
        <x:v>0</x:v>
      </x:c>
      <x:c r="J20" s="12" t="n">
        <x:v>0</x:v>
      </x:c>
      <x:c r="K20" s="10"/>
      <x:c r="L20" s="10" t="str">
        <x:f>IF(AND(G20=1,H20=1),"PASS","FAIL")</x:f>
        <x:v>PASS</x:v>
      </x:c>
      <x:c r="M20" s="10" t="str">
        <x:f>IF(L20&lt;&gt;"PASS","FAIL",IF(AND(I20=1,J20=1,K20=1),"PASS",IF(OR(I20=1,J20=1,K20=1),"FAIL","OPEN")))</x:f>
        <x:v>OPEN</x:v>
      </x:c>
      <x:c r="N20" s="10" t="n">
        <x:f>IF(M20="PASS",1,0)</x:f>
        <x:v>0</x:v>
      </x:c>
    </x:row>
    <x:row r="21">
      <x:c r="B21" s="10" t="str">
        <x:v>PTC-C</x:v>
      </x:c>
      <x:c r="C21" s="10" t="str">
        <x:v>A</x:v>
      </x:c>
      <x:c r="D21" s="10" t="str">
        <x:v>P03</x:v>
      </x:c>
      <x:c r="E21" s="10" t="str">
        <x:v>directional relief without common return</x:v>
      </x:c>
      <x:c r="F21" s="10" t="str">
        <x:v>one relief event cannot pressurize a neighbor</x:v>
      </x:c>
      <x:c r="G21" s="10" t="n">
        <x:v>1</x:v>
      </x:c>
      <x:c r="H21" s="10" t="n">
        <x:v>1</x:v>
      </x:c>
      <x:c r="I21" s="12" t="n">
        <x:v>0</x:v>
      </x:c>
      <x:c r="J21" s="12" t="n">
        <x:v>0</x:v>
      </x:c>
      <x:c r="K21" s="10"/>
      <x:c r="L21" s="10" t="str">
        <x:f>IF(AND(G21=1,H21=1),"PASS","FAIL")</x:f>
        <x:v>PASS</x:v>
      </x:c>
      <x:c r="M21" s="10" t="str">
        <x:f>IF(L21&lt;&gt;"PASS","FAIL",IF(AND(I21=1,J21=1,K21=1),"PASS",IF(OR(I21=1,J21=1,K21=1),"FAIL","OPEN")))</x:f>
        <x:v>OPEN</x:v>
      </x:c>
      <x:c r="N21" s="10" t="n">
        <x:f>IF(M21="PASS",1,0)</x:f>
        <x:v>0</x:v>
      </x:c>
    </x:row>
    <x:row r="22">
      <x:c r="B22" s="10" t="str">
        <x:v>PTC-C</x:v>
      </x:c>
      <x:c r="C22" s="10" t="str">
        <x:v>A</x:v>
      </x:c>
      <x:c r="D22" s="10" t="str">
        <x:v>P04</x:v>
      </x:c>
      <x:c r="E22" s="10" t="str">
        <x:v>segregated drainage or knockout</x:v>
      </x:c>
      <x:c r="F22" s="10" t="str">
        <x:v>released source cannot enter another station</x:v>
      </x:c>
      <x:c r="G22" s="10" t="n">
        <x:v>1</x:v>
      </x:c>
      <x:c r="H22" s="10" t="n">
        <x:v>1</x:v>
      </x:c>
      <x:c r="I22" s="12" t="n">
        <x:v>0</x:v>
      </x:c>
      <x:c r="J22" s="12" t="n">
        <x:v>0</x:v>
      </x:c>
      <x:c r="K22" s="10"/>
      <x:c r="L22" s="10" t="str">
        <x:f>IF(AND(G22=1,H22=1),"PASS","FAIL")</x:f>
        <x:v>PASS</x:v>
      </x:c>
      <x:c r="M22" s="10" t="str">
        <x:f>IF(L22&lt;&gt;"PASS","FAIL",IF(AND(I22=1,J22=1,K22=1),"PASS",IF(OR(I22=1,J22=1,K22=1),"FAIL","OPEN")))</x:f>
        <x:v>OPEN</x:v>
      </x:c>
      <x:c r="N22" s="10" t="n">
        <x:f>IF(M22="PASS",1,0)</x:f>
        <x:v>0</x:v>
      </x:c>
    </x:row>
    <x:row r="23">
      <x:c r="B23" s="10" t="str">
        <x:v>PTC-C</x:v>
      </x:c>
      <x:c r="C23" s="10" t="str">
        <x:v>A</x:v>
      </x:c>
      <x:c r="D23" s="10" t="str">
        <x:v>P05</x:v>
      </x:c>
      <x:c r="E23" s="10" t="str">
        <x:v>thermal escalation barrier</x:v>
      </x:c>
      <x:c r="F23" s="10" t="str">
        <x:v>adjacent source remains below escalation limit</x:v>
      </x:c>
      <x:c r="G23" s="10" t="n">
        <x:v>1</x:v>
      </x:c>
      <x:c r="H23" s="10" t="n">
        <x:v>1</x:v>
      </x:c>
      <x:c r="I23" s="12" t="n">
        <x:v>0</x:v>
      </x:c>
      <x:c r="J23" s="12" t="n">
        <x:v>0</x:v>
      </x:c>
      <x:c r="K23" s="10"/>
      <x:c r="L23" s="10" t="str">
        <x:f>IF(AND(G23=1,H23=1),"PASS","FAIL")</x:f>
        <x:v>PASS</x:v>
      </x:c>
      <x:c r="M23" s="10" t="str">
        <x:f>IF(L23&lt;&gt;"PASS","FAIL",IF(AND(I23=1,J23=1,K23=1),"PASS",IF(OR(I23=1,J23=1,K23=1),"FAIL","OPEN")))</x:f>
        <x:v>OPEN</x:v>
      </x:c>
      <x:c r="N23" s="10" t="n">
        <x:f>IF(M23="PASS",1,0)</x:f>
        <x:v>0</x:v>
      </x:c>
    </x:row>
    <x:row r="24">
      <x:c r="B24" s="10" t="str">
        <x:v>PTC-C</x:v>
      </x:c>
      <x:c r="C24" s="10" t="str">
        <x:v>A</x:v>
      </x:c>
      <x:c r="D24" s="10" t="str">
        <x:v>P06</x:v>
      </x:c>
      <x:c r="E24" s="10" t="str">
        <x:v>fragment shadow and independent support</x:v>
      </x:c>
      <x:c r="F24" s="10" t="str">
        <x:v>one rupture cannot breach or drop a neighbor</x:v>
      </x:c>
      <x:c r="G24" s="10" t="n">
        <x:v>1</x:v>
      </x:c>
      <x:c r="H24" s="10" t="n">
        <x:v>1</x:v>
      </x:c>
      <x:c r="I24" s="12" t="n">
        <x:v>0</x:v>
      </x:c>
      <x:c r="J24" s="12" t="n">
        <x:v>0</x:v>
      </x:c>
      <x:c r="K24" s="10"/>
      <x:c r="L24" s="10" t="str">
        <x:f>IF(AND(G24=1,H24=1),"PASS","FAIL")</x:f>
        <x:v>PASS</x:v>
      </x:c>
      <x:c r="M24" s="10" t="str">
        <x:f>IF(L24&lt;&gt;"PASS","FAIL",IF(AND(I24=1,J24=1,K24=1),"PASS",IF(OR(I24=1,J24=1,K24=1),"FAIL","OPEN")))</x:f>
        <x:v>OPEN</x:v>
      </x:c>
      <x:c r="N24" s="10" t="n">
        <x:f>IF(M24="PASS",1,0)</x:f>
        <x:v>0</x:v>
      </x:c>
    </x:row>
    <x:row r="25">
      <x:c r="B25" s="10" t="str">
        <x:v>PTC-C</x:v>
      </x:c>
      <x:c r="C25" s="10" t="str">
        <x:v>B</x:v>
      </x:c>
      <x:c r="D25" s="10" t="str">
        <x:v>P01</x:v>
      </x:c>
      <x:c r="E25" s="10" t="str">
        <x:v>independent vessel or liquid boundary</x:v>
      </x:c>
      <x:c r="F25" s="10" t="str">
        <x:v>one compartment remains the source</x:v>
      </x:c>
      <x:c r="G25" s="10" t="n">
        <x:v>1</x:v>
      </x:c>
      <x:c r="H25" s="10" t="n">
        <x:v>1</x:v>
      </x:c>
      <x:c r="I25" s="12" t="n">
        <x:v>0</x:v>
      </x:c>
      <x:c r="J25" s="12" t="n">
        <x:v>0</x:v>
      </x:c>
      <x:c r="K25" s="10"/>
      <x:c r="L25" s="10" t="str">
        <x:f>IF(AND(G25=1,H25=1),"PASS","FAIL")</x:f>
        <x:v>PASS</x:v>
      </x:c>
      <x:c r="M25" s="10" t="str">
        <x:f>IF(L25&lt;&gt;"PASS","FAIL",IF(AND(I25=1,J25=1,K25=1),"PASS",IF(OR(I25=1,J25=1,K25=1),"FAIL","OPEN")))</x:f>
        <x:v>OPEN</x:v>
      </x:c>
      <x:c r="N25" s="10" t="n">
        <x:f>IF(M25="PASS",1,0)</x:f>
        <x:v>0</x:v>
      </x:c>
    </x:row>
    <x:row r="26">
      <x:c r="B26" s="10" t="str">
        <x:v>PTC-C</x:v>
      </x:c>
      <x:c r="C26" s="10" t="str">
        <x:v>B</x:v>
      </x:c>
      <x:c r="D26" s="10" t="str">
        <x:v>P02</x:v>
      </x:c>
      <x:c r="E26" s="10" t="str">
        <x:v>no common fuel manifold</x:v>
      </x:c>
      <x:c r="F26" s="10" t="str">
        <x:v>one break cannot drain adjacent compartments</x:v>
      </x:c>
      <x:c r="G26" s="10" t="n">
        <x:v>1</x:v>
      </x:c>
      <x:c r="H26" s="10" t="n">
        <x:v>1</x:v>
      </x:c>
      <x:c r="I26" s="12" t="n">
        <x:v>0</x:v>
      </x:c>
      <x:c r="J26" s="12" t="n">
        <x:v>0</x:v>
      </x:c>
      <x:c r="K26" s="10"/>
      <x:c r="L26" s="10" t="str">
        <x:f>IF(AND(G26=1,H26=1),"PASS","FAIL")</x:f>
        <x:v>PASS</x:v>
      </x:c>
      <x:c r="M26" s="10" t="str">
        <x:f>IF(L26&lt;&gt;"PASS","FAIL",IF(AND(I26=1,J26=1,K26=1),"PASS",IF(OR(I26=1,J26=1,K26=1),"FAIL","OPEN")))</x:f>
        <x:v>OPEN</x:v>
      </x:c>
      <x:c r="N26" s="10" t="n">
        <x:f>IF(M26="PASS",1,0)</x:f>
        <x:v>0</x:v>
      </x:c>
    </x:row>
    <x:row r="27">
      <x:c r="B27" s="10" t="str">
        <x:v>PTC-C</x:v>
      </x:c>
      <x:c r="C27" s="10" t="str">
        <x:v>B</x:v>
      </x:c>
      <x:c r="D27" s="10" t="str">
        <x:v>P03</x:v>
      </x:c>
      <x:c r="E27" s="10" t="str">
        <x:v>directional relief without common return</x:v>
      </x:c>
      <x:c r="F27" s="10" t="str">
        <x:v>one relief event cannot pressurize a neighbor</x:v>
      </x:c>
      <x:c r="G27" s="10" t="n">
        <x:v>1</x:v>
      </x:c>
      <x:c r="H27" s="10" t="n">
        <x:v>1</x:v>
      </x:c>
      <x:c r="I27" s="12" t="n">
        <x:v>0</x:v>
      </x:c>
      <x:c r="J27" s="12" t="n">
        <x:v>0</x:v>
      </x:c>
      <x:c r="K27" s="10"/>
      <x:c r="L27" s="10" t="str">
        <x:f>IF(AND(G27=1,H27=1),"PASS","FAIL")</x:f>
        <x:v>PASS</x:v>
      </x:c>
      <x:c r="M27" s="10" t="str">
        <x:f>IF(L27&lt;&gt;"PASS","FAIL",IF(AND(I27=1,J27=1,K27=1),"PASS",IF(OR(I27=1,J27=1,K27=1),"FAIL","OPEN")))</x:f>
        <x:v>OPEN</x:v>
      </x:c>
      <x:c r="N27" s="10" t="n">
        <x:f>IF(M27="PASS",1,0)</x:f>
        <x:v>0</x:v>
      </x:c>
    </x:row>
    <x:row r="28">
      <x:c r="B28" s="10" t="str">
        <x:v>PTC-C</x:v>
      </x:c>
      <x:c r="C28" s="10" t="str">
        <x:v>B</x:v>
      </x:c>
      <x:c r="D28" s="10" t="str">
        <x:v>P04</x:v>
      </x:c>
      <x:c r="E28" s="10" t="str">
        <x:v>segregated drainage or knockout</x:v>
      </x:c>
      <x:c r="F28" s="10" t="str">
        <x:v>released source cannot enter another station</x:v>
      </x:c>
      <x:c r="G28" s="10" t="n">
        <x:v>1</x:v>
      </x:c>
      <x:c r="H28" s="10" t="n">
        <x:v>1</x:v>
      </x:c>
      <x:c r="I28" s="12" t="n">
        <x:v>0</x:v>
      </x:c>
      <x:c r="J28" s="12" t="n">
        <x:v>0</x:v>
      </x:c>
      <x:c r="K28" s="10"/>
      <x:c r="L28" s="10" t="str">
        <x:f>IF(AND(G28=1,H28=1),"PASS","FAIL")</x:f>
        <x:v>PASS</x:v>
      </x:c>
      <x:c r="M28" s="10" t="str">
        <x:f>IF(L28&lt;&gt;"PASS","FAIL",IF(AND(I28=1,J28=1,K28=1),"PASS",IF(OR(I28=1,J28=1,K28=1),"FAIL","OPEN")))</x:f>
        <x:v>OPEN</x:v>
      </x:c>
      <x:c r="N28" s="10" t="n">
        <x:f>IF(M28="PASS",1,0)</x:f>
        <x:v>0</x:v>
      </x:c>
    </x:row>
    <x:row r="29">
      <x:c r="B29" s="10" t="str">
        <x:v>PTC-C</x:v>
      </x:c>
      <x:c r="C29" s="10" t="str">
        <x:v>B</x:v>
      </x:c>
      <x:c r="D29" s="10" t="str">
        <x:v>P05</x:v>
      </x:c>
      <x:c r="E29" s="10" t="str">
        <x:v>thermal escalation barrier</x:v>
      </x:c>
      <x:c r="F29" s="10" t="str">
        <x:v>adjacent source remains below escalation limit</x:v>
      </x:c>
      <x:c r="G29" s="10" t="n">
        <x:v>1</x:v>
      </x:c>
      <x:c r="H29" s="10" t="n">
        <x:v>1</x:v>
      </x:c>
      <x:c r="I29" s="12" t="n">
        <x:v>0</x:v>
      </x:c>
      <x:c r="J29" s="12" t="n">
        <x:v>0</x:v>
      </x:c>
      <x:c r="K29" s="10"/>
      <x:c r="L29" s="10" t="str">
        <x:f>IF(AND(G29=1,H29=1),"PASS","FAIL")</x:f>
        <x:v>PASS</x:v>
      </x:c>
      <x:c r="M29" s="10" t="str">
        <x:f>IF(L29&lt;&gt;"PASS","FAIL",IF(AND(I29=1,J29=1,K29=1),"PASS",IF(OR(I29=1,J29=1,K29=1),"FAIL","OPEN")))</x:f>
        <x:v>OPEN</x:v>
      </x:c>
      <x:c r="N29" s="10" t="n">
        <x:f>IF(M29="PASS",1,0)</x:f>
        <x:v>0</x:v>
      </x:c>
    </x:row>
    <x:row r="30">
      <x:c r="B30" s="11" t="str">
        <x:v>PTC-C</x:v>
      </x:c>
      <x:c r="C30" s="11" t="str">
        <x:v>B</x:v>
      </x:c>
      <x:c r="D30" s="11" t="str">
        <x:v>P06</x:v>
      </x:c>
      <x:c r="E30" s="11" t="str">
        <x:v>fragment shadow and independent support</x:v>
      </x:c>
      <x:c r="F30" s="11" t="str">
        <x:v>one rupture cannot breach or drop a neighbor</x:v>
      </x:c>
      <x:c r="G30" s="11" t="n">
        <x:v>1</x:v>
      </x:c>
      <x:c r="H30" s="11" t="n">
        <x:v>1</x:v>
      </x:c>
      <x:c r="I30" s="13" t="n">
        <x:v>0</x:v>
      </x:c>
      <x:c r="J30" s="13" t="n">
        <x:v>0</x:v>
      </x:c>
      <x:c r="K30" s="11"/>
      <x:c r="L30" s="11" t="str">
        <x:f>IF(AND(G30=1,H30=1),"PASS","FAIL")</x:f>
        <x:v>PASS</x:v>
      </x:c>
      <x:c r="M30" s="11" t="str">
        <x:f>IF(L30&lt;&gt;"PASS","FAIL",IF(AND(I30=1,J30=1,K30=1),"PASS",IF(OR(I30=1,J30=1,K30=1),"FAIL","OPEN")))</x:f>
        <x:v>OPEN</x:v>
      </x:c>
      <x:c r="N30" s="11" t="n">
        <x:f>IF(M30="PASS",1,0)</x:f>
        <x:v>0</x:v>
      </x:c>
    </x:row>
  </x:sheetData>
  <x:mergeCells>
    <x:mergeCell ref="B2:N2"/>
    <x:mergeCell ref="B3:N3"/>
  </x:mergeCells>
  <x:conditionalFormatting sqref="L7:M30">
    <x:cfRule type="containsText" dxfId="98" priority="1" operator="containsText" text="PASS"/>
    <x:cfRule type="containsText" dxfId="99" priority="2" operator="containsText" text="AUTHORIZED"/>
    <x:cfRule type="containsText" dxfId="100" priority="3" operator="containsText" text="DEFINED"/>
    <x:cfRule type="containsText" dxfId="101" priority="4" operator="containsText" text="READY"/>
    <x:cfRule type="containsText" dxfId="102" priority="5" operator="containsText" text="HOLD"/>
    <x:cfRule type="containsText" dxfId="103" priority="6" operator="containsText" text="OPEN"/>
    <x:cfRule type="containsText" dxfId="104" priority="7" operator="containsText" text="BLOCKED"/>
    <x:cfRule type="containsText" dxfId="105" priority="8" operator="containsText" text="PLANNING"/>
    <x:cfRule type="containsText" dxfId="106" priority="9" operator="containsText" text="QUARANTINE"/>
    <x:cfRule type="containsText" dxfId="107" priority="10" operator="containsText" text="INDETERMINATE"/>
    <x:cfRule type="containsText" dxfId="108" priority="11" operator="containsText" text="FAIL"/>
    <x:cfRule type="containsText" dxfId="109" priority="12" operator="containsText" text="REJECT"/>
    <x:cfRule type="containsText" dxfId="110" priority="13" operator="containsText" text="INVALID"/>
    <x:cfRule type="containsText" dxfId="111" priority="14" operator="containsText" text="STOP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2" hidden="0" customWidth="1"/>
    <x:col min="3" max="3" width="11" hidden="0" customWidth="1"/>
    <x:col min="4" max="4" width="11" hidden="0" customWidth="1"/>
    <x:col min="5" max="5" width="34" hidden="0" customWidth="1"/>
    <x:col min="6" max="6" width="18" hidden="0" customWidth="1"/>
    <x:col min="7" max="7" width="19" hidden="0" customWidth="1"/>
    <x:col min="8" max="8" width="24" hidden="0" customWidth="1"/>
    <x:col min="9" max="9" width="19" hidden="0" customWidth="1"/>
    <x:col min="10" max="10" width="22" hidden="0" customWidth="1"/>
    <x:col min="11" max="11" width="27" hidden="0" customWidth="1"/>
    <x:col min="12" max="12" width="16" hidden="0" customWidth="1"/>
    <x:col min="13" max="13" width="19" hidden="0" customWidth="1"/>
    <x:col min="14" max="14" width="15" hidden="0" customWidth="1"/>
    <x:col min="15" max="15" width="15" hidden="0" customWidth="1"/>
  </x:cols>
  <x:sheetData>
    <x:row r="2">
      <x:c r="B2" s="1" t="str">
        <x:v>Three-cell hazardous-source architecture</x:v>
      </x:c>
    </x:row>
    <x:row r="3">
      <x:c r="B3" s="2" t="str">
        <x:v>Two lane cells prioritize retention and evidence. A separate consequence cell permits destructive source characterization without consuming either operational lane.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>
      <x:c r="B6" s="8" t="str">
        <x:v>Cell</x:v>
      </x:c>
      <x:c r="C6" s="8" t="str">
        <x:v>Campus</x:v>
      </x:c>
      <x:c r="D6" s="8" t="str">
        <x:v>Lane</x:v>
      </x:c>
      <x:c r="E6" s="8" t="str">
        <x:v>Function</x:v>
      </x:c>
      <x:c r="F6" s="8" t="str">
        <x:v>Roots supported</x:v>
      </x:c>
      <x:c r="G6" s="8" t="str">
        <x:v>Liquid sump (m3)</x:v>
      </x:c>
      <x:c r="H6" s="8" t="str">
        <x:v>Firewater retention (m3)</x:v>
      </x:c>
      <x:c r="I6" s="8" t="str">
        <x:v>Gas holder (m3)</x:v>
      </x:c>
      <x:c r="J6" s="8" t="str">
        <x:v>Exclusion radius (m)</x:v>
      </x:c>
      <x:c r="K6" s="8" t="str">
        <x:v>Remote control distance (m)</x:v>
      </x:c>
      <x:c r="L6" s="8" t="str">
        <x:v>Design package</x:v>
      </x:c>
      <x:c r="M6" s="8" t="str">
        <x:v>Physical acceptance</x:v>
      </x:c>
      <x:c r="N6" s="8" t="str">
        <x:v>Planning state</x:v>
      </x:c>
      <x:c r="O6" s="8" t="str">
        <x:v>Physical state</x:v>
      </x:c>
    </x:row>
    <x:row r="7">
      <x:c r="B7" s="10" t="str">
        <x:v>MC-B1</x:v>
      </x:c>
      <x:c r="C7" s="10" t="str">
        <x:v>PTC-B</x:v>
      </x:c>
      <x:c r="D7" s="10" t="str">
        <x:v>LN-11</x:v>
      </x:c>
      <x:c r="E7" s="10" t="str">
        <x:v>source-preserving lane cell</x:v>
      </x:c>
      <x:c r="F7" s="18" t="n">
        <x:v>2</x:v>
      </x:c>
      <x:c r="G7" s="18" t="n">
        <x:v>12.5</x:v>
      </x:c>
      <x:c r="H7" s="18" t="n">
        <x:v>120</x:v>
      </x:c>
      <x:c r="I7" s="18" t="n">
        <x:v>2000</x:v>
      </x:c>
      <x:c r="J7" s="18" t="n">
        <x:v>200</x:v>
      </x:c>
      <x:c r="K7" s="18" t="n">
        <x:v>250</x:v>
      </x:c>
      <x:c r="L7" s="18" t="n">
        <x:v>1</x:v>
      </x:c>
      <x:c r="M7" s="20" t="n">
        <x:v>0</x:v>
      </x:c>
      <x:c r="N7" s="10" t="str">
        <x:f>IF(AND(F7=2,G7&gt;=12.5,H7&gt;=120,J7&gt;=200,K7&gt;=250,L7=1),"PASS","FAIL")</x:f>
        <x:v>PASS</x:v>
      </x:c>
      <x:c r="O7" s="10" t="str">
        <x:f>IF(N7&lt;&gt;"PASS","FAIL",IF(M7=1,"PASS","OPEN"))</x:f>
        <x:v>OPEN</x:v>
      </x:c>
    </x:row>
    <x:row r="8">
      <x:c r="B8" s="10" t="str">
        <x:v>MC-C1</x:v>
      </x:c>
      <x:c r="C8" s="10" t="str">
        <x:v>PTC-C</x:v>
      </x:c>
      <x:c r="D8" s="10" t="str">
        <x:v>LN-12</x:v>
      </x:c>
      <x:c r="E8" s="10" t="str">
        <x:v>source-preserving lane cell</x:v>
      </x:c>
      <x:c r="F8" s="18" t="n">
        <x:v>2</x:v>
      </x:c>
      <x:c r="G8" s="18" t="n">
        <x:v>12.5</x:v>
      </x:c>
      <x:c r="H8" s="18" t="n">
        <x:v>120</x:v>
      </x:c>
      <x:c r="I8" s="18" t="n">
        <x:v>2000</x:v>
      </x:c>
      <x:c r="J8" s="18" t="n">
        <x:v>200</x:v>
      </x:c>
      <x:c r="K8" s="18" t="n">
        <x:v>250</x:v>
      </x:c>
      <x:c r="L8" s="18" t="n">
        <x:v>1</x:v>
      </x:c>
      <x:c r="M8" s="20" t="n">
        <x:v>0</x:v>
      </x:c>
      <x:c r="N8" s="10" t="str">
        <x:f>IF(AND(F8=2,G8&gt;=12.5,H8&gt;=120,J8&gt;=200,K8&gt;=250,L8=1),"PASS","FAIL")</x:f>
        <x:v>PASS</x:v>
      </x:c>
      <x:c r="O8" s="10" t="str">
        <x:f>IF(N8&lt;&gt;"PASS","FAIL",IF(M8=1,"PASS","OPEN"))</x:f>
        <x:v>OPEN</x:v>
      </x:c>
    </x:row>
    <x:row r="9">
      <x:c r="B9" s="11" t="str">
        <x:v>MC-A1</x:v>
      </x:c>
      <x:c r="C9" s="11" t="str">
        <x:v>PTC-A</x:v>
      </x:c>
      <x:c r="D9" s="11" t="str">
        <x:v>off-lane</x:v>
      </x:c>
      <x:c r="E9" s="11" t="str">
        <x:v>destructive consequence cell</x:v>
      </x:c>
      <x:c r="F9" s="19" t="n">
        <x:v>2</x:v>
      </x:c>
      <x:c r="G9" s="19" t="n">
        <x:v>40</x:v>
      </x:c>
      <x:c r="H9" s="19" t="n">
        <x:v>200</x:v>
      </x:c>
      <x:c r="I9" s="19" t="n">
        <x:v>0</x:v>
      </x:c>
      <x:c r="J9" s="19" t="n">
        <x:v>250</x:v>
      </x:c>
      <x:c r="K9" s="19" t="n">
        <x:v>300</x:v>
      </x:c>
      <x:c r="L9" s="19" t="n">
        <x:v>1</x:v>
      </x:c>
      <x:c r="M9" s="21" t="n">
        <x:v>0</x:v>
      </x:c>
      <x:c r="N9" s="11" t="str">
        <x:f>IF(AND(F9=2,G9&gt;=12.5,H9&gt;=120,J9&gt;=200,K9&gt;=250,L9=1),"PASS","FAIL")</x:f>
        <x:v>PASS</x:v>
      </x:c>
      <x:c r="O9" s="11" t="str">
        <x:f>IF(N9&lt;&gt;"PASS","FAIL",IF(M9=1,"PASS","OPEN"))</x:f>
        <x:v>OPEN</x:v>
      </x:c>
    </x:row>
  </x:sheetData>
  <x:mergeCells>
    <x:mergeCell ref="B2:P2"/>
    <x:mergeCell ref="B3:P3"/>
  </x:mergeCells>
  <x:conditionalFormatting sqref="N7:O9">
    <x:cfRule type="containsText" dxfId="112" priority="1" operator="containsText" text="PASS"/>
    <x:cfRule type="containsText" dxfId="113" priority="2" operator="containsText" text="AUTHORIZED"/>
    <x:cfRule type="containsText" dxfId="114" priority="3" operator="containsText" text="DEFINED"/>
    <x:cfRule type="containsText" dxfId="115" priority="4" operator="containsText" text="READY"/>
    <x:cfRule type="containsText" dxfId="116" priority="5" operator="containsText" text="HOLD"/>
    <x:cfRule type="containsText" dxfId="117" priority="6" operator="containsText" text="OPEN"/>
    <x:cfRule type="containsText" dxfId="118" priority="7" operator="containsText" text="BLOCKED"/>
    <x:cfRule type="containsText" dxfId="119" priority="8" operator="containsText" text="PLANNING"/>
    <x:cfRule type="containsText" dxfId="120" priority="9" operator="containsText" text="QUARANTINE"/>
    <x:cfRule type="containsText" dxfId="121" priority="10" operator="containsText" text="INDETERMINATE"/>
    <x:cfRule type="containsText" dxfId="122" priority="11" operator="containsText" text="FAIL"/>
    <x:cfRule type="containsText" dxfId="123" priority="12" operator="containsText" text="REJECT"/>
    <x:cfRule type="containsText" dxfId="124" priority="13" operator="containsText" text="INVALID"/>
    <x:cfRule type="containsText" dxfId="125" priority="14" operator="containsText" text="STOP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8" hidden="0" customWidth="1"/>
    <x:col min="3" max="3" width="10" hidden="0" customWidth="1"/>
    <x:col min="4" max="4" width="28" hidden="0" customWidth="1"/>
    <x:col min="5" max="5" width="37" hidden="0" customWidth="1"/>
    <x:col min="6" max="6" width="16" hidden="0" customWidth="1"/>
    <x:col min="7" max="7" width="21" hidden="0" customWidth="1"/>
    <x:col min="8" max="8" width="24" hidden="0" customWidth="1"/>
    <x:col min="9" max="9" width="35" hidden="0" customWidth="1"/>
    <x:col min="10" max="10" width="39" hidden="0" customWidth="1"/>
    <x:col min="11" max="11" width="15" hidden="0" customWidth="1"/>
    <x:col min="12" max="12" width="15" hidden="0" customWidth="1"/>
    <x:col min="13" max="13" width="15" hidden="0" customWidth="1"/>
    <x:col min="14" max="14" width="16" hidden="0" customWidth="1"/>
  </x:cols>
  <x:sheetData>
    <x:row r="2">
      <x:c r="B2" s="1" t="str">
        <x:v>Twenty-four root-specific hazard cards</x:v>
      </x:c>
    </x:row>
    <x:row r="3">
      <x:c r="B3" s="2" t="str">
        <x:v>Twelve causal worlds are instantiated separately for liquid fuel and DME. Common names do not imply common source physics or controls.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6">
      <x:c r="B6" s="8" t="str">
        <x:v>Root</x:v>
      </x:c>
      <x:c r="C6" s="8" t="str">
        <x:v>World</x:v>
      </x:c>
      <x:c r="D6" s="8" t="str">
        <x:v>Mechanism</x:v>
      </x:c>
      <x:c r="E6" s="8" t="str">
        <x:v>Inserted fault</x:v>
      </x:c>
      <x:c r="F6" s="8" t="str">
        <x:v>Source fraction</x:v>
      </x:c>
      <x:c r="G6" s="8" t="str">
        <x:v>Medium</x:v>
      </x:c>
      <x:c r="H6" s="8" t="str">
        <x:v>Expected disposition</x:v>
      </x:c>
      <x:c r="I6" s="8" t="str">
        <x:v>Terminal control</x:v>
      </x:c>
      <x:c r="J6" s="8" t="str">
        <x:v>Evidence objective</x:v>
      </x:c>
      <x:c r="K6" s="8" t="str">
        <x:v>Event card</x:v>
      </x:c>
      <x:c r="L6" s="8" t="str">
        <x:v>Safety review</x:v>
      </x:c>
      <x:c r="M6" s="8" t="str">
        <x:v>Planning state</x:v>
      </x:c>
      <x:c r="N6" s="8" t="str">
        <x:v>Physical source</x:v>
      </x:c>
    </x:row>
    <x:row r="7">
      <x:c r="B7" s="10" t="str">
        <x:v>A</x:v>
      </x:c>
      <x:c r="C7" s="10" t="str">
        <x:v>W01</x:v>
      </x:c>
      <x:c r="D7" s="10" t="str">
        <x:v>seal seep</x:v>
      </x:c>
      <x:c r="E7" s="10" t="str">
        <x:v>seal or interstitial leak</x:v>
      </x:c>
      <x:c r="F7" s="22" t="n">
        <x:v>0.01</x:v>
      </x:c>
      <x:c r="G7" s="10" t="str">
        <x:v>live source</x:v>
      </x:c>
      <x:c r="H7" s="10" t="str">
        <x:v>SAFE STATE</x:v>
      </x:c>
      <x:c r="I7" s="10" t="str">
        <x:v>local dilution or liquid sump</x:v>
      </x:c>
      <x:c r="J7" s="10" t="str">
        <x:v>preserve leak rate and first alarm</x:v>
      </x:c>
      <x:c r="K7" s="10" t="n">
        <x:v>1</x:v>
      </x:c>
      <x:c r="L7" s="10" t="n">
        <x:v>1</x:v>
      </x:c>
      <x:c r="M7" s="10" t="str">
        <x:f>IF(AND(K7=1,L7=1,C7&lt;&gt;"",D7&lt;&gt;"",E7&lt;&gt;"",F7&gt;0,G7&lt;&gt;"",H7&lt;&gt;"",I7&lt;&gt;"",J7&lt;&gt;""),"PASS","FAIL")</x:f>
        <x:v>PASS</x:v>
      </x:c>
      <x:c r="N7" s="12" t="n">
        <x:v>0</x:v>
      </x:c>
    </x:row>
    <x:row r="8">
      <x:c r="B8" s="10" t="str">
        <x:v>A</x:v>
      </x:c>
      <x:c r="C8" s="10" t="str">
        <x:v>W02</x:v>
      </x:c>
      <x:c r="D8" s="10" t="str">
        <x:v>transfer-line severance</x:v>
      </x:c>
      <x:c r="E8" s="10" t="str">
        <x:v>full local transfer opening</x:v>
      </x:c>
      <x:c r="F8" s="22" t="n">
        <x:v>0.05</x:v>
      </x:c>
      <x:c r="G8" s="10" t="str">
        <x:v>live source</x:v>
      </x:c>
      <x:c r="H8" s="10" t="str">
        <x:v>SAFE STATE AND REPLAY</x:v>
      </x:c>
      <x:c r="I8" s="10" t="str">
        <x:v>breakaway and upstream isolation</x:v>
      </x:c>
      <x:c r="J8" s="10" t="str">
        <x:v>preserve pressure and mass-flow history</x:v>
      </x:c>
      <x:c r="K8" s="10" t="n">
        <x:v>1</x:v>
      </x:c>
      <x:c r="L8" s="10" t="n">
        <x:v>1</x:v>
      </x:c>
      <x:c r="M8" s="10" t="str">
        <x:f>IF(AND(K8=1,L8=1,C8&lt;&gt;"",D8&lt;&gt;"",E8&lt;&gt;"",F8&gt;0,G8&lt;&gt;"",H8&lt;&gt;"",I8&lt;&gt;"",J8&lt;&gt;""),"PASS","FAIL")</x:f>
        <x:v>PASS</x:v>
      </x:c>
      <x:c r="N8" s="12" t="n">
        <x:v>0</x:v>
      </x:c>
    </x:row>
    <x:row r="9">
      <x:c r="B9" s="10" t="str">
        <x:v>A</x:v>
      </x:c>
      <x:c r="C9" s="10" t="str">
        <x:v>W03</x:v>
      </x:c>
      <x:c r="D9" s="10" t="str">
        <x:v>full compartment loss</x:v>
      </x:c>
      <x:c r="E9" s="10" t="str">
        <x:v>one two-tonne boundary lost</x:v>
      </x:c>
      <x:c r="F9" s="22" t="n">
        <x:v>1</x:v>
      </x:c>
      <x:c r="G9" s="10" t="str">
        <x:v>live source</x:v>
      </x:c>
      <x:c r="H9" s="10" t="str">
        <x:v>QUARANTINE</x:v>
      </x:c>
      <x:c r="I9" s="10" t="str">
        <x:v>passive collection and remote retention</x:v>
      </x:c>
      <x:c r="J9" s="10" t="str">
        <x:v>preserve total released mass</x:v>
      </x:c>
      <x:c r="K9" s="10" t="n">
        <x:v>1</x:v>
      </x:c>
      <x:c r="L9" s="10" t="n">
        <x:v>1</x:v>
      </x:c>
      <x:c r="M9" s="10" t="str">
        <x:f>IF(AND(K9=1,L9=1,C9&lt;&gt;"",D9&lt;&gt;"",E9&lt;&gt;"",F9&gt;0,G9&lt;&gt;"",H9&lt;&gt;"",I9&lt;&gt;"",J9&lt;&gt;""),"PASS","FAIL")</x:f>
        <x:v>PASS</x:v>
      </x:c>
      <x:c r="N9" s="12" t="n">
        <x:v>0</x:v>
      </x:c>
    </x:row>
    <x:row r="10">
      <x:c r="B10" s="10" t="str">
        <x:v>A</x:v>
      </x:c>
      <x:c r="C10" s="10" t="str">
        <x:v>W04</x:v>
      </x:c>
      <x:c r="D10" s="10" t="str">
        <x:v>adjacent-source exposure</x:v>
      </x:c>
      <x:c r="E10" s="10" t="str">
        <x:v>one compartment challenges neighbor</x:v>
      </x:c>
      <x:c r="F10" s="22" t="n">
        <x:v>1</x:v>
      </x:c>
      <x:c r="G10" s="10" t="str">
        <x:v>live and inert neighbor</x:v>
      </x:c>
      <x:c r="H10" s="10" t="str">
        <x:v>QUARANTINE</x:v>
      </x:c>
      <x:c r="I10" s="10" t="str">
        <x:v>passive escalation barriers</x:v>
      </x:c>
      <x:c r="J10" s="10" t="str">
        <x:v>prove no second-compartment involvement</x:v>
      </x:c>
      <x:c r="K10" s="10" t="n">
        <x:v>1</x:v>
      </x:c>
      <x:c r="L10" s="10" t="n">
        <x:v>1</x:v>
      </x:c>
      <x:c r="M10" s="10" t="str">
        <x:f>IF(AND(K10=1,L10=1,C10&lt;&gt;"",D10&lt;&gt;"",E10&lt;&gt;"",F10&gt;0,G10&lt;&gt;"",H10&lt;&gt;"",I10&lt;&gt;"",J10&lt;&gt;""),"PASS","FAIL")</x:f>
        <x:v>PASS</x:v>
      </x:c>
      <x:c r="N10" s="12" t="n">
        <x:v>0</x:v>
      </x:c>
    </x:row>
    <x:row r="11">
      <x:c r="B11" s="10" t="str">
        <x:v>A</x:v>
      </x:c>
      <x:c r="C11" s="10" t="str">
        <x:v>W05</x:v>
      </x:c>
      <x:c r="D11" s="10" t="str">
        <x:v>restricted relief path</x:v>
      </x:c>
      <x:c r="E11" s="10" t="str">
        <x:v>registered vent restriction</x:v>
      </x:c>
      <x:c r="F11" s="22" t="n">
        <x:v>0.1</x:v>
      </x:c>
      <x:c r="G11" s="10" t="str">
        <x:v>live source</x:v>
      </x:c>
      <x:c r="H11" s="10" t="str">
        <x:v>QUARANTINE</x:v>
      </x:c>
      <x:c r="I11" s="10" t="str">
        <x:v>independent relief route</x:v>
      </x:c>
      <x:c r="J11" s="10" t="str">
        <x:v>preserve vessel and vent pressure</x:v>
      </x:c>
      <x:c r="K11" s="10" t="n">
        <x:v>1</x:v>
      </x:c>
      <x:c r="L11" s="10" t="n">
        <x:v>1</x:v>
      </x:c>
      <x:c r="M11" s="10" t="str">
        <x:f>IF(AND(K11=1,L11=1,C11&lt;&gt;"",D11&lt;&gt;"",E11&lt;&gt;"",F11&gt;0,G11&lt;&gt;"",H11&lt;&gt;"",I11&lt;&gt;"",J11&lt;&gt;""),"PASS","FAIL")</x:f>
        <x:v>PASS</x:v>
      </x:c>
      <x:c r="N11" s="12" t="n">
        <x:v>0</x:v>
      </x:c>
    </x:row>
    <x:row r="12">
      <x:c r="B12" s="10" t="str">
        <x:v>A</x:v>
      </x:c>
      <x:c r="C12" s="10" t="str">
        <x:v>W06</x:v>
      </x:c>
      <x:c r="D12" s="10" t="str">
        <x:v>immediate ignition</x:v>
      </x:c>
      <x:c r="E12" s="10" t="str">
        <x:v>ignition at release start</x:v>
      </x:c>
      <x:c r="F12" s="22" t="n">
        <x:v>0.1</x:v>
      </x:c>
      <x:c r="G12" s="10" t="str">
        <x:v>live source</x:v>
      </x:c>
      <x:c r="H12" s="10" t="str">
        <x:v>SAFE STATE</x:v>
      </x:c>
      <x:c r="I12" s="10" t="str">
        <x:v>remote isolation and fire control</x:v>
      </x:c>
      <x:c r="J12" s="10" t="str">
        <x:v>preserve heat flux and burn rate</x:v>
      </x:c>
      <x:c r="K12" s="10" t="n">
        <x:v>1</x:v>
      </x:c>
      <x:c r="L12" s="10" t="n">
        <x:v>1</x:v>
      </x:c>
      <x:c r="M12" s="10" t="str">
        <x:f>IF(AND(K12=1,L12=1,C12&lt;&gt;"",D12&lt;&gt;"",E12&lt;&gt;"",F12&gt;0,G12&lt;&gt;"",H12&lt;&gt;"",I12&lt;&gt;"",J12&lt;&gt;""),"PASS","FAIL")</x:f>
        <x:v>PASS</x:v>
      </x:c>
      <x:c r="N12" s="12" t="n">
        <x:v>0</x:v>
      </x:c>
    </x:row>
    <x:row r="13">
      <x:c r="B13" s="10" t="str">
        <x:v>A</x:v>
      </x:c>
      <x:c r="C13" s="10" t="str">
        <x:v>W07</x:v>
      </x:c>
      <x:c r="D13" s="10" t="str">
        <x:v>delayed ignition</x:v>
      </x:c>
      <x:c r="E13" s="10" t="str">
        <x:v>dispersed source ignites after delay</x:v>
      </x:c>
      <x:c r="F13" s="22" t="n">
        <x:v>0.25</x:v>
      </x:c>
      <x:c r="G13" s="10" t="str">
        <x:v>live source</x:v>
      </x:c>
      <x:c r="H13" s="10" t="str">
        <x:v>QUARANTINE</x:v>
      </x:c>
      <x:c r="I13" s="10" t="str">
        <x:v>exclusion and consequence cell</x:v>
      </x:c>
      <x:c r="J13" s="10" t="str">
        <x:v>preserve gas field and ignition time</x:v>
      </x:c>
      <x:c r="K13" s="10" t="n">
        <x:v>1</x:v>
      </x:c>
      <x:c r="L13" s="10" t="n">
        <x:v>1</x:v>
      </x:c>
      <x:c r="M13" s="10" t="str">
        <x:f>IF(AND(K13=1,L13=1,C13&lt;&gt;"",D13&lt;&gt;"",E13&lt;&gt;"",F13&gt;0,G13&lt;&gt;"",H13&lt;&gt;"",I13&lt;&gt;"",J13&lt;&gt;""),"PASS","FAIL")</x:f>
        <x:v>PASS</x:v>
      </x:c>
      <x:c r="N13" s="12" t="n">
        <x:v>0</x:v>
      </x:c>
    </x:row>
    <x:row r="14">
      <x:c r="B14" s="10" t="str">
        <x:v>A</x:v>
      </x:c>
      <x:c r="C14" s="10" t="str">
        <x:v>W08</x:v>
      </x:c>
      <x:c r="D14" s="10" t="str">
        <x:v>safety-power loss</x:v>
      </x:c>
      <x:c r="E14" s="10" t="str">
        <x:v>normal and first backup source denied</x:v>
      </x:c>
      <x:c r="F14" s="22" t="n">
        <x:v>0.05</x:v>
      </x:c>
      <x:c r="G14" s="10" t="str">
        <x:v>live source</x:v>
      </x:c>
      <x:c r="H14" s="10" t="str">
        <x:v>SAFE STATE AND REPLAY</x:v>
      </x:c>
      <x:c r="I14" s="10" t="str">
        <x:v>passive route and third safety bus</x:v>
      </x:c>
      <x:c r="J14" s="10" t="str">
        <x:v>preserve de-energized valve positions</x:v>
      </x:c>
      <x:c r="K14" s="10" t="n">
        <x:v>1</x:v>
      </x:c>
      <x:c r="L14" s="10" t="n">
        <x:v>1</x:v>
      </x:c>
      <x:c r="M14" s="10" t="str">
        <x:f>IF(AND(K14=1,L14=1,C14&lt;&gt;"",D14&lt;&gt;"",E14&lt;&gt;"",F14&gt;0,G14&lt;&gt;"",H14&lt;&gt;"",I14&lt;&gt;"",J14&lt;&gt;""),"PASS","FAIL")</x:f>
        <x:v>PASS</x:v>
      </x:c>
      <x:c r="N14" s="12" t="n">
        <x:v>0</x:v>
      </x:c>
    </x:row>
    <x:row r="15">
      <x:c r="B15" s="10" t="str">
        <x:v>A</x:v>
      </x:c>
      <x:c r="C15" s="10" t="str">
        <x:v>W09</x:v>
      </x:c>
      <x:c r="D15" s="10" t="str">
        <x:v>primary retention loss</x:v>
      </x:c>
      <x:c r="E15" s="10" t="str">
        <x:v>gas holder or liquid receiver unavailable</x:v>
      </x:c>
      <x:c r="F15" s="22" t="n">
        <x:v>1</x:v>
      </x:c>
      <x:c r="G15" s="10" t="str">
        <x:v>live source</x:v>
      </x:c>
      <x:c r="H15" s="10" t="str">
        <x:v>SAFE STATE AND REPLAY</x:v>
      </x:c>
      <x:c r="I15" s="10" t="str">
        <x:v>secondary receiver or last-resort flare</x:v>
      </x:c>
      <x:c r="J15" s="10" t="str">
        <x:v>preserve diversion and destroyed mass</x:v>
      </x:c>
      <x:c r="K15" s="10" t="n">
        <x:v>1</x:v>
      </x:c>
      <x:c r="L15" s="10" t="n">
        <x:v>1</x:v>
      </x:c>
      <x:c r="M15" s="10" t="str">
        <x:f>IF(AND(K15=1,L15=1,C15&lt;&gt;"",D15&lt;&gt;"",E15&lt;&gt;"",F15&gt;0,G15&lt;&gt;"",H15&lt;&gt;"",I15&lt;&gt;"",J15&lt;&gt;""),"PASS","FAIL")</x:f>
        <x:v>PASS</x:v>
      </x:c>
      <x:c r="N15" s="12" t="n">
        <x:v>0</x:v>
      </x:c>
    </x:row>
    <x:row r="16">
      <x:c r="B16" s="10" t="str">
        <x:v>A</x:v>
      </x:c>
      <x:c r="C16" s="10" t="str">
        <x:v>W10</x:v>
      </x:c>
      <x:c r="D16" s="10" t="str">
        <x:v>suppression-media intrusion</x:v>
      </x:c>
      <x:c r="E16" s="10" t="str">
        <x:v>water or agent enters source domain</x:v>
      </x:c>
      <x:c r="F16" s="22" t="n">
        <x:v>0.1</x:v>
      </x:c>
      <x:c r="G16" s="10" t="str">
        <x:v>live source</x:v>
      </x:c>
      <x:c r="H16" s="10" t="str">
        <x:v>QUARANTINE</x:v>
      </x:c>
      <x:c r="I16" s="10" t="str">
        <x:v>segregated drainage and sampling</x:v>
      </x:c>
      <x:c r="J16" s="10" t="str">
        <x:v>preserve phase and contamination ledger</x:v>
      </x:c>
      <x:c r="K16" s="10" t="n">
        <x:v>1</x:v>
      </x:c>
      <x:c r="L16" s="10" t="n">
        <x:v>1</x:v>
      </x:c>
      <x:c r="M16" s="10" t="str">
        <x:f>IF(AND(K16=1,L16=1,C16&lt;&gt;"",D16&lt;&gt;"",E16&lt;&gt;"",F16&gt;0,G16&lt;&gt;"",H16&lt;&gt;"",I16&lt;&gt;"",J16&lt;&gt;""),"PASS","FAIL")</x:f>
        <x:v>PASS</x:v>
      </x:c>
      <x:c r="N16" s="12" t="n">
        <x:v>0</x:v>
      </x:c>
    </x:row>
    <x:row r="17">
      <x:c r="B17" s="10" t="str">
        <x:v>A</x:v>
      </x:c>
      <x:c r="C17" s="10" t="str">
        <x:v>W11</x:v>
      </x:c>
      <x:c r="D17" s="10" t="str">
        <x:v>detection and clock disagreement</x:v>
      </x:c>
      <x:c r="E17" s="10" t="str">
        <x:v>unlike sensors or clocks disagree</x:v>
      </x:c>
      <x:c r="F17" s="22" t="n">
        <x:v>0.05</x:v>
      </x:c>
      <x:c r="G17" s="10" t="str">
        <x:v>live source</x:v>
      </x:c>
      <x:c r="H17" s="10" t="str">
        <x:v>SAFE STATE AND REPLAY</x:v>
      </x:c>
      <x:c r="I17" s="10" t="str">
        <x:v>most-conservative safety vote</x:v>
      </x:c>
      <x:c r="J17" s="10" t="str">
        <x:v>preserve all native time bases</x:v>
      </x:c>
      <x:c r="K17" s="10" t="n">
        <x:v>1</x:v>
      </x:c>
      <x:c r="L17" s="10" t="n">
        <x:v>1</x:v>
      </x:c>
      <x:c r="M17" s="10" t="str">
        <x:f>IF(AND(K17=1,L17=1,C17&lt;&gt;"",D17&lt;&gt;"",E17&lt;&gt;"",F17&gt;0,G17&lt;&gt;"",H17&lt;&gt;"",I17&lt;&gt;"",J17&lt;&gt;""),"PASS","FAIL")</x:f>
        <x:v>PASS</x:v>
      </x:c>
      <x:c r="N17" s="12" t="n">
        <x:v>0</x:v>
      </x:c>
    </x:row>
    <x:row r="18">
      <x:c r="B18" s="10" t="str">
        <x:v>A</x:v>
      </x:c>
      <x:c r="C18" s="10" t="str">
        <x:v>W12</x:v>
      </x:c>
      <x:c r="D18" s="10" t="str">
        <x:v>evidence blackout and recovery</x:v>
      </x:c>
      <x:c r="E18" s="10" t="str">
        <x:v>primary recorder and network denied</x:v>
      </x:c>
      <x:c r="F18" s="22" t="n">
        <x:v>0.05</x:v>
      </x:c>
      <x:c r="G18" s="10" t="str">
        <x:v>live source</x:v>
      </x:c>
      <x:c r="H18" s="10" t="str">
        <x:v>SAFE STATE AND REPLAY</x:v>
      </x:c>
      <x:c r="I18" s="10" t="str">
        <x:v>local independent original</x:v>
      </x:c>
      <x:c r="J18" s="10" t="str">
        <x:v>reconstruct without supplier portal</x:v>
      </x:c>
      <x:c r="K18" s="10" t="n">
        <x:v>1</x:v>
      </x:c>
      <x:c r="L18" s="10" t="n">
        <x:v>1</x:v>
      </x:c>
      <x:c r="M18" s="10" t="str">
        <x:f>IF(AND(K18=1,L18=1,C18&lt;&gt;"",D18&lt;&gt;"",E18&lt;&gt;"",F18&gt;0,G18&lt;&gt;"",H18&lt;&gt;"",I18&lt;&gt;"",J18&lt;&gt;""),"PASS","FAIL")</x:f>
        <x:v>PASS</x:v>
      </x:c>
      <x:c r="N18" s="12" t="n">
        <x:v>0</x:v>
      </x:c>
    </x:row>
    <x:row r="19">
      <x:c r="B19" s="10" t="str">
        <x:v>B</x:v>
      </x:c>
      <x:c r="C19" s="10" t="str">
        <x:v>W01</x:v>
      </x:c>
      <x:c r="D19" s="10" t="str">
        <x:v>seal seep</x:v>
      </x:c>
      <x:c r="E19" s="10" t="str">
        <x:v>seal or interstitial leak</x:v>
      </x:c>
      <x:c r="F19" s="22" t="n">
        <x:v>0.01</x:v>
      </x:c>
      <x:c r="G19" s="10" t="str">
        <x:v>live source</x:v>
      </x:c>
      <x:c r="H19" s="10" t="str">
        <x:v>SAFE STATE</x:v>
      </x:c>
      <x:c r="I19" s="10" t="str">
        <x:v>local dilution or liquid sump</x:v>
      </x:c>
      <x:c r="J19" s="10" t="str">
        <x:v>preserve leak rate and first alarm</x:v>
      </x:c>
      <x:c r="K19" s="10" t="n">
        <x:v>1</x:v>
      </x:c>
      <x:c r="L19" s="10" t="n">
        <x:v>1</x:v>
      </x:c>
      <x:c r="M19" s="10" t="str">
        <x:f>IF(AND(K19=1,L19=1,C19&lt;&gt;"",D19&lt;&gt;"",E19&lt;&gt;"",F19&gt;0,G19&lt;&gt;"",H19&lt;&gt;"",I19&lt;&gt;"",J19&lt;&gt;""),"PASS","FAIL")</x:f>
        <x:v>PASS</x:v>
      </x:c>
      <x:c r="N19" s="12" t="n">
        <x:v>0</x:v>
      </x:c>
    </x:row>
    <x:row r="20">
      <x:c r="B20" s="10" t="str">
        <x:v>B</x:v>
      </x:c>
      <x:c r="C20" s="10" t="str">
        <x:v>W02</x:v>
      </x:c>
      <x:c r="D20" s="10" t="str">
        <x:v>transfer-line severance</x:v>
      </x:c>
      <x:c r="E20" s="10" t="str">
        <x:v>full local transfer opening</x:v>
      </x:c>
      <x:c r="F20" s="22" t="n">
        <x:v>0.05</x:v>
      </x:c>
      <x:c r="G20" s="10" t="str">
        <x:v>live source</x:v>
      </x:c>
      <x:c r="H20" s="10" t="str">
        <x:v>SAFE STATE AND REPLAY</x:v>
      </x:c>
      <x:c r="I20" s="10" t="str">
        <x:v>breakaway and upstream isolation</x:v>
      </x:c>
      <x:c r="J20" s="10" t="str">
        <x:v>preserve pressure and mass-flow history</x:v>
      </x:c>
      <x:c r="K20" s="10" t="n">
        <x:v>1</x:v>
      </x:c>
      <x:c r="L20" s="10" t="n">
        <x:v>1</x:v>
      </x:c>
      <x:c r="M20" s="10" t="str">
        <x:f>IF(AND(K20=1,L20=1,C20&lt;&gt;"",D20&lt;&gt;"",E20&lt;&gt;"",F20&gt;0,G20&lt;&gt;"",H20&lt;&gt;"",I20&lt;&gt;"",J20&lt;&gt;""),"PASS","FAIL")</x:f>
        <x:v>PASS</x:v>
      </x:c>
      <x:c r="N20" s="12" t="n">
        <x:v>0</x:v>
      </x:c>
    </x:row>
    <x:row r="21">
      <x:c r="B21" s="10" t="str">
        <x:v>B</x:v>
      </x:c>
      <x:c r="C21" s="10" t="str">
        <x:v>W03</x:v>
      </x:c>
      <x:c r="D21" s="10" t="str">
        <x:v>full compartment loss</x:v>
      </x:c>
      <x:c r="E21" s="10" t="str">
        <x:v>one two-tonne boundary lost</x:v>
      </x:c>
      <x:c r="F21" s="22" t="n">
        <x:v>1</x:v>
      </x:c>
      <x:c r="G21" s="10" t="str">
        <x:v>live source</x:v>
      </x:c>
      <x:c r="H21" s="10" t="str">
        <x:v>QUARANTINE</x:v>
      </x:c>
      <x:c r="I21" s="10" t="str">
        <x:v>passive collection and remote retention</x:v>
      </x:c>
      <x:c r="J21" s="10" t="str">
        <x:v>preserve total released mass</x:v>
      </x:c>
      <x:c r="K21" s="10" t="n">
        <x:v>1</x:v>
      </x:c>
      <x:c r="L21" s="10" t="n">
        <x:v>1</x:v>
      </x:c>
      <x:c r="M21" s="10" t="str">
        <x:f>IF(AND(K21=1,L21=1,C21&lt;&gt;"",D21&lt;&gt;"",E21&lt;&gt;"",F21&gt;0,G21&lt;&gt;"",H21&lt;&gt;"",I21&lt;&gt;"",J21&lt;&gt;""),"PASS","FAIL")</x:f>
        <x:v>PASS</x:v>
      </x:c>
      <x:c r="N21" s="12" t="n">
        <x:v>0</x:v>
      </x:c>
    </x:row>
    <x:row r="22">
      <x:c r="B22" s="10" t="str">
        <x:v>B</x:v>
      </x:c>
      <x:c r="C22" s="10" t="str">
        <x:v>W04</x:v>
      </x:c>
      <x:c r="D22" s="10" t="str">
        <x:v>adjacent-source exposure</x:v>
      </x:c>
      <x:c r="E22" s="10" t="str">
        <x:v>one compartment challenges neighbor</x:v>
      </x:c>
      <x:c r="F22" s="22" t="n">
        <x:v>1</x:v>
      </x:c>
      <x:c r="G22" s="10" t="str">
        <x:v>live and inert neighbor</x:v>
      </x:c>
      <x:c r="H22" s="10" t="str">
        <x:v>QUARANTINE</x:v>
      </x:c>
      <x:c r="I22" s="10" t="str">
        <x:v>passive escalation barriers</x:v>
      </x:c>
      <x:c r="J22" s="10" t="str">
        <x:v>prove no second-compartment involvement</x:v>
      </x:c>
      <x:c r="K22" s="10" t="n">
        <x:v>1</x:v>
      </x:c>
      <x:c r="L22" s="10" t="n">
        <x:v>1</x:v>
      </x:c>
      <x:c r="M22" s="10" t="str">
        <x:f>IF(AND(K22=1,L22=1,C22&lt;&gt;"",D22&lt;&gt;"",E22&lt;&gt;"",F22&gt;0,G22&lt;&gt;"",H22&lt;&gt;"",I22&lt;&gt;"",J22&lt;&gt;""),"PASS","FAIL")</x:f>
        <x:v>PASS</x:v>
      </x:c>
      <x:c r="N22" s="12" t="n">
        <x:v>0</x:v>
      </x:c>
    </x:row>
    <x:row r="23">
      <x:c r="B23" s="10" t="str">
        <x:v>B</x:v>
      </x:c>
      <x:c r="C23" s="10" t="str">
        <x:v>W05</x:v>
      </x:c>
      <x:c r="D23" s="10" t="str">
        <x:v>restricted relief path</x:v>
      </x:c>
      <x:c r="E23" s="10" t="str">
        <x:v>registered vent restriction</x:v>
      </x:c>
      <x:c r="F23" s="22" t="n">
        <x:v>0.1</x:v>
      </x:c>
      <x:c r="G23" s="10" t="str">
        <x:v>live source</x:v>
      </x:c>
      <x:c r="H23" s="10" t="str">
        <x:v>QUARANTINE</x:v>
      </x:c>
      <x:c r="I23" s="10" t="str">
        <x:v>independent relief route</x:v>
      </x:c>
      <x:c r="J23" s="10" t="str">
        <x:v>preserve vessel and vent pressure</x:v>
      </x:c>
      <x:c r="K23" s="10" t="n">
        <x:v>1</x:v>
      </x:c>
      <x:c r="L23" s="10" t="n">
        <x:v>1</x:v>
      </x:c>
      <x:c r="M23" s="10" t="str">
        <x:f>IF(AND(K23=1,L23=1,C23&lt;&gt;"",D23&lt;&gt;"",E23&lt;&gt;"",F23&gt;0,G23&lt;&gt;"",H23&lt;&gt;"",I23&lt;&gt;"",J23&lt;&gt;""),"PASS","FAIL")</x:f>
        <x:v>PASS</x:v>
      </x:c>
      <x:c r="N23" s="12" t="n">
        <x:v>0</x:v>
      </x:c>
    </x:row>
    <x:row r="24">
      <x:c r="B24" s="10" t="str">
        <x:v>B</x:v>
      </x:c>
      <x:c r="C24" s="10" t="str">
        <x:v>W06</x:v>
      </x:c>
      <x:c r="D24" s="10" t="str">
        <x:v>immediate ignition</x:v>
      </x:c>
      <x:c r="E24" s="10" t="str">
        <x:v>ignition at release start</x:v>
      </x:c>
      <x:c r="F24" s="22" t="n">
        <x:v>0.1</x:v>
      </x:c>
      <x:c r="G24" s="10" t="str">
        <x:v>live source</x:v>
      </x:c>
      <x:c r="H24" s="10" t="str">
        <x:v>SAFE STATE</x:v>
      </x:c>
      <x:c r="I24" s="10" t="str">
        <x:v>remote isolation and fire control</x:v>
      </x:c>
      <x:c r="J24" s="10" t="str">
        <x:v>preserve heat flux and burn rate</x:v>
      </x:c>
      <x:c r="K24" s="10" t="n">
        <x:v>1</x:v>
      </x:c>
      <x:c r="L24" s="10" t="n">
        <x:v>1</x:v>
      </x:c>
      <x:c r="M24" s="10" t="str">
        <x:f>IF(AND(K24=1,L24=1,C24&lt;&gt;"",D24&lt;&gt;"",E24&lt;&gt;"",F24&gt;0,G24&lt;&gt;"",H24&lt;&gt;"",I24&lt;&gt;"",J24&lt;&gt;""),"PASS","FAIL")</x:f>
        <x:v>PASS</x:v>
      </x:c>
      <x:c r="N24" s="12" t="n">
        <x:v>0</x:v>
      </x:c>
    </x:row>
    <x:row r="25">
      <x:c r="B25" s="10" t="str">
        <x:v>B</x:v>
      </x:c>
      <x:c r="C25" s="10" t="str">
        <x:v>W07</x:v>
      </x:c>
      <x:c r="D25" s="10" t="str">
        <x:v>delayed ignition</x:v>
      </x:c>
      <x:c r="E25" s="10" t="str">
        <x:v>dispersed source ignites after delay</x:v>
      </x:c>
      <x:c r="F25" s="22" t="n">
        <x:v>0.25</x:v>
      </x:c>
      <x:c r="G25" s="10" t="str">
        <x:v>live source</x:v>
      </x:c>
      <x:c r="H25" s="10" t="str">
        <x:v>QUARANTINE</x:v>
      </x:c>
      <x:c r="I25" s="10" t="str">
        <x:v>exclusion and consequence cell</x:v>
      </x:c>
      <x:c r="J25" s="10" t="str">
        <x:v>preserve gas field and ignition time</x:v>
      </x:c>
      <x:c r="K25" s="10" t="n">
        <x:v>1</x:v>
      </x:c>
      <x:c r="L25" s="10" t="n">
        <x:v>1</x:v>
      </x:c>
      <x:c r="M25" s="10" t="str">
        <x:f>IF(AND(K25=1,L25=1,C25&lt;&gt;"",D25&lt;&gt;"",E25&lt;&gt;"",F25&gt;0,G25&lt;&gt;"",H25&lt;&gt;"",I25&lt;&gt;"",J25&lt;&gt;""),"PASS","FAIL")</x:f>
        <x:v>PASS</x:v>
      </x:c>
      <x:c r="N25" s="12" t="n">
        <x:v>0</x:v>
      </x:c>
    </x:row>
    <x:row r="26">
      <x:c r="B26" s="10" t="str">
        <x:v>B</x:v>
      </x:c>
      <x:c r="C26" s="10" t="str">
        <x:v>W08</x:v>
      </x:c>
      <x:c r="D26" s="10" t="str">
        <x:v>safety-power loss</x:v>
      </x:c>
      <x:c r="E26" s="10" t="str">
        <x:v>normal and first backup source denied</x:v>
      </x:c>
      <x:c r="F26" s="22" t="n">
        <x:v>0.05</x:v>
      </x:c>
      <x:c r="G26" s="10" t="str">
        <x:v>live source</x:v>
      </x:c>
      <x:c r="H26" s="10" t="str">
        <x:v>SAFE STATE AND REPLAY</x:v>
      </x:c>
      <x:c r="I26" s="10" t="str">
        <x:v>passive route and third safety bus</x:v>
      </x:c>
      <x:c r="J26" s="10" t="str">
        <x:v>preserve de-energized valve positions</x:v>
      </x:c>
      <x:c r="K26" s="10" t="n">
        <x:v>1</x:v>
      </x:c>
      <x:c r="L26" s="10" t="n">
        <x:v>1</x:v>
      </x:c>
      <x:c r="M26" s="10" t="str">
        <x:f>IF(AND(K26=1,L26=1,C26&lt;&gt;"",D26&lt;&gt;"",E26&lt;&gt;"",F26&gt;0,G26&lt;&gt;"",H26&lt;&gt;"",I26&lt;&gt;"",J26&lt;&gt;""),"PASS","FAIL")</x:f>
        <x:v>PASS</x:v>
      </x:c>
      <x:c r="N26" s="12" t="n">
        <x:v>0</x:v>
      </x:c>
    </x:row>
    <x:row r="27">
      <x:c r="B27" s="10" t="str">
        <x:v>B</x:v>
      </x:c>
      <x:c r="C27" s="10" t="str">
        <x:v>W09</x:v>
      </x:c>
      <x:c r="D27" s="10" t="str">
        <x:v>primary retention loss</x:v>
      </x:c>
      <x:c r="E27" s="10" t="str">
        <x:v>gas holder or liquid receiver unavailable</x:v>
      </x:c>
      <x:c r="F27" s="22" t="n">
        <x:v>1</x:v>
      </x:c>
      <x:c r="G27" s="10" t="str">
        <x:v>live source</x:v>
      </x:c>
      <x:c r="H27" s="10" t="str">
        <x:v>SAFE STATE AND REPLAY</x:v>
      </x:c>
      <x:c r="I27" s="10" t="str">
        <x:v>secondary receiver or last-resort flare</x:v>
      </x:c>
      <x:c r="J27" s="10" t="str">
        <x:v>preserve diversion and destroyed mass</x:v>
      </x:c>
      <x:c r="K27" s="10" t="n">
        <x:v>1</x:v>
      </x:c>
      <x:c r="L27" s="10" t="n">
        <x:v>1</x:v>
      </x:c>
      <x:c r="M27" s="10" t="str">
        <x:f>IF(AND(K27=1,L27=1,C27&lt;&gt;"",D27&lt;&gt;"",E27&lt;&gt;"",F27&gt;0,G27&lt;&gt;"",H27&lt;&gt;"",I27&lt;&gt;"",J27&lt;&gt;""),"PASS","FAIL")</x:f>
        <x:v>PASS</x:v>
      </x:c>
      <x:c r="N27" s="12" t="n">
        <x:v>0</x:v>
      </x:c>
    </x:row>
    <x:row r="28">
      <x:c r="B28" s="10" t="str">
        <x:v>B</x:v>
      </x:c>
      <x:c r="C28" s="10" t="str">
        <x:v>W10</x:v>
      </x:c>
      <x:c r="D28" s="10" t="str">
        <x:v>suppression-media intrusion</x:v>
      </x:c>
      <x:c r="E28" s="10" t="str">
        <x:v>water or agent enters source domain</x:v>
      </x:c>
      <x:c r="F28" s="22" t="n">
        <x:v>0.1</x:v>
      </x:c>
      <x:c r="G28" s="10" t="str">
        <x:v>live source</x:v>
      </x:c>
      <x:c r="H28" s="10" t="str">
        <x:v>QUARANTINE</x:v>
      </x:c>
      <x:c r="I28" s="10" t="str">
        <x:v>segregated drainage and sampling</x:v>
      </x:c>
      <x:c r="J28" s="10" t="str">
        <x:v>preserve phase and contamination ledger</x:v>
      </x:c>
      <x:c r="K28" s="10" t="n">
        <x:v>1</x:v>
      </x:c>
      <x:c r="L28" s="10" t="n">
        <x:v>1</x:v>
      </x:c>
      <x:c r="M28" s="10" t="str">
        <x:f>IF(AND(K28=1,L28=1,C28&lt;&gt;"",D28&lt;&gt;"",E28&lt;&gt;"",F28&gt;0,G28&lt;&gt;"",H28&lt;&gt;"",I28&lt;&gt;"",J28&lt;&gt;""),"PASS","FAIL")</x:f>
        <x:v>PASS</x:v>
      </x:c>
      <x:c r="N28" s="12" t="n">
        <x:v>0</x:v>
      </x:c>
    </x:row>
    <x:row r="29">
      <x:c r="B29" s="10" t="str">
        <x:v>B</x:v>
      </x:c>
      <x:c r="C29" s="10" t="str">
        <x:v>W11</x:v>
      </x:c>
      <x:c r="D29" s="10" t="str">
        <x:v>detection and clock disagreement</x:v>
      </x:c>
      <x:c r="E29" s="10" t="str">
        <x:v>unlike sensors or clocks disagree</x:v>
      </x:c>
      <x:c r="F29" s="22" t="n">
        <x:v>0.05</x:v>
      </x:c>
      <x:c r="G29" s="10" t="str">
        <x:v>live source</x:v>
      </x:c>
      <x:c r="H29" s="10" t="str">
        <x:v>SAFE STATE AND REPLAY</x:v>
      </x:c>
      <x:c r="I29" s="10" t="str">
        <x:v>most-conservative safety vote</x:v>
      </x:c>
      <x:c r="J29" s="10" t="str">
        <x:v>preserve all native time bases</x:v>
      </x:c>
      <x:c r="K29" s="10" t="n">
        <x:v>1</x:v>
      </x:c>
      <x:c r="L29" s="10" t="n">
        <x:v>1</x:v>
      </x:c>
      <x:c r="M29" s="10" t="str">
        <x:f>IF(AND(K29=1,L29=1,C29&lt;&gt;"",D29&lt;&gt;"",E29&lt;&gt;"",F29&gt;0,G29&lt;&gt;"",H29&lt;&gt;"",I29&lt;&gt;"",J29&lt;&gt;""),"PASS","FAIL")</x:f>
        <x:v>PASS</x:v>
      </x:c>
      <x:c r="N29" s="12" t="n">
        <x:v>0</x:v>
      </x:c>
    </x:row>
    <x:row r="30">
      <x:c r="B30" s="11" t="str">
        <x:v>B</x:v>
      </x:c>
      <x:c r="C30" s="11" t="str">
        <x:v>W12</x:v>
      </x:c>
      <x:c r="D30" s="11" t="str">
        <x:v>evidence blackout and recovery</x:v>
      </x:c>
      <x:c r="E30" s="11" t="str">
        <x:v>primary recorder and network denied</x:v>
      </x:c>
      <x:c r="F30" s="23" t="n">
        <x:v>0.05</x:v>
      </x:c>
      <x:c r="G30" s="11" t="str">
        <x:v>live source</x:v>
      </x:c>
      <x:c r="H30" s="11" t="str">
        <x:v>SAFE STATE AND REPLAY</x:v>
      </x:c>
      <x:c r="I30" s="11" t="str">
        <x:v>local independent original</x:v>
      </x:c>
      <x:c r="J30" s="11" t="str">
        <x:v>reconstruct without supplier portal</x:v>
      </x:c>
      <x:c r="K30" s="11" t="n">
        <x:v>1</x:v>
      </x:c>
      <x:c r="L30" s="11" t="n">
        <x:v>1</x:v>
      </x:c>
      <x:c r="M30" s="11" t="str">
        <x:f>IF(AND(K30=1,L30=1,C30&lt;&gt;"",D30&lt;&gt;"",E30&lt;&gt;"",F30&gt;0,G30&lt;&gt;"",H30&lt;&gt;"",I30&lt;&gt;"",J30&lt;&gt;""),"PASS","FAIL")</x:f>
        <x:v>PASS</x:v>
      </x:c>
      <x:c r="N30" s="13" t="n">
        <x:v>0</x:v>
      </x:c>
    </x:row>
  </x:sheetData>
  <x:mergeCells>
    <x:mergeCell ref="B2:O2"/>
    <x:mergeCell ref="B3:O3"/>
  </x:mergeCells>
  <x:conditionalFormatting sqref="M7:M30">
    <x:cfRule type="containsText" dxfId="126" priority="1" operator="containsText" text="PASS"/>
    <x:cfRule type="containsText" dxfId="127" priority="2" operator="containsText" text="AUTHORIZED"/>
    <x:cfRule type="containsText" dxfId="128" priority="3" operator="containsText" text="DEFINED"/>
    <x:cfRule type="containsText" dxfId="129" priority="4" operator="containsText" text="READY"/>
    <x:cfRule type="containsText" dxfId="130" priority="5" operator="containsText" text="HOLD"/>
    <x:cfRule type="containsText" dxfId="131" priority="6" operator="containsText" text="OPEN"/>
    <x:cfRule type="containsText" dxfId="132" priority="7" operator="containsText" text="BLOCKED"/>
    <x:cfRule type="containsText" dxfId="133" priority="8" operator="containsText" text="PLANNING"/>
    <x:cfRule type="containsText" dxfId="134" priority="9" operator="containsText" text="QUARANTINE"/>
    <x:cfRule type="containsText" dxfId="135" priority="10" operator="containsText" text="INDETERMINATE"/>
    <x:cfRule type="containsText" dxfId="136" priority="11" operator="containsText" text="FAIL"/>
    <x:cfRule type="containsText" dxfId="137" priority="12" operator="containsText" text="REJECT"/>
    <x:cfRule type="containsText" dxfId="138" priority="13" operator="containsText" text="INVALID"/>
    <x:cfRule type="containsText" dxfId="139" priority="14" operator="containsText" text="STOP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24" hidden="0" customWidth="1"/>
    <x:col min="3" max="3" width="20" hidden="0" customWidth="1"/>
    <x:col min="4" max="4" width="11" hidden="0" customWidth="1"/>
    <x:col min="5" max="5" width="10" hidden="0" customWidth="1"/>
    <x:col min="6" max="6" width="11" hidden="0" customWidth="1"/>
    <x:col min="7" max="7" width="8" hidden="0" customWidth="1"/>
    <x:col min="8" max="8" width="10" hidden="0" customWidth="1"/>
    <x:col min="9" max="9" width="16" hidden="0" customWidth="1"/>
    <x:col min="10" max="10" width="21" hidden="0" customWidth="1"/>
    <x:col min="11" max="11" width="24" hidden="0" customWidth="1"/>
    <x:col min="12" max="12" width="20" hidden="0" customWidth="1"/>
    <x:col min="13" max="13" width="18" hidden="0" customWidth="1"/>
    <x:col min="14" max="14" width="13" hidden="0" customWidth="1"/>
    <x:col min="15" max="15" width="13" hidden="0" customWidth="1"/>
    <x:col min="16" max="16" width="24" hidden="0" customWidth="1"/>
    <x:col min="17" max="17" width="15" hidden="0" customWidth="1"/>
    <x:col min="18" max="18" width="15" hidden="0" customWidth="1"/>
  </x:cols>
  <x:sheetData>
    <x:row r="2">
      <x:c r="B2" s="1" t="str">
        <x:v>Eighty-event safety-case register</x:v>
      </x:c>
    </x:row>
    <x:row r="3">
      <x:c r="B3" s="2" t="str">
        <x:v>Forty-eight inserted faults, twenty-four clean controls and eight unlike-site replays remain distinct evidence objects.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6">
      <x:c r="B6" s="8" t="str">
        <x:v>Trial ID</x:v>
      </x:c>
      <x:c r="C6" s="8" t="str">
        <x:v>Type</x:v>
      </x:c>
      <x:c r="D6" s="8" t="str">
        <x:v>Site</x:v>
      </x:c>
      <x:c r="E6" s="8" t="str">
        <x:v>Lane</x:v>
      </x:c>
      <x:c r="F6" s="8" t="str">
        <x:v>Cell</x:v>
      </x:c>
      <x:c r="G6" s="8" t="str">
        <x:v>Root</x:v>
      </x:c>
      <x:c r="H6" s="8" t="str">
        <x:v>World</x:v>
      </x:c>
      <x:c r="I6" s="8" t="str">
        <x:v>Source fraction</x:v>
      </x:c>
      <x:c r="J6" s="8" t="str">
        <x:v>Medium</x:v>
      </x:c>
      <x:c r="K6" s="8" t="str">
        <x:v>Expected disposition</x:v>
      </x:c>
      <x:c r="L6" s="8" t="str">
        <x:v>Admitted mass (kg)</x:v>
      </x:c>
      <x:c r="M6" s="8" t="str">
        <x:v>Planning package</x:v>
      </x:c>
      <x:c r="N6" s="8" t="str">
        <x:v>Executed</x:v>
      </x:c>
      <x:c r="O6" s="8" t="str">
        <x:v>Originals</x:v>
      </x:c>
      <x:c r="P6" s="8" t="str">
        <x:v>Observed disposition</x:v>
      </x:c>
      <x:c r="Q6" s="8" t="str">
        <x:v>Planning state</x:v>
      </x:c>
      <x:c r="R6" s="8" t="str">
        <x:v>Physical state</x:v>
      </x:c>
    </x:row>
    <x:row r="7">
      <x:c r="B7" s="10" t="str">
        <x:v>MCR-F-B-A-W01</x:v>
      </x:c>
      <x:c r="C7" s="10" t="str">
        <x:v>inserted fault</x:v>
      </x:c>
      <x:c r="D7" s="10" t="str">
        <x:v>PTC-B</x:v>
      </x:c>
      <x:c r="E7" s="10" t="str">
        <x:v>LN-11</x:v>
      </x:c>
      <x:c r="F7" s="10" t="str">
        <x:v>MC-B1</x:v>
      </x:c>
      <x:c r="G7" s="10" t="str">
        <x:v>A</x:v>
      </x:c>
      <x:c r="H7" s="22" t="str">
        <x:v>W01</x:v>
      </x:c>
      <x:c r="I7" s="10" t="n">
        <x:v>0.01</x:v>
      </x:c>
      <x:c r="J7" s="10" t="str">
        <x:v>live source</x:v>
      </x:c>
      <x:c r="K7" s="10" t="str">
        <x:v>SAFE STATE</x:v>
      </x:c>
      <x:c r="L7" s="18" t="n">
        <x:f>IF(C7="cross-site replay",0,I7*'Controls'!$D$8)</x:f>
        <x:v>20</x:v>
      </x:c>
      <x:c r="M7" s="10" t="n">
        <x:v>1</x:v>
      </x:c>
      <x:c r="N7" s="12" t="n">
        <x:v>0</x:v>
      </x:c>
      <x:c r="O7" s="12" t="n">
        <x:v>0</x:v>
      </x:c>
      <x:c r="P7" s="12" t="str"/>
      <x:c r="Q7" s="10" t="str">
        <x:f>IF(AND(M7=1,B7&lt;&gt;"",C7&lt;&gt;"",G7&lt;&gt;"",J7&lt;&gt;"",K7&lt;&gt;""),"PASS","FAIL")</x:f>
        <x:v>PASS</x:v>
      </x:c>
      <x:c r="R7" s="10" t="str">
        <x:f>IF(Q7&lt;&gt;"PASS","FAIL",IF(AND(N7=0,O7=0,P7=""),"OPEN",IF(AND(N7=1,O7&gt;='Controls'!$D$66,P7=K7),"PASS","FAIL")))</x:f>
        <x:v>OPEN</x:v>
      </x:c>
    </x:row>
    <x:row r="8">
      <x:c r="B8" s="10" t="str">
        <x:v>MCR-F-B-A-W02</x:v>
      </x:c>
      <x:c r="C8" s="10" t="str">
        <x:v>inserted fault</x:v>
      </x:c>
      <x:c r="D8" s="10" t="str">
        <x:v>PTC-B</x:v>
      </x:c>
      <x:c r="E8" s="10" t="str">
        <x:v>LN-11</x:v>
      </x:c>
      <x:c r="F8" s="10" t="str">
        <x:v>MC-B1</x:v>
      </x:c>
      <x:c r="G8" s="10" t="str">
        <x:v>A</x:v>
      </x:c>
      <x:c r="H8" s="22" t="str">
        <x:v>W02</x:v>
      </x:c>
      <x:c r="I8" s="10" t="n">
        <x:v>0.05</x:v>
      </x:c>
      <x:c r="J8" s="10" t="str">
        <x:v>live source</x:v>
      </x:c>
      <x:c r="K8" s="10" t="str">
        <x:v>SAFE STATE AND REPLAY</x:v>
      </x:c>
      <x:c r="L8" s="18" t="n">
        <x:f>IF(C8="cross-site replay",0,I8*'Controls'!$D$8)</x:f>
        <x:v>100</x:v>
      </x:c>
      <x:c r="M8" s="10" t="n">
        <x:v>1</x:v>
      </x:c>
      <x:c r="N8" s="12" t="n">
        <x:v>0</x:v>
      </x:c>
      <x:c r="O8" s="12" t="n">
        <x:v>0</x:v>
      </x:c>
      <x:c r="P8" s="12" t="str"/>
      <x:c r="Q8" s="10" t="str">
        <x:f>IF(AND(M8=1,B8&lt;&gt;"",C8&lt;&gt;"",G8&lt;&gt;"",J8&lt;&gt;"",K8&lt;&gt;""),"PASS","FAIL")</x:f>
        <x:v>PASS</x:v>
      </x:c>
      <x:c r="R8" s="10" t="str">
        <x:f>IF(Q8&lt;&gt;"PASS","FAIL",IF(AND(N8=0,O8=0,P8=""),"OPEN",IF(AND(N8=1,O8&gt;='Controls'!$D$66,P8=K8),"PASS","FAIL")))</x:f>
        <x:v>OPEN</x:v>
      </x:c>
    </x:row>
    <x:row r="9">
      <x:c r="B9" s="10" t="str">
        <x:v>MCR-F-B-A-W03</x:v>
      </x:c>
      <x:c r="C9" s="10" t="str">
        <x:v>inserted fault</x:v>
      </x:c>
      <x:c r="D9" s="10" t="str">
        <x:v>PTC-B</x:v>
      </x:c>
      <x:c r="E9" s="10" t="str">
        <x:v>LN-11</x:v>
      </x:c>
      <x:c r="F9" s="10" t="str">
        <x:v>MC-B1</x:v>
      </x:c>
      <x:c r="G9" s="10" t="str">
        <x:v>A</x:v>
      </x:c>
      <x:c r="H9" s="22" t="str">
        <x:v>W03</x:v>
      </x:c>
      <x:c r="I9" s="10" t="n">
        <x:v>1</x:v>
      </x:c>
      <x:c r="J9" s="10" t="str">
        <x:v>live source</x:v>
      </x:c>
      <x:c r="K9" s="10" t="str">
        <x:v>QUARANTINE</x:v>
      </x:c>
      <x:c r="L9" s="18" t="n">
        <x:f>IF(C9="cross-site replay",0,I9*'Controls'!$D$8)</x:f>
        <x:v>2000</x:v>
      </x:c>
      <x:c r="M9" s="10" t="n">
        <x:v>1</x:v>
      </x:c>
      <x:c r="N9" s="12" t="n">
        <x:v>0</x:v>
      </x:c>
      <x:c r="O9" s="12" t="n">
        <x:v>0</x:v>
      </x:c>
      <x:c r="P9" s="12" t="str"/>
      <x:c r="Q9" s="10" t="str">
        <x:f>IF(AND(M9=1,B9&lt;&gt;"",C9&lt;&gt;"",G9&lt;&gt;"",J9&lt;&gt;"",K9&lt;&gt;""),"PASS","FAIL")</x:f>
        <x:v>PASS</x:v>
      </x:c>
      <x:c r="R9" s="10" t="str">
        <x:f>IF(Q9&lt;&gt;"PASS","FAIL",IF(AND(N9=0,O9=0,P9=""),"OPEN",IF(AND(N9=1,O9&gt;='Controls'!$D$66,P9=K9),"PASS","FAIL")))</x:f>
        <x:v>OPEN</x:v>
      </x:c>
    </x:row>
    <x:row r="10">
      <x:c r="B10" s="10" t="str">
        <x:v>MCR-F-B-A-W04</x:v>
      </x:c>
      <x:c r="C10" s="10" t="str">
        <x:v>inserted fault</x:v>
      </x:c>
      <x:c r="D10" s="10" t="str">
        <x:v>PTC-B</x:v>
      </x:c>
      <x:c r="E10" s="10" t="str">
        <x:v>LN-11</x:v>
      </x:c>
      <x:c r="F10" s="10" t="str">
        <x:v>MC-B1</x:v>
      </x:c>
      <x:c r="G10" s="10" t="str">
        <x:v>A</x:v>
      </x:c>
      <x:c r="H10" s="22" t="str">
        <x:v>W04</x:v>
      </x:c>
      <x:c r="I10" s="10" t="n">
        <x:v>1</x:v>
      </x:c>
      <x:c r="J10" s="10" t="str">
        <x:v>live and inert neighbor</x:v>
      </x:c>
      <x:c r="K10" s="10" t="str">
        <x:v>QUARANTINE</x:v>
      </x:c>
      <x:c r="L10" s="18" t="n">
        <x:f>IF(C10="cross-site replay",0,I10*'Controls'!$D$8)</x:f>
        <x:v>2000</x:v>
      </x:c>
      <x:c r="M10" s="10" t="n">
        <x:v>1</x:v>
      </x:c>
      <x:c r="N10" s="12" t="n">
        <x:v>0</x:v>
      </x:c>
      <x:c r="O10" s="12" t="n">
        <x:v>0</x:v>
      </x:c>
      <x:c r="P10" s="12" t="str"/>
      <x:c r="Q10" s="10" t="str">
        <x:f>IF(AND(M10=1,B10&lt;&gt;"",C10&lt;&gt;"",G10&lt;&gt;"",J10&lt;&gt;"",K10&lt;&gt;""),"PASS","FAIL")</x:f>
        <x:v>PASS</x:v>
      </x:c>
      <x:c r="R10" s="10" t="str">
        <x:f>IF(Q10&lt;&gt;"PASS","FAIL",IF(AND(N10=0,O10=0,P10=""),"OPEN",IF(AND(N10=1,O10&gt;='Controls'!$D$66,P10=K10),"PASS","FAIL")))</x:f>
        <x:v>OPEN</x:v>
      </x:c>
    </x:row>
    <x:row r="11">
      <x:c r="B11" s="10" t="str">
        <x:v>MCR-F-B-A-W05</x:v>
      </x:c>
      <x:c r="C11" s="10" t="str">
        <x:v>inserted fault</x:v>
      </x:c>
      <x:c r="D11" s="10" t="str">
        <x:v>PTC-B</x:v>
      </x:c>
      <x:c r="E11" s="10" t="str">
        <x:v>LN-11</x:v>
      </x:c>
      <x:c r="F11" s="10" t="str">
        <x:v>MC-B1</x:v>
      </x:c>
      <x:c r="G11" s="10" t="str">
        <x:v>A</x:v>
      </x:c>
      <x:c r="H11" s="22" t="str">
        <x:v>W05</x:v>
      </x:c>
      <x:c r="I11" s="10" t="n">
        <x:v>0.1</x:v>
      </x:c>
      <x:c r="J11" s="10" t="str">
        <x:v>live source</x:v>
      </x:c>
      <x:c r="K11" s="10" t="str">
        <x:v>QUARANTINE</x:v>
      </x:c>
      <x:c r="L11" s="18" t="n">
        <x:f>IF(C11="cross-site replay",0,I11*'Controls'!$D$8)</x:f>
        <x:v>200</x:v>
      </x:c>
      <x:c r="M11" s="10" t="n">
        <x:v>1</x:v>
      </x:c>
      <x:c r="N11" s="12" t="n">
        <x:v>0</x:v>
      </x:c>
      <x:c r="O11" s="12" t="n">
        <x:v>0</x:v>
      </x:c>
      <x:c r="P11" s="12" t="str"/>
      <x:c r="Q11" s="10" t="str">
        <x:f>IF(AND(M11=1,B11&lt;&gt;"",C11&lt;&gt;"",G11&lt;&gt;"",J11&lt;&gt;"",K11&lt;&gt;""),"PASS","FAIL")</x:f>
        <x:v>PASS</x:v>
      </x:c>
      <x:c r="R11" s="10" t="str">
        <x:f>IF(Q11&lt;&gt;"PASS","FAIL",IF(AND(N11=0,O11=0,P11=""),"OPEN",IF(AND(N11=1,O11&gt;='Controls'!$D$66,P11=K11),"PASS","FAIL")))</x:f>
        <x:v>OPEN</x:v>
      </x:c>
    </x:row>
    <x:row r="12">
      <x:c r="B12" s="10" t="str">
        <x:v>MCR-F-B-A-W06</x:v>
      </x:c>
      <x:c r="C12" s="10" t="str">
        <x:v>inserted fault</x:v>
      </x:c>
      <x:c r="D12" s="10" t="str">
        <x:v>PTC-B</x:v>
      </x:c>
      <x:c r="E12" s="10" t="str">
        <x:v>LN-11</x:v>
      </x:c>
      <x:c r="F12" s="10" t="str">
        <x:v>MC-B1</x:v>
      </x:c>
      <x:c r="G12" s="10" t="str">
        <x:v>A</x:v>
      </x:c>
      <x:c r="H12" s="22" t="str">
        <x:v>W06</x:v>
      </x:c>
      <x:c r="I12" s="10" t="n">
        <x:v>0.1</x:v>
      </x:c>
      <x:c r="J12" s="10" t="str">
        <x:v>live source</x:v>
      </x:c>
      <x:c r="K12" s="10" t="str">
        <x:v>SAFE STATE</x:v>
      </x:c>
      <x:c r="L12" s="18" t="n">
        <x:f>IF(C12="cross-site replay",0,I12*'Controls'!$D$8)</x:f>
        <x:v>200</x:v>
      </x:c>
      <x:c r="M12" s="10" t="n">
        <x:v>1</x:v>
      </x:c>
      <x:c r="N12" s="12" t="n">
        <x:v>0</x:v>
      </x:c>
      <x:c r="O12" s="12" t="n">
        <x:v>0</x:v>
      </x:c>
      <x:c r="P12" s="12" t="str"/>
      <x:c r="Q12" s="10" t="str">
        <x:f>IF(AND(M12=1,B12&lt;&gt;"",C12&lt;&gt;"",G12&lt;&gt;"",J12&lt;&gt;"",K12&lt;&gt;""),"PASS","FAIL")</x:f>
        <x:v>PASS</x:v>
      </x:c>
      <x:c r="R12" s="10" t="str">
        <x:f>IF(Q12&lt;&gt;"PASS","FAIL",IF(AND(N12=0,O12=0,P12=""),"OPEN",IF(AND(N12=1,O12&gt;='Controls'!$D$66,P12=K12),"PASS","FAIL")))</x:f>
        <x:v>OPEN</x:v>
      </x:c>
    </x:row>
    <x:row r="13">
      <x:c r="B13" s="10" t="str">
        <x:v>MCR-F-B-A-W07</x:v>
      </x:c>
      <x:c r="C13" s="10" t="str">
        <x:v>inserted fault</x:v>
      </x:c>
      <x:c r="D13" s="10" t="str">
        <x:v>PTC-B</x:v>
      </x:c>
      <x:c r="E13" s="10" t="str">
        <x:v>LN-11</x:v>
      </x:c>
      <x:c r="F13" s="10" t="str">
        <x:v>MC-B1</x:v>
      </x:c>
      <x:c r="G13" s="10" t="str">
        <x:v>A</x:v>
      </x:c>
      <x:c r="H13" s="22" t="str">
        <x:v>W07</x:v>
      </x:c>
      <x:c r="I13" s="10" t="n">
        <x:v>0.25</x:v>
      </x:c>
      <x:c r="J13" s="10" t="str">
        <x:v>live source</x:v>
      </x:c>
      <x:c r="K13" s="10" t="str">
        <x:v>QUARANTINE</x:v>
      </x:c>
      <x:c r="L13" s="18" t="n">
        <x:f>IF(C13="cross-site replay",0,I13*'Controls'!$D$8)</x:f>
        <x:v>500</x:v>
      </x:c>
      <x:c r="M13" s="10" t="n">
        <x:v>1</x:v>
      </x:c>
      <x:c r="N13" s="12" t="n">
        <x:v>0</x:v>
      </x:c>
      <x:c r="O13" s="12" t="n">
        <x:v>0</x:v>
      </x:c>
      <x:c r="P13" s="12" t="str"/>
      <x:c r="Q13" s="10" t="str">
        <x:f>IF(AND(M13=1,B13&lt;&gt;"",C13&lt;&gt;"",G13&lt;&gt;"",J13&lt;&gt;"",K13&lt;&gt;""),"PASS","FAIL")</x:f>
        <x:v>PASS</x:v>
      </x:c>
      <x:c r="R13" s="10" t="str">
        <x:f>IF(Q13&lt;&gt;"PASS","FAIL",IF(AND(N13=0,O13=0,P13=""),"OPEN",IF(AND(N13=1,O13&gt;='Controls'!$D$66,P13=K13),"PASS","FAIL")))</x:f>
        <x:v>OPEN</x:v>
      </x:c>
    </x:row>
    <x:row r="14">
      <x:c r="B14" s="10" t="str">
        <x:v>MCR-F-B-A-W08</x:v>
      </x:c>
      <x:c r="C14" s="10" t="str">
        <x:v>inserted fault</x:v>
      </x:c>
      <x:c r="D14" s="10" t="str">
        <x:v>PTC-B</x:v>
      </x:c>
      <x:c r="E14" s="10" t="str">
        <x:v>LN-11</x:v>
      </x:c>
      <x:c r="F14" s="10" t="str">
        <x:v>MC-B1</x:v>
      </x:c>
      <x:c r="G14" s="10" t="str">
        <x:v>A</x:v>
      </x:c>
      <x:c r="H14" s="22" t="str">
        <x:v>W08</x:v>
      </x:c>
      <x:c r="I14" s="10" t="n">
        <x:v>0.05</x:v>
      </x:c>
      <x:c r="J14" s="10" t="str">
        <x:v>live source</x:v>
      </x:c>
      <x:c r="K14" s="10" t="str">
        <x:v>SAFE STATE AND REPLAY</x:v>
      </x:c>
      <x:c r="L14" s="18" t="n">
        <x:f>IF(C14="cross-site replay",0,I14*'Controls'!$D$8)</x:f>
        <x:v>100</x:v>
      </x:c>
      <x:c r="M14" s="10" t="n">
        <x:v>1</x:v>
      </x:c>
      <x:c r="N14" s="12" t="n">
        <x:v>0</x:v>
      </x:c>
      <x:c r="O14" s="12" t="n">
        <x:v>0</x:v>
      </x:c>
      <x:c r="P14" s="12" t="str"/>
      <x:c r="Q14" s="10" t="str">
        <x:f>IF(AND(M14=1,B14&lt;&gt;"",C14&lt;&gt;"",G14&lt;&gt;"",J14&lt;&gt;"",K14&lt;&gt;""),"PASS","FAIL")</x:f>
        <x:v>PASS</x:v>
      </x:c>
      <x:c r="R14" s="10" t="str">
        <x:f>IF(Q14&lt;&gt;"PASS","FAIL",IF(AND(N14=0,O14=0,P14=""),"OPEN",IF(AND(N14=1,O14&gt;='Controls'!$D$66,P14=K14),"PASS","FAIL")))</x:f>
        <x:v>OPEN</x:v>
      </x:c>
    </x:row>
    <x:row r="15">
      <x:c r="B15" s="10" t="str">
        <x:v>MCR-F-B-A-W09</x:v>
      </x:c>
      <x:c r="C15" s="10" t="str">
        <x:v>inserted fault</x:v>
      </x:c>
      <x:c r="D15" s="10" t="str">
        <x:v>PTC-B</x:v>
      </x:c>
      <x:c r="E15" s="10" t="str">
        <x:v>LN-11</x:v>
      </x:c>
      <x:c r="F15" s="10" t="str">
        <x:v>MC-B1</x:v>
      </x:c>
      <x:c r="G15" s="10" t="str">
        <x:v>A</x:v>
      </x:c>
      <x:c r="H15" s="22" t="str">
        <x:v>W09</x:v>
      </x:c>
      <x:c r="I15" s="10" t="n">
        <x:v>1</x:v>
      </x:c>
      <x:c r="J15" s="10" t="str">
        <x:v>live source</x:v>
      </x:c>
      <x:c r="K15" s="10" t="str">
        <x:v>SAFE STATE AND REPLAY</x:v>
      </x:c>
      <x:c r="L15" s="18" t="n">
        <x:f>IF(C15="cross-site replay",0,I15*'Controls'!$D$8)</x:f>
        <x:v>2000</x:v>
      </x:c>
      <x:c r="M15" s="10" t="n">
        <x:v>1</x:v>
      </x:c>
      <x:c r="N15" s="12" t="n">
        <x:v>0</x:v>
      </x:c>
      <x:c r="O15" s="12" t="n">
        <x:v>0</x:v>
      </x:c>
      <x:c r="P15" s="12" t="str"/>
      <x:c r="Q15" s="10" t="str">
        <x:f>IF(AND(M15=1,B15&lt;&gt;"",C15&lt;&gt;"",G15&lt;&gt;"",J15&lt;&gt;"",K15&lt;&gt;""),"PASS","FAIL")</x:f>
        <x:v>PASS</x:v>
      </x:c>
      <x:c r="R15" s="10" t="str">
        <x:f>IF(Q15&lt;&gt;"PASS","FAIL",IF(AND(N15=0,O15=0,P15=""),"OPEN",IF(AND(N15=1,O15&gt;='Controls'!$D$66,P15=K15),"PASS","FAIL")))</x:f>
        <x:v>OPEN</x:v>
      </x:c>
    </x:row>
    <x:row r="16">
      <x:c r="B16" s="10" t="str">
        <x:v>MCR-F-B-A-W10</x:v>
      </x:c>
      <x:c r="C16" s="10" t="str">
        <x:v>inserted fault</x:v>
      </x:c>
      <x:c r="D16" s="10" t="str">
        <x:v>PTC-B</x:v>
      </x:c>
      <x:c r="E16" s="10" t="str">
        <x:v>LN-11</x:v>
      </x:c>
      <x:c r="F16" s="10" t="str">
        <x:v>MC-B1</x:v>
      </x:c>
      <x:c r="G16" s="10" t="str">
        <x:v>A</x:v>
      </x:c>
      <x:c r="H16" s="22" t="str">
        <x:v>W10</x:v>
      </x:c>
      <x:c r="I16" s="10" t="n">
        <x:v>0.1</x:v>
      </x:c>
      <x:c r="J16" s="10" t="str">
        <x:v>live source</x:v>
      </x:c>
      <x:c r="K16" s="10" t="str">
        <x:v>QUARANTINE</x:v>
      </x:c>
      <x:c r="L16" s="18" t="n">
        <x:f>IF(C16="cross-site replay",0,I16*'Controls'!$D$8)</x:f>
        <x:v>200</x:v>
      </x:c>
      <x:c r="M16" s="10" t="n">
        <x:v>1</x:v>
      </x:c>
      <x:c r="N16" s="12" t="n">
        <x:v>0</x:v>
      </x:c>
      <x:c r="O16" s="12" t="n">
        <x:v>0</x:v>
      </x:c>
      <x:c r="P16" s="12" t="str"/>
      <x:c r="Q16" s="10" t="str">
        <x:f>IF(AND(M16=1,B16&lt;&gt;"",C16&lt;&gt;"",G16&lt;&gt;"",J16&lt;&gt;"",K16&lt;&gt;""),"PASS","FAIL")</x:f>
        <x:v>PASS</x:v>
      </x:c>
      <x:c r="R16" s="10" t="str">
        <x:f>IF(Q16&lt;&gt;"PASS","FAIL",IF(AND(N16=0,O16=0,P16=""),"OPEN",IF(AND(N16=1,O16&gt;='Controls'!$D$66,P16=K16),"PASS","FAIL")))</x:f>
        <x:v>OPEN</x:v>
      </x:c>
    </x:row>
    <x:row r="17">
      <x:c r="B17" s="10" t="str">
        <x:v>MCR-F-B-A-W11</x:v>
      </x:c>
      <x:c r="C17" s="10" t="str">
        <x:v>inserted fault</x:v>
      </x:c>
      <x:c r="D17" s="10" t="str">
        <x:v>PTC-B</x:v>
      </x:c>
      <x:c r="E17" s="10" t="str">
        <x:v>LN-11</x:v>
      </x:c>
      <x:c r="F17" s="10" t="str">
        <x:v>MC-B1</x:v>
      </x:c>
      <x:c r="G17" s="10" t="str">
        <x:v>A</x:v>
      </x:c>
      <x:c r="H17" s="22" t="str">
        <x:v>W11</x:v>
      </x:c>
      <x:c r="I17" s="10" t="n">
        <x:v>0.05</x:v>
      </x:c>
      <x:c r="J17" s="10" t="str">
        <x:v>live source</x:v>
      </x:c>
      <x:c r="K17" s="10" t="str">
        <x:v>SAFE STATE AND REPLAY</x:v>
      </x:c>
      <x:c r="L17" s="18" t="n">
        <x:f>IF(C17="cross-site replay",0,I17*'Controls'!$D$8)</x:f>
        <x:v>100</x:v>
      </x:c>
      <x:c r="M17" s="10" t="n">
        <x:v>1</x:v>
      </x:c>
      <x:c r="N17" s="12" t="n">
        <x:v>0</x:v>
      </x:c>
      <x:c r="O17" s="12" t="n">
        <x:v>0</x:v>
      </x:c>
      <x:c r="P17" s="12" t="str"/>
      <x:c r="Q17" s="10" t="str">
        <x:f>IF(AND(M17=1,B17&lt;&gt;"",C17&lt;&gt;"",G17&lt;&gt;"",J17&lt;&gt;"",K17&lt;&gt;""),"PASS","FAIL")</x:f>
        <x:v>PASS</x:v>
      </x:c>
      <x:c r="R17" s="10" t="str">
        <x:f>IF(Q17&lt;&gt;"PASS","FAIL",IF(AND(N17=0,O17=0,P17=""),"OPEN",IF(AND(N17=1,O17&gt;='Controls'!$D$66,P17=K17),"PASS","FAIL")))</x:f>
        <x:v>OPEN</x:v>
      </x:c>
    </x:row>
    <x:row r="18">
      <x:c r="B18" s="10" t="str">
        <x:v>MCR-F-B-A-W12</x:v>
      </x:c>
      <x:c r="C18" s="10" t="str">
        <x:v>inserted fault</x:v>
      </x:c>
      <x:c r="D18" s="10" t="str">
        <x:v>PTC-B</x:v>
      </x:c>
      <x:c r="E18" s="10" t="str">
        <x:v>LN-11</x:v>
      </x:c>
      <x:c r="F18" s="10" t="str">
        <x:v>MC-B1</x:v>
      </x:c>
      <x:c r="G18" s="10" t="str">
        <x:v>A</x:v>
      </x:c>
      <x:c r="H18" s="22" t="str">
        <x:v>W12</x:v>
      </x:c>
      <x:c r="I18" s="10" t="n">
        <x:v>0.05</x:v>
      </x:c>
      <x:c r="J18" s="10" t="str">
        <x:v>live source</x:v>
      </x:c>
      <x:c r="K18" s="10" t="str">
        <x:v>SAFE STATE AND REPLAY</x:v>
      </x:c>
      <x:c r="L18" s="18" t="n">
        <x:f>IF(C18="cross-site replay",0,I18*'Controls'!$D$8)</x:f>
        <x:v>100</x:v>
      </x:c>
      <x:c r="M18" s="10" t="n">
        <x:v>1</x:v>
      </x:c>
      <x:c r="N18" s="12" t="n">
        <x:v>0</x:v>
      </x:c>
      <x:c r="O18" s="12" t="n">
        <x:v>0</x:v>
      </x:c>
      <x:c r="P18" s="12" t="str"/>
      <x:c r="Q18" s="10" t="str">
        <x:f>IF(AND(M18=1,B18&lt;&gt;"",C18&lt;&gt;"",G18&lt;&gt;"",J18&lt;&gt;"",K18&lt;&gt;""),"PASS","FAIL")</x:f>
        <x:v>PASS</x:v>
      </x:c>
      <x:c r="R18" s="10" t="str">
        <x:f>IF(Q18&lt;&gt;"PASS","FAIL",IF(AND(N18=0,O18=0,P18=""),"OPEN",IF(AND(N18=1,O18&gt;='Controls'!$D$66,P18=K18),"PASS","FAIL")))</x:f>
        <x:v>OPEN</x:v>
      </x:c>
    </x:row>
    <x:row r="19">
      <x:c r="B19" s="10" t="str">
        <x:v>MCR-C-B-A-W02</x:v>
      </x:c>
      <x:c r="C19" s="10" t="str">
        <x:v>clean control</x:v>
      </x:c>
      <x:c r="D19" s="10" t="str">
        <x:v>PTC-B</x:v>
      </x:c>
      <x:c r="E19" s="10" t="str">
        <x:v>LN-11</x:v>
      </x:c>
      <x:c r="F19" s="10" t="str">
        <x:v>MC-B1</x:v>
      </x:c>
      <x:c r="G19" s="10" t="str">
        <x:v>A</x:v>
      </x:c>
      <x:c r="H19" s="22" t="str">
        <x:v>W02</x:v>
      </x:c>
      <x:c r="I19" s="10" t="n">
        <x:v>0.05</x:v>
      </x:c>
      <x:c r="J19" s="10" t="str">
        <x:v>live source</x:v>
      </x:c>
      <x:c r="K19" s="10" t="str">
        <x:v>PASS</x:v>
      </x:c>
      <x:c r="L19" s="18" t="n">
        <x:f>IF(C19="cross-site replay",0,I19*'Controls'!$D$8)</x:f>
        <x:v>100</x:v>
      </x:c>
      <x:c r="M19" s="10" t="n">
        <x:v>1</x:v>
      </x:c>
      <x:c r="N19" s="12" t="n">
        <x:v>0</x:v>
      </x:c>
      <x:c r="O19" s="12" t="n">
        <x:v>0</x:v>
      </x:c>
      <x:c r="P19" s="12" t="str"/>
      <x:c r="Q19" s="10" t="str">
        <x:f>IF(AND(M19=1,B19&lt;&gt;"",C19&lt;&gt;"",G19&lt;&gt;"",J19&lt;&gt;"",K19&lt;&gt;""),"PASS","FAIL")</x:f>
        <x:v>PASS</x:v>
      </x:c>
      <x:c r="R19" s="10" t="str">
        <x:f>IF(Q19&lt;&gt;"PASS","FAIL",IF(AND(N19=0,O19=0,P19=""),"OPEN",IF(AND(N19=1,O19&gt;='Controls'!$D$66,P19=K19),"PASS","FAIL")))</x:f>
        <x:v>OPEN</x:v>
      </x:c>
    </x:row>
    <x:row r="20">
      <x:c r="B20" s="10" t="str">
        <x:v>MCR-C-B-A-W03</x:v>
      </x:c>
      <x:c r="C20" s="10" t="str">
        <x:v>clean control</x:v>
      </x:c>
      <x:c r="D20" s="10" t="str">
        <x:v>PTC-B</x:v>
      </x:c>
      <x:c r="E20" s="10" t="str">
        <x:v>LN-11</x:v>
      </x:c>
      <x:c r="F20" s="10" t="str">
        <x:v>MC-B1</x:v>
      </x:c>
      <x:c r="G20" s="10" t="str">
        <x:v>A</x:v>
      </x:c>
      <x:c r="H20" s="22" t="str">
        <x:v>W03</x:v>
      </x:c>
      <x:c r="I20" s="10" t="n">
        <x:v>1</x:v>
      </x:c>
      <x:c r="J20" s="10" t="str">
        <x:v>live source</x:v>
      </x:c>
      <x:c r="K20" s="10" t="str">
        <x:v>PASS</x:v>
      </x:c>
      <x:c r="L20" s="18" t="n">
        <x:f>IF(C20="cross-site replay",0,I20*'Controls'!$D$8)</x:f>
        <x:v>2000</x:v>
      </x:c>
      <x:c r="M20" s="10" t="n">
        <x:v>1</x:v>
      </x:c>
      <x:c r="N20" s="12" t="n">
        <x:v>0</x:v>
      </x:c>
      <x:c r="O20" s="12" t="n">
        <x:v>0</x:v>
      </x:c>
      <x:c r="P20" s="12" t="str"/>
      <x:c r="Q20" s="10" t="str">
        <x:f>IF(AND(M20=1,B20&lt;&gt;"",C20&lt;&gt;"",G20&lt;&gt;"",J20&lt;&gt;"",K20&lt;&gt;""),"PASS","FAIL")</x:f>
        <x:v>PASS</x:v>
      </x:c>
      <x:c r="R20" s="10" t="str">
        <x:f>IF(Q20&lt;&gt;"PASS","FAIL",IF(AND(N20=0,O20=0,P20=""),"OPEN",IF(AND(N20=1,O20&gt;='Controls'!$D$66,P20=K20),"PASS","FAIL")))</x:f>
        <x:v>OPEN</x:v>
      </x:c>
    </x:row>
    <x:row r="21">
      <x:c r="B21" s="10" t="str">
        <x:v>MCR-C-B-A-W06</x:v>
      </x:c>
      <x:c r="C21" s="10" t="str">
        <x:v>clean control</x:v>
      </x:c>
      <x:c r="D21" s="10" t="str">
        <x:v>PTC-B</x:v>
      </x:c>
      <x:c r="E21" s="10" t="str">
        <x:v>LN-11</x:v>
      </x:c>
      <x:c r="F21" s="10" t="str">
        <x:v>MC-B1</x:v>
      </x:c>
      <x:c r="G21" s="10" t="str">
        <x:v>A</x:v>
      </x:c>
      <x:c r="H21" s="22" t="str">
        <x:v>W06</x:v>
      </x:c>
      <x:c r="I21" s="10" t="n">
        <x:v>0.1</x:v>
      </x:c>
      <x:c r="J21" s="10" t="str">
        <x:v>live source</x:v>
      </x:c>
      <x:c r="K21" s="10" t="str">
        <x:v>PASS</x:v>
      </x:c>
      <x:c r="L21" s="18" t="n">
        <x:f>IF(C21="cross-site replay",0,I21*'Controls'!$D$8)</x:f>
        <x:v>200</x:v>
      </x:c>
      <x:c r="M21" s="10" t="n">
        <x:v>1</x:v>
      </x:c>
      <x:c r="N21" s="12" t="n">
        <x:v>0</x:v>
      </x:c>
      <x:c r="O21" s="12" t="n">
        <x:v>0</x:v>
      </x:c>
      <x:c r="P21" s="12" t="str"/>
      <x:c r="Q21" s="10" t="str">
        <x:f>IF(AND(M21=1,B21&lt;&gt;"",C21&lt;&gt;"",G21&lt;&gt;"",J21&lt;&gt;"",K21&lt;&gt;""),"PASS","FAIL")</x:f>
        <x:v>PASS</x:v>
      </x:c>
      <x:c r="R21" s="10" t="str">
        <x:f>IF(Q21&lt;&gt;"PASS","FAIL",IF(AND(N21=0,O21=0,P21=""),"OPEN",IF(AND(N21=1,O21&gt;='Controls'!$D$66,P21=K21),"PASS","FAIL")))</x:f>
        <x:v>OPEN</x:v>
      </x:c>
    </x:row>
    <x:row r="22">
      <x:c r="B22" s="10" t="str">
        <x:v>MCR-C-B-A-W07</x:v>
      </x:c>
      <x:c r="C22" s="10" t="str">
        <x:v>clean control</x:v>
      </x:c>
      <x:c r="D22" s="10" t="str">
        <x:v>PTC-B</x:v>
      </x:c>
      <x:c r="E22" s="10" t="str">
        <x:v>LN-11</x:v>
      </x:c>
      <x:c r="F22" s="10" t="str">
        <x:v>MC-B1</x:v>
      </x:c>
      <x:c r="G22" s="10" t="str">
        <x:v>A</x:v>
      </x:c>
      <x:c r="H22" s="22" t="str">
        <x:v>W07</x:v>
      </x:c>
      <x:c r="I22" s="10" t="n">
        <x:v>0.25</x:v>
      </x:c>
      <x:c r="J22" s="10" t="str">
        <x:v>live source</x:v>
      </x:c>
      <x:c r="K22" s="10" t="str">
        <x:v>PASS</x:v>
      </x:c>
      <x:c r="L22" s="18" t="n">
        <x:f>IF(C22="cross-site replay",0,I22*'Controls'!$D$8)</x:f>
        <x:v>500</x:v>
      </x:c>
      <x:c r="M22" s="10" t="n">
        <x:v>1</x:v>
      </x:c>
      <x:c r="N22" s="12" t="n">
        <x:v>0</x:v>
      </x:c>
      <x:c r="O22" s="12" t="n">
        <x:v>0</x:v>
      </x:c>
      <x:c r="P22" s="12" t="str"/>
      <x:c r="Q22" s="10" t="str">
        <x:f>IF(AND(M22=1,B22&lt;&gt;"",C22&lt;&gt;"",G22&lt;&gt;"",J22&lt;&gt;"",K22&lt;&gt;""),"PASS","FAIL")</x:f>
        <x:v>PASS</x:v>
      </x:c>
      <x:c r="R22" s="10" t="str">
        <x:f>IF(Q22&lt;&gt;"PASS","FAIL",IF(AND(N22=0,O22=0,P22=""),"OPEN",IF(AND(N22=1,O22&gt;='Controls'!$D$66,P22=K22),"PASS","FAIL")))</x:f>
        <x:v>OPEN</x:v>
      </x:c>
    </x:row>
    <x:row r="23">
      <x:c r="B23" s="10" t="str">
        <x:v>MCR-C-B-A-W08</x:v>
      </x:c>
      <x:c r="C23" s="10" t="str">
        <x:v>clean control</x:v>
      </x:c>
      <x:c r="D23" s="10" t="str">
        <x:v>PTC-B</x:v>
      </x:c>
      <x:c r="E23" s="10" t="str">
        <x:v>LN-11</x:v>
      </x:c>
      <x:c r="F23" s="10" t="str">
        <x:v>MC-B1</x:v>
      </x:c>
      <x:c r="G23" s="10" t="str">
        <x:v>A</x:v>
      </x:c>
      <x:c r="H23" s="22" t="str">
        <x:v>W08</x:v>
      </x:c>
      <x:c r="I23" s="10" t="n">
        <x:v>0.05</x:v>
      </x:c>
      <x:c r="J23" s="10" t="str">
        <x:v>live source</x:v>
      </x:c>
      <x:c r="K23" s="10" t="str">
        <x:v>PASS</x:v>
      </x:c>
      <x:c r="L23" s="18" t="n">
        <x:f>IF(C23="cross-site replay",0,I23*'Controls'!$D$8)</x:f>
        <x:v>100</x:v>
      </x:c>
      <x:c r="M23" s="10" t="n">
        <x:v>1</x:v>
      </x:c>
      <x:c r="N23" s="12" t="n">
        <x:v>0</x:v>
      </x:c>
      <x:c r="O23" s="12" t="n">
        <x:v>0</x:v>
      </x:c>
      <x:c r="P23" s="12" t="str"/>
      <x:c r="Q23" s="10" t="str">
        <x:f>IF(AND(M23=1,B23&lt;&gt;"",C23&lt;&gt;"",G23&lt;&gt;"",J23&lt;&gt;"",K23&lt;&gt;""),"PASS","FAIL")</x:f>
        <x:v>PASS</x:v>
      </x:c>
      <x:c r="R23" s="10" t="str">
        <x:f>IF(Q23&lt;&gt;"PASS","FAIL",IF(AND(N23=0,O23=0,P23=""),"OPEN",IF(AND(N23=1,O23&gt;='Controls'!$D$66,P23=K23),"PASS","FAIL")))</x:f>
        <x:v>OPEN</x:v>
      </x:c>
    </x:row>
    <x:row r="24">
      <x:c r="B24" s="10" t="str">
        <x:v>MCR-C-B-A-W09</x:v>
      </x:c>
      <x:c r="C24" s="10" t="str">
        <x:v>clean control</x:v>
      </x:c>
      <x:c r="D24" s="10" t="str">
        <x:v>PTC-B</x:v>
      </x:c>
      <x:c r="E24" s="10" t="str">
        <x:v>LN-11</x:v>
      </x:c>
      <x:c r="F24" s="10" t="str">
        <x:v>MC-B1</x:v>
      </x:c>
      <x:c r="G24" s="10" t="str">
        <x:v>A</x:v>
      </x:c>
      <x:c r="H24" s="22" t="str">
        <x:v>W09</x:v>
      </x:c>
      <x:c r="I24" s="10" t="n">
        <x:v>1</x:v>
      </x:c>
      <x:c r="J24" s="10" t="str">
        <x:v>live source</x:v>
      </x:c>
      <x:c r="K24" s="10" t="str">
        <x:v>PASS</x:v>
      </x:c>
      <x:c r="L24" s="18" t="n">
        <x:f>IF(C24="cross-site replay",0,I24*'Controls'!$D$8)</x:f>
        <x:v>2000</x:v>
      </x:c>
      <x:c r="M24" s="10" t="n">
        <x:v>1</x:v>
      </x:c>
      <x:c r="N24" s="12" t="n">
        <x:v>0</x:v>
      </x:c>
      <x:c r="O24" s="12" t="n">
        <x:v>0</x:v>
      </x:c>
      <x:c r="P24" s="12" t="str"/>
      <x:c r="Q24" s="10" t="str">
        <x:f>IF(AND(M24=1,B24&lt;&gt;"",C24&lt;&gt;"",G24&lt;&gt;"",J24&lt;&gt;"",K24&lt;&gt;""),"PASS","FAIL")</x:f>
        <x:v>PASS</x:v>
      </x:c>
      <x:c r="R24" s="10" t="str">
        <x:f>IF(Q24&lt;&gt;"PASS","FAIL",IF(AND(N24=0,O24=0,P24=""),"OPEN",IF(AND(N24=1,O24&gt;='Controls'!$D$66,P24=K24),"PASS","FAIL")))</x:f>
        <x:v>OPEN</x:v>
      </x:c>
    </x:row>
    <x:row r="25">
      <x:c r="B25" s="10" t="str">
        <x:v>MCR-R-B-A-1</x:v>
      </x:c>
      <x:c r="C25" s="10" t="str">
        <x:v>cross-site replay</x:v>
      </x:c>
      <x:c r="D25" s="10" t="str">
        <x:v>PTC-B</x:v>
      </x:c>
      <x:c r="E25" s="10" t="str">
        <x:v>LN-11</x:v>
      </x:c>
      <x:c r="F25" s="10" t="str">
        <x:v>MC-B1</x:v>
      </x:c>
      <x:c r="G25" s="10" t="str">
        <x:v>A</x:v>
      </x:c>
      <x:c r="H25" s="22" t="str">
        <x:v>R01</x:v>
      </x:c>
      <x:c r="I25" s="10" t="n">
        <x:v>0</x:v>
      </x:c>
      <x:c r="J25" s="10" t="str">
        <x:v>sealed packet</x:v>
      </x:c>
      <x:c r="K25" s="10" t="str">
        <x:v>MATCH</x:v>
      </x:c>
      <x:c r="L25" s="18" t="n">
        <x:f>IF(C25="cross-site replay",0,I25*'Controls'!$D$8)</x:f>
        <x:v>0</x:v>
      </x:c>
      <x:c r="M25" s="10" t="n">
        <x:v>1</x:v>
      </x:c>
      <x:c r="N25" s="12" t="n">
        <x:v>0</x:v>
      </x:c>
      <x:c r="O25" s="12" t="n">
        <x:v>0</x:v>
      </x:c>
      <x:c r="P25" s="12" t="str"/>
      <x:c r="Q25" s="10" t="str">
        <x:f>IF(AND(M25=1,B25&lt;&gt;"",C25&lt;&gt;"",G25&lt;&gt;"",J25&lt;&gt;"",K25&lt;&gt;""),"PASS","FAIL")</x:f>
        <x:v>PASS</x:v>
      </x:c>
      <x:c r="R25" s="10" t="str">
        <x:f>IF(Q25&lt;&gt;"PASS","FAIL",IF(AND(N25=0,O25=0,P25=""),"OPEN",IF(AND(N25=1,O25&gt;='Controls'!$D$66,P25=K25),"PASS","FAIL")))</x:f>
        <x:v>OPEN</x:v>
      </x:c>
    </x:row>
    <x:row r="26">
      <x:c r="B26" s="10" t="str">
        <x:v>MCR-R-B-A-2</x:v>
      </x:c>
      <x:c r="C26" s="10" t="str">
        <x:v>cross-site replay</x:v>
      </x:c>
      <x:c r="D26" s="10" t="str">
        <x:v>PTC-B</x:v>
      </x:c>
      <x:c r="E26" s="10" t="str">
        <x:v>LN-11</x:v>
      </x:c>
      <x:c r="F26" s="10" t="str">
        <x:v>MC-B1</x:v>
      </x:c>
      <x:c r="G26" s="10" t="str">
        <x:v>A</x:v>
      </x:c>
      <x:c r="H26" s="22" t="str">
        <x:v>R02</x:v>
      </x:c>
      <x:c r="I26" s="10" t="n">
        <x:v>0</x:v>
      </x:c>
      <x:c r="J26" s="10" t="str">
        <x:v>sealed packet</x:v>
      </x:c>
      <x:c r="K26" s="10" t="str">
        <x:v>MATCH</x:v>
      </x:c>
      <x:c r="L26" s="18" t="n">
        <x:f>IF(C26="cross-site replay",0,I26*'Controls'!$D$8)</x:f>
        <x:v>0</x:v>
      </x:c>
      <x:c r="M26" s="10" t="n">
        <x:v>1</x:v>
      </x:c>
      <x:c r="N26" s="12" t="n">
        <x:v>0</x:v>
      </x:c>
      <x:c r="O26" s="12" t="n">
        <x:v>0</x:v>
      </x:c>
      <x:c r="P26" s="12" t="str"/>
      <x:c r="Q26" s="10" t="str">
        <x:f>IF(AND(M26=1,B26&lt;&gt;"",C26&lt;&gt;"",G26&lt;&gt;"",J26&lt;&gt;"",K26&lt;&gt;""),"PASS","FAIL")</x:f>
        <x:v>PASS</x:v>
      </x:c>
      <x:c r="R26" s="10" t="str">
        <x:f>IF(Q26&lt;&gt;"PASS","FAIL",IF(AND(N26=0,O26=0,P26=""),"OPEN",IF(AND(N26=1,O26&gt;='Controls'!$D$66,P26=K26),"PASS","FAIL")))</x:f>
        <x:v>OPEN</x:v>
      </x:c>
    </x:row>
    <x:row r="27">
      <x:c r="B27" s="10" t="str">
        <x:v>MCR-F-B-B-W01</x:v>
      </x:c>
      <x:c r="C27" s="10" t="str">
        <x:v>inserted fault</x:v>
      </x:c>
      <x:c r="D27" s="10" t="str">
        <x:v>PTC-B</x:v>
      </x:c>
      <x:c r="E27" s="10" t="str">
        <x:v>LN-11</x:v>
      </x:c>
      <x:c r="F27" s="10" t="str">
        <x:v>MC-B1</x:v>
      </x:c>
      <x:c r="G27" s="10" t="str">
        <x:v>B</x:v>
      </x:c>
      <x:c r="H27" s="22" t="str">
        <x:v>W01</x:v>
      </x:c>
      <x:c r="I27" s="10" t="n">
        <x:v>0.01</x:v>
      </x:c>
      <x:c r="J27" s="10" t="str">
        <x:v>live source</x:v>
      </x:c>
      <x:c r="K27" s="10" t="str">
        <x:v>SAFE STATE</x:v>
      </x:c>
      <x:c r="L27" s="18" t="n">
        <x:f>IF(C27="cross-site replay",0,I27*'Controls'!$D$8)</x:f>
        <x:v>20</x:v>
      </x:c>
      <x:c r="M27" s="10" t="n">
        <x:v>1</x:v>
      </x:c>
      <x:c r="N27" s="12" t="n">
        <x:v>0</x:v>
      </x:c>
      <x:c r="O27" s="12" t="n">
        <x:v>0</x:v>
      </x:c>
      <x:c r="P27" s="12" t="str"/>
      <x:c r="Q27" s="10" t="str">
        <x:f>IF(AND(M27=1,B27&lt;&gt;"",C27&lt;&gt;"",G27&lt;&gt;"",J27&lt;&gt;"",K27&lt;&gt;""),"PASS","FAIL")</x:f>
        <x:v>PASS</x:v>
      </x:c>
      <x:c r="R27" s="10" t="str">
        <x:f>IF(Q27&lt;&gt;"PASS","FAIL",IF(AND(N27=0,O27=0,P27=""),"OPEN",IF(AND(N27=1,O27&gt;='Controls'!$D$66,P27=K27),"PASS","FAIL")))</x:f>
        <x:v>OPEN</x:v>
      </x:c>
    </x:row>
    <x:row r="28">
      <x:c r="B28" s="10" t="str">
        <x:v>MCR-F-B-B-W02</x:v>
      </x:c>
      <x:c r="C28" s="10" t="str">
        <x:v>inserted fault</x:v>
      </x:c>
      <x:c r="D28" s="10" t="str">
        <x:v>PTC-B</x:v>
      </x:c>
      <x:c r="E28" s="10" t="str">
        <x:v>LN-11</x:v>
      </x:c>
      <x:c r="F28" s="10" t="str">
        <x:v>MC-B1</x:v>
      </x:c>
      <x:c r="G28" s="10" t="str">
        <x:v>B</x:v>
      </x:c>
      <x:c r="H28" s="22" t="str">
        <x:v>W02</x:v>
      </x:c>
      <x:c r="I28" s="10" t="n">
        <x:v>0.05</x:v>
      </x:c>
      <x:c r="J28" s="10" t="str">
        <x:v>live source</x:v>
      </x:c>
      <x:c r="K28" s="10" t="str">
        <x:v>SAFE STATE AND REPLAY</x:v>
      </x:c>
      <x:c r="L28" s="18" t="n">
        <x:f>IF(C28="cross-site replay",0,I28*'Controls'!$D$8)</x:f>
        <x:v>100</x:v>
      </x:c>
      <x:c r="M28" s="10" t="n">
        <x:v>1</x:v>
      </x:c>
      <x:c r="N28" s="12" t="n">
        <x:v>0</x:v>
      </x:c>
      <x:c r="O28" s="12" t="n">
        <x:v>0</x:v>
      </x:c>
      <x:c r="P28" s="12" t="str"/>
      <x:c r="Q28" s="10" t="str">
        <x:f>IF(AND(M28=1,B28&lt;&gt;"",C28&lt;&gt;"",G28&lt;&gt;"",J28&lt;&gt;"",K28&lt;&gt;""),"PASS","FAIL")</x:f>
        <x:v>PASS</x:v>
      </x:c>
      <x:c r="R28" s="10" t="str">
        <x:f>IF(Q28&lt;&gt;"PASS","FAIL",IF(AND(N28=0,O28=0,P28=""),"OPEN",IF(AND(N28=1,O28&gt;='Controls'!$D$66,P28=K28),"PASS","FAIL")))</x:f>
        <x:v>OPEN</x:v>
      </x:c>
    </x:row>
    <x:row r="29">
      <x:c r="B29" s="10" t="str">
        <x:v>MCR-F-B-B-W03</x:v>
      </x:c>
      <x:c r="C29" s="10" t="str">
        <x:v>inserted fault</x:v>
      </x:c>
      <x:c r="D29" s="10" t="str">
        <x:v>PTC-B</x:v>
      </x:c>
      <x:c r="E29" s="10" t="str">
        <x:v>LN-11</x:v>
      </x:c>
      <x:c r="F29" s="10" t="str">
        <x:v>MC-B1</x:v>
      </x:c>
      <x:c r="G29" s="10" t="str">
        <x:v>B</x:v>
      </x:c>
      <x:c r="H29" s="22" t="str">
        <x:v>W03</x:v>
      </x:c>
      <x:c r="I29" s="10" t="n">
        <x:v>1</x:v>
      </x:c>
      <x:c r="J29" s="10" t="str">
        <x:v>live source</x:v>
      </x:c>
      <x:c r="K29" s="10" t="str">
        <x:v>QUARANTINE</x:v>
      </x:c>
      <x:c r="L29" s="18" t="n">
        <x:f>IF(C29="cross-site replay",0,I29*'Controls'!$D$8)</x:f>
        <x:v>2000</x:v>
      </x:c>
      <x:c r="M29" s="10" t="n">
        <x:v>1</x:v>
      </x:c>
      <x:c r="N29" s="12" t="n">
        <x:v>0</x:v>
      </x:c>
      <x:c r="O29" s="12" t="n">
        <x:v>0</x:v>
      </x:c>
      <x:c r="P29" s="12" t="str"/>
      <x:c r="Q29" s="10" t="str">
        <x:f>IF(AND(M29=1,B29&lt;&gt;"",C29&lt;&gt;"",G29&lt;&gt;"",J29&lt;&gt;"",K29&lt;&gt;""),"PASS","FAIL")</x:f>
        <x:v>PASS</x:v>
      </x:c>
      <x:c r="R29" s="10" t="str">
        <x:f>IF(Q29&lt;&gt;"PASS","FAIL",IF(AND(N29=0,O29=0,P29=""),"OPEN",IF(AND(N29=1,O29&gt;='Controls'!$D$66,P29=K29),"PASS","FAIL")))</x:f>
        <x:v>OPEN</x:v>
      </x:c>
    </x:row>
    <x:row r="30">
      <x:c r="B30" s="10" t="str">
        <x:v>MCR-F-B-B-W04</x:v>
      </x:c>
      <x:c r="C30" s="10" t="str">
        <x:v>inserted fault</x:v>
      </x:c>
      <x:c r="D30" s="10" t="str">
        <x:v>PTC-B</x:v>
      </x:c>
      <x:c r="E30" s="10" t="str">
        <x:v>LN-11</x:v>
      </x:c>
      <x:c r="F30" s="10" t="str">
        <x:v>MC-B1</x:v>
      </x:c>
      <x:c r="G30" s="10" t="str">
        <x:v>B</x:v>
      </x:c>
      <x:c r="H30" s="22" t="str">
        <x:v>W04</x:v>
      </x:c>
      <x:c r="I30" s="10" t="n">
        <x:v>1</x:v>
      </x:c>
      <x:c r="J30" s="10" t="str">
        <x:v>live and inert neighbor</x:v>
      </x:c>
      <x:c r="K30" s="10" t="str">
        <x:v>QUARANTINE</x:v>
      </x:c>
      <x:c r="L30" s="18" t="n">
        <x:f>IF(C30="cross-site replay",0,I30*'Controls'!$D$8)</x:f>
        <x:v>2000</x:v>
      </x:c>
      <x:c r="M30" s="10" t="n">
        <x:v>1</x:v>
      </x:c>
      <x:c r="N30" s="12" t="n">
        <x:v>0</x:v>
      </x:c>
      <x:c r="O30" s="12" t="n">
        <x:v>0</x:v>
      </x:c>
      <x:c r="P30" s="12" t="str"/>
      <x:c r="Q30" s="10" t="str">
        <x:f>IF(AND(M30=1,B30&lt;&gt;"",C30&lt;&gt;"",G30&lt;&gt;"",J30&lt;&gt;"",K30&lt;&gt;""),"PASS","FAIL")</x:f>
        <x:v>PASS</x:v>
      </x:c>
      <x:c r="R30" s="10" t="str">
        <x:f>IF(Q30&lt;&gt;"PASS","FAIL",IF(AND(N30=0,O30=0,P30=""),"OPEN",IF(AND(N30=1,O30&gt;='Controls'!$D$66,P30=K30),"PASS","FAIL")))</x:f>
        <x:v>OPEN</x:v>
      </x:c>
    </x:row>
    <x:row r="31">
      <x:c r="B31" s="10" t="str">
        <x:v>MCR-F-B-B-W05</x:v>
      </x:c>
      <x:c r="C31" s="10" t="str">
        <x:v>inserted fault</x:v>
      </x:c>
      <x:c r="D31" s="10" t="str">
        <x:v>PTC-B</x:v>
      </x:c>
      <x:c r="E31" s="10" t="str">
        <x:v>LN-11</x:v>
      </x:c>
      <x:c r="F31" s="10" t="str">
        <x:v>MC-B1</x:v>
      </x:c>
      <x:c r="G31" s="10" t="str">
        <x:v>B</x:v>
      </x:c>
      <x:c r="H31" s="22" t="str">
        <x:v>W05</x:v>
      </x:c>
      <x:c r="I31" s="10" t="n">
        <x:v>0.1</x:v>
      </x:c>
      <x:c r="J31" s="10" t="str">
        <x:v>live source</x:v>
      </x:c>
      <x:c r="K31" s="10" t="str">
        <x:v>QUARANTINE</x:v>
      </x:c>
      <x:c r="L31" s="18" t="n">
        <x:f>IF(C31="cross-site replay",0,I31*'Controls'!$D$8)</x:f>
        <x:v>200</x:v>
      </x:c>
      <x:c r="M31" s="10" t="n">
        <x:v>1</x:v>
      </x:c>
      <x:c r="N31" s="12" t="n">
        <x:v>0</x:v>
      </x:c>
      <x:c r="O31" s="12" t="n">
        <x:v>0</x:v>
      </x:c>
      <x:c r="P31" s="12" t="str"/>
      <x:c r="Q31" s="10" t="str">
        <x:f>IF(AND(M31=1,B31&lt;&gt;"",C31&lt;&gt;"",G31&lt;&gt;"",J31&lt;&gt;"",K31&lt;&gt;""),"PASS","FAIL")</x:f>
        <x:v>PASS</x:v>
      </x:c>
      <x:c r="R31" s="10" t="str">
        <x:f>IF(Q31&lt;&gt;"PASS","FAIL",IF(AND(N31=0,O31=0,P31=""),"OPEN",IF(AND(N31=1,O31&gt;='Controls'!$D$66,P31=K31),"PASS","FAIL")))</x:f>
        <x:v>OPEN</x:v>
      </x:c>
    </x:row>
    <x:row r="32">
      <x:c r="B32" s="10" t="str">
        <x:v>MCR-F-B-B-W06</x:v>
      </x:c>
      <x:c r="C32" s="10" t="str">
        <x:v>inserted fault</x:v>
      </x:c>
      <x:c r="D32" s="10" t="str">
        <x:v>PTC-B</x:v>
      </x:c>
      <x:c r="E32" s="10" t="str">
        <x:v>LN-11</x:v>
      </x:c>
      <x:c r="F32" s="10" t="str">
        <x:v>MC-B1</x:v>
      </x:c>
      <x:c r="G32" s="10" t="str">
        <x:v>B</x:v>
      </x:c>
      <x:c r="H32" s="22" t="str">
        <x:v>W06</x:v>
      </x:c>
      <x:c r="I32" s="10" t="n">
        <x:v>0.1</x:v>
      </x:c>
      <x:c r="J32" s="10" t="str">
        <x:v>live source</x:v>
      </x:c>
      <x:c r="K32" s="10" t="str">
        <x:v>SAFE STATE</x:v>
      </x:c>
      <x:c r="L32" s="18" t="n">
        <x:f>IF(C32="cross-site replay",0,I32*'Controls'!$D$8)</x:f>
        <x:v>200</x:v>
      </x:c>
      <x:c r="M32" s="10" t="n">
        <x:v>1</x:v>
      </x:c>
      <x:c r="N32" s="12" t="n">
        <x:v>0</x:v>
      </x:c>
      <x:c r="O32" s="12" t="n">
        <x:v>0</x:v>
      </x:c>
      <x:c r="P32" s="12" t="str"/>
      <x:c r="Q32" s="10" t="str">
        <x:f>IF(AND(M32=1,B32&lt;&gt;"",C32&lt;&gt;"",G32&lt;&gt;"",J32&lt;&gt;"",K32&lt;&gt;""),"PASS","FAIL")</x:f>
        <x:v>PASS</x:v>
      </x:c>
      <x:c r="R32" s="10" t="str">
        <x:f>IF(Q32&lt;&gt;"PASS","FAIL",IF(AND(N32=0,O32=0,P32=""),"OPEN",IF(AND(N32=1,O32&gt;='Controls'!$D$66,P32=K32),"PASS","FAIL")))</x:f>
        <x:v>OPEN</x:v>
      </x:c>
    </x:row>
    <x:row r="33">
      <x:c r="B33" s="10" t="str">
        <x:v>MCR-F-B-B-W07</x:v>
      </x:c>
      <x:c r="C33" s="10" t="str">
        <x:v>inserted fault</x:v>
      </x:c>
      <x:c r="D33" s="10" t="str">
        <x:v>PTC-B</x:v>
      </x:c>
      <x:c r="E33" s="10" t="str">
        <x:v>LN-11</x:v>
      </x:c>
      <x:c r="F33" s="10" t="str">
        <x:v>MC-B1</x:v>
      </x:c>
      <x:c r="G33" s="10" t="str">
        <x:v>B</x:v>
      </x:c>
      <x:c r="H33" s="22" t="str">
        <x:v>W07</x:v>
      </x:c>
      <x:c r="I33" s="10" t="n">
        <x:v>0.25</x:v>
      </x:c>
      <x:c r="J33" s="10" t="str">
        <x:v>live source</x:v>
      </x:c>
      <x:c r="K33" s="10" t="str">
        <x:v>QUARANTINE</x:v>
      </x:c>
      <x:c r="L33" s="18" t="n">
        <x:f>IF(C33="cross-site replay",0,I33*'Controls'!$D$8)</x:f>
        <x:v>500</x:v>
      </x:c>
      <x:c r="M33" s="10" t="n">
        <x:v>1</x:v>
      </x:c>
      <x:c r="N33" s="12" t="n">
        <x:v>0</x:v>
      </x:c>
      <x:c r="O33" s="12" t="n">
        <x:v>0</x:v>
      </x:c>
      <x:c r="P33" s="12" t="str"/>
      <x:c r="Q33" s="10" t="str">
        <x:f>IF(AND(M33=1,B33&lt;&gt;"",C33&lt;&gt;"",G33&lt;&gt;"",J33&lt;&gt;"",K33&lt;&gt;""),"PASS","FAIL")</x:f>
        <x:v>PASS</x:v>
      </x:c>
      <x:c r="R33" s="10" t="str">
        <x:f>IF(Q33&lt;&gt;"PASS","FAIL",IF(AND(N33=0,O33=0,P33=""),"OPEN",IF(AND(N33=1,O33&gt;='Controls'!$D$66,P33=K33),"PASS","FAIL")))</x:f>
        <x:v>OPEN</x:v>
      </x:c>
    </x:row>
    <x:row r="34">
      <x:c r="B34" s="10" t="str">
        <x:v>MCR-F-B-B-W08</x:v>
      </x:c>
      <x:c r="C34" s="10" t="str">
        <x:v>inserted fault</x:v>
      </x:c>
      <x:c r="D34" s="10" t="str">
        <x:v>PTC-B</x:v>
      </x:c>
      <x:c r="E34" s="10" t="str">
        <x:v>LN-11</x:v>
      </x:c>
      <x:c r="F34" s="10" t="str">
        <x:v>MC-B1</x:v>
      </x:c>
      <x:c r="G34" s="10" t="str">
        <x:v>B</x:v>
      </x:c>
      <x:c r="H34" s="22" t="str">
        <x:v>W08</x:v>
      </x:c>
      <x:c r="I34" s="10" t="n">
        <x:v>0.05</x:v>
      </x:c>
      <x:c r="J34" s="10" t="str">
        <x:v>live source</x:v>
      </x:c>
      <x:c r="K34" s="10" t="str">
        <x:v>SAFE STATE AND REPLAY</x:v>
      </x:c>
      <x:c r="L34" s="18" t="n">
        <x:f>IF(C34="cross-site replay",0,I34*'Controls'!$D$8)</x:f>
        <x:v>100</x:v>
      </x:c>
      <x:c r="M34" s="10" t="n">
        <x:v>1</x:v>
      </x:c>
      <x:c r="N34" s="12" t="n">
        <x:v>0</x:v>
      </x:c>
      <x:c r="O34" s="12" t="n">
        <x:v>0</x:v>
      </x:c>
      <x:c r="P34" s="12" t="str"/>
      <x:c r="Q34" s="10" t="str">
        <x:f>IF(AND(M34=1,B34&lt;&gt;"",C34&lt;&gt;"",G34&lt;&gt;"",J34&lt;&gt;"",K34&lt;&gt;""),"PASS","FAIL")</x:f>
        <x:v>PASS</x:v>
      </x:c>
      <x:c r="R34" s="10" t="str">
        <x:f>IF(Q34&lt;&gt;"PASS","FAIL",IF(AND(N34=0,O34=0,P34=""),"OPEN",IF(AND(N34=1,O34&gt;='Controls'!$D$66,P34=K34),"PASS","FAIL")))</x:f>
        <x:v>OPEN</x:v>
      </x:c>
    </x:row>
    <x:row r="35">
      <x:c r="B35" s="10" t="str">
        <x:v>MCR-F-B-B-W09</x:v>
      </x:c>
      <x:c r="C35" s="10" t="str">
        <x:v>inserted fault</x:v>
      </x:c>
      <x:c r="D35" s="10" t="str">
        <x:v>PTC-B</x:v>
      </x:c>
      <x:c r="E35" s="10" t="str">
        <x:v>LN-11</x:v>
      </x:c>
      <x:c r="F35" s="10" t="str">
        <x:v>MC-B1</x:v>
      </x:c>
      <x:c r="G35" s="10" t="str">
        <x:v>B</x:v>
      </x:c>
      <x:c r="H35" s="22" t="str">
        <x:v>W09</x:v>
      </x:c>
      <x:c r="I35" s="10" t="n">
        <x:v>1</x:v>
      </x:c>
      <x:c r="J35" s="10" t="str">
        <x:v>live source</x:v>
      </x:c>
      <x:c r="K35" s="10" t="str">
        <x:v>SAFE STATE AND REPLAY</x:v>
      </x:c>
      <x:c r="L35" s="18" t="n">
        <x:f>IF(C35="cross-site replay",0,I35*'Controls'!$D$8)</x:f>
        <x:v>2000</x:v>
      </x:c>
      <x:c r="M35" s="10" t="n">
        <x:v>1</x:v>
      </x:c>
      <x:c r="N35" s="12" t="n">
        <x:v>0</x:v>
      </x:c>
      <x:c r="O35" s="12" t="n">
        <x:v>0</x:v>
      </x:c>
      <x:c r="P35" s="12" t="str"/>
      <x:c r="Q35" s="10" t="str">
        <x:f>IF(AND(M35=1,B35&lt;&gt;"",C35&lt;&gt;"",G35&lt;&gt;"",J35&lt;&gt;"",K35&lt;&gt;""),"PASS","FAIL")</x:f>
        <x:v>PASS</x:v>
      </x:c>
      <x:c r="R35" s="10" t="str">
        <x:f>IF(Q35&lt;&gt;"PASS","FAIL",IF(AND(N35=0,O35=0,P35=""),"OPEN",IF(AND(N35=1,O35&gt;='Controls'!$D$66,P35=K35),"PASS","FAIL")))</x:f>
        <x:v>OPEN</x:v>
      </x:c>
    </x:row>
    <x:row r="36">
      <x:c r="B36" s="10" t="str">
        <x:v>MCR-F-B-B-W10</x:v>
      </x:c>
      <x:c r="C36" s="10" t="str">
        <x:v>inserted fault</x:v>
      </x:c>
      <x:c r="D36" s="10" t="str">
        <x:v>PTC-B</x:v>
      </x:c>
      <x:c r="E36" s="10" t="str">
        <x:v>LN-11</x:v>
      </x:c>
      <x:c r="F36" s="10" t="str">
        <x:v>MC-B1</x:v>
      </x:c>
      <x:c r="G36" s="10" t="str">
        <x:v>B</x:v>
      </x:c>
      <x:c r="H36" s="22" t="str">
        <x:v>W10</x:v>
      </x:c>
      <x:c r="I36" s="10" t="n">
        <x:v>0.1</x:v>
      </x:c>
      <x:c r="J36" s="10" t="str">
        <x:v>live source</x:v>
      </x:c>
      <x:c r="K36" s="10" t="str">
        <x:v>QUARANTINE</x:v>
      </x:c>
      <x:c r="L36" s="18" t="n">
        <x:f>IF(C36="cross-site replay",0,I36*'Controls'!$D$8)</x:f>
        <x:v>200</x:v>
      </x:c>
      <x:c r="M36" s="10" t="n">
        <x:v>1</x:v>
      </x:c>
      <x:c r="N36" s="12" t="n">
        <x:v>0</x:v>
      </x:c>
      <x:c r="O36" s="12" t="n">
        <x:v>0</x:v>
      </x:c>
      <x:c r="P36" s="12" t="str"/>
      <x:c r="Q36" s="10" t="str">
        <x:f>IF(AND(M36=1,B36&lt;&gt;"",C36&lt;&gt;"",G36&lt;&gt;"",J36&lt;&gt;"",K36&lt;&gt;""),"PASS","FAIL")</x:f>
        <x:v>PASS</x:v>
      </x:c>
      <x:c r="R36" s="10" t="str">
        <x:f>IF(Q36&lt;&gt;"PASS","FAIL",IF(AND(N36=0,O36=0,P36=""),"OPEN",IF(AND(N36=1,O36&gt;='Controls'!$D$66,P36=K36),"PASS","FAIL")))</x:f>
        <x:v>OPEN</x:v>
      </x:c>
    </x:row>
    <x:row r="37">
      <x:c r="B37" s="10" t="str">
        <x:v>MCR-F-B-B-W11</x:v>
      </x:c>
      <x:c r="C37" s="10" t="str">
        <x:v>inserted fault</x:v>
      </x:c>
      <x:c r="D37" s="10" t="str">
        <x:v>PTC-B</x:v>
      </x:c>
      <x:c r="E37" s="10" t="str">
        <x:v>LN-11</x:v>
      </x:c>
      <x:c r="F37" s="10" t="str">
        <x:v>MC-B1</x:v>
      </x:c>
      <x:c r="G37" s="10" t="str">
        <x:v>B</x:v>
      </x:c>
      <x:c r="H37" s="22" t="str">
        <x:v>W11</x:v>
      </x:c>
      <x:c r="I37" s="10" t="n">
        <x:v>0.05</x:v>
      </x:c>
      <x:c r="J37" s="10" t="str">
        <x:v>live source</x:v>
      </x:c>
      <x:c r="K37" s="10" t="str">
        <x:v>SAFE STATE AND REPLAY</x:v>
      </x:c>
      <x:c r="L37" s="18" t="n">
        <x:f>IF(C37="cross-site replay",0,I37*'Controls'!$D$8)</x:f>
        <x:v>100</x:v>
      </x:c>
      <x:c r="M37" s="10" t="n">
        <x:v>1</x:v>
      </x:c>
      <x:c r="N37" s="12" t="n">
        <x:v>0</x:v>
      </x:c>
      <x:c r="O37" s="12" t="n">
        <x:v>0</x:v>
      </x:c>
      <x:c r="P37" s="12" t="str"/>
      <x:c r="Q37" s="10" t="str">
        <x:f>IF(AND(M37=1,B37&lt;&gt;"",C37&lt;&gt;"",G37&lt;&gt;"",J37&lt;&gt;"",K37&lt;&gt;""),"PASS","FAIL")</x:f>
        <x:v>PASS</x:v>
      </x:c>
      <x:c r="R37" s="10" t="str">
        <x:f>IF(Q37&lt;&gt;"PASS","FAIL",IF(AND(N37=0,O37=0,P37=""),"OPEN",IF(AND(N37=1,O37&gt;='Controls'!$D$66,P37=K37),"PASS","FAIL")))</x:f>
        <x:v>OPEN</x:v>
      </x:c>
    </x:row>
    <x:row r="38">
      <x:c r="B38" s="10" t="str">
        <x:v>MCR-F-B-B-W12</x:v>
      </x:c>
      <x:c r="C38" s="10" t="str">
        <x:v>inserted fault</x:v>
      </x:c>
      <x:c r="D38" s="10" t="str">
        <x:v>PTC-B</x:v>
      </x:c>
      <x:c r="E38" s="10" t="str">
        <x:v>LN-11</x:v>
      </x:c>
      <x:c r="F38" s="10" t="str">
        <x:v>MC-B1</x:v>
      </x:c>
      <x:c r="G38" s="10" t="str">
        <x:v>B</x:v>
      </x:c>
      <x:c r="H38" s="22" t="str">
        <x:v>W12</x:v>
      </x:c>
      <x:c r="I38" s="10" t="n">
        <x:v>0.05</x:v>
      </x:c>
      <x:c r="J38" s="10" t="str">
        <x:v>live source</x:v>
      </x:c>
      <x:c r="K38" s="10" t="str">
        <x:v>SAFE STATE AND REPLAY</x:v>
      </x:c>
      <x:c r="L38" s="18" t="n">
        <x:f>IF(C38="cross-site replay",0,I38*'Controls'!$D$8)</x:f>
        <x:v>100</x:v>
      </x:c>
      <x:c r="M38" s="10" t="n">
        <x:v>1</x:v>
      </x:c>
      <x:c r="N38" s="12" t="n">
        <x:v>0</x:v>
      </x:c>
      <x:c r="O38" s="12" t="n">
        <x:v>0</x:v>
      </x:c>
      <x:c r="P38" s="12" t="str"/>
      <x:c r="Q38" s="10" t="str">
        <x:f>IF(AND(M38=1,B38&lt;&gt;"",C38&lt;&gt;"",G38&lt;&gt;"",J38&lt;&gt;"",K38&lt;&gt;""),"PASS","FAIL")</x:f>
        <x:v>PASS</x:v>
      </x:c>
      <x:c r="R38" s="10" t="str">
        <x:f>IF(Q38&lt;&gt;"PASS","FAIL",IF(AND(N38=0,O38=0,P38=""),"OPEN",IF(AND(N38=1,O38&gt;='Controls'!$D$66,P38=K38),"PASS","FAIL")))</x:f>
        <x:v>OPEN</x:v>
      </x:c>
    </x:row>
    <x:row r="39">
      <x:c r="B39" s="10" t="str">
        <x:v>MCR-C-B-B-W02</x:v>
      </x:c>
      <x:c r="C39" s="10" t="str">
        <x:v>clean control</x:v>
      </x:c>
      <x:c r="D39" s="10" t="str">
        <x:v>PTC-B</x:v>
      </x:c>
      <x:c r="E39" s="10" t="str">
        <x:v>LN-11</x:v>
      </x:c>
      <x:c r="F39" s="10" t="str">
        <x:v>MC-B1</x:v>
      </x:c>
      <x:c r="G39" s="10" t="str">
        <x:v>B</x:v>
      </x:c>
      <x:c r="H39" s="22" t="str">
        <x:v>W02</x:v>
      </x:c>
      <x:c r="I39" s="10" t="n">
        <x:v>0.05</x:v>
      </x:c>
      <x:c r="J39" s="10" t="str">
        <x:v>live source</x:v>
      </x:c>
      <x:c r="K39" s="10" t="str">
        <x:v>PASS</x:v>
      </x:c>
      <x:c r="L39" s="18" t="n">
        <x:f>IF(C39="cross-site replay",0,I39*'Controls'!$D$8)</x:f>
        <x:v>100</x:v>
      </x:c>
      <x:c r="M39" s="10" t="n">
        <x:v>1</x:v>
      </x:c>
      <x:c r="N39" s="12" t="n">
        <x:v>0</x:v>
      </x:c>
      <x:c r="O39" s="12" t="n">
        <x:v>0</x:v>
      </x:c>
      <x:c r="P39" s="12" t="str"/>
      <x:c r="Q39" s="10" t="str">
        <x:f>IF(AND(M39=1,B39&lt;&gt;"",C39&lt;&gt;"",G39&lt;&gt;"",J39&lt;&gt;"",K39&lt;&gt;""),"PASS","FAIL")</x:f>
        <x:v>PASS</x:v>
      </x:c>
      <x:c r="R39" s="10" t="str">
        <x:f>IF(Q39&lt;&gt;"PASS","FAIL",IF(AND(N39=0,O39=0,P39=""),"OPEN",IF(AND(N39=1,O39&gt;='Controls'!$D$66,P39=K39),"PASS","FAIL")))</x:f>
        <x:v>OPEN</x:v>
      </x:c>
    </x:row>
    <x:row r="40">
      <x:c r="B40" s="10" t="str">
        <x:v>MCR-C-B-B-W03</x:v>
      </x:c>
      <x:c r="C40" s="10" t="str">
        <x:v>clean control</x:v>
      </x:c>
      <x:c r="D40" s="10" t="str">
        <x:v>PTC-B</x:v>
      </x:c>
      <x:c r="E40" s="10" t="str">
        <x:v>LN-11</x:v>
      </x:c>
      <x:c r="F40" s="10" t="str">
        <x:v>MC-B1</x:v>
      </x:c>
      <x:c r="G40" s="10" t="str">
        <x:v>B</x:v>
      </x:c>
      <x:c r="H40" s="22" t="str">
        <x:v>W03</x:v>
      </x:c>
      <x:c r="I40" s="10" t="n">
        <x:v>1</x:v>
      </x:c>
      <x:c r="J40" s="10" t="str">
        <x:v>live source</x:v>
      </x:c>
      <x:c r="K40" s="10" t="str">
        <x:v>PASS</x:v>
      </x:c>
      <x:c r="L40" s="18" t="n">
        <x:f>IF(C40="cross-site replay",0,I40*'Controls'!$D$8)</x:f>
        <x:v>2000</x:v>
      </x:c>
      <x:c r="M40" s="10" t="n">
        <x:v>1</x:v>
      </x:c>
      <x:c r="N40" s="12" t="n">
        <x:v>0</x:v>
      </x:c>
      <x:c r="O40" s="12" t="n">
        <x:v>0</x:v>
      </x:c>
      <x:c r="P40" s="12" t="str"/>
      <x:c r="Q40" s="10" t="str">
        <x:f>IF(AND(M40=1,B40&lt;&gt;"",C40&lt;&gt;"",G40&lt;&gt;"",J40&lt;&gt;"",K40&lt;&gt;""),"PASS","FAIL")</x:f>
        <x:v>PASS</x:v>
      </x:c>
      <x:c r="R40" s="10" t="str">
        <x:f>IF(Q40&lt;&gt;"PASS","FAIL",IF(AND(N40=0,O40=0,P40=""),"OPEN",IF(AND(N40=1,O40&gt;='Controls'!$D$66,P40=K40),"PASS","FAIL")))</x:f>
        <x:v>OPEN</x:v>
      </x:c>
    </x:row>
    <x:row r="41">
      <x:c r="B41" s="10" t="str">
        <x:v>MCR-C-B-B-W06</x:v>
      </x:c>
      <x:c r="C41" s="10" t="str">
        <x:v>clean control</x:v>
      </x:c>
      <x:c r="D41" s="10" t="str">
        <x:v>PTC-B</x:v>
      </x:c>
      <x:c r="E41" s="10" t="str">
        <x:v>LN-11</x:v>
      </x:c>
      <x:c r="F41" s="10" t="str">
        <x:v>MC-B1</x:v>
      </x:c>
      <x:c r="G41" s="10" t="str">
        <x:v>B</x:v>
      </x:c>
      <x:c r="H41" s="22" t="str">
        <x:v>W06</x:v>
      </x:c>
      <x:c r="I41" s="10" t="n">
        <x:v>0.1</x:v>
      </x:c>
      <x:c r="J41" s="10" t="str">
        <x:v>live source</x:v>
      </x:c>
      <x:c r="K41" s="10" t="str">
        <x:v>PASS</x:v>
      </x:c>
      <x:c r="L41" s="18" t="n">
        <x:f>IF(C41="cross-site replay",0,I41*'Controls'!$D$8)</x:f>
        <x:v>200</x:v>
      </x:c>
      <x:c r="M41" s="10" t="n">
        <x:v>1</x:v>
      </x:c>
      <x:c r="N41" s="12" t="n">
        <x:v>0</x:v>
      </x:c>
      <x:c r="O41" s="12" t="n">
        <x:v>0</x:v>
      </x:c>
      <x:c r="P41" s="12" t="str"/>
      <x:c r="Q41" s="10" t="str">
        <x:f>IF(AND(M41=1,B41&lt;&gt;"",C41&lt;&gt;"",G41&lt;&gt;"",J41&lt;&gt;"",K41&lt;&gt;""),"PASS","FAIL")</x:f>
        <x:v>PASS</x:v>
      </x:c>
      <x:c r="R41" s="10" t="str">
        <x:f>IF(Q41&lt;&gt;"PASS","FAIL",IF(AND(N41=0,O41=0,P41=""),"OPEN",IF(AND(N41=1,O41&gt;='Controls'!$D$66,P41=K41),"PASS","FAIL")))</x:f>
        <x:v>OPEN</x:v>
      </x:c>
    </x:row>
    <x:row r="42">
      <x:c r="B42" s="10" t="str">
        <x:v>MCR-C-B-B-W07</x:v>
      </x:c>
      <x:c r="C42" s="10" t="str">
        <x:v>clean control</x:v>
      </x:c>
      <x:c r="D42" s="10" t="str">
        <x:v>PTC-B</x:v>
      </x:c>
      <x:c r="E42" s="10" t="str">
        <x:v>LN-11</x:v>
      </x:c>
      <x:c r="F42" s="10" t="str">
        <x:v>MC-B1</x:v>
      </x:c>
      <x:c r="G42" s="10" t="str">
        <x:v>B</x:v>
      </x:c>
      <x:c r="H42" s="22" t="str">
        <x:v>W07</x:v>
      </x:c>
      <x:c r="I42" s="10" t="n">
        <x:v>0.25</x:v>
      </x:c>
      <x:c r="J42" s="10" t="str">
        <x:v>live source</x:v>
      </x:c>
      <x:c r="K42" s="10" t="str">
        <x:v>PASS</x:v>
      </x:c>
      <x:c r="L42" s="18" t="n">
        <x:f>IF(C42="cross-site replay",0,I42*'Controls'!$D$8)</x:f>
        <x:v>500</x:v>
      </x:c>
      <x:c r="M42" s="10" t="n">
        <x:v>1</x:v>
      </x:c>
      <x:c r="N42" s="12" t="n">
        <x:v>0</x:v>
      </x:c>
      <x:c r="O42" s="12" t="n">
        <x:v>0</x:v>
      </x:c>
      <x:c r="P42" s="12" t="str"/>
      <x:c r="Q42" s="10" t="str">
        <x:f>IF(AND(M42=1,B42&lt;&gt;"",C42&lt;&gt;"",G42&lt;&gt;"",J42&lt;&gt;"",K42&lt;&gt;""),"PASS","FAIL")</x:f>
        <x:v>PASS</x:v>
      </x:c>
      <x:c r="R42" s="10" t="str">
        <x:f>IF(Q42&lt;&gt;"PASS","FAIL",IF(AND(N42=0,O42=0,P42=""),"OPEN",IF(AND(N42=1,O42&gt;='Controls'!$D$66,P42=K42),"PASS","FAIL")))</x:f>
        <x:v>OPEN</x:v>
      </x:c>
    </x:row>
    <x:row r="43">
      <x:c r="B43" s="10" t="str">
        <x:v>MCR-C-B-B-W08</x:v>
      </x:c>
      <x:c r="C43" s="10" t="str">
        <x:v>clean control</x:v>
      </x:c>
      <x:c r="D43" s="10" t="str">
        <x:v>PTC-B</x:v>
      </x:c>
      <x:c r="E43" s="10" t="str">
        <x:v>LN-11</x:v>
      </x:c>
      <x:c r="F43" s="10" t="str">
        <x:v>MC-B1</x:v>
      </x:c>
      <x:c r="G43" s="10" t="str">
        <x:v>B</x:v>
      </x:c>
      <x:c r="H43" s="22" t="str">
        <x:v>W08</x:v>
      </x:c>
      <x:c r="I43" s="10" t="n">
        <x:v>0.05</x:v>
      </x:c>
      <x:c r="J43" s="10" t="str">
        <x:v>live source</x:v>
      </x:c>
      <x:c r="K43" s="10" t="str">
        <x:v>PASS</x:v>
      </x:c>
      <x:c r="L43" s="18" t="n">
        <x:f>IF(C43="cross-site replay",0,I43*'Controls'!$D$8)</x:f>
        <x:v>100</x:v>
      </x:c>
      <x:c r="M43" s="10" t="n">
        <x:v>1</x:v>
      </x:c>
      <x:c r="N43" s="12" t="n">
        <x:v>0</x:v>
      </x:c>
      <x:c r="O43" s="12" t="n">
        <x:v>0</x:v>
      </x:c>
      <x:c r="P43" s="12" t="str"/>
      <x:c r="Q43" s="10" t="str">
        <x:f>IF(AND(M43=1,B43&lt;&gt;"",C43&lt;&gt;"",G43&lt;&gt;"",J43&lt;&gt;"",K43&lt;&gt;""),"PASS","FAIL")</x:f>
        <x:v>PASS</x:v>
      </x:c>
      <x:c r="R43" s="10" t="str">
        <x:f>IF(Q43&lt;&gt;"PASS","FAIL",IF(AND(N43=0,O43=0,P43=""),"OPEN",IF(AND(N43=1,O43&gt;='Controls'!$D$66,P43=K43),"PASS","FAIL")))</x:f>
        <x:v>OPEN</x:v>
      </x:c>
    </x:row>
    <x:row r="44">
      <x:c r="B44" s="10" t="str">
        <x:v>MCR-C-B-B-W09</x:v>
      </x:c>
      <x:c r="C44" s="10" t="str">
        <x:v>clean control</x:v>
      </x:c>
      <x:c r="D44" s="10" t="str">
        <x:v>PTC-B</x:v>
      </x:c>
      <x:c r="E44" s="10" t="str">
        <x:v>LN-11</x:v>
      </x:c>
      <x:c r="F44" s="10" t="str">
        <x:v>MC-B1</x:v>
      </x:c>
      <x:c r="G44" s="10" t="str">
        <x:v>B</x:v>
      </x:c>
      <x:c r="H44" s="22" t="str">
        <x:v>W09</x:v>
      </x:c>
      <x:c r="I44" s="10" t="n">
        <x:v>1</x:v>
      </x:c>
      <x:c r="J44" s="10" t="str">
        <x:v>live source</x:v>
      </x:c>
      <x:c r="K44" s="10" t="str">
        <x:v>PASS</x:v>
      </x:c>
      <x:c r="L44" s="18" t="n">
        <x:f>IF(C44="cross-site replay",0,I44*'Controls'!$D$8)</x:f>
        <x:v>2000</x:v>
      </x:c>
      <x:c r="M44" s="10" t="n">
        <x:v>1</x:v>
      </x:c>
      <x:c r="N44" s="12" t="n">
        <x:v>0</x:v>
      </x:c>
      <x:c r="O44" s="12" t="n">
        <x:v>0</x:v>
      </x:c>
      <x:c r="P44" s="12" t="str"/>
      <x:c r="Q44" s="10" t="str">
        <x:f>IF(AND(M44=1,B44&lt;&gt;"",C44&lt;&gt;"",G44&lt;&gt;"",J44&lt;&gt;"",K44&lt;&gt;""),"PASS","FAIL")</x:f>
        <x:v>PASS</x:v>
      </x:c>
      <x:c r="R44" s="10" t="str">
        <x:f>IF(Q44&lt;&gt;"PASS","FAIL",IF(AND(N44=0,O44=0,P44=""),"OPEN",IF(AND(N44=1,O44&gt;='Controls'!$D$66,P44=K44),"PASS","FAIL")))</x:f>
        <x:v>OPEN</x:v>
      </x:c>
    </x:row>
    <x:row r="45">
      <x:c r="B45" s="10" t="str">
        <x:v>MCR-R-B-B-1</x:v>
      </x:c>
      <x:c r="C45" s="10" t="str">
        <x:v>cross-site replay</x:v>
      </x:c>
      <x:c r="D45" s="10" t="str">
        <x:v>PTC-B</x:v>
      </x:c>
      <x:c r="E45" s="10" t="str">
        <x:v>LN-11</x:v>
      </x:c>
      <x:c r="F45" s="10" t="str">
        <x:v>MC-B1</x:v>
      </x:c>
      <x:c r="G45" s="10" t="str">
        <x:v>B</x:v>
      </x:c>
      <x:c r="H45" s="22" t="str">
        <x:v>R01</x:v>
      </x:c>
      <x:c r="I45" s="10" t="n">
        <x:v>0</x:v>
      </x:c>
      <x:c r="J45" s="10" t="str">
        <x:v>sealed packet</x:v>
      </x:c>
      <x:c r="K45" s="10" t="str">
        <x:v>MATCH</x:v>
      </x:c>
      <x:c r="L45" s="18" t="n">
        <x:f>IF(C45="cross-site replay",0,I45*'Controls'!$D$8)</x:f>
        <x:v>0</x:v>
      </x:c>
      <x:c r="M45" s="10" t="n">
        <x:v>1</x:v>
      </x:c>
      <x:c r="N45" s="12" t="n">
        <x:v>0</x:v>
      </x:c>
      <x:c r="O45" s="12" t="n">
        <x:v>0</x:v>
      </x:c>
      <x:c r="P45" s="12" t="str"/>
      <x:c r="Q45" s="10" t="str">
        <x:f>IF(AND(M45=1,B45&lt;&gt;"",C45&lt;&gt;"",G45&lt;&gt;"",J45&lt;&gt;"",K45&lt;&gt;""),"PASS","FAIL")</x:f>
        <x:v>PASS</x:v>
      </x:c>
      <x:c r="R45" s="10" t="str">
        <x:f>IF(Q45&lt;&gt;"PASS","FAIL",IF(AND(N45=0,O45=0,P45=""),"OPEN",IF(AND(N45=1,O45&gt;='Controls'!$D$66,P45=K45),"PASS","FAIL")))</x:f>
        <x:v>OPEN</x:v>
      </x:c>
    </x:row>
    <x:row r="46">
      <x:c r="B46" s="10" t="str">
        <x:v>MCR-R-B-B-2</x:v>
      </x:c>
      <x:c r="C46" s="10" t="str">
        <x:v>cross-site replay</x:v>
      </x:c>
      <x:c r="D46" s="10" t="str">
        <x:v>PTC-B</x:v>
      </x:c>
      <x:c r="E46" s="10" t="str">
        <x:v>LN-11</x:v>
      </x:c>
      <x:c r="F46" s="10" t="str">
        <x:v>MC-B1</x:v>
      </x:c>
      <x:c r="G46" s="10" t="str">
        <x:v>B</x:v>
      </x:c>
      <x:c r="H46" s="22" t="str">
        <x:v>R02</x:v>
      </x:c>
      <x:c r="I46" s="10" t="n">
        <x:v>0</x:v>
      </x:c>
      <x:c r="J46" s="10" t="str">
        <x:v>sealed packet</x:v>
      </x:c>
      <x:c r="K46" s="10" t="str">
        <x:v>MATCH</x:v>
      </x:c>
      <x:c r="L46" s="18" t="n">
        <x:f>IF(C46="cross-site replay",0,I46*'Controls'!$D$8)</x:f>
        <x:v>0</x:v>
      </x:c>
      <x:c r="M46" s="10" t="n">
        <x:v>1</x:v>
      </x:c>
      <x:c r="N46" s="12" t="n">
        <x:v>0</x:v>
      </x:c>
      <x:c r="O46" s="12" t="n">
        <x:v>0</x:v>
      </x:c>
      <x:c r="P46" s="12" t="str"/>
      <x:c r="Q46" s="10" t="str">
        <x:f>IF(AND(M46=1,B46&lt;&gt;"",C46&lt;&gt;"",G46&lt;&gt;"",J46&lt;&gt;"",K46&lt;&gt;""),"PASS","FAIL")</x:f>
        <x:v>PASS</x:v>
      </x:c>
      <x:c r="R46" s="10" t="str">
        <x:f>IF(Q46&lt;&gt;"PASS","FAIL",IF(AND(N46=0,O46=0,P46=""),"OPEN",IF(AND(N46=1,O46&gt;='Controls'!$D$66,P46=K46),"PASS","FAIL")))</x:f>
        <x:v>OPEN</x:v>
      </x:c>
    </x:row>
    <x:row r="47">
      <x:c r="B47" s="10" t="str">
        <x:v>MCR-F-C-A-W01</x:v>
      </x:c>
      <x:c r="C47" s="10" t="str">
        <x:v>inserted fault</x:v>
      </x:c>
      <x:c r="D47" s="10" t="str">
        <x:v>PTC-C</x:v>
      </x:c>
      <x:c r="E47" s="10" t="str">
        <x:v>LN-12</x:v>
      </x:c>
      <x:c r="F47" s="10" t="str">
        <x:v>MC-C1</x:v>
      </x:c>
      <x:c r="G47" s="10" t="str">
        <x:v>A</x:v>
      </x:c>
      <x:c r="H47" s="22" t="str">
        <x:v>W01</x:v>
      </x:c>
      <x:c r="I47" s="10" t="n">
        <x:v>0.01</x:v>
      </x:c>
      <x:c r="J47" s="10" t="str">
        <x:v>live source</x:v>
      </x:c>
      <x:c r="K47" s="10" t="str">
        <x:v>SAFE STATE</x:v>
      </x:c>
      <x:c r="L47" s="18" t="n">
        <x:f>IF(C47="cross-site replay",0,I47*'Controls'!$D$8)</x:f>
        <x:v>20</x:v>
      </x:c>
      <x:c r="M47" s="10" t="n">
        <x:v>1</x:v>
      </x:c>
      <x:c r="N47" s="12" t="n">
        <x:v>0</x:v>
      </x:c>
      <x:c r="O47" s="12" t="n">
        <x:v>0</x:v>
      </x:c>
      <x:c r="P47" s="12" t="str"/>
      <x:c r="Q47" s="10" t="str">
        <x:f>IF(AND(M47=1,B47&lt;&gt;"",C47&lt;&gt;"",G47&lt;&gt;"",J47&lt;&gt;"",K47&lt;&gt;""),"PASS","FAIL")</x:f>
        <x:v>PASS</x:v>
      </x:c>
      <x:c r="R47" s="10" t="str">
        <x:f>IF(Q47&lt;&gt;"PASS","FAIL",IF(AND(N47=0,O47=0,P47=""),"OPEN",IF(AND(N47=1,O47&gt;='Controls'!$D$66,P47=K47),"PASS","FAIL")))</x:f>
        <x:v>OPEN</x:v>
      </x:c>
    </x:row>
    <x:row r="48">
      <x:c r="B48" s="10" t="str">
        <x:v>MCR-F-C-A-W02</x:v>
      </x:c>
      <x:c r="C48" s="10" t="str">
        <x:v>inserted fault</x:v>
      </x:c>
      <x:c r="D48" s="10" t="str">
        <x:v>PTC-C</x:v>
      </x:c>
      <x:c r="E48" s="10" t="str">
        <x:v>LN-12</x:v>
      </x:c>
      <x:c r="F48" s="10" t="str">
        <x:v>MC-C1</x:v>
      </x:c>
      <x:c r="G48" s="10" t="str">
        <x:v>A</x:v>
      </x:c>
      <x:c r="H48" s="22" t="str">
        <x:v>W02</x:v>
      </x:c>
      <x:c r="I48" s="10" t="n">
        <x:v>0.05</x:v>
      </x:c>
      <x:c r="J48" s="10" t="str">
        <x:v>live source</x:v>
      </x:c>
      <x:c r="K48" s="10" t="str">
        <x:v>SAFE STATE AND REPLAY</x:v>
      </x:c>
      <x:c r="L48" s="18" t="n">
        <x:f>IF(C48="cross-site replay",0,I48*'Controls'!$D$8)</x:f>
        <x:v>100</x:v>
      </x:c>
      <x:c r="M48" s="10" t="n">
        <x:v>1</x:v>
      </x:c>
      <x:c r="N48" s="12" t="n">
        <x:v>0</x:v>
      </x:c>
      <x:c r="O48" s="12" t="n">
        <x:v>0</x:v>
      </x:c>
      <x:c r="P48" s="12" t="str"/>
      <x:c r="Q48" s="10" t="str">
        <x:f>IF(AND(M48=1,B48&lt;&gt;"",C48&lt;&gt;"",G48&lt;&gt;"",J48&lt;&gt;"",K48&lt;&gt;""),"PASS","FAIL")</x:f>
        <x:v>PASS</x:v>
      </x:c>
      <x:c r="R48" s="10" t="str">
        <x:f>IF(Q48&lt;&gt;"PASS","FAIL",IF(AND(N48=0,O48=0,P48=""),"OPEN",IF(AND(N48=1,O48&gt;='Controls'!$D$66,P48=K48),"PASS","FAIL")))</x:f>
        <x:v>OPEN</x:v>
      </x:c>
    </x:row>
    <x:row r="49">
      <x:c r="B49" s="10" t="str">
        <x:v>MCR-F-C-A-W03</x:v>
      </x:c>
      <x:c r="C49" s="10" t="str">
        <x:v>inserted fault</x:v>
      </x:c>
      <x:c r="D49" s="10" t="str">
        <x:v>PTC-C</x:v>
      </x:c>
      <x:c r="E49" s="10" t="str">
        <x:v>LN-12</x:v>
      </x:c>
      <x:c r="F49" s="10" t="str">
        <x:v>MC-C1</x:v>
      </x:c>
      <x:c r="G49" s="10" t="str">
        <x:v>A</x:v>
      </x:c>
      <x:c r="H49" s="22" t="str">
        <x:v>W03</x:v>
      </x:c>
      <x:c r="I49" s="10" t="n">
        <x:v>1</x:v>
      </x:c>
      <x:c r="J49" s="10" t="str">
        <x:v>live source</x:v>
      </x:c>
      <x:c r="K49" s="10" t="str">
        <x:v>QUARANTINE</x:v>
      </x:c>
      <x:c r="L49" s="18" t="n">
        <x:f>IF(C49="cross-site replay",0,I49*'Controls'!$D$8)</x:f>
        <x:v>2000</x:v>
      </x:c>
      <x:c r="M49" s="10" t="n">
        <x:v>1</x:v>
      </x:c>
      <x:c r="N49" s="12" t="n">
        <x:v>0</x:v>
      </x:c>
      <x:c r="O49" s="12" t="n">
        <x:v>0</x:v>
      </x:c>
      <x:c r="P49" s="12" t="str"/>
      <x:c r="Q49" s="10" t="str">
        <x:f>IF(AND(M49=1,B49&lt;&gt;"",C49&lt;&gt;"",G49&lt;&gt;"",J49&lt;&gt;"",K49&lt;&gt;""),"PASS","FAIL")</x:f>
        <x:v>PASS</x:v>
      </x:c>
      <x:c r="R49" s="10" t="str">
        <x:f>IF(Q49&lt;&gt;"PASS","FAIL",IF(AND(N49=0,O49=0,P49=""),"OPEN",IF(AND(N49=1,O49&gt;='Controls'!$D$66,P49=K49),"PASS","FAIL")))</x:f>
        <x:v>OPEN</x:v>
      </x:c>
    </x:row>
    <x:row r="50">
      <x:c r="B50" s="10" t="str">
        <x:v>MCR-F-C-A-W04</x:v>
      </x:c>
      <x:c r="C50" s="10" t="str">
        <x:v>inserted fault</x:v>
      </x:c>
      <x:c r="D50" s="10" t="str">
        <x:v>PTC-C</x:v>
      </x:c>
      <x:c r="E50" s="10" t="str">
        <x:v>LN-12</x:v>
      </x:c>
      <x:c r="F50" s="10" t="str">
        <x:v>MC-C1</x:v>
      </x:c>
      <x:c r="G50" s="10" t="str">
        <x:v>A</x:v>
      </x:c>
      <x:c r="H50" s="22" t="str">
        <x:v>W04</x:v>
      </x:c>
      <x:c r="I50" s="10" t="n">
        <x:v>1</x:v>
      </x:c>
      <x:c r="J50" s="10" t="str">
        <x:v>live and inert neighbor</x:v>
      </x:c>
      <x:c r="K50" s="10" t="str">
        <x:v>QUARANTINE</x:v>
      </x:c>
      <x:c r="L50" s="18" t="n">
        <x:f>IF(C50="cross-site replay",0,I50*'Controls'!$D$8)</x:f>
        <x:v>2000</x:v>
      </x:c>
      <x:c r="M50" s="10" t="n">
        <x:v>1</x:v>
      </x:c>
      <x:c r="N50" s="12" t="n">
        <x:v>0</x:v>
      </x:c>
      <x:c r="O50" s="12" t="n">
        <x:v>0</x:v>
      </x:c>
      <x:c r="P50" s="12" t="str"/>
      <x:c r="Q50" s="10" t="str">
        <x:f>IF(AND(M50=1,B50&lt;&gt;"",C50&lt;&gt;"",G50&lt;&gt;"",J50&lt;&gt;"",K50&lt;&gt;""),"PASS","FAIL")</x:f>
        <x:v>PASS</x:v>
      </x:c>
      <x:c r="R50" s="10" t="str">
        <x:f>IF(Q50&lt;&gt;"PASS","FAIL",IF(AND(N50=0,O50=0,P50=""),"OPEN",IF(AND(N50=1,O50&gt;='Controls'!$D$66,P50=K50),"PASS","FAIL")))</x:f>
        <x:v>OPEN</x:v>
      </x:c>
    </x:row>
    <x:row r="51">
      <x:c r="B51" s="10" t="str">
        <x:v>MCR-F-C-A-W05</x:v>
      </x:c>
      <x:c r="C51" s="10" t="str">
        <x:v>inserted fault</x:v>
      </x:c>
      <x:c r="D51" s="10" t="str">
        <x:v>PTC-C</x:v>
      </x:c>
      <x:c r="E51" s="10" t="str">
        <x:v>LN-12</x:v>
      </x:c>
      <x:c r="F51" s="10" t="str">
        <x:v>MC-C1</x:v>
      </x:c>
      <x:c r="G51" s="10" t="str">
        <x:v>A</x:v>
      </x:c>
      <x:c r="H51" s="22" t="str">
        <x:v>W05</x:v>
      </x:c>
      <x:c r="I51" s="10" t="n">
        <x:v>0.1</x:v>
      </x:c>
      <x:c r="J51" s="10" t="str">
        <x:v>live source</x:v>
      </x:c>
      <x:c r="K51" s="10" t="str">
        <x:v>QUARANTINE</x:v>
      </x:c>
      <x:c r="L51" s="18" t="n">
        <x:f>IF(C51="cross-site replay",0,I51*'Controls'!$D$8)</x:f>
        <x:v>200</x:v>
      </x:c>
      <x:c r="M51" s="10" t="n">
        <x:v>1</x:v>
      </x:c>
      <x:c r="N51" s="12" t="n">
        <x:v>0</x:v>
      </x:c>
      <x:c r="O51" s="12" t="n">
        <x:v>0</x:v>
      </x:c>
      <x:c r="P51" s="12" t="str"/>
      <x:c r="Q51" s="10" t="str">
        <x:f>IF(AND(M51=1,B51&lt;&gt;"",C51&lt;&gt;"",G51&lt;&gt;"",J51&lt;&gt;"",K51&lt;&gt;""),"PASS","FAIL")</x:f>
        <x:v>PASS</x:v>
      </x:c>
      <x:c r="R51" s="10" t="str">
        <x:f>IF(Q51&lt;&gt;"PASS","FAIL",IF(AND(N51=0,O51=0,P51=""),"OPEN",IF(AND(N51=1,O51&gt;='Controls'!$D$66,P51=K51),"PASS","FAIL")))</x:f>
        <x:v>OPEN</x:v>
      </x:c>
    </x:row>
    <x:row r="52">
      <x:c r="B52" s="10" t="str">
        <x:v>MCR-F-C-A-W06</x:v>
      </x:c>
      <x:c r="C52" s="10" t="str">
        <x:v>inserted fault</x:v>
      </x:c>
      <x:c r="D52" s="10" t="str">
        <x:v>PTC-C</x:v>
      </x:c>
      <x:c r="E52" s="10" t="str">
        <x:v>LN-12</x:v>
      </x:c>
      <x:c r="F52" s="10" t="str">
        <x:v>MC-C1</x:v>
      </x:c>
      <x:c r="G52" s="10" t="str">
        <x:v>A</x:v>
      </x:c>
      <x:c r="H52" s="22" t="str">
        <x:v>W06</x:v>
      </x:c>
      <x:c r="I52" s="10" t="n">
        <x:v>0.1</x:v>
      </x:c>
      <x:c r="J52" s="10" t="str">
        <x:v>live source</x:v>
      </x:c>
      <x:c r="K52" s="10" t="str">
        <x:v>SAFE STATE</x:v>
      </x:c>
      <x:c r="L52" s="18" t="n">
        <x:f>IF(C52="cross-site replay",0,I52*'Controls'!$D$8)</x:f>
        <x:v>200</x:v>
      </x:c>
      <x:c r="M52" s="10" t="n">
        <x:v>1</x:v>
      </x:c>
      <x:c r="N52" s="12" t="n">
        <x:v>0</x:v>
      </x:c>
      <x:c r="O52" s="12" t="n">
        <x:v>0</x:v>
      </x:c>
      <x:c r="P52" s="12" t="str"/>
      <x:c r="Q52" s="10" t="str">
        <x:f>IF(AND(M52=1,B52&lt;&gt;"",C52&lt;&gt;"",G52&lt;&gt;"",J52&lt;&gt;"",K52&lt;&gt;""),"PASS","FAIL")</x:f>
        <x:v>PASS</x:v>
      </x:c>
      <x:c r="R52" s="10" t="str">
        <x:f>IF(Q52&lt;&gt;"PASS","FAIL",IF(AND(N52=0,O52=0,P52=""),"OPEN",IF(AND(N52=1,O52&gt;='Controls'!$D$66,P52=K52),"PASS","FAIL")))</x:f>
        <x:v>OPEN</x:v>
      </x:c>
    </x:row>
    <x:row r="53">
      <x:c r="B53" s="10" t="str">
        <x:v>MCR-F-C-A-W07</x:v>
      </x:c>
      <x:c r="C53" s="10" t="str">
        <x:v>inserted fault</x:v>
      </x:c>
      <x:c r="D53" s="10" t="str">
        <x:v>PTC-C</x:v>
      </x:c>
      <x:c r="E53" s="10" t="str">
        <x:v>LN-12</x:v>
      </x:c>
      <x:c r="F53" s="10" t="str">
        <x:v>MC-C1</x:v>
      </x:c>
      <x:c r="G53" s="10" t="str">
        <x:v>A</x:v>
      </x:c>
      <x:c r="H53" s="22" t="str">
        <x:v>W07</x:v>
      </x:c>
      <x:c r="I53" s="10" t="n">
        <x:v>0.25</x:v>
      </x:c>
      <x:c r="J53" s="10" t="str">
        <x:v>live source</x:v>
      </x:c>
      <x:c r="K53" s="10" t="str">
        <x:v>QUARANTINE</x:v>
      </x:c>
      <x:c r="L53" s="18" t="n">
        <x:f>IF(C53="cross-site replay",0,I53*'Controls'!$D$8)</x:f>
        <x:v>500</x:v>
      </x:c>
      <x:c r="M53" s="10" t="n">
        <x:v>1</x:v>
      </x:c>
      <x:c r="N53" s="12" t="n">
        <x:v>0</x:v>
      </x:c>
      <x:c r="O53" s="12" t="n">
        <x:v>0</x:v>
      </x:c>
      <x:c r="P53" s="12" t="str"/>
      <x:c r="Q53" s="10" t="str">
        <x:f>IF(AND(M53=1,B53&lt;&gt;"",C53&lt;&gt;"",G53&lt;&gt;"",J53&lt;&gt;"",K53&lt;&gt;""),"PASS","FAIL")</x:f>
        <x:v>PASS</x:v>
      </x:c>
      <x:c r="R53" s="10" t="str">
        <x:f>IF(Q53&lt;&gt;"PASS","FAIL",IF(AND(N53=0,O53=0,P53=""),"OPEN",IF(AND(N53=1,O53&gt;='Controls'!$D$66,P53=K53),"PASS","FAIL")))</x:f>
        <x:v>OPEN</x:v>
      </x:c>
    </x:row>
    <x:row r="54">
      <x:c r="B54" s="10" t="str">
        <x:v>MCR-F-C-A-W08</x:v>
      </x:c>
      <x:c r="C54" s="10" t="str">
        <x:v>inserted fault</x:v>
      </x:c>
      <x:c r="D54" s="10" t="str">
        <x:v>PTC-C</x:v>
      </x:c>
      <x:c r="E54" s="10" t="str">
        <x:v>LN-12</x:v>
      </x:c>
      <x:c r="F54" s="10" t="str">
        <x:v>MC-C1</x:v>
      </x:c>
      <x:c r="G54" s="10" t="str">
        <x:v>A</x:v>
      </x:c>
      <x:c r="H54" s="22" t="str">
        <x:v>W08</x:v>
      </x:c>
      <x:c r="I54" s="10" t="n">
        <x:v>0.05</x:v>
      </x:c>
      <x:c r="J54" s="10" t="str">
        <x:v>live source</x:v>
      </x:c>
      <x:c r="K54" s="10" t="str">
        <x:v>SAFE STATE AND REPLAY</x:v>
      </x:c>
      <x:c r="L54" s="18" t="n">
        <x:f>IF(C54="cross-site replay",0,I54*'Controls'!$D$8)</x:f>
        <x:v>100</x:v>
      </x:c>
      <x:c r="M54" s="10" t="n">
        <x:v>1</x:v>
      </x:c>
      <x:c r="N54" s="12" t="n">
        <x:v>0</x:v>
      </x:c>
      <x:c r="O54" s="12" t="n">
        <x:v>0</x:v>
      </x:c>
      <x:c r="P54" s="12" t="str"/>
      <x:c r="Q54" s="10" t="str">
        <x:f>IF(AND(M54=1,B54&lt;&gt;"",C54&lt;&gt;"",G54&lt;&gt;"",J54&lt;&gt;"",K54&lt;&gt;""),"PASS","FAIL")</x:f>
        <x:v>PASS</x:v>
      </x:c>
      <x:c r="R54" s="10" t="str">
        <x:f>IF(Q54&lt;&gt;"PASS","FAIL",IF(AND(N54=0,O54=0,P54=""),"OPEN",IF(AND(N54=1,O54&gt;='Controls'!$D$66,P54=K54),"PASS","FAIL")))</x:f>
        <x:v>OPEN</x:v>
      </x:c>
    </x:row>
    <x:row r="55">
      <x:c r="B55" s="10" t="str">
        <x:v>MCR-F-C-A-W09</x:v>
      </x:c>
      <x:c r="C55" s="10" t="str">
        <x:v>inserted fault</x:v>
      </x:c>
      <x:c r="D55" s="10" t="str">
        <x:v>PTC-C</x:v>
      </x:c>
      <x:c r="E55" s="10" t="str">
        <x:v>LN-12</x:v>
      </x:c>
      <x:c r="F55" s="10" t="str">
        <x:v>MC-C1</x:v>
      </x:c>
      <x:c r="G55" s="10" t="str">
        <x:v>A</x:v>
      </x:c>
      <x:c r="H55" s="22" t="str">
        <x:v>W09</x:v>
      </x:c>
      <x:c r="I55" s="10" t="n">
        <x:v>1</x:v>
      </x:c>
      <x:c r="J55" s="10" t="str">
        <x:v>live source</x:v>
      </x:c>
      <x:c r="K55" s="10" t="str">
        <x:v>SAFE STATE AND REPLAY</x:v>
      </x:c>
      <x:c r="L55" s="18" t="n">
        <x:f>IF(C55="cross-site replay",0,I55*'Controls'!$D$8)</x:f>
        <x:v>2000</x:v>
      </x:c>
      <x:c r="M55" s="10" t="n">
        <x:v>1</x:v>
      </x:c>
      <x:c r="N55" s="12" t="n">
        <x:v>0</x:v>
      </x:c>
      <x:c r="O55" s="12" t="n">
        <x:v>0</x:v>
      </x:c>
      <x:c r="P55" s="12" t="str"/>
      <x:c r="Q55" s="10" t="str">
        <x:f>IF(AND(M55=1,B55&lt;&gt;"",C55&lt;&gt;"",G55&lt;&gt;"",J55&lt;&gt;"",K55&lt;&gt;""),"PASS","FAIL")</x:f>
        <x:v>PASS</x:v>
      </x:c>
      <x:c r="R55" s="10" t="str">
        <x:f>IF(Q55&lt;&gt;"PASS","FAIL",IF(AND(N55=0,O55=0,P55=""),"OPEN",IF(AND(N55=1,O55&gt;='Controls'!$D$66,P55=K55),"PASS","FAIL")))</x:f>
        <x:v>OPEN</x:v>
      </x:c>
    </x:row>
    <x:row r="56">
      <x:c r="B56" s="10" t="str">
        <x:v>MCR-F-C-A-W10</x:v>
      </x:c>
      <x:c r="C56" s="10" t="str">
        <x:v>inserted fault</x:v>
      </x:c>
      <x:c r="D56" s="10" t="str">
        <x:v>PTC-C</x:v>
      </x:c>
      <x:c r="E56" s="10" t="str">
        <x:v>LN-12</x:v>
      </x:c>
      <x:c r="F56" s="10" t="str">
        <x:v>MC-C1</x:v>
      </x:c>
      <x:c r="G56" s="10" t="str">
        <x:v>A</x:v>
      </x:c>
      <x:c r="H56" s="22" t="str">
        <x:v>W10</x:v>
      </x:c>
      <x:c r="I56" s="10" t="n">
        <x:v>0.1</x:v>
      </x:c>
      <x:c r="J56" s="10" t="str">
        <x:v>live source</x:v>
      </x:c>
      <x:c r="K56" s="10" t="str">
        <x:v>QUARANTINE</x:v>
      </x:c>
      <x:c r="L56" s="18" t="n">
        <x:f>IF(C56="cross-site replay",0,I56*'Controls'!$D$8)</x:f>
        <x:v>200</x:v>
      </x:c>
      <x:c r="M56" s="10" t="n">
        <x:v>1</x:v>
      </x:c>
      <x:c r="N56" s="12" t="n">
        <x:v>0</x:v>
      </x:c>
      <x:c r="O56" s="12" t="n">
        <x:v>0</x:v>
      </x:c>
      <x:c r="P56" s="12" t="str"/>
      <x:c r="Q56" s="10" t="str">
        <x:f>IF(AND(M56=1,B56&lt;&gt;"",C56&lt;&gt;"",G56&lt;&gt;"",J56&lt;&gt;"",K56&lt;&gt;""),"PASS","FAIL")</x:f>
        <x:v>PASS</x:v>
      </x:c>
      <x:c r="R56" s="10" t="str">
        <x:f>IF(Q56&lt;&gt;"PASS","FAIL",IF(AND(N56=0,O56=0,P56=""),"OPEN",IF(AND(N56=1,O56&gt;='Controls'!$D$66,P56=K56),"PASS","FAIL")))</x:f>
        <x:v>OPEN</x:v>
      </x:c>
    </x:row>
    <x:row r="57">
      <x:c r="B57" s="10" t="str">
        <x:v>MCR-F-C-A-W11</x:v>
      </x:c>
      <x:c r="C57" s="10" t="str">
        <x:v>inserted fault</x:v>
      </x:c>
      <x:c r="D57" s="10" t="str">
        <x:v>PTC-C</x:v>
      </x:c>
      <x:c r="E57" s="10" t="str">
        <x:v>LN-12</x:v>
      </x:c>
      <x:c r="F57" s="10" t="str">
        <x:v>MC-C1</x:v>
      </x:c>
      <x:c r="G57" s="10" t="str">
        <x:v>A</x:v>
      </x:c>
      <x:c r="H57" s="22" t="str">
        <x:v>W11</x:v>
      </x:c>
      <x:c r="I57" s="10" t="n">
        <x:v>0.05</x:v>
      </x:c>
      <x:c r="J57" s="10" t="str">
        <x:v>live source</x:v>
      </x:c>
      <x:c r="K57" s="10" t="str">
        <x:v>SAFE STATE AND REPLAY</x:v>
      </x:c>
      <x:c r="L57" s="18" t="n">
        <x:f>IF(C57="cross-site replay",0,I57*'Controls'!$D$8)</x:f>
        <x:v>100</x:v>
      </x:c>
      <x:c r="M57" s="10" t="n">
        <x:v>1</x:v>
      </x:c>
      <x:c r="N57" s="12" t="n">
        <x:v>0</x:v>
      </x:c>
      <x:c r="O57" s="12" t="n">
        <x:v>0</x:v>
      </x:c>
      <x:c r="P57" s="12" t="str"/>
      <x:c r="Q57" s="10" t="str">
        <x:f>IF(AND(M57=1,B57&lt;&gt;"",C57&lt;&gt;"",G57&lt;&gt;"",J57&lt;&gt;"",K57&lt;&gt;""),"PASS","FAIL")</x:f>
        <x:v>PASS</x:v>
      </x:c>
      <x:c r="R57" s="10" t="str">
        <x:f>IF(Q57&lt;&gt;"PASS","FAIL",IF(AND(N57=0,O57=0,P57=""),"OPEN",IF(AND(N57=1,O57&gt;='Controls'!$D$66,P57=K57),"PASS","FAIL")))</x:f>
        <x:v>OPEN</x:v>
      </x:c>
    </x:row>
    <x:row r="58">
      <x:c r="B58" s="10" t="str">
        <x:v>MCR-F-C-A-W12</x:v>
      </x:c>
      <x:c r="C58" s="10" t="str">
        <x:v>inserted fault</x:v>
      </x:c>
      <x:c r="D58" s="10" t="str">
        <x:v>PTC-C</x:v>
      </x:c>
      <x:c r="E58" s="10" t="str">
        <x:v>LN-12</x:v>
      </x:c>
      <x:c r="F58" s="10" t="str">
        <x:v>MC-C1</x:v>
      </x:c>
      <x:c r="G58" s="10" t="str">
        <x:v>A</x:v>
      </x:c>
      <x:c r="H58" s="22" t="str">
        <x:v>W12</x:v>
      </x:c>
      <x:c r="I58" s="10" t="n">
        <x:v>0.05</x:v>
      </x:c>
      <x:c r="J58" s="10" t="str">
        <x:v>live source</x:v>
      </x:c>
      <x:c r="K58" s="10" t="str">
        <x:v>SAFE STATE AND REPLAY</x:v>
      </x:c>
      <x:c r="L58" s="18" t="n">
        <x:f>IF(C58="cross-site replay",0,I58*'Controls'!$D$8)</x:f>
        <x:v>100</x:v>
      </x:c>
      <x:c r="M58" s="10" t="n">
        <x:v>1</x:v>
      </x:c>
      <x:c r="N58" s="12" t="n">
        <x:v>0</x:v>
      </x:c>
      <x:c r="O58" s="12" t="n">
        <x:v>0</x:v>
      </x:c>
      <x:c r="P58" s="12" t="str"/>
      <x:c r="Q58" s="10" t="str">
        <x:f>IF(AND(M58=1,B58&lt;&gt;"",C58&lt;&gt;"",G58&lt;&gt;"",J58&lt;&gt;"",K58&lt;&gt;""),"PASS","FAIL")</x:f>
        <x:v>PASS</x:v>
      </x:c>
      <x:c r="R58" s="10" t="str">
        <x:f>IF(Q58&lt;&gt;"PASS","FAIL",IF(AND(N58=0,O58=0,P58=""),"OPEN",IF(AND(N58=1,O58&gt;='Controls'!$D$66,P58=K58),"PASS","FAIL")))</x:f>
        <x:v>OPEN</x:v>
      </x:c>
    </x:row>
    <x:row r="59">
      <x:c r="B59" s="10" t="str">
        <x:v>MCR-C-C-A-W02</x:v>
      </x:c>
      <x:c r="C59" s="10" t="str">
        <x:v>clean control</x:v>
      </x:c>
      <x:c r="D59" s="10" t="str">
        <x:v>PTC-C</x:v>
      </x:c>
      <x:c r="E59" s="10" t="str">
        <x:v>LN-12</x:v>
      </x:c>
      <x:c r="F59" s="10" t="str">
        <x:v>MC-C1</x:v>
      </x:c>
      <x:c r="G59" s="10" t="str">
        <x:v>A</x:v>
      </x:c>
      <x:c r="H59" s="22" t="str">
        <x:v>W02</x:v>
      </x:c>
      <x:c r="I59" s="10" t="n">
        <x:v>0.05</x:v>
      </x:c>
      <x:c r="J59" s="10" t="str">
        <x:v>live source</x:v>
      </x:c>
      <x:c r="K59" s="10" t="str">
        <x:v>PASS</x:v>
      </x:c>
      <x:c r="L59" s="18" t="n">
        <x:f>IF(C59="cross-site replay",0,I59*'Controls'!$D$8)</x:f>
        <x:v>100</x:v>
      </x:c>
      <x:c r="M59" s="10" t="n">
        <x:v>1</x:v>
      </x:c>
      <x:c r="N59" s="12" t="n">
        <x:v>0</x:v>
      </x:c>
      <x:c r="O59" s="12" t="n">
        <x:v>0</x:v>
      </x:c>
      <x:c r="P59" s="12" t="str"/>
      <x:c r="Q59" s="10" t="str">
        <x:f>IF(AND(M59=1,B59&lt;&gt;"",C59&lt;&gt;"",G59&lt;&gt;"",J59&lt;&gt;"",K59&lt;&gt;""),"PASS","FAIL")</x:f>
        <x:v>PASS</x:v>
      </x:c>
      <x:c r="R59" s="10" t="str">
        <x:f>IF(Q59&lt;&gt;"PASS","FAIL",IF(AND(N59=0,O59=0,P59=""),"OPEN",IF(AND(N59=1,O59&gt;='Controls'!$D$66,P59=K59),"PASS","FAIL")))</x:f>
        <x:v>OPEN</x:v>
      </x:c>
    </x:row>
    <x:row r="60">
      <x:c r="B60" s="10" t="str">
        <x:v>MCR-C-C-A-W03</x:v>
      </x:c>
      <x:c r="C60" s="10" t="str">
        <x:v>clean control</x:v>
      </x:c>
      <x:c r="D60" s="10" t="str">
        <x:v>PTC-C</x:v>
      </x:c>
      <x:c r="E60" s="10" t="str">
        <x:v>LN-12</x:v>
      </x:c>
      <x:c r="F60" s="10" t="str">
        <x:v>MC-C1</x:v>
      </x:c>
      <x:c r="G60" s="10" t="str">
        <x:v>A</x:v>
      </x:c>
      <x:c r="H60" s="22" t="str">
        <x:v>W03</x:v>
      </x:c>
      <x:c r="I60" s="10" t="n">
        <x:v>1</x:v>
      </x:c>
      <x:c r="J60" s="10" t="str">
        <x:v>live source</x:v>
      </x:c>
      <x:c r="K60" s="10" t="str">
        <x:v>PASS</x:v>
      </x:c>
      <x:c r="L60" s="18" t="n">
        <x:f>IF(C60="cross-site replay",0,I60*'Controls'!$D$8)</x:f>
        <x:v>2000</x:v>
      </x:c>
      <x:c r="M60" s="10" t="n">
        <x:v>1</x:v>
      </x:c>
      <x:c r="N60" s="12" t="n">
        <x:v>0</x:v>
      </x:c>
      <x:c r="O60" s="12" t="n">
        <x:v>0</x:v>
      </x:c>
      <x:c r="P60" s="12" t="str"/>
      <x:c r="Q60" s="10" t="str">
        <x:f>IF(AND(M60=1,B60&lt;&gt;"",C60&lt;&gt;"",G60&lt;&gt;"",J60&lt;&gt;"",K60&lt;&gt;""),"PASS","FAIL")</x:f>
        <x:v>PASS</x:v>
      </x:c>
      <x:c r="R60" s="10" t="str">
        <x:f>IF(Q60&lt;&gt;"PASS","FAIL",IF(AND(N60=0,O60=0,P60=""),"OPEN",IF(AND(N60=1,O60&gt;='Controls'!$D$66,P60=K60),"PASS","FAIL")))</x:f>
        <x:v>OPEN</x:v>
      </x:c>
    </x:row>
    <x:row r="61">
      <x:c r="B61" s="10" t="str">
        <x:v>MCR-C-C-A-W06</x:v>
      </x:c>
      <x:c r="C61" s="10" t="str">
        <x:v>clean control</x:v>
      </x:c>
      <x:c r="D61" s="10" t="str">
        <x:v>PTC-C</x:v>
      </x:c>
      <x:c r="E61" s="10" t="str">
        <x:v>LN-12</x:v>
      </x:c>
      <x:c r="F61" s="10" t="str">
        <x:v>MC-C1</x:v>
      </x:c>
      <x:c r="G61" s="10" t="str">
        <x:v>A</x:v>
      </x:c>
      <x:c r="H61" s="22" t="str">
        <x:v>W06</x:v>
      </x:c>
      <x:c r="I61" s="10" t="n">
        <x:v>0.1</x:v>
      </x:c>
      <x:c r="J61" s="10" t="str">
        <x:v>live source</x:v>
      </x:c>
      <x:c r="K61" s="10" t="str">
        <x:v>PASS</x:v>
      </x:c>
      <x:c r="L61" s="18" t="n">
        <x:f>IF(C61="cross-site replay",0,I61*'Controls'!$D$8)</x:f>
        <x:v>200</x:v>
      </x:c>
      <x:c r="M61" s="10" t="n">
        <x:v>1</x:v>
      </x:c>
      <x:c r="N61" s="12" t="n">
        <x:v>0</x:v>
      </x:c>
      <x:c r="O61" s="12" t="n">
        <x:v>0</x:v>
      </x:c>
      <x:c r="P61" s="12" t="str"/>
      <x:c r="Q61" s="10" t="str">
        <x:f>IF(AND(M61=1,B61&lt;&gt;"",C61&lt;&gt;"",G61&lt;&gt;"",J61&lt;&gt;"",K61&lt;&gt;""),"PASS","FAIL")</x:f>
        <x:v>PASS</x:v>
      </x:c>
      <x:c r="R61" s="10" t="str">
        <x:f>IF(Q61&lt;&gt;"PASS","FAIL",IF(AND(N61=0,O61=0,P61=""),"OPEN",IF(AND(N61=1,O61&gt;='Controls'!$D$66,P61=K61),"PASS","FAIL")))</x:f>
        <x:v>OPEN</x:v>
      </x:c>
    </x:row>
    <x:row r="62">
      <x:c r="B62" s="10" t="str">
        <x:v>MCR-C-C-A-W07</x:v>
      </x:c>
      <x:c r="C62" s="10" t="str">
        <x:v>clean control</x:v>
      </x:c>
      <x:c r="D62" s="10" t="str">
        <x:v>PTC-C</x:v>
      </x:c>
      <x:c r="E62" s="10" t="str">
        <x:v>LN-12</x:v>
      </x:c>
      <x:c r="F62" s="10" t="str">
        <x:v>MC-C1</x:v>
      </x:c>
      <x:c r="G62" s="10" t="str">
        <x:v>A</x:v>
      </x:c>
      <x:c r="H62" s="22" t="str">
        <x:v>W07</x:v>
      </x:c>
      <x:c r="I62" s="10" t="n">
        <x:v>0.25</x:v>
      </x:c>
      <x:c r="J62" s="10" t="str">
        <x:v>live source</x:v>
      </x:c>
      <x:c r="K62" s="10" t="str">
        <x:v>PASS</x:v>
      </x:c>
      <x:c r="L62" s="18" t="n">
        <x:f>IF(C62="cross-site replay",0,I62*'Controls'!$D$8)</x:f>
        <x:v>500</x:v>
      </x:c>
      <x:c r="M62" s="10" t="n">
        <x:v>1</x:v>
      </x:c>
      <x:c r="N62" s="12" t="n">
        <x:v>0</x:v>
      </x:c>
      <x:c r="O62" s="12" t="n">
        <x:v>0</x:v>
      </x:c>
      <x:c r="P62" s="12" t="str"/>
      <x:c r="Q62" s="10" t="str">
        <x:f>IF(AND(M62=1,B62&lt;&gt;"",C62&lt;&gt;"",G62&lt;&gt;"",J62&lt;&gt;"",K62&lt;&gt;""),"PASS","FAIL")</x:f>
        <x:v>PASS</x:v>
      </x:c>
      <x:c r="R62" s="10" t="str">
        <x:f>IF(Q62&lt;&gt;"PASS","FAIL",IF(AND(N62=0,O62=0,P62=""),"OPEN",IF(AND(N62=1,O62&gt;='Controls'!$D$66,P62=K62),"PASS","FAIL")))</x:f>
        <x:v>OPEN</x:v>
      </x:c>
    </x:row>
    <x:row r="63">
      <x:c r="B63" s="10" t="str">
        <x:v>MCR-C-C-A-W08</x:v>
      </x:c>
      <x:c r="C63" s="10" t="str">
        <x:v>clean control</x:v>
      </x:c>
      <x:c r="D63" s="10" t="str">
        <x:v>PTC-C</x:v>
      </x:c>
      <x:c r="E63" s="10" t="str">
        <x:v>LN-12</x:v>
      </x:c>
      <x:c r="F63" s="10" t="str">
        <x:v>MC-C1</x:v>
      </x:c>
      <x:c r="G63" s="10" t="str">
        <x:v>A</x:v>
      </x:c>
      <x:c r="H63" s="22" t="str">
        <x:v>W08</x:v>
      </x:c>
      <x:c r="I63" s="10" t="n">
        <x:v>0.05</x:v>
      </x:c>
      <x:c r="J63" s="10" t="str">
        <x:v>live source</x:v>
      </x:c>
      <x:c r="K63" s="10" t="str">
        <x:v>PASS</x:v>
      </x:c>
      <x:c r="L63" s="18" t="n">
        <x:f>IF(C63="cross-site replay",0,I63*'Controls'!$D$8)</x:f>
        <x:v>100</x:v>
      </x:c>
      <x:c r="M63" s="10" t="n">
        <x:v>1</x:v>
      </x:c>
      <x:c r="N63" s="12" t="n">
        <x:v>0</x:v>
      </x:c>
      <x:c r="O63" s="12" t="n">
        <x:v>0</x:v>
      </x:c>
      <x:c r="P63" s="12" t="str"/>
      <x:c r="Q63" s="10" t="str">
        <x:f>IF(AND(M63=1,B63&lt;&gt;"",C63&lt;&gt;"",G63&lt;&gt;"",J63&lt;&gt;"",K63&lt;&gt;""),"PASS","FAIL")</x:f>
        <x:v>PASS</x:v>
      </x:c>
      <x:c r="R63" s="10" t="str">
        <x:f>IF(Q63&lt;&gt;"PASS","FAIL",IF(AND(N63=0,O63=0,P63=""),"OPEN",IF(AND(N63=1,O63&gt;='Controls'!$D$66,P63=K63),"PASS","FAIL")))</x:f>
        <x:v>OPEN</x:v>
      </x:c>
    </x:row>
    <x:row r="64">
      <x:c r="B64" s="10" t="str">
        <x:v>MCR-C-C-A-W09</x:v>
      </x:c>
      <x:c r="C64" s="10" t="str">
        <x:v>clean control</x:v>
      </x:c>
      <x:c r="D64" s="10" t="str">
        <x:v>PTC-C</x:v>
      </x:c>
      <x:c r="E64" s="10" t="str">
        <x:v>LN-12</x:v>
      </x:c>
      <x:c r="F64" s="10" t="str">
        <x:v>MC-C1</x:v>
      </x:c>
      <x:c r="G64" s="10" t="str">
        <x:v>A</x:v>
      </x:c>
      <x:c r="H64" s="22" t="str">
        <x:v>W09</x:v>
      </x:c>
      <x:c r="I64" s="10" t="n">
        <x:v>1</x:v>
      </x:c>
      <x:c r="J64" s="10" t="str">
        <x:v>live source</x:v>
      </x:c>
      <x:c r="K64" s="10" t="str">
        <x:v>PASS</x:v>
      </x:c>
      <x:c r="L64" s="18" t="n">
        <x:f>IF(C64="cross-site replay",0,I64*'Controls'!$D$8)</x:f>
        <x:v>2000</x:v>
      </x:c>
      <x:c r="M64" s="10" t="n">
        <x:v>1</x:v>
      </x:c>
      <x:c r="N64" s="12" t="n">
        <x:v>0</x:v>
      </x:c>
      <x:c r="O64" s="12" t="n">
        <x:v>0</x:v>
      </x:c>
      <x:c r="P64" s="12" t="str"/>
      <x:c r="Q64" s="10" t="str">
        <x:f>IF(AND(M64=1,B64&lt;&gt;"",C64&lt;&gt;"",G64&lt;&gt;"",J64&lt;&gt;"",K64&lt;&gt;""),"PASS","FAIL")</x:f>
        <x:v>PASS</x:v>
      </x:c>
      <x:c r="R64" s="10" t="str">
        <x:f>IF(Q64&lt;&gt;"PASS","FAIL",IF(AND(N64=0,O64=0,P64=""),"OPEN",IF(AND(N64=1,O64&gt;='Controls'!$D$66,P64=K64),"PASS","FAIL")))</x:f>
        <x:v>OPEN</x:v>
      </x:c>
    </x:row>
    <x:row r="65">
      <x:c r="B65" s="10" t="str">
        <x:v>MCR-R-C-A-1</x:v>
      </x:c>
      <x:c r="C65" s="10" t="str">
        <x:v>cross-site replay</x:v>
      </x:c>
      <x:c r="D65" s="10" t="str">
        <x:v>PTC-C</x:v>
      </x:c>
      <x:c r="E65" s="10" t="str">
        <x:v>LN-12</x:v>
      </x:c>
      <x:c r="F65" s="10" t="str">
        <x:v>MC-C1</x:v>
      </x:c>
      <x:c r="G65" s="10" t="str">
        <x:v>A</x:v>
      </x:c>
      <x:c r="H65" s="22" t="str">
        <x:v>R01</x:v>
      </x:c>
      <x:c r="I65" s="10" t="n">
        <x:v>0</x:v>
      </x:c>
      <x:c r="J65" s="10" t="str">
        <x:v>sealed packet</x:v>
      </x:c>
      <x:c r="K65" s="10" t="str">
        <x:v>MATCH</x:v>
      </x:c>
      <x:c r="L65" s="18" t="n">
        <x:f>IF(C65="cross-site replay",0,I65*'Controls'!$D$8)</x:f>
        <x:v>0</x:v>
      </x:c>
      <x:c r="M65" s="10" t="n">
        <x:v>1</x:v>
      </x:c>
      <x:c r="N65" s="12" t="n">
        <x:v>0</x:v>
      </x:c>
      <x:c r="O65" s="12" t="n">
        <x:v>0</x:v>
      </x:c>
      <x:c r="P65" s="12" t="str"/>
      <x:c r="Q65" s="10" t="str">
        <x:f>IF(AND(M65=1,B65&lt;&gt;"",C65&lt;&gt;"",G65&lt;&gt;"",J65&lt;&gt;"",K65&lt;&gt;""),"PASS","FAIL")</x:f>
        <x:v>PASS</x:v>
      </x:c>
      <x:c r="R65" s="10" t="str">
        <x:f>IF(Q65&lt;&gt;"PASS","FAIL",IF(AND(N65=0,O65=0,P65=""),"OPEN",IF(AND(N65=1,O65&gt;='Controls'!$D$66,P65=K65),"PASS","FAIL")))</x:f>
        <x:v>OPEN</x:v>
      </x:c>
    </x:row>
    <x:row r="66">
      <x:c r="B66" s="10" t="str">
        <x:v>MCR-R-C-A-2</x:v>
      </x:c>
      <x:c r="C66" s="10" t="str">
        <x:v>cross-site replay</x:v>
      </x:c>
      <x:c r="D66" s="10" t="str">
        <x:v>PTC-C</x:v>
      </x:c>
      <x:c r="E66" s="10" t="str">
        <x:v>LN-12</x:v>
      </x:c>
      <x:c r="F66" s="10" t="str">
        <x:v>MC-C1</x:v>
      </x:c>
      <x:c r="G66" s="10" t="str">
        <x:v>A</x:v>
      </x:c>
      <x:c r="H66" s="22" t="str">
        <x:v>R02</x:v>
      </x:c>
      <x:c r="I66" s="10" t="n">
        <x:v>0</x:v>
      </x:c>
      <x:c r="J66" s="10" t="str">
        <x:v>sealed packet</x:v>
      </x:c>
      <x:c r="K66" s="10" t="str">
        <x:v>MATCH</x:v>
      </x:c>
      <x:c r="L66" s="18" t="n">
        <x:f>IF(C66="cross-site replay",0,I66*'Controls'!$D$8)</x:f>
        <x:v>0</x:v>
      </x:c>
      <x:c r="M66" s="10" t="n">
        <x:v>1</x:v>
      </x:c>
      <x:c r="N66" s="12" t="n">
        <x:v>0</x:v>
      </x:c>
      <x:c r="O66" s="12" t="n">
        <x:v>0</x:v>
      </x:c>
      <x:c r="P66" s="12" t="str"/>
      <x:c r="Q66" s="10" t="str">
        <x:f>IF(AND(M66=1,B66&lt;&gt;"",C66&lt;&gt;"",G66&lt;&gt;"",J66&lt;&gt;"",K66&lt;&gt;""),"PASS","FAIL")</x:f>
        <x:v>PASS</x:v>
      </x:c>
      <x:c r="R66" s="10" t="str">
        <x:f>IF(Q66&lt;&gt;"PASS","FAIL",IF(AND(N66=0,O66=0,P66=""),"OPEN",IF(AND(N66=1,O66&gt;='Controls'!$D$66,P66=K66),"PASS","FAIL")))</x:f>
        <x:v>OPEN</x:v>
      </x:c>
    </x:row>
    <x:row r="67">
      <x:c r="B67" s="10" t="str">
        <x:v>MCR-F-C-B-W01</x:v>
      </x:c>
      <x:c r="C67" s="10" t="str">
        <x:v>inserted fault</x:v>
      </x:c>
      <x:c r="D67" s="10" t="str">
        <x:v>PTC-C</x:v>
      </x:c>
      <x:c r="E67" s="10" t="str">
        <x:v>LN-12</x:v>
      </x:c>
      <x:c r="F67" s="10" t="str">
        <x:v>MC-C1</x:v>
      </x:c>
      <x:c r="G67" s="10" t="str">
        <x:v>B</x:v>
      </x:c>
      <x:c r="H67" s="22" t="str">
        <x:v>W01</x:v>
      </x:c>
      <x:c r="I67" s="10" t="n">
        <x:v>0.01</x:v>
      </x:c>
      <x:c r="J67" s="10" t="str">
        <x:v>live source</x:v>
      </x:c>
      <x:c r="K67" s="10" t="str">
        <x:v>SAFE STATE</x:v>
      </x:c>
      <x:c r="L67" s="18" t="n">
        <x:f>IF(C67="cross-site replay",0,I67*'Controls'!$D$8)</x:f>
        <x:v>20</x:v>
      </x:c>
      <x:c r="M67" s="10" t="n">
        <x:v>1</x:v>
      </x:c>
      <x:c r="N67" s="12" t="n">
        <x:v>0</x:v>
      </x:c>
      <x:c r="O67" s="12" t="n">
        <x:v>0</x:v>
      </x:c>
      <x:c r="P67" s="12" t="str"/>
      <x:c r="Q67" s="10" t="str">
        <x:f>IF(AND(M67=1,B67&lt;&gt;"",C67&lt;&gt;"",G67&lt;&gt;"",J67&lt;&gt;"",K67&lt;&gt;""),"PASS","FAIL")</x:f>
        <x:v>PASS</x:v>
      </x:c>
      <x:c r="R67" s="10" t="str">
        <x:f>IF(Q67&lt;&gt;"PASS","FAIL",IF(AND(N67=0,O67=0,P67=""),"OPEN",IF(AND(N67=1,O67&gt;='Controls'!$D$66,P67=K67),"PASS","FAIL")))</x:f>
        <x:v>OPEN</x:v>
      </x:c>
    </x:row>
    <x:row r="68">
      <x:c r="B68" s="10" t="str">
        <x:v>MCR-F-C-B-W02</x:v>
      </x:c>
      <x:c r="C68" s="10" t="str">
        <x:v>inserted fault</x:v>
      </x:c>
      <x:c r="D68" s="10" t="str">
        <x:v>PTC-C</x:v>
      </x:c>
      <x:c r="E68" s="10" t="str">
        <x:v>LN-12</x:v>
      </x:c>
      <x:c r="F68" s="10" t="str">
        <x:v>MC-C1</x:v>
      </x:c>
      <x:c r="G68" s="10" t="str">
        <x:v>B</x:v>
      </x:c>
      <x:c r="H68" s="22" t="str">
        <x:v>W02</x:v>
      </x:c>
      <x:c r="I68" s="10" t="n">
        <x:v>0.05</x:v>
      </x:c>
      <x:c r="J68" s="10" t="str">
        <x:v>live source</x:v>
      </x:c>
      <x:c r="K68" s="10" t="str">
        <x:v>SAFE STATE AND REPLAY</x:v>
      </x:c>
      <x:c r="L68" s="18" t="n">
        <x:f>IF(C68="cross-site replay",0,I68*'Controls'!$D$8)</x:f>
        <x:v>100</x:v>
      </x:c>
      <x:c r="M68" s="10" t="n">
        <x:v>1</x:v>
      </x:c>
      <x:c r="N68" s="12" t="n">
        <x:v>0</x:v>
      </x:c>
      <x:c r="O68" s="12" t="n">
        <x:v>0</x:v>
      </x:c>
      <x:c r="P68" s="12" t="str"/>
      <x:c r="Q68" s="10" t="str">
        <x:f>IF(AND(M68=1,B68&lt;&gt;"",C68&lt;&gt;"",G68&lt;&gt;"",J68&lt;&gt;"",K68&lt;&gt;""),"PASS","FAIL")</x:f>
        <x:v>PASS</x:v>
      </x:c>
      <x:c r="R68" s="10" t="str">
        <x:f>IF(Q68&lt;&gt;"PASS","FAIL",IF(AND(N68=0,O68=0,P68=""),"OPEN",IF(AND(N68=1,O68&gt;='Controls'!$D$66,P68=K68),"PASS","FAIL")))</x:f>
        <x:v>OPEN</x:v>
      </x:c>
    </x:row>
    <x:row r="69">
      <x:c r="B69" s="10" t="str">
        <x:v>MCR-F-C-B-W03</x:v>
      </x:c>
      <x:c r="C69" s="10" t="str">
        <x:v>inserted fault</x:v>
      </x:c>
      <x:c r="D69" s="10" t="str">
        <x:v>PTC-C</x:v>
      </x:c>
      <x:c r="E69" s="10" t="str">
        <x:v>LN-12</x:v>
      </x:c>
      <x:c r="F69" s="10" t="str">
        <x:v>MC-C1</x:v>
      </x:c>
      <x:c r="G69" s="10" t="str">
        <x:v>B</x:v>
      </x:c>
      <x:c r="H69" s="22" t="str">
        <x:v>W03</x:v>
      </x:c>
      <x:c r="I69" s="10" t="n">
        <x:v>1</x:v>
      </x:c>
      <x:c r="J69" s="10" t="str">
        <x:v>live source</x:v>
      </x:c>
      <x:c r="K69" s="10" t="str">
        <x:v>QUARANTINE</x:v>
      </x:c>
      <x:c r="L69" s="18" t="n">
        <x:f>IF(C69="cross-site replay",0,I69*'Controls'!$D$8)</x:f>
        <x:v>2000</x:v>
      </x:c>
      <x:c r="M69" s="10" t="n">
        <x:v>1</x:v>
      </x:c>
      <x:c r="N69" s="12" t="n">
        <x:v>0</x:v>
      </x:c>
      <x:c r="O69" s="12" t="n">
        <x:v>0</x:v>
      </x:c>
      <x:c r="P69" s="12" t="str"/>
      <x:c r="Q69" s="10" t="str">
        <x:f>IF(AND(M69=1,B69&lt;&gt;"",C69&lt;&gt;"",G69&lt;&gt;"",J69&lt;&gt;"",K69&lt;&gt;""),"PASS","FAIL")</x:f>
        <x:v>PASS</x:v>
      </x:c>
      <x:c r="R69" s="10" t="str">
        <x:f>IF(Q69&lt;&gt;"PASS","FAIL",IF(AND(N69=0,O69=0,P69=""),"OPEN",IF(AND(N69=1,O69&gt;='Controls'!$D$66,P69=K69),"PASS","FAIL")))</x:f>
        <x:v>OPEN</x:v>
      </x:c>
    </x:row>
    <x:row r="70">
      <x:c r="B70" s="10" t="str">
        <x:v>MCR-F-C-B-W04</x:v>
      </x:c>
      <x:c r="C70" s="10" t="str">
        <x:v>inserted fault</x:v>
      </x:c>
      <x:c r="D70" s="10" t="str">
        <x:v>PTC-C</x:v>
      </x:c>
      <x:c r="E70" s="10" t="str">
        <x:v>LN-12</x:v>
      </x:c>
      <x:c r="F70" s="10" t="str">
        <x:v>MC-C1</x:v>
      </x:c>
      <x:c r="G70" s="10" t="str">
        <x:v>B</x:v>
      </x:c>
      <x:c r="H70" s="22" t="str">
        <x:v>W04</x:v>
      </x:c>
      <x:c r="I70" s="10" t="n">
        <x:v>1</x:v>
      </x:c>
      <x:c r="J70" s="10" t="str">
        <x:v>live and inert neighbor</x:v>
      </x:c>
      <x:c r="K70" s="10" t="str">
        <x:v>QUARANTINE</x:v>
      </x:c>
      <x:c r="L70" s="18" t="n">
        <x:f>IF(C70="cross-site replay",0,I70*'Controls'!$D$8)</x:f>
        <x:v>2000</x:v>
      </x:c>
      <x:c r="M70" s="10" t="n">
        <x:v>1</x:v>
      </x:c>
      <x:c r="N70" s="12" t="n">
        <x:v>0</x:v>
      </x:c>
      <x:c r="O70" s="12" t="n">
        <x:v>0</x:v>
      </x:c>
      <x:c r="P70" s="12" t="str"/>
      <x:c r="Q70" s="10" t="str">
        <x:f>IF(AND(M70=1,B70&lt;&gt;"",C70&lt;&gt;"",G70&lt;&gt;"",J70&lt;&gt;"",K70&lt;&gt;""),"PASS","FAIL")</x:f>
        <x:v>PASS</x:v>
      </x:c>
      <x:c r="R70" s="10" t="str">
        <x:f>IF(Q70&lt;&gt;"PASS","FAIL",IF(AND(N70=0,O70=0,P70=""),"OPEN",IF(AND(N70=1,O70&gt;='Controls'!$D$66,P70=K70),"PASS","FAIL")))</x:f>
        <x:v>OPEN</x:v>
      </x:c>
    </x:row>
    <x:row r="71">
      <x:c r="B71" s="10" t="str">
        <x:v>MCR-F-C-B-W05</x:v>
      </x:c>
      <x:c r="C71" s="10" t="str">
        <x:v>inserted fault</x:v>
      </x:c>
      <x:c r="D71" s="10" t="str">
        <x:v>PTC-C</x:v>
      </x:c>
      <x:c r="E71" s="10" t="str">
        <x:v>LN-12</x:v>
      </x:c>
      <x:c r="F71" s="10" t="str">
        <x:v>MC-C1</x:v>
      </x:c>
      <x:c r="G71" s="10" t="str">
        <x:v>B</x:v>
      </x:c>
      <x:c r="H71" s="22" t="str">
        <x:v>W05</x:v>
      </x:c>
      <x:c r="I71" s="10" t="n">
        <x:v>0.1</x:v>
      </x:c>
      <x:c r="J71" s="10" t="str">
        <x:v>live source</x:v>
      </x:c>
      <x:c r="K71" s="10" t="str">
        <x:v>QUARANTINE</x:v>
      </x:c>
      <x:c r="L71" s="18" t="n">
        <x:f>IF(C71="cross-site replay",0,I71*'Controls'!$D$8)</x:f>
        <x:v>200</x:v>
      </x:c>
      <x:c r="M71" s="10" t="n">
        <x:v>1</x:v>
      </x:c>
      <x:c r="N71" s="12" t="n">
        <x:v>0</x:v>
      </x:c>
      <x:c r="O71" s="12" t="n">
        <x:v>0</x:v>
      </x:c>
      <x:c r="P71" s="12" t="str"/>
      <x:c r="Q71" s="10" t="str">
        <x:f>IF(AND(M71=1,B71&lt;&gt;"",C71&lt;&gt;"",G71&lt;&gt;"",J71&lt;&gt;"",K71&lt;&gt;""),"PASS","FAIL")</x:f>
        <x:v>PASS</x:v>
      </x:c>
      <x:c r="R71" s="10" t="str">
        <x:f>IF(Q71&lt;&gt;"PASS","FAIL",IF(AND(N71=0,O71=0,P71=""),"OPEN",IF(AND(N71=1,O71&gt;='Controls'!$D$66,P71=K71),"PASS","FAIL")))</x:f>
        <x:v>OPEN</x:v>
      </x:c>
    </x:row>
    <x:row r="72">
      <x:c r="B72" s="10" t="str">
        <x:v>MCR-F-C-B-W06</x:v>
      </x:c>
      <x:c r="C72" s="10" t="str">
        <x:v>inserted fault</x:v>
      </x:c>
      <x:c r="D72" s="10" t="str">
        <x:v>PTC-C</x:v>
      </x:c>
      <x:c r="E72" s="10" t="str">
        <x:v>LN-12</x:v>
      </x:c>
      <x:c r="F72" s="10" t="str">
        <x:v>MC-C1</x:v>
      </x:c>
      <x:c r="G72" s="10" t="str">
        <x:v>B</x:v>
      </x:c>
      <x:c r="H72" s="22" t="str">
        <x:v>W06</x:v>
      </x:c>
      <x:c r="I72" s="10" t="n">
        <x:v>0.1</x:v>
      </x:c>
      <x:c r="J72" s="10" t="str">
        <x:v>live source</x:v>
      </x:c>
      <x:c r="K72" s="10" t="str">
        <x:v>SAFE STATE</x:v>
      </x:c>
      <x:c r="L72" s="18" t="n">
        <x:f>IF(C72="cross-site replay",0,I72*'Controls'!$D$8)</x:f>
        <x:v>200</x:v>
      </x:c>
      <x:c r="M72" s="10" t="n">
        <x:v>1</x:v>
      </x:c>
      <x:c r="N72" s="12" t="n">
        <x:v>0</x:v>
      </x:c>
      <x:c r="O72" s="12" t="n">
        <x:v>0</x:v>
      </x:c>
      <x:c r="P72" s="12" t="str"/>
      <x:c r="Q72" s="10" t="str">
        <x:f>IF(AND(M72=1,B72&lt;&gt;"",C72&lt;&gt;"",G72&lt;&gt;"",J72&lt;&gt;"",K72&lt;&gt;""),"PASS","FAIL")</x:f>
        <x:v>PASS</x:v>
      </x:c>
      <x:c r="R72" s="10" t="str">
        <x:f>IF(Q72&lt;&gt;"PASS","FAIL",IF(AND(N72=0,O72=0,P72=""),"OPEN",IF(AND(N72=1,O72&gt;='Controls'!$D$66,P72=K72),"PASS","FAIL")))</x:f>
        <x:v>OPEN</x:v>
      </x:c>
    </x:row>
    <x:row r="73">
      <x:c r="B73" s="10" t="str">
        <x:v>MCR-F-C-B-W07</x:v>
      </x:c>
      <x:c r="C73" s="10" t="str">
        <x:v>inserted fault</x:v>
      </x:c>
      <x:c r="D73" s="10" t="str">
        <x:v>PTC-C</x:v>
      </x:c>
      <x:c r="E73" s="10" t="str">
        <x:v>LN-12</x:v>
      </x:c>
      <x:c r="F73" s="10" t="str">
        <x:v>MC-C1</x:v>
      </x:c>
      <x:c r="G73" s="10" t="str">
        <x:v>B</x:v>
      </x:c>
      <x:c r="H73" s="22" t="str">
        <x:v>W07</x:v>
      </x:c>
      <x:c r="I73" s="10" t="n">
        <x:v>0.25</x:v>
      </x:c>
      <x:c r="J73" s="10" t="str">
        <x:v>live source</x:v>
      </x:c>
      <x:c r="K73" s="10" t="str">
        <x:v>QUARANTINE</x:v>
      </x:c>
      <x:c r="L73" s="18" t="n">
        <x:f>IF(C73="cross-site replay",0,I73*'Controls'!$D$8)</x:f>
        <x:v>500</x:v>
      </x:c>
      <x:c r="M73" s="10" t="n">
        <x:v>1</x:v>
      </x:c>
      <x:c r="N73" s="12" t="n">
        <x:v>0</x:v>
      </x:c>
      <x:c r="O73" s="12" t="n">
        <x:v>0</x:v>
      </x:c>
      <x:c r="P73" s="12" t="str"/>
      <x:c r="Q73" s="10" t="str">
        <x:f>IF(AND(M73=1,B73&lt;&gt;"",C73&lt;&gt;"",G73&lt;&gt;"",J73&lt;&gt;"",K73&lt;&gt;""),"PASS","FAIL")</x:f>
        <x:v>PASS</x:v>
      </x:c>
      <x:c r="R73" s="10" t="str">
        <x:f>IF(Q73&lt;&gt;"PASS","FAIL",IF(AND(N73=0,O73=0,P73=""),"OPEN",IF(AND(N73=1,O73&gt;='Controls'!$D$66,P73=K73),"PASS","FAIL")))</x:f>
        <x:v>OPEN</x:v>
      </x:c>
    </x:row>
    <x:row r="74">
      <x:c r="B74" s="10" t="str">
        <x:v>MCR-F-C-B-W08</x:v>
      </x:c>
      <x:c r="C74" s="10" t="str">
        <x:v>inserted fault</x:v>
      </x:c>
      <x:c r="D74" s="10" t="str">
        <x:v>PTC-C</x:v>
      </x:c>
      <x:c r="E74" s="10" t="str">
        <x:v>LN-12</x:v>
      </x:c>
      <x:c r="F74" s="10" t="str">
        <x:v>MC-C1</x:v>
      </x:c>
      <x:c r="G74" s="10" t="str">
        <x:v>B</x:v>
      </x:c>
      <x:c r="H74" s="22" t="str">
        <x:v>W08</x:v>
      </x:c>
      <x:c r="I74" s="10" t="n">
        <x:v>0.05</x:v>
      </x:c>
      <x:c r="J74" s="10" t="str">
        <x:v>live source</x:v>
      </x:c>
      <x:c r="K74" s="10" t="str">
        <x:v>SAFE STATE AND REPLAY</x:v>
      </x:c>
      <x:c r="L74" s="18" t="n">
        <x:f>IF(C74="cross-site replay",0,I74*'Controls'!$D$8)</x:f>
        <x:v>100</x:v>
      </x:c>
      <x:c r="M74" s="10" t="n">
        <x:v>1</x:v>
      </x:c>
      <x:c r="N74" s="12" t="n">
        <x:v>0</x:v>
      </x:c>
      <x:c r="O74" s="12" t="n">
        <x:v>0</x:v>
      </x:c>
      <x:c r="P74" s="12" t="str"/>
      <x:c r="Q74" s="10" t="str">
        <x:f>IF(AND(M74=1,B74&lt;&gt;"",C74&lt;&gt;"",G74&lt;&gt;"",J74&lt;&gt;"",K74&lt;&gt;""),"PASS","FAIL")</x:f>
        <x:v>PASS</x:v>
      </x:c>
      <x:c r="R74" s="10" t="str">
        <x:f>IF(Q74&lt;&gt;"PASS","FAIL",IF(AND(N74=0,O74=0,P74=""),"OPEN",IF(AND(N74=1,O74&gt;='Controls'!$D$66,P74=K74),"PASS","FAIL")))</x:f>
        <x:v>OPEN</x:v>
      </x:c>
    </x:row>
    <x:row r="75">
      <x:c r="B75" s="10" t="str">
        <x:v>MCR-F-C-B-W09</x:v>
      </x:c>
      <x:c r="C75" s="10" t="str">
        <x:v>inserted fault</x:v>
      </x:c>
      <x:c r="D75" s="10" t="str">
        <x:v>PTC-C</x:v>
      </x:c>
      <x:c r="E75" s="10" t="str">
        <x:v>LN-12</x:v>
      </x:c>
      <x:c r="F75" s="10" t="str">
        <x:v>MC-C1</x:v>
      </x:c>
      <x:c r="G75" s="10" t="str">
        <x:v>B</x:v>
      </x:c>
      <x:c r="H75" s="22" t="str">
        <x:v>W09</x:v>
      </x:c>
      <x:c r="I75" s="10" t="n">
        <x:v>1</x:v>
      </x:c>
      <x:c r="J75" s="10" t="str">
        <x:v>live source</x:v>
      </x:c>
      <x:c r="K75" s="10" t="str">
        <x:v>SAFE STATE AND REPLAY</x:v>
      </x:c>
      <x:c r="L75" s="18" t="n">
        <x:f>IF(C75="cross-site replay",0,I75*'Controls'!$D$8)</x:f>
        <x:v>2000</x:v>
      </x:c>
      <x:c r="M75" s="10" t="n">
        <x:v>1</x:v>
      </x:c>
      <x:c r="N75" s="12" t="n">
        <x:v>0</x:v>
      </x:c>
      <x:c r="O75" s="12" t="n">
        <x:v>0</x:v>
      </x:c>
      <x:c r="P75" s="12" t="str"/>
      <x:c r="Q75" s="10" t="str">
        <x:f>IF(AND(M75=1,B75&lt;&gt;"",C75&lt;&gt;"",G75&lt;&gt;"",J75&lt;&gt;"",K75&lt;&gt;""),"PASS","FAIL")</x:f>
        <x:v>PASS</x:v>
      </x:c>
      <x:c r="R75" s="10" t="str">
        <x:f>IF(Q75&lt;&gt;"PASS","FAIL",IF(AND(N75=0,O75=0,P75=""),"OPEN",IF(AND(N75=1,O75&gt;='Controls'!$D$66,P75=K75),"PASS","FAIL")))</x:f>
        <x:v>OPEN</x:v>
      </x:c>
    </x:row>
    <x:row r="76">
      <x:c r="B76" s="10" t="str">
        <x:v>MCR-F-C-B-W10</x:v>
      </x:c>
      <x:c r="C76" s="10" t="str">
        <x:v>inserted fault</x:v>
      </x:c>
      <x:c r="D76" s="10" t="str">
        <x:v>PTC-C</x:v>
      </x:c>
      <x:c r="E76" s="10" t="str">
        <x:v>LN-12</x:v>
      </x:c>
      <x:c r="F76" s="10" t="str">
        <x:v>MC-C1</x:v>
      </x:c>
      <x:c r="G76" s="10" t="str">
        <x:v>B</x:v>
      </x:c>
      <x:c r="H76" s="22" t="str">
        <x:v>W10</x:v>
      </x:c>
      <x:c r="I76" s="10" t="n">
        <x:v>0.1</x:v>
      </x:c>
      <x:c r="J76" s="10" t="str">
        <x:v>live source</x:v>
      </x:c>
      <x:c r="K76" s="10" t="str">
        <x:v>QUARANTINE</x:v>
      </x:c>
      <x:c r="L76" s="18" t="n">
        <x:f>IF(C76="cross-site replay",0,I76*'Controls'!$D$8)</x:f>
        <x:v>200</x:v>
      </x:c>
      <x:c r="M76" s="10" t="n">
        <x:v>1</x:v>
      </x:c>
      <x:c r="N76" s="12" t="n">
        <x:v>0</x:v>
      </x:c>
      <x:c r="O76" s="12" t="n">
        <x:v>0</x:v>
      </x:c>
      <x:c r="P76" s="12" t="str"/>
      <x:c r="Q76" s="10" t="str">
        <x:f>IF(AND(M76=1,B76&lt;&gt;"",C76&lt;&gt;"",G76&lt;&gt;"",J76&lt;&gt;"",K76&lt;&gt;""),"PASS","FAIL")</x:f>
        <x:v>PASS</x:v>
      </x:c>
      <x:c r="R76" s="10" t="str">
        <x:f>IF(Q76&lt;&gt;"PASS","FAIL",IF(AND(N76=0,O76=0,P76=""),"OPEN",IF(AND(N76=1,O76&gt;='Controls'!$D$66,P76=K76),"PASS","FAIL")))</x:f>
        <x:v>OPEN</x:v>
      </x:c>
    </x:row>
    <x:row r="77">
      <x:c r="B77" s="10" t="str">
        <x:v>MCR-F-C-B-W11</x:v>
      </x:c>
      <x:c r="C77" s="10" t="str">
        <x:v>inserted fault</x:v>
      </x:c>
      <x:c r="D77" s="10" t="str">
        <x:v>PTC-C</x:v>
      </x:c>
      <x:c r="E77" s="10" t="str">
        <x:v>LN-12</x:v>
      </x:c>
      <x:c r="F77" s="10" t="str">
        <x:v>MC-C1</x:v>
      </x:c>
      <x:c r="G77" s="10" t="str">
        <x:v>B</x:v>
      </x:c>
      <x:c r="H77" s="22" t="str">
        <x:v>W11</x:v>
      </x:c>
      <x:c r="I77" s="10" t="n">
        <x:v>0.05</x:v>
      </x:c>
      <x:c r="J77" s="10" t="str">
        <x:v>live source</x:v>
      </x:c>
      <x:c r="K77" s="10" t="str">
        <x:v>SAFE STATE AND REPLAY</x:v>
      </x:c>
      <x:c r="L77" s="18" t="n">
        <x:f>IF(C77="cross-site replay",0,I77*'Controls'!$D$8)</x:f>
        <x:v>100</x:v>
      </x:c>
      <x:c r="M77" s="10" t="n">
        <x:v>1</x:v>
      </x:c>
      <x:c r="N77" s="12" t="n">
        <x:v>0</x:v>
      </x:c>
      <x:c r="O77" s="12" t="n">
        <x:v>0</x:v>
      </x:c>
      <x:c r="P77" s="12" t="str"/>
      <x:c r="Q77" s="10" t="str">
        <x:f>IF(AND(M77=1,B77&lt;&gt;"",C77&lt;&gt;"",G77&lt;&gt;"",J77&lt;&gt;"",K77&lt;&gt;""),"PASS","FAIL")</x:f>
        <x:v>PASS</x:v>
      </x:c>
      <x:c r="R77" s="10" t="str">
        <x:f>IF(Q77&lt;&gt;"PASS","FAIL",IF(AND(N77=0,O77=0,P77=""),"OPEN",IF(AND(N77=1,O77&gt;='Controls'!$D$66,P77=K77),"PASS","FAIL")))</x:f>
        <x:v>OPEN</x:v>
      </x:c>
    </x:row>
    <x:row r="78">
      <x:c r="B78" s="10" t="str">
        <x:v>MCR-F-C-B-W12</x:v>
      </x:c>
      <x:c r="C78" s="10" t="str">
        <x:v>inserted fault</x:v>
      </x:c>
      <x:c r="D78" s="10" t="str">
        <x:v>PTC-C</x:v>
      </x:c>
      <x:c r="E78" s="10" t="str">
        <x:v>LN-12</x:v>
      </x:c>
      <x:c r="F78" s="10" t="str">
        <x:v>MC-C1</x:v>
      </x:c>
      <x:c r="G78" s="10" t="str">
        <x:v>B</x:v>
      </x:c>
      <x:c r="H78" s="22" t="str">
        <x:v>W12</x:v>
      </x:c>
      <x:c r="I78" s="10" t="n">
        <x:v>0.05</x:v>
      </x:c>
      <x:c r="J78" s="10" t="str">
        <x:v>live source</x:v>
      </x:c>
      <x:c r="K78" s="10" t="str">
        <x:v>SAFE STATE AND REPLAY</x:v>
      </x:c>
      <x:c r="L78" s="18" t="n">
        <x:f>IF(C78="cross-site replay",0,I78*'Controls'!$D$8)</x:f>
        <x:v>100</x:v>
      </x:c>
      <x:c r="M78" s="10" t="n">
        <x:v>1</x:v>
      </x:c>
      <x:c r="N78" s="12" t="n">
        <x:v>0</x:v>
      </x:c>
      <x:c r="O78" s="12" t="n">
        <x:v>0</x:v>
      </x:c>
      <x:c r="P78" s="12" t="str"/>
      <x:c r="Q78" s="10" t="str">
        <x:f>IF(AND(M78=1,B78&lt;&gt;"",C78&lt;&gt;"",G78&lt;&gt;"",J78&lt;&gt;"",K78&lt;&gt;""),"PASS","FAIL")</x:f>
        <x:v>PASS</x:v>
      </x:c>
      <x:c r="R78" s="10" t="str">
        <x:f>IF(Q78&lt;&gt;"PASS","FAIL",IF(AND(N78=0,O78=0,P78=""),"OPEN",IF(AND(N78=1,O78&gt;='Controls'!$D$66,P78=K78),"PASS","FAIL")))</x:f>
        <x:v>OPEN</x:v>
      </x:c>
    </x:row>
    <x:row r="79">
      <x:c r="B79" s="10" t="str">
        <x:v>MCR-C-C-B-W02</x:v>
      </x:c>
      <x:c r="C79" s="10" t="str">
        <x:v>clean control</x:v>
      </x:c>
      <x:c r="D79" s="10" t="str">
        <x:v>PTC-C</x:v>
      </x:c>
      <x:c r="E79" s="10" t="str">
        <x:v>LN-12</x:v>
      </x:c>
      <x:c r="F79" s="10" t="str">
        <x:v>MC-C1</x:v>
      </x:c>
      <x:c r="G79" s="10" t="str">
        <x:v>B</x:v>
      </x:c>
      <x:c r="H79" s="22" t="str">
        <x:v>W02</x:v>
      </x:c>
      <x:c r="I79" s="10" t="n">
        <x:v>0.05</x:v>
      </x:c>
      <x:c r="J79" s="10" t="str">
        <x:v>live source</x:v>
      </x:c>
      <x:c r="K79" s="10" t="str">
        <x:v>PASS</x:v>
      </x:c>
      <x:c r="L79" s="18" t="n">
        <x:f>IF(C79="cross-site replay",0,I79*'Controls'!$D$8)</x:f>
        <x:v>100</x:v>
      </x:c>
      <x:c r="M79" s="10" t="n">
        <x:v>1</x:v>
      </x:c>
      <x:c r="N79" s="12" t="n">
        <x:v>0</x:v>
      </x:c>
      <x:c r="O79" s="12" t="n">
        <x:v>0</x:v>
      </x:c>
      <x:c r="P79" s="12" t="str"/>
      <x:c r="Q79" s="10" t="str">
        <x:f>IF(AND(M79=1,B79&lt;&gt;"",C79&lt;&gt;"",G79&lt;&gt;"",J79&lt;&gt;"",K79&lt;&gt;""),"PASS","FAIL")</x:f>
        <x:v>PASS</x:v>
      </x:c>
      <x:c r="R79" s="10" t="str">
        <x:f>IF(Q79&lt;&gt;"PASS","FAIL",IF(AND(N79=0,O79=0,P79=""),"OPEN",IF(AND(N79=1,O79&gt;='Controls'!$D$66,P79=K79),"PASS","FAIL")))</x:f>
        <x:v>OPEN</x:v>
      </x:c>
    </x:row>
    <x:row r="80">
      <x:c r="B80" s="10" t="str">
        <x:v>MCR-C-C-B-W03</x:v>
      </x:c>
      <x:c r="C80" s="10" t="str">
        <x:v>clean control</x:v>
      </x:c>
      <x:c r="D80" s="10" t="str">
        <x:v>PTC-C</x:v>
      </x:c>
      <x:c r="E80" s="10" t="str">
        <x:v>LN-12</x:v>
      </x:c>
      <x:c r="F80" s="10" t="str">
        <x:v>MC-C1</x:v>
      </x:c>
      <x:c r="G80" s="10" t="str">
        <x:v>B</x:v>
      </x:c>
      <x:c r="H80" s="22" t="str">
        <x:v>W03</x:v>
      </x:c>
      <x:c r="I80" s="10" t="n">
        <x:v>1</x:v>
      </x:c>
      <x:c r="J80" s="10" t="str">
        <x:v>live source</x:v>
      </x:c>
      <x:c r="K80" s="10" t="str">
        <x:v>PASS</x:v>
      </x:c>
      <x:c r="L80" s="18" t="n">
        <x:f>IF(C80="cross-site replay",0,I80*'Controls'!$D$8)</x:f>
        <x:v>2000</x:v>
      </x:c>
      <x:c r="M80" s="10" t="n">
        <x:v>1</x:v>
      </x:c>
      <x:c r="N80" s="12" t="n">
        <x:v>0</x:v>
      </x:c>
      <x:c r="O80" s="12" t="n">
        <x:v>0</x:v>
      </x:c>
      <x:c r="P80" s="12" t="str"/>
      <x:c r="Q80" s="10" t="str">
        <x:f>IF(AND(M80=1,B80&lt;&gt;"",C80&lt;&gt;"",G80&lt;&gt;"",J80&lt;&gt;"",K80&lt;&gt;""),"PASS","FAIL")</x:f>
        <x:v>PASS</x:v>
      </x:c>
      <x:c r="R80" s="10" t="str">
        <x:f>IF(Q80&lt;&gt;"PASS","FAIL",IF(AND(N80=0,O80=0,P80=""),"OPEN",IF(AND(N80=1,O80&gt;='Controls'!$D$66,P80=K80),"PASS","FAIL")))</x:f>
        <x:v>OPEN</x:v>
      </x:c>
    </x:row>
    <x:row r="81">
      <x:c r="B81" s="10" t="str">
        <x:v>MCR-C-C-B-W06</x:v>
      </x:c>
      <x:c r="C81" s="10" t="str">
        <x:v>clean control</x:v>
      </x:c>
      <x:c r="D81" s="10" t="str">
        <x:v>PTC-C</x:v>
      </x:c>
      <x:c r="E81" s="10" t="str">
        <x:v>LN-12</x:v>
      </x:c>
      <x:c r="F81" s="10" t="str">
        <x:v>MC-C1</x:v>
      </x:c>
      <x:c r="G81" s="10" t="str">
        <x:v>B</x:v>
      </x:c>
      <x:c r="H81" s="22" t="str">
        <x:v>W06</x:v>
      </x:c>
      <x:c r="I81" s="10" t="n">
        <x:v>0.1</x:v>
      </x:c>
      <x:c r="J81" s="10" t="str">
        <x:v>live source</x:v>
      </x:c>
      <x:c r="K81" s="10" t="str">
        <x:v>PASS</x:v>
      </x:c>
      <x:c r="L81" s="18" t="n">
        <x:f>IF(C81="cross-site replay",0,I81*'Controls'!$D$8)</x:f>
        <x:v>200</x:v>
      </x:c>
      <x:c r="M81" s="10" t="n">
        <x:v>1</x:v>
      </x:c>
      <x:c r="N81" s="12" t="n">
        <x:v>0</x:v>
      </x:c>
      <x:c r="O81" s="12" t="n">
        <x:v>0</x:v>
      </x:c>
      <x:c r="P81" s="12" t="str"/>
      <x:c r="Q81" s="10" t="str">
        <x:f>IF(AND(M81=1,B81&lt;&gt;"",C81&lt;&gt;"",G81&lt;&gt;"",J81&lt;&gt;"",K81&lt;&gt;""),"PASS","FAIL")</x:f>
        <x:v>PASS</x:v>
      </x:c>
      <x:c r="R81" s="10" t="str">
        <x:f>IF(Q81&lt;&gt;"PASS","FAIL",IF(AND(N81=0,O81=0,P81=""),"OPEN",IF(AND(N81=1,O81&gt;='Controls'!$D$66,P81=K81),"PASS","FAIL")))</x:f>
        <x:v>OPEN</x:v>
      </x:c>
    </x:row>
    <x:row r="82">
      <x:c r="B82" s="10" t="str">
        <x:v>MCR-C-C-B-W07</x:v>
      </x:c>
      <x:c r="C82" s="10" t="str">
        <x:v>clean control</x:v>
      </x:c>
      <x:c r="D82" s="10" t="str">
        <x:v>PTC-C</x:v>
      </x:c>
      <x:c r="E82" s="10" t="str">
        <x:v>LN-12</x:v>
      </x:c>
      <x:c r="F82" s="10" t="str">
        <x:v>MC-C1</x:v>
      </x:c>
      <x:c r="G82" s="10" t="str">
        <x:v>B</x:v>
      </x:c>
      <x:c r="H82" s="22" t="str">
        <x:v>W07</x:v>
      </x:c>
      <x:c r="I82" s="10" t="n">
        <x:v>0.25</x:v>
      </x:c>
      <x:c r="J82" s="10" t="str">
        <x:v>live source</x:v>
      </x:c>
      <x:c r="K82" s="10" t="str">
        <x:v>PASS</x:v>
      </x:c>
      <x:c r="L82" s="18" t="n">
        <x:f>IF(C82="cross-site replay",0,I82*'Controls'!$D$8)</x:f>
        <x:v>500</x:v>
      </x:c>
      <x:c r="M82" s="10" t="n">
        <x:v>1</x:v>
      </x:c>
      <x:c r="N82" s="12" t="n">
        <x:v>0</x:v>
      </x:c>
      <x:c r="O82" s="12" t="n">
        <x:v>0</x:v>
      </x:c>
      <x:c r="P82" s="12" t="str"/>
      <x:c r="Q82" s="10" t="str">
        <x:f>IF(AND(M82=1,B82&lt;&gt;"",C82&lt;&gt;"",G82&lt;&gt;"",J82&lt;&gt;"",K82&lt;&gt;""),"PASS","FAIL")</x:f>
        <x:v>PASS</x:v>
      </x:c>
      <x:c r="R82" s="10" t="str">
        <x:f>IF(Q82&lt;&gt;"PASS","FAIL",IF(AND(N82=0,O82=0,P82=""),"OPEN",IF(AND(N82=1,O82&gt;='Controls'!$D$66,P82=K82),"PASS","FAIL")))</x:f>
        <x:v>OPEN</x:v>
      </x:c>
    </x:row>
    <x:row r="83">
      <x:c r="B83" s="10" t="str">
        <x:v>MCR-C-C-B-W08</x:v>
      </x:c>
      <x:c r="C83" s="10" t="str">
        <x:v>clean control</x:v>
      </x:c>
      <x:c r="D83" s="10" t="str">
        <x:v>PTC-C</x:v>
      </x:c>
      <x:c r="E83" s="10" t="str">
        <x:v>LN-12</x:v>
      </x:c>
      <x:c r="F83" s="10" t="str">
        <x:v>MC-C1</x:v>
      </x:c>
      <x:c r="G83" s="10" t="str">
        <x:v>B</x:v>
      </x:c>
      <x:c r="H83" s="22" t="str">
        <x:v>W08</x:v>
      </x:c>
      <x:c r="I83" s="10" t="n">
        <x:v>0.05</x:v>
      </x:c>
      <x:c r="J83" s="10" t="str">
        <x:v>live source</x:v>
      </x:c>
      <x:c r="K83" s="10" t="str">
        <x:v>PASS</x:v>
      </x:c>
      <x:c r="L83" s="18" t="n">
        <x:f>IF(C83="cross-site replay",0,I83*'Controls'!$D$8)</x:f>
        <x:v>100</x:v>
      </x:c>
      <x:c r="M83" s="10" t="n">
        <x:v>1</x:v>
      </x:c>
      <x:c r="N83" s="12" t="n">
        <x:v>0</x:v>
      </x:c>
      <x:c r="O83" s="12" t="n">
        <x:v>0</x:v>
      </x:c>
      <x:c r="P83" s="12" t="str"/>
      <x:c r="Q83" s="10" t="str">
        <x:f>IF(AND(M83=1,B83&lt;&gt;"",C83&lt;&gt;"",G83&lt;&gt;"",J83&lt;&gt;"",K83&lt;&gt;""),"PASS","FAIL")</x:f>
        <x:v>PASS</x:v>
      </x:c>
      <x:c r="R83" s="10" t="str">
        <x:f>IF(Q83&lt;&gt;"PASS","FAIL",IF(AND(N83=0,O83=0,P83=""),"OPEN",IF(AND(N83=1,O83&gt;='Controls'!$D$66,P83=K83),"PASS","FAIL")))</x:f>
        <x:v>OPEN</x:v>
      </x:c>
    </x:row>
    <x:row r="84">
      <x:c r="B84" s="10" t="str">
        <x:v>MCR-C-C-B-W09</x:v>
      </x:c>
      <x:c r="C84" s="10" t="str">
        <x:v>clean control</x:v>
      </x:c>
      <x:c r="D84" s="10" t="str">
        <x:v>PTC-C</x:v>
      </x:c>
      <x:c r="E84" s="10" t="str">
        <x:v>LN-12</x:v>
      </x:c>
      <x:c r="F84" s="10" t="str">
        <x:v>MC-C1</x:v>
      </x:c>
      <x:c r="G84" s="10" t="str">
        <x:v>B</x:v>
      </x:c>
      <x:c r="H84" s="22" t="str">
        <x:v>W09</x:v>
      </x:c>
      <x:c r="I84" s="10" t="n">
        <x:v>1</x:v>
      </x:c>
      <x:c r="J84" s="10" t="str">
        <x:v>live source</x:v>
      </x:c>
      <x:c r="K84" s="10" t="str">
        <x:v>PASS</x:v>
      </x:c>
      <x:c r="L84" s="18" t="n">
        <x:f>IF(C84="cross-site replay",0,I84*'Controls'!$D$8)</x:f>
        <x:v>2000</x:v>
      </x:c>
      <x:c r="M84" s="10" t="n">
        <x:v>1</x:v>
      </x:c>
      <x:c r="N84" s="12" t="n">
        <x:v>0</x:v>
      </x:c>
      <x:c r="O84" s="12" t="n">
        <x:v>0</x:v>
      </x:c>
      <x:c r="P84" s="12" t="str"/>
      <x:c r="Q84" s="10" t="str">
        <x:f>IF(AND(M84=1,B84&lt;&gt;"",C84&lt;&gt;"",G84&lt;&gt;"",J84&lt;&gt;"",K84&lt;&gt;""),"PASS","FAIL")</x:f>
        <x:v>PASS</x:v>
      </x:c>
      <x:c r="R84" s="10" t="str">
        <x:f>IF(Q84&lt;&gt;"PASS","FAIL",IF(AND(N84=0,O84=0,P84=""),"OPEN",IF(AND(N84=1,O84&gt;='Controls'!$D$66,P84=K84),"PASS","FAIL")))</x:f>
        <x:v>OPEN</x:v>
      </x:c>
    </x:row>
    <x:row r="85">
      <x:c r="B85" s="10" t="str">
        <x:v>MCR-R-C-B-1</x:v>
      </x:c>
      <x:c r="C85" s="10" t="str">
        <x:v>cross-site replay</x:v>
      </x:c>
      <x:c r="D85" s="10" t="str">
        <x:v>PTC-C</x:v>
      </x:c>
      <x:c r="E85" s="10" t="str">
        <x:v>LN-12</x:v>
      </x:c>
      <x:c r="F85" s="10" t="str">
        <x:v>MC-C1</x:v>
      </x:c>
      <x:c r="G85" s="10" t="str">
        <x:v>B</x:v>
      </x:c>
      <x:c r="H85" s="22" t="str">
        <x:v>R01</x:v>
      </x:c>
      <x:c r="I85" s="10" t="n">
        <x:v>0</x:v>
      </x:c>
      <x:c r="J85" s="10" t="str">
        <x:v>sealed packet</x:v>
      </x:c>
      <x:c r="K85" s="10" t="str">
        <x:v>MATCH</x:v>
      </x:c>
      <x:c r="L85" s="18" t="n">
        <x:f>IF(C85="cross-site replay",0,I85*'Controls'!$D$8)</x:f>
        <x:v>0</x:v>
      </x:c>
      <x:c r="M85" s="10" t="n">
        <x:v>1</x:v>
      </x:c>
      <x:c r="N85" s="12" t="n">
        <x:v>0</x:v>
      </x:c>
      <x:c r="O85" s="12" t="n">
        <x:v>0</x:v>
      </x:c>
      <x:c r="P85" s="12" t="str"/>
      <x:c r="Q85" s="10" t="str">
        <x:f>IF(AND(M85=1,B85&lt;&gt;"",C85&lt;&gt;"",G85&lt;&gt;"",J85&lt;&gt;"",K85&lt;&gt;""),"PASS","FAIL")</x:f>
        <x:v>PASS</x:v>
      </x:c>
      <x:c r="R85" s="10" t="str">
        <x:f>IF(Q85&lt;&gt;"PASS","FAIL",IF(AND(N85=0,O85=0,P85=""),"OPEN",IF(AND(N85=1,O85&gt;='Controls'!$D$66,P85=K85),"PASS","FAIL")))</x:f>
        <x:v>OPEN</x:v>
      </x:c>
    </x:row>
    <x:row r="86">
      <x:c r="B86" s="11" t="str">
        <x:v>MCR-R-C-B-2</x:v>
      </x:c>
      <x:c r="C86" s="11" t="str">
        <x:v>cross-site replay</x:v>
      </x:c>
      <x:c r="D86" s="11" t="str">
        <x:v>PTC-C</x:v>
      </x:c>
      <x:c r="E86" s="11" t="str">
        <x:v>LN-12</x:v>
      </x:c>
      <x:c r="F86" s="11" t="str">
        <x:v>MC-C1</x:v>
      </x:c>
      <x:c r="G86" s="11" t="str">
        <x:v>B</x:v>
      </x:c>
      <x:c r="H86" s="23" t="str">
        <x:v>R02</x:v>
      </x:c>
      <x:c r="I86" s="11" t="n">
        <x:v>0</x:v>
      </x:c>
      <x:c r="J86" s="11" t="str">
        <x:v>sealed packet</x:v>
      </x:c>
      <x:c r="K86" s="11" t="str">
        <x:v>MATCH</x:v>
      </x:c>
      <x:c r="L86" s="19" t="n">
        <x:f>IF(C86="cross-site replay",0,I86*'Controls'!$D$8)</x:f>
        <x:v>0</x:v>
      </x:c>
      <x:c r="M86" s="11" t="n">
        <x:v>1</x:v>
      </x:c>
      <x:c r="N86" s="13" t="n">
        <x:v>0</x:v>
      </x:c>
      <x:c r="O86" s="13" t="n">
        <x:v>0</x:v>
      </x:c>
      <x:c r="P86" s="13" t="str"/>
      <x:c r="Q86" s="11" t="str">
        <x:f>IF(AND(M86=1,B86&lt;&gt;"",C86&lt;&gt;"",G86&lt;&gt;"",J86&lt;&gt;"",K86&lt;&gt;""),"PASS","FAIL")</x:f>
        <x:v>PASS</x:v>
      </x:c>
      <x:c r="R86" s="11" t="str">
        <x:f>IF(Q86&lt;&gt;"PASS","FAIL",IF(AND(N86=0,O86=0,P86=""),"OPEN",IF(AND(N86=1,O86&gt;='Controls'!$D$66,P86=K86),"PASS","FAIL")))</x:f>
        <x:v>OPEN</x:v>
      </x:c>
    </x:row>
  </x:sheetData>
  <x:mergeCells>
    <x:mergeCell ref="B2:R2"/>
    <x:mergeCell ref="B3:R3"/>
  </x:mergeCells>
  <x:conditionalFormatting sqref="J7:J86">
    <x:cfRule type="containsText" dxfId="140" priority="1" operator="containsText" text="PASS"/>
    <x:cfRule type="containsText" dxfId="141" priority="2" operator="containsText" text="AUTHORIZED"/>
    <x:cfRule type="containsText" dxfId="142" priority="3" operator="containsText" text="DEFINED"/>
    <x:cfRule type="containsText" dxfId="143" priority="4" operator="containsText" text="READY"/>
    <x:cfRule type="containsText" dxfId="144" priority="5" operator="containsText" text="HOLD"/>
    <x:cfRule type="containsText" dxfId="145" priority="6" operator="containsText" text="OPEN"/>
    <x:cfRule type="containsText" dxfId="146" priority="7" operator="containsText" text="BLOCKED"/>
    <x:cfRule type="containsText" dxfId="147" priority="8" operator="containsText" text="PLANNING"/>
    <x:cfRule type="containsText" dxfId="148" priority="9" operator="containsText" text="QUARANTINE"/>
    <x:cfRule type="containsText" dxfId="149" priority="10" operator="containsText" text="INDETERMINATE"/>
    <x:cfRule type="containsText" dxfId="150" priority="11" operator="containsText" text="FAIL"/>
    <x:cfRule type="containsText" dxfId="151" priority="12" operator="containsText" text="REJECT"/>
    <x:cfRule type="containsText" dxfId="152" priority="13" operator="containsText" text="INVALID"/>
    <x:cfRule type="containsText" dxfId="153" priority="14" operator="containsText" text="STOP"/>
  </x:conditionalFormatting>
  <x:conditionalFormatting sqref="Q7:R86">
    <x:cfRule type="containsText" dxfId="154" priority="15" operator="containsText" text="PASS"/>
    <x:cfRule type="containsText" dxfId="155" priority="16" operator="containsText" text="AUTHORIZED"/>
    <x:cfRule type="containsText" dxfId="156" priority="17" operator="containsText" text="DEFINED"/>
    <x:cfRule type="containsText" dxfId="157" priority="18" operator="containsText" text="READY"/>
    <x:cfRule type="containsText" dxfId="158" priority="19" operator="containsText" text="HOLD"/>
    <x:cfRule type="containsText" dxfId="159" priority="20" operator="containsText" text="OPEN"/>
    <x:cfRule type="containsText" dxfId="160" priority="21" operator="containsText" text="BLOCKED"/>
    <x:cfRule type="containsText" dxfId="161" priority="22" operator="containsText" text="PLANNING"/>
    <x:cfRule type="containsText" dxfId="162" priority="23" operator="containsText" text="QUARANTINE"/>
    <x:cfRule type="containsText" dxfId="163" priority="24" operator="containsText" text="INDETERMINATE"/>
    <x:cfRule type="containsText" dxfId="164" priority="25" operator="containsText" text="FAIL"/>
    <x:cfRule type="containsText" dxfId="165" priority="26" operator="containsText" text="REJECT"/>
    <x:cfRule type="containsText" dxfId="166" priority="27" operator="containsText" text="INVALID"/>
    <x:cfRule type="containsText" dxfId="167" priority="28" operator="containsText" text="STOP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0" hidden="0" customWidth="1"/>
    <x:col min="3" max="3" width="25" hidden="0" customWidth="1"/>
    <x:col min="4" max="4" width="38" hidden="0" customWidth="1"/>
    <x:col min="5" max="5" width="18" hidden="0" customWidth="1"/>
    <x:col min="6" max="6" width="18" hidden="0" customWidth="1"/>
    <x:col min="7" max="7" width="27" hidden="0" customWidth="1"/>
    <x:col min="8" max="8" width="19" hidden="0" customWidth="1"/>
    <x:col min="9" max="9" width="17" hidden="0" customWidth="1"/>
    <x:col min="10" max="10" width="25" hidden="0" customWidth="1"/>
    <x:col min="11" max="11" width="20" hidden="0" customWidth="1"/>
    <x:col min="12" max="12" width="19" hidden="0" customWidth="1"/>
    <x:col min="13" max="13" width="15" hidden="0" customWidth="1"/>
    <x:col min="14" max="14" width="15" hidden="0" customWidth="1"/>
  </x:cols>
  <x:sheetData>
    <x:row r="2">
      <x:c r="B2" s="1" t="str">
        <x:v>Hazard-domain measurement constitution</x:v>
      </x:c>
    </x:row>
    <x:row r="3">
      <x:c r="B3" s="2" t="str">
        <x:v>Eighteen measurement functions use unlike principles, independent power and local retention. The listed counts are minimum planning channels.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6">
      <x:c r="B6" s="8" t="str">
        <x:v>ID</x:v>
      </x:c>
      <x:c r="C6" s="8" t="str">
        <x:v>Quantity</x:v>
      </x:c>
      <x:c r="D6" s="8" t="str">
        <x:v>Independent principles</x:v>
      </x:c>
      <x:c r="E6" s="8" t="str">
        <x:v>Minimum channels</x:v>
      </x:c>
      <x:c r="F6" s="8" t="str">
        <x:v>Unit</x:v>
      </x:c>
      <x:c r="G6" s="8" t="str">
        <x:v>Expanded uncertainty target</x:v>
      </x:c>
      <x:c r="H6" s="8" t="str">
        <x:v>Independent power</x:v>
      </x:c>
      <x:c r="I6" s="8" t="str">
        <x:v>Local retention</x:v>
      </x:c>
      <x:c r="J6" s="8" t="str">
        <x:v>Coordinate or volume map</x:v>
      </x:c>
      <x:c r="K6" s="8" t="str">
        <x:v>Calibration bracket</x:v>
      </x:c>
      <x:c r="L6" s="8" t="str">
        <x:v>Physical acceptance</x:v>
      </x:c>
      <x:c r="M6" s="8" t="str">
        <x:v>Planning state</x:v>
      </x:c>
      <x:c r="N6" s="8" t="str">
        <x:v>Physical state</x:v>
      </x:c>
    </x:row>
    <x:row r="7">
      <x:c r="B7" s="10" t="str">
        <x:v>I01</x:v>
      </x:c>
      <x:c r="C7" s="10" t="str">
        <x:v>compartment mass</x:v>
      </x:c>
      <x:c r="D7" s="10" t="str">
        <x:v>load cell plus independent platform scale</x:v>
      </x:c>
      <x:c r="E7" s="16" t="n">
        <x:v>8</x:v>
      </x:c>
      <x:c r="F7" s="16" t="str">
        <x:v>kg</x:v>
      </x:c>
      <x:c r="G7" s="16" t="n">
        <x:v>0.5</x:v>
      </x:c>
      <x:c r="H7" s="10" t="n">
        <x:v>1</x:v>
      </x:c>
      <x:c r="I7" s="10" t="n">
        <x:v>1</x:v>
      </x:c>
      <x:c r="J7" s="10" t="n">
        <x:v>1</x:v>
      </x:c>
      <x:c r="K7" s="10" t="n">
        <x:v>1</x:v>
      </x:c>
      <x:c r="L7" s="12" t="n">
        <x:v>0</x:v>
      </x:c>
      <x:c r="M7" s="10" t="str">
        <x:f>IF(AND(E7&gt;0,H7=1,I7=1,J7=1,K7=1),"PASS","FAIL")</x:f>
        <x:v>PASS</x:v>
      </x:c>
      <x:c r="N7" s="10" t="str">
        <x:f>IF(M7&lt;&gt;"PASS","FAIL",IF(L7=1,"PASS","OPEN"))</x:f>
        <x:v>OPEN</x:v>
      </x:c>
    </x:row>
    <x:row r="8">
      <x:c r="B8" s="10" t="str">
        <x:v>I02</x:v>
      </x:c>
      <x:c r="C8" s="10" t="str">
        <x:v>liquid transfer mass flow</x:v>
      </x:c>
      <x:c r="D8" s="10" t="str">
        <x:v>Coriolis plus gravimetric change</x:v>
      </x:c>
      <x:c r="E8" s="16" t="n">
        <x:v>4</x:v>
      </x:c>
      <x:c r="F8" s="16" t="str">
        <x:v>kg/s</x:v>
      </x:c>
      <x:c r="G8" s="16" t="n">
        <x:v>0.01</x:v>
      </x:c>
      <x:c r="H8" s="10" t="n">
        <x:v>1</x:v>
      </x:c>
      <x:c r="I8" s="10" t="n">
        <x:v>1</x:v>
      </x:c>
      <x:c r="J8" s="10" t="n">
        <x:v>1</x:v>
      </x:c>
      <x:c r="K8" s="10" t="n">
        <x:v>1</x:v>
      </x:c>
      <x:c r="L8" s="12" t="n">
        <x:v>0</x:v>
      </x:c>
      <x:c r="M8" s="10" t="str">
        <x:f>IF(AND(E8&gt;0,H8=1,I8=1,J8=1,K8=1),"PASS","FAIL")</x:f>
        <x:v>PASS</x:v>
      </x:c>
      <x:c r="N8" s="10" t="str">
        <x:f>IF(M8&lt;&gt;"PASS","FAIL",IF(L8=1,"PASS","OPEN"))</x:f>
        <x:v>OPEN</x:v>
      </x:c>
    </x:row>
    <x:row r="9">
      <x:c r="B9" s="10" t="str">
        <x:v>I03</x:v>
      </x:c>
      <x:c r="C9" s="10" t="str">
        <x:v>gas mass flow</x:v>
      </x:c>
      <x:c r="D9" s="10" t="str">
        <x:v>Coriolis plus receiver mass change</x:v>
      </x:c>
      <x:c r="E9" s="16" t="n">
        <x:v>4</x:v>
      </x:c>
      <x:c r="F9" s="16" t="str">
        <x:v>kg/s</x:v>
      </x:c>
      <x:c r="G9" s="16" t="n">
        <x:v>0.01</x:v>
      </x:c>
      <x:c r="H9" s="10" t="n">
        <x:v>1</x:v>
      </x:c>
      <x:c r="I9" s="10" t="n">
        <x:v>1</x:v>
      </x:c>
      <x:c r="J9" s="10" t="n">
        <x:v>1</x:v>
      </x:c>
      <x:c r="K9" s="10" t="n">
        <x:v>1</x:v>
      </x:c>
      <x:c r="L9" s="12" t="n">
        <x:v>0</x:v>
      </x:c>
      <x:c r="M9" s="10" t="str">
        <x:f>IF(AND(E9&gt;0,H9=1,I9=1,J9=1,K9=1),"PASS","FAIL")</x:f>
        <x:v>PASS</x:v>
      </x:c>
      <x:c r="N9" s="10" t="str">
        <x:f>IF(M9&lt;&gt;"PASS","FAIL",IF(L9=1,"PASS","OPEN"))</x:f>
        <x:v>OPEN</x:v>
      </x:c>
    </x:row>
    <x:row r="10">
      <x:c r="B10" s="10" t="str">
        <x:v>I04</x:v>
      </x:c>
      <x:c r="C10" s="10" t="str">
        <x:v>vessel pressure</x:v>
      </x:c>
      <x:c r="D10" s="10" t="str">
        <x:v>strain diaphragm plus resonant pressure</x:v>
      </x:c>
      <x:c r="E10" s="16" t="n">
        <x:v>8</x:v>
      </x:c>
      <x:c r="F10" s="16" t="str">
        <x:v>kPa</x:v>
      </x:c>
      <x:c r="G10" s="16" t="n">
        <x:v>2</x:v>
      </x:c>
      <x:c r="H10" s="10" t="n">
        <x:v>1</x:v>
      </x:c>
      <x:c r="I10" s="10" t="n">
        <x:v>1</x:v>
      </x:c>
      <x:c r="J10" s="10" t="n">
        <x:v>1</x:v>
      </x:c>
      <x:c r="K10" s="10" t="n">
        <x:v>1</x:v>
      </x:c>
      <x:c r="L10" s="12" t="n">
        <x:v>0</x:v>
      </x:c>
      <x:c r="M10" s="10" t="str">
        <x:f>IF(AND(E10&gt;0,H10=1,I10=1,J10=1,K10=1),"PASS","FAIL")</x:f>
        <x:v>PASS</x:v>
      </x:c>
      <x:c r="N10" s="10" t="str">
        <x:f>IF(M10&lt;&gt;"PASS","FAIL",IF(L10=1,"PASS","OPEN"))</x:f>
        <x:v>OPEN</x:v>
      </x:c>
    </x:row>
    <x:row r="11">
      <x:c r="B11" s="10" t="str">
        <x:v>I05</x:v>
      </x:c>
      <x:c r="C11" s="10" t="str">
        <x:v>vessel temperature</x:v>
      </x:c>
      <x:c r="D11" s="10" t="str">
        <x:v>resistance plus thermocouple</x:v>
      </x:c>
      <x:c r="E11" s="16" t="n">
        <x:v>12</x:v>
      </x:c>
      <x:c r="F11" s="16" t="str">
        <x:v>C</x:v>
      </x:c>
      <x:c r="G11" s="16" t="n">
        <x:v>0.5</x:v>
      </x:c>
      <x:c r="H11" s="10" t="n">
        <x:v>1</x:v>
      </x:c>
      <x:c r="I11" s="10" t="n">
        <x:v>1</x:v>
      </x:c>
      <x:c r="J11" s="10" t="n">
        <x:v>1</x:v>
      </x:c>
      <x:c r="K11" s="10" t="n">
        <x:v>1</x:v>
      </x:c>
      <x:c r="L11" s="12" t="n">
        <x:v>0</x:v>
      </x:c>
      <x:c r="M11" s="10" t="str">
        <x:f>IF(AND(E11&gt;0,H11=1,I11=1,J11=1,K11=1),"PASS","FAIL")</x:f>
        <x:v>PASS</x:v>
      </x:c>
      <x:c r="N11" s="10" t="str">
        <x:f>IF(M11&lt;&gt;"PASS","FAIL",IF(L11=1,"PASS","OPEN"))</x:f>
        <x:v>OPEN</x:v>
      </x:c>
    </x:row>
    <x:row r="12">
      <x:c r="B12" s="10" t="str">
        <x:v>I06</x:v>
      </x:c>
      <x:c r="C12" s="10" t="str">
        <x:v>interstitial state</x:v>
      </x:c>
      <x:c r="D12" s="10" t="str">
        <x:v>pressure plus hydrocarbon detection</x:v>
      </x:c>
      <x:c r="E12" s="16" t="n">
        <x:v>8</x:v>
      </x:c>
      <x:c r="F12" s="16" t="str">
        <x:v>binary</x:v>
      </x:c>
      <x:c r="G12" s="16" t="n">
        <x:v>1</x:v>
      </x:c>
      <x:c r="H12" s="10" t="n">
        <x:v>1</x:v>
      </x:c>
      <x:c r="I12" s="10" t="n">
        <x:v>1</x:v>
      </x:c>
      <x:c r="J12" s="10" t="n">
        <x:v>1</x:v>
      </x:c>
      <x:c r="K12" s="10" t="n">
        <x:v>1</x:v>
      </x:c>
      <x:c r="L12" s="12" t="n">
        <x:v>0</x:v>
      </x:c>
      <x:c r="M12" s="10" t="str">
        <x:f>IF(AND(E12&gt;0,H12=1,I12=1,J12=1,K12=1),"PASS","FAIL")</x:f>
        <x:v>PASS</x:v>
      </x:c>
      <x:c r="N12" s="10" t="str">
        <x:f>IF(M12&lt;&gt;"PASS","FAIL",IF(L12=1,"PASS","OPEN"))</x:f>
        <x:v>OPEN</x:v>
      </x:c>
    </x:row>
    <x:row r="13">
      <x:c r="B13" s="10" t="str">
        <x:v>I07</x:v>
      </x:c>
      <x:c r="C13" s="10" t="str">
        <x:v>gas concentration high</x:v>
      </x:c>
      <x:c r="D13" s="10" t="str">
        <x:v>infrared absorption</x:v>
      </x:c>
      <x:c r="E13" s="16" t="n">
        <x:v>12</x:v>
      </x:c>
      <x:c r="F13" s="16" t="str">
        <x:v>volume fraction</x:v>
      </x:c>
      <x:c r="G13" s="16" t="n">
        <x:v>0.0003</x:v>
      </x:c>
      <x:c r="H13" s="10" t="n">
        <x:v>1</x:v>
      </x:c>
      <x:c r="I13" s="10" t="n">
        <x:v>1</x:v>
      </x:c>
      <x:c r="J13" s="10" t="n">
        <x:v>1</x:v>
      </x:c>
      <x:c r="K13" s="10" t="n">
        <x:v>1</x:v>
      </x:c>
      <x:c r="L13" s="12" t="n">
        <x:v>0</x:v>
      </x:c>
      <x:c r="M13" s="10" t="str">
        <x:f>IF(AND(E13&gt;0,H13=1,I13=1,J13=1,K13=1),"PASS","FAIL")</x:f>
        <x:v>PASS</x:v>
      </x:c>
      <x:c r="N13" s="10" t="str">
        <x:f>IF(M13&lt;&gt;"PASS","FAIL",IF(L13=1,"PASS","OPEN"))</x:f>
        <x:v>OPEN</x:v>
      </x:c>
    </x:row>
    <x:row r="14">
      <x:c r="B14" s="10" t="str">
        <x:v>I08</x:v>
      </x:c>
      <x:c r="C14" s="10" t="str">
        <x:v>gas concentration low</x:v>
      </x:c>
      <x:c r="D14" s="10" t="str">
        <x:v>catalytic oxidation</x:v>
      </x:c>
      <x:c r="E14" s="16" t="n">
        <x:v>12</x:v>
      </x:c>
      <x:c r="F14" s="16" t="str">
        <x:v>volume fraction</x:v>
      </x:c>
      <x:c r="G14" s="16" t="n">
        <x:v>0.0003</x:v>
      </x:c>
      <x:c r="H14" s="10" t="n">
        <x:v>1</x:v>
      </x:c>
      <x:c r="I14" s="10" t="n">
        <x:v>1</x:v>
      </x:c>
      <x:c r="J14" s="10" t="n">
        <x:v>1</x:v>
      </x:c>
      <x:c r="K14" s="10" t="n">
        <x:v>1</x:v>
      </x:c>
      <x:c r="L14" s="12" t="n">
        <x:v>0</x:v>
      </x:c>
      <x:c r="M14" s="10" t="str">
        <x:f>IF(AND(E14&gt;0,H14=1,I14=1,J14=1,K14=1),"PASS","FAIL")</x:f>
        <x:v>PASS</x:v>
      </x:c>
      <x:c r="N14" s="10" t="str">
        <x:f>IF(M14&lt;&gt;"PASS","FAIL",IF(L14=1,"PASS","OPEN"))</x:f>
        <x:v>OPEN</x:v>
      </x:c>
    </x:row>
    <x:row r="15">
      <x:c r="B15" s="10" t="str">
        <x:v>I09</x:v>
      </x:c>
      <x:c r="C15" s="10" t="str">
        <x:v>oxygen displacement</x:v>
      </x:c>
      <x:c r="D15" s="10" t="str">
        <x:v>paramagnetic plus electrochemical</x:v>
      </x:c>
      <x:c r="E15" s="16" t="n">
        <x:v>8</x:v>
      </x:c>
      <x:c r="F15" s="16" t="str">
        <x:v>volume fraction</x:v>
      </x:c>
      <x:c r="G15" s="16" t="n">
        <x:v>0.001</x:v>
      </x:c>
      <x:c r="H15" s="10" t="n">
        <x:v>1</x:v>
      </x:c>
      <x:c r="I15" s="10" t="n">
        <x:v>1</x:v>
      </x:c>
      <x:c r="J15" s="10" t="n">
        <x:v>1</x:v>
      </x:c>
      <x:c r="K15" s="10" t="n">
        <x:v>1</x:v>
      </x:c>
      <x:c r="L15" s="12" t="n">
        <x:v>0</x:v>
      </x:c>
      <x:c r="M15" s="10" t="str">
        <x:f>IF(AND(E15&gt;0,H15=1,I15=1,J15=1,K15=1),"PASS","FAIL")</x:f>
        <x:v>PASS</x:v>
      </x:c>
      <x:c r="N15" s="10" t="str">
        <x:f>IF(M15&lt;&gt;"PASS","FAIL",IF(L15=1,"PASS","OPEN"))</x:f>
        <x:v>OPEN</x:v>
      </x:c>
    </x:row>
    <x:row r="16">
      <x:c r="B16" s="10" t="str">
        <x:v>I10</x:v>
      </x:c>
      <x:c r="C16" s="10" t="str">
        <x:v>thermal radiation</x:v>
      </x:c>
      <x:c r="D16" s="10" t="str">
        <x:v>water-cooled heat-flux gauge</x:v>
      </x:c>
      <x:c r="E16" s="16" t="n">
        <x:v>12</x:v>
      </x:c>
      <x:c r="F16" s="16" t="str">
        <x:v>kW/m2</x:v>
      </x:c>
      <x:c r="G16" s="16" t="n">
        <x:v>0.1</x:v>
      </x:c>
      <x:c r="H16" s="10" t="n">
        <x:v>1</x:v>
      </x:c>
      <x:c r="I16" s="10" t="n">
        <x:v>1</x:v>
      </x:c>
      <x:c r="J16" s="10" t="n">
        <x:v>1</x:v>
      </x:c>
      <x:c r="K16" s="10" t="n">
        <x:v>1</x:v>
      </x:c>
      <x:c r="L16" s="12" t="n">
        <x:v>0</x:v>
      </x:c>
      <x:c r="M16" s="10" t="str">
        <x:f>IF(AND(E16&gt;0,H16=1,I16=1,J16=1,K16=1),"PASS","FAIL")</x:f>
        <x:v>PASS</x:v>
      </x:c>
      <x:c r="N16" s="10" t="str">
        <x:f>IF(M16&lt;&gt;"PASS","FAIL",IF(L16=1,"PASS","OPEN"))</x:f>
        <x:v>OPEN</x:v>
      </x:c>
    </x:row>
    <x:row r="17">
      <x:c r="B17" s="10" t="str">
        <x:v>I11</x:v>
      </x:c>
      <x:c r="C17" s="10" t="str">
        <x:v>flame onset</x:v>
      </x:c>
      <x:c r="D17" s="10" t="str">
        <x:v>optical flame plus video</x:v>
      </x:c>
      <x:c r="E17" s="16" t="n">
        <x:v>8</x:v>
      </x:c>
      <x:c r="F17" s="16" t="str">
        <x:v>ms</x:v>
      </x:c>
      <x:c r="G17" s="16" t="n">
        <x:v>10</x:v>
      </x:c>
      <x:c r="H17" s="10" t="n">
        <x:v>1</x:v>
      </x:c>
      <x:c r="I17" s="10" t="n">
        <x:v>1</x:v>
      </x:c>
      <x:c r="J17" s="10" t="n">
        <x:v>1</x:v>
      </x:c>
      <x:c r="K17" s="10" t="n">
        <x:v>1</x:v>
      </x:c>
      <x:c r="L17" s="12" t="n">
        <x:v>0</x:v>
      </x:c>
      <x:c r="M17" s="10" t="str">
        <x:f>IF(AND(E17&gt;0,H17=1,I17=1,J17=1,K17=1),"PASS","FAIL")</x:f>
        <x:v>PASS</x:v>
      </x:c>
      <x:c r="N17" s="10" t="str">
        <x:f>IF(M17&lt;&gt;"PASS","FAIL",IF(L17=1,"PASS","OPEN"))</x:f>
        <x:v>OPEN</x:v>
      </x:c>
    </x:row>
    <x:row r="18">
      <x:c r="B18" s="10" t="str">
        <x:v>I12</x:v>
      </x:c>
      <x:c r="C18" s="10" t="str">
        <x:v>dynamic pressure</x:v>
      </x:c>
      <x:c r="D18" s="10" t="str">
        <x:v>piezoelectric pressure</x:v>
      </x:c>
      <x:c r="E18" s="16" t="n">
        <x:v>24</x:v>
      </x:c>
      <x:c r="F18" s="16" t="str">
        <x:v>kPa</x:v>
      </x:c>
      <x:c r="G18" s="16" t="n">
        <x:v>1</x:v>
      </x:c>
      <x:c r="H18" s="10" t="n">
        <x:v>1</x:v>
      </x:c>
      <x:c r="I18" s="10" t="n">
        <x:v>1</x:v>
      </x:c>
      <x:c r="J18" s="10" t="n">
        <x:v>1</x:v>
      </x:c>
      <x:c r="K18" s="10" t="n">
        <x:v>1</x:v>
      </x:c>
      <x:c r="L18" s="12" t="n">
        <x:v>0</x:v>
      </x:c>
      <x:c r="M18" s="10" t="str">
        <x:f>IF(AND(E18&gt;0,H18=1,I18=1,J18=1,K18=1),"PASS","FAIL")</x:f>
        <x:v>PASS</x:v>
      </x:c>
      <x:c r="N18" s="10" t="str">
        <x:f>IF(M18&lt;&gt;"PASS","FAIL",IF(L18=1,"PASS","OPEN"))</x:f>
        <x:v>OPEN</x:v>
      </x:c>
    </x:row>
    <x:row r="19">
      <x:c r="B19" s="10" t="str">
        <x:v>I13</x:v>
      </x:c>
      <x:c r="C19" s="10" t="str">
        <x:v>structure and support</x:v>
      </x:c>
      <x:c r="D19" s="10" t="str">
        <x:v>strain plus six-axis reaction</x:v>
      </x:c>
      <x:c r="E19" s="16" t="n">
        <x:v>24</x:v>
      </x:c>
      <x:c r="F19" s="16" t="str">
        <x:v>microstrain</x:v>
      </x:c>
      <x:c r="G19" s="16" t="n">
        <x:v>10</x:v>
      </x:c>
      <x:c r="H19" s="10" t="n">
        <x:v>1</x:v>
      </x:c>
      <x:c r="I19" s="10" t="n">
        <x:v>1</x:v>
      </x:c>
      <x:c r="J19" s="10" t="n">
        <x:v>1</x:v>
      </x:c>
      <x:c r="K19" s="10" t="n">
        <x:v>1</x:v>
      </x:c>
      <x:c r="L19" s="12" t="n">
        <x:v>0</x:v>
      </x:c>
      <x:c r="M19" s="10" t="str">
        <x:f>IF(AND(E19&gt;0,H19=1,I19=1,J19=1,K19=1),"PASS","FAIL")</x:f>
        <x:v>PASS</x:v>
      </x:c>
      <x:c r="N19" s="10" t="str">
        <x:f>IF(M19&lt;&gt;"PASS","FAIL",IF(L19=1,"PASS","OPEN"))</x:f>
        <x:v>OPEN</x:v>
      </x:c>
    </x:row>
    <x:row r="20">
      <x:c r="B20" s="10" t="str">
        <x:v>I14</x:v>
      </x:c>
      <x:c r="C20" s="10" t="str">
        <x:v>sump inventory</x:v>
      </x:c>
      <x:c r="D20" s="10" t="str">
        <x:v>level plus total mass</x:v>
      </x:c>
      <x:c r="E20" s="16" t="n">
        <x:v>8</x:v>
      </x:c>
      <x:c r="F20" s="16" t="str">
        <x:v>kg</x:v>
      </x:c>
      <x:c r="G20" s="16" t="n">
        <x:v>2</x:v>
      </x:c>
      <x:c r="H20" s="10" t="n">
        <x:v>1</x:v>
      </x:c>
      <x:c r="I20" s="10" t="n">
        <x:v>1</x:v>
      </x:c>
      <x:c r="J20" s="10" t="n">
        <x:v>1</x:v>
      </x:c>
      <x:c r="K20" s="10" t="n">
        <x:v>1</x:v>
      </x:c>
      <x:c r="L20" s="12" t="n">
        <x:v>0</x:v>
      </x:c>
      <x:c r="M20" s="10" t="str">
        <x:f>IF(AND(E20&gt;0,H20=1,I20=1,J20=1,K20=1),"PASS","FAIL")</x:f>
        <x:v>PASS</x:v>
      </x:c>
      <x:c r="N20" s="10" t="str">
        <x:f>IF(M20&lt;&gt;"PASS","FAIL",IF(L20=1,"PASS","OPEN"))</x:f>
        <x:v>OPEN</x:v>
      </x:c>
    </x:row>
    <x:row r="21">
      <x:c r="B21" s="10" t="str">
        <x:v>I15</x:v>
      </x:c>
      <x:c r="C21" s="10" t="str">
        <x:v>gas-holder state</x:v>
      </x:c>
      <x:c r="D21" s="10" t="str">
        <x:v>volume pressure temperature</x:v>
      </x:c>
      <x:c r="E21" s="16" t="n">
        <x:v>8</x:v>
      </x:c>
      <x:c r="F21" s="16" t="str">
        <x:v>m3</x:v>
      </x:c>
      <x:c r="G21" s="16" t="n">
        <x:v>5</x:v>
      </x:c>
      <x:c r="H21" s="10" t="n">
        <x:v>1</x:v>
      </x:c>
      <x:c r="I21" s="10" t="n">
        <x:v>1</x:v>
      </x:c>
      <x:c r="J21" s="10" t="n">
        <x:v>1</x:v>
      </x:c>
      <x:c r="K21" s="10" t="n">
        <x:v>1</x:v>
      </x:c>
      <x:c r="L21" s="12" t="n">
        <x:v>0</x:v>
      </x:c>
      <x:c r="M21" s="10" t="str">
        <x:f>IF(AND(E21&gt;0,H21=1,I21=1,J21=1,K21=1),"PASS","FAIL")</x:f>
        <x:v>PASS</x:v>
      </x:c>
      <x:c r="N21" s="10" t="str">
        <x:f>IF(M21&lt;&gt;"PASS","FAIL",IF(L21=1,"PASS","OPEN"))</x:f>
        <x:v>OPEN</x:v>
      </x:c>
    </x:row>
    <x:row r="22">
      <x:c r="B22" s="10" t="str">
        <x:v>I16</x:v>
      </x:c>
      <x:c r="C22" s="10" t="str">
        <x:v>weather field</x:v>
      </x:c>
      <x:c r="D22" s="10" t="str">
        <x:v>three-dimensional wind and stability</x:v>
      </x:c>
      <x:c r="E22" s="16" t="n">
        <x:v>6</x:v>
      </x:c>
      <x:c r="F22" s="16" t="str">
        <x:v>m/s</x:v>
      </x:c>
      <x:c r="G22" s="16" t="n">
        <x:v>0.1</x:v>
      </x:c>
      <x:c r="H22" s="10" t="n">
        <x:v>1</x:v>
      </x:c>
      <x:c r="I22" s="10" t="n">
        <x:v>1</x:v>
      </x:c>
      <x:c r="J22" s="10" t="n">
        <x:v>1</x:v>
      </x:c>
      <x:c r="K22" s="10" t="n">
        <x:v>1</x:v>
      </x:c>
      <x:c r="L22" s="12" t="n">
        <x:v>0</x:v>
      </x:c>
      <x:c r="M22" s="10" t="str">
        <x:f>IF(AND(E22&gt;0,H22=1,I22=1,J22=1,K22=1),"PASS","FAIL")</x:f>
        <x:v>PASS</x:v>
      </x:c>
      <x:c r="N22" s="10" t="str">
        <x:f>IF(M22&lt;&gt;"PASS","FAIL",IF(L22=1,"PASS","OPEN"))</x:f>
        <x:v>OPEN</x:v>
      </x:c>
    </x:row>
    <x:row r="23">
      <x:c r="B23" s="10" t="str">
        <x:v>I17</x:v>
      </x:c>
      <x:c r="C23" s="10" t="str">
        <x:v>safety energy</x:v>
      </x:c>
      <x:c r="D23" s="10" t="str">
        <x:v>three-bus voltage and breaker state</x:v>
      </x:c>
      <x:c r="E23" s="16" t="n">
        <x:v>12</x:v>
      </x:c>
      <x:c r="F23" s="16" t="str">
        <x:v>ms</x:v>
      </x:c>
      <x:c r="G23" s="16" t="n">
        <x:v>1</x:v>
      </x:c>
      <x:c r="H23" s="10" t="n">
        <x:v>1</x:v>
      </x:c>
      <x:c r="I23" s="10" t="n">
        <x:v>1</x:v>
      </x:c>
      <x:c r="J23" s="10" t="n">
        <x:v>1</x:v>
      </x:c>
      <x:c r="K23" s="10" t="n">
        <x:v>1</x:v>
      </x:c>
      <x:c r="L23" s="12" t="n">
        <x:v>0</x:v>
      </x:c>
      <x:c r="M23" s="10" t="str">
        <x:f>IF(AND(E23&gt;0,H23=1,I23=1,J23=1,K23=1),"PASS","FAIL")</x:f>
        <x:v>PASS</x:v>
      </x:c>
      <x:c r="N23" s="10" t="str">
        <x:f>IF(M23&lt;&gt;"PASS","FAIL",IF(L23=1,"PASS","OPEN"))</x:f>
        <x:v>OPEN</x:v>
      </x:c>
    </x:row>
    <x:row r="24">
      <x:c r="B24" s="11" t="str">
        <x:v>I18</x:v>
      </x:c>
      <x:c r="C24" s="11" t="str">
        <x:v>event and evidence time</x:v>
      </x:c>
      <x:c r="D24" s="11" t="str">
        <x:v>three unlike clocks</x:v>
      </x:c>
      <x:c r="E24" s="17" t="n">
        <x:v>3</x:v>
      </x:c>
      <x:c r="F24" s="17" t="str">
        <x:v>microsecond</x:v>
      </x:c>
      <x:c r="G24" s="17" t="n">
        <x:v>50</x:v>
      </x:c>
      <x:c r="H24" s="11" t="n">
        <x:v>1</x:v>
      </x:c>
      <x:c r="I24" s="11" t="n">
        <x:v>1</x:v>
      </x:c>
      <x:c r="J24" s="11" t="n">
        <x:v>1</x:v>
      </x:c>
      <x:c r="K24" s="11" t="n">
        <x:v>1</x:v>
      </x:c>
      <x:c r="L24" s="13" t="n">
        <x:v>0</x:v>
      </x:c>
      <x:c r="M24" s="11" t="str">
        <x:f>IF(AND(E24&gt;0,H24=1,I24=1,J24=1,K24=1),"PASS","FAIL")</x:f>
        <x:v>PASS</x:v>
      </x:c>
      <x:c r="N24" s="11" t="str">
        <x:f>IF(M24&lt;&gt;"PASS","FAIL",IF(L24=1,"PASS","OPEN"))</x:f>
        <x:v>OPEN</x:v>
      </x:c>
    </x:row>
  </x:sheetData>
  <x:mergeCells>
    <x:mergeCell ref="B2:O2"/>
    <x:mergeCell ref="B3:O3"/>
  </x:mergeCells>
  <x:conditionalFormatting sqref="M7:N24">
    <x:cfRule type="containsText" dxfId="168" priority="1" operator="containsText" text="PASS"/>
    <x:cfRule type="containsText" dxfId="169" priority="2" operator="containsText" text="AUTHORIZED"/>
    <x:cfRule type="containsText" dxfId="170" priority="3" operator="containsText" text="DEFINED"/>
    <x:cfRule type="containsText" dxfId="171" priority="4" operator="containsText" text="READY"/>
    <x:cfRule type="containsText" dxfId="172" priority="5" operator="containsText" text="HOLD"/>
    <x:cfRule type="containsText" dxfId="173" priority="6" operator="containsText" text="OPEN"/>
    <x:cfRule type="containsText" dxfId="174" priority="7" operator="containsText" text="BLOCKED"/>
    <x:cfRule type="containsText" dxfId="175" priority="8" operator="containsText" text="PLANNING"/>
    <x:cfRule type="containsText" dxfId="176" priority="9" operator="containsText" text="QUARANTINE"/>
    <x:cfRule type="containsText" dxfId="177" priority="10" operator="containsText" text="INDETERMINATE"/>
    <x:cfRule type="containsText" dxfId="178" priority="11" operator="containsText" text="FAIL"/>
    <x:cfRule type="containsText" dxfId="179" priority="12" operator="containsText" text="REJECT"/>
    <x:cfRule type="containsText" dxfId="180" priority="13" operator="containsText" text="INVALID"/>
    <x:cfRule type="containsText" dxfId="181" priority="14" operator="containsText" text="STOP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10" hidden="0" customWidth="1"/>
    <x:col min="4" max="4" width="11" hidden="0" customWidth="1"/>
    <x:col min="5" max="5" width="8" hidden="0" customWidth="1"/>
    <x:col min="6" max="6" width="24" hidden="0" customWidth="1"/>
    <x:col min="7" max="7" width="23" hidden="0" customWidth="1"/>
    <x:col min="8" max="8" width="18" hidden="0" customWidth="1"/>
    <x:col min="9" max="9" width="15" hidden="0" customWidth="1"/>
    <x:col min="10" max="10" width="22" hidden="0" customWidth="1"/>
    <x:col min="11" max="11" width="21" hidden="0" customWidth="1"/>
    <x:col min="12" max="12" width="18" hidden="0" customWidth="1"/>
    <x:col min="13" max="13" width="18" hidden="0" customWidth="1"/>
    <x:col min="14" max="14" width="24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2">
      <x:c r="B2" s="1" t="str">
        <x:v>Root-site safe-state timing</x:v>
      </x:c>
    </x:row>
    <x:row r="3">
      <x:c r="B3" s="2" t="str">
        <x:v>Pressure/flow trips and gas detection are separate clocks. Terminal source, evidence seal and human entry remain separate outcomes.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6">
      <x:c r="B6" s="8" t="str">
        <x:v>Site</x:v>
      </x:c>
      <x:c r="C6" s="8" t="str">
        <x:v>Lane</x:v>
      </x:c>
      <x:c r="D6" s="8" t="str">
        <x:v>Cell</x:v>
      </x:c>
      <x:c r="E6" s="8" t="str">
        <x:v>Root</x:v>
      </x:c>
      <x:c r="F6" s="8" t="str">
        <x:v>Pressure or flow trip (s)</x:v>
      </x:c>
      <x:c r="G6" s="8" t="str">
        <x:v>Gas detector T90 (s)</x:v>
      </x:c>
      <x:c r="H6" s="8" t="str">
        <x:v>Safety vote (s)</x:v>
      </x:c>
      <x:c r="I6" s="8" t="str">
        <x:v>Isolation (s)</x:v>
      </x:c>
      <x:c r="J6" s="8" t="str">
        <x:v>Passive route open (s)</x:v>
      </x:c>
      <x:c r="K6" s="8" t="str">
        <x:v>Terminal source (s)</x:v>
      </x:c>
      <x:c r="L6" s="8" t="str">
        <x:v>Evidence seal (s)</x:v>
      </x:c>
      <x:c r="M6" s="8" t="str">
        <x:v>Human entry (s)</x:v>
      </x:c>
      <x:c r="N6" s="8" t="str">
        <x:v>Independent logic paths</x:v>
      </x:c>
      <x:c r="O6" s="8" t="str">
        <x:v>Physical proof</x:v>
      </x:c>
      <x:c r="P6" s="8" t="str">
        <x:v>Planning state</x:v>
      </x:c>
      <x:c r="Q6" s="8" t="str">
        <x:v>Physical state</x:v>
      </x:c>
    </x:row>
    <x:row r="7">
      <x:c r="B7" s="10" t="str">
        <x:v>PTC-B</x:v>
      </x:c>
      <x:c r="C7" s="10" t="str">
        <x:v>LN-11</x:v>
      </x:c>
      <x:c r="D7" s="10" t="str">
        <x:v>MC-B1</x:v>
      </x:c>
      <x:c r="E7" s="10" t="str">
        <x:v>A</x:v>
      </x:c>
      <x:c r="F7" s="24" t="n">
        <x:v>0.1</x:v>
      </x:c>
      <x:c r="G7" s="24" t="n">
        <x:v>2</x:v>
      </x:c>
      <x:c r="H7" s="24" t="n">
        <x:v>0.25</x:v>
      </x:c>
      <x:c r="I7" s="24" t="n">
        <x:v>2</x:v>
      </x:c>
      <x:c r="J7" s="24" t="n">
        <x:v>10</x:v>
      </x:c>
      <x:c r="K7" s="24" t="n">
        <x:v>30</x:v>
      </x:c>
      <x:c r="L7" s="24" t="n">
        <x:v>30</x:v>
      </x:c>
      <x:c r="M7" s="24" t="n">
        <x:v>1800</x:v>
      </x:c>
      <x:c r="N7" s="10" t="n">
        <x:v>3</x:v>
      </x:c>
      <x:c r="O7" s="12" t="n">
        <x:v>0</x:v>
      </x:c>
      <x:c r="P7" s="10" t="str">
        <x:f>IF(AND(F7&lt;=0.1,G7&lt;=2,H7&lt;=0.25,I7&lt;=IF(E7="A",2,5),J7&lt;=10,K7&lt;=IF(E7="A",30,120),L7&lt;=30,M7&lt;=IF(E7="A",1800,3600),N7&gt;=3),"PASS","FAIL")</x:f>
        <x:v>PASS</x:v>
      </x:c>
      <x:c r="Q7" s="10" t="str">
        <x:f>IF(P7&lt;&gt;"PASS","FAIL",IF(O7=1,"PASS","OPEN"))</x:f>
        <x:v>OPEN</x:v>
      </x:c>
    </x:row>
    <x:row r="8">
      <x:c r="B8" s="10" t="str">
        <x:v>PTC-B</x:v>
      </x:c>
      <x:c r="C8" s="10" t="str">
        <x:v>LN-11</x:v>
      </x:c>
      <x:c r="D8" s="10" t="str">
        <x:v>MC-B1</x:v>
      </x:c>
      <x:c r="E8" s="10" t="str">
        <x:v>B</x:v>
      </x:c>
      <x:c r="F8" s="24" t="n">
        <x:v>0.1</x:v>
      </x:c>
      <x:c r="G8" s="24" t="n">
        <x:v>2</x:v>
      </x:c>
      <x:c r="H8" s="24" t="n">
        <x:v>0.25</x:v>
      </x:c>
      <x:c r="I8" s="24" t="n">
        <x:v>5</x:v>
      </x:c>
      <x:c r="J8" s="24" t="n">
        <x:v>10</x:v>
      </x:c>
      <x:c r="K8" s="24" t="n">
        <x:v>120</x:v>
      </x:c>
      <x:c r="L8" s="24" t="n">
        <x:v>30</x:v>
      </x:c>
      <x:c r="M8" s="24" t="n">
        <x:v>3600</x:v>
      </x:c>
      <x:c r="N8" s="10" t="n">
        <x:v>3</x:v>
      </x:c>
      <x:c r="O8" s="12" t="n">
        <x:v>0</x:v>
      </x:c>
      <x:c r="P8" s="10" t="str">
        <x:f>IF(AND(F8&lt;=0.1,G8&lt;=2,H8&lt;=0.25,I8&lt;=IF(E8="A",2,5),J8&lt;=10,K8&lt;=IF(E8="A",30,120),L8&lt;=30,M8&lt;=IF(E8="A",1800,3600),N8&gt;=3),"PASS","FAIL")</x:f>
        <x:v>PASS</x:v>
      </x:c>
      <x:c r="Q8" s="10" t="str">
        <x:f>IF(P8&lt;&gt;"PASS","FAIL",IF(O8=1,"PASS","OPEN"))</x:f>
        <x:v>OPEN</x:v>
      </x:c>
    </x:row>
    <x:row r="9">
      <x:c r="B9" s="10" t="str">
        <x:v>PTC-C</x:v>
      </x:c>
      <x:c r="C9" s="10" t="str">
        <x:v>LN-12</x:v>
      </x:c>
      <x:c r="D9" s="10" t="str">
        <x:v>MC-C1</x:v>
      </x:c>
      <x:c r="E9" s="10" t="str">
        <x:v>A</x:v>
      </x:c>
      <x:c r="F9" s="24" t="n">
        <x:v>0.1</x:v>
      </x:c>
      <x:c r="G9" s="24" t="n">
        <x:v>2</x:v>
      </x:c>
      <x:c r="H9" s="24" t="n">
        <x:v>0.25</x:v>
      </x:c>
      <x:c r="I9" s="24" t="n">
        <x:v>2</x:v>
      </x:c>
      <x:c r="J9" s="24" t="n">
        <x:v>10</x:v>
      </x:c>
      <x:c r="K9" s="24" t="n">
        <x:v>30</x:v>
      </x:c>
      <x:c r="L9" s="24" t="n">
        <x:v>30</x:v>
      </x:c>
      <x:c r="M9" s="24" t="n">
        <x:v>1800</x:v>
      </x:c>
      <x:c r="N9" s="10" t="n">
        <x:v>3</x:v>
      </x:c>
      <x:c r="O9" s="12" t="n">
        <x:v>0</x:v>
      </x:c>
      <x:c r="P9" s="10" t="str">
        <x:f>IF(AND(F9&lt;=0.1,G9&lt;=2,H9&lt;=0.25,I9&lt;=IF(E9="A",2,5),J9&lt;=10,K9&lt;=IF(E9="A",30,120),L9&lt;=30,M9&lt;=IF(E9="A",1800,3600),N9&gt;=3),"PASS","FAIL")</x:f>
        <x:v>PASS</x:v>
      </x:c>
      <x:c r="Q9" s="10" t="str">
        <x:f>IF(P9&lt;&gt;"PASS","FAIL",IF(O9=1,"PASS","OPEN"))</x:f>
        <x:v>OPEN</x:v>
      </x:c>
    </x:row>
    <x:row r="10">
      <x:c r="B10" s="11" t="str">
        <x:v>PTC-C</x:v>
      </x:c>
      <x:c r="C10" s="11" t="str">
        <x:v>LN-12</x:v>
      </x:c>
      <x:c r="D10" s="11" t="str">
        <x:v>MC-C1</x:v>
      </x:c>
      <x:c r="E10" s="11" t="str">
        <x:v>B</x:v>
      </x:c>
      <x:c r="F10" s="25" t="n">
        <x:v>0.1</x:v>
      </x:c>
      <x:c r="G10" s="25" t="n">
        <x:v>2</x:v>
      </x:c>
      <x:c r="H10" s="25" t="n">
        <x:v>0.25</x:v>
      </x:c>
      <x:c r="I10" s="25" t="n">
        <x:v>5</x:v>
      </x:c>
      <x:c r="J10" s="25" t="n">
        <x:v>10</x:v>
      </x:c>
      <x:c r="K10" s="25" t="n">
        <x:v>120</x:v>
      </x:c>
      <x:c r="L10" s="25" t="n">
        <x:v>30</x:v>
      </x:c>
      <x:c r="M10" s="25" t="n">
        <x:v>3600</x:v>
      </x:c>
      <x:c r="N10" s="11" t="n">
        <x:v>3</x:v>
      </x:c>
      <x:c r="O10" s="13" t="n">
        <x:v>0</x:v>
      </x:c>
      <x:c r="P10" s="11" t="str">
        <x:f>IF(AND(F10&lt;=0.1,G10&lt;=2,H10&lt;=0.25,I10&lt;=IF(E10="A",2,5),J10&lt;=10,K10&lt;=IF(E10="A",30,120),L10&lt;=30,M10&lt;=IF(E10="A",1800,3600),N10&gt;=3),"PASS","FAIL")</x:f>
        <x:v>PASS</x:v>
      </x:c>
      <x:c r="Q10" s="11" t="str">
        <x:f>IF(P10&lt;&gt;"PASS","FAIL",IF(O10=1,"PASS","OPEN"))</x:f>
        <x:v>OPEN</x:v>
      </x:c>
    </x:row>
  </x:sheetData>
  <x:mergeCells>
    <x:mergeCell ref="B2:R2"/>
    <x:mergeCell ref="B3:R3"/>
  </x:mergeCells>
  <x:conditionalFormatting sqref="P7:Q10">
    <x:cfRule type="containsText" dxfId="182" priority="1" operator="containsText" text="PASS"/>
    <x:cfRule type="containsText" dxfId="183" priority="2" operator="containsText" text="AUTHORIZED"/>
    <x:cfRule type="containsText" dxfId="184" priority="3" operator="containsText" text="DEFINED"/>
    <x:cfRule type="containsText" dxfId="185" priority="4" operator="containsText" text="READY"/>
    <x:cfRule type="containsText" dxfId="186" priority="5" operator="containsText" text="HOLD"/>
    <x:cfRule type="containsText" dxfId="187" priority="6" operator="containsText" text="OPEN"/>
    <x:cfRule type="containsText" dxfId="188" priority="7" operator="containsText" text="BLOCKED"/>
    <x:cfRule type="containsText" dxfId="189" priority="8" operator="containsText" text="PLANNING"/>
    <x:cfRule type="containsText" dxfId="190" priority="9" operator="containsText" text="QUARANTINE"/>
    <x:cfRule type="containsText" dxfId="191" priority="10" operator="containsText" text="INDETERMINATE"/>
    <x:cfRule type="containsText" dxfId="192" priority="11" operator="containsText" text="FAIL"/>
    <x:cfRule type="containsText" dxfId="193" priority="12" operator="containsText" text="REJECT"/>
    <x:cfRule type="containsText" dxfId="194" priority="13" operator="containsText" text="INVALID"/>
    <x:cfRule type="containsText" dxfId="195" priority="14" operator="containsText" text="STOP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10" hidden="0" customWidth="1"/>
    <x:col min="4" max="4" width="11" hidden="0" customWidth="1"/>
    <x:col min="5" max="5" width="8" hidden="0" customWidth="1"/>
    <x:col min="6" max="6" width="23" hidden="0" customWidth="1"/>
    <x:col min="7" max="7" width="19" hidden="0" customWidth="1"/>
    <x:col min="8" max="8" width="29" hidden="0" customWidth="1"/>
    <x:col min="9" max="9" width="25" hidden="0" customWidth="1"/>
    <x:col min="10" max="10" width="26" hidden="0" customWidth="1"/>
    <x:col min="11" max="11" width="19" hidden="0" customWidth="1"/>
    <x:col min="12" max="12" width="22" hidden="0" customWidth="1"/>
    <x:col min="13" max="13" width="17" hidden="0" customWidth="1"/>
    <x:col min="14" max="14" width="15" hidden="0" customWidth="1"/>
    <x:col min="15" max="15" width="15" hidden="0" customWidth="1"/>
  </x:cols>
  <x:sheetData>
    <x:row r="2">
      <x:c r="B2" s="1" t="str">
        <x:v>Source recovery and evidence closure</x:v>
      </x:c>
    </x:row>
    <x:row r="3">
      <x:c r="B3" s="2" t="str">
        <x:v>Recovery credit requires a closed mass ledger and two independent originals. Last-resort destruction remains measured source disposition, not disappearance.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>
      <x:c r="B6" s="8" t="str">
        <x:v>Site</x:v>
      </x:c>
      <x:c r="C6" s="8" t="str">
        <x:v>Lane</x:v>
      </x:c>
      <x:c r="D6" s="8" t="str">
        <x:v>Cell</x:v>
      </x:c>
      <x:c r="E6" s="8" t="str">
        <x:v>Root</x:v>
      </x:c>
      <x:c r="F6" s="8" t="str">
        <x:v>Target source mass (kg)</x:v>
      </x:c>
      <x:c r="G6" s="8" t="str">
        <x:v>Liquid sump (m3)</x:v>
      </x:c>
      <x:c r="H6" s="8" t="str">
        <x:v>Pressure-receiver capacity (kg)</x:v>
      </x:c>
      <x:c r="I6" s="8" t="str">
        <x:v>Gas-holder capacity (m3)</x:v>
      </x:c>
      <x:c r="J6" s="8" t="str">
        <x:v>Mass discrepancy limit (kg)</x:v>
      </x:c>
      <x:c r="K6" s="8" t="str">
        <x:v>Required originals</x:v>
      </x:c>
      <x:c r="L6" s="8" t="str">
        <x:v>Required packet fields</x:v>
      </x:c>
      <x:c r="M6" s="8" t="str">
        <x:v>Physical result</x:v>
      </x:c>
      <x:c r="N6" s="8" t="str">
        <x:v>Planning state</x:v>
      </x:c>
      <x:c r="O6" s="8" t="str">
        <x:v>Physical state</x:v>
      </x:c>
    </x:row>
    <x:row r="7">
      <x:c r="B7" s="10" t="str">
        <x:v>PTC-B</x:v>
      </x:c>
      <x:c r="C7" s="10" t="str">
        <x:v>LN-11</x:v>
      </x:c>
      <x:c r="D7" s="10" t="str">
        <x:v>MC-B1</x:v>
      </x:c>
      <x:c r="E7" s="10" t="str">
        <x:v>A</x:v>
      </x:c>
      <x:c r="F7" s="18" t="n">
        <x:v>2000</x:v>
      </x:c>
      <x:c r="G7" s="18" t="n">
        <x:v>12.5</x:v>
      </x:c>
      <x:c r="H7" s="18" t="n">
        <x:v>0</x:v>
      </x:c>
      <x:c r="I7" s="18" t="n">
        <x:v>0</x:v>
      </x:c>
      <x:c r="J7" s="18" t="n">
        <x:v>5</x:v>
      </x:c>
      <x:c r="K7" s="18" t="n">
        <x:v>2</x:v>
      </x:c>
      <x:c r="L7" s="18" t="n">
        <x:v>18</x:v>
      </x:c>
      <x:c r="M7" s="20" t="n">
        <x:v>0</x:v>
      </x:c>
      <x:c r="N7" s="10" t="str">
        <x:f>IF(AND(F7='Controls'!$D$8,J7&lt;=5,K7&gt;='Controls'!$D$66,L7&gt;=18,IF(E7="A",G7&gt;=12.5,AND(H7&gt;=F7,I7&gt;='Controls'!$D$17))),"PASS","FAIL")</x:f>
        <x:v>PASS</x:v>
      </x:c>
      <x:c r="O7" s="10" t="str">
        <x:f>IF(N7&lt;&gt;"PASS","FAIL",IF(M7=1,"PASS","OPEN"))</x:f>
        <x:v>OPEN</x:v>
      </x:c>
    </x:row>
    <x:row r="8">
      <x:c r="B8" s="10" t="str">
        <x:v>PTC-B</x:v>
      </x:c>
      <x:c r="C8" s="10" t="str">
        <x:v>LN-11</x:v>
      </x:c>
      <x:c r="D8" s="10" t="str">
        <x:v>MC-B1</x:v>
      </x:c>
      <x:c r="E8" s="10" t="str">
        <x:v>B</x:v>
      </x:c>
      <x:c r="F8" s="18" t="n">
        <x:v>2000</x:v>
      </x:c>
      <x:c r="G8" s="18" t="n">
        <x:v>0</x:v>
      </x:c>
      <x:c r="H8" s="18" t="n">
        <x:v>5344</x:v>
      </x:c>
      <x:c r="I8" s="18" t="n">
        <x:v>2000</x:v>
      </x:c>
      <x:c r="J8" s="18" t="n">
        <x:v>5</x:v>
      </x:c>
      <x:c r="K8" s="18" t="n">
        <x:v>2</x:v>
      </x:c>
      <x:c r="L8" s="18" t="n">
        <x:v>18</x:v>
      </x:c>
      <x:c r="M8" s="20" t="n">
        <x:v>0</x:v>
      </x:c>
      <x:c r="N8" s="10" t="str">
        <x:f>IF(AND(F8='Controls'!$D$8,J8&lt;=5,K8&gt;='Controls'!$D$66,L8&gt;=18,IF(E8="A",G8&gt;=12.5,AND(H8&gt;=F8,I8&gt;='Controls'!$D$17))),"PASS","FAIL")</x:f>
        <x:v>PASS</x:v>
      </x:c>
      <x:c r="O8" s="10" t="str">
        <x:f>IF(N8&lt;&gt;"PASS","FAIL",IF(M8=1,"PASS","OPEN"))</x:f>
        <x:v>OPEN</x:v>
      </x:c>
    </x:row>
    <x:row r="9">
      <x:c r="B9" s="10" t="str">
        <x:v>PTC-C</x:v>
      </x:c>
      <x:c r="C9" s="10" t="str">
        <x:v>LN-12</x:v>
      </x:c>
      <x:c r="D9" s="10" t="str">
        <x:v>MC-C1</x:v>
      </x:c>
      <x:c r="E9" s="10" t="str">
        <x:v>A</x:v>
      </x:c>
      <x:c r="F9" s="18" t="n">
        <x:v>2000</x:v>
      </x:c>
      <x:c r="G9" s="18" t="n">
        <x:v>12.5</x:v>
      </x:c>
      <x:c r="H9" s="18" t="n">
        <x:v>0</x:v>
      </x:c>
      <x:c r="I9" s="18" t="n">
        <x:v>0</x:v>
      </x:c>
      <x:c r="J9" s="18" t="n">
        <x:v>5</x:v>
      </x:c>
      <x:c r="K9" s="18" t="n">
        <x:v>2</x:v>
      </x:c>
      <x:c r="L9" s="18" t="n">
        <x:v>18</x:v>
      </x:c>
      <x:c r="M9" s="20" t="n">
        <x:v>0</x:v>
      </x:c>
      <x:c r="N9" s="10" t="str">
        <x:f>IF(AND(F9='Controls'!$D$8,J9&lt;=5,K9&gt;='Controls'!$D$66,L9&gt;=18,IF(E9="A",G9&gt;=12.5,AND(H9&gt;=F9,I9&gt;='Controls'!$D$17))),"PASS","FAIL")</x:f>
        <x:v>PASS</x:v>
      </x:c>
      <x:c r="O9" s="10" t="str">
        <x:f>IF(N9&lt;&gt;"PASS","FAIL",IF(M9=1,"PASS","OPEN"))</x:f>
        <x:v>OPEN</x:v>
      </x:c>
    </x:row>
    <x:row r="10">
      <x:c r="B10" s="11" t="str">
        <x:v>PTC-C</x:v>
      </x:c>
      <x:c r="C10" s="11" t="str">
        <x:v>LN-12</x:v>
      </x:c>
      <x:c r="D10" s="11" t="str">
        <x:v>MC-C1</x:v>
      </x:c>
      <x:c r="E10" s="11" t="str">
        <x:v>B</x:v>
      </x:c>
      <x:c r="F10" s="19" t="n">
        <x:v>2000</x:v>
      </x:c>
      <x:c r="G10" s="19" t="n">
        <x:v>0</x:v>
      </x:c>
      <x:c r="H10" s="19" t="n">
        <x:v>5344</x:v>
      </x:c>
      <x:c r="I10" s="19" t="n">
        <x:v>2000</x:v>
      </x:c>
      <x:c r="J10" s="19" t="n">
        <x:v>5</x:v>
      </x:c>
      <x:c r="K10" s="19" t="n">
        <x:v>2</x:v>
      </x:c>
      <x:c r="L10" s="19" t="n">
        <x:v>18</x:v>
      </x:c>
      <x:c r="M10" s="21" t="n">
        <x:v>0</x:v>
      </x:c>
      <x:c r="N10" s="11" t="str">
        <x:f>IF(AND(F10='Controls'!$D$8,J10&lt;=5,K10&gt;='Controls'!$D$66,L10&gt;=18,IF(E10="A",G10&gt;=12.5,AND(H10&gt;=F10,I10&gt;='Controls'!$D$17))),"PASS","FAIL")</x:f>
        <x:v>PASS</x:v>
      </x:c>
      <x:c r="O10" s="11" t="str">
        <x:f>IF(N10&lt;&gt;"PASS","FAIL",IF(M10=1,"PASS","OPEN"))</x:f>
        <x:v>OPEN</x:v>
      </x:c>
    </x:row>
  </x:sheetData>
  <x:mergeCells>
    <x:mergeCell ref="B2:P2"/>
    <x:mergeCell ref="B3:P3"/>
  </x:mergeCells>
  <x:conditionalFormatting sqref="N7:O10">
    <x:cfRule type="containsText" dxfId="196" priority="1" operator="containsText" text="PASS"/>
    <x:cfRule type="containsText" dxfId="197" priority="2" operator="containsText" text="AUTHORIZED"/>
    <x:cfRule type="containsText" dxfId="198" priority="3" operator="containsText" text="DEFINED"/>
    <x:cfRule type="containsText" dxfId="199" priority="4" operator="containsText" text="READY"/>
    <x:cfRule type="containsText" dxfId="200" priority="5" operator="containsText" text="HOLD"/>
    <x:cfRule type="containsText" dxfId="201" priority="6" operator="containsText" text="OPEN"/>
    <x:cfRule type="containsText" dxfId="202" priority="7" operator="containsText" text="BLOCKED"/>
    <x:cfRule type="containsText" dxfId="203" priority="8" operator="containsText" text="PLANNING"/>
    <x:cfRule type="containsText" dxfId="204" priority="9" operator="containsText" text="QUARANTINE"/>
    <x:cfRule type="containsText" dxfId="205" priority="10" operator="containsText" text="INDETERMINATE"/>
    <x:cfRule type="containsText" dxfId="206" priority="11" operator="containsText" text="FAIL"/>
    <x:cfRule type="containsText" dxfId="207" priority="12" operator="containsText" text="REJECT"/>
    <x:cfRule type="containsText" dxfId="208" priority="13" operator="containsText" text="INVALID"/>
    <x:cfRule type="containsText" dxfId="209" priority="14" operator="containsText" text="STOP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8" hidden="0" customWidth="1"/>
    <x:col min="3" max="3" width="15" hidden="0" customWidth="1"/>
    <x:col min="4" max="4" width="14" hidden="0" customWidth="1"/>
    <x:col min="5" max="5" width="19" hidden="0" customWidth="1"/>
    <x:col min="6" max="6" width="49" hidden="0" customWidth="1"/>
    <x:col min="7" max="7" width="22" hidden="0" customWidth="1"/>
    <x:col min="8" max="8" width="17" hidden="0" customWidth="1"/>
    <x:col min="9" max="9" width="21" hidden="0" customWidth="1"/>
    <x:col min="10" max="10" width="15" hidden="0" customWidth="1"/>
    <x:col min="11" max="11" width="17" hidden="0" customWidth="1"/>
  </x:cols>
  <x:sheetData>
    <x:row r="2">
      <x:c r="B2" s="1" t="str">
        <x:v>Thirty-month safety-case sequence</x:v>
      </x:c>
    </x:row>
    <x:row r="3">
      <x:c r="B3" s="2" t="str">
        <x:v>Overlap is permitted only where the predecessor physical and authority gates for the affected source state have closed.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>
      <x:c r="B6" s="8" t="str">
        <x:v>Phase</x:v>
      </x:c>
      <x:c r="C6" s="8" t="str">
        <x:v>Start month</x:v>
      </x:c>
      <x:c r="D6" s="8" t="str">
        <x:v>End month</x:v>
      </x:c>
      <x:c r="E6" s="8" t="str">
        <x:v>Duration (months)</x:v>
      </x:c>
      <x:c r="F6" s="8" t="str">
        <x:v>Exit object</x:v>
      </x:c>
      <x:c r="G6" s="8" t="str">
        <x:v>Predecessor complete</x:v>
      </x:c>
      <x:c r="H6" s="8" t="str">
        <x:v>Safety review</x:v>
      </x:c>
      <x:c r="I6" s="8" t="str">
        <x:v>Source-state limit</x:v>
      </x:c>
      <x:c r="J6" s="8" t="str">
        <x:v>Planning state</x:v>
      </x:c>
      <x:c r="K6" s="8" t="str">
        <x:v>Physical source</x:v>
      </x:c>
    </x:row>
    <x:row r="7">
      <x:c r="B7" s="10" t="str">
        <x:v>source and authority freeze</x:v>
      </x:c>
      <x:c r="C7" s="26" t="n">
        <x:v>0</x:v>
      </x:c>
      <x:c r="D7" s="26" t="n">
        <x:v>3</x:v>
      </x:c>
      <x:c r="E7" s="26" t="n">
        <x:f>D7-C7</x:f>
        <x:v>3</x:v>
      </x:c>
      <x:c r="F7" s="10" t="str">
        <x:v>root cases, C0/C1/C2 law and independent review</x:v>
      </x:c>
      <x:c r="G7" s="10" t="n">
        <x:v>1</x:v>
      </x:c>
      <x:c r="H7" s="10" t="n">
        <x:v>1</x:v>
      </x:c>
      <x:c r="I7" s="10" t="str">
        <x:v>C0</x:v>
      </x:c>
      <x:c r="J7" s="10" t="str">
        <x:f>IF(AND(C7&gt;=0,D7&gt;C7,D7&lt;='Controls'!$D$41,G7=1,H7=1,I7&lt;&gt;""),"PASS","FAIL")</x:f>
        <x:v>PASS</x:v>
      </x:c>
      <x:c r="K7" s="12" t="n">
        <x:v>0</x:v>
      </x:c>
    </x:row>
    <x:row r="8">
      <x:c r="B8" s="10" t="str">
        <x:v>cell design release</x:v>
      </x:c>
      <x:c r="C8" s="26" t="n">
        <x:v>2</x:v>
      </x:c>
      <x:c r="D8" s="26" t="n">
        <x:v>8</x:v>
      </x:c>
      <x:c r="E8" s="26" t="n">
        <x:f>D8-C8</x:f>
        <x:v>6</x:v>
      </x:c>
      <x:c r="F8" s="10" t="str">
        <x:v>three cell packages and no-common-path register</x:v>
      </x:c>
      <x:c r="G8" s="10" t="n">
        <x:v>1</x:v>
      </x:c>
      <x:c r="H8" s="10" t="n">
        <x:v>1</x:v>
      </x:c>
      <x:c r="I8" s="10" t="str">
        <x:v>C0</x:v>
      </x:c>
      <x:c r="J8" s="10" t="str">
        <x:f>IF(AND(C8&gt;=0,D8&gt;C8,D8&lt;='Controls'!$D$41,G8=1,H8=1,I8&lt;&gt;""),"PASS","FAIL")</x:f>
        <x:v>PASS</x:v>
      </x:c>
      <x:c r="K8" s="12" t="n">
        <x:v>0</x:v>
      </x:c>
    </x:row>
    <x:row r="9">
      <x:c r="B9" s="10" t="str">
        <x:v>civil works and containment</x:v>
      </x:c>
      <x:c r="C9" s="26" t="n">
        <x:v>4</x:v>
      </x:c>
      <x:c r="D9" s="26" t="n">
        <x:v>14</x:v>
      </x:c>
      <x:c r="E9" s="26" t="n">
        <x:f>D9-C9</x:f>
        <x:v>10</x:v>
      </x:c>
      <x:c r="F9" s="10" t="str">
        <x:v>two lane cells and one consequence cell</x:v>
      </x:c>
      <x:c r="G9" s="10" t="n">
        <x:v>1</x:v>
      </x:c>
      <x:c r="H9" s="10" t="n">
        <x:v>1</x:v>
      </x:c>
      <x:c r="I9" s="10" t="str">
        <x:v>C0</x:v>
      </x:c>
      <x:c r="J9" s="10" t="str">
        <x:f>IF(AND(C9&gt;=0,D9&gt;C9,D9&lt;='Controls'!$D$41,G9=1,H9=1,I9&lt;&gt;""),"PASS","FAIL")</x:f>
        <x:v>PASS</x:v>
      </x:c>
      <x:c r="K9" s="12" t="n">
        <x:v>0</x:v>
      </x:c>
    </x:row>
    <x:row r="10">
      <x:c r="B10" s="10" t="str">
        <x:v>recovery, sensing and safety energy</x:v>
      </x:c>
      <x:c r="C10" s="26" t="n">
        <x:v>6</x:v>
      </x:c>
      <x:c r="D10" s="26" t="n">
        <x:v>15</x:v>
      </x:c>
      <x:c r="E10" s="26" t="n">
        <x:f>D10-C10</x:f>
        <x:v>9</x:v>
      </x:c>
      <x:c r="F10" s="10" t="str">
        <x:v>liquid, gas, instrument and three-bus systems</x:v>
      </x:c>
      <x:c r="G10" s="10" t="n">
        <x:v>1</x:v>
      </x:c>
      <x:c r="H10" s="10" t="n">
        <x:v>1</x:v>
      </x:c>
      <x:c r="I10" s="10" t="str">
        <x:v>C0</x:v>
      </x:c>
      <x:c r="J10" s="10" t="str">
        <x:f>IF(AND(C10&gt;=0,D10&gt;C10,D10&lt;='Controls'!$D$41,G10=1,H10=1,I10&lt;&gt;""),"PASS","FAIL")</x:f>
        <x:v>PASS</x:v>
      </x:c>
      <x:c r="K10" s="12" t="n">
        <x:v>0</x:v>
      </x:c>
    </x:row>
    <x:row r="11">
      <x:c r="B11" s="10" t="str">
        <x:v>component and cold-flow trials</x:v>
      </x:c>
      <x:c r="C11" s="26" t="n">
        <x:v>10</x:v>
      </x:c>
      <x:c r="D11" s="26" t="n">
        <x:v>18</x:v>
      </x:c>
      <x:c r="E11" s="26" t="n">
        <x:f>D11-C11</x:f>
        <x:v>8</x:v>
      </x:c>
      <x:c r="F11" s="10" t="str">
        <x:v>passive boundary and inert-source evidence</x:v>
      </x:c>
      <x:c r="G11" s="10" t="n">
        <x:v>1</x:v>
      </x:c>
      <x:c r="H11" s="10" t="n">
        <x:v>1</x:v>
      </x:c>
      <x:c r="I11" s="10" t="str">
        <x:v>C1</x:v>
      </x:c>
      <x:c r="J11" s="10" t="str">
        <x:f>IF(AND(C11&gt;=0,D11&gt;C11,D11&lt;='Controls'!$D$41,G11=1,H11=1,I11&lt;&gt;""),"PASS","FAIL")</x:f>
        <x:v>PASS</x:v>
      </x:c>
      <x:c r="K11" s="12" t="n">
        <x:v>0</x:v>
      </x:c>
    </x:row>
    <x:row r="12">
      <x:c r="B12" s="10" t="str">
        <x:v>live-source limited-scale trials</x:v>
      </x:c>
      <x:c r="C12" s="26" t="n">
        <x:v>14</x:v>
      </x:c>
      <x:c r="D12" s="26" t="n">
        <x:v>22</x:v>
      </x:c>
      <x:c r="E12" s="26" t="n">
        <x:f>D12-C12</x:f>
        <x:v>8</x:v>
      </x:c>
      <x:c r="F12" s="10" t="str">
        <x:v>seal, line, ignition and media-interaction evidence</x:v>
      </x:c>
      <x:c r="G12" s="10" t="n">
        <x:v>1</x:v>
      </x:c>
      <x:c r="H12" s="10" t="n">
        <x:v>1</x:v>
      </x:c>
      <x:c r="I12" s="10" t="str">
        <x:v>C1</x:v>
      </x:c>
      <x:c r="J12" s="10" t="str">
        <x:f>IF(AND(C12&gt;=0,D12&gt;C12,D12&lt;='Controls'!$D$41,G12=1,H12=1,I12&lt;&gt;""),"PASS","FAIL")</x:f>
        <x:v>PASS</x:v>
      </x:c>
      <x:c r="K12" s="12" t="n">
        <x:v>0</x:v>
      </x:c>
    </x:row>
    <x:row r="13">
      <x:c r="B13" s="10" t="str">
        <x:v>root-site event campaign</x:v>
      </x:c>
      <x:c r="C13" s="26" t="n">
        <x:v>18</x:v>
      </x:c>
      <x:c r="D13" s="26" t="n">
        <x:v>26</x:v>
      </x:c>
      <x:c r="E13" s="26" t="n">
        <x:f>D13-C13</x:f>
        <x:v>8</x:v>
      </x:c>
      <x:c r="F13" s="10" t="str">
        <x:v>fault and clean-control packets</x:v>
      </x:c>
      <x:c r="G13" s="10" t="n">
        <x:v>1</x:v>
      </x:c>
      <x:c r="H13" s="10" t="n">
        <x:v>1</x:v>
      </x:c>
      <x:c r="I13" s="10" t="str">
        <x:v>C1</x:v>
      </x:c>
      <x:c r="J13" s="10" t="str">
        <x:f>IF(AND(C13&gt;=0,D13&gt;C13,D13&lt;='Controls'!$D$41,G13=1,H13=1,I13&lt;&gt;""),"PASS","FAIL")</x:f>
        <x:v>PASS</x:v>
      </x:c>
      <x:c r="K13" s="12" t="n">
        <x:v>0</x:v>
      </x:c>
    </x:row>
    <x:row r="14">
      <x:c r="B14" s="10" t="str">
        <x:v>propagation and full-compartment trials</x:v>
      </x:c>
      <x:c r="C14" s="26" t="n">
        <x:v>24</x:v>
      </x:c>
      <x:c r="D14" s="26" t="n">
        <x:v>29</x:v>
      </x:c>
      <x:c r="E14" s="26" t="n">
        <x:f>D14-C14</x:f>
        <x:v>5</x:v>
      </x:c>
      <x:c r="F14" s="10" t="str">
        <x:v>C1 qualification and C2 decision record</x:v>
      </x:c>
      <x:c r="G14" s="10" t="n">
        <x:v>1</x:v>
      </x:c>
      <x:c r="H14" s="10" t="n">
        <x:v>1</x:v>
      </x:c>
      <x:c r="I14" s="10" t="str">
        <x:v>C1/C2 decision</x:v>
      </x:c>
      <x:c r="J14" s="10" t="str">
        <x:f>IF(AND(C14&gt;=0,D14&gt;C14,D14&lt;='Controls'!$D$41,G14=1,H14=1,I14&lt;&gt;""),"PASS","FAIL")</x:f>
        <x:v>PASS</x:v>
      </x:c>
      <x:c r="K14" s="12" t="n">
        <x:v>0</x:v>
      </x:c>
    </x:row>
    <x:row r="15">
      <x:c r="B15" s="11" t="str">
        <x:v>independent acceptance board</x:v>
      </x:c>
      <x:c r="C15" s="27" t="n">
        <x:v>28</x:v>
      </x:c>
      <x:c r="D15" s="27" t="n">
        <x:v>30</x:v>
      </x:c>
      <x:c r="E15" s="27" t="n">
        <x:f>D15-C15</x:f>
        <x:v>2</x:v>
      </x:c>
      <x:c r="F15" s="11" t="str">
        <x:v>physical gates and retained dissent</x:v>
      </x:c>
      <x:c r="G15" s="11" t="n">
        <x:v>1</x:v>
      </x:c>
      <x:c r="H15" s="11" t="n">
        <x:v>1</x:v>
      </x:c>
      <x:c r="I15" s="11" t="str">
        <x:v>C1/C2 decision</x:v>
      </x:c>
      <x:c r="J15" s="11" t="str">
        <x:f>IF(AND(C15&gt;=0,D15&gt;C15,D15&lt;='Controls'!$D$41,G15=1,H15=1,I15&lt;&gt;""),"PASS","FAIL")</x:f>
        <x:v>PASS</x:v>
      </x:c>
      <x:c r="K15" s="13" t="n">
        <x:v>0</x:v>
      </x:c>
    </x:row>
  </x:sheetData>
  <x:mergeCells>
    <x:mergeCell ref="B2:L2"/>
    <x:mergeCell ref="B3:L3"/>
  </x:mergeCells>
  <x:conditionalFormatting sqref="J7:J15">
    <x:cfRule type="containsText" dxfId="210" priority="1" operator="containsText" text="PASS"/>
    <x:cfRule type="containsText" dxfId="211" priority="2" operator="containsText" text="AUTHORIZED"/>
    <x:cfRule type="containsText" dxfId="212" priority="3" operator="containsText" text="DEFINED"/>
    <x:cfRule type="containsText" dxfId="213" priority="4" operator="containsText" text="READY"/>
    <x:cfRule type="containsText" dxfId="214" priority="5" operator="containsText" text="HOLD"/>
    <x:cfRule type="containsText" dxfId="215" priority="6" operator="containsText" text="OPEN"/>
    <x:cfRule type="containsText" dxfId="216" priority="7" operator="containsText" text="BLOCKED"/>
    <x:cfRule type="containsText" dxfId="217" priority="8" operator="containsText" text="PLANNING"/>
    <x:cfRule type="containsText" dxfId="218" priority="9" operator="containsText" text="QUARANTINE"/>
    <x:cfRule type="containsText" dxfId="219" priority="10" operator="containsText" text="INDETERMINATE"/>
    <x:cfRule type="containsText" dxfId="220" priority="11" operator="containsText" text="FAIL"/>
    <x:cfRule type="containsText" dxfId="221" priority="12" operator="containsText" text="REJECT"/>
    <x:cfRule type="containsText" dxfId="222" priority="13" operator="containsText" text="INVALID"/>
    <x:cfRule type="containsText" dxfId="223" priority="14" operator="containsText" text="STOP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2" hidden="0" customWidth="1"/>
    <x:col min="3" max="3" width="13" hidden="0" customWidth="1"/>
    <x:col min="4" max="4" width="20" hidden="0" customWidth="1"/>
    <x:col min="5" max="5" width="18" hidden="0" customWidth="1"/>
    <x:col min="6" max="6" width="56" hidden="0" customWidth="1"/>
    <x:col min="7" max="7" width="15" hidden="0" customWidth="1"/>
  </x:cols>
  <x:sheetData>
    <x:row r="2">
      <x:c r="B2" s="1" t="str">
        <x:v>MCR-1 capital and revised CISA boundary</x:v>
      </x:c>
    </x:row>
    <x:row r="3">
      <x:c r="B3" s="2" t="str">
        <x:v>Amounts are design allocations in USD millions. They are not quotes, appropriations or execution authority.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6">
      <x:c r="B6" s="8" t="str">
        <x:v>Capital use</x:v>
      </x:c>
      <x:c r="C6" s="8" t="str">
        <x:v>Quantity</x:v>
      </x:c>
      <x:c r="D6" s="8" t="str">
        <x:v>Unit cost (USD M)</x:v>
      </x:c>
      <x:c r="E6" s="8" t="str">
        <x:v>Total (USD M)</x:v>
      </x:c>
      <x:c r="F6" s="8" t="str">
        <x:v>Scope</x:v>
      </x:c>
      <x:c r="G6" s="8" t="str">
        <x:v>State</x:v>
      </x:c>
    </x:row>
    <x:row r="7">
      <x:c r="B7" s="10" t="str">
        <x:v>two source-preserving lane cells</x:v>
      </x:c>
      <x:c r="C7" s="10" t="n">
        <x:v>2</x:v>
      </x:c>
      <x:c r="D7" s="30" t="n">
        <x:v>72</x:v>
      </x:c>
      <x:c r="E7" s="31" t="n">
        <x:f>C7*D7</x:f>
        <x:v>144</x:v>
      </x:c>
      <x:c r="F7" s="10" t="str">
        <x:v>complete liquid and DME capability at PTC-B and PTC-C</x:v>
      </x:c>
      <x:c r="G7" s="10" t="str">
        <x:v>DESIGN</x:v>
      </x:c>
    </x:row>
    <x:row r="8">
      <x:c r="B8" s="10" t="str">
        <x:v>destructive consequence cell</x:v>
      </x:c>
      <x:c r="C8" s="10" t="n">
        <x:v>1</x:v>
      </x:c>
      <x:c r="D8" s="30" t="n">
        <x:v>58</x:v>
      </x:c>
      <x:c r="E8" s="31" t="n">
        <x:f>C8*D8</x:f>
        <x:v>58</x:v>
      </x:c>
      <x:c r="F8" s="10" t="str">
        <x:v>remote ignition, blast, fragment and thermal characterization</x:v>
      </x:c>
      <x:c r="G8" s="10" t="str">
        <x:v>DESIGN</x:v>
      </x:c>
    </x:row>
    <x:row r="9">
      <x:c r="B9" s="10" t="str">
        <x:v>remote recovery and retention systems</x:v>
      </x:c>
      <x:c r="C9" s="10" t="n">
        <x:v>1</x:v>
      </x:c>
      <x:c r="D9" s="30" t="n">
        <x:v>18</x:v>
      </x:c>
      <x:c r="E9" s="31" t="n">
        <x:f>C9*D9</x:f>
        <x:v>18</x:v>
      </x:c>
      <x:c r="F9" s="10" t="str">
        <x:v>pressure receivers, gas holder, liquid segregation and last-resort flare</x:v>
      </x:c>
      <x:c r="G9" s="10" t="str">
        <x:v>DESIGN</x:v>
      </x:c>
    </x:row>
    <x:row r="10">
      <x:c r="B10" s="10" t="str">
        <x:v>qualification articles and source media</x:v>
      </x:c>
      <x:c r="C10" s="10" t="n">
        <x:v>1</x:v>
      </x:c>
      <x:c r="D10" s="30" t="n">
        <x:v>22</x:v>
      </x:c>
      <x:c r="E10" s="31" t="n">
        <x:f>C10*D10</x:f>
        <x:v>22</x:v>
      </x:c>
      <x:c r="F10" s="10" t="str">
        <x:v>passive boundaries, sacrificial articles and controlled live media</x:v>
      </x:c>
      <x:c r="G10" s="10" t="str">
        <x:v>DESIGN</x:v>
      </x:c>
    </x:row>
    <x:row r="11">
      <x:c r="B11" s="10" t="str">
        <x:v>safety and evidence engineering</x:v>
      </x:c>
      <x:c r="C11" s="10" t="n">
        <x:v>1</x:v>
      </x:c>
      <x:c r="D11" s="30" t="n">
        <x:v>18</x:v>
      </x:c>
      <x:c r="E11" s="31" t="n">
        <x:f>C11*D11</x:f>
        <x:v>18</x:v>
      </x:c>
      <x:c r="F11" s="10" t="str">
        <x:v>independent logic, instrumentation, rescue and acceptance</x:v>
      </x:c>
      <x:c r="G11" s="10" t="str">
        <x:v>DESIGN</x:v>
      </x:c>
    </x:row>
    <x:row r="12">
      <x:c r="B12" s="11" t="str">
        <x:v>MCR-1 capital</x:v>
      </x:c>
      <x:c r="C12" s="11"/>
      <x:c r="D12" s="32"/>
      <x:c r="E12" s="35" t="n">
        <x:f>SUM(E7:E11)</x:f>
        <x:v>260</x:v>
      </x:c>
      <x:c r="F12" s="36" t="str">
        <x:v>program total</x:v>
      </x:c>
      <x:c r="G12" s="36" t="str">
        <x:f>IF(ABS(E12-'Controls'!$D$42*1000)&lt;0.0001,"PASS","FAIL")</x:f>
        <x:v>PASS</x:v>
      </x:c>
    </x:row>
    <x:row r="13">
      <x:c r="D13" s="33"/>
      <x:c r="E13" s="33"/>
    </x:row>
    <x:row r="14">
      <x:c r="B14" s="29" t="str">
        <x:v>Revised boundary</x:v>
      </x:c>
      <x:c r="C14" s="29" t="str">
        <x:v>Revised boundary</x:v>
      </x:c>
      <x:c r="D14" s="34" t="str">
        <x:v>Revised boundary</x:v>
      </x:c>
      <x:c r="E14" s="34" t="str">
        <x:v>Revised boundary</x:v>
      </x:c>
      <x:c r="F14" s="29" t="str">
        <x:v>Revised boundary</x:v>
      </x:c>
      <x:c r="G14" s="29" t="str">
        <x:v>Revised boundary</x:v>
      </x:c>
    </x:row>
    <x:row r="15">
      <x:c r="B15" s="10" t="str">
        <x:v>RSP-1 capital</x:v>
      </x:c>
      <x:c r="C15" s="10"/>
      <x:c r="D15" s="31"/>
      <x:c r="E15" s="31" t="n">
        <x:f>'Controls'!$D$44*1000</x:f>
        <x:v>168</x:v>
      </x:c>
      <x:c r="F15" s="10" t="str">
        <x:v>inherited</x:v>
      </x:c>
      <x:c r="G15" s="10"/>
    </x:row>
    <x:row r="16">
      <x:c r="B16" s="10" t="str">
        <x:v>MCR-1 capital</x:v>
      </x:c>
      <x:c r="C16" s="10"/>
      <x:c r="D16" s="31"/>
      <x:c r="E16" s="31" t="n">
        <x:f>E12</x:f>
        <x:v>260</x:v>
      </x:c>
      <x:c r="F16" s="10" t="str">
        <x:v>design</x:v>
      </x:c>
      <x:c r="G16" s="10"/>
    </x:row>
    <x:row r="17">
      <x:c r="B17" s="10" t="str">
        <x:v>other CISA-specific reserve</x:v>
      </x:c>
      <x:c r="C17" s="10"/>
      <x:c r="D17" s="31"/>
      <x:c r="E17" s="31" t="n">
        <x:f>'Controls'!$D$46*1000</x:f>
        <x:v>34</x:v>
      </x:c>
      <x:c r="F17" s="10" t="str">
        <x:v>protected remainder</x:v>
      </x:c>
      <x:c r="G17" s="10"/>
    </x:row>
    <x:row r="18">
      <x:c r="B18" s="10" t="str">
        <x:v>net-new CISA capital</x:v>
      </x:c>
      <x:c r="C18" s="10"/>
      <x:c r="D18" s="31"/>
      <x:c r="E18" s="31" t="n">
        <x:f>SUM(E15:E17)</x:f>
        <x:v>462</x:v>
      </x:c>
      <x:c r="F18" s="10" t="str">
        <x:v>calculated</x:v>
      </x:c>
      <x:c r="G18" s="10" t="str">
        <x:f>IF(E18=SUM(E15:E17),"PASS","FAIL")</x:f>
        <x:v>PASS</x:v>
      </x:c>
    </x:row>
    <x:row r="19">
      <x:c r="B19" s="10" t="str">
        <x:v>shared-estate reservation</x:v>
      </x:c>
      <x:c r="C19" s="10"/>
      <x:c r="D19" s="31"/>
      <x:c r="E19" s="31" t="n">
        <x:f>'Controls'!$D$48*1000</x:f>
        <x:v>128</x:v>
      </x:c>
      <x:c r="F19" s="10" t="str">
        <x:v>inherited</x:v>
      </x:c>
      <x:c r="G19" s="10"/>
    </x:row>
    <x:row r="20">
      <x:c r="B20" s="10" t="str">
        <x:v>PTC-1 physical-use capital</x:v>
      </x:c>
      <x:c r="C20" s="10"/>
      <x:c r="D20" s="31"/>
      <x:c r="E20" s="31" t="n">
        <x:f>E18+E19</x:f>
        <x:v>590</x:v>
      </x:c>
      <x:c r="F20" s="10" t="str">
        <x:v>calculated</x:v>
      </x:c>
      <x:c r="G20" s="10" t="str">
        <x:f>IF(E20=E18+E19,"PASS","FAIL")</x:f>
        <x:v>PASS</x:v>
      </x:c>
    </x:row>
    <x:row r="21">
      <x:c r="B21" s="10" t="str">
        <x:v>BRD-1 capital</x:v>
      </x:c>
      <x:c r="C21" s="10"/>
      <x:c r="D21" s="31"/>
      <x:c r="E21" s="31" t="n">
        <x:f>'Controls'!$D$50*1000</x:f>
        <x:v>318</x:v>
      </x:c>
      <x:c r="F21" s="10" t="str">
        <x:v>inherited</x:v>
      </x:c>
      <x:c r="G21" s="10"/>
    </x:row>
    <x:row r="22">
      <x:c r="B22" s="10" t="str">
        <x:v>BRD-3R reconciled capital</x:v>
      </x:c>
      <x:c r="C22" s="10"/>
      <x:c r="D22" s="31"/>
      <x:c r="E22" s="31" t="n">
        <x:f>E18+E21</x:f>
        <x:v>780</x:v>
      </x:c>
      <x:c r="F22" s="10" t="str">
        <x:v>calculated</x:v>
      </x:c>
      <x:c r="G22" s="10" t="str">
        <x:f>IF(E22=E18+E21,"PASS","FAIL")</x:f>
        <x:v>PASS</x:v>
      </x:c>
    </x:row>
    <x:row r="23">
      <x:c r="B23" s="10" t="str">
        <x:v>BRD-3U no-credit capital</x:v>
      </x:c>
      <x:c r="C23" s="10"/>
      <x:c r="D23" s="31"/>
      <x:c r="E23" s="31" t="n">
        <x:f>E20+E21</x:f>
        <x:v>908</x:v>
      </x:c>
      <x:c r="F23" s="10" t="str">
        <x:v>calculated</x:v>
      </x:c>
      <x:c r="G23" s="10" t="str">
        <x:f>IF(E23=E20+E21,"PASS","FAIL")</x:f>
        <x:v>PASS</x:v>
      </x:c>
    </x:row>
    <x:row r="24">
      <x:c r="B24" s="10" t="str">
        <x:v>CISA-1 capital boundary</x:v>
      </x:c>
      <x:c r="C24" s="10"/>
      <x:c r="D24" s="31"/>
      <x:c r="E24" s="31" t="n">
        <x:f>'Controls'!$D$52*1000</x:f>
        <x:v>960</x:v>
      </x:c>
      <x:c r="F24" s="10" t="str">
        <x:v>inherited</x:v>
      </x:c>
      <x:c r="G24" s="10"/>
    </x:row>
    <x:row r="25">
      <x:c r="B25" s="10" t="str">
        <x:v>remaining under BRD-3R</x:v>
      </x:c>
      <x:c r="C25" s="10"/>
      <x:c r="D25" s="31"/>
      <x:c r="E25" s="31" t="n">
        <x:f>E24-E22</x:f>
        <x:v>180</x:v>
      </x:c>
      <x:c r="F25" s="10" t="str">
        <x:v>calculated</x:v>
      </x:c>
      <x:c r="G25" s="10" t="str">
        <x:f>IF(E25&gt;=0,"PASS","FAIL")</x:f>
        <x:v>PASS</x:v>
      </x:c>
    </x:row>
    <x:row r="26">
      <x:c r="B26" s="11" t="str">
        <x:v>remaining under BRD-3U</x:v>
      </x:c>
      <x:c r="C26" s="11"/>
      <x:c r="D26" s="32"/>
      <x:c r="E26" s="32" t="n">
        <x:f>E24-E23</x:f>
        <x:v>52</x:v>
      </x:c>
      <x:c r="F26" s="11" t="str">
        <x:v>calculated</x:v>
      </x:c>
      <x:c r="G26" s="11" t="str">
        <x:f>IF(E26&gt;=0,"PASS","FAIL")</x:f>
        <x:v>PASS</x:v>
      </x:c>
    </x:row>
  </x:sheetData>
  <x:mergeCells>
    <x:mergeCell ref="B2:M2"/>
    <x:mergeCell ref="B3:M3"/>
    <x:mergeCell ref="B14:G14"/>
  </x:mergeCells>
  <x:conditionalFormatting sqref="G7:G26">
    <x:cfRule type="containsText" dxfId="224" priority="1" operator="containsText" text="PASS"/>
    <x:cfRule type="containsText" dxfId="225" priority="2" operator="containsText" text="AUTHORIZED"/>
    <x:cfRule type="containsText" dxfId="226" priority="3" operator="containsText" text="DEFINED"/>
    <x:cfRule type="containsText" dxfId="227" priority="4" operator="containsText" text="READY"/>
    <x:cfRule type="containsText" dxfId="228" priority="5" operator="containsText" text="HOLD"/>
    <x:cfRule type="containsText" dxfId="229" priority="6" operator="containsText" text="OPEN"/>
    <x:cfRule type="containsText" dxfId="230" priority="7" operator="containsText" text="BLOCKED"/>
    <x:cfRule type="containsText" dxfId="231" priority="8" operator="containsText" text="PLANNING"/>
    <x:cfRule type="containsText" dxfId="232" priority="9" operator="containsText" text="QUARANTINE"/>
    <x:cfRule type="containsText" dxfId="233" priority="10" operator="containsText" text="INDETERMINATE"/>
    <x:cfRule type="containsText" dxfId="234" priority="11" operator="containsText" text="FAIL"/>
    <x:cfRule type="containsText" dxfId="235" priority="12" operator="containsText" text="REJECT"/>
    <x:cfRule type="containsText" dxfId="236" priority="13" operator="containsText" text="INVALID"/>
    <x:cfRule type="containsText" dxfId="237" priority="14" operator="containsText" text="STOP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2" hidden="0" customWidth="1"/>
    <x:col min="3" max="3" width="13" hidden="0" customWidth="1"/>
    <x:col min="4" max="4" width="24" hidden="0" customWidth="1"/>
    <x:col min="5" max="5" width="22" hidden="0" customWidth="1"/>
    <x:col min="6" max="6" width="56" hidden="0" customWidth="1"/>
    <x:col min="7" max="7" width="15" hidden="0" customWidth="1"/>
  </x:cols>
  <x:sheetData>
    <x:row r="2">
      <x:c r="B2" s="1" t="str">
        <x:v>MCR-1 annual support and revised CISA boundary</x:v>
      </x:c>
    </x:row>
    <x:row r="3">
      <x:c r="B3" s="2" t="str">
        <x:v>Amounts are annual design allocations in USD millions. Shared-estate and CISA-specific obligations remain separate.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6">
      <x:c r="B6" s="8" t="str">
        <x:v>Annual function</x:v>
      </x:c>
      <x:c r="C6" s="8" t="str">
        <x:v>Quantity</x:v>
      </x:c>
      <x:c r="D6" s="8" t="str">
        <x:v>Unit cost (USD M/year)</x:v>
      </x:c>
      <x:c r="E6" s="8" t="str">
        <x:v>Total (USD M/year)</x:v>
      </x:c>
      <x:c r="F6" s="8" t="str">
        <x:v>Scope</x:v>
      </x:c>
      <x:c r="G6" s="8" t="str">
        <x:v>State</x:v>
      </x:c>
    </x:row>
    <x:row r="7">
      <x:c r="B7" s="10" t="str">
        <x:v>two lane-cell operating teams</x:v>
      </x:c>
      <x:c r="C7" s="10" t="n">
        <x:v>2</x:v>
      </x:c>
      <x:c r="D7" s="30" t="n">
        <x:v>6</x:v>
      </x:c>
      <x:c r="E7" s="31" t="n">
        <x:f>C7*D7</x:f>
        <x:v>12</x:v>
      </x:c>
      <x:c r="F7" s="10" t="str">
        <x:v>operations, maintenance and recurrent qualification</x:v>
      </x:c>
      <x:c r="G7" s="10" t="str">
        <x:v>DESIGN</x:v>
      </x:c>
    </x:row>
    <x:row r="8">
      <x:c r="B8" s="10" t="str">
        <x:v>consequence-cell readiness</x:v>
      </x:c>
      <x:c r="C8" s="10" t="n">
        <x:v>1</x:v>
      </x:c>
      <x:c r="D8" s="30" t="n">
        <x:v>5</x:v>
      </x:c>
      <x:c r="E8" s="31" t="n">
        <x:f>C8*D8</x:f>
        <x:v>5</x:v>
      </x:c>
      <x:c r="F8" s="10" t="str">
        <x:v>remote cell inspection and destructive-event readiness</x:v>
      </x:c>
      <x:c r="G8" s="10" t="str">
        <x:v>DESIGN</x:v>
      </x:c>
    </x:row>
    <x:row r="9">
      <x:c r="B9" s="10" t="str">
        <x:v>source recovery and controlled media</x:v>
      </x:c>
      <x:c r="C9" s="10" t="n">
        <x:v>1</x:v>
      </x:c>
      <x:c r="D9" s="30" t="n">
        <x:v>5</x:v>
      </x:c>
      <x:c r="E9" s="31" t="n">
        <x:f>C9*D9</x:f>
        <x:v>5</x:v>
      </x:c>
      <x:c r="F9" s="10" t="str">
        <x:v>receivers, gas holder, flare readiness, media and waste custody</x:v>
      </x:c>
      <x:c r="G9" s="10" t="str">
        <x:v>DESIGN</x:v>
      </x:c>
    </x:row>
    <x:row r="10">
      <x:c r="B10" s="10" t="str">
        <x:v>independent safety and evidence</x:v>
      </x:c>
      <x:c r="C10" s="10" t="n">
        <x:v>1</x:v>
      </x:c>
      <x:c r="D10" s="30" t="n">
        <x:v>3</x:v>
      </x:c>
      <x:c r="E10" s="31" t="n">
        <x:f>C10*D10</x:f>
        <x:v>3</x:v>
      </x:c>
      <x:c r="F10" s="10" t="str">
        <x:v>metrology, logic proof, rescue and acceptance</x:v>
      </x:c>
      <x:c r="G10" s="10" t="str">
        <x:v>DESIGN</x:v>
      </x:c>
    </x:row>
    <x:row r="11">
      <x:c r="B11" s="11" t="str">
        <x:v>MCR-1 annual support</x:v>
      </x:c>
      <x:c r="C11" s="11"/>
      <x:c r="D11" s="32"/>
      <x:c r="E11" s="35" t="n">
        <x:f>SUM(E7:E10)</x:f>
        <x:v>25</x:v>
      </x:c>
      <x:c r="F11" s="36" t="str">
        <x:v>program total</x:v>
      </x:c>
      <x:c r="G11" s="36" t="str">
        <x:f>IF(ABS(E11-'Controls'!$D$43*1000)&lt;0.0001,"PASS","FAIL")</x:f>
        <x:v>PASS</x:v>
      </x:c>
    </x:row>
    <x:row r="12">
      <x:c r="D12" s="33"/>
      <x:c r="E12" s="33"/>
    </x:row>
    <x:row r="13">
      <x:c r="B13" s="29" t="str">
        <x:v>Revised annual boundary</x:v>
      </x:c>
      <x:c r="C13" s="29" t="str">
        <x:v>Revised annual boundary</x:v>
      </x:c>
      <x:c r="D13" s="34" t="str">
        <x:v>Revised annual boundary</x:v>
      </x:c>
      <x:c r="E13" s="34" t="str">
        <x:v>Revised annual boundary</x:v>
      </x:c>
      <x:c r="F13" s="29" t="str">
        <x:v>Revised annual boundary</x:v>
      </x:c>
      <x:c r="G13" s="29" t="str">
        <x:v>Revised annual boundary</x:v>
      </x:c>
    </x:row>
    <x:row r="14">
      <x:c r="B14" s="10" t="str">
        <x:v>RSP-1 annual support</x:v>
      </x:c>
      <x:c r="C14" s="10"/>
      <x:c r="D14" s="31"/>
      <x:c r="E14" s="31" t="n">
        <x:f>'Controls'!$D$45*1000</x:f>
        <x:v>44</x:v>
      </x:c>
      <x:c r="F14" s="10" t="str">
        <x:v>inherited</x:v>
      </x:c>
      <x:c r="G14" s="10"/>
    </x:row>
    <x:row r="15">
      <x:c r="B15" s="10" t="str">
        <x:v>MCR-1 annual support</x:v>
      </x:c>
      <x:c r="C15" s="10"/>
      <x:c r="D15" s="31"/>
      <x:c r="E15" s="31" t="n">
        <x:f>E11</x:f>
        <x:v>25</x:v>
      </x:c>
      <x:c r="F15" s="10" t="str">
        <x:v>design</x:v>
      </x:c>
      <x:c r="G15" s="10"/>
    </x:row>
    <x:row r="16">
      <x:c r="B16" s="10" t="str">
        <x:v>other CISA-specific annual reserve</x:v>
      </x:c>
      <x:c r="C16" s="10"/>
      <x:c r="D16" s="31"/>
      <x:c r="E16" s="31" t="n">
        <x:f>'Controls'!$D$47*1000</x:f>
        <x:v>4</x:v>
      </x:c>
      <x:c r="F16" s="10" t="str">
        <x:v>protected remainder</x:v>
      </x:c>
      <x:c r="G16" s="10"/>
    </x:row>
    <x:row r="17">
      <x:c r="B17" s="10" t="str">
        <x:v>net-new CISA annual support</x:v>
      </x:c>
      <x:c r="C17" s="10"/>
      <x:c r="D17" s="31"/>
      <x:c r="E17" s="31" t="n">
        <x:f>SUM(E14:E16)</x:f>
        <x:v>73</x:v>
      </x:c>
      <x:c r="F17" s="10" t="str">
        <x:v>calculated</x:v>
      </x:c>
      <x:c r="G17" s="10" t="str">
        <x:f>IF(E17=SUM(E14:E16),"PASS","FAIL")</x:f>
        <x:v>PASS</x:v>
      </x:c>
    </x:row>
    <x:row r="18">
      <x:c r="B18" s="10" t="str">
        <x:v>shared-estate annual reservation</x:v>
      </x:c>
      <x:c r="C18" s="10"/>
      <x:c r="D18" s="31"/>
      <x:c r="E18" s="31" t="n">
        <x:f>'Controls'!$D$49*1000</x:f>
        <x:v>41</x:v>
      </x:c>
      <x:c r="F18" s="10" t="str">
        <x:v>inherited</x:v>
      </x:c>
      <x:c r="G18" s="10"/>
    </x:row>
    <x:row r="19">
      <x:c r="B19" s="10" t="str">
        <x:v>PTC-1 physical-use annual support</x:v>
      </x:c>
      <x:c r="C19" s="10"/>
      <x:c r="D19" s="31"/>
      <x:c r="E19" s="31" t="n">
        <x:f>E17+E18</x:f>
        <x:v>114</x:v>
      </x:c>
      <x:c r="F19" s="10" t="str">
        <x:v>calculated</x:v>
      </x:c>
      <x:c r="G19" s="10" t="str">
        <x:f>IF(E19=E17+E18,"PASS","FAIL")</x:f>
        <x:v>PASS</x:v>
      </x:c>
    </x:row>
    <x:row r="20">
      <x:c r="B20" s="10" t="str">
        <x:v>BRD-1 annual support</x:v>
      </x:c>
      <x:c r="C20" s="10"/>
      <x:c r="D20" s="31"/>
      <x:c r="E20" s="31" t="n">
        <x:f>'Controls'!$D$51*1000</x:f>
        <x:v>84</x:v>
      </x:c>
      <x:c r="F20" s="10" t="str">
        <x:v>inherited</x:v>
      </x:c>
      <x:c r="G20" s="10"/>
    </x:row>
    <x:row r="21">
      <x:c r="B21" s="10" t="str">
        <x:v>BRD-3R reconciled annual support</x:v>
      </x:c>
      <x:c r="C21" s="10"/>
      <x:c r="D21" s="31"/>
      <x:c r="E21" s="31" t="n">
        <x:f>E17+E20</x:f>
        <x:v>157</x:v>
      </x:c>
      <x:c r="F21" s="10" t="str">
        <x:v>calculated</x:v>
      </x:c>
      <x:c r="G21" s="10" t="str">
        <x:f>IF(E21=E17+E20,"PASS","FAIL")</x:f>
        <x:v>PASS</x:v>
      </x:c>
    </x:row>
    <x:row r="22">
      <x:c r="B22" s="10" t="str">
        <x:v>BRD-3U no-credit annual support</x:v>
      </x:c>
      <x:c r="C22" s="10"/>
      <x:c r="D22" s="31"/>
      <x:c r="E22" s="31" t="n">
        <x:f>E19+E20</x:f>
        <x:v>198</x:v>
      </x:c>
      <x:c r="F22" s="10" t="str">
        <x:v>calculated</x:v>
      </x:c>
      <x:c r="G22" s="10" t="str">
        <x:f>IF(E22=E19+E20,"PASS","FAIL")</x:f>
        <x:v>PASS</x:v>
      </x:c>
    </x:row>
    <x:row r="23">
      <x:c r="B23" s="10" t="str">
        <x:v>CISA-1 annual boundary</x:v>
      </x:c>
      <x:c r="C23" s="10"/>
      <x:c r="D23" s="31"/>
      <x:c r="E23" s="31" t="n">
        <x:f>'Controls'!$D$53*1000</x:f>
        <x:v>260</x:v>
      </x:c>
      <x:c r="F23" s="10" t="str">
        <x:v>inherited</x:v>
      </x:c>
      <x:c r="G23" s="10"/>
    </x:row>
    <x:row r="24">
      <x:c r="B24" s="10" t="str">
        <x:v>remaining under BRD-3R</x:v>
      </x:c>
      <x:c r="C24" s="10"/>
      <x:c r="D24" s="31"/>
      <x:c r="E24" s="31" t="n">
        <x:f>E23-E21</x:f>
        <x:v>103</x:v>
      </x:c>
      <x:c r="F24" s="10" t="str">
        <x:v>calculated</x:v>
      </x:c>
      <x:c r="G24" s="10" t="str">
        <x:f>IF(E24&gt;=0,"PASS","FAIL")</x:f>
        <x:v>PASS</x:v>
      </x:c>
    </x:row>
    <x:row r="25">
      <x:c r="B25" s="11" t="str">
        <x:v>remaining under BRD-3U</x:v>
      </x:c>
      <x:c r="C25" s="11"/>
      <x:c r="D25" s="32"/>
      <x:c r="E25" s="32" t="n">
        <x:f>E23-E22</x:f>
        <x:v>62</x:v>
      </x:c>
      <x:c r="F25" s="11" t="str">
        <x:v>calculated</x:v>
      </x:c>
      <x:c r="G25" s="11" t="str">
        <x:f>IF(E25&gt;=0,"PASS","FAIL")</x:f>
        <x:v>PASS</x:v>
      </x:c>
    </x:row>
  </x:sheetData>
  <x:mergeCells>
    <x:mergeCell ref="B2:M2"/>
    <x:mergeCell ref="B3:M3"/>
    <x:mergeCell ref="B13:G13"/>
  </x:mergeCells>
  <x:conditionalFormatting sqref="G7:G25">
    <x:cfRule type="containsText" dxfId="238" priority="1" operator="containsText" text="PASS"/>
    <x:cfRule type="containsText" dxfId="239" priority="2" operator="containsText" text="AUTHORIZED"/>
    <x:cfRule type="containsText" dxfId="240" priority="3" operator="containsText" text="DEFINED"/>
    <x:cfRule type="containsText" dxfId="241" priority="4" operator="containsText" text="READY"/>
    <x:cfRule type="containsText" dxfId="242" priority="5" operator="containsText" text="HOLD"/>
    <x:cfRule type="containsText" dxfId="243" priority="6" operator="containsText" text="OPEN"/>
    <x:cfRule type="containsText" dxfId="244" priority="7" operator="containsText" text="BLOCKED"/>
    <x:cfRule type="containsText" dxfId="245" priority="8" operator="containsText" text="PLANNING"/>
    <x:cfRule type="containsText" dxfId="246" priority="9" operator="containsText" text="QUARANTINE"/>
    <x:cfRule type="containsText" dxfId="247" priority="10" operator="containsText" text="INDETERMINATE"/>
    <x:cfRule type="containsText" dxfId="248" priority="11" operator="containsText" text="FAIL"/>
    <x:cfRule type="containsText" dxfId="249" priority="12" operator="containsText" text="REJECT"/>
    <x:cfRule type="containsText" dxfId="250" priority="13" operator="containsText" text="INVALID"/>
    <x:cfRule type="containsText" dxfId="251" priority="14" operator="containsText" text="STOP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30" hidden="0" customWidth="1"/>
    <x:col min="3" max="3" width="17" hidden="0" customWidth="1"/>
    <x:col min="4" max="4" width="35" hidden="0" customWidth="1"/>
    <x:col min="5" max="5" width="12" hidden="0" customWidth="1"/>
    <x:col min="6" max="6" width="12" hidden="0" customWidth="1"/>
    <x:col min="7" max="7" width="32" hidden="0" customWidth="1"/>
    <x:col min="8" max="8" width="30" hidden="0" customWidth="1"/>
    <x:col min="9" max="9" width="15" hidden="0" customWidth="1"/>
  </x:cols>
  <x:sheetData>
    <x:row r="2">
      <x:c r="B2" s="1" t="str">
        <x:v>Planning, physical and downstream release gates</x:v>
      </x:c>
    </x:row>
    <x:row r="3">
      <x:c r="B3" s="2" t="str">
        <x:v>Planning completeness cannot close a physical gate. C2, campaign, article, production and exterior form remain separately governed.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</x:row>
    <x:row r="6">
      <x:c r="B6" s="8" t="str">
        <x:v>Gate ID</x:v>
      </x:c>
      <x:c r="C6" s="8" t="str">
        <x:v>Class</x:v>
      </x:c>
      <x:c r="D6" s="8" t="str">
        <x:v>Object</x:v>
      </x:c>
      <x:c r="E6" s="8" t="str">
        <x:v>Required</x:v>
      </x:c>
      <x:c r="F6" s="8" t="str">
        <x:v>Observed</x:v>
      </x:c>
      <x:c r="G6" s="8" t="str">
        <x:v>Source reference</x:v>
      </x:c>
      <x:c r="H6" s="8" t="str">
        <x:v>Authority</x:v>
      </x:c>
      <x:c r="I6" s="8" t="str">
        <x:v>State</x:v>
      </x:c>
    </x:row>
    <x:row r="7">
      <x:c r="B7" s="10" t="str">
        <x:v>PL-CELL-1</x:v>
      </x:c>
      <x:c r="C7" s="10" t="str">
        <x:v>planning</x:v>
      </x:c>
      <x:c r="D7" s="10" t="str">
        <x:v>cell configuration</x:v>
      </x:c>
      <x:c r="E7" s="37" t="n">
        <x:v>1</x:v>
      </x:c>
      <x:c r="F7" s="37" t="n">
        <x:f>IF('Cell Architecture'!N7="PASS",1,0)</x:f>
        <x:v>1</x:v>
      </x:c>
      <x:c r="G7" s="10" t="str">
        <x:v>Cell Architecture!N7</x:v>
      </x:c>
      <x:c r="H7" s="10" t="str">
        <x:v>planning constitution</x:v>
      </x:c>
      <x:c r="I7" s="10" t="str">
        <x:f>IF(F7=E7,"PASS","FAIL")</x:f>
        <x:v>PASS</x:v>
      </x:c>
    </x:row>
    <x:row r="8">
      <x:c r="B8" s="10" t="str">
        <x:v>PL-CELL-2</x:v>
      </x:c>
      <x:c r="C8" s="10" t="str">
        <x:v>planning</x:v>
      </x:c>
      <x:c r="D8" s="10" t="str">
        <x:v>cell configuration</x:v>
      </x:c>
      <x:c r="E8" s="37" t="n">
        <x:v>1</x:v>
      </x:c>
      <x:c r="F8" s="37" t="n">
        <x:f>IF('Cell Architecture'!N8="PASS",1,0)</x:f>
        <x:v>1</x:v>
      </x:c>
      <x:c r="G8" s="10" t="str">
        <x:v>Cell Architecture!N8</x:v>
      </x:c>
      <x:c r="H8" s="10" t="str">
        <x:v>planning constitution</x:v>
      </x:c>
      <x:c r="I8" s="10" t="str">
        <x:f>IF(F8=E8,"PASS","FAIL")</x:f>
        <x:v>PASS</x:v>
      </x:c>
    </x:row>
    <x:row r="9">
      <x:c r="B9" s="10" t="str">
        <x:v>PL-CELL-3</x:v>
      </x:c>
      <x:c r="C9" s="10" t="str">
        <x:v>planning</x:v>
      </x:c>
      <x:c r="D9" s="10" t="str">
        <x:v>cell configuration</x:v>
      </x:c>
      <x:c r="E9" s="37" t="n">
        <x:v>1</x:v>
      </x:c>
      <x:c r="F9" s="37" t="n">
        <x:f>IF('Cell Architecture'!N9="PASS",1,0)</x:f>
        <x:v>1</x:v>
      </x:c>
      <x:c r="G9" s="10" t="str">
        <x:v>Cell Architecture!N9</x:v>
      </x:c>
      <x:c r="H9" s="10" t="str">
        <x:v>planning constitution</x:v>
      </x:c>
      <x:c r="I9" s="10" t="str">
        <x:f>IF(F9=E9,"PASS","FAIL")</x:f>
        <x:v>PASS</x:v>
      </x:c>
    </x:row>
    <x:row r="10">
      <x:c r="B10" s="10" t="str">
        <x:v>PL-SOURCE-A</x:v>
      </x:c>
      <x:c r="C10" s="10" t="str">
        <x:v>planning</x:v>
      </x:c>
      <x:c r="D10" s="10" t="str">
        <x:v>Root A source term</x:v>
      </x:c>
      <x:c r="E10" s="37" t="n">
        <x:v>1</x:v>
      </x:c>
      <x:c r="F10" s="37" t="n">
        <x:f>IF('Source States'!M8="PASS",1,0)</x:f>
        <x:v>1</x:v>
      </x:c>
      <x:c r="G10" s="10" t="str">
        <x:v>Source States!M8</x:v>
      </x:c>
      <x:c r="H10" s="10" t="str">
        <x:v>planning constitution</x:v>
      </x:c>
      <x:c r="I10" s="10" t="str">
        <x:f>IF(F10=E10,"PASS","FAIL")</x:f>
        <x:v>PASS</x:v>
      </x:c>
    </x:row>
    <x:row r="11">
      <x:c r="B11" s="10" t="str">
        <x:v>PL-SOURCE-B</x:v>
      </x:c>
      <x:c r="C11" s="10" t="str">
        <x:v>planning</x:v>
      </x:c>
      <x:c r="D11" s="10" t="str">
        <x:v>Root B source term</x:v>
      </x:c>
      <x:c r="E11" s="37" t="n">
        <x:v>1</x:v>
      </x:c>
      <x:c r="F11" s="37" t="n">
        <x:f>IF('Source States'!M11="PASS",1,0)</x:f>
        <x:v>1</x:v>
      </x:c>
      <x:c r="G11" s="10" t="str">
        <x:v>Source States!M11</x:v>
      </x:c>
      <x:c r="H11" s="10" t="str">
        <x:v>planning constitution</x:v>
      </x:c>
      <x:c r="I11" s="10" t="str">
        <x:f>IF(F11=E11,"PASS","FAIL")</x:f>
        <x:v>PASS</x:v>
      </x:c>
    </x:row>
    <x:row r="12">
      <x:c r="B12" s="10" t="str">
        <x:v>PL-PROP-01</x:v>
      </x:c>
      <x:c r="C12" s="10" t="str">
        <x:v>planning</x:v>
      </x:c>
      <x:c r="D12" s="10" t="str">
        <x:v>propagation protocol</x:v>
      </x:c>
      <x:c r="E12" s="37" t="n">
        <x:v>1</x:v>
      </x:c>
      <x:c r="F12" s="37" t="n">
        <x:f>IF('Propagation'!L7="PASS",1,0)</x:f>
        <x:v>1</x:v>
      </x:c>
      <x:c r="G12" s="10" t="str">
        <x:v>Propagation!L7</x:v>
      </x:c>
      <x:c r="H12" s="10" t="str">
        <x:v>planning constitution</x:v>
      </x:c>
      <x:c r="I12" s="10" t="str">
        <x:f>IF(F12=E12,"PASS","FAIL")</x:f>
        <x:v>PASS</x:v>
      </x:c>
    </x:row>
    <x:row r="13">
      <x:c r="B13" s="10" t="str">
        <x:v>PL-PROP-02</x:v>
      </x:c>
      <x:c r="C13" s="10" t="str">
        <x:v>planning</x:v>
      </x:c>
      <x:c r="D13" s="10" t="str">
        <x:v>propagation protocol</x:v>
      </x:c>
      <x:c r="E13" s="37" t="n">
        <x:v>1</x:v>
      </x:c>
      <x:c r="F13" s="37" t="n">
        <x:f>IF('Propagation'!L8="PASS",1,0)</x:f>
        <x:v>1</x:v>
      </x:c>
      <x:c r="G13" s="10" t="str">
        <x:v>Propagation!L8</x:v>
      </x:c>
      <x:c r="H13" s="10" t="str">
        <x:v>planning constitution</x:v>
      </x:c>
      <x:c r="I13" s="10" t="str">
        <x:f>IF(F13=E13,"PASS","FAIL")</x:f>
        <x:v>PASS</x:v>
      </x:c>
    </x:row>
    <x:row r="14">
      <x:c r="B14" s="10" t="str">
        <x:v>PL-PROP-03</x:v>
      </x:c>
      <x:c r="C14" s="10" t="str">
        <x:v>planning</x:v>
      </x:c>
      <x:c r="D14" s="10" t="str">
        <x:v>propagation protocol</x:v>
      </x:c>
      <x:c r="E14" s="37" t="n">
        <x:v>1</x:v>
      </x:c>
      <x:c r="F14" s="37" t="n">
        <x:f>IF('Propagation'!L9="PASS",1,0)</x:f>
        <x:v>1</x:v>
      </x:c>
      <x:c r="G14" s="10" t="str">
        <x:v>Propagation!L9</x:v>
      </x:c>
      <x:c r="H14" s="10" t="str">
        <x:v>planning constitution</x:v>
      </x:c>
      <x:c r="I14" s="10" t="str">
        <x:f>IF(F14=E14,"PASS","FAIL")</x:f>
        <x:v>PASS</x:v>
      </x:c>
    </x:row>
    <x:row r="15">
      <x:c r="B15" s="10" t="str">
        <x:v>PL-PROP-04</x:v>
      </x:c>
      <x:c r="C15" s="10" t="str">
        <x:v>planning</x:v>
      </x:c>
      <x:c r="D15" s="10" t="str">
        <x:v>propagation protocol</x:v>
      </x:c>
      <x:c r="E15" s="37" t="n">
        <x:v>1</x:v>
      </x:c>
      <x:c r="F15" s="37" t="n">
        <x:f>IF('Propagation'!L10="PASS",1,0)</x:f>
        <x:v>1</x:v>
      </x:c>
      <x:c r="G15" s="10" t="str">
        <x:v>Propagation!L10</x:v>
      </x:c>
      <x:c r="H15" s="10" t="str">
        <x:v>planning constitution</x:v>
      </x:c>
      <x:c r="I15" s="10" t="str">
        <x:f>IF(F15=E15,"PASS","FAIL")</x:f>
        <x:v>PASS</x:v>
      </x:c>
    </x:row>
    <x:row r="16">
      <x:c r="B16" s="10" t="str">
        <x:v>PL-PROP-05</x:v>
      </x:c>
      <x:c r="C16" s="10" t="str">
        <x:v>planning</x:v>
      </x:c>
      <x:c r="D16" s="10" t="str">
        <x:v>propagation protocol</x:v>
      </x:c>
      <x:c r="E16" s="37" t="n">
        <x:v>1</x:v>
      </x:c>
      <x:c r="F16" s="37" t="n">
        <x:f>IF('Propagation'!L11="PASS",1,0)</x:f>
        <x:v>1</x:v>
      </x:c>
      <x:c r="G16" s="10" t="str">
        <x:v>Propagation!L11</x:v>
      </x:c>
      <x:c r="H16" s="10" t="str">
        <x:v>planning constitution</x:v>
      </x:c>
      <x:c r="I16" s="10" t="str">
        <x:f>IF(F16=E16,"PASS","FAIL")</x:f>
        <x:v>PASS</x:v>
      </x:c>
    </x:row>
    <x:row r="17">
      <x:c r="B17" s="10" t="str">
        <x:v>PL-PROP-06</x:v>
      </x:c>
      <x:c r="C17" s="10" t="str">
        <x:v>planning</x:v>
      </x:c>
      <x:c r="D17" s="10" t="str">
        <x:v>propagation protocol</x:v>
      </x:c>
      <x:c r="E17" s="37" t="n">
        <x:v>1</x:v>
      </x:c>
      <x:c r="F17" s="37" t="n">
        <x:f>IF('Propagation'!L12="PASS",1,0)</x:f>
        <x:v>1</x:v>
      </x:c>
      <x:c r="G17" s="10" t="str">
        <x:v>Propagation!L12</x:v>
      </x:c>
      <x:c r="H17" s="10" t="str">
        <x:v>planning constitution</x:v>
      </x:c>
      <x:c r="I17" s="10" t="str">
        <x:f>IF(F17=E17,"PASS","FAIL")</x:f>
        <x:v>PASS</x:v>
      </x:c>
    </x:row>
    <x:row r="18">
      <x:c r="B18" s="10" t="str">
        <x:v>PL-PROP-07</x:v>
      </x:c>
      <x:c r="C18" s="10" t="str">
        <x:v>planning</x:v>
      </x:c>
      <x:c r="D18" s="10" t="str">
        <x:v>propagation protocol</x:v>
      </x:c>
      <x:c r="E18" s="37" t="n">
        <x:v>1</x:v>
      </x:c>
      <x:c r="F18" s="37" t="n">
        <x:f>IF('Propagation'!L13="PASS",1,0)</x:f>
        <x:v>1</x:v>
      </x:c>
      <x:c r="G18" s="10" t="str">
        <x:v>Propagation!L13</x:v>
      </x:c>
      <x:c r="H18" s="10" t="str">
        <x:v>planning constitution</x:v>
      </x:c>
      <x:c r="I18" s="10" t="str">
        <x:f>IF(F18=E18,"PASS","FAIL")</x:f>
        <x:v>PASS</x:v>
      </x:c>
    </x:row>
    <x:row r="19">
      <x:c r="B19" s="10" t="str">
        <x:v>PL-PROP-08</x:v>
      </x:c>
      <x:c r="C19" s="10" t="str">
        <x:v>planning</x:v>
      </x:c>
      <x:c r="D19" s="10" t="str">
        <x:v>propagation protocol</x:v>
      </x:c>
      <x:c r="E19" s="37" t="n">
        <x:v>1</x:v>
      </x:c>
      <x:c r="F19" s="37" t="n">
        <x:f>IF('Propagation'!L14="PASS",1,0)</x:f>
        <x:v>1</x:v>
      </x:c>
      <x:c r="G19" s="10" t="str">
        <x:v>Propagation!L14</x:v>
      </x:c>
      <x:c r="H19" s="10" t="str">
        <x:v>planning constitution</x:v>
      </x:c>
      <x:c r="I19" s="10" t="str">
        <x:f>IF(F19=E19,"PASS","FAIL")</x:f>
        <x:v>PASS</x:v>
      </x:c>
    </x:row>
    <x:row r="20">
      <x:c r="B20" s="10" t="str">
        <x:v>PL-PROP-09</x:v>
      </x:c>
      <x:c r="C20" s="10" t="str">
        <x:v>planning</x:v>
      </x:c>
      <x:c r="D20" s="10" t="str">
        <x:v>propagation protocol</x:v>
      </x:c>
      <x:c r="E20" s="37" t="n">
        <x:v>1</x:v>
      </x:c>
      <x:c r="F20" s="37" t="n">
        <x:f>IF('Propagation'!L15="PASS",1,0)</x:f>
        <x:v>1</x:v>
      </x:c>
      <x:c r="G20" s="10" t="str">
        <x:v>Propagation!L15</x:v>
      </x:c>
      <x:c r="H20" s="10" t="str">
        <x:v>planning constitution</x:v>
      </x:c>
      <x:c r="I20" s="10" t="str">
        <x:f>IF(F20=E20,"PASS","FAIL")</x:f>
        <x:v>PASS</x:v>
      </x:c>
    </x:row>
    <x:row r="21">
      <x:c r="B21" s="10" t="str">
        <x:v>PL-PROP-10</x:v>
      </x:c>
      <x:c r="C21" s="10" t="str">
        <x:v>planning</x:v>
      </x:c>
      <x:c r="D21" s="10" t="str">
        <x:v>propagation protocol</x:v>
      </x:c>
      <x:c r="E21" s="37" t="n">
        <x:v>1</x:v>
      </x:c>
      <x:c r="F21" s="37" t="n">
        <x:f>IF('Propagation'!L16="PASS",1,0)</x:f>
        <x:v>1</x:v>
      </x:c>
      <x:c r="G21" s="10" t="str">
        <x:v>Propagation!L16</x:v>
      </x:c>
      <x:c r="H21" s="10" t="str">
        <x:v>planning constitution</x:v>
      </x:c>
      <x:c r="I21" s="10" t="str">
        <x:f>IF(F21=E21,"PASS","FAIL")</x:f>
        <x:v>PASS</x:v>
      </x:c>
    </x:row>
    <x:row r="22">
      <x:c r="B22" s="10" t="str">
        <x:v>PL-PROP-11</x:v>
      </x:c>
      <x:c r="C22" s="10" t="str">
        <x:v>planning</x:v>
      </x:c>
      <x:c r="D22" s="10" t="str">
        <x:v>propagation protocol</x:v>
      </x:c>
      <x:c r="E22" s="37" t="n">
        <x:v>1</x:v>
      </x:c>
      <x:c r="F22" s="37" t="n">
        <x:f>IF('Propagation'!L17="PASS",1,0)</x:f>
        <x:v>1</x:v>
      </x:c>
      <x:c r="G22" s="10" t="str">
        <x:v>Propagation!L17</x:v>
      </x:c>
      <x:c r="H22" s="10" t="str">
        <x:v>planning constitution</x:v>
      </x:c>
      <x:c r="I22" s="10" t="str">
        <x:f>IF(F22=E22,"PASS","FAIL")</x:f>
        <x:v>PASS</x:v>
      </x:c>
    </x:row>
    <x:row r="23">
      <x:c r="B23" s="10" t="str">
        <x:v>PL-PROP-12</x:v>
      </x:c>
      <x:c r="C23" s="10" t="str">
        <x:v>planning</x:v>
      </x:c>
      <x:c r="D23" s="10" t="str">
        <x:v>propagation protocol</x:v>
      </x:c>
      <x:c r="E23" s="37" t="n">
        <x:v>1</x:v>
      </x:c>
      <x:c r="F23" s="37" t="n">
        <x:f>IF('Propagation'!L18="PASS",1,0)</x:f>
        <x:v>1</x:v>
      </x:c>
      <x:c r="G23" s="10" t="str">
        <x:v>Propagation!L18</x:v>
      </x:c>
      <x:c r="H23" s="10" t="str">
        <x:v>planning constitution</x:v>
      </x:c>
      <x:c r="I23" s="10" t="str">
        <x:f>IF(F23=E23,"PASS","FAIL")</x:f>
        <x:v>PASS</x:v>
      </x:c>
    </x:row>
    <x:row r="24">
      <x:c r="B24" s="10" t="str">
        <x:v>PL-PROP-13</x:v>
      </x:c>
      <x:c r="C24" s="10" t="str">
        <x:v>planning</x:v>
      </x:c>
      <x:c r="D24" s="10" t="str">
        <x:v>propagation protocol</x:v>
      </x:c>
      <x:c r="E24" s="37" t="n">
        <x:v>1</x:v>
      </x:c>
      <x:c r="F24" s="37" t="n">
        <x:f>IF('Propagation'!L19="PASS",1,0)</x:f>
        <x:v>1</x:v>
      </x:c>
      <x:c r="G24" s="10" t="str">
        <x:v>Propagation!L19</x:v>
      </x:c>
      <x:c r="H24" s="10" t="str">
        <x:v>planning constitution</x:v>
      </x:c>
      <x:c r="I24" s="10" t="str">
        <x:f>IF(F24=E24,"PASS","FAIL")</x:f>
        <x:v>PASS</x:v>
      </x:c>
    </x:row>
    <x:row r="25">
      <x:c r="B25" s="10" t="str">
        <x:v>PL-PROP-14</x:v>
      </x:c>
      <x:c r="C25" s="10" t="str">
        <x:v>planning</x:v>
      </x:c>
      <x:c r="D25" s="10" t="str">
        <x:v>propagation protocol</x:v>
      </x:c>
      <x:c r="E25" s="37" t="n">
        <x:v>1</x:v>
      </x:c>
      <x:c r="F25" s="37" t="n">
        <x:f>IF('Propagation'!L20="PASS",1,0)</x:f>
        <x:v>1</x:v>
      </x:c>
      <x:c r="G25" s="10" t="str">
        <x:v>Propagation!L20</x:v>
      </x:c>
      <x:c r="H25" s="10" t="str">
        <x:v>planning constitution</x:v>
      </x:c>
      <x:c r="I25" s="10" t="str">
        <x:f>IF(F25=E25,"PASS","FAIL")</x:f>
        <x:v>PASS</x:v>
      </x:c>
    </x:row>
    <x:row r="26">
      <x:c r="B26" s="10" t="str">
        <x:v>PL-PROP-15</x:v>
      </x:c>
      <x:c r="C26" s="10" t="str">
        <x:v>planning</x:v>
      </x:c>
      <x:c r="D26" s="10" t="str">
        <x:v>propagation protocol</x:v>
      </x:c>
      <x:c r="E26" s="37" t="n">
        <x:v>1</x:v>
      </x:c>
      <x:c r="F26" s="37" t="n">
        <x:f>IF('Propagation'!L21="PASS",1,0)</x:f>
        <x:v>1</x:v>
      </x:c>
      <x:c r="G26" s="10" t="str">
        <x:v>Propagation!L21</x:v>
      </x:c>
      <x:c r="H26" s="10" t="str">
        <x:v>planning constitution</x:v>
      </x:c>
      <x:c r="I26" s="10" t="str">
        <x:f>IF(F26=E26,"PASS","FAIL")</x:f>
        <x:v>PASS</x:v>
      </x:c>
    </x:row>
    <x:row r="27">
      <x:c r="B27" s="10" t="str">
        <x:v>PL-PROP-16</x:v>
      </x:c>
      <x:c r="C27" s="10" t="str">
        <x:v>planning</x:v>
      </x:c>
      <x:c r="D27" s="10" t="str">
        <x:v>propagation protocol</x:v>
      </x:c>
      <x:c r="E27" s="37" t="n">
        <x:v>1</x:v>
      </x:c>
      <x:c r="F27" s="37" t="n">
        <x:f>IF('Propagation'!L22="PASS",1,0)</x:f>
        <x:v>1</x:v>
      </x:c>
      <x:c r="G27" s="10" t="str">
        <x:v>Propagation!L22</x:v>
      </x:c>
      <x:c r="H27" s="10" t="str">
        <x:v>planning constitution</x:v>
      </x:c>
      <x:c r="I27" s="10" t="str">
        <x:f>IF(F27=E27,"PASS","FAIL")</x:f>
        <x:v>PASS</x:v>
      </x:c>
    </x:row>
    <x:row r="28">
      <x:c r="B28" s="10" t="str">
        <x:v>PL-PROP-17</x:v>
      </x:c>
      <x:c r="C28" s="10" t="str">
        <x:v>planning</x:v>
      </x:c>
      <x:c r="D28" s="10" t="str">
        <x:v>propagation protocol</x:v>
      </x:c>
      <x:c r="E28" s="37" t="n">
        <x:v>1</x:v>
      </x:c>
      <x:c r="F28" s="37" t="n">
        <x:f>IF('Propagation'!L23="PASS",1,0)</x:f>
        <x:v>1</x:v>
      </x:c>
      <x:c r="G28" s="10" t="str">
        <x:v>Propagation!L23</x:v>
      </x:c>
      <x:c r="H28" s="10" t="str">
        <x:v>planning constitution</x:v>
      </x:c>
      <x:c r="I28" s="10" t="str">
        <x:f>IF(F28=E28,"PASS","FAIL")</x:f>
        <x:v>PASS</x:v>
      </x:c>
    </x:row>
    <x:row r="29">
      <x:c r="B29" s="10" t="str">
        <x:v>PL-PROP-18</x:v>
      </x:c>
      <x:c r="C29" s="10" t="str">
        <x:v>planning</x:v>
      </x:c>
      <x:c r="D29" s="10" t="str">
        <x:v>propagation protocol</x:v>
      </x:c>
      <x:c r="E29" s="37" t="n">
        <x:v>1</x:v>
      </x:c>
      <x:c r="F29" s="37" t="n">
        <x:f>IF('Propagation'!L24="PASS",1,0)</x:f>
        <x:v>1</x:v>
      </x:c>
      <x:c r="G29" s="10" t="str">
        <x:v>Propagation!L24</x:v>
      </x:c>
      <x:c r="H29" s="10" t="str">
        <x:v>planning constitution</x:v>
      </x:c>
      <x:c r="I29" s="10" t="str">
        <x:f>IF(F29=E29,"PASS","FAIL")</x:f>
        <x:v>PASS</x:v>
      </x:c>
    </x:row>
    <x:row r="30">
      <x:c r="B30" s="10" t="str">
        <x:v>PL-PROP-19</x:v>
      </x:c>
      <x:c r="C30" s="10" t="str">
        <x:v>planning</x:v>
      </x:c>
      <x:c r="D30" s="10" t="str">
        <x:v>propagation protocol</x:v>
      </x:c>
      <x:c r="E30" s="37" t="n">
        <x:v>1</x:v>
      </x:c>
      <x:c r="F30" s="37" t="n">
        <x:f>IF('Propagation'!L25="PASS",1,0)</x:f>
        <x:v>1</x:v>
      </x:c>
      <x:c r="G30" s="10" t="str">
        <x:v>Propagation!L25</x:v>
      </x:c>
      <x:c r="H30" s="10" t="str">
        <x:v>planning constitution</x:v>
      </x:c>
      <x:c r="I30" s="10" t="str">
        <x:f>IF(F30=E30,"PASS","FAIL")</x:f>
        <x:v>PASS</x:v>
      </x:c>
    </x:row>
    <x:row r="31">
      <x:c r="B31" s="10" t="str">
        <x:v>PL-PROP-20</x:v>
      </x:c>
      <x:c r="C31" s="10" t="str">
        <x:v>planning</x:v>
      </x:c>
      <x:c r="D31" s="10" t="str">
        <x:v>propagation protocol</x:v>
      </x:c>
      <x:c r="E31" s="37" t="n">
        <x:v>1</x:v>
      </x:c>
      <x:c r="F31" s="37" t="n">
        <x:f>IF('Propagation'!L26="PASS",1,0)</x:f>
        <x:v>1</x:v>
      </x:c>
      <x:c r="G31" s="10" t="str">
        <x:v>Propagation!L26</x:v>
      </x:c>
      <x:c r="H31" s="10" t="str">
        <x:v>planning constitution</x:v>
      </x:c>
      <x:c r="I31" s="10" t="str">
        <x:f>IF(F31=E31,"PASS","FAIL")</x:f>
        <x:v>PASS</x:v>
      </x:c>
    </x:row>
    <x:row r="32">
      <x:c r="B32" s="10" t="str">
        <x:v>PL-PROP-21</x:v>
      </x:c>
      <x:c r="C32" s="10" t="str">
        <x:v>planning</x:v>
      </x:c>
      <x:c r="D32" s="10" t="str">
        <x:v>propagation protocol</x:v>
      </x:c>
      <x:c r="E32" s="37" t="n">
        <x:v>1</x:v>
      </x:c>
      <x:c r="F32" s="37" t="n">
        <x:f>IF('Propagation'!L27="PASS",1,0)</x:f>
        <x:v>1</x:v>
      </x:c>
      <x:c r="G32" s="10" t="str">
        <x:v>Propagation!L27</x:v>
      </x:c>
      <x:c r="H32" s="10" t="str">
        <x:v>planning constitution</x:v>
      </x:c>
      <x:c r="I32" s="10" t="str">
        <x:f>IF(F32=E32,"PASS","FAIL")</x:f>
        <x:v>PASS</x:v>
      </x:c>
    </x:row>
    <x:row r="33">
      <x:c r="B33" s="10" t="str">
        <x:v>PL-PROP-22</x:v>
      </x:c>
      <x:c r="C33" s="10" t="str">
        <x:v>planning</x:v>
      </x:c>
      <x:c r="D33" s="10" t="str">
        <x:v>propagation protocol</x:v>
      </x:c>
      <x:c r="E33" s="37" t="n">
        <x:v>1</x:v>
      </x:c>
      <x:c r="F33" s="37" t="n">
        <x:f>IF('Propagation'!L28="PASS",1,0)</x:f>
        <x:v>1</x:v>
      </x:c>
      <x:c r="G33" s="10" t="str">
        <x:v>Propagation!L28</x:v>
      </x:c>
      <x:c r="H33" s="10" t="str">
        <x:v>planning constitution</x:v>
      </x:c>
      <x:c r="I33" s="10" t="str">
        <x:f>IF(F33=E33,"PASS","FAIL")</x:f>
        <x:v>PASS</x:v>
      </x:c>
    </x:row>
    <x:row r="34">
      <x:c r="B34" s="10" t="str">
        <x:v>PL-PROP-23</x:v>
      </x:c>
      <x:c r="C34" s="10" t="str">
        <x:v>planning</x:v>
      </x:c>
      <x:c r="D34" s="10" t="str">
        <x:v>propagation protocol</x:v>
      </x:c>
      <x:c r="E34" s="37" t="n">
        <x:v>1</x:v>
      </x:c>
      <x:c r="F34" s="37" t="n">
        <x:f>IF('Propagation'!L29="PASS",1,0)</x:f>
        <x:v>1</x:v>
      </x:c>
      <x:c r="G34" s="10" t="str">
        <x:v>Propagation!L29</x:v>
      </x:c>
      <x:c r="H34" s="10" t="str">
        <x:v>planning constitution</x:v>
      </x:c>
      <x:c r="I34" s="10" t="str">
        <x:f>IF(F34=E34,"PASS","FAIL")</x:f>
        <x:v>PASS</x:v>
      </x:c>
    </x:row>
    <x:row r="35">
      <x:c r="B35" s="10" t="str">
        <x:v>PL-PROP-24</x:v>
      </x:c>
      <x:c r="C35" s="10" t="str">
        <x:v>planning</x:v>
      </x:c>
      <x:c r="D35" s="10" t="str">
        <x:v>propagation protocol</x:v>
      </x:c>
      <x:c r="E35" s="37" t="n">
        <x:v>1</x:v>
      </x:c>
      <x:c r="F35" s="37" t="n">
        <x:f>IF('Propagation'!L30="PASS",1,0)</x:f>
        <x:v>1</x:v>
      </x:c>
      <x:c r="G35" s="10" t="str">
        <x:v>Propagation!L30</x:v>
      </x:c>
      <x:c r="H35" s="10" t="str">
        <x:v>planning constitution</x:v>
      </x:c>
      <x:c r="I35" s="10" t="str">
        <x:f>IF(F35=E35,"PASS","FAIL")</x:f>
        <x:v>PASS</x:v>
      </x:c>
    </x:row>
    <x:row r="36">
      <x:c r="B36" s="10" t="str">
        <x:v>PL-WORLD-01</x:v>
      </x:c>
      <x:c r="C36" s="10" t="str">
        <x:v>planning</x:v>
      </x:c>
      <x:c r="D36" s="10" t="str">
        <x:v>root-world card</x:v>
      </x:c>
      <x:c r="E36" s="37" t="n">
        <x:v>1</x:v>
      </x:c>
      <x:c r="F36" s="37" t="n">
        <x:f>IF('Hazard Worlds'!M7="PASS",1,0)</x:f>
        <x:v>1</x:v>
      </x:c>
      <x:c r="G36" s="10" t="str">
        <x:v>Hazard Worlds!M7</x:v>
      </x:c>
      <x:c r="H36" s="10" t="str">
        <x:v>planning constitution</x:v>
      </x:c>
      <x:c r="I36" s="10" t="str">
        <x:f>IF(F36=E36,"PASS","FAIL")</x:f>
        <x:v>PASS</x:v>
      </x:c>
    </x:row>
    <x:row r="37">
      <x:c r="B37" s="10" t="str">
        <x:v>PL-WORLD-02</x:v>
      </x:c>
      <x:c r="C37" s="10" t="str">
        <x:v>planning</x:v>
      </x:c>
      <x:c r="D37" s="10" t="str">
        <x:v>root-world card</x:v>
      </x:c>
      <x:c r="E37" s="37" t="n">
        <x:v>1</x:v>
      </x:c>
      <x:c r="F37" s="37" t="n">
        <x:f>IF('Hazard Worlds'!M8="PASS",1,0)</x:f>
        <x:v>1</x:v>
      </x:c>
      <x:c r="G37" s="10" t="str">
        <x:v>Hazard Worlds!M8</x:v>
      </x:c>
      <x:c r="H37" s="10" t="str">
        <x:v>planning constitution</x:v>
      </x:c>
      <x:c r="I37" s="10" t="str">
        <x:f>IF(F37=E37,"PASS","FAIL")</x:f>
        <x:v>PASS</x:v>
      </x:c>
    </x:row>
    <x:row r="38">
      <x:c r="B38" s="10" t="str">
        <x:v>PL-WORLD-03</x:v>
      </x:c>
      <x:c r="C38" s="10" t="str">
        <x:v>planning</x:v>
      </x:c>
      <x:c r="D38" s="10" t="str">
        <x:v>root-world card</x:v>
      </x:c>
      <x:c r="E38" s="37" t="n">
        <x:v>1</x:v>
      </x:c>
      <x:c r="F38" s="37" t="n">
        <x:f>IF('Hazard Worlds'!M9="PASS",1,0)</x:f>
        <x:v>1</x:v>
      </x:c>
      <x:c r="G38" s="10" t="str">
        <x:v>Hazard Worlds!M9</x:v>
      </x:c>
      <x:c r="H38" s="10" t="str">
        <x:v>planning constitution</x:v>
      </x:c>
      <x:c r="I38" s="10" t="str">
        <x:f>IF(F38=E38,"PASS","FAIL")</x:f>
        <x:v>PASS</x:v>
      </x:c>
    </x:row>
    <x:row r="39">
      <x:c r="B39" s="10" t="str">
        <x:v>PL-WORLD-04</x:v>
      </x:c>
      <x:c r="C39" s="10" t="str">
        <x:v>planning</x:v>
      </x:c>
      <x:c r="D39" s="10" t="str">
        <x:v>root-world card</x:v>
      </x:c>
      <x:c r="E39" s="37" t="n">
        <x:v>1</x:v>
      </x:c>
      <x:c r="F39" s="37" t="n">
        <x:f>IF('Hazard Worlds'!M10="PASS",1,0)</x:f>
        <x:v>1</x:v>
      </x:c>
      <x:c r="G39" s="10" t="str">
        <x:v>Hazard Worlds!M10</x:v>
      </x:c>
      <x:c r="H39" s="10" t="str">
        <x:v>planning constitution</x:v>
      </x:c>
      <x:c r="I39" s="10" t="str">
        <x:f>IF(F39=E39,"PASS","FAIL")</x:f>
        <x:v>PASS</x:v>
      </x:c>
    </x:row>
    <x:row r="40">
      <x:c r="B40" s="10" t="str">
        <x:v>PL-WORLD-05</x:v>
      </x:c>
      <x:c r="C40" s="10" t="str">
        <x:v>planning</x:v>
      </x:c>
      <x:c r="D40" s="10" t="str">
        <x:v>root-world card</x:v>
      </x:c>
      <x:c r="E40" s="37" t="n">
        <x:v>1</x:v>
      </x:c>
      <x:c r="F40" s="37" t="n">
        <x:f>IF('Hazard Worlds'!M11="PASS",1,0)</x:f>
        <x:v>1</x:v>
      </x:c>
      <x:c r="G40" s="10" t="str">
        <x:v>Hazard Worlds!M11</x:v>
      </x:c>
      <x:c r="H40" s="10" t="str">
        <x:v>planning constitution</x:v>
      </x:c>
      <x:c r="I40" s="10" t="str">
        <x:f>IF(F40=E40,"PASS","FAIL")</x:f>
        <x:v>PASS</x:v>
      </x:c>
    </x:row>
    <x:row r="41">
      <x:c r="B41" s="10" t="str">
        <x:v>PL-WORLD-06</x:v>
      </x:c>
      <x:c r="C41" s="10" t="str">
        <x:v>planning</x:v>
      </x:c>
      <x:c r="D41" s="10" t="str">
        <x:v>root-world card</x:v>
      </x:c>
      <x:c r="E41" s="37" t="n">
        <x:v>1</x:v>
      </x:c>
      <x:c r="F41" s="37" t="n">
        <x:f>IF('Hazard Worlds'!M12="PASS",1,0)</x:f>
        <x:v>1</x:v>
      </x:c>
      <x:c r="G41" s="10" t="str">
        <x:v>Hazard Worlds!M12</x:v>
      </x:c>
      <x:c r="H41" s="10" t="str">
        <x:v>planning constitution</x:v>
      </x:c>
      <x:c r="I41" s="10" t="str">
        <x:f>IF(F41=E41,"PASS","FAIL")</x:f>
        <x:v>PASS</x:v>
      </x:c>
    </x:row>
    <x:row r="42">
      <x:c r="B42" s="10" t="str">
        <x:v>PL-WORLD-07</x:v>
      </x:c>
      <x:c r="C42" s="10" t="str">
        <x:v>planning</x:v>
      </x:c>
      <x:c r="D42" s="10" t="str">
        <x:v>root-world card</x:v>
      </x:c>
      <x:c r="E42" s="37" t="n">
        <x:v>1</x:v>
      </x:c>
      <x:c r="F42" s="37" t="n">
        <x:f>IF('Hazard Worlds'!M13="PASS",1,0)</x:f>
        <x:v>1</x:v>
      </x:c>
      <x:c r="G42" s="10" t="str">
        <x:v>Hazard Worlds!M13</x:v>
      </x:c>
      <x:c r="H42" s="10" t="str">
        <x:v>planning constitution</x:v>
      </x:c>
      <x:c r="I42" s="10" t="str">
        <x:f>IF(F42=E42,"PASS","FAIL")</x:f>
        <x:v>PASS</x:v>
      </x:c>
    </x:row>
    <x:row r="43">
      <x:c r="B43" s="10" t="str">
        <x:v>PL-WORLD-08</x:v>
      </x:c>
      <x:c r="C43" s="10" t="str">
        <x:v>planning</x:v>
      </x:c>
      <x:c r="D43" s="10" t="str">
        <x:v>root-world card</x:v>
      </x:c>
      <x:c r="E43" s="37" t="n">
        <x:v>1</x:v>
      </x:c>
      <x:c r="F43" s="37" t="n">
        <x:f>IF('Hazard Worlds'!M14="PASS",1,0)</x:f>
        <x:v>1</x:v>
      </x:c>
      <x:c r="G43" s="10" t="str">
        <x:v>Hazard Worlds!M14</x:v>
      </x:c>
      <x:c r="H43" s="10" t="str">
        <x:v>planning constitution</x:v>
      </x:c>
      <x:c r="I43" s="10" t="str">
        <x:f>IF(F43=E43,"PASS","FAIL")</x:f>
        <x:v>PASS</x:v>
      </x:c>
    </x:row>
    <x:row r="44">
      <x:c r="B44" s="10" t="str">
        <x:v>PL-WORLD-09</x:v>
      </x:c>
      <x:c r="C44" s="10" t="str">
        <x:v>planning</x:v>
      </x:c>
      <x:c r="D44" s="10" t="str">
        <x:v>root-world card</x:v>
      </x:c>
      <x:c r="E44" s="37" t="n">
        <x:v>1</x:v>
      </x:c>
      <x:c r="F44" s="37" t="n">
        <x:f>IF('Hazard Worlds'!M15="PASS",1,0)</x:f>
        <x:v>1</x:v>
      </x:c>
      <x:c r="G44" s="10" t="str">
        <x:v>Hazard Worlds!M15</x:v>
      </x:c>
      <x:c r="H44" s="10" t="str">
        <x:v>planning constitution</x:v>
      </x:c>
      <x:c r="I44" s="10" t="str">
        <x:f>IF(F44=E44,"PASS","FAIL")</x:f>
        <x:v>PASS</x:v>
      </x:c>
    </x:row>
    <x:row r="45">
      <x:c r="B45" s="10" t="str">
        <x:v>PL-WORLD-10</x:v>
      </x:c>
      <x:c r="C45" s="10" t="str">
        <x:v>planning</x:v>
      </x:c>
      <x:c r="D45" s="10" t="str">
        <x:v>root-world card</x:v>
      </x:c>
      <x:c r="E45" s="37" t="n">
        <x:v>1</x:v>
      </x:c>
      <x:c r="F45" s="37" t="n">
        <x:f>IF('Hazard Worlds'!M16="PASS",1,0)</x:f>
        <x:v>1</x:v>
      </x:c>
      <x:c r="G45" s="10" t="str">
        <x:v>Hazard Worlds!M16</x:v>
      </x:c>
      <x:c r="H45" s="10" t="str">
        <x:v>planning constitution</x:v>
      </x:c>
      <x:c r="I45" s="10" t="str">
        <x:f>IF(F45=E45,"PASS","FAIL")</x:f>
        <x:v>PASS</x:v>
      </x:c>
    </x:row>
    <x:row r="46">
      <x:c r="B46" s="10" t="str">
        <x:v>PL-WORLD-11</x:v>
      </x:c>
      <x:c r="C46" s="10" t="str">
        <x:v>planning</x:v>
      </x:c>
      <x:c r="D46" s="10" t="str">
        <x:v>root-world card</x:v>
      </x:c>
      <x:c r="E46" s="37" t="n">
        <x:v>1</x:v>
      </x:c>
      <x:c r="F46" s="37" t="n">
        <x:f>IF('Hazard Worlds'!M17="PASS",1,0)</x:f>
        <x:v>1</x:v>
      </x:c>
      <x:c r="G46" s="10" t="str">
        <x:v>Hazard Worlds!M17</x:v>
      </x:c>
      <x:c r="H46" s="10" t="str">
        <x:v>planning constitution</x:v>
      </x:c>
      <x:c r="I46" s="10" t="str">
        <x:f>IF(F46=E46,"PASS","FAIL")</x:f>
        <x:v>PASS</x:v>
      </x:c>
    </x:row>
    <x:row r="47">
      <x:c r="B47" s="10" t="str">
        <x:v>PL-WORLD-12</x:v>
      </x:c>
      <x:c r="C47" s="10" t="str">
        <x:v>planning</x:v>
      </x:c>
      <x:c r="D47" s="10" t="str">
        <x:v>root-world card</x:v>
      </x:c>
      <x:c r="E47" s="37" t="n">
        <x:v>1</x:v>
      </x:c>
      <x:c r="F47" s="37" t="n">
        <x:f>IF('Hazard Worlds'!M18="PASS",1,0)</x:f>
        <x:v>1</x:v>
      </x:c>
      <x:c r="G47" s="10" t="str">
        <x:v>Hazard Worlds!M18</x:v>
      </x:c>
      <x:c r="H47" s="10" t="str">
        <x:v>planning constitution</x:v>
      </x:c>
      <x:c r="I47" s="10" t="str">
        <x:f>IF(F47=E47,"PASS","FAIL")</x:f>
        <x:v>PASS</x:v>
      </x:c>
    </x:row>
    <x:row r="48">
      <x:c r="B48" s="10" t="str">
        <x:v>PL-WORLD-13</x:v>
      </x:c>
      <x:c r="C48" s="10" t="str">
        <x:v>planning</x:v>
      </x:c>
      <x:c r="D48" s="10" t="str">
        <x:v>root-world card</x:v>
      </x:c>
      <x:c r="E48" s="37" t="n">
        <x:v>1</x:v>
      </x:c>
      <x:c r="F48" s="37" t="n">
        <x:f>IF('Hazard Worlds'!M19="PASS",1,0)</x:f>
        <x:v>1</x:v>
      </x:c>
      <x:c r="G48" s="10" t="str">
        <x:v>Hazard Worlds!M19</x:v>
      </x:c>
      <x:c r="H48" s="10" t="str">
        <x:v>planning constitution</x:v>
      </x:c>
      <x:c r="I48" s="10" t="str">
        <x:f>IF(F48=E48,"PASS","FAIL")</x:f>
        <x:v>PASS</x:v>
      </x:c>
    </x:row>
    <x:row r="49">
      <x:c r="B49" s="10" t="str">
        <x:v>PL-WORLD-14</x:v>
      </x:c>
      <x:c r="C49" s="10" t="str">
        <x:v>planning</x:v>
      </x:c>
      <x:c r="D49" s="10" t="str">
        <x:v>root-world card</x:v>
      </x:c>
      <x:c r="E49" s="37" t="n">
        <x:v>1</x:v>
      </x:c>
      <x:c r="F49" s="37" t="n">
        <x:f>IF('Hazard Worlds'!M20="PASS",1,0)</x:f>
        <x:v>1</x:v>
      </x:c>
      <x:c r="G49" s="10" t="str">
        <x:v>Hazard Worlds!M20</x:v>
      </x:c>
      <x:c r="H49" s="10" t="str">
        <x:v>planning constitution</x:v>
      </x:c>
      <x:c r="I49" s="10" t="str">
        <x:f>IF(F49=E49,"PASS","FAIL")</x:f>
        <x:v>PASS</x:v>
      </x:c>
    </x:row>
    <x:row r="50">
      <x:c r="B50" s="10" t="str">
        <x:v>PL-WORLD-15</x:v>
      </x:c>
      <x:c r="C50" s="10" t="str">
        <x:v>planning</x:v>
      </x:c>
      <x:c r="D50" s="10" t="str">
        <x:v>root-world card</x:v>
      </x:c>
      <x:c r="E50" s="37" t="n">
        <x:v>1</x:v>
      </x:c>
      <x:c r="F50" s="37" t="n">
        <x:f>IF('Hazard Worlds'!M21="PASS",1,0)</x:f>
        <x:v>1</x:v>
      </x:c>
      <x:c r="G50" s="10" t="str">
        <x:v>Hazard Worlds!M21</x:v>
      </x:c>
      <x:c r="H50" s="10" t="str">
        <x:v>planning constitution</x:v>
      </x:c>
      <x:c r="I50" s="10" t="str">
        <x:f>IF(F50=E50,"PASS","FAIL")</x:f>
        <x:v>PASS</x:v>
      </x:c>
    </x:row>
    <x:row r="51">
      <x:c r="B51" s="10" t="str">
        <x:v>PL-WORLD-16</x:v>
      </x:c>
      <x:c r="C51" s="10" t="str">
        <x:v>planning</x:v>
      </x:c>
      <x:c r="D51" s="10" t="str">
        <x:v>root-world card</x:v>
      </x:c>
      <x:c r="E51" s="37" t="n">
        <x:v>1</x:v>
      </x:c>
      <x:c r="F51" s="37" t="n">
        <x:f>IF('Hazard Worlds'!M22="PASS",1,0)</x:f>
        <x:v>1</x:v>
      </x:c>
      <x:c r="G51" s="10" t="str">
        <x:v>Hazard Worlds!M22</x:v>
      </x:c>
      <x:c r="H51" s="10" t="str">
        <x:v>planning constitution</x:v>
      </x:c>
      <x:c r="I51" s="10" t="str">
        <x:f>IF(F51=E51,"PASS","FAIL")</x:f>
        <x:v>PASS</x:v>
      </x:c>
    </x:row>
    <x:row r="52">
      <x:c r="B52" s="10" t="str">
        <x:v>PL-WORLD-17</x:v>
      </x:c>
      <x:c r="C52" s="10" t="str">
        <x:v>planning</x:v>
      </x:c>
      <x:c r="D52" s="10" t="str">
        <x:v>root-world card</x:v>
      </x:c>
      <x:c r="E52" s="37" t="n">
        <x:v>1</x:v>
      </x:c>
      <x:c r="F52" s="37" t="n">
        <x:f>IF('Hazard Worlds'!M23="PASS",1,0)</x:f>
        <x:v>1</x:v>
      </x:c>
      <x:c r="G52" s="10" t="str">
        <x:v>Hazard Worlds!M23</x:v>
      </x:c>
      <x:c r="H52" s="10" t="str">
        <x:v>planning constitution</x:v>
      </x:c>
      <x:c r="I52" s="10" t="str">
        <x:f>IF(F52=E52,"PASS","FAIL")</x:f>
        <x:v>PASS</x:v>
      </x:c>
    </x:row>
    <x:row r="53">
      <x:c r="B53" s="10" t="str">
        <x:v>PL-WORLD-18</x:v>
      </x:c>
      <x:c r="C53" s="10" t="str">
        <x:v>planning</x:v>
      </x:c>
      <x:c r="D53" s="10" t="str">
        <x:v>root-world card</x:v>
      </x:c>
      <x:c r="E53" s="37" t="n">
        <x:v>1</x:v>
      </x:c>
      <x:c r="F53" s="37" t="n">
        <x:f>IF('Hazard Worlds'!M24="PASS",1,0)</x:f>
        <x:v>1</x:v>
      </x:c>
      <x:c r="G53" s="10" t="str">
        <x:v>Hazard Worlds!M24</x:v>
      </x:c>
      <x:c r="H53" s="10" t="str">
        <x:v>planning constitution</x:v>
      </x:c>
      <x:c r="I53" s="10" t="str">
        <x:f>IF(F53=E53,"PASS","FAIL")</x:f>
        <x:v>PASS</x:v>
      </x:c>
    </x:row>
    <x:row r="54">
      <x:c r="B54" s="10" t="str">
        <x:v>PL-WORLD-19</x:v>
      </x:c>
      <x:c r="C54" s="10" t="str">
        <x:v>planning</x:v>
      </x:c>
      <x:c r="D54" s="10" t="str">
        <x:v>root-world card</x:v>
      </x:c>
      <x:c r="E54" s="37" t="n">
        <x:v>1</x:v>
      </x:c>
      <x:c r="F54" s="37" t="n">
        <x:f>IF('Hazard Worlds'!M25="PASS",1,0)</x:f>
        <x:v>1</x:v>
      </x:c>
      <x:c r="G54" s="10" t="str">
        <x:v>Hazard Worlds!M25</x:v>
      </x:c>
      <x:c r="H54" s="10" t="str">
        <x:v>planning constitution</x:v>
      </x:c>
      <x:c r="I54" s="10" t="str">
        <x:f>IF(F54=E54,"PASS","FAIL")</x:f>
        <x:v>PASS</x:v>
      </x:c>
    </x:row>
    <x:row r="55">
      <x:c r="B55" s="10" t="str">
        <x:v>PL-WORLD-20</x:v>
      </x:c>
      <x:c r="C55" s="10" t="str">
        <x:v>planning</x:v>
      </x:c>
      <x:c r="D55" s="10" t="str">
        <x:v>root-world card</x:v>
      </x:c>
      <x:c r="E55" s="37" t="n">
        <x:v>1</x:v>
      </x:c>
      <x:c r="F55" s="37" t="n">
        <x:f>IF('Hazard Worlds'!M26="PASS",1,0)</x:f>
        <x:v>1</x:v>
      </x:c>
      <x:c r="G55" s="10" t="str">
        <x:v>Hazard Worlds!M26</x:v>
      </x:c>
      <x:c r="H55" s="10" t="str">
        <x:v>planning constitution</x:v>
      </x:c>
      <x:c r="I55" s="10" t="str">
        <x:f>IF(F55=E55,"PASS","FAIL")</x:f>
        <x:v>PASS</x:v>
      </x:c>
    </x:row>
    <x:row r="56">
      <x:c r="B56" s="10" t="str">
        <x:v>PL-WORLD-21</x:v>
      </x:c>
      <x:c r="C56" s="10" t="str">
        <x:v>planning</x:v>
      </x:c>
      <x:c r="D56" s="10" t="str">
        <x:v>root-world card</x:v>
      </x:c>
      <x:c r="E56" s="37" t="n">
        <x:v>1</x:v>
      </x:c>
      <x:c r="F56" s="37" t="n">
        <x:f>IF('Hazard Worlds'!M27="PASS",1,0)</x:f>
        <x:v>1</x:v>
      </x:c>
      <x:c r="G56" s="10" t="str">
        <x:v>Hazard Worlds!M27</x:v>
      </x:c>
      <x:c r="H56" s="10" t="str">
        <x:v>planning constitution</x:v>
      </x:c>
      <x:c r="I56" s="10" t="str">
        <x:f>IF(F56=E56,"PASS","FAIL")</x:f>
        <x:v>PASS</x:v>
      </x:c>
    </x:row>
    <x:row r="57">
      <x:c r="B57" s="10" t="str">
        <x:v>PL-WORLD-22</x:v>
      </x:c>
      <x:c r="C57" s="10" t="str">
        <x:v>planning</x:v>
      </x:c>
      <x:c r="D57" s="10" t="str">
        <x:v>root-world card</x:v>
      </x:c>
      <x:c r="E57" s="37" t="n">
        <x:v>1</x:v>
      </x:c>
      <x:c r="F57" s="37" t="n">
        <x:f>IF('Hazard Worlds'!M28="PASS",1,0)</x:f>
        <x:v>1</x:v>
      </x:c>
      <x:c r="G57" s="10" t="str">
        <x:v>Hazard Worlds!M28</x:v>
      </x:c>
      <x:c r="H57" s="10" t="str">
        <x:v>planning constitution</x:v>
      </x:c>
      <x:c r="I57" s="10" t="str">
        <x:f>IF(F57=E57,"PASS","FAIL")</x:f>
        <x:v>PASS</x:v>
      </x:c>
    </x:row>
    <x:row r="58">
      <x:c r="B58" s="10" t="str">
        <x:v>PL-WORLD-23</x:v>
      </x:c>
      <x:c r="C58" s="10" t="str">
        <x:v>planning</x:v>
      </x:c>
      <x:c r="D58" s="10" t="str">
        <x:v>root-world card</x:v>
      </x:c>
      <x:c r="E58" s="37" t="n">
        <x:v>1</x:v>
      </x:c>
      <x:c r="F58" s="37" t="n">
        <x:f>IF('Hazard Worlds'!M29="PASS",1,0)</x:f>
        <x:v>1</x:v>
      </x:c>
      <x:c r="G58" s="10" t="str">
        <x:v>Hazard Worlds!M29</x:v>
      </x:c>
      <x:c r="H58" s="10" t="str">
        <x:v>planning constitution</x:v>
      </x:c>
      <x:c r="I58" s="10" t="str">
        <x:f>IF(F58=E58,"PASS","FAIL")</x:f>
        <x:v>PASS</x:v>
      </x:c>
    </x:row>
    <x:row r="59">
      <x:c r="B59" s="10" t="str">
        <x:v>PL-WORLD-24</x:v>
      </x:c>
      <x:c r="C59" s="10" t="str">
        <x:v>planning</x:v>
      </x:c>
      <x:c r="D59" s="10" t="str">
        <x:v>root-world card</x:v>
      </x:c>
      <x:c r="E59" s="37" t="n">
        <x:v>1</x:v>
      </x:c>
      <x:c r="F59" s="37" t="n">
        <x:f>IF('Hazard Worlds'!M30="PASS",1,0)</x:f>
        <x:v>1</x:v>
      </x:c>
      <x:c r="G59" s="10" t="str">
        <x:v>Hazard Worlds!M30</x:v>
      </x:c>
      <x:c r="H59" s="10" t="str">
        <x:v>planning constitution</x:v>
      </x:c>
      <x:c r="I59" s="10" t="str">
        <x:f>IF(F59=E59,"PASS","FAIL")</x:f>
        <x:v>PASS</x:v>
      </x:c>
    </x:row>
    <x:row r="60">
      <x:c r="B60" s="10" t="str">
        <x:v>PL-SAFE-1</x:v>
      </x:c>
      <x:c r="C60" s="10" t="str">
        <x:v>planning</x:v>
      </x:c>
      <x:c r="D60" s="10" t="str">
        <x:v>root-site safety logic</x:v>
      </x:c>
      <x:c r="E60" s="37" t="n">
        <x:v>1</x:v>
      </x:c>
      <x:c r="F60" s="37" t="n">
        <x:f>IF('Safety Logic'!P7="PASS",1,0)</x:f>
        <x:v>1</x:v>
      </x:c>
      <x:c r="G60" s="10" t="str">
        <x:v>Safety Logic!P7</x:v>
      </x:c>
      <x:c r="H60" s="10" t="str">
        <x:v>planning constitution</x:v>
      </x:c>
      <x:c r="I60" s="10" t="str">
        <x:f>IF(F60=E60,"PASS","FAIL")</x:f>
        <x:v>PASS</x:v>
      </x:c>
    </x:row>
    <x:row r="61">
      <x:c r="B61" s="10" t="str">
        <x:v>PL-SAFE-2</x:v>
      </x:c>
      <x:c r="C61" s="10" t="str">
        <x:v>planning</x:v>
      </x:c>
      <x:c r="D61" s="10" t="str">
        <x:v>root-site safety logic</x:v>
      </x:c>
      <x:c r="E61" s="37" t="n">
        <x:v>1</x:v>
      </x:c>
      <x:c r="F61" s="37" t="n">
        <x:f>IF('Safety Logic'!P8="PASS",1,0)</x:f>
        <x:v>1</x:v>
      </x:c>
      <x:c r="G61" s="10" t="str">
        <x:v>Safety Logic!P8</x:v>
      </x:c>
      <x:c r="H61" s="10" t="str">
        <x:v>planning constitution</x:v>
      </x:c>
      <x:c r="I61" s="10" t="str">
        <x:f>IF(F61=E61,"PASS","FAIL")</x:f>
        <x:v>PASS</x:v>
      </x:c>
    </x:row>
    <x:row r="62">
      <x:c r="B62" s="10" t="str">
        <x:v>PL-SAFE-3</x:v>
      </x:c>
      <x:c r="C62" s="10" t="str">
        <x:v>planning</x:v>
      </x:c>
      <x:c r="D62" s="10" t="str">
        <x:v>root-site safety logic</x:v>
      </x:c>
      <x:c r="E62" s="37" t="n">
        <x:v>1</x:v>
      </x:c>
      <x:c r="F62" s="37" t="n">
        <x:f>IF('Safety Logic'!P9="PASS",1,0)</x:f>
        <x:v>1</x:v>
      </x:c>
      <x:c r="G62" s="10" t="str">
        <x:v>Safety Logic!P9</x:v>
      </x:c>
      <x:c r="H62" s="10" t="str">
        <x:v>planning constitution</x:v>
      </x:c>
      <x:c r="I62" s="10" t="str">
        <x:f>IF(F62=E62,"PASS","FAIL")</x:f>
        <x:v>PASS</x:v>
      </x:c>
    </x:row>
    <x:row r="63">
      <x:c r="B63" s="10" t="str">
        <x:v>PL-SAFE-4</x:v>
      </x:c>
      <x:c r="C63" s="10" t="str">
        <x:v>planning</x:v>
      </x:c>
      <x:c r="D63" s="10" t="str">
        <x:v>root-site safety logic</x:v>
      </x:c>
      <x:c r="E63" s="37" t="n">
        <x:v>1</x:v>
      </x:c>
      <x:c r="F63" s="37" t="n">
        <x:f>IF('Safety Logic'!P10="PASS",1,0)</x:f>
        <x:v>1</x:v>
      </x:c>
      <x:c r="G63" s="10" t="str">
        <x:v>Safety Logic!P10</x:v>
      </x:c>
      <x:c r="H63" s="10" t="str">
        <x:v>planning constitution</x:v>
      </x:c>
      <x:c r="I63" s="10" t="str">
        <x:f>IF(F63=E63,"PASS","FAIL")</x:f>
        <x:v>PASS</x:v>
      </x:c>
    </x:row>
    <x:row r="64">
      <x:c r="B64" s="10" t="str">
        <x:v>PL-INST-1</x:v>
      </x:c>
      <x:c r="C64" s="10" t="str">
        <x:v>planning</x:v>
      </x:c>
      <x:c r="D64" s="10" t="str">
        <x:v>root-site instrument package</x:v>
      </x:c>
      <x:c r="E64" s="37" t="n">
        <x:v>1</x:v>
      </x:c>
      <x:c r="F64" s="37" t="n">
        <x:f>IF(COUNTIF('Instrumentation'!M7:M24,"PASS")=ROWS('Instrumentation'!M7:M24),1,0)</x:f>
        <x:v>1</x:v>
      </x:c>
      <x:c r="G64" s="10" t="str">
        <x:v>Instrumentation!M7:M24</x:v>
      </x:c>
      <x:c r="H64" s="10" t="str">
        <x:v>planning constitution</x:v>
      </x:c>
      <x:c r="I64" s="10" t="str">
        <x:f>IF(F64=E64,"PASS","FAIL")</x:f>
        <x:v>PASS</x:v>
      </x:c>
    </x:row>
    <x:row r="65">
      <x:c r="B65" s="10" t="str">
        <x:v>PL-INST-2</x:v>
      </x:c>
      <x:c r="C65" s="10" t="str">
        <x:v>planning</x:v>
      </x:c>
      <x:c r="D65" s="10" t="str">
        <x:v>root-site instrument package</x:v>
      </x:c>
      <x:c r="E65" s="37" t="n">
        <x:v>1</x:v>
      </x:c>
      <x:c r="F65" s="37" t="n">
        <x:f>IF(COUNTIF('Instrumentation'!M7:M24,"PASS")=ROWS('Instrumentation'!M7:M24),1,0)</x:f>
        <x:v>1</x:v>
      </x:c>
      <x:c r="G65" s="10" t="str">
        <x:v>Instrumentation!M7:M24</x:v>
      </x:c>
      <x:c r="H65" s="10" t="str">
        <x:v>planning constitution</x:v>
      </x:c>
      <x:c r="I65" s="10" t="str">
        <x:f>IF(F65=E65,"PASS","FAIL")</x:f>
        <x:v>PASS</x:v>
      </x:c>
    </x:row>
    <x:row r="66">
      <x:c r="B66" s="10" t="str">
        <x:v>PL-INST-3</x:v>
      </x:c>
      <x:c r="C66" s="10" t="str">
        <x:v>planning</x:v>
      </x:c>
      <x:c r="D66" s="10" t="str">
        <x:v>root-site instrument package</x:v>
      </x:c>
      <x:c r="E66" s="37" t="n">
        <x:v>1</x:v>
      </x:c>
      <x:c r="F66" s="37" t="n">
        <x:f>IF(COUNTIF('Instrumentation'!M7:M24,"PASS")=ROWS('Instrumentation'!M7:M24),1,0)</x:f>
        <x:v>1</x:v>
      </x:c>
      <x:c r="G66" s="10" t="str">
        <x:v>Instrumentation!M7:M24</x:v>
      </x:c>
      <x:c r="H66" s="10" t="str">
        <x:v>planning constitution</x:v>
      </x:c>
      <x:c r="I66" s="10" t="str">
        <x:f>IF(F66=E66,"PASS","FAIL")</x:f>
        <x:v>PASS</x:v>
      </x:c>
    </x:row>
    <x:row r="67">
      <x:c r="B67" s="10" t="str">
        <x:v>PL-INST-4</x:v>
      </x:c>
      <x:c r="C67" s="10" t="str">
        <x:v>planning</x:v>
      </x:c>
      <x:c r="D67" s="10" t="str">
        <x:v>root-site instrument package</x:v>
      </x:c>
      <x:c r="E67" s="37" t="n">
        <x:v>1</x:v>
      </x:c>
      <x:c r="F67" s="37" t="n">
        <x:f>IF(COUNTIF('Instrumentation'!M7:M24,"PASS")=ROWS('Instrumentation'!M7:M24),1,0)</x:f>
        <x:v>1</x:v>
      </x:c>
      <x:c r="G67" s="10" t="str">
        <x:v>Instrumentation!M7:M24</x:v>
      </x:c>
      <x:c r="H67" s="10" t="str">
        <x:v>planning constitution</x:v>
      </x:c>
      <x:c r="I67" s="10" t="str">
        <x:f>IF(F67=E67,"PASS","FAIL")</x:f>
        <x:v>PASS</x:v>
      </x:c>
    </x:row>
    <x:row r="68">
      <x:c r="B68" s="10" t="str">
        <x:v>PL-REC-1</x:v>
      </x:c>
      <x:c r="C68" s="10" t="str">
        <x:v>planning</x:v>
      </x:c>
      <x:c r="D68" s="10" t="str">
        <x:v>root-site recovery package</x:v>
      </x:c>
      <x:c r="E68" s="37" t="n">
        <x:v>1</x:v>
      </x:c>
      <x:c r="F68" s="37" t="n">
        <x:f>IF('Recovery Evidence'!N7="PASS",1,0)</x:f>
        <x:v>1</x:v>
      </x:c>
      <x:c r="G68" s="10" t="str">
        <x:v>Recovery Evidence!N7</x:v>
      </x:c>
      <x:c r="H68" s="10" t="str">
        <x:v>planning constitution</x:v>
      </x:c>
      <x:c r="I68" s="10" t="str">
        <x:f>IF(F68=E68,"PASS","FAIL")</x:f>
        <x:v>PASS</x:v>
      </x:c>
    </x:row>
    <x:row r="69">
      <x:c r="B69" s="10" t="str">
        <x:v>PL-REC-2</x:v>
      </x:c>
      <x:c r="C69" s="10" t="str">
        <x:v>planning</x:v>
      </x:c>
      <x:c r="D69" s="10" t="str">
        <x:v>root-site recovery package</x:v>
      </x:c>
      <x:c r="E69" s="37" t="n">
        <x:v>1</x:v>
      </x:c>
      <x:c r="F69" s="37" t="n">
        <x:f>IF('Recovery Evidence'!N8="PASS",1,0)</x:f>
        <x:v>1</x:v>
      </x:c>
      <x:c r="G69" s="10" t="str">
        <x:v>Recovery Evidence!N8</x:v>
      </x:c>
      <x:c r="H69" s="10" t="str">
        <x:v>planning constitution</x:v>
      </x:c>
      <x:c r="I69" s="10" t="str">
        <x:f>IF(F69=E69,"PASS","FAIL")</x:f>
        <x:v>PASS</x:v>
      </x:c>
    </x:row>
    <x:row r="70">
      <x:c r="B70" s="10" t="str">
        <x:v>PL-REC-3</x:v>
      </x:c>
      <x:c r="C70" s="10" t="str">
        <x:v>planning</x:v>
      </x:c>
      <x:c r="D70" s="10" t="str">
        <x:v>root-site recovery package</x:v>
      </x:c>
      <x:c r="E70" s="37" t="n">
        <x:v>1</x:v>
      </x:c>
      <x:c r="F70" s="37" t="n">
        <x:f>IF('Recovery Evidence'!N9="PASS",1,0)</x:f>
        <x:v>1</x:v>
      </x:c>
      <x:c r="G70" s="10" t="str">
        <x:v>Recovery Evidence!N9</x:v>
      </x:c>
      <x:c r="H70" s="10" t="str">
        <x:v>planning constitution</x:v>
      </x:c>
      <x:c r="I70" s="10" t="str">
        <x:f>IF(F70=E70,"PASS","FAIL")</x:f>
        <x:v>PASS</x:v>
      </x:c>
    </x:row>
    <x:row r="71">
      <x:c r="B71" s="10" t="str">
        <x:v>PL-REC-4</x:v>
      </x:c>
      <x:c r="C71" s="10" t="str">
        <x:v>planning</x:v>
      </x:c>
      <x:c r="D71" s="10" t="str">
        <x:v>root-site recovery package</x:v>
      </x:c>
      <x:c r="E71" s="37" t="n">
        <x:v>1</x:v>
      </x:c>
      <x:c r="F71" s="37" t="n">
        <x:f>IF('Recovery Evidence'!N10="PASS",1,0)</x:f>
        <x:v>1</x:v>
      </x:c>
      <x:c r="G71" s="10" t="str">
        <x:v>Recovery Evidence!N10</x:v>
      </x:c>
      <x:c r="H71" s="10" t="str">
        <x:v>planning constitution</x:v>
      </x:c>
      <x:c r="I71" s="10" t="str">
        <x:f>IF(F71=E71,"PASS","FAIL")</x:f>
        <x:v>PASS</x:v>
      </x:c>
    </x:row>
    <x:row r="72">
      <x:c r="B72" s="10" t="str">
        <x:v>PL-RESCUE-1</x:v>
      </x:c>
      <x:c r="C72" s="10" t="str">
        <x:v>planning</x:v>
      </x:c>
      <x:c r="D72" s="10" t="str">
        <x:v>cell emergency and rescue package</x:v>
      </x:c>
      <x:c r="E72" s="37" t="n">
        <x:v>1</x:v>
      </x:c>
      <x:c r="F72" s="37" t="n">
        <x:f>IF('Cell Architecture'!N7="PASS",1,0)</x:f>
        <x:v>1</x:v>
      </x:c>
      <x:c r="G72" s="10" t="str">
        <x:v>Cell Architecture!N7</x:v>
      </x:c>
      <x:c r="H72" s="10" t="str">
        <x:v>planning constitution</x:v>
      </x:c>
      <x:c r="I72" s="10" t="str">
        <x:f>IF(F72=E72,"PASS","FAIL")</x:f>
        <x:v>PASS</x:v>
      </x:c>
    </x:row>
    <x:row r="73">
      <x:c r="B73" s="10" t="str">
        <x:v>PL-RESCUE-2</x:v>
      </x:c>
      <x:c r="C73" s="10" t="str">
        <x:v>planning</x:v>
      </x:c>
      <x:c r="D73" s="10" t="str">
        <x:v>cell emergency and rescue package</x:v>
      </x:c>
      <x:c r="E73" s="37" t="n">
        <x:v>1</x:v>
      </x:c>
      <x:c r="F73" s="37" t="n">
        <x:f>IF('Cell Architecture'!N8="PASS",1,0)</x:f>
        <x:v>1</x:v>
      </x:c>
      <x:c r="G73" s="10" t="str">
        <x:v>Cell Architecture!N8</x:v>
      </x:c>
      <x:c r="H73" s="10" t="str">
        <x:v>planning constitution</x:v>
      </x:c>
      <x:c r="I73" s="10" t="str">
        <x:f>IF(F73=E73,"PASS","FAIL")</x:f>
        <x:v>PASS</x:v>
      </x:c>
    </x:row>
    <x:row r="74">
      <x:c r="B74" s="10" t="str">
        <x:v>PL-RESCUE-3</x:v>
      </x:c>
      <x:c r="C74" s="10" t="str">
        <x:v>planning</x:v>
      </x:c>
      <x:c r="D74" s="10" t="str">
        <x:v>cell emergency and rescue package</x:v>
      </x:c>
      <x:c r="E74" s="37" t="n">
        <x:v>1</x:v>
      </x:c>
      <x:c r="F74" s="37" t="n">
        <x:f>IF('Cell Architecture'!N9="PASS",1,0)</x:f>
        <x:v>1</x:v>
      </x:c>
      <x:c r="G74" s="10" t="str">
        <x:v>Cell Architecture!N9</x:v>
      </x:c>
      <x:c r="H74" s="10" t="str">
        <x:v>planning constitution</x:v>
      </x:c>
      <x:c r="I74" s="10" t="str">
        <x:f>IF(F74=E74,"PASS","FAIL")</x:f>
        <x:v>PASS</x:v>
      </x:c>
    </x:row>
    <x:row r="75">
      <x:c r="B75" s="10" t="str">
        <x:v>PL-BUDGET</x:v>
      </x:c>
      <x:c r="C75" s="10" t="str">
        <x:v>planning</x:v>
      </x:c>
      <x:c r="D75" s="10" t="str">
        <x:v>budget reconciliation</x:v>
      </x:c>
      <x:c r="E75" s="37" t="n">
        <x:v>1</x:v>
      </x:c>
      <x:c r="F75" s="37" t="n">
        <x:f>IF('Capital'!G25="PASS",1,0)</x:f>
        <x:v>1</x:v>
      </x:c>
      <x:c r="G75" s="10" t="str">
        <x:v>Capital!G25</x:v>
      </x:c>
      <x:c r="H75" s="10" t="str">
        <x:v>planning constitution</x:v>
      </x:c>
      <x:c r="I75" s="10" t="str">
        <x:f>IF(F75=E75,"PASS","FAIL")</x:f>
        <x:v>PASS</x:v>
      </x:c>
    </x:row>
    <x:row r="76">
      <x:c r="B76" s="10" t="str">
        <x:v>PL-SCHEDULE</x:v>
      </x:c>
      <x:c r="C76" s="10" t="str">
        <x:v>planning</x:v>
      </x:c>
      <x:c r="D76" s="10" t="str">
        <x:v>schedule reconciliation</x:v>
      </x:c>
      <x:c r="E76" s="37" t="n">
        <x:v>1</x:v>
      </x:c>
      <x:c r="F76" s="37" t="n">
        <x:f>IF('Schedule'!J15="PASS",1,0)</x:f>
        <x:v>1</x:v>
      </x:c>
      <x:c r="G76" s="10" t="str">
        <x:v>Schedule!J15</x:v>
      </x:c>
      <x:c r="H76" s="10" t="str">
        <x:v>planning constitution</x:v>
      </x:c>
      <x:c r="I76" s="10" t="str">
        <x:f>IF(F76=E76,"PASS","FAIL")</x:f>
        <x:v>PASS</x:v>
      </x:c>
    </x:row>
    <x:row r="77">
      <x:c r="B77" s="10" t="str">
        <x:v>PL-AUTH</x:v>
      </x:c>
      <x:c r="C77" s="10" t="str">
        <x:v>planning</x:v>
      </x:c>
      <x:c r="D77" s="10" t="str">
        <x:v>authority separation</x:v>
      </x:c>
      <x:c r="E77" s="37" t="n">
        <x:v>1</x:v>
      </x:c>
      <x:c r="F77" s="37" t="n">
        <x:f>IF(COUNTIF('Safety Logic'!P7:P10,"PASS")=ROWS('Safety Logic'!P7:P10),1,0)</x:f>
        <x:v>1</x:v>
      </x:c>
      <x:c r="G77" s="10" t="str">
        <x:v>Safety Logic!P7:P10</x:v>
      </x:c>
      <x:c r="H77" s="10" t="str">
        <x:v>planning constitution</x:v>
      </x:c>
      <x:c r="I77" s="10" t="str">
        <x:f>IF(F77=E77,"PASS","FAIL")</x:f>
        <x:v>PASS</x:v>
      </x:c>
    </x:row>
    <x:row r="78">
      <x:c r="B78" s="10" t="str">
        <x:v>PL-CUSTODY</x:v>
      </x:c>
      <x:c r="C78" s="10" t="str">
        <x:v>planning</x:v>
      </x:c>
      <x:c r="D78" s="10" t="str">
        <x:v>source and evidence custody</x:v>
      </x:c>
      <x:c r="E78" s="37" t="n">
        <x:v>1</x:v>
      </x:c>
      <x:c r="F78" s="37" t="n">
        <x:f>IF(COUNTIF('Recovery Evidence'!N7:N10,"PASS")=ROWS('Recovery Evidence'!N7:N10),1,0)</x:f>
        <x:v>1</x:v>
      </x:c>
      <x:c r="G78" s="10" t="str">
        <x:v>Recovery Evidence!N7:N10</x:v>
      </x:c>
      <x:c r="H78" s="10" t="str">
        <x:v>planning constitution</x:v>
      </x:c>
      <x:c r="I78" s="10" t="str">
        <x:f>IF(F78=E78,"PASS","FAIL")</x:f>
        <x:v>PASS</x:v>
      </x:c>
    </x:row>
    <x:row r="79">
      <x:c r="B79" s="10" t="str">
        <x:v>PH-CELL-1</x:v>
      </x:c>
      <x:c r="C79" s="10" t="str">
        <x:v>physical source</x:v>
      </x:c>
      <x:c r="D79" s="10" t="str">
        <x:v>accepted cell</x:v>
      </x:c>
      <x:c r="E79" s="37" t="n">
        <x:v>1</x:v>
      </x:c>
      <x:c r="F79" s="37" t="n">
        <x:f>IF('Cell Architecture'!O7="PASS",1,0)</x:f>
        <x:v>0</x:v>
      </x:c>
      <x:c r="G79" s="10" t="str">
        <x:v>Cell Architecture!O7</x:v>
      </x:c>
      <x:c r="H79" s="10" t="str">
        <x:v>physical acceptance authority</x:v>
      </x:c>
      <x:c r="I79" s="10" t="str">
        <x:f>IF(F79=0,"OPEN",IF(F79=E79,"PASS","FAIL"))</x:f>
        <x:v>OPEN</x:v>
      </x:c>
    </x:row>
    <x:row r="80">
      <x:c r="B80" s="10" t="str">
        <x:v>PH-CELL-2</x:v>
      </x:c>
      <x:c r="C80" s="10" t="str">
        <x:v>physical source</x:v>
      </x:c>
      <x:c r="D80" s="10" t="str">
        <x:v>accepted cell</x:v>
      </x:c>
      <x:c r="E80" s="37" t="n">
        <x:v>1</x:v>
      </x:c>
      <x:c r="F80" s="37" t="n">
        <x:f>IF('Cell Architecture'!O8="PASS",1,0)</x:f>
        <x:v>0</x:v>
      </x:c>
      <x:c r="G80" s="10" t="str">
        <x:v>Cell Architecture!O8</x:v>
      </x:c>
      <x:c r="H80" s="10" t="str">
        <x:v>physical acceptance authority</x:v>
      </x:c>
      <x:c r="I80" s="10" t="str">
        <x:f>IF(F80=0,"OPEN",IF(F80=E80,"PASS","FAIL"))</x:f>
        <x:v>OPEN</x:v>
      </x:c>
    </x:row>
    <x:row r="81">
      <x:c r="B81" s="10" t="str">
        <x:v>PH-CELL-3</x:v>
      </x:c>
      <x:c r="C81" s="10" t="str">
        <x:v>physical source</x:v>
      </x:c>
      <x:c r="D81" s="10" t="str">
        <x:v>accepted cell</x:v>
      </x:c>
      <x:c r="E81" s="37" t="n">
        <x:v>1</x:v>
      </x:c>
      <x:c r="F81" s="37" t="n">
        <x:f>IF('Cell Architecture'!O9="PASS",1,0)</x:f>
        <x:v>0</x:v>
      </x:c>
      <x:c r="G81" s="10" t="str">
        <x:v>Cell Architecture!O9</x:v>
      </x:c>
      <x:c r="H81" s="10" t="str">
        <x:v>physical acceptance authority</x:v>
      </x:c>
      <x:c r="I81" s="10" t="str">
        <x:f>IF(F81=0,"OPEN",IF(F81=E81,"PASS","FAIL"))</x:f>
        <x:v>OPEN</x:v>
      </x:c>
    </x:row>
    <x:row r="82">
      <x:c r="B82" s="10" t="str">
        <x:v>PH-PROP-01</x:v>
      </x:c>
      <x:c r="C82" s="10" t="str">
        <x:v>physical source</x:v>
      </x:c>
      <x:c r="D82" s="10" t="str">
        <x:v>accepted propagation result</x:v>
      </x:c>
      <x:c r="E82" s="37" t="n">
        <x:v>1</x:v>
      </x:c>
      <x:c r="F82" s="37" t="n">
        <x:f>IF('Propagation'!M7="PASS",1,0)</x:f>
        <x:v>0</x:v>
      </x:c>
      <x:c r="G82" s="10" t="str">
        <x:v>Propagation!M7</x:v>
      </x:c>
      <x:c r="H82" s="10" t="str">
        <x:v>physical acceptance authority</x:v>
      </x:c>
      <x:c r="I82" s="10" t="str">
        <x:f>IF(F82=0,"OPEN",IF(F82=E82,"PASS","FAIL"))</x:f>
        <x:v>OPEN</x:v>
      </x:c>
    </x:row>
    <x:row r="83">
      <x:c r="B83" s="10" t="str">
        <x:v>PH-PROP-02</x:v>
      </x:c>
      <x:c r="C83" s="10" t="str">
        <x:v>physical source</x:v>
      </x:c>
      <x:c r="D83" s="10" t="str">
        <x:v>accepted propagation result</x:v>
      </x:c>
      <x:c r="E83" s="37" t="n">
        <x:v>1</x:v>
      </x:c>
      <x:c r="F83" s="37" t="n">
        <x:f>IF('Propagation'!M8="PASS",1,0)</x:f>
        <x:v>0</x:v>
      </x:c>
      <x:c r="G83" s="10" t="str">
        <x:v>Propagation!M8</x:v>
      </x:c>
      <x:c r="H83" s="10" t="str">
        <x:v>physical acceptance authority</x:v>
      </x:c>
      <x:c r="I83" s="10" t="str">
        <x:f>IF(F83=0,"OPEN",IF(F83=E83,"PASS","FAIL"))</x:f>
        <x:v>OPEN</x:v>
      </x:c>
    </x:row>
    <x:row r="84">
      <x:c r="B84" s="10" t="str">
        <x:v>PH-PROP-03</x:v>
      </x:c>
      <x:c r="C84" s="10" t="str">
        <x:v>physical source</x:v>
      </x:c>
      <x:c r="D84" s="10" t="str">
        <x:v>accepted propagation result</x:v>
      </x:c>
      <x:c r="E84" s="37" t="n">
        <x:v>1</x:v>
      </x:c>
      <x:c r="F84" s="37" t="n">
        <x:f>IF('Propagation'!M9="PASS",1,0)</x:f>
        <x:v>0</x:v>
      </x:c>
      <x:c r="G84" s="10" t="str">
        <x:v>Propagation!M9</x:v>
      </x:c>
      <x:c r="H84" s="10" t="str">
        <x:v>physical acceptance authority</x:v>
      </x:c>
      <x:c r="I84" s="10" t="str">
        <x:f>IF(F84=0,"OPEN",IF(F84=E84,"PASS","FAIL"))</x:f>
        <x:v>OPEN</x:v>
      </x:c>
    </x:row>
    <x:row r="85">
      <x:c r="B85" s="10" t="str">
        <x:v>PH-PROP-04</x:v>
      </x:c>
      <x:c r="C85" s="10" t="str">
        <x:v>physical source</x:v>
      </x:c>
      <x:c r="D85" s="10" t="str">
        <x:v>accepted propagation result</x:v>
      </x:c>
      <x:c r="E85" s="37" t="n">
        <x:v>1</x:v>
      </x:c>
      <x:c r="F85" s="37" t="n">
        <x:f>IF('Propagation'!M10="PASS",1,0)</x:f>
        <x:v>0</x:v>
      </x:c>
      <x:c r="G85" s="10" t="str">
        <x:v>Propagation!M10</x:v>
      </x:c>
      <x:c r="H85" s="10" t="str">
        <x:v>physical acceptance authority</x:v>
      </x:c>
      <x:c r="I85" s="10" t="str">
        <x:f>IF(F85=0,"OPEN",IF(F85=E85,"PASS","FAIL"))</x:f>
        <x:v>OPEN</x:v>
      </x:c>
    </x:row>
    <x:row r="86">
      <x:c r="B86" s="10" t="str">
        <x:v>PH-PROP-05</x:v>
      </x:c>
      <x:c r="C86" s="10" t="str">
        <x:v>physical source</x:v>
      </x:c>
      <x:c r="D86" s="10" t="str">
        <x:v>accepted propagation result</x:v>
      </x:c>
      <x:c r="E86" s="37" t="n">
        <x:v>1</x:v>
      </x:c>
      <x:c r="F86" s="37" t="n">
        <x:f>IF('Propagation'!M11="PASS",1,0)</x:f>
        <x:v>0</x:v>
      </x:c>
      <x:c r="G86" s="10" t="str">
        <x:v>Propagation!M11</x:v>
      </x:c>
      <x:c r="H86" s="10" t="str">
        <x:v>physical acceptance authority</x:v>
      </x:c>
      <x:c r="I86" s="10" t="str">
        <x:f>IF(F86=0,"OPEN",IF(F86=E86,"PASS","FAIL"))</x:f>
        <x:v>OPEN</x:v>
      </x:c>
    </x:row>
    <x:row r="87">
      <x:c r="B87" s="10" t="str">
        <x:v>PH-PROP-06</x:v>
      </x:c>
      <x:c r="C87" s="10" t="str">
        <x:v>physical source</x:v>
      </x:c>
      <x:c r="D87" s="10" t="str">
        <x:v>accepted propagation result</x:v>
      </x:c>
      <x:c r="E87" s="37" t="n">
        <x:v>1</x:v>
      </x:c>
      <x:c r="F87" s="37" t="n">
        <x:f>IF('Propagation'!M12="PASS",1,0)</x:f>
        <x:v>0</x:v>
      </x:c>
      <x:c r="G87" s="10" t="str">
        <x:v>Propagation!M12</x:v>
      </x:c>
      <x:c r="H87" s="10" t="str">
        <x:v>physical acceptance authority</x:v>
      </x:c>
      <x:c r="I87" s="10" t="str">
        <x:f>IF(F87=0,"OPEN",IF(F87=E87,"PASS","FAIL"))</x:f>
        <x:v>OPEN</x:v>
      </x:c>
    </x:row>
    <x:row r="88">
      <x:c r="B88" s="10" t="str">
        <x:v>PH-PROP-07</x:v>
      </x:c>
      <x:c r="C88" s="10" t="str">
        <x:v>physical source</x:v>
      </x:c>
      <x:c r="D88" s="10" t="str">
        <x:v>accepted propagation result</x:v>
      </x:c>
      <x:c r="E88" s="37" t="n">
        <x:v>1</x:v>
      </x:c>
      <x:c r="F88" s="37" t="n">
        <x:f>IF('Propagation'!M13="PASS",1,0)</x:f>
        <x:v>0</x:v>
      </x:c>
      <x:c r="G88" s="10" t="str">
        <x:v>Propagation!M13</x:v>
      </x:c>
      <x:c r="H88" s="10" t="str">
        <x:v>physical acceptance authority</x:v>
      </x:c>
      <x:c r="I88" s="10" t="str">
        <x:f>IF(F88=0,"OPEN",IF(F88=E88,"PASS","FAIL"))</x:f>
        <x:v>OPEN</x:v>
      </x:c>
    </x:row>
    <x:row r="89">
      <x:c r="B89" s="10" t="str">
        <x:v>PH-PROP-08</x:v>
      </x:c>
      <x:c r="C89" s="10" t="str">
        <x:v>physical source</x:v>
      </x:c>
      <x:c r="D89" s="10" t="str">
        <x:v>accepted propagation result</x:v>
      </x:c>
      <x:c r="E89" s="37" t="n">
        <x:v>1</x:v>
      </x:c>
      <x:c r="F89" s="37" t="n">
        <x:f>IF('Propagation'!M14="PASS",1,0)</x:f>
        <x:v>0</x:v>
      </x:c>
      <x:c r="G89" s="10" t="str">
        <x:v>Propagation!M14</x:v>
      </x:c>
      <x:c r="H89" s="10" t="str">
        <x:v>physical acceptance authority</x:v>
      </x:c>
      <x:c r="I89" s="10" t="str">
        <x:f>IF(F89=0,"OPEN",IF(F89=E89,"PASS","FAIL"))</x:f>
        <x:v>OPEN</x:v>
      </x:c>
    </x:row>
    <x:row r="90">
      <x:c r="B90" s="10" t="str">
        <x:v>PH-PROP-09</x:v>
      </x:c>
      <x:c r="C90" s="10" t="str">
        <x:v>physical source</x:v>
      </x:c>
      <x:c r="D90" s="10" t="str">
        <x:v>accepted propagation result</x:v>
      </x:c>
      <x:c r="E90" s="37" t="n">
        <x:v>1</x:v>
      </x:c>
      <x:c r="F90" s="37" t="n">
        <x:f>IF('Propagation'!M15="PASS",1,0)</x:f>
        <x:v>0</x:v>
      </x:c>
      <x:c r="G90" s="10" t="str">
        <x:v>Propagation!M15</x:v>
      </x:c>
      <x:c r="H90" s="10" t="str">
        <x:v>physical acceptance authority</x:v>
      </x:c>
      <x:c r="I90" s="10" t="str">
        <x:f>IF(F90=0,"OPEN",IF(F90=E90,"PASS","FAIL"))</x:f>
        <x:v>OPEN</x:v>
      </x:c>
    </x:row>
    <x:row r="91">
      <x:c r="B91" s="10" t="str">
        <x:v>PH-PROP-10</x:v>
      </x:c>
      <x:c r="C91" s="10" t="str">
        <x:v>physical source</x:v>
      </x:c>
      <x:c r="D91" s="10" t="str">
        <x:v>accepted propagation result</x:v>
      </x:c>
      <x:c r="E91" s="37" t="n">
        <x:v>1</x:v>
      </x:c>
      <x:c r="F91" s="37" t="n">
        <x:f>IF('Propagation'!M16="PASS",1,0)</x:f>
        <x:v>0</x:v>
      </x:c>
      <x:c r="G91" s="10" t="str">
        <x:v>Propagation!M16</x:v>
      </x:c>
      <x:c r="H91" s="10" t="str">
        <x:v>physical acceptance authority</x:v>
      </x:c>
      <x:c r="I91" s="10" t="str">
        <x:f>IF(F91=0,"OPEN",IF(F91=E91,"PASS","FAIL"))</x:f>
        <x:v>OPEN</x:v>
      </x:c>
    </x:row>
    <x:row r="92">
      <x:c r="B92" s="10" t="str">
        <x:v>PH-PROP-11</x:v>
      </x:c>
      <x:c r="C92" s="10" t="str">
        <x:v>physical source</x:v>
      </x:c>
      <x:c r="D92" s="10" t="str">
        <x:v>accepted propagation result</x:v>
      </x:c>
      <x:c r="E92" s="37" t="n">
        <x:v>1</x:v>
      </x:c>
      <x:c r="F92" s="37" t="n">
        <x:f>IF('Propagation'!M17="PASS",1,0)</x:f>
        <x:v>0</x:v>
      </x:c>
      <x:c r="G92" s="10" t="str">
        <x:v>Propagation!M17</x:v>
      </x:c>
      <x:c r="H92" s="10" t="str">
        <x:v>physical acceptance authority</x:v>
      </x:c>
      <x:c r="I92" s="10" t="str">
        <x:f>IF(F92=0,"OPEN",IF(F92=E92,"PASS","FAIL"))</x:f>
        <x:v>OPEN</x:v>
      </x:c>
    </x:row>
    <x:row r="93">
      <x:c r="B93" s="10" t="str">
        <x:v>PH-PROP-12</x:v>
      </x:c>
      <x:c r="C93" s="10" t="str">
        <x:v>physical source</x:v>
      </x:c>
      <x:c r="D93" s="10" t="str">
        <x:v>accepted propagation result</x:v>
      </x:c>
      <x:c r="E93" s="37" t="n">
        <x:v>1</x:v>
      </x:c>
      <x:c r="F93" s="37" t="n">
        <x:f>IF('Propagation'!M18="PASS",1,0)</x:f>
        <x:v>0</x:v>
      </x:c>
      <x:c r="G93" s="10" t="str">
        <x:v>Propagation!M18</x:v>
      </x:c>
      <x:c r="H93" s="10" t="str">
        <x:v>physical acceptance authority</x:v>
      </x:c>
      <x:c r="I93" s="10" t="str">
        <x:f>IF(F93=0,"OPEN",IF(F93=E93,"PASS","FAIL"))</x:f>
        <x:v>OPEN</x:v>
      </x:c>
    </x:row>
    <x:row r="94">
      <x:c r="B94" s="10" t="str">
        <x:v>PH-PROP-13</x:v>
      </x:c>
      <x:c r="C94" s="10" t="str">
        <x:v>physical source</x:v>
      </x:c>
      <x:c r="D94" s="10" t="str">
        <x:v>accepted propagation result</x:v>
      </x:c>
      <x:c r="E94" s="37" t="n">
        <x:v>1</x:v>
      </x:c>
      <x:c r="F94" s="37" t="n">
        <x:f>IF('Propagation'!M19="PASS",1,0)</x:f>
        <x:v>0</x:v>
      </x:c>
      <x:c r="G94" s="10" t="str">
        <x:v>Propagation!M19</x:v>
      </x:c>
      <x:c r="H94" s="10" t="str">
        <x:v>physical acceptance authority</x:v>
      </x:c>
      <x:c r="I94" s="10" t="str">
        <x:f>IF(F94=0,"OPEN",IF(F94=E94,"PASS","FAIL"))</x:f>
        <x:v>OPEN</x:v>
      </x:c>
    </x:row>
    <x:row r="95">
      <x:c r="B95" s="10" t="str">
        <x:v>PH-PROP-14</x:v>
      </x:c>
      <x:c r="C95" s="10" t="str">
        <x:v>physical source</x:v>
      </x:c>
      <x:c r="D95" s="10" t="str">
        <x:v>accepted propagation result</x:v>
      </x:c>
      <x:c r="E95" s="37" t="n">
        <x:v>1</x:v>
      </x:c>
      <x:c r="F95" s="37" t="n">
        <x:f>IF('Propagation'!M20="PASS",1,0)</x:f>
        <x:v>0</x:v>
      </x:c>
      <x:c r="G95" s="10" t="str">
        <x:v>Propagation!M20</x:v>
      </x:c>
      <x:c r="H95" s="10" t="str">
        <x:v>physical acceptance authority</x:v>
      </x:c>
      <x:c r="I95" s="10" t="str">
        <x:f>IF(F95=0,"OPEN",IF(F95=E95,"PASS","FAIL"))</x:f>
        <x:v>OPEN</x:v>
      </x:c>
    </x:row>
    <x:row r="96">
      <x:c r="B96" s="10" t="str">
        <x:v>PH-PROP-15</x:v>
      </x:c>
      <x:c r="C96" s="10" t="str">
        <x:v>physical source</x:v>
      </x:c>
      <x:c r="D96" s="10" t="str">
        <x:v>accepted propagation result</x:v>
      </x:c>
      <x:c r="E96" s="37" t="n">
        <x:v>1</x:v>
      </x:c>
      <x:c r="F96" s="37" t="n">
        <x:f>IF('Propagation'!M21="PASS",1,0)</x:f>
        <x:v>0</x:v>
      </x:c>
      <x:c r="G96" s="10" t="str">
        <x:v>Propagation!M21</x:v>
      </x:c>
      <x:c r="H96" s="10" t="str">
        <x:v>physical acceptance authority</x:v>
      </x:c>
      <x:c r="I96" s="10" t="str">
        <x:f>IF(F96=0,"OPEN",IF(F96=E96,"PASS","FAIL"))</x:f>
        <x:v>OPEN</x:v>
      </x:c>
    </x:row>
    <x:row r="97">
      <x:c r="B97" s="10" t="str">
        <x:v>PH-PROP-16</x:v>
      </x:c>
      <x:c r="C97" s="10" t="str">
        <x:v>physical source</x:v>
      </x:c>
      <x:c r="D97" s="10" t="str">
        <x:v>accepted propagation result</x:v>
      </x:c>
      <x:c r="E97" s="37" t="n">
        <x:v>1</x:v>
      </x:c>
      <x:c r="F97" s="37" t="n">
        <x:f>IF('Propagation'!M22="PASS",1,0)</x:f>
        <x:v>0</x:v>
      </x:c>
      <x:c r="G97" s="10" t="str">
        <x:v>Propagation!M22</x:v>
      </x:c>
      <x:c r="H97" s="10" t="str">
        <x:v>physical acceptance authority</x:v>
      </x:c>
      <x:c r="I97" s="10" t="str">
        <x:f>IF(F97=0,"OPEN",IF(F97=E97,"PASS","FAIL"))</x:f>
        <x:v>OPEN</x:v>
      </x:c>
    </x:row>
    <x:row r="98">
      <x:c r="B98" s="10" t="str">
        <x:v>PH-PROP-17</x:v>
      </x:c>
      <x:c r="C98" s="10" t="str">
        <x:v>physical source</x:v>
      </x:c>
      <x:c r="D98" s="10" t="str">
        <x:v>accepted propagation result</x:v>
      </x:c>
      <x:c r="E98" s="37" t="n">
        <x:v>1</x:v>
      </x:c>
      <x:c r="F98" s="37" t="n">
        <x:f>IF('Propagation'!M23="PASS",1,0)</x:f>
        <x:v>0</x:v>
      </x:c>
      <x:c r="G98" s="10" t="str">
        <x:v>Propagation!M23</x:v>
      </x:c>
      <x:c r="H98" s="10" t="str">
        <x:v>physical acceptance authority</x:v>
      </x:c>
      <x:c r="I98" s="10" t="str">
        <x:f>IF(F98=0,"OPEN",IF(F98=E98,"PASS","FAIL"))</x:f>
        <x:v>OPEN</x:v>
      </x:c>
    </x:row>
    <x:row r="99">
      <x:c r="B99" s="10" t="str">
        <x:v>PH-PROP-18</x:v>
      </x:c>
      <x:c r="C99" s="10" t="str">
        <x:v>physical source</x:v>
      </x:c>
      <x:c r="D99" s="10" t="str">
        <x:v>accepted propagation result</x:v>
      </x:c>
      <x:c r="E99" s="37" t="n">
        <x:v>1</x:v>
      </x:c>
      <x:c r="F99" s="37" t="n">
        <x:f>IF('Propagation'!M24="PASS",1,0)</x:f>
        <x:v>0</x:v>
      </x:c>
      <x:c r="G99" s="10" t="str">
        <x:v>Propagation!M24</x:v>
      </x:c>
      <x:c r="H99" s="10" t="str">
        <x:v>physical acceptance authority</x:v>
      </x:c>
      <x:c r="I99" s="10" t="str">
        <x:f>IF(F99=0,"OPEN",IF(F99=E99,"PASS","FAIL"))</x:f>
        <x:v>OPEN</x:v>
      </x:c>
    </x:row>
    <x:row r="100">
      <x:c r="B100" s="10" t="str">
        <x:v>PH-PROP-19</x:v>
      </x:c>
      <x:c r="C100" s="10" t="str">
        <x:v>physical source</x:v>
      </x:c>
      <x:c r="D100" s="10" t="str">
        <x:v>accepted propagation result</x:v>
      </x:c>
      <x:c r="E100" s="37" t="n">
        <x:v>1</x:v>
      </x:c>
      <x:c r="F100" s="37" t="n">
        <x:f>IF('Propagation'!M25="PASS",1,0)</x:f>
        <x:v>0</x:v>
      </x:c>
      <x:c r="G100" s="10" t="str">
        <x:v>Propagation!M25</x:v>
      </x:c>
      <x:c r="H100" s="10" t="str">
        <x:v>physical acceptance authority</x:v>
      </x:c>
      <x:c r="I100" s="10" t="str">
        <x:f>IF(F100=0,"OPEN",IF(F100=E100,"PASS","FAIL"))</x:f>
        <x:v>OPEN</x:v>
      </x:c>
    </x:row>
    <x:row r="101">
      <x:c r="B101" s="10" t="str">
        <x:v>PH-PROP-20</x:v>
      </x:c>
      <x:c r="C101" s="10" t="str">
        <x:v>physical source</x:v>
      </x:c>
      <x:c r="D101" s="10" t="str">
        <x:v>accepted propagation result</x:v>
      </x:c>
      <x:c r="E101" s="37" t="n">
        <x:v>1</x:v>
      </x:c>
      <x:c r="F101" s="37" t="n">
        <x:f>IF('Propagation'!M26="PASS",1,0)</x:f>
        <x:v>0</x:v>
      </x:c>
      <x:c r="G101" s="10" t="str">
        <x:v>Propagation!M26</x:v>
      </x:c>
      <x:c r="H101" s="10" t="str">
        <x:v>physical acceptance authority</x:v>
      </x:c>
      <x:c r="I101" s="10" t="str">
        <x:f>IF(F101=0,"OPEN",IF(F101=E101,"PASS","FAIL"))</x:f>
        <x:v>OPEN</x:v>
      </x:c>
    </x:row>
    <x:row r="102">
      <x:c r="B102" s="10" t="str">
        <x:v>PH-PROP-21</x:v>
      </x:c>
      <x:c r="C102" s="10" t="str">
        <x:v>physical source</x:v>
      </x:c>
      <x:c r="D102" s="10" t="str">
        <x:v>accepted propagation result</x:v>
      </x:c>
      <x:c r="E102" s="37" t="n">
        <x:v>1</x:v>
      </x:c>
      <x:c r="F102" s="37" t="n">
        <x:f>IF('Propagation'!M27="PASS",1,0)</x:f>
        <x:v>0</x:v>
      </x:c>
      <x:c r="G102" s="10" t="str">
        <x:v>Propagation!M27</x:v>
      </x:c>
      <x:c r="H102" s="10" t="str">
        <x:v>physical acceptance authority</x:v>
      </x:c>
      <x:c r="I102" s="10" t="str">
        <x:f>IF(F102=0,"OPEN",IF(F102=E102,"PASS","FAIL"))</x:f>
        <x:v>OPEN</x:v>
      </x:c>
    </x:row>
    <x:row r="103">
      <x:c r="B103" s="10" t="str">
        <x:v>PH-PROP-22</x:v>
      </x:c>
      <x:c r="C103" s="10" t="str">
        <x:v>physical source</x:v>
      </x:c>
      <x:c r="D103" s="10" t="str">
        <x:v>accepted propagation result</x:v>
      </x:c>
      <x:c r="E103" s="37" t="n">
        <x:v>1</x:v>
      </x:c>
      <x:c r="F103" s="37" t="n">
        <x:f>IF('Propagation'!M28="PASS",1,0)</x:f>
        <x:v>0</x:v>
      </x:c>
      <x:c r="G103" s="10" t="str">
        <x:v>Propagation!M28</x:v>
      </x:c>
      <x:c r="H103" s="10" t="str">
        <x:v>physical acceptance authority</x:v>
      </x:c>
      <x:c r="I103" s="10" t="str">
        <x:f>IF(F103=0,"OPEN",IF(F103=E103,"PASS","FAIL"))</x:f>
        <x:v>OPEN</x:v>
      </x:c>
    </x:row>
    <x:row r="104">
      <x:c r="B104" s="10" t="str">
        <x:v>PH-PROP-23</x:v>
      </x:c>
      <x:c r="C104" s="10" t="str">
        <x:v>physical source</x:v>
      </x:c>
      <x:c r="D104" s="10" t="str">
        <x:v>accepted propagation result</x:v>
      </x:c>
      <x:c r="E104" s="37" t="n">
        <x:v>1</x:v>
      </x:c>
      <x:c r="F104" s="37" t="n">
        <x:f>IF('Propagation'!M29="PASS",1,0)</x:f>
        <x:v>0</x:v>
      </x:c>
      <x:c r="G104" s="10" t="str">
        <x:v>Propagation!M29</x:v>
      </x:c>
      <x:c r="H104" s="10" t="str">
        <x:v>physical acceptance authority</x:v>
      </x:c>
      <x:c r="I104" s="10" t="str">
        <x:f>IF(F104=0,"OPEN",IF(F104=E104,"PASS","FAIL"))</x:f>
        <x:v>OPEN</x:v>
      </x:c>
    </x:row>
    <x:row r="105">
      <x:c r="B105" s="10" t="str">
        <x:v>PH-PROP-24</x:v>
      </x:c>
      <x:c r="C105" s="10" t="str">
        <x:v>physical source</x:v>
      </x:c>
      <x:c r="D105" s="10" t="str">
        <x:v>accepted propagation result</x:v>
      </x:c>
      <x:c r="E105" s="37" t="n">
        <x:v>1</x:v>
      </x:c>
      <x:c r="F105" s="37" t="n">
        <x:f>IF('Propagation'!M30="PASS",1,0)</x:f>
        <x:v>0</x:v>
      </x:c>
      <x:c r="G105" s="10" t="str">
        <x:v>Propagation!M30</x:v>
      </x:c>
      <x:c r="H105" s="10" t="str">
        <x:v>physical acceptance authority</x:v>
      </x:c>
      <x:c r="I105" s="10" t="str">
        <x:f>IF(F105=0,"OPEN",IF(F105=E105,"PASS","FAIL"))</x:f>
        <x:v>OPEN</x:v>
      </x:c>
    </x:row>
    <x:row r="106">
      <x:c r="B106" s="10" t="str">
        <x:v>PH-TRIAL-MCR-F-B-A-W01</x:v>
      </x:c>
      <x:c r="C106" s="10" t="str">
        <x:v>physical source</x:v>
      </x:c>
      <x:c r="D106" s="10" t="str">
        <x:v>accepted hazard event</x:v>
      </x:c>
      <x:c r="E106" s="37" t="n">
        <x:v>1</x:v>
      </x:c>
      <x:c r="F106" s="37" t="n">
        <x:f>IF('Trial Register'!R7="PASS",1,0)</x:f>
        <x:v>0</x:v>
      </x:c>
      <x:c r="G106" s="10" t="str">
        <x:v>Trial Register!R7</x:v>
      </x:c>
      <x:c r="H106" s="10" t="str">
        <x:v>physical acceptance authority</x:v>
      </x:c>
      <x:c r="I106" s="10" t="str">
        <x:f>IF(F106=0,"OPEN",IF(F106=E106,"PASS","FAIL"))</x:f>
        <x:v>OPEN</x:v>
      </x:c>
    </x:row>
    <x:row r="107">
      <x:c r="B107" s="10" t="str">
        <x:v>PH-TRIAL-MCR-F-B-A-W02</x:v>
      </x:c>
      <x:c r="C107" s="10" t="str">
        <x:v>physical source</x:v>
      </x:c>
      <x:c r="D107" s="10" t="str">
        <x:v>accepted hazard event</x:v>
      </x:c>
      <x:c r="E107" s="37" t="n">
        <x:v>1</x:v>
      </x:c>
      <x:c r="F107" s="37" t="n">
        <x:f>IF('Trial Register'!R8="PASS",1,0)</x:f>
        <x:v>0</x:v>
      </x:c>
      <x:c r="G107" s="10" t="str">
        <x:v>Trial Register!R8</x:v>
      </x:c>
      <x:c r="H107" s="10" t="str">
        <x:v>physical acceptance authority</x:v>
      </x:c>
      <x:c r="I107" s="10" t="str">
        <x:f>IF(F107=0,"OPEN",IF(F107=E107,"PASS","FAIL"))</x:f>
        <x:v>OPEN</x:v>
      </x:c>
    </x:row>
    <x:row r="108">
      <x:c r="B108" s="10" t="str">
        <x:v>PH-TRIAL-MCR-F-B-A-W03</x:v>
      </x:c>
      <x:c r="C108" s="10" t="str">
        <x:v>physical source</x:v>
      </x:c>
      <x:c r="D108" s="10" t="str">
        <x:v>accepted hazard event</x:v>
      </x:c>
      <x:c r="E108" s="37" t="n">
        <x:v>1</x:v>
      </x:c>
      <x:c r="F108" s="37" t="n">
        <x:f>IF('Trial Register'!R9="PASS",1,0)</x:f>
        <x:v>0</x:v>
      </x:c>
      <x:c r="G108" s="10" t="str">
        <x:v>Trial Register!R9</x:v>
      </x:c>
      <x:c r="H108" s="10" t="str">
        <x:v>physical acceptance authority</x:v>
      </x:c>
      <x:c r="I108" s="10" t="str">
        <x:f>IF(F108=0,"OPEN",IF(F108=E108,"PASS","FAIL"))</x:f>
        <x:v>OPEN</x:v>
      </x:c>
    </x:row>
    <x:row r="109">
      <x:c r="B109" s="10" t="str">
        <x:v>PH-TRIAL-MCR-F-B-A-W04</x:v>
      </x:c>
      <x:c r="C109" s="10" t="str">
        <x:v>physical source</x:v>
      </x:c>
      <x:c r="D109" s="10" t="str">
        <x:v>accepted hazard event</x:v>
      </x:c>
      <x:c r="E109" s="37" t="n">
        <x:v>1</x:v>
      </x:c>
      <x:c r="F109" s="37" t="n">
        <x:f>IF('Trial Register'!R10="PASS",1,0)</x:f>
        <x:v>0</x:v>
      </x:c>
      <x:c r="G109" s="10" t="str">
        <x:v>Trial Register!R10</x:v>
      </x:c>
      <x:c r="H109" s="10" t="str">
        <x:v>physical acceptance authority</x:v>
      </x:c>
      <x:c r="I109" s="10" t="str">
        <x:f>IF(F109=0,"OPEN",IF(F109=E109,"PASS","FAIL"))</x:f>
        <x:v>OPEN</x:v>
      </x:c>
    </x:row>
    <x:row r="110">
      <x:c r="B110" s="10" t="str">
        <x:v>PH-TRIAL-MCR-F-B-A-W05</x:v>
      </x:c>
      <x:c r="C110" s="10" t="str">
        <x:v>physical source</x:v>
      </x:c>
      <x:c r="D110" s="10" t="str">
        <x:v>accepted hazard event</x:v>
      </x:c>
      <x:c r="E110" s="37" t="n">
        <x:v>1</x:v>
      </x:c>
      <x:c r="F110" s="37" t="n">
        <x:f>IF('Trial Register'!R11="PASS",1,0)</x:f>
        <x:v>0</x:v>
      </x:c>
      <x:c r="G110" s="10" t="str">
        <x:v>Trial Register!R11</x:v>
      </x:c>
      <x:c r="H110" s="10" t="str">
        <x:v>physical acceptance authority</x:v>
      </x:c>
      <x:c r="I110" s="10" t="str">
        <x:f>IF(F110=0,"OPEN",IF(F110=E110,"PASS","FAIL"))</x:f>
        <x:v>OPEN</x:v>
      </x:c>
    </x:row>
    <x:row r="111">
      <x:c r="B111" s="10" t="str">
        <x:v>PH-TRIAL-MCR-F-B-A-W06</x:v>
      </x:c>
      <x:c r="C111" s="10" t="str">
        <x:v>physical source</x:v>
      </x:c>
      <x:c r="D111" s="10" t="str">
        <x:v>accepted hazard event</x:v>
      </x:c>
      <x:c r="E111" s="37" t="n">
        <x:v>1</x:v>
      </x:c>
      <x:c r="F111" s="37" t="n">
        <x:f>IF('Trial Register'!R12="PASS",1,0)</x:f>
        <x:v>0</x:v>
      </x:c>
      <x:c r="G111" s="10" t="str">
        <x:v>Trial Register!R12</x:v>
      </x:c>
      <x:c r="H111" s="10" t="str">
        <x:v>physical acceptance authority</x:v>
      </x:c>
      <x:c r="I111" s="10" t="str">
        <x:f>IF(F111=0,"OPEN",IF(F111=E111,"PASS","FAIL"))</x:f>
        <x:v>OPEN</x:v>
      </x:c>
    </x:row>
    <x:row r="112">
      <x:c r="B112" s="10" t="str">
        <x:v>PH-TRIAL-MCR-F-B-A-W07</x:v>
      </x:c>
      <x:c r="C112" s="10" t="str">
        <x:v>physical source</x:v>
      </x:c>
      <x:c r="D112" s="10" t="str">
        <x:v>accepted hazard event</x:v>
      </x:c>
      <x:c r="E112" s="37" t="n">
        <x:v>1</x:v>
      </x:c>
      <x:c r="F112" s="37" t="n">
        <x:f>IF('Trial Register'!R13="PASS",1,0)</x:f>
        <x:v>0</x:v>
      </x:c>
      <x:c r="G112" s="10" t="str">
        <x:v>Trial Register!R13</x:v>
      </x:c>
      <x:c r="H112" s="10" t="str">
        <x:v>physical acceptance authority</x:v>
      </x:c>
      <x:c r="I112" s="10" t="str">
        <x:f>IF(F112=0,"OPEN",IF(F112=E112,"PASS","FAIL"))</x:f>
        <x:v>OPEN</x:v>
      </x:c>
    </x:row>
    <x:row r="113">
      <x:c r="B113" s="10" t="str">
        <x:v>PH-TRIAL-MCR-F-B-A-W08</x:v>
      </x:c>
      <x:c r="C113" s="10" t="str">
        <x:v>physical source</x:v>
      </x:c>
      <x:c r="D113" s="10" t="str">
        <x:v>accepted hazard event</x:v>
      </x:c>
      <x:c r="E113" s="37" t="n">
        <x:v>1</x:v>
      </x:c>
      <x:c r="F113" s="37" t="n">
        <x:f>IF('Trial Register'!R14="PASS",1,0)</x:f>
        <x:v>0</x:v>
      </x:c>
      <x:c r="G113" s="10" t="str">
        <x:v>Trial Register!R14</x:v>
      </x:c>
      <x:c r="H113" s="10" t="str">
        <x:v>physical acceptance authority</x:v>
      </x:c>
      <x:c r="I113" s="10" t="str">
        <x:f>IF(F113=0,"OPEN",IF(F113=E113,"PASS","FAIL"))</x:f>
        <x:v>OPEN</x:v>
      </x:c>
    </x:row>
    <x:row r="114">
      <x:c r="B114" s="10" t="str">
        <x:v>PH-TRIAL-MCR-F-B-A-W09</x:v>
      </x:c>
      <x:c r="C114" s="10" t="str">
        <x:v>physical source</x:v>
      </x:c>
      <x:c r="D114" s="10" t="str">
        <x:v>accepted hazard event</x:v>
      </x:c>
      <x:c r="E114" s="37" t="n">
        <x:v>1</x:v>
      </x:c>
      <x:c r="F114" s="37" t="n">
        <x:f>IF('Trial Register'!R15="PASS",1,0)</x:f>
        <x:v>0</x:v>
      </x:c>
      <x:c r="G114" s="10" t="str">
        <x:v>Trial Register!R15</x:v>
      </x:c>
      <x:c r="H114" s="10" t="str">
        <x:v>physical acceptance authority</x:v>
      </x:c>
      <x:c r="I114" s="10" t="str">
        <x:f>IF(F114=0,"OPEN",IF(F114=E114,"PASS","FAIL"))</x:f>
        <x:v>OPEN</x:v>
      </x:c>
    </x:row>
    <x:row r="115">
      <x:c r="B115" s="10" t="str">
        <x:v>PH-TRIAL-MCR-F-B-A-W10</x:v>
      </x:c>
      <x:c r="C115" s="10" t="str">
        <x:v>physical source</x:v>
      </x:c>
      <x:c r="D115" s="10" t="str">
        <x:v>accepted hazard event</x:v>
      </x:c>
      <x:c r="E115" s="37" t="n">
        <x:v>1</x:v>
      </x:c>
      <x:c r="F115" s="37" t="n">
        <x:f>IF('Trial Register'!R16="PASS",1,0)</x:f>
        <x:v>0</x:v>
      </x:c>
      <x:c r="G115" s="10" t="str">
        <x:v>Trial Register!R16</x:v>
      </x:c>
      <x:c r="H115" s="10" t="str">
        <x:v>physical acceptance authority</x:v>
      </x:c>
      <x:c r="I115" s="10" t="str">
        <x:f>IF(F115=0,"OPEN",IF(F115=E115,"PASS","FAIL"))</x:f>
        <x:v>OPEN</x:v>
      </x:c>
    </x:row>
    <x:row r="116">
      <x:c r="B116" s="10" t="str">
        <x:v>PH-TRIAL-MCR-F-B-A-W11</x:v>
      </x:c>
      <x:c r="C116" s="10" t="str">
        <x:v>physical source</x:v>
      </x:c>
      <x:c r="D116" s="10" t="str">
        <x:v>accepted hazard event</x:v>
      </x:c>
      <x:c r="E116" s="37" t="n">
        <x:v>1</x:v>
      </x:c>
      <x:c r="F116" s="37" t="n">
        <x:f>IF('Trial Register'!R17="PASS",1,0)</x:f>
        <x:v>0</x:v>
      </x:c>
      <x:c r="G116" s="10" t="str">
        <x:v>Trial Register!R17</x:v>
      </x:c>
      <x:c r="H116" s="10" t="str">
        <x:v>physical acceptance authority</x:v>
      </x:c>
      <x:c r="I116" s="10" t="str">
        <x:f>IF(F116=0,"OPEN",IF(F116=E116,"PASS","FAIL"))</x:f>
        <x:v>OPEN</x:v>
      </x:c>
    </x:row>
    <x:row r="117">
      <x:c r="B117" s="10" t="str">
        <x:v>PH-TRIAL-MCR-F-B-A-W12</x:v>
      </x:c>
      <x:c r="C117" s="10" t="str">
        <x:v>physical source</x:v>
      </x:c>
      <x:c r="D117" s="10" t="str">
        <x:v>accepted hazard event</x:v>
      </x:c>
      <x:c r="E117" s="37" t="n">
        <x:v>1</x:v>
      </x:c>
      <x:c r="F117" s="37" t="n">
        <x:f>IF('Trial Register'!R18="PASS",1,0)</x:f>
        <x:v>0</x:v>
      </x:c>
      <x:c r="G117" s="10" t="str">
        <x:v>Trial Register!R18</x:v>
      </x:c>
      <x:c r="H117" s="10" t="str">
        <x:v>physical acceptance authority</x:v>
      </x:c>
      <x:c r="I117" s="10" t="str">
        <x:f>IF(F117=0,"OPEN",IF(F117=E117,"PASS","FAIL"))</x:f>
        <x:v>OPEN</x:v>
      </x:c>
    </x:row>
    <x:row r="118">
      <x:c r="B118" s="10" t="str">
        <x:v>PH-TRIAL-MCR-C-B-A-W02</x:v>
      </x:c>
      <x:c r="C118" s="10" t="str">
        <x:v>physical source</x:v>
      </x:c>
      <x:c r="D118" s="10" t="str">
        <x:v>accepted hazard event</x:v>
      </x:c>
      <x:c r="E118" s="37" t="n">
        <x:v>1</x:v>
      </x:c>
      <x:c r="F118" s="37" t="n">
        <x:f>IF('Trial Register'!R19="PASS",1,0)</x:f>
        <x:v>0</x:v>
      </x:c>
      <x:c r="G118" s="10" t="str">
        <x:v>Trial Register!R19</x:v>
      </x:c>
      <x:c r="H118" s="10" t="str">
        <x:v>physical acceptance authority</x:v>
      </x:c>
      <x:c r="I118" s="10" t="str">
        <x:f>IF(F118=0,"OPEN",IF(F118=E118,"PASS","FAIL"))</x:f>
        <x:v>OPEN</x:v>
      </x:c>
    </x:row>
    <x:row r="119">
      <x:c r="B119" s="10" t="str">
        <x:v>PH-TRIAL-MCR-C-B-A-W03</x:v>
      </x:c>
      <x:c r="C119" s="10" t="str">
        <x:v>physical source</x:v>
      </x:c>
      <x:c r="D119" s="10" t="str">
        <x:v>accepted hazard event</x:v>
      </x:c>
      <x:c r="E119" s="37" t="n">
        <x:v>1</x:v>
      </x:c>
      <x:c r="F119" s="37" t="n">
        <x:f>IF('Trial Register'!R20="PASS",1,0)</x:f>
        <x:v>0</x:v>
      </x:c>
      <x:c r="G119" s="10" t="str">
        <x:v>Trial Register!R20</x:v>
      </x:c>
      <x:c r="H119" s="10" t="str">
        <x:v>physical acceptance authority</x:v>
      </x:c>
      <x:c r="I119" s="10" t="str">
        <x:f>IF(F119=0,"OPEN",IF(F119=E119,"PASS","FAIL"))</x:f>
        <x:v>OPEN</x:v>
      </x:c>
    </x:row>
    <x:row r="120">
      <x:c r="B120" s="10" t="str">
        <x:v>PH-TRIAL-MCR-C-B-A-W06</x:v>
      </x:c>
      <x:c r="C120" s="10" t="str">
        <x:v>physical source</x:v>
      </x:c>
      <x:c r="D120" s="10" t="str">
        <x:v>accepted hazard event</x:v>
      </x:c>
      <x:c r="E120" s="37" t="n">
        <x:v>1</x:v>
      </x:c>
      <x:c r="F120" s="37" t="n">
        <x:f>IF('Trial Register'!R21="PASS",1,0)</x:f>
        <x:v>0</x:v>
      </x:c>
      <x:c r="G120" s="10" t="str">
        <x:v>Trial Register!R21</x:v>
      </x:c>
      <x:c r="H120" s="10" t="str">
        <x:v>physical acceptance authority</x:v>
      </x:c>
      <x:c r="I120" s="10" t="str">
        <x:f>IF(F120=0,"OPEN",IF(F120=E120,"PASS","FAIL"))</x:f>
        <x:v>OPEN</x:v>
      </x:c>
    </x:row>
    <x:row r="121">
      <x:c r="B121" s="10" t="str">
        <x:v>PH-TRIAL-MCR-C-B-A-W07</x:v>
      </x:c>
      <x:c r="C121" s="10" t="str">
        <x:v>physical source</x:v>
      </x:c>
      <x:c r="D121" s="10" t="str">
        <x:v>accepted hazard event</x:v>
      </x:c>
      <x:c r="E121" s="37" t="n">
        <x:v>1</x:v>
      </x:c>
      <x:c r="F121" s="37" t="n">
        <x:f>IF('Trial Register'!R22="PASS",1,0)</x:f>
        <x:v>0</x:v>
      </x:c>
      <x:c r="G121" s="10" t="str">
        <x:v>Trial Register!R22</x:v>
      </x:c>
      <x:c r="H121" s="10" t="str">
        <x:v>physical acceptance authority</x:v>
      </x:c>
      <x:c r="I121" s="10" t="str">
        <x:f>IF(F121=0,"OPEN",IF(F121=E121,"PASS","FAIL"))</x:f>
        <x:v>OPEN</x:v>
      </x:c>
    </x:row>
    <x:row r="122">
      <x:c r="B122" s="10" t="str">
        <x:v>PH-TRIAL-MCR-C-B-A-W08</x:v>
      </x:c>
      <x:c r="C122" s="10" t="str">
        <x:v>physical source</x:v>
      </x:c>
      <x:c r="D122" s="10" t="str">
        <x:v>accepted hazard event</x:v>
      </x:c>
      <x:c r="E122" s="37" t="n">
        <x:v>1</x:v>
      </x:c>
      <x:c r="F122" s="37" t="n">
        <x:f>IF('Trial Register'!R23="PASS",1,0)</x:f>
        <x:v>0</x:v>
      </x:c>
      <x:c r="G122" s="10" t="str">
        <x:v>Trial Register!R23</x:v>
      </x:c>
      <x:c r="H122" s="10" t="str">
        <x:v>physical acceptance authority</x:v>
      </x:c>
      <x:c r="I122" s="10" t="str">
        <x:f>IF(F122=0,"OPEN",IF(F122=E122,"PASS","FAIL"))</x:f>
        <x:v>OPEN</x:v>
      </x:c>
    </x:row>
    <x:row r="123">
      <x:c r="B123" s="10" t="str">
        <x:v>PH-TRIAL-MCR-C-B-A-W09</x:v>
      </x:c>
      <x:c r="C123" s="10" t="str">
        <x:v>physical source</x:v>
      </x:c>
      <x:c r="D123" s="10" t="str">
        <x:v>accepted hazard event</x:v>
      </x:c>
      <x:c r="E123" s="37" t="n">
        <x:v>1</x:v>
      </x:c>
      <x:c r="F123" s="37" t="n">
        <x:f>IF('Trial Register'!R24="PASS",1,0)</x:f>
        <x:v>0</x:v>
      </x:c>
      <x:c r="G123" s="10" t="str">
        <x:v>Trial Register!R24</x:v>
      </x:c>
      <x:c r="H123" s="10" t="str">
        <x:v>physical acceptance authority</x:v>
      </x:c>
      <x:c r="I123" s="10" t="str">
        <x:f>IF(F123=0,"OPEN",IF(F123=E123,"PASS","FAIL"))</x:f>
        <x:v>OPEN</x:v>
      </x:c>
    </x:row>
    <x:row r="124">
      <x:c r="B124" s="10" t="str">
        <x:v>PH-TRIAL-MCR-F-B-B-W01</x:v>
      </x:c>
      <x:c r="C124" s="10" t="str">
        <x:v>physical source</x:v>
      </x:c>
      <x:c r="D124" s="10" t="str">
        <x:v>accepted hazard event</x:v>
      </x:c>
      <x:c r="E124" s="37" t="n">
        <x:v>1</x:v>
      </x:c>
      <x:c r="F124" s="37" t="n">
        <x:f>IF('Trial Register'!R27="PASS",1,0)</x:f>
        <x:v>0</x:v>
      </x:c>
      <x:c r="G124" s="10" t="str">
        <x:v>Trial Register!R27</x:v>
      </x:c>
      <x:c r="H124" s="10" t="str">
        <x:v>physical acceptance authority</x:v>
      </x:c>
      <x:c r="I124" s="10" t="str">
        <x:f>IF(F124=0,"OPEN",IF(F124=E124,"PASS","FAIL"))</x:f>
        <x:v>OPEN</x:v>
      </x:c>
    </x:row>
    <x:row r="125">
      <x:c r="B125" s="10" t="str">
        <x:v>PH-TRIAL-MCR-F-B-B-W02</x:v>
      </x:c>
      <x:c r="C125" s="10" t="str">
        <x:v>physical source</x:v>
      </x:c>
      <x:c r="D125" s="10" t="str">
        <x:v>accepted hazard event</x:v>
      </x:c>
      <x:c r="E125" s="37" t="n">
        <x:v>1</x:v>
      </x:c>
      <x:c r="F125" s="37" t="n">
        <x:f>IF('Trial Register'!R28="PASS",1,0)</x:f>
        <x:v>0</x:v>
      </x:c>
      <x:c r="G125" s="10" t="str">
        <x:v>Trial Register!R28</x:v>
      </x:c>
      <x:c r="H125" s="10" t="str">
        <x:v>physical acceptance authority</x:v>
      </x:c>
      <x:c r="I125" s="10" t="str">
        <x:f>IF(F125=0,"OPEN",IF(F125=E125,"PASS","FAIL"))</x:f>
        <x:v>OPEN</x:v>
      </x:c>
    </x:row>
    <x:row r="126">
      <x:c r="B126" s="10" t="str">
        <x:v>PH-TRIAL-MCR-F-B-B-W03</x:v>
      </x:c>
      <x:c r="C126" s="10" t="str">
        <x:v>physical source</x:v>
      </x:c>
      <x:c r="D126" s="10" t="str">
        <x:v>accepted hazard event</x:v>
      </x:c>
      <x:c r="E126" s="37" t="n">
        <x:v>1</x:v>
      </x:c>
      <x:c r="F126" s="37" t="n">
        <x:f>IF('Trial Register'!R29="PASS",1,0)</x:f>
        <x:v>0</x:v>
      </x:c>
      <x:c r="G126" s="10" t="str">
        <x:v>Trial Register!R29</x:v>
      </x:c>
      <x:c r="H126" s="10" t="str">
        <x:v>physical acceptance authority</x:v>
      </x:c>
      <x:c r="I126" s="10" t="str">
        <x:f>IF(F126=0,"OPEN",IF(F126=E126,"PASS","FAIL"))</x:f>
        <x:v>OPEN</x:v>
      </x:c>
    </x:row>
    <x:row r="127">
      <x:c r="B127" s="10" t="str">
        <x:v>PH-TRIAL-MCR-F-B-B-W04</x:v>
      </x:c>
      <x:c r="C127" s="10" t="str">
        <x:v>physical source</x:v>
      </x:c>
      <x:c r="D127" s="10" t="str">
        <x:v>accepted hazard event</x:v>
      </x:c>
      <x:c r="E127" s="37" t="n">
        <x:v>1</x:v>
      </x:c>
      <x:c r="F127" s="37" t="n">
        <x:f>IF('Trial Register'!R30="PASS",1,0)</x:f>
        <x:v>0</x:v>
      </x:c>
      <x:c r="G127" s="10" t="str">
        <x:v>Trial Register!R30</x:v>
      </x:c>
      <x:c r="H127" s="10" t="str">
        <x:v>physical acceptance authority</x:v>
      </x:c>
      <x:c r="I127" s="10" t="str">
        <x:f>IF(F127=0,"OPEN",IF(F127=E127,"PASS","FAIL"))</x:f>
        <x:v>OPEN</x:v>
      </x:c>
    </x:row>
    <x:row r="128">
      <x:c r="B128" s="10" t="str">
        <x:v>PH-TRIAL-MCR-F-B-B-W05</x:v>
      </x:c>
      <x:c r="C128" s="10" t="str">
        <x:v>physical source</x:v>
      </x:c>
      <x:c r="D128" s="10" t="str">
        <x:v>accepted hazard event</x:v>
      </x:c>
      <x:c r="E128" s="37" t="n">
        <x:v>1</x:v>
      </x:c>
      <x:c r="F128" s="37" t="n">
        <x:f>IF('Trial Register'!R31="PASS",1,0)</x:f>
        <x:v>0</x:v>
      </x:c>
      <x:c r="G128" s="10" t="str">
        <x:v>Trial Register!R31</x:v>
      </x:c>
      <x:c r="H128" s="10" t="str">
        <x:v>physical acceptance authority</x:v>
      </x:c>
      <x:c r="I128" s="10" t="str">
        <x:f>IF(F128=0,"OPEN",IF(F128=E128,"PASS","FAIL"))</x:f>
        <x:v>OPEN</x:v>
      </x:c>
    </x:row>
    <x:row r="129">
      <x:c r="B129" s="10" t="str">
        <x:v>PH-TRIAL-MCR-F-B-B-W06</x:v>
      </x:c>
      <x:c r="C129" s="10" t="str">
        <x:v>physical source</x:v>
      </x:c>
      <x:c r="D129" s="10" t="str">
        <x:v>accepted hazard event</x:v>
      </x:c>
      <x:c r="E129" s="37" t="n">
        <x:v>1</x:v>
      </x:c>
      <x:c r="F129" s="37" t="n">
        <x:f>IF('Trial Register'!R32="PASS",1,0)</x:f>
        <x:v>0</x:v>
      </x:c>
      <x:c r="G129" s="10" t="str">
        <x:v>Trial Register!R32</x:v>
      </x:c>
      <x:c r="H129" s="10" t="str">
        <x:v>physical acceptance authority</x:v>
      </x:c>
      <x:c r="I129" s="10" t="str">
        <x:f>IF(F129=0,"OPEN",IF(F129=E129,"PASS","FAIL"))</x:f>
        <x:v>OPEN</x:v>
      </x:c>
    </x:row>
    <x:row r="130">
      <x:c r="B130" s="10" t="str">
        <x:v>PH-TRIAL-MCR-F-B-B-W07</x:v>
      </x:c>
      <x:c r="C130" s="10" t="str">
        <x:v>physical source</x:v>
      </x:c>
      <x:c r="D130" s="10" t="str">
        <x:v>accepted hazard event</x:v>
      </x:c>
      <x:c r="E130" s="37" t="n">
        <x:v>1</x:v>
      </x:c>
      <x:c r="F130" s="37" t="n">
        <x:f>IF('Trial Register'!R33="PASS",1,0)</x:f>
        <x:v>0</x:v>
      </x:c>
      <x:c r="G130" s="10" t="str">
        <x:v>Trial Register!R33</x:v>
      </x:c>
      <x:c r="H130" s="10" t="str">
        <x:v>physical acceptance authority</x:v>
      </x:c>
      <x:c r="I130" s="10" t="str">
        <x:f>IF(F130=0,"OPEN",IF(F130=E130,"PASS","FAIL"))</x:f>
        <x:v>OPEN</x:v>
      </x:c>
    </x:row>
    <x:row r="131">
      <x:c r="B131" s="10" t="str">
        <x:v>PH-TRIAL-MCR-F-B-B-W08</x:v>
      </x:c>
      <x:c r="C131" s="10" t="str">
        <x:v>physical source</x:v>
      </x:c>
      <x:c r="D131" s="10" t="str">
        <x:v>accepted hazard event</x:v>
      </x:c>
      <x:c r="E131" s="37" t="n">
        <x:v>1</x:v>
      </x:c>
      <x:c r="F131" s="37" t="n">
        <x:f>IF('Trial Register'!R34="PASS",1,0)</x:f>
        <x:v>0</x:v>
      </x:c>
      <x:c r="G131" s="10" t="str">
        <x:v>Trial Register!R34</x:v>
      </x:c>
      <x:c r="H131" s="10" t="str">
        <x:v>physical acceptance authority</x:v>
      </x:c>
      <x:c r="I131" s="10" t="str">
        <x:f>IF(F131=0,"OPEN",IF(F131=E131,"PASS","FAIL"))</x:f>
        <x:v>OPEN</x:v>
      </x:c>
    </x:row>
    <x:row r="132">
      <x:c r="B132" s="10" t="str">
        <x:v>PH-TRIAL-MCR-F-B-B-W09</x:v>
      </x:c>
      <x:c r="C132" s="10" t="str">
        <x:v>physical source</x:v>
      </x:c>
      <x:c r="D132" s="10" t="str">
        <x:v>accepted hazard event</x:v>
      </x:c>
      <x:c r="E132" s="37" t="n">
        <x:v>1</x:v>
      </x:c>
      <x:c r="F132" s="37" t="n">
        <x:f>IF('Trial Register'!R35="PASS",1,0)</x:f>
        <x:v>0</x:v>
      </x:c>
      <x:c r="G132" s="10" t="str">
        <x:v>Trial Register!R35</x:v>
      </x:c>
      <x:c r="H132" s="10" t="str">
        <x:v>physical acceptance authority</x:v>
      </x:c>
      <x:c r="I132" s="10" t="str">
        <x:f>IF(F132=0,"OPEN",IF(F132=E132,"PASS","FAIL"))</x:f>
        <x:v>OPEN</x:v>
      </x:c>
    </x:row>
    <x:row r="133">
      <x:c r="B133" s="10" t="str">
        <x:v>PH-TRIAL-MCR-F-B-B-W10</x:v>
      </x:c>
      <x:c r="C133" s="10" t="str">
        <x:v>physical source</x:v>
      </x:c>
      <x:c r="D133" s="10" t="str">
        <x:v>accepted hazard event</x:v>
      </x:c>
      <x:c r="E133" s="37" t="n">
        <x:v>1</x:v>
      </x:c>
      <x:c r="F133" s="37" t="n">
        <x:f>IF('Trial Register'!R36="PASS",1,0)</x:f>
        <x:v>0</x:v>
      </x:c>
      <x:c r="G133" s="10" t="str">
        <x:v>Trial Register!R36</x:v>
      </x:c>
      <x:c r="H133" s="10" t="str">
        <x:v>physical acceptance authority</x:v>
      </x:c>
      <x:c r="I133" s="10" t="str">
        <x:f>IF(F133=0,"OPEN",IF(F133=E133,"PASS","FAIL"))</x:f>
        <x:v>OPEN</x:v>
      </x:c>
    </x:row>
    <x:row r="134">
      <x:c r="B134" s="10" t="str">
        <x:v>PH-TRIAL-MCR-F-B-B-W11</x:v>
      </x:c>
      <x:c r="C134" s="10" t="str">
        <x:v>physical source</x:v>
      </x:c>
      <x:c r="D134" s="10" t="str">
        <x:v>accepted hazard event</x:v>
      </x:c>
      <x:c r="E134" s="37" t="n">
        <x:v>1</x:v>
      </x:c>
      <x:c r="F134" s="37" t="n">
        <x:f>IF('Trial Register'!R37="PASS",1,0)</x:f>
        <x:v>0</x:v>
      </x:c>
      <x:c r="G134" s="10" t="str">
        <x:v>Trial Register!R37</x:v>
      </x:c>
      <x:c r="H134" s="10" t="str">
        <x:v>physical acceptance authority</x:v>
      </x:c>
      <x:c r="I134" s="10" t="str">
        <x:f>IF(F134=0,"OPEN",IF(F134=E134,"PASS","FAIL"))</x:f>
        <x:v>OPEN</x:v>
      </x:c>
    </x:row>
    <x:row r="135">
      <x:c r="B135" s="10" t="str">
        <x:v>PH-TRIAL-MCR-F-B-B-W12</x:v>
      </x:c>
      <x:c r="C135" s="10" t="str">
        <x:v>physical source</x:v>
      </x:c>
      <x:c r="D135" s="10" t="str">
        <x:v>accepted hazard event</x:v>
      </x:c>
      <x:c r="E135" s="37" t="n">
        <x:v>1</x:v>
      </x:c>
      <x:c r="F135" s="37" t="n">
        <x:f>IF('Trial Register'!R38="PASS",1,0)</x:f>
        <x:v>0</x:v>
      </x:c>
      <x:c r="G135" s="10" t="str">
        <x:v>Trial Register!R38</x:v>
      </x:c>
      <x:c r="H135" s="10" t="str">
        <x:v>physical acceptance authority</x:v>
      </x:c>
      <x:c r="I135" s="10" t="str">
        <x:f>IF(F135=0,"OPEN",IF(F135=E135,"PASS","FAIL"))</x:f>
        <x:v>OPEN</x:v>
      </x:c>
    </x:row>
    <x:row r="136">
      <x:c r="B136" s="10" t="str">
        <x:v>PH-TRIAL-MCR-C-B-B-W02</x:v>
      </x:c>
      <x:c r="C136" s="10" t="str">
        <x:v>physical source</x:v>
      </x:c>
      <x:c r="D136" s="10" t="str">
        <x:v>accepted hazard event</x:v>
      </x:c>
      <x:c r="E136" s="37" t="n">
        <x:v>1</x:v>
      </x:c>
      <x:c r="F136" s="37" t="n">
        <x:f>IF('Trial Register'!R39="PASS",1,0)</x:f>
        <x:v>0</x:v>
      </x:c>
      <x:c r="G136" s="10" t="str">
        <x:v>Trial Register!R39</x:v>
      </x:c>
      <x:c r="H136" s="10" t="str">
        <x:v>physical acceptance authority</x:v>
      </x:c>
      <x:c r="I136" s="10" t="str">
        <x:f>IF(F136=0,"OPEN",IF(F136=E136,"PASS","FAIL"))</x:f>
        <x:v>OPEN</x:v>
      </x:c>
    </x:row>
    <x:row r="137">
      <x:c r="B137" s="10" t="str">
        <x:v>PH-TRIAL-MCR-C-B-B-W03</x:v>
      </x:c>
      <x:c r="C137" s="10" t="str">
        <x:v>physical source</x:v>
      </x:c>
      <x:c r="D137" s="10" t="str">
        <x:v>accepted hazard event</x:v>
      </x:c>
      <x:c r="E137" s="37" t="n">
        <x:v>1</x:v>
      </x:c>
      <x:c r="F137" s="37" t="n">
        <x:f>IF('Trial Register'!R40="PASS",1,0)</x:f>
        <x:v>0</x:v>
      </x:c>
      <x:c r="G137" s="10" t="str">
        <x:v>Trial Register!R40</x:v>
      </x:c>
      <x:c r="H137" s="10" t="str">
        <x:v>physical acceptance authority</x:v>
      </x:c>
      <x:c r="I137" s="10" t="str">
        <x:f>IF(F137=0,"OPEN",IF(F137=E137,"PASS","FAIL"))</x:f>
        <x:v>OPEN</x:v>
      </x:c>
    </x:row>
    <x:row r="138">
      <x:c r="B138" s="10" t="str">
        <x:v>PH-TRIAL-MCR-C-B-B-W06</x:v>
      </x:c>
      <x:c r="C138" s="10" t="str">
        <x:v>physical source</x:v>
      </x:c>
      <x:c r="D138" s="10" t="str">
        <x:v>accepted hazard event</x:v>
      </x:c>
      <x:c r="E138" s="37" t="n">
        <x:v>1</x:v>
      </x:c>
      <x:c r="F138" s="37" t="n">
        <x:f>IF('Trial Register'!R41="PASS",1,0)</x:f>
        <x:v>0</x:v>
      </x:c>
      <x:c r="G138" s="10" t="str">
        <x:v>Trial Register!R41</x:v>
      </x:c>
      <x:c r="H138" s="10" t="str">
        <x:v>physical acceptance authority</x:v>
      </x:c>
      <x:c r="I138" s="10" t="str">
        <x:f>IF(F138=0,"OPEN",IF(F138=E138,"PASS","FAIL"))</x:f>
        <x:v>OPEN</x:v>
      </x:c>
    </x:row>
    <x:row r="139">
      <x:c r="B139" s="10" t="str">
        <x:v>PH-TRIAL-MCR-C-B-B-W07</x:v>
      </x:c>
      <x:c r="C139" s="10" t="str">
        <x:v>physical source</x:v>
      </x:c>
      <x:c r="D139" s="10" t="str">
        <x:v>accepted hazard event</x:v>
      </x:c>
      <x:c r="E139" s="37" t="n">
        <x:v>1</x:v>
      </x:c>
      <x:c r="F139" s="37" t="n">
        <x:f>IF('Trial Register'!R42="PASS",1,0)</x:f>
        <x:v>0</x:v>
      </x:c>
      <x:c r="G139" s="10" t="str">
        <x:v>Trial Register!R42</x:v>
      </x:c>
      <x:c r="H139" s="10" t="str">
        <x:v>physical acceptance authority</x:v>
      </x:c>
      <x:c r="I139" s="10" t="str">
        <x:f>IF(F139=0,"OPEN",IF(F139=E139,"PASS","FAIL"))</x:f>
        <x:v>OPEN</x:v>
      </x:c>
    </x:row>
    <x:row r="140">
      <x:c r="B140" s="10" t="str">
        <x:v>PH-TRIAL-MCR-C-B-B-W08</x:v>
      </x:c>
      <x:c r="C140" s="10" t="str">
        <x:v>physical source</x:v>
      </x:c>
      <x:c r="D140" s="10" t="str">
        <x:v>accepted hazard event</x:v>
      </x:c>
      <x:c r="E140" s="37" t="n">
        <x:v>1</x:v>
      </x:c>
      <x:c r="F140" s="37" t="n">
        <x:f>IF('Trial Register'!R43="PASS",1,0)</x:f>
        <x:v>0</x:v>
      </x:c>
      <x:c r="G140" s="10" t="str">
        <x:v>Trial Register!R43</x:v>
      </x:c>
      <x:c r="H140" s="10" t="str">
        <x:v>physical acceptance authority</x:v>
      </x:c>
      <x:c r="I140" s="10" t="str">
        <x:f>IF(F140=0,"OPEN",IF(F140=E140,"PASS","FAIL"))</x:f>
        <x:v>OPEN</x:v>
      </x:c>
    </x:row>
    <x:row r="141">
      <x:c r="B141" s="10" t="str">
        <x:v>PH-TRIAL-MCR-C-B-B-W09</x:v>
      </x:c>
      <x:c r="C141" s="10" t="str">
        <x:v>physical source</x:v>
      </x:c>
      <x:c r="D141" s="10" t="str">
        <x:v>accepted hazard event</x:v>
      </x:c>
      <x:c r="E141" s="37" t="n">
        <x:v>1</x:v>
      </x:c>
      <x:c r="F141" s="37" t="n">
        <x:f>IF('Trial Register'!R44="PASS",1,0)</x:f>
        <x:v>0</x:v>
      </x:c>
      <x:c r="G141" s="10" t="str">
        <x:v>Trial Register!R44</x:v>
      </x:c>
      <x:c r="H141" s="10" t="str">
        <x:v>physical acceptance authority</x:v>
      </x:c>
      <x:c r="I141" s="10" t="str">
        <x:f>IF(F141=0,"OPEN",IF(F141=E141,"PASS","FAIL"))</x:f>
        <x:v>OPEN</x:v>
      </x:c>
    </x:row>
    <x:row r="142">
      <x:c r="B142" s="10" t="str">
        <x:v>PH-TRIAL-MCR-F-C-A-W01</x:v>
      </x:c>
      <x:c r="C142" s="10" t="str">
        <x:v>physical source</x:v>
      </x:c>
      <x:c r="D142" s="10" t="str">
        <x:v>accepted hazard event</x:v>
      </x:c>
      <x:c r="E142" s="37" t="n">
        <x:v>1</x:v>
      </x:c>
      <x:c r="F142" s="37" t="n">
        <x:f>IF('Trial Register'!R47="PASS",1,0)</x:f>
        <x:v>0</x:v>
      </x:c>
      <x:c r="G142" s="10" t="str">
        <x:v>Trial Register!R47</x:v>
      </x:c>
      <x:c r="H142" s="10" t="str">
        <x:v>physical acceptance authority</x:v>
      </x:c>
      <x:c r="I142" s="10" t="str">
        <x:f>IF(F142=0,"OPEN",IF(F142=E142,"PASS","FAIL"))</x:f>
        <x:v>OPEN</x:v>
      </x:c>
    </x:row>
    <x:row r="143">
      <x:c r="B143" s="10" t="str">
        <x:v>PH-TRIAL-MCR-F-C-A-W02</x:v>
      </x:c>
      <x:c r="C143" s="10" t="str">
        <x:v>physical source</x:v>
      </x:c>
      <x:c r="D143" s="10" t="str">
        <x:v>accepted hazard event</x:v>
      </x:c>
      <x:c r="E143" s="37" t="n">
        <x:v>1</x:v>
      </x:c>
      <x:c r="F143" s="37" t="n">
        <x:f>IF('Trial Register'!R48="PASS",1,0)</x:f>
        <x:v>0</x:v>
      </x:c>
      <x:c r="G143" s="10" t="str">
        <x:v>Trial Register!R48</x:v>
      </x:c>
      <x:c r="H143" s="10" t="str">
        <x:v>physical acceptance authority</x:v>
      </x:c>
      <x:c r="I143" s="10" t="str">
        <x:f>IF(F143=0,"OPEN",IF(F143=E143,"PASS","FAIL"))</x:f>
        <x:v>OPEN</x:v>
      </x:c>
    </x:row>
    <x:row r="144">
      <x:c r="B144" s="10" t="str">
        <x:v>PH-TRIAL-MCR-F-C-A-W03</x:v>
      </x:c>
      <x:c r="C144" s="10" t="str">
        <x:v>physical source</x:v>
      </x:c>
      <x:c r="D144" s="10" t="str">
        <x:v>accepted hazard event</x:v>
      </x:c>
      <x:c r="E144" s="37" t="n">
        <x:v>1</x:v>
      </x:c>
      <x:c r="F144" s="37" t="n">
        <x:f>IF('Trial Register'!R49="PASS",1,0)</x:f>
        <x:v>0</x:v>
      </x:c>
      <x:c r="G144" s="10" t="str">
        <x:v>Trial Register!R49</x:v>
      </x:c>
      <x:c r="H144" s="10" t="str">
        <x:v>physical acceptance authority</x:v>
      </x:c>
      <x:c r="I144" s="10" t="str">
        <x:f>IF(F144=0,"OPEN",IF(F144=E144,"PASS","FAIL"))</x:f>
        <x:v>OPEN</x:v>
      </x:c>
    </x:row>
    <x:row r="145">
      <x:c r="B145" s="10" t="str">
        <x:v>PH-TRIAL-MCR-F-C-A-W04</x:v>
      </x:c>
      <x:c r="C145" s="10" t="str">
        <x:v>physical source</x:v>
      </x:c>
      <x:c r="D145" s="10" t="str">
        <x:v>accepted hazard event</x:v>
      </x:c>
      <x:c r="E145" s="37" t="n">
        <x:v>1</x:v>
      </x:c>
      <x:c r="F145" s="37" t="n">
        <x:f>IF('Trial Register'!R50="PASS",1,0)</x:f>
        <x:v>0</x:v>
      </x:c>
      <x:c r="G145" s="10" t="str">
        <x:v>Trial Register!R50</x:v>
      </x:c>
      <x:c r="H145" s="10" t="str">
        <x:v>physical acceptance authority</x:v>
      </x:c>
      <x:c r="I145" s="10" t="str">
        <x:f>IF(F145=0,"OPEN",IF(F145=E145,"PASS","FAIL"))</x:f>
        <x:v>OPEN</x:v>
      </x:c>
    </x:row>
    <x:row r="146">
      <x:c r="B146" s="10" t="str">
        <x:v>PH-TRIAL-MCR-F-C-A-W05</x:v>
      </x:c>
      <x:c r="C146" s="10" t="str">
        <x:v>physical source</x:v>
      </x:c>
      <x:c r="D146" s="10" t="str">
        <x:v>accepted hazard event</x:v>
      </x:c>
      <x:c r="E146" s="37" t="n">
        <x:v>1</x:v>
      </x:c>
      <x:c r="F146" s="37" t="n">
        <x:f>IF('Trial Register'!R51="PASS",1,0)</x:f>
        <x:v>0</x:v>
      </x:c>
      <x:c r="G146" s="10" t="str">
        <x:v>Trial Register!R51</x:v>
      </x:c>
      <x:c r="H146" s="10" t="str">
        <x:v>physical acceptance authority</x:v>
      </x:c>
      <x:c r="I146" s="10" t="str">
        <x:f>IF(F146=0,"OPEN",IF(F146=E146,"PASS","FAIL"))</x:f>
        <x:v>OPEN</x:v>
      </x:c>
    </x:row>
    <x:row r="147">
      <x:c r="B147" s="10" t="str">
        <x:v>PH-TRIAL-MCR-F-C-A-W06</x:v>
      </x:c>
      <x:c r="C147" s="10" t="str">
        <x:v>physical source</x:v>
      </x:c>
      <x:c r="D147" s="10" t="str">
        <x:v>accepted hazard event</x:v>
      </x:c>
      <x:c r="E147" s="37" t="n">
        <x:v>1</x:v>
      </x:c>
      <x:c r="F147" s="37" t="n">
        <x:f>IF('Trial Register'!R52="PASS",1,0)</x:f>
        <x:v>0</x:v>
      </x:c>
      <x:c r="G147" s="10" t="str">
        <x:v>Trial Register!R52</x:v>
      </x:c>
      <x:c r="H147" s="10" t="str">
        <x:v>physical acceptance authority</x:v>
      </x:c>
      <x:c r="I147" s="10" t="str">
        <x:f>IF(F147=0,"OPEN",IF(F147=E147,"PASS","FAIL"))</x:f>
        <x:v>OPEN</x:v>
      </x:c>
    </x:row>
    <x:row r="148">
      <x:c r="B148" s="10" t="str">
        <x:v>PH-TRIAL-MCR-F-C-A-W07</x:v>
      </x:c>
      <x:c r="C148" s="10" t="str">
        <x:v>physical source</x:v>
      </x:c>
      <x:c r="D148" s="10" t="str">
        <x:v>accepted hazard event</x:v>
      </x:c>
      <x:c r="E148" s="37" t="n">
        <x:v>1</x:v>
      </x:c>
      <x:c r="F148" s="37" t="n">
        <x:f>IF('Trial Register'!R53="PASS",1,0)</x:f>
        <x:v>0</x:v>
      </x:c>
      <x:c r="G148" s="10" t="str">
        <x:v>Trial Register!R53</x:v>
      </x:c>
      <x:c r="H148" s="10" t="str">
        <x:v>physical acceptance authority</x:v>
      </x:c>
      <x:c r="I148" s="10" t="str">
        <x:f>IF(F148=0,"OPEN",IF(F148=E148,"PASS","FAIL"))</x:f>
        <x:v>OPEN</x:v>
      </x:c>
    </x:row>
    <x:row r="149">
      <x:c r="B149" s="10" t="str">
        <x:v>PH-TRIAL-MCR-F-C-A-W08</x:v>
      </x:c>
      <x:c r="C149" s="10" t="str">
        <x:v>physical source</x:v>
      </x:c>
      <x:c r="D149" s="10" t="str">
        <x:v>accepted hazard event</x:v>
      </x:c>
      <x:c r="E149" s="37" t="n">
        <x:v>1</x:v>
      </x:c>
      <x:c r="F149" s="37" t="n">
        <x:f>IF('Trial Register'!R54="PASS",1,0)</x:f>
        <x:v>0</x:v>
      </x:c>
      <x:c r="G149" s="10" t="str">
        <x:v>Trial Register!R54</x:v>
      </x:c>
      <x:c r="H149" s="10" t="str">
        <x:v>physical acceptance authority</x:v>
      </x:c>
      <x:c r="I149" s="10" t="str">
        <x:f>IF(F149=0,"OPEN",IF(F149=E149,"PASS","FAIL"))</x:f>
        <x:v>OPEN</x:v>
      </x:c>
    </x:row>
    <x:row r="150">
      <x:c r="B150" s="10" t="str">
        <x:v>PH-TRIAL-MCR-F-C-A-W09</x:v>
      </x:c>
      <x:c r="C150" s="10" t="str">
        <x:v>physical source</x:v>
      </x:c>
      <x:c r="D150" s="10" t="str">
        <x:v>accepted hazard event</x:v>
      </x:c>
      <x:c r="E150" s="37" t="n">
        <x:v>1</x:v>
      </x:c>
      <x:c r="F150" s="37" t="n">
        <x:f>IF('Trial Register'!R55="PASS",1,0)</x:f>
        <x:v>0</x:v>
      </x:c>
      <x:c r="G150" s="10" t="str">
        <x:v>Trial Register!R55</x:v>
      </x:c>
      <x:c r="H150" s="10" t="str">
        <x:v>physical acceptance authority</x:v>
      </x:c>
      <x:c r="I150" s="10" t="str">
        <x:f>IF(F150=0,"OPEN",IF(F150=E150,"PASS","FAIL"))</x:f>
        <x:v>OPEN</x:v>
      </x:c>
    </x:row>
    <x:row r="151">
      <x:c r="B151" s="10" t="str">
        <x:v>PH-TRIAL-MCR-F-C-A-W10</x:v>
      </x:c>
      <x:c r="C151" s="10" t="str">
        <x:v>physical source</x:v>
      </x:c>
      <x:c r="D151" s="10" t="str">
        <x:v>accepted hazard event</x:v>
      </x:c>
      <x:c r="E151" s="37" t="n">
        <x:v>1</x:v>
      </x:c>
      <x:c r="F151" s="37" t="n">
        <x:f>IF('Trial Register'!R56="PASS",1,0)</x:f>
        <x:v>0</x:v>
      </x:c>
      <x:c r="G151" s="10" t="str">
        <x:v>Trial Register!R56</x:v>
      </x:c>
      <x:c r="H151" s="10" t="str">
        <x:v>physical acceptance authority</x:v>
      </x:c>
      <x:c r="I151" s="10" t="str">
        <x:f>IF(F151=0,"OPEN",IF(F151=E151,"PASS","FAIL"))</x:f>
        <x:v>OPEN</x:v>
      </x:c>
    </x:row>
    <x:row r="152">
      <x:c r="B152" s="10" t="str">
        <x:v>PH-TRIAL-MCR-F-C-A-W11</x:v>
      </x:c>
      <x:c r="C152" s="10" t="str">
        <x:v>physical source</x:v>
      </x:c>
      <x:c r="D152" s="10" t="str">
        <x:v>accepted hazard event</x:v>
      </x:c>
      <x:c r="E152" s="37" t="n">
        <x:v>1</x:v>
      </x:c>
      <x:c r="F152" s="37" t="n">
        <x:f>IF('Trial Register'!R57="PASS",1,0)</x:f>
        <x:v>0</x:v>
      </x:c>
      <x:c r="G152" s="10" t="str">
        <x:v>Trial Register!R57</x:v>
      </x:c>
      <x:c r="H152" s="10" t="str">
        <x:v>physical acceptance authority</x:v>
      </x:c>
      <x:c r="I152" s="10" t="str">
        <x:f>IF(F152=0,"OPEN",IF(F152=E152,"PASS","FAIL"))</x:f>
        <x:v>OPEN</x:v>
      </x:c>
    </x:row>
    <x:row r="153">
      <x:c r="B153" s="10" t="str">
        <x:v>PH-TRIAL-MCR-F-C-A-W12</x:v>
      </x:c>
      <x:c r="C153" s="10" t="str">
        <x:v>physical source</x:v>
      </x:c>
      <x:c r="D153" s="10" t="str">
        <x:v>accepted hazard event</x:v>
      </x:c>
      <x:c r="E153" s="37" t="n">
        <x:v>1</x:v>
      </x:c>
      <x:c r="F153" s="37" t="n">
        <x:f>IF('Trial Register'!R58="PASS",1,0)</x:f>
        <x:v>0</x:v>
      </x:c>
      <x:c r="G153" s="10" t="str">
        <x:v>Trial Register!R58</x:v>
      </x:c>
      <x:c r="H153" s="10" t="str">
        <x:v>physical acceptance authority</x:v>
      </x:c>
      <x:c r="I153" s="10" t="str">
        <x:f>IF(F153=0,"OPEN",IF(F153=E153,"PASS","FAIL"))</x:f>
        <x:v>OPEN</x:v>
      </x:c>
    </x:row>
    <x:row r="154">
      <x:c r="B154" s="10" t="str">
        <x:v>PH-TRIAL-MCR-C-C-A-W02</x:v>
      </x:c>
      <x:c r="C154" s="10" t="str">
        <x:v>physical source</x:v>
      </x:c>
      <x:c r="D154" s="10" t="str">
        <x:v>accepted hazard event</x:v>
      </x:c>
      <x:c r="E154" s="37" t="n">
        <x:v>1</x:v>
      </x:c>
      <x:c r="F154" s="37" t="n">
        <x:f>IF('Trial Register'!R59="PASS",1,0)</x:f>
        <x:v>0</x:v>
      </x:c>
      <x:c r="G154" s="10" t="str">
        <x:v>Trial Register!R59</x:v>
      </x:c>
      <x:c r="H154" s="10" t="str">
        <x:v>physical acceptance authority</x:v>
      </x:c>
      <x:c r="I154" s="10" t="str">
        <x:f>IF(F154=0,"OPEN",IF(F154=E154,"PASS","FAIL"))</x:f>
        <x:v>OPEN</x:v>
      </x:c>
    </x:row>
    <x:row r="155">
      <x:c r="B155" s="10" t="str">
        <x:v>PH-TRIAL-MCR-C-C-A-W03</x:v>
      </x:c>
      <x:c r="C155" s="10" t="str">
        <x:v>physical source</x:v>
      </x:c>
      <x:c r="D155" s="10" t="str">
        <x:v>accepted hazard event</x:v>
      </x:c>
      <x:c r="E155" s="37" t="n">
        <x:v>1</x:v>
      </x:c>
      <x:c r="F155" s="37" t="n">
        <x:f>IF('Trial Register'!R60="PASS",1,0)</x:f>
        <x:v>0</x:v>
      </x:c>
      <x:c r="G155" s="10" t="str">
        <x:v>Trial Register!R60</x:v>
      </x:c>
      <x:c r="H155" s="10" t="str">
        <x:v>physical acceptance authority</x:v>
      </x:c>
      <x:c r="I155" s="10" t="str">
        <x:f>IF(F155=0,"OPEN",IF(F155=E155,"PASS","FAIL"))</x:f>
        <x:v>OPEN</x:v>
      </x:c>
    </x:row>
    <x:row r="156">
      <x:c r="B156" s="10" t="str">
        <x:v>PH-TRIAL-MCR-C-C-A-W06</x:v>
      </x:c>
      <x:c r="C156" s="10" t="str">
        <x:v>physical source</x:v>
      </x:c>
      <x:c r="D156" s="10" t="str">
        <x:v>accepted hazard event</x:v>
      </x:c>
      <x:c r="E156" s="37" t="n">
        <x:v>1</x:v>
      </x:c>
      <x:c r="F156" s="37" t="n">
        <x:f>IF('Trial Register'!R61="PASS",1,0)</x:f>
        <x:v>0</x:v>
      </x:c>
      <x:c r="G156" s="10" t="str">
        <x:v>Trial Register!R61</x:v>
      </x:c>
      <x:c r="H156" s="10" t="str">
        <x:v>physical acceptance authority</x:v>
      </x:c>
      <x:c r="I156" s="10" t="str">
        <x:f>IF(F156=0,"OPEN",IF(F156=E156,"PASS","FAIL"))</x:f>
        <x:v>OPEN</x:v>
      </x:c>
    </x:row>
    <x:row r="157">
      <x:c r="B157" s="10" t="str">
        <x:v>PH-TRIAL-MCR-C-C-A-W07</x:v>
      </x:c>
      <x:c r="C157" s="10" t="str">
        <x:v>physical source</x:v>
      </x:c>
      <x:c r="D157" s="10" t="str">
        <x:v>accepted hazard event</x:v>
      </x:c>
      <x:c r="E157" s="37" t="n">
        <x:v>1</x:v>
      </x:c>
      <x:c r="F157" s="37" t="n">
        <x:f>IF('Trial Register'!R62="PASS",1,0)</x:f>
        <x:v>0</x:v>
      </x:c>
      <x:c r="G157" s="10" t="str">
        <x:v>Trial Register!R62</x:v>
      </x:c>
      <x:c r="H157" s="10" t="str">
        <x:v>physical acceptance authority</x:v>
      </x:c>
      <x:c r="I157" s="10" t="str">
        <x:f>IF(F157=0,"OPEN",IF(F157=E157,"PASS","FAIL"))</x:f>
        <x:v>OPEN</x:v>
      </x:c>
    </x:row>
    <x:row r="158">
      <x:c r="B158" s="10" t="str">
        <x:v>PH-TRIAL-MCR-C-C-A-W08</x:v>
      </x:c>
      <x:c r="C158" s="10" t="str">
        <x:v>physical source</x:v>
      </x:c>
      <x:c r="D158" s="10" t="str">
        <x:v>accepted hazard event</x:v>
      </x:c>
      <x:c r="E158" s="37" t="n">
        <x:v>1</x:v>
      </x:c>
      <x:c r="F158" s="37" t="n">
        <x:f>IF('Trial Register'!R63="PASS",1,0)</x:f>
        <x:v>0</x:v>
      </x:c>
      <x:c r="G158" s="10" t="str">
        <x:v>Trial Register!R63</x:v>
      </x:c>
      <x:c r="H158" s="10" t="str">
        <x:v>physical acceptance authority</x:v>
      </x:c>
      <x:c r="I158" s="10" t="str">
        <x:f>IF(F158=0,"OPEN",IF(F158=E158,"PASS","FAIL"))</x:f>
        <x:v>OPEN</x:v>
      </x:c>
    </x:row>
    <x:row r="159">
      <x:c r="B159" s="10" t="str">
        <x:v>PH-TRIAL-MCR-C-C-A-W09</x:v>
      </x:c>
      <x:c r="C159" s="10" t="str">
        <x:v>physical source</x:v>
      </x:c>
      <x:c r="D159" s="10" t="str">
        <x:v>accepted hazard event</x:v>
      </x:c>
      <x:c r="E159" s="37" t="n">
        <x:v>1</x:v>
      </x:c>
      <x:c r="F159" s="37" t="n">
        <x:f>IF('Trial Register'!R64="PASS",1,0)</x:f>
        <x:v>0</x:v>
      </x:c>
      <x:c r="G159" s="10" t="str">
        <x:v>Trial Register!R64</x:v>
      </x:c>
      <x:c r="H159" s="10" t="str">
        <x:v>physical acceptance authority</x:v>
      </x:c>
      <x:c r="I159" s="10" t="str">
        <x:f>IF(F159=0,"OPEN",IF(F159=E159,"PASS","FAIL"))</x:f>
        <x:v>OPEN</x:v>
      </x:c>
    </x:row>
    <x:row r="160">
      <x:c r="B160" s="10" t="str">
        <x:v>PH-TRIAL-MCR-F-C-B-W01</x:v>
      </x:c>
      <x:c r="C160" s="10" t="str">
        <x:v>physical source</x:v>
      </x:c>
      <x:c r="D160" s="10" t="str">
        <x:v>accepted hazard event</x:v>
      </x:c>
      <x:c r="E160" s="37" t="n">
        <x:v>1</x:v>
      </x:c>
      <x:c r="F160" s="37" t="n">
        <x:f>IF('Trial Register'!R67="PASS",1,0)</x:f>
        <x:v>0</x:v>
      </x:c>
      <x:c r="G160" s="10" t="str">
        <x:v>Trial Register!R67</x:v>
      </x:c>
      <x:c r="H160" s="10" t="str">
        <x:v>physical acceptance authority</x:v>
      </x:c>
      <x:c r="I160" s="10" t="str">
        <x:f>IF(F160=0,"OPEN",IF(F160=E160,"PASS","FAIL"))</x:f>
        <x:v>OPEN</x:v>
      </x:c>
    </x:row>
    <x:row r="161">
      <x:c r="B161" s="10" t="str">
        <x:v>PH-TRIAL-MCR-F-C-B-W02</x:v>
      </x:c>
      <x:c r="C161" s="10" t="str">
        <x:v>physical source</x:v>
      </x:c>
      <x:c r="D161" s="10" t="str">
        <x:v>accepted hazard event</x:v>
      </x:c>
      <x:c r="E161" s="37" t="n">
        <x:v>1</x:v>
      </x:c>
      <x:c r="F161" s="37" t="n">
        <x:f>IF('Trial Register'!R68="PASS",1,0)</x:f>
        <x:v>0</x:v>
      </x:c>
      <x:c r="G161" s="10" t="str">
        <x:v>Trial Register!R68</x:v>
      </x:c>
      <x:c r="H161" s="10" t="str">
        <x:v>physical acceptance authority</x:v>
      </x:c>
      <x:c r="I161" s="10" t="str">
        <x:f>IF(F161=0,"OPEN",IF(F161=E161,"PASS","FAIL"))</x:f>
        <x:v>OPEN</x:v>
      </x:c>
    </x:row>
    <x:row r="162">
      <x:c r="B162" s="10" t="str">
        <x:v>PH-TRIAL-MCR-F-C-B-W03</x:v>
      </x:c>
      <x:c r="C162" s="10" t="str">
        <x:v>physical source</x:v>
      </x:c>
      <x:c r="D162" s="10" t="str">
        <x:v>accepted hazard event</x:v>
      </x:c>
      <x:c r="E162" s="37" t="n">
        <x:v>1</x:v>
      </x:c>
      <x:c r="F162" s="37" t="n">
        <x:f>IF('Trial Register'!R69="PASS",1,0)</x:f>
        <x:v>0</x:v>
      </x:c>
      <x:c r="G162" s="10" t="str">
        <x:v>Trial Register!R69</x:v>
      </x:c>
      <x:c r="H162" s="10" t="str">
        <x:v>physical acceptance authority</x:v>
      </x:c>
      <x:c r="I162" s="10" t="str">
        <x:f>IF(F162=0,"OPEN",IF(F162=E162,"PASS","FAIL"))</x:f>
        <x:v>OPEN</x:v>
      </x:c>
    </x:row>
    <x:row r="163">
      <x:c r="B163" s="10" t="str">
        <x:v>PH-TRIAL-MCR-F-C-B-W04</x:v>
      </x:c>
      <x:c r="C163" s="10" t="str">
        <x:v>physical source</x:v>
      </x:c>
      <x:c r="D163" s="10" t="str">
        <x:v>accepted hazard event</x:v>
      </x:c>
      <x:c r="E163" s="37" t="n">
        <x:v>1</x:v>
      </x:c>
      <x:c r="F163" s="37" t="n">
        <x:f>IF('Trial Register'!R70="PASS",1,0)</x:f>
        <x:v>0</x:v>
      </x:c>
      <x:c r="G163" s="10" t="str">
        <x:v>Trial Register!R70</x:v>
      </x:c>
      <x:c r="H163" s="10" t="str">
        <x:v>physical acceptance authority</x:v>
      </x:c>
      <x:c r="I163" s="10" t="str">
        <x:f>IF(F163=0,"OPEN",IF(F163=E163,"PASS","FAIL"))</x:f>
        <x:v>OPEN</x:v>
      </x:c>
    </x:row>
    <x:row r="164">
      <x:c r="B164" s="10" t="str">
        <x:v>PH-TRIAL-MCR-F-C-B-W05</x:v>
      </x:c>
      <x:c r="C164" s="10" t="str">
        <x:v>physical source</x:v>
      </x:c>
      <x:c r="D164" s="10" t="str">
        <x:v>accepted hazard event</x:v>
      </x:c>
      <x:c r="E164" s="37" t="n">
        <x:v>1</x:v>
      </x:c>
      <x:c r="F164" s="37" t="n">
        <x:f>IF('Trial Register'!R71="PASS",1,0)</x:f>
        <x:v>0</x:v>
      </x:c>
      <x:c r="G164" s="10" t="str">
        <x:v>Trial Register!R71</x:v>
      </x:c>
      <x:c r="H164" s="10" t="str">
        <x:v>physical acceptance authority</x:v>
      </x:c>
      <x:c r="I164" s="10" t="str">
        <x:f>IF(F164=0,"OPEN",IF(F164=E164,"PASS","FAIL"))</x:f>
        <x:v>OPEN</x:v>
      </x:c>
    </x:row>
    <x:row r="165">
      <x:c r="B165" s="10" t="str">
        <x:v>PH-TRIAL-MCR-F-C-B-W06</x:v>
      </x:c>
      <x:c r="C165" s="10" t="str">
        <x:v>physical source</x:v>
      </x:c>
      <x:c r="D165" s="10" t="str">
        <x:v>accepted hazard event</x:v>
      </x:c>
      <x:c r="E165" s="37" t="n">
        <x:v>1</x:v>
      </x:c>
      <x:c r="F165" s="37" t="n">
        <x:f>IF('Trial Register'!R72="PASS",1,0)</x:f>
        <x:v>0</x:v>
      </x:c>
      <x:c r="G165" s="10" t="str">
        <x:v>Trial Register!R72</x:v>
      </x:c>
      <x:c r="H165" s="10" t="str">
        <x:v>physical acceptance authority</x:v>
      </x:c>
      <x:c r="I165" s="10" t="str">
        <x:f>IF(F165=0,"OPEN",IF(F165=E165,"PASS","FAIL"))</x:f>
        <x:v>OPEN</x:v>
      </x:c>
    </x:row>
    <x:row r="166">
      <x:c r="B166" s="10" t="str">
        <x:v>PH-TRIAL-MCR-F-C-B-W07</x:v>
      </x:c>
      <x:c r="C166" s="10" t="str">
        <x:v>physical source</x:v>
      </x:c>
      <x:c r="D166" s="10" t="str">
        <x:v>accepted hazard event</x:v>
      </x:c>
      <x:c r="E166" s="37" t="n">
        <x:v>1</x:v>
      </x:c>
      <x:c r="F166" s="37" t="n">
        <x:f>IF('Trial Register'!R73="PASS",1,0)</x:f>
        <x:v>0</x:v>
      </x:c>
      <x:c r="G166" s="10" t="str">
        <x:v>Trial Register!R73</x:v>
      </x:c>
      <x:c r="H166" s="10" t="str">
        <x:v>physical acceptance authority</x:v>
      </x:c>
      <x:c r="I166" s="10" t="str">
        <x:f>IF(F166=0,"OPEN",IF(F166=E166,"PASS","FAIL"))</x:f>
        <x:v>OPEN</x:v>
      </x:c>
    </x:row>
    <x:row r="167">
      <x:c r="B167" s="10" t="str">
        <x:v>PH-TRIAL-MCR-F-C-B-W08</x:v>
      </x:c>
      <x:c r="C167" s="10" t="str">
        <x:v>physical source</x:v>
      </x:c>
      <x:c r="D167" s="10" t="str">
        <x:v>accepted hazard event</x:v>
      </x:c>
      <x:c r="E167" s="37" t="n">
        <x:v>1</x:v>
      </x:c>
      <x:c r="F167" s="37" t="n">
        <x:f>IF('Trial Register'!R74="PASS",1,0)</x:f>
        <x:v>0</x:v>
      </x:c>
      <x:c r="G167" s="10" t="str">
        <x:v>Trial Register!R74</x:v>
      </x:c>
      <x:c r="H167" s="10" t="str">
        <x:v>physical acceptance authority</x:v>
      </x:c>
      <x:c r="I167" s="10" t="str">
        <x:f>IF(F167=0,"OPEN",IF(F167=E167,"PASS","FAIL"))</x:f>
        <x:v>OPEN</x:v>
      </x:c>
    </x:row>
    <x:row r="168">
      <x:c r="B168" s="10" t="str">
        <x:v>PH-TRIAL-MCR-F-C-B-W09</x:v>
      </x:c>
      <x:c r="C168" s="10" t="str">
        <x:v>physical source</x:v>
      </x:c>
      <x:c r="D168" s="10" t="str">
        <x:v>accepted hazard event</x:v>
      </x:c>
      <x:c r="E168" s="37" t="n">
        <x:v>1</x:v>
      </x:c>
      <x:c r="F168" s="37" t="n">
        <x:f>IF('Trial Register'!R75="PASS",1,0)</x:f>
        <x:v>0</x:v>
      </x:c>
      <x:c r="G168" s="10" t="str">
        <x:v>Trial Register!R75</x:v>
      </x:c>
      <x:c r="H168" s="10" t="str">
        <x:v>physical acceptance authority</x:v>
      </x:c>
      <x:c r="I168" s="10" t="str">
        <x:f>IF(F168=0,"OPEN",IF(F168=E168,"PASS","FAIL"))</x:f>
        <x:v>OPEN</x:v>
      </x:c>
    </x:row>
    <x:row r="169">
      <x:c r="B169" s="10" t="str">
        <x:v>PH-TRIAL-MCR-F-C-B-W10</x:v>
      </x:c>
      <x:c r="C169" s="10" t="str">
        <x:v>physical source</x:v>
      </x:c>
      <x:c r="D169" s="10" t="str">
        <x:v>accepted hazard event</x:v>
      </x:c>
      <x:c r="E169" s="37" t="n">
        <x:v>1</x:v>
      </x:c>
      <x:c r="F169" s="37" t="n">
        <x:f>IF('Trial Register'!R76="PASS",1,0)</x:f>
        <x:v>0</x:v>
      </x:c>
      <x:c r="G169" s="10" t="str">
        <x:v>Trial Register!R76</x:v>
      </x:c>
      <x:c r="H169" s="10" t="str">
        <x:v>physical acceptance authority</x:v>
      </x:c>
      <x:c r="I169" s="10" t="str">
        <x:f>IF(F169=0,"OPEN",IF(F169=E169,"PASS","FAIL"))</x:f>
        <x:v>OPEN</x:v>
      </x:c>
    </x:row>
    <x:row r="170">
      <x:c r="B170" s="10" t="str">
        <x:v>PH-TRIAL-MCR-F-C-B-W11</x:v>
      </x:c>
      <x:c r="C170" s="10" t="str">
        <x:v>physical source</x:v>
      </x:c>
      <x:c r="D170" s="10" t="str">
        <x:v>accepted hazard event</x:v>
      </x:c>
      <x:c r="E170" s="37" t="n">
        <x:v>1</x:v>
      </x:c>
      <x:c r="F170" s="37" t="n">
        <x:f>IF('Trial Register'!R77="PASS",1,0)</x:f>
        <x:v>0</x:v>
      </x:c>
      <x:c r="G170" s="10" t="str">
        <x:v>Trial Register!R77</x:v>
      </x:c>
      <x:c r="H170" s="10" t="str">
        <x:v>physical acceptance authority</x:v>
      </x:c>
      <x:c r="I170" s="10" t="str">
        <x:f>IF(F170=0,"OPEN",IF(F170=E170,"PASS","FAIL"))</x:f>
        <x:v>OPEN</x:v>
      </x:c>
    </x:row>
    <x:row r="171">
      <x:c r="B171" s="10" t="str">
        <x:v>PH-TRIAL-MCR-F-C-B-W12</x:v>
      </x:c>
      <x:c r="C171" s="10" t="str">
        <x:v>physical source</x:v>
      </x:c>
      <x:c r="D171" s="10" t="str">
        <x:v>accepted hazard event</x:v>
      </x:c>
      <x:c r="E171" s="37" t="n">
        <x:v>1</x:v>
      </x:c>
      <x:c r="F171" s="37" t="n">
        <x:f>IF('Trial Register'!R78="PASS",1,0)</x:f>
        <x:v>0</x:v>
      </x:c>
      <x:c r="G171" s="10" t="str">
        <x:v>Trial Register!R78</x:v>
      </x:c>
      <x:c r="H171" s="10" t="str">
        <x:v>physical acceptance authority</x:v>
      </x:c>
      <x:c r="I171" s="10" t="str">
        <x:f>IF(F171=0,"OPEN",IF(F171=E171,"PASS","FAIL"))</x:f>
        <x:v>OPEN</x:v>
      </x:c>
    </x:row>
    <x:row r="172">
      <x:c r="B172" s="10" t="str">
        <x:v>PH-TRIAL-MCR-C-C-B-W02</x:v>
      </x:c>
      <x:c r="C172" s="10" t="str">
        <x:v>physical source</x:v>
      </x:c>
      <x:c r="D172" s="10" t="str">
        <x:v>accepted hazard event</x:v>
      </x:c>
      <x:c r="E172" s="37" t="n">
        <x:v>1</x:v>
      </x:c>
      <x:c r="F172" s="37" t="n">
        <x:f>IF('Trial Register'!R79="PASS",1,0)</x:f>
        <x:v>0</x:v>
      </x:c>
      <x:c r="G172" s="10" t="str">
        <x:v>Trial Register!R79</x:v>
      </x:c>
      <x:c r="H172" s="10" t="str">
        <x:v>physical acceptance authority</x:v>
      </x:c>
      <x:c r="I172" s="10" t="str">
        <x:f>IF(F172=0,"OPEN",IF(F172=E172,"PASS","FAIL"))</x:f>
        <x:v>OPEN</x:v>
      </x:c>
    </x:row>
    <x:row r="173">
      <x:c r="B173" s="10" t="str">
        <x:v>PH-TRIAL-MCR-C-C-B-W03</x:v>
      </x:c>
      <x:c r="C173" s="10" t="str">
        <x:v>physical source</x:v>
      </x:c>
      <x:c r="D173" s="10" t="str">
        <x:v>accepted hazard event</x:v>
      </x:c>
      <x:c r="E173" s="37" t="n">
        <x:v>1</x:v>
      </x:c>
      <x:c r="F173" s="37" t="n">
        <x:f>IF('Trial Register'!R80="PASS",1,0)</x:f>
        <x:v>0</x:v>
      </x:c>
      <x:c r="G173" s="10" t="str">
        <x:v>Trial Register!R80</x:v>
      </x:c>
      <x:c r="H173" s="10" t="str">
        <x:v>physical acceptance authority</x:v>
      </x:c>
      <x:c r="I173" s="10" t="str">
        <x:f>IF(F173=0,"OPEN",IF(F173=E173,"PASS","FAIL"))</x:f>
        <x:v>OPEN</x:v>
      </x:c>
    </x:row>
    <x:row r="174">
      <x:c r="B174" s="10" t="str">
        <x:v>PH-TRIAL-MCR-C-C-B-W06</x:v>
      </x:c>
      <x:c r="C174" s="10" t="str">
        <x:v>physical source</x:v>
      </x:c>
      <x:c r="D174" s="10" t="str">
        <x:v>accepted hazard event</x:v>
      </x:c>
      <x:c r="E174" s="37" t="n">
        <x:v>1</x:v>
      </x:c>
      <x:c r="F174" s="37" t="n">
        <x:f>IF('Trial Register'!R81="PASS",1,0)</x:f>
        <x:v>0</x:v>
      </x:c>
      <x:c r="G174" s="10" t="str">
        <x:v>Trial Register!R81</x:v>
      </x:c>
      <x:c r="H174" s="10" t="str">
        <x:v>physical acceptance authority</x:v>
      </x:c>
      <x:c r="I174" s="10" t="str">
        <x:f>IF(F174=0,"OPEN",IF(F174=E174,"PASS","FAIL"))</x:f>
        <x:v>OPEN</x:v>
      </x:c>
    </x:row>
    <x:row r="175">
      <x:c r="B175" s="10" t="str">
        <x:v>PH-TRIAL-MCR-C-C-B-W07</x:v>
      </x:c>
      <x:c r="C175" s="10" t="str">
        <x:v>physical source</x:v>
      </x:c>
      <x:c r="D175" s="10" t="str">
        <x:v>accepted hazard event</x:v>
      </x:c>
      <x:c r="E175" s="37" t="n">
        <x:v>1</x:v>
      </x:c>
      <x:c r="F175" s="37" t="n">
        <x:f>IF('Trial Register'!R82="PASS",1,0)</x:f>
        <x:v>0</x:v>
      </x:c>
      <x:c r="G175" s="10" t="str">
        <x:v>Trial Register!R82</x:v>
      </x:c>
      <x:c r="H175" s="10" t="str">
        <x:v>physical acceptance authority</x:v>
      </x:c>
      <x:c r="I175" s="10" t="str">
        <x:f>IF(F175=0,"OPEN",IF(F175=E175,"PASS","FAIL"))</x:f>
        <x:v>OPEN</x:v>
      </x:c>
    </x:row>
    <x:row r="176">
      <x:c r="B176" s="10" t="str">
        <x:v>PH-TRIAL-MCR-C-C-B-W08</x:v>
      </x:c>
      <x:c r="C176" s="10" t="str">
        <x:v>physical source</x:v>
      </x:c>
      <x:c r="D176" s="10" t="str">
        <x:v>accepted hazard event</x:v>
      </x:c>
      <x:c r="E176" s="37" t="n">
        <x:v>1</x:v>
      </x:c>
      <x:c r="F176" s="37" t="n">
        <x:f>IF('Trial Register'!R83="PASS",1,0)</x:f>
        <x:v>0</x:v>
      </x:c>
      <x:c r="G176" s="10" t="str">
        <x:v>Trial Register!R83</x:v>
      </x:c>
      <x:c r="H176" s="10" t="str">
        <x:v>physical acceptance authority</x:v>
      </x:c>
      <x:c r="I176" s="10" t="str">
        <x:f>IF(F176=0,"OPEN",IF(F176=E176,"PASS","FAIL"))</x:f>
        <x:v>OPEN</x:v>
      </x:c>
    </x:row>
    <x:row r="177">
      <x:c r="B177" s="10" t="str">
        <x:v>PH-TRIAL-MCR-C-C-B-W09</x:v>
      </x:c>
      <x:c r="C177" s="10" t="str">
        <x:v>physical source</x:v>
      </x:c>
      <x:c r="D177" s="10" t="str">
        <x:v>accepted hazard event</x:v>
      </x:c>
      <x:c r="E177" s="37" t="n">
        <x:v>1</x:v>
      </x:c>
      <x:c r="F177" s="37" t="n">
        <x:f>IF('Trial Register'!R84="PASS",1,0)</x:f>
        <x:v>0</x:v>
      </x:c>
      <x:c r="G177" s="10" t="str">
        <x:v>Trial Register!R84</x:v>
      </x:c>
      <x:c r="H177" s="10" t="str">
        <x:v>physical acceptance authority</x:v>
      </x:c>
      <x:c r="I177" s="10" t="str">
        <x:f>IF(F177=0,"OPEN",IF(F177=E177,"PASS","FAIL"))</x:f>
        <x:v>OPEN</x:v>
      </x:c>
    </x:row>
    <x:row r="178">
      <x:c r="B178" s="10" t="str">
        <x:v>PH-REPLAY-MCR-R-B-A-1</x:v>
      </x:c>
      <x:c r="C178" s="10" t="str">
        <x:v>physical source</x:v>
      </x:c>
      <x:c r="D178" s="10" t="str">
        <x:v>accepted hazardous replay</x:v>
      </x:c>
      <x:c r="E178" s="37" t="n">
        <x:v>1</x:v>
      </x:c>
      <x:c r="F178" s="37" t="n">
        <x:f>IF('Trial Register'!R25="PASS",1,0)</x:f>
        <x:v>0</x:v>
      </x:c>
      <x:c r="G178" s="10" t="str">
        <x:v>Trial Register!R25</x:v>
      </x:c>
      <x:c r="H178" s="10" t="str">
        <x:v>physical acceptance authority</x:v>
      </x:c>
      <x:c r="I178" s="10" t="str">
        <x:f>IF(F178=0,"OPEN",IF(F178=E178,"PASS","FAIL"))</x:f>
        <x:v>OPEN</x:v>
      </x:c>
    </x:row>
    <x:row r="179">
      <x:c r="B179" s="10" t="str">
        <x:v>PH-REPLAY-MCR-R-B-A-2</x:v>
      </x:c>
      <x:c r="C179" s="10" t="str">
        <x:v>physical source</x:v>
      </x:c>
      <x:c r="D179" s="10" t="str">
        <x:v>accepted hazardous replay</x:v>
      </x:c>
      <x:c r="E179" s="37" t="n">
        <x:v>1</x:v>
      </x:c>
      <x:c r="F179" s="37" t="n">
        <x:f>IF('Trial Register'!R26="PASS",1,0)</x:f>
        <x:v>0</x:v>
      </x:c>
      <x:c r="G179" s="10" t="str">
        <x:v>Trial Register!R26</x:v>
      </x:c>
      <x:c r="H179" s="10" t="str">
        <x:v>physical acceptance authority</x:v>
      </x:c>
      <x:c r="I179" s="10" t="str">
        <x:f>IF(F179=0,"OPEN",IF(F179=E179,"PASS","FAIL"))</x:f>
        <x:v>OPEN</x:v>
      </x:c>
    </x:row>
    <x:row r="180">
      <x:c r="B180" s="10" t="str">
        <x:v>PH-REPLAY-MCR-R-B-B-1</x:v>
      </x:c>
      <x:c r="C180" s="10" t="str">
        <x:v>physical source</x:v>
      </x:c>
      <x:c r="D180" s="10" t="str">
        <x:v>accepted hazardous replay</x:v>
      </x:c>
      <x:c r="E180" s="37" t="n">
        <x:v>1</x:v>
      </x:c>
      <x:c r="F180" s="37" t="n">
        <x:f>IF('Trial Register'!R45="PASS",1,0)</x:f>
        <x:v>0</x:v>
      </x:c>
      <x:c r="G180" s="10" t="str">
        <x:v>Trial Register!R45</x:v>
      </x:c>
      <x:c r="H180" s="10" t="str">
        <x:v>physical acceptance authority</x:v>
      </x:c>
      <x:c r="I180" s="10" t="str">
        <x:f>IF(F180=0,"OPEN",IF(F180=E180,"PASS","FAIL"))</x:f>
        <x:v>OPEN</x:v>
      </x:c>
    </x:row>
    <x:row r="181">
      <x:c r="B181" s="10" t="str">
        <x:v>PH-REPLAY-MCR-R-B-B-2</x:v>
      </x:c>
      <x:c r="C181" s="10" t="str">
        <x:v>physical source</x:v>
      </x:c>
      <x:c r="D181" s="10" t="str">
        <x:v>accepted hazardous replay</x:v>
      </x:c>
      <x:c r="E181" s="37" t="n">
        <x:v>1</x:v>
      </x:c>
      <x:c r="F181" s="37" t="n">
        <x:f>IF('Trial Register'!R46="PASS",1,0)</x:f>
        <x:v>0</x:v>
      </x:c>
      <x:c r="G181" s="10" t="str">
        <x:v>Trial Register!R46</x:v>
      </x:c>
      <x:c r="H181" s="10" t="str">
        <x:v>physical acceptance authority</x:v>
      </x:c>
      <x:c r="I181" s="10" t="str">
        <x:f>IF(F181=0,"OPEN",IF(F181=E181,"PASS","FAIL"))</x:f>
        <x:v>OPEN</x:v>
      </x:c>
    </x:row>
    <x:row r="182">
      <x:c r="B182" s="10" t="str">
        <x:v>PH-REPLAY-MCR-R-C-A-1</x:v>
      </x:c>
      <x:c r="C182" s="10" t="str">
        <x:v>physical source</x:v>
      </x:c>
      <x:c r="D182" s="10" t="str">
        <x:v>accepted hazardous replay</x:v>
      </x:c>
      <x:c r="E182" s="37" t="n">
        <x:v>1</x:v>
      </x:c>
      <x:c r="F182" s="37" t="n">
        <x:f>IF('Trial Register'!R65="PASS",1,0)</x:f>
        <x:v>0</x:v>
      </x:c>
      <x:c r="G182" s="10" t="str">
        <x:v>Trial Register!R65</x:v>
      </x:c>
      <x:c r="H182" s="10" t="str">
        <x:v>physical acceptance authority</x:v>
      </x:c>
      <x:c r="I182" s="10" t="str">
        <x:f>IF(F182=0,"OPEN",IF(F182=E182,"PASS","FAIL"))</x:f>
        <x:v>OPEN</x:v>
      </x:c>
    </x:row>
    <x:row r="183">
      <x:c r="B183" s="10" t="str">
        <x:v>PH-REPLAY-MCR-R-C-A-2</x:v>
      </x:c>
      <x:c r="C183" s="10" t="str">
        <x:v>physical source</x:v>
      </x:c>
      <x:c r="D183" s="10" t="str">
        <x:v>accepted hazardous replay</x:v>
      </x:c>
      <x:c r="E183" s="37" t="n">
        <x:v>1</x:v>
      </x:c>
      <x:c r="F183" s="37" t="n">
        <x:f>IF('Trial Register'!R66="PASS",1,0)</x:f>
        <x:v>0</x:v>
      </x:c>
      <x:c r="G183" s="10" t="str">
        <x:v>Trial Register!R66</x:v>
      </x:c>
      <x:c r="H183" s="10" t="str">
        <x:v>physical acceptance authority</x:v>
      </x:c>
      <x:c r="I183" s="10" t="str">
        <x:f>IF(F183=0,"OPEN",IF(F183=E183,"PASS","FAIL"))</x:f>
        <x:v>OPEN</x:v>
      </x:c>
    </x:row>
    <x:row r="184">
      <x:c r="B184" s="10" t="str">
        <x:v>PH-REPLAY-MCR-R-C-B-1</x:v>
      </x:c>
      <x:c r="C184" s="10" t="str">
        <x:v>physical source</x:v>
      </x:c>
      <x:c r="D184" s="10" t="str">
        <x:v>accepted hazardous replay</x:v>
      </x:c>
      <x:c r="E184" s="37" t="n">
        <x:v>1</x:v>
      </x:c>
      <x:c r="F184" s="37" t="n">
        <x:f>IF('Trial Register'!R85="PASS",1,0)</x:f>
        <x:v>0</x:v>
      </x:c>
      <x:c r="G184" s="10" t="str">
        <x:v>Trial Register!R85</x:v>
      </x:c>
      <x:c r="H184" s="10" t="str">
        <x:v>physical acceptance authority</x:v>
      </x:c>
      <x:c r="I184" s="10" t="str">
        <x:f>IF(F184=0,"OPEN",IF(F184=E184,"PASS","FAIL"))</x:f>
        <x:v>OPEN</x:v>
      </x:c>
    </x:row>
    <x:row r="185">
      <x:c r="B185" s="10" t="str">
        <x:v>PH-REPLAY-MCR-R-C-B-2</x:v>
      </x:c>
      <x:c r="C185" s="10" t="str">
        <x:v>physical source</x:v>
      </x:c>
      <x:c r="D185" s="10" t="str">
        <x:v>accepted hazardous replay</x:v>
      </x:c>
      <x:c r="E185" s="37" t="n">
        <x:v>1</x:v>
      </x:c>
      <x:c r="F185" s="37" t="n">
        <x:f>IF('Trial Register'!R86="PASS",1,0)</x:f>
        <x:v>0</x:v>
      </x:c>
      <x:c r="G185" s="10" t="str">
        <x:v>Trial Register!R86</x:v>
      </x:c>
      <x:c r="H185" s="10" t="str">
        <x:v>physical acceptance authority</x:v>
      </x:c>
      <x:c r="I185" s="10" t="str">
        <x:f>IF(F185=0,"OPEN",IF(F185=E185,"PASS","FAIL"))</x:f>
        <x:v>OPEN</x:v>
      </x:c>
    </x:row>
    <x:row r="186">
      <x:c r="B186" s="10" t="str">
        <x:v>PH-SAFE-1</x:v>
      </x:c>
      <x:c r="C186" s="10" t="str">
        <x:v>physical source</x:v>
      </x:c>
      <x:c r="D186" s="10" t="str">
        <x:v>safety-logic proof</x:v>
      </x:c>
      <x:c r="E186" s="37" t="n">
        <x:v>1</x:v>
      </x:c>
      <x:c r="F186" s="37" t="n">
        <x:f>IF('Safety Logic'!Q7="PASS",1,0)</x:f>
        <x:v>0</x:v>
      </x:c>
      <x:c r="G186" s="10" t="str">
        <x:v>Safety Logic!Q7</x:v>
      </x:c>
      <x:c r="H186" s="10" t="str">
        <x:v>physical acceptance authority</x:v>
      </x:c>
      <x:c r="I186" s="10" t="str">
        <x:f>IF(F186=0,"OPEN",IF(F186=E186,"PASS","FAIL"))</x:f>
        <x:v>OPEN</x:v>
      </x:c>
    </x:row>
    <x:row r="187">
      <x:c r="B187" s="10" t="str">
        <x:v>PH-SAFE-2</x:v>
      </x:c>
      <x:c r="C187" s="10" t="str">
        <x:v>physical source</x:v>
      </x:c>
      <x:c r="D187" s="10" t="str">
        <x:v>safety-logic proof</x:v>
      </x:c>
      <x:c r="E187" s="37" t="n">
        <x:v>1</x:v>
      </x:c>
      <x:c r="F187" s="37" t="n">
        <x:f>IF('Safety Logic'!Q8="PASS",1,0)</x:f>
        <x:v>0</x:v>
      </x:c>
      <x:c r="G187" s="10" t="str">
        <x:v>Safety Logic!Q8</x:v>
      </x:c>
      <x:c r="H187" s="10" t="str">
        <x:v>physical acceptance authority</x:v>
      </x:c>
      <x:c r="I187" s="10" t="str">
        <x:f>IF(F187=0,"OPEN",IF(F187=E187,"PASS","FAIL"))</x:f>
        <x:v>OPEN</x:v>
      </x:c>
    </x:row>
    <x:row r="188">
      <x:c r="B188" s="10" t="str">
        <x:v>PH-SAFE-3</x:v>
      </x:c>
      <x:c r="C188" s="10" t="str">
        <x:v>physical source</x:v>
      </x:c>
      <x:c r="D188" s="10" t="str">
        <x:v>safety-logic proof</x:v>
      </x:c>
      <x:c r="E188" s="37" t="n">
        <x:v>1</x:v>
      </x:c>
      <x:c r="F188" s="37" t="n">
        <x:f>IF('Safety Logic'!Q9="PASS",1,0)</x:f>
        <x:v>0</x:v>
      </x:c>
      <x:c r="G188" s="10" t="str">
        <x:v>Safety Logic!Q9</x:v>
      </x:c>
      <x:c r="H188" s="10" t="str">
        <x:v>physical acceptance authority</x:v>
      </x:c>
      <x:c r="I188" s="10" t="str">
        <x:f>IF(F188=0,"OPEN",IF(F188=E188,"PASS","FAIL"))</x:f>
        <x:v>OPEN</x:v>
      </x:c>
    </x:row>
    <x:row r="189">
      <x:c r="B189" s="10" t="str">
        <x:v>PH-SAFE-4</x:v>
      </x:c>
      <x:c r="C189" s="10" t="str">
        <x:v>physical source</x:v>
      </x:c>
      <x:c r="D189" s="10" t="str">
        <x:v>safety-logic proof</x:v>
      </x:c>
      <x:c r="E189" s="37" t="n">
        <x:v>1</x:v>
      </x:c>
      <x:c r="F189" s="37" t="n">
        <x:f>IF('Safety Logic'!Q10="PASS",1,0)</x:f>
        <x:v>0</x:v>
      </x:c>
      <x:c r="G189" s="10" t="str">
        <x:v>Safety Logic!Q10</x:v>
      </x:c>
      <x:c r="H189" s="10" t="str">
        <x:v>physical acceptance authority</x:v>
      </x:c>
      <x:c r="I189" s="10" t="str">
        <x:f>IF(F189=0,"OPEN",IF(F189=E189,"PASS","FAIL"))</x:f>
        <x:v>OPEN</x:v>
      </x:c>
    </x:row>
    <x:row r="190">
      <x:c r="B190" s="10" t="str">
        <x:v>PH-INST-1</x:v>
      </x:c>
      <x:c r="C190" s="10" t="str">
        <x:v>physical source</x:v>
      </x:c>
      <x:c r="D190" s="10" t="str">
        <x:v>instrument-package proof</x:v>
      </x:c>
      <x:c r="E190" s="37" t="n">
        <x:v>1</x:v>
      </x:c>
      <x:c r="F190" s="37" t="n">
        <x:f>IF(COUNTIF('Instrumentation'!N7:N24,"PASS")=ROWS('Instrumentation'!N7:N24),1,0)</x:f>
        <x:v>0</x:v>
      </x:c>
      <x:c r="G190" s="10" t="str">
        <x:v>Instrumentation!N7:N24</x:v>
      </x:c>
      <x:c r="H190" s="10" t="str">
        <x:v>physical acceptance authority</x:v>
      </x:c>
      <x:c r="I190" s="10" t="str">
        <x:f>IF(F190=0,"OPEN",IF(F190=E190,"PASS","FAIL"))</x:f>
        <x:v>OPEN</x:v>
      </x:c>
    </x:row>
    <x:row r="191">
      <x:c r="B191" s="10" t="str">
        <x:v>PH-INST-2</x:v>
      </x:c>
      <x:c r="C191" s="10" t="str">
        <x:v>physical source</x:v>
      </x:c>
      <x:c r="D191" s="10" t="str">
        <x:v>instrument-package proof</x:v>
      </x:c>
      <x:c r="E191" s="37" t="n">
        <x:v>1</x:v>
      </x:c>
      <x:c r="F191" s="37" t="n">
        <x:f>IF(COUNTIF('Instrumentation'!N7:N24,"PASS")=ROWS('Instrumentation'!N7:N24),1,0)</x:f>
        <x:v>0</x:v>
      </x:c>
      <x:c r="G191" s="10" t="str">
        <x:v>Instrumentation!N7:N24</x:v>
      </x:c>
      <x:c r="H191" s="10" t="str">
        <x:v>physical acceptance authority</x:v>
      </x:c>
      <x:c r="I191" s="10" t="str">
        <x:f>IF(F191=0,"OPEN",IF(F191=E191,"PASS","FAIL"))</x:f>
        <x:v>OPEN</x:v>
      </x:c>
    </x:row>
    <x:row r="192">
      <x:c r="B192" s="10" t="str">
        <x:v>PH-INST-3</x:v>
      </x:c>
      <x:c r="C192" s="10" t="str">
        <x:v>physical source</x:v>
      </x:c>
      <x:c r="D192" s="10" t="str">
        <x:v>instrument-package proof</x:v>
      </x:c>
      <x:c r="E192" s="37" t="n">
        <x:v>1</x:v>
      </x:c>
      <x:c r="F192" s="37" t="n">
        <x:f>IF(COUNTIF('Instrumentation'!N7:N24,"PASS")=ROWS('Instrumentation'!N7:N24),1,0)</x:f>
        <x:v>0</x:v>
      </x:c>
      <x:c r="G192" s="10" t="str">
        <x:v>Instrumentation!N7:N24</x:v>
      </x:c>
      <x:c r="H192" s="10" t="str">
        <x:v>physical acceptance authority</x:v>
      </x:c>
      <x:c r="I192" s="10" t="str">
        <x:f>IF(F192=0,"OPEN",IF(F192=E192,"PASS","FAIL"))</x:f>
        <x:v>OPEN</x:v>
      </x:c>
    </x:row>
    <x:row r="193">
      <x:c r="B193" s="10" t="str">
        <x:v>PH-INST-4</x:v>
      </x:c>
      <x:c r="C193" s="10" t="str">
        <x:v>physical source</x:v>
      </x:c>
      <x:c r="D193" s="10" t="str">
        <x:v>instrument-package proof</x:v>
      </x:c>
      <x:c r="E193" s="37" t="n">
        <x:v>1</x:v>
      </x:c>
      <x:c r="F193" s="37" t="n">
        <x:f>IF(COUNTIF('Instrumentation'!N7:N24,"PASS")=ROWS('Instrumentation'!N7:N24),1,0)</x:f>
        <x:v>0</x:v>
      </x:c>
      <x:c r="G193" s="10" t="str">
        <x:v>Instrumentation!N7:N24</x:v>
      </x:c>
      <x:c r="H193" s="10" t="str">
        <x:v>physical acceptance authority</x:v>
      </x:c>
      <x:c r="I193" s="10" t="str">
        <x:f>IF(F193=0,"OPEN",IF(F193=E193,"PASS","FAIL"))</x:f>
        <x:v>OPEN</x:v>
      </x:c>
    </x:row>
    <x:row r="194">
      <x:c r="B194" s="10" t="str">
        <x:v>PH-REC-1</x:v>
      </x:c>
      <x:c r="C194" s="10" t="str">
        <x:v>physical source</x:v>
      </x:c>
      <x:c r="D194" s="10" t="str">
        <x:v>recovery and evidence proof</x:v>
      </x:c>
      <x:c r="E194" s="37" t="n">
        <x:v>1</x:v>
      </x:c>
      <x:c r="F194" s="37" t="n">
        <x:f>IF('Recovery Evidence'!O7="PASS",1,0)</x:f>
        <x:v>0</x:v>
      </x:c>
      <x:c r="G194" s="10" t="str">
        <x:v>Recovery Evidence!O7</x:v>
      </x:c>
      <x:c r="H194" s="10" t="str">
        <x:v>physical acceptance authority</x:v>
      </x:c>
      <x:c r="I194" s="10" t="str">
        <x:f>IF(F194=0,"OPEN",IF(F194=E194,"PASS","FAIL"))</x:f>
        <x:v>OPEN</x:v>
      </x:c>
    </x:row>
    <x:row r="195">
      <x:c r="B195" s="10" t="str">
        <x:v>PH-REC-2</x:v>
      </x:c>
      <x:c r="C195" s="10" t="str">
        <x:v>physical source</x:v>
      </x:c>
      <x:c r="D195" s="10" t="str">
        <x:v>recovery and evidence proof</x:v>
      </x:c>
      <x:c r="E195" s="37" t="n">
        <x:v>1</x:v>
      </x:c>
      <x:c r="F195" s="37" t="n">
        <x:f>IF('Recovery Evidence'!O8="PASS",1,0)</x:f>
        <x:v>0</x:v>
      </x:c>
      <x:c r="G195" s="10" t="str">
        <x:v>Recovery Evidence!O8</x:v>
      </x:c>
      <x:c r="H195" s="10" t="str">
        <x:v>physical acceptance authority</x:v>
      </x:c>
      <x:c r="I195" s="10" t="str">
        <x:f>IF(F195=0,"OPEN",IF(F195=E195,"PASS","FAIL"))</x:f>
        <x:v>OPEN</x:v>
      </x:c>
    </x:row>
    <x:row r="196">
      <x:c r="B196" s="10" t="str">
        <x:v>PH-REC-3</x:v>
      </x:c>
      <x:c r="C196" s="10" t="str">
        <x:v>physical source</x:v>
      </x:c>
      <x:c r="D196" s="10" t="str">
        <x:v>recovery and evidence proof</x:v>
      </x:c>
      <x:c r="E196" s="37" t="n">
        <x:v>1</x:v>
      </x:c>
      <x:c r="F196" s="37" t="n">
        <x:f>IF('Recovery Evidence'!O9="PASS",1,0)</x:f>
        <x:v>0</x:v>
      </x:c>
      <x:c r="G196" s="10" t="str">
        <x:v>Recovery Evidence!O9</x:v>
      </x:c>
      <x:c r="H196" s="10" t="str">
        <x:v>physical acceptance authority</x:v>
      </x:c>
      <x:c r="I196" s="10" t="str">
        <x:f>IF(F196=0,"OPEN",IF(F196=E196,"PASS","FAIL"))</x:f>
        <x:v>OPEN</x:v>
      </x:c>
    </x:row>
    <x:row r="197">
      <x:c r="B197" s="10" t="str">
        <x:v>PH-REC-4</x:v>
      </x:c>
      <x:c r="C197" s="10" t="str">
        <x:v>physical source</x:v>
      </x:c>
      <x:c r="D197" s="10" t="str">
        <x:v>recovery and evidence proof</x:v>
      </x:c>
      <x:c r="E197" s="37" t="n">
        <x:v>1</x:v>
      </x:c>
      <x:c r="F197" s="37" t="n">
        <x:f>IF('Recovery Evidence'!O10="PASS",1,0)</x:f>
        <x:v>0</x:v>
      </x:c>
      <x:c r="G197" s="10" t="str">
        <x:v>Recovery Evidence!O10</x:v>
      </x:c>
      <x:c r="H197" s="10" t="str">
        <x:v>physical acceptance authority</x:v>
      </x:c>
      <x:c r="I197" s="10" t="str">
        <x:f>IF(F197=0,"OPEN",IF(F197=E197,"PASS","FAIL"))</x:f>
        <x:v>OPEN</x:v>
      </x:c>
    </x:row>
    <x:row r="198">
      <x:c r="B198" s="10" t="str">
        <x:v>DS-C2</x:v>
      </x:c>
      <x:c r="C198" s="10" t="str">
        <x:v>downstream</x:v>
      </x:c>
      <x:c r="D198" s="10" t="str">
        <x:v>eight-tonne C2 admission</x:v>
      </x:c>
      <x:c r="E198" s="37" t="n">
        <x:v>1</x:v>
      </x:c>
      <x:c r="F198" s="37" t="n">
        <x:f>'Controls'!$D$57</x:f>
        <x:v>0</x:v>
      </x:c>
      <x:c r="G198" s="10" t="str">
        <x:v>Controls C51</x:v>
      </x:c>
      <x:c r="H198" s="10" t="str">
        <x:v>separate downstream authority</x:v>
      </x:c>
      <x:c r="I198" s="10" t="str">
        <x:f>IF(F198=1,"PASS","BLOCKED")</x:f>
        <x:v>BLOCKED</x:v>
      </x:c>
    </x:row>
    <x:row r="199">
      <x:c r="B199" s="10" t="str">
        <x:v>DS-SDEC</x:v>
      </x:c>
      <x:c r="C199" s="10" t="str">
        <x:v>downstream</x:v>
      </x:c>
      <x:c r="D199" s="10" t="str">
        <x:v>SDEC-1 execution</x:v>
      </x:c>
      <x:c r="E199" s="37" t="n">
        <x:v>1</x:v>
      </x:c>
      <x:c r="F199" s="37" t="n">
        <x:f>'Controls'!$D$58</x:f>
        <x:v>0</x:v>
      </x:c>
      <x:c r="G199" s="10" t="str">
        <x:v>Controls C52</x:v>
      </x:c>
      <x:c r="H199" s="10" t="str">
        <x:v>separate downstream authority</x:v>
      </x:c>
      <x:c r="I199" s="10" t="str">
        <x:f>IF(F199=1,"PASS","BLOCKED")</x:f>
        <x:v>BLOCKED</x:v>
      </x:c>
    </x:row>
    <x:row r="200">
      <x:c r="B200" s="10" t="str">
        <x:v>DS-ARTICLE</x:v>
      </x:c>
      <x:c r="C200" s="10" t="str">
        <x:v>downstream</x:v>
      </x:c>
      <x:c r="D200" s="10" t="str">
        <x:v>complete-article admission</x:v>
      </x:c>
      <x:c r="E200" s="37" t="n">
        <x:v>1</x:v>
      </x:c>
      <x:c r="F200" s="37" t="n">
        <x:f>'Controls'!$D$59</x:f>
        <x:v>0</x:v>
      </x:c>
      <x:c r="G200" s="10" t="str">
        <x:v>Controls C53</x:v>
      </x:c>
      <x:c r="H200" s="10" t="str">
        <x:v>separate downstream authority</x:v>
      </x:c>
      <x:c r="I200" s="10" t="str">
        <x:f>IF(F200=1,"PASS","BLOCKED")</x:f>
        <x:v>BLOCKED</x:v>
      </x:c>
    </x:row>
    <x:row r="201">
      <x:c r="B201" s="10" t="str">
        <x:v>DS-RB1</x:v>
      </x:c>
      <x:c r="C201" s="10" t="str">
        <x:v>downstream</x:v>
      </x:c>
      <x:c r="D201" s="10" t="str">
        <x:v>CISA-RB1 disposition</x:v>
      </x:c>
      <x:c r="E201" s="37" t="n">
        <x:v>1</x:v>
      </x:c>
      <x:c r="F201" s="37" t="n">
        <x:f>'Controls'!$D$60</x:f>
        <x:v>0</x:v>
      </x:c>
      <x:c r="G201" s="10" t="str">
        <x:v>Controls C54</x:v>
      </x:c>
      <x:c r="H201" s="10" t="str">
        <x:v>separate downstream authority</x:v>
      </x:c>
      <x:c r="I201" s="10" t="str">
        <x:f>IF(F201=1,"PASS","BLOCKED")</x:f>
        <x:v>BLOCKED</x:v>
      </x:c>
    </x:row>
    <x:row r="202">
      <x:c r="B202" s="10" t="str">
        <x:v>DS-CRC</x:v>
      </x:c>
      <x:c r="C202" s="10" t="str">
        <x:v>downstream</x:v>
      </x:c>
      <x:c r="D202" s="10" t="str">
        <x:v>CRC-E01 admission</x:v>
      </x:c>
      <x:c r="E202" s="37" t="n">
        <x:v>1</x:v>
      </x:c>
      <x:c r="F202" s="37" t="n">
        <x:f>'Controls'!$D$61</x:f>
        <x:v>0</x:v>
      </x:c>
      <x:c r="G202" s="10" t="str">
        <x:v>Controls C55</x:v>
      </x:c>
      <x:c r="H202" s="10" t="str">
        <x:v>separate downstream authority</x:v>
      </x:c>
      <x:c r="I202" s="10" t="str">
        <x:f>IF(F202=1,"PASS","BLOCKED")</x:f>
        <x:v>BLOCKED</x:v>
      </x:c>
    </x:row>
    <x:row r="203">
      <x:c r="B203" s="10" t="str">
        <x:v>DS-PROD</x:v>
      </x:c>
      <x:c r="C203" s="10" t="str">
        <x:v>downstream</x:v>
      </x:c>
      <x:c r="D203" s="10" t="str">
        <x:v>production</x:v>
      </x:c>
      <x:c r="E203" s="37" t="n">
        <x:v>1</x:v>
      </x:c>
      <x:c r="F203" s="37" t="n">
        <x:f>'Controls'!$D$62</x:f>
        <x:v>0</x:v>
      </x:c>
      <x:c r="G203" s="10" t="str">
        <x:v>Controls C56</x:v>
      </x:c>
      <x:c r="H203" s="10" t="str">
        <x:v>separate downstream authority</x:v>
      </x:c>
      <x:c r="I203" s="10" t="str">
        <x:f>IF(F203=1,"PASS","BLOCKED")</x:f>
        <x:v>BLOCKED</x:v>
      </x:c>
    </x:row>
    <x:row r="204">
      <x:c r="B204" s="11" t="str">
        <x:v>DS-RENDER</x:v>
      </x:c>
      <x:c r="C204" s="11" t="str">
        <x:v>downstream</x:v>
      </x:c>
      <x:c r="D204" s="11" t="str">
        <x:v>exterior rendering</x:v>
      </x:c>
      <x:c r="E204" s="38" t="n">
        <x:v>1</x:v>
      </x:c>
      <x:c r="F204" s="38" t="n">
        <x:f>'Controls'!$D$63</x:f>
        <x:v>0</x:v>
      </x:c>
      <x:c r="G204" s="11" t="str">
        <x:v>Controls C57</x:v>
      </x:c>
      <x:c r="H204" s="11" t="str">
        <x:v>separate downstream authority</x:v>
      </x:c>
      <x:c r="I204" s="11" t="str">
        <x:f>IF(F204=1,"PASS","BLOCKED")</x:f>
        <x:v>BLOCKED</x:v>
      </x:c>
    </x:row>
  </x:sheetData>
  <x:mergeCells>
    <x:mergeCell ref="B2:J2"/>
    <x:mergeCell ref="B3:J3"/>
  </x:mergeCells>
  <x:conditionalFormatting sqref="I7:I204">
    <x:cfRule type="containsText" dxfId="252" priority="1" operator="containsText" text="PASS"/>
    <x:cfRule type="containsText" dxfId="253" priority="2" operator="containsText" text="AUTHORIZED"/>
    <x:cfRule type="containsText" dxfId="254" priority="3" operator="containsText" text="DEFINED"/>
    <x:cfRule type="containsText" dxfId="255" priority="4" operator="containsText" text="READY"/>
    <x:cfRule type="containsText" dxfId="256" priority="5" operator="containsText" text="HOLD"/>
    <x:cfRule type="containsText" dxfId="257" priority="6" operator="containsText" text="OPEN"/>
    <x:cfRule type="containsText" dxfId="258" priority="7" operator="containsText" text="BLOCKED"/>
    <x:cfRule type="containsText" dxfId="259" priority="8" operator="containsText" text="PLANNING"/>
    <x:cfRule type="containsText" dxfId="260" priority="9" operator="containsText" text="QUARANTINE"/>
    <x:cfRule type="containsText" dxfId="261" priority="10" operator="containsText" text="INDETERMINATE"/>
    <x:cfRule type="containsText" dxfId="262" priority="11" operator="containsText" text="FAIL"/>
    <x:cfRule type="containsText" dxfId="263" priority="12" operator="containsText" text="REJECT"/>
    <x:cfRule type="containsText" dxfId="264" priority="13" operator="containsText" text="INVALID"/>
    <x:cfRule type="containsText" dxfId="265" priority="14" operator="containsText" text="STOP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2" hidden="0" customWidth="1"/>
    <x:col min="3" max="3" width="18" hidden="0" customWidth="1"/>
    <x:col min="4" max="4" width="34" hidden="0" customWidth="1"/>
    <x:col min="5" max="5" width="44" hidden="0" customWidth="1"/>
    <x:col min="6" max="6" width="22" hidden="0" customWidth="1"/>
    <x:col min="7" max="7" width="18" hidden="0" customWidth="1"/>
    <x:col min="8" max="8" width="14" hidden="0" customWidth="1"/>
  </x:cols>
  <x:sheetData>
    <x:row r="2">
      <x:c r="B2" s="1" t="str">
        <x:v>Terminal audit</x:v>
      </x:c>
    </x:row>
    <x:row r="3">
      <x:c r="B3" s="2" t="str">
        <x:v>573 independent workbook checks. Audit results do not feed the model, release gates or summary.</x:v>
      </x:c>
    </x:row>
    <x:row r="4">
      <x:c r="B4" s="3"/>
      <x:c r="C4" s="3"/>
      <x:c r="D4" s="3"/>
      <x:c r="E4" s="3"/>
      <x:c r="F4" s="3"/>
      <x:c r="G4" s="3"/>
      <x:c r="H4" s="3"/>
      <x:c r="I4" s="3"/>
    </x:row>
    <x:row r="6">
      <x:c r="B6" s="8" t="str">
        <x:v>Audit ID</x:v>
      </x:c>
      <x:c r="C6" s="8" t="str">
        <x:v>Domain</x:v>
      </x:c>
      <x:c r="D6" s="8" t="str">
        <x:v>Object</x:v>
      </x:c>
      <x:c r="E6" s="8" t="str">
        <x:v>Rule</x:v>
      </x:c>
      <x:c r="F6" s="8" t="str">
        <x:v>Observed</x:v>
      </x:c>
      <x:c r="G6" s="8" t="str">
        <x:v>Expected</x:v>
      </x:c>
      <x:c r="H6" s="8" t="str">
        <x:v>State</x:v>
      </x:c>
    </x:row>
    <x:row r="7">
      <x:c r="B7" s="10" t="str">
        <x:v>A0001</x:v>
      </x:c>
      <x:c r="C7" s="10" t="str">
        <x:v>source state</x:v>
      </x:c>
      <x:c r="D7" s="10" t="str">
        <x:v>A C0 calculation</x:v>
      </x:c>
      <x:c r="E7" s="10" t="str">
        <x:v>mass and energy reconcile</x:v>
      </x:c>
      <x:c r="F7" s="10" t="str">
        <x:f>'Source States'!M7</x:f>
        <x:v>PASS</x:v>
      </x:c>
      <x:c r="G7" s="10" t="str">
        <x:v>PASS</x:v>
      </x:c>
      <x:c r="H7" s="10" t="str">
        <x:f>IF(F7=G7,"PASS","FAIL")</x:f>
        <x:v>PASS</x:v>
      </x:c>
    </x:row>
    <x:row r="8">
      <x:c r="B8" s="10" t="str">
        <x:v>A0002</x:v>
      </x:c>
      <x:c r="C8" s="10" t="str">
        <x:v>source state</x:v>
      </x:c>
      <x:c r="D8" s="10" t="str">
        <x:v>A C0 admission</x:v>
      </x:c>
      <x:c r="E8" s="10" t="str">
        <x:v>state preserves physical boundary</x:v>
      </x:c>
      <x:c r="F8" s="10" t="str">
        <x:f>'Source States'!O7</x:f>
        <x:v>DEFINED</x:v>
      </x:c>
      <x:c r="G8" s="10" t="str">
        <x:v>DEFINED</x:v>
      </x:c>
      <x:c r="H8" s="10" t="str">
        <x:f>IF(F8=G8,"PASS","FAIL")</x:f>
        <x:v>PASS</x:v>
      </x:c>
    </x:row>
    <x:row r="9">
      <x:c r="B9" s="10" t="str">
        <x:v>A0003</x:v>
      </x:c>
      <x:c r="C9" s="10" t="str">
        <x:v>source state</x:v>
      </x:c>
      <x:c r="D9" s="10" t="str">
        <x:v>A C1 calculation</x:v>
      </x:c>
      <x:c r="E9" s="10" t="str">
        <x:v>mass and energy reconcile</x:v>
      </x:c>
      <x:c r="F9" s="10" t="str">
        <x:f>'Source States'!M8</x:f>
        <x:v>PASS</x:v>
      </x:c>
      <x:c r="G9" s="10" t="str">
        <x:v>PASS</x:v>
      </x:c>
      <x:c r="H9" s="10" t="str">
        <x:f>IF(F9=G9,"PASS","FAIL")</x:f>
        <x:v>PASS</x:v>
      </x:c>
    </x:row>
    <x:row r="10">
      <x:c r="B10" s="10" t="str">
        <x:v>A0004</x:v>
      </x:c>
      <x:c r="C10" s="10" t="str">
        <x:v>source state</x:v>
      </x:c>
      <x:c r="D10" s="10" t="str">
        <x:v>A C1 admission</x:v>
      </x:c>
      <x:c r="E10" s="10" t="str">
        <x:v>state preserves physical boundary</x:v>
      </x:c>
      <x:c r="F10" s="10" t="str">
        <x:f>'Source States'!O8</x:f>
        <x:v>OPEN</x:v>
      </x:c>
      <x:c r="G10" s="10" t="str">
        <x:v>OPEN</x:v>
      </x:c>
      <x:c r="H10" s="10" t="str">
        <x:f>IF(F10=G10,"PASS","FAIL")</x:f>
        <x:v>PASS</x:v>
      </x:c>
    </x:row>
    <x:row r="11">
      <x:c r="B11" s="10" t="str">
        <x:v>A0005</x:v>
      </x:c>
      <x:c r="C11" s="10" t="str">
        <x:v>source state</x:v>
      </x:c>
      <x:c r="D11" s="10" t="str">
        <x:v>A C2 calculation</x:v>
      </x:c>
      <x:c r="E11" s="10" t="str">
        <x:v>mass and energy reconcile</x:v>
      </x:c>
      <x:c r="F11" s="10" t="str">
        <x:f>'Source States'!M9</x:f>
        <x:v>PASS</x:v>
      </x:c>
      <x:c r="G11" s="10" t="str">
        <x:v>PASS</x:v>
      </x:c>
      <x:c r="H11" s="10" t="str">
        <x:f>IF(F11=G11,"PASS","FAIL")</x:f>
        <x:v>PASS</x:v>
      </x:c>
    </x:row>
    <x:row r="12">
      <x:c r="B12" s="10" t="str">
        <x:v>A0006</x:v>
      </x:c>
      <x:c r="C12" s="10" t="str">
        <x:v>source state</x:v>
      </x:c>
      <x:c r="D12" s="10" t="str">
        <x:v>A C2 admission</x:v>
      </x:c>
      <x:c r="E12" s="10" t="str">
        <x:v>state preserves physical boundary</x:v>
      </x:c>
      <x:c r="F12" s="10" t="str">
        <x:f>'Source States'!O9</x:f>
        <x:v>BLOCKED</x:v>
      </x:c>
      <x:c r="G12" s="10" t="str">
        <x:v>BLOCKED</x:v>
      </x:c>
      <x:c r="H12" s="10" t="str">
        <x:f>IF(F12=G12,"PASS","FAIL")</x:f>
        <x:v>PASS</x:v>
      </x:c>
    </x:row>
    <x:row r="13">
      <x:c r="B13" s="10" t="str">
        <x:v>A0007</x:v>
      </x:c>
      <x:c r="C13" s="10" t="str">
        <x:v>source state</x:v>
      </x:c>
      <x:c r="D13" s="10" t="str">
        <x:v>B C0 calculation</x:v>
      </x:c>
      <x:c r="E13" s="10" t="str">
        <x:v>mass and energy reconcile</x:v>
      </x:c>
      <x:c r="F13" s="10" t="str">
        <x:f>'Source States'!M10</x:f>
        <x:v>PASS</x:v>
      </x:c>
      <x:c r="G13" s="10" t="str">
        <x:v>PASS</x:v>
      </x:c>
      <x:c r="H13" s="10" t="str">
        <x:f>IF(F13=G13,"PASS","FAIL")</x:f>
        <x:v>PASS</x:v>
      </x:c>
    </x:row>
    <x:row r="14">
      <x:c r="B14" s="10" t="str">
        <x:v>A0008</x:v>
      </x:c>
      <x:c r="C14" s="10" t="str">
        <x:v>source state</x:v>
      </x:c>
      <x:c r="D14" s="10" t="str">
        <x:v>B C0 admission</x:v>
      </x:c>
      <x:c r="E14" s="10" t="str">
        <x:v>state preserves physical boundary</x:v>
      </x:c>
      <x:c r="F14" s="10" t="str">
        <x:f>'Source States'!O10</x:f>
        <x:v>DEFINED</x:v>
      </x:c>
      <x:c r="G14" s="10" t="str">
        <x:v>DEFINED</x:v>
      </x:c>
      <x:c r="H14" s="10" t="str">
        <x:f>IF(F14=G14,"PASS","FAIL")</x:f>
        <x:v>PASS</x:v>
      </x:c>
    </x:row>
    <x:row r="15">
      <x:c r="B15" s="10" t="str">
        <x:v>A0009</x:v>
      </x:c>
      <x:c r="C15" s="10" t="str">
        <x:v>source state</x:v>
      </x:c>
      <x:c r="D15" s="10" t="str">
        <x:v>B C1 calculation</x:v>
      </x:c>
      <x:c r="E15" s="10" t="str">
        <x:v>mass and energy reconcile</x:v>
      </x:c>
      <x:c r="F15" s="10" t="str">
        <x:f>'Source States'!M11</x:f>
        <x:v>PASS</x:v>
      </x:c>
      <x:c r="G15" s="10" t="str">
        <x:v>PASS</x:v>
      </x:c>
      <x:c r="H15" s="10" t="str">
        <x:f>IF(F15=G15,"PASS","FAIL")</x:f>
        <x:v>PASS</x:v>
      </x:c>
    </x:row>
    <x:row r="16">
      <x:c r="B16" s="10" t="str">
        <x:v>A0010</x:v>
      </x:c>
      <x:c r="C16" s="10" t="str">
        <x:v>source state</x:v>
      </x:c>
      <x:c r="D16" s="10" t="str">
        <x:v>B C1 admission</x:v>
      </x:c>
      <x:c r="E16" s="10" t="str">
        <x:v>state preserves physical boundary</x:v>
      </x:c>
      <x:c r="F16" s="10" t="str">
        <x:f>'Source States'!O11</x:f>
        <x:v>OPEN</x:v>
      </x:c>
      <x:c r="G16" s="10" t="str">
        <x:v>OPEN</x:v>
      </x:c>
      <x:c r="H16" s="10" t="str">
        <x:f>IF(F16=G16,"PASS","FAIL")</x:f>
        <x:v>PASS</x:v>
      </x:c>
    </x:row>
    <x:row r="17">
      <x:c r="B17" s="10" t="str">
        <x:v>A0011</x:v>
      </x:c>
      <x:c r="C17" s="10" t="str">
        <x:v>source state</x:v>
      </x:c>
      <x:c r="D17" s="10" t="str">
        <x:v>B C2 calculation</x:v>
      </x:c>
      <x:c r="E17" s="10" t="str">
        <x:v>mass and energy reconcile</x:v>
      </x:c>
      <x:c r="F17" s="10" t="str">
        <x:f>'Source States'!M12</x:f>
        <x:v>PASS</x:v>
      </x:c>
      <x:c r="G17" s="10" t="str">
        <x:v>PASS</x:v>
      </x:c>
      <x:c r="H17" s="10" t="str">
        <x:f>IF(F17=G17,"PASS","FAIL")</x:f>
        <x:v>PASS</x:v>
      </x:c>
    </x:row>
    <x:row r="18">
      <x:c r="B18" s="10" t="str">
        <x:v>A0012</x:v>
      </x:c>
      <x:c r="C18" s="10" t="str">
        <x:v>source state</x:v>
      </x:c>
      <x:c r="D18" s="10" t="str">
        <x:v>B C2 admission</x:v>
      </x:c>
      <x:c r="E18" s="10" t="str">
        <x:v>state preserves physical boundary</x:v>
      </x:c>
      <x:c r="F18" s="10" t="str">
        <x:f>'Source States'!O12</x:f>
        <x:v>BLOCKED</x:v>
      </x:c>
      <x:c r="G18" s="10" t="str">
        <x:v>BLOCKED</x:v>
      </x:c>
      <x:c r="H18" s="10" t="str">
        <x:f>IF(F18=G18,"PASS","FAIL")</x:f>
        <x:v>PASS</x:v>
      </x:c>
    </x:row>
    <x:row r="19">
      <x:c r="B19" s="10" t="str">
        <x:v>A0013</x:v>
      </x:c>
      <x:c r="C19" s="10" t="str">
        <x:v>liquid</x:v>
      </x:c>
      <x:c r="D19" s="10" t="str">
        <x:v>A C1 capture</x:v>
      </x:c>
      <x:c r="E19" s="10" t="str">
        <x:v>C1 passes and unsegregated C2 remains blocked</x:v>
      </x:c>
      <x:c r="F19" s="10" t="str">
        <x:f>'Liquid Release'!M7</x:f>
        <x:v>PASS</x:v>
      </x:c>
      <x:c r="G19" s="10" t="str">
        <x:v>PASS</x:v>
      </x:c>
      <x:c r="H19" s="10" t="str">
        <x:f>IF(F19=G19,"PASS","FAIL")</x:f>
        <x:v>PASS</x:v>
      </x:c>
    </x:row>
    <x:row r="20">
      <x:c r="B20" s="10" t="str">
        <x:v>A0014</x:v>
      </x:c>
      <x:c r="C20" s="10" t="str">
        <x:v>liquid</x:v>
      </x:c>
      <x:c r="D20" s="10" t="str">
        <x:v>A C2 capture</x:v>
      </x:c>
      <x:c r="E20" s="10" t="str">
        <x:v>C1 passes and unsegregated C2 remains blocked</x:v>
      </x:c>
      <x:c r="F20" s="10" t="str">
        <x:f>'Liquid Release'!M8</x:f>
        <x:v>BLOCKED</x:v>
      </x:c>
      <x:c r="G20" s="10" t="str">
        <x:v>BLOCKED</x:v>
      </x:c>
      <x:c r="H20" s="10" t="str">
        <x:f>IF(F20=G20,"PASS","FAIL")</x:f>
        <x:v>PASS</x:v>
      </x:c>
    </x:row>
    <x:row r="21">
      <x:c r="B21" s="10" t="str">
        <x:v>A0015</x:v>
      </x:c>
      <x:c r="C21" s="10" t="str">
        <x:v>liquid</x:v>
      </x:c>
      <x:c r="D21" s="10" t="str">
        <x:v>B C1 capture</x:v>
      </x:c>
      <x:c r="E21" s="10" t="str">
        <x:v>C1 passes and unsegregated C2 remains blocked</x:v>
      </x:c>
      <x:c r="F21" s="10" t="str">
        <x:f>'Liquid Release'!M9</x:f>
        <x:v>PASS</x:v>
      </x:c>
      <x:c r="G21" s="10" t="str">
        <x:v>PASS</x:v>
      </x:c>
      <x:c r="H21" s="10" t="str">
        <x:f>IF(F21=G21,"PASS","FAIL")</x:f>
        <x:v>PASS</x:v>
      </x:c>
    </x:row>
    <x:row r="22">
      <x:c r="B22" s="10" t="str">
        <x:v>A0016</x:v>
      </x:c>
      <x:c r="C22" s="10" t="str">
        <x:v>liquid</x:v>
      </x:c>
      <x:c r="D22" s="10" t="str">
        <x:v>B C2 capture</x:v>
      </x:c>
      <x:c r="E22" s="10" t="str">
        <x:v>C1 passes and unsegregated C2 remains blocked</x:v>
      </x:c>
      <x:c r="F22" s="10" t="str">
        <x:f>'Liquid Release'!M10</x:f>
        <x:v>BLOCKED</x:v>
      </x:c>
      <x:c r="G22" s="10" t="str">
        <x:v>BLOCKED</x:v>
      </x:c>
      <x:c r="H22" s="10" t="str">
        <x:f>IF(F22=G22,"PASS","FAIL")</x:f>
        <x:v>PASS</x:v>
      </x:c>
    </x:row>
    <x:row r="23">
      <x:c r="B23" s="10" t="str">
        <x:v>A0017</x:v>
      </x:c>
      <x:c r="C23" s="10" t="str">
        <x:v>DME</x:v>
      </x:c>
      <x:c r="D23" s="10" t="str">
        <x:v>seal seep</x:v>
      </x:c>
      <x:c r="E23" s="10" t="str">
        <x:v>ventilation or retention branch is explicit</x:v>
      </x:c>
      <x:c r="F23" s="10" t="str">
        <x:f>'DME Release'!O7</x:f>
        <x:v>PASS</x:v>
      </x:c>
      <x:c r="G23" s="10" t="str">
        <x:v>PASS</x:v>
      </x:c>
      <x:c r="H23" s="10" t="str">
        <x:f>IF(F23=G23,"PASS","FAIL")</x:f>
        <x:v>PASS</x:v>
      </x:c>
    </x:row>
    <x:row r="24">
      <x:c r="B24" s="10" t="str">
        <x:v>A0018</x:v>
      </x:c>
      <x:c r="C24" s="10" t="str">
        <x:v>DME</x:v>
      </x:c>
      <x:c r="D24" s="10" t="str">
        <x:v>small leak</x:v>
      </x:c>
      <x:c r="E24" s="10" t="str">
        <x:v>ventilation or retention branch is explicit</x:v>
      </x:c>
      <x:c r="F24" s="10" t="str">
        <x:f>'DME Release'!O8</x:f>
        <x:v>PASS</x:v>
      </x:c>
      <x:c r="G24" s="10" t="str">
        <x:v>PASS</x:v>
      </x:c>
      <x:c r="H24" s="10" t="str">
        <x:f>IF(F24=G24,"PASS","FAIL")</x:f>
        <x:v>PASS</x:v>
      </x:c>
    </x:row>
    <x:row r="25">
      <x:c r="B25" s="10" t="str">
        <x:v>A0019</x:v>
      </x:c>
      <x:c r="C25" s="10" t="str">
        <x:v>DME</x:v>
      </x:c>
      <x:c r="D25" s="10" t="str">
        <x:v>ventilation limit</x:v>
      </x:c>
      <x:c r="E25" s="10" t="str">
        <x:v>ventilation or retention branch is explicit</x:v>
      </x:c>
      <x:c r="F25" s="10" t="str">
        <x:f>'DME Release'!O9</x:f>
        <x:v>PASS</x:v>
      </x:c>
      <x:c r="G25" s="10" t="str">
        <x:v>PASS</x:v>
      </x:c>
      <x:c r="H25" s="10" t="str">
        <x:f>IF(F25=G25,"PASS","FAIL")</x:f>
        <x:v>PASS</x:v>
      </x:c>
    </x:row>
    <x:row r="26">
      <x:c r="B26" s="10" t="str">
        <x:v>A0020</x:v>
      </x:c>
      <x:c r="C26" s="10" t="str">
        <x:v>DME</x:v>
      </x:c>
      <x:c r="D26" s="10" t="str">
        <x:v>transfer-line break</x:v>
      </x:c>
      <x:c r="E26" s="10" t="str">
        <x:v>ventilation or retention branch is explicit</x:v>
      </x:c>
      <x:c r="F26" s="10" t="str">
        <x:f>'DME Release'!O10</x:f>
        <x:v>PASS</x:v>
      </x:c>
      <x:c r="G26" s="10" t="str">
        <x:v>PASS</x:v>
      </x:c>
      <x:c r="H26" s="10" t="str">
        <x:f>IF(F26=G26,"PASS","FAIL")</x:f>
        <x:v>PASS</x:v>
      </x:c>
    </x:row>
    <x:row r="27">
      <x:c r="B27" s="10" t="str">
        <x:v>A0021</x:v>
      </x:c>
      <x:c r="C27" s="10" t="str">
        <x:v>DME</x:v>
      </x:c>
      <x:c r="D27" s="10" t="str">
        <x:v>C1 compartment release</x:v>
      </x:c>
      <x:c r="E27" s="10" t="str">
        <x:v>ventilation or retention branch is explicit</x:v>
      </x:c>
      <x:c r="F27" s="10" t="str">
        <x:f>'DME Release'!O11</x:f>
        <x:v>PASS</x:v>
      </x:c>
      <x:c r="G27" s="10" t="str">
        <x:v>PASS</x:v>
      </x:c>
      <x:c r="H27" s="10" t="str">
        <x:f>IF(F27=G27,"PASS","FAIL")</x:f>
        <x:v>PASS</x:v>
      </x:c>
    </x:row>
    <x:row r="28">
      <x:c r="B28" s="10" t="str">
        <x:v>A0022</x:v>
      </x:c>
      <x:c r="C28" s="10" t="str">
        <x:v>DME</x:v>
      </x:c>
      <x:c r="D28" s="10" t="str">
        <x:v>C2 rack release</x:v>
      </x:c>
      <x:c r="E28" s="10" t="str">
        <x:v>ventilation or retention branch is explicit</x:v>
      </x:c>
      <x:c r="F28" s="10" t="str">
        <x:f>'DME Release'!O12</x:f>
        <x:v>BLOCKED</x:v>
      </x:c>
      <x:c r="G28" s="10" t="str">
        <x:v>BLOCKED</x:v>
      </x:c>
      <x:c r="H28" s="10" t="str">
        <x:f>IF(F28=G28,"PASS","FAIL")</x:f>
        <x:v>PASS</x:v>
      </x:c>
    </x:row>
    <x:row r="29">
      <x:c r="B29" s="10" t="str">
        <x:v>A0023</x:v>
      </x:c>
      <x:c r="C29" s="10" t="str">
        <x:v>dilution</x:v>
      </x:c>
      <x:c r="D29" s="10" t="str">
        <x:v>0.01 kg/s</x:v>
      </x:c>
      <x:c r="E29" s="10" t="str">
        <x:v>active ventilation is bounded</x:v>
      </x:c>
      <x:c r="F29" s="10" t="str">
        <x:f>'Dilution'!L7</x:f>
        <x:v>PASS</x:v>
      </x:c>
      <x:c r="G29" s="10" t="str">
        <x:v>PASS</x:v>
      </x:c>
      <x:c r="H29" s="10" t="str">
        <x:f>IF(F29=G29,"PASS","FAIL")</x:f>
        <x:v>PASS</x:v>
      </x:c>
    </x:row>
    <x:row r="30">
      <x:c r="B30" s="10" t="str">
        <x:v>A0024</x:v>
      </x:c>
      <x:c r="C30" s="10" t="str">
        <x:v>dilution</x:v>
      </x:c>
      <x:c r="D30" s="10" t="str">
        <x:v>0.025 kg/s</x:v>
      </x:c>
      <x:c r="E30" s="10" t="str">
        <x:v>active ventilation is bounded</x:v>
      </x:c>
      <x:c r="F30" s="10" t="str">
        <x:f>'Dilution'!L8</x:f>
        <x:v>PASS</x:v>
      </x:c>
      <x:c r="G30" s="10" t="str">
        <x:v>PASS</x:v>
      </x:c>
      <x:c r="H30" s="10" t="str">
        <x:f>IF(F30=G30,"PASS","FAIL")</x:f>
        <x:v>PASS</x:v>
      </x:c>
    </x:row>
    <x:row r="31">
      <x:c r="B31" s="10" t="str">
        <x:v>A0025</x:v>
      </x:c>
      <x:c r="C31" s="10" t="str">
        <x:v>dilution</x:v>
      </x:c>
      <x:c r="D31" s="10" t="str">
        <x:v>0.05 kg/s</x:v>
      </x:c>
      <x:c r="E31" s="10" t="str">
        <x:v>active ventilation is bounded</x:v>
      </x:c>
      <x:c r="F31" s="10" t="str">
        <x:f>'Dilution'!L9</x:f>
        <x:v>PASS</x:v>
      </x:c>
      <x:c r="G31" s="10" t="str">
        <x:v>PASS</x:v>
      </x:c>
      <x:c r="H31" s="10" t="str">
        <x:f>IF(F31=G31,"PASS","FAIL")</x:f>
        <x:v>PASS</x:v>
      </x:c>
    </x:row>
    <x:row r="32">
      <x:c r="B32" s="10" t="str">
        <x:v>A0026</x:v>
      </x:c>
      <x:c r="C32" s="10" t="str">
        <x:v>dilution</x:v>
      </x:c>
      <x:c r="D32" s="10" t="str">
        <x:v>0.1 kg/s</x:v>
      </x:c>
      <x:c r="E32" s="10" t="str">
        <x:v>active ventilation is bounded</x:v>
      </x:c>
      <x:c r="F32" s="10" t="str">
        <x:f>'Dilution'!L10</x:f>
        <x:v>PASS</x:v>
      </x:c>
      <x:c r="G32" s="10" t="str">
        <x:v>PASS</x:v>
      </x:c>
      <x:c r="H32" s="10" t="str">
        <x:f>IF(F32=G32,"PASS","FAIL")</x:f>
        <x:v>PASS</x:v>
      </x:c>
    </x:row>
    <x:row r="33">
      <x:c r="B33" s="10" t="str">
        <x:v>A0027</x:v>
      </x:c>
      <x:c r="C33" s="10" t="str">
        <x:v>dilution</x:v>
      </x:c>
      <x:c r="D33" s="10" t="str">
        <x:v>0.17 kg/s</x:v>
      </x:c>
      <x:c r="E33" s="10" t="str">
        <x:v>active ventilation is bounded</x:v>
      </x:c>
      <x:c r="F33" s="10" t="str">
        <x:f>'Dilution'!L11</x:f>
        <x:v>PASS</x:v>
      </x:c>
      <x:c r="G33" s="10" t="str">
        <x:v>PASS</x:v>
      </x:c>
      <x:c r="H33" s="10" t="str">
        <x:f>IF(F33=G33,"PASS","FAIL")</x:f>
        <x:v>PASS</x:v>
      </x:c>
    </x:row>
    <x:row r="34">
      <x:c r="B34" s="10" t="str">
        <x:v>A0028</x:v>
      </x:c>
      <x:c r="C34" s="10" t="str">
        <x:v>dilution</x:v>
      </x:c>
      <x:c r="D34" s="10" t="str">
        <x:v>0.25 kg/s</x:v>
      </x:c>
      <x:c r="E34" s="10" t="str">
        <x:v>active ventilation is bounded</x:v>
      </x:c>
      <x:c r="F34" s="10" t="str">
        <x:f>'Dilution'!L12</x:f>
        <x:v>LIMIT</x:v>
      </x:c>
      <x:c r="G34" s="10" t="str">
        <x:v>LIMIT</x:v>
      </x:c>
      <x:c r="H34" s="10" t="str">
        <x:f>IF(F34=G34,"PASS","FAIL")</x:f>
        <x:v>PASS</x:v>
      </x:c>
    </x:row>
    <x:row r="35">
      <x:c r="B35" s="10" t="str">
        <x:v>A0029</x:v>
      </x:c>
      <x:c r="C35" s="10" t="str">
        <x:v>dilution</x:v>
      </x:c>
      <x:c r="D35" s="10" t="str">
        <x:v>0.5 kg/s</x:v>
      </x:c>
      <x:c r="E35" s="10" t="str">
        <x:v>active ventilation is bounded</x:v>
      </x:c>
      <x:c r="F35" s="10" t="str">
        <x:f>'Dilution'!L13</x:f>
        <x:v>LIMIT</x:v>
      </x:c>
      <x:c r="G35" s="10" t="str">
        <x:v>LIMIT</x:v>
      </x:c>
      <x:c r="H35" s="10" t="str">
        <x:f>IF(F35=G35,"PASS","FAIL")</x:f>
        <x:v>PASS</x:v>
      </x:c>
    </x:row>
    <x:row r="36">
      <x:c r="B36" s="10" t="str">
        <x:v>A0030</x:v>
      </x:c>
      <x:c r="C36" s="10" t="str">
        <x:v>dilution</x:v>
      </x:c>
      <x:c r="D36" s="10" t="str">
        <x:v>1 kg/s</x:v>
      </x:c>
      <x:c r="E36" s="10" t="str">
        <x:v>active ventilation is bounded</x:v>
      </x:c>
      <x:c r="F36" s="10" t="str">
        <x:f>'Dilution'!L14</x:f>
        <x:v>LIMIT</x:v>
      </x:c>
      <x:c r="G36" s="10" t="str">
        <x:v>LIMIT</x:v>
      </x:c>
      <x:c r="H36" s="10" t="str">
        <x:f>IF(F36=G36,"PASS","FAIL")</x:f>
        <x:v>PASS</x:v>
      </x:c>
    </x:row>
    <x:row r="37">
      <x:c r="B37" s="10" t="str">
        <x:v>A0031</x:v>
      </x:c>
      <x:c r="C37" s="10" t="str">
        <x:v>dilution</x:v>
      </x:c>
      <x:c r="D37" s="10" t="str">
        <x:v>5 kg/s</x:v>
      </x:c>
      <x:c r="E37" s="10" t="str">
        <x:v>active ventilation is bounded</x:v>
      </x:c>
      <x:c r="F37" s="10" t="str">
        <x:f>'Dilution'!L15</x:f>
        <x:v>LIMIT</x:v>
      </x:c>
      <x:c r="G37" s="10" t="str">
        <x:v>LIMIT</x:v>
      </x:c>
      <x:c r="H37" s="10" t="str">
        <x:f>IF(F37=G37,"PASS","FAIL")</x:f>
        <x:v>PASS</x:v>
      </x:c>
    </x:row>
    <x:row r="38">
      <x:c r="B38" s="10" t="str">
        <x:v>A0032</x:v>
      </x:c>
      <x:c r="C38" s="10" t="str">
        <x:v>dilution</x:v>
      </x:c>
      <x:c r="D38" s="10" t="str">
        <x:v>16.666667 kg/s</x:v>
      </x:c>
      <x:c r="E38" s="10" t="str">
        <x:v>active ventilation is bounded</x:v>
      </x:c>
      <x:c r="F38" s="10" t="str">
        <x:f>'Dilution'!L16</x:f>
        <x:v>LIMIT</x:v>
      </x:c>
      <x:c r="G38" s="10" t="str">
        <x:v>LIMIT</x:v>
      </x:c>
      <x:c r="H38" s="10" t="str">
        <x:f>IF(F38=G38,"PASS","FAIL")</x:f>
        <x:v>PASS</x:v>
      </x:c>
    </x:row>
    <x:row r="39">
      <x:c r="B39" s="10" t="str">
        <x:v>A0033</x:v>
      </x:c>
      <x:c r="C39" s="10" t="str">
        <x:v>fire</x:v>
      </x:c>
      <x:c r="D39" s="10" t="str">
        <x:v>A C1</x:v>
      </x:c>
      <x:c r="E39" s="10" t="str">
        <x:v>thermal quantities are positive</x:v>
      </x:c>
      <x:c r="F39" s="10" t="str">
        <x:f>'Fire Screen'!P7</x:f>
        <x:v>PASS</x:v>
      </x:c>
      <x:c r="G39" s="10" t="str">
        <x:v>PASS</x:v>
      </x:c>
      <x:c r="H39" s="10" t="str">
        <x:f>IF(F39=G39,"PASS","FAIL")</x:f>
        <x:v>PASS</x:v>
      </x:c>
    </x:row>
    <x:row r="40">
      <x:c r="B40" s="10" t="str">
        <x:v>A0034</x:v>
      </x:c>
      <x:c r="C40" s="10" t="str">
        <x:v>fire</x:v>
      </x:c>
      <x:c r="D40" s="10" t="str">
        <x:v>A C2</x:v>
      </x:c>
      <x:c r="E40" s="10" t="str">
        <x:v>thermal quantities are positive</x:v>
      </x:c>
      <x:c r="F40" s="10" t="str">
        <x:f>'Fire Screen'!P8</x:f>
        <x:v>BOUNDING</x:v>
      </x:c>
      <x:c r="G40" s="10" t="str">
        <x:v>BOUNDING</x:v>
      </x:c>
      <x:c r="H40" s="10" t="str">
        <x:f>IF(F40=G40,"PASS","FAIL")</x:f>
        <x:v>PASS</x:v>
      </x:c>
    </x:row>
    <x:row r="41">
      <x:c r="B41" s="10" t="str">
        <x:v>A0035</x:v>
      </x:c>
      <x:c r="C41" s="10" t="str">
        <x:v>fire</x:v>
      </x:c>
      <x:c r="D41" s="10" t="str">
        <x:v>B C1</x:v>
      </x:c>
      <x:c r="E41" s="10" t="str">
        <x:v>thermal quantities are positive</x:v>
      </x:c>
      <x:c r="F41" s="10" t="str">
        <x:f>'Fire Screen'!P9</x:f>
        <x:v>PASS</x:v>
      </x:c>
      <x:c r="G41" s="10" t="str">
        <x:v>PASS</x:v>
      </x:c>
      <x:c r="H41" s="10" t="str">
        <x:f>IF(F41=G41,"PASS","FAIL")</x:f>
        <x:v>PASS</x:v>
      </x:c>
    </x:row>
    <x:row r="42">
      <x:c r="B42" s="10" t="str">
        <x:v>A0036</x:v>
      </x:c>
      <x:c r="C42" s="10" t="str">
        <x:v>fire</x:v>
      </x:c>
      <x:c r="D42" s="10" t="str">
        <x:v>B C2</x:v>
      </x:c>
      <x:c r="E42" s="10" t="str">
        <x:v>thermal quantities are positive</x:v>
      </x:c>
      <x:c r="F42" s="10" t="str">
        <x:f>'Fire Screen'!P10</x:f>
        <x:v>BOUNDING</x:v>
      </x:c>
      <x:c r="G42" s="10" t="str">
        <x:v>BOUNDING</x:v>
      </x:c>
      <x:c r="H42" s="10" t="str">
        <x:f>IF(F42=G42,"PASS","FAIL")</x:f>
        <x:v>PASS</x:v>
      </x:c>
    </x:row>
    <x:row r="43">
      <x:c r="B43" s="10" t="str">
        <x:v>A0037</x:v>
      </x:c>
      <x:c r="C43" s="10" t="str">
        <x:v>explosion</x:v>
      </x:c>
      <x:c r="D43" s="10" t="str">
        <x:v>A C1 1 percent</x:v>
      </x:c>
      <x:c r="E43" s="10" t="str">
        <x:v>distance order and reserve hold</x:v>
      </x:c>
      <x:c r="F43" s="10" t="str">
        <x:f>'Explosion Screen'!O7</x:f>
        <x:v>PASS</x:v>
      </x:c>
      <x:c r="G43" s="10" t="str">
        <x:v>PASS</x:v>
      </x:c>
      <x:c r="H43" s="10" t="str">
        <x:f>IF(F43=G43,"PASS","FAIL")</x:f>
        <x:v>PASS</x:v>
      </x:c>
    </x:row>
    <x:row r="44">
      <x:c r="B44" s="10" t="str">
        <x:v>A0038</x:v>
      </x:c>
      <x:c r="C44" s="10" t="str">
        <x:v>explosion</x:v>
      </x:c>
      <x:c r="D44" s="10" t="str">
        <x:v>A C1 5 percent</x:v>
      </x:c>
      <x:c r="E44" s="10" t="str">
        <x:v>distance order and reserve hold</x:v>
      </x:c>
      <x:c r="F44" s="10" t="str">
        <x:f>'Explosion Screen'!O8</x:f>
        <x:v>PASS</x:v>
      </x:c>
      <x:c r="G44" s="10" t="str">
        <x:v>PASS</x:v>
      </x:c>
      <x:c r="H44" s="10" t="str">
        <x:f>IF(F44=G44,"PASS","FAIL")</x:f>
        <x:v>PASS</x:v>
      </x:c>
    </x:row>
    <x:row r="45">
      <x:c r="B45" s="10" t="str">
        <x:v>A0039</x:v>
      </x:c>
      <x:c r="C45" s="10" t="str">
        <x:v>explosion</x:v>
      </x:c>
      <x:c r="D45" s="10" t="str">
        <x:v>A C1 10 percent</x:v>
      </x:c>
      <x:c r="E45" s="10" t="str">
        <x:v>distance order and reserve hold</x:v>
      </x:c>
      <x:c r="F45" s="10" t="str">
        <x:f>'Explosion Screen'!O9</x:f>
        <x:v>PASS</x:v>
      </x:c>
      <x:c r="G45" s="10" t="str">
        <x:v>PASS</x:v>
      </x:c>
      <x:c r="H45" s="10" t="str">
        <x:f>IF(F45=G45,"PASS","FAIL")</x:f>
        <x:v>PASS</x:v>
      </x:c>
    </x:row>
    <x:row r="46">
      <x:c r="B46" s="10" t="str">
        <x:v>A0040</x:v>
      </x:c>
      <x:c r="C46" s="10" t="str">
        <x:v>explosion</x:v>
      </x:c>
      <x:c r="D46" s="10" t="str">
        <x:v>A C2 1 percent</x:v>
      </x:c>
      <x:c r="E46" s="10" t="str">
        <x:v>distance order and reserve hold</x:v>
      </x:c>
      <x:c r="F46" s="10" t="str">
        <x:f>'Explosion Screen'!O10</x:f>
        <x:v>PASS</x:v>
      </x:c>
      <x:c r="G46" s="10" t="str">
        <x:v>PASS</x:v>
      </x:c>
      <x:c r="H46" s="10" t="str">
        <x:f>IF(F46=G46,"PASS","FAIL")</x:f>
        <x:v>PASS</x:v>
      </x:c>
    </x:row>
    <x:row r="47">
      <x:c r="B47" s="10" t="str">
        <x:v>A0041</x:v>
      </x:c>
      <x:c r="C47" s="10" t="str">
        <x:v>explosion</x:v>
      </x:c>
      <x:c r="D47" s="10" t="str">
        <x:v>A C2 5 percent</x:v>
      </x:c>
      <x:c r="E47" s="10" t="str">
        <x:v>distance order and reserve hold</x:v>
      </x:c>
      <x:c r="F47" s="10" t="str">
        <x:f>'Explosion Screen'!O11</x:f>
        <x:v>PASS</x:v>
      </x:c>
      <x:c r="G47" s="10" t="str">
        <x:v>PASS</x:v>
      </x:c>
      <x:c r="H47" s="10" t="str">
        <x:f>IF(F47=G47,"PASS","FAIL")</x:f>
        <x:v>PASS</x:v>
      </x:c>
    </x:row>
    <x:row r="48">
      <x:c r="B48" s="10" t="str">
        <x:v>A0042</x:v>
      </x:c>
      <x:c r="C48" s="10" t="str">
        <x:v>explosion</x:v>
      </x:c>
      <x:c r="D48" s="10" t="str">
        <x:v>A C2 10 percent</x:v>
      </x:c>
      <x:c r="E48" s="10" t="str">
        <x:v>distance order and reserve hold</x:v>
      </x:c>
      <x:c r="F48" s="10" t="str">
        <x:f>'Explosion Screen'!O12</x:f>
        <x:v>PASS</x:v>
      </x:c>
      <x:c r="G48" s="10" t="str">
        <x:v>PASS</x:v>
      </x:c>
      <x:c r="H48" s="10" t="str">
        <x:f>IF(F48=G48,"PASS","FAIL")</x:f>
        <x:v>PASS</x:v>
      </x:c>
    </x:row>
    <x:row r="49">
      <x:c r="B49" s="10" t="str">
        <x:v>A0043</x:v>
      </x:c>
      <x:c r="C49" s="10" t="str">
        <x:v>explosion</x:v>
      </x:c>
      <x:c r="D49" s="10" t="str">
        <x:v>B C1 1 percent</x:v>
      </x:c>
      <x:c r="E49" s="10" t="str">
        <x:v>distance order and reserve hold</x:v>
      </x:c>
      <x:c r="F49" s="10" t="str">
        <x:f>'Explosion Screen'!O13</x:f>
        <x:v>PASS</x:v>
      </x:c>
      <x:c r="G49" s="10" t="str">
        <x:v>PASS</x:v>
      </x:c>
      <x:c r="H49" s="10" t="str">
        <x:f>IF(F49=G49,"PASS","FAIL")</x:f>
        <x:v>PASS</x:v>
      </x:c>
    </x:row>
    <x:row r="50">
      <x:c r="B50" s="10" t="str">
        <x:v>A0044</x:v>
      </x:c>
      <x:c r="C50" s="10" t="str">
        <x:v>explosion</x:v>
      </x:c>
      <x:c r="D50" s="10" t="str">
        <x:v>B C1 5 percent</x:v>
      </x:c>
      <x:c r="E50" s="10" t="str">
        <x:v>distance order and reserve hold</x:v>
      </x:c>
      <x:c r="F50" s="10" t="str">
        <x:f>'Explosion Screen'!O14</x:f>
        <x:v>PASS</x:v>
      </x:c>
      <x:c r="G50" s="10" t="str">
        <x:v>PASS</x:v>
      </x:c>
      <x:c r="H50" s="10" t="str">
        <x:f>IF(F50=G50,"PASS","FAIL")</x:f>
        <x:v>PASS</x:v>
      </x:c>
    </x:row>
    <x:row r="51">
      <x:c r="B51" s="10" t="str">
        <x:v>A0045</x:v>
      </x:c>
      <x:c r="C51" s="10" t="str">
        <x:v>explosion</x:v>
      </x:c>
      <x:c r="D51" s="10" t="str">
        <x:v>B C1 10 percent</x:v>
      </x:c>
      <x:c r="E51" s="10" t="str">
        <x:v>distance order and reserve hold</x:v>
      </x:c>
      <x:c r="F51" s="10" t="str">
        <x:f>'Explosion Screen'!O15</x:f>
        <x:v>PASS</x:v>
      </x:c>
      <x:c r="G51" s="10" t="str">
        <x:v>PASS</x:v>
      </x:c>
      <x:c r="H51" s="10" t="str">
        <x:f>IF(F51=G51,"PASS","FAIL")</x:f>
        <x:v>PASS</x:v>
      </x:c>
    </x:row>
    <x:row r="52">
      <x:c r="B52" s="10" t="str">
        <x:v>A0046</x:v>
      </x:c>
      <x:c r="C52" s="10" t="str">
        <x:v>explosion</x:v>
      </x:c>
      <x:c r="D52" s="10" t="str">
        <x:v>B C2 1 percent</x:v>
      </x:c>
      <x:c r="E52" s="10" t="str">
        <x:v>distance order and reserve hold</x:v>
      </x:c>
      <x:c r="F52" s="10" t="str">
        <x:f>'Explosion Screen'!O16</x:f>
        <x:v>PASS</x:v>
      </x:c>
      <x:c r="G52" s="10" t="str">
        <x:v>PASS</x:v>
      </x:c>
      <x:c r="H52" s="10" t="str">
        <x:f>IF(F52=G52,"PASS","FAIL")</x:f>
        <x:v>PASS</x:v>
      </x:c>
    </x:row>
    <x:row r="53">
      <x:c r="B53" s="10" t="str">
        <x:v>A0047</x:v>
      </x:c>
      <x:c r="C53" s="10" t="str">
        <x:v>explosion</x:v>
      </x:c>
      <x:c r="D53" s="10" t="str">
        <x:v>B C2 5 percent</x:v>
      </x:c>
      <x:c r="E53" s="10" t="str">
        <x:v>distance order and reserve hold</x:v>
      </x:c>
      <x:c r="F53" s="10" t="str">
        <x:f>'Explosion Screen'!O17</x:f>
        <x:v>PASS</x:v>
      </x:c>
      <x:c r="G53" s="10" t="str">
        <x:v>PASS</x:v>
      </x:c>
      <x:c r="H53" s="10" t="str">
        <x:f>IF(F53=G53,"PASS","FAIL")</x:f>
        <x:v>PASS</x:v>
      </x:c>
    </x:row>
    <x:row r="54">
      <x:c r="B54" s="10" t="str">
        <x:v>A0048</x:v>
      </x:c>
      <x:c r="C54" s="10" t="str">
        <x:v>explosion</x:v>
      </x:c>
      <x:c r="D54" s="10" t="str">
        <x:v>B C2 10 percent</x:v>
      </x:c>
      <x:c r="E54" s="10" t="str">
        <x:v>distance order and reserve hold</x:v>
      </x:c>
      <x:c r="F54" s="10" t="str">
        <x:f>'Explosion Screen'!O18</x:f>
        <x:v>PASS</x:v>
      </x:c>
      <x:c r="G54" s="10" t="str">
        <x:v>PASS</x:v>
      </x:c>
      <x:c r="H54" s="10" t="str">
        <x:f>IF(F54=G54,"PASS","FAIL")</x:f>
        <x:v>PASS</x:v>
      </x:c>
    </x:row>
    <x:row r="55">
      <x:c r="B55" s="10" t="str">
        <x:v>A0049</x:v>
      </x:c>
      <x:c r="C55" s="10" t="str">
        <x:v>propagation</x:v>
      </x:c>
      <x:c r="D55" s="10" t="str">
        <x:v>PTC-B A P01 plan</x:v>
      </x:c>
      <x:c r="E55" s="10" t="str">
        <x:v>design and protocol exist</x:v>
      </x:c>
      <x:c r="F55" s="10" t="str">
        <x:f>'Propagation'!L7</x:f>
        <x:v>PASS</x:v>
      </x:c>
      <x:c r="G55" s="10" t="str">
        <x:v>PASS</x:v>
      </x:c>
      <x:c r="H55" s="10" t="str">
        <x:f>IF(F55=G55,"PASS","FAIL")</x:f>
        <x:v>PASS</x:v>
      </x:c>
    </x:row>
    <x:row r="56">
      <x:c r="B56" s="10" t="str">
        <x:v>A0050</x:v>
      </x:c>
      <x:c r="C56" s="10" t="str">
        <x:v>propagation</x:v>
      </x:c>
      <x:c r="D56" s="10" t="str">
        <x:v>PTC-B A P01 source</x:v>
      </x:c>
      <x:c r="E56" s="10" t="str">
        <x:v>physical credit remains absent</x:v>
      </x:c>
      <x:c r="F56" s="10" t="str">
        <x:f>'Propagation'!M7</x:f>
        <x:v>OPEN</x:v>
      </x:c>
      <x:c r="G56" s="10" t="str">
        <x:v>OPEN</x:v>
      </x:c>
      <x:c r="H56" s="10" t="str">
        <x:f>IF(F56=G56,"PASS","FAIL")</x:f>
        <x:v>PASS</x:v>
      </x:c>
    </x:row>
    <x:row r="57">
      <x:c r="B57" s="10" t="str">
        <x:v>A0051</x:v>
      </x:c>
      <x:c r="C57" s="10" t="str">
        <x:v>propagation</x:v>
      </x:c>
      <x:c r="D57" s="10" t="str">
        <x:v>PTC-B A P02 plan</x:v>
      </x:c>
      <x:c r="E57" s="10" t="str">
        <x:v>design and protocol exist</x:v>
      </x:c>
      <x:c r="F57" s="10" t="str">
        <x:f>'Propagation'!L8</x:f>
        <x:v>PASS</x:v>
      </x:c>
      <x:c r="G57" s="10" t="str">
        <x:v>PASS</x:v>
      </x:c>
      <x:c r="H57" s="10" t="str">
        <x:f>IF(F57=G57,"PASS","FAIL")</x:f>
        <x:v>PASS</x:v>
      </x:c>
    </x:row>
    <x:row r="58">
      <x:c r="B58" s="10" t="str">
        <x:v>A0052</x:v>
      </x:c>
      <x:c r="C58" s="10" t="str">
        <x:v>propagation</x:v>
      </x:c>
      <x:c r="D58" s="10" t="str">
        <x:v>PTC-B A P02 source</x:v>
      </x:c>
      <x:c r="E58" s="10" t="str">
        <x:v>physical credit remains absent</x:v>
      </x:c>
      <x:c r="F58" s="10" t="str">
        <x:f>'Propagation'!M8</x:f>
        <x:v>OPEN</x:v>
      </x:c>
      <x:c r="G58" s="10" t="str">
        <x:v>OPEN</x:v>
      </x:c>
      <x:c r="H58" s="10" t="str">
        <x:f>IF(F58=G58,"PASS","FAIL")</x:f>
        <x:v>PASS</x:v>
      </x:c>
    </x:row>
    <x:row r="59">
      <x:c r="B59" s="10" t="str">
        <x:v>A0053</x:v>
      </x:c>
      <x:c r="C59" s="10" t="str">
        <x:v>propagation</x:v>
      </x:c>
      <x:c r="D59" s="10" t="str">
        <x:v>PTC-B A P03 plan</x:v>
      </x:c>
      <x:c r="E59" s="10" t="str">
        <x:v>design and protocol exist</x:v>
      </x:c>
      <x:c r="F59" s="10" t="str">
        <x:f>'Propagation'!L9</x:f>
        <x:v>PASS</x:v>
      </x:c>
      <x:c r="G59" s="10" t="str">
        <x:v>PASS</x:v>
      </x:c>
      <x:c r="H59" s="10" t="str">
        <x:f>IF(F59=G59,"PASS","FAIL")</x:f>
        <x:v>PASS</x:v>
      </x:c>
    </x:row>
    <x:row r="60">
      <x:c r="B60" s="10" t="str">
        <x:v>A0054</x:v>
      </x:c>
      <x:c r="C60" s="10" t="str">
        <x:v>propagation</x:v>
      </x:c>
      <x:c r="D60" s="10" t="str">
        <x:v>PTC-B A P03 source</x:v>
      </x:c>
      <x:c r="E60" s="10" t="str">
        <x:v>physical credit remains absent</x:v>
      </x:c>
      <x:c r="F60" s="10" t="str">
        <x:f>'Propagation'!M9</x:f>
        <x:v>OPEN</x:v>
      </x:c>
      <x:c r="G60" s="10" t="str">
        <x:v>OPEN</x:v>
      </x:c>
      <x:c r="H60" s="10" t="str">
        <x:f>IF(F60=G60,"PASS","FAIL")</x:f>
        <x:v>PASS</x:v>
      </x:c>
    </x:row>
    <x:row r="61">
      <x:c r="B61" s="10" t="str">
        <x:v>A0055</x:v>
      </x:c>
      <x:c r="C61" s="10" t="str">
        <x:v>propagation</x:v>
      </x:c>
      <x:c r="D61" s="10" t="str">
        <x:v>PTC-B A P04 plan</x:v>
      </x:c>
      <x:c r="E61" s="10" t="str">
        <x:v>design and protocol exist</x:v>
      </x:c>
      <x:c r="F61" s="10" t="str">
        <x:f>'Propagation'!L10</x:f>
        <x:v>PASS</x:v>
      </x:c>
      <x:c r="G61" s="10" t="str">
        <x:v>PASS</x:v>
      </x:c>
      <x:c r="H61" s="10" t="str">
        <x:f>IF(F61=G61,"PASS","FAIL")</x:f>
        <x:v>PASS</x:v>
      </x:c>
    </x:row>
    <x:row r="62">
      <x:c r="B62" s="10" t="str">
        <x:v>A0056</x:v>
      </x:c>
      <x:c r="C62" s="10" t="str">
        <x:v>propagation</x:v>
      </x:c>
      <x:c r="D62" s="10" t="str">
        <x:v>PTC-B A P04 source</x:v>
      </x:c>
      <x:c r="E62" s="10" t="str">
        <x:v>physical credit remains absent</x:v>
      </x:c>
      <x:c r="F62" s="10" t="str">
        <x:f>'Propagation'!M10</x:f>
        <x:v>OPEN</x:v>
      </x:c>
      <x:c r="G62" s="10" t="str">
        <x:v>OPEN</x:v>
      </x:c>
      <x:c r="H62" s="10" t="str">
        <x:f>IF(F62=G62,"PASS","FAIL")</x:f>
        <x:v>PASS</x:v>
      </x:c>
    </x:row>
    <x:row r="63">
      <x:c r="B63" s="10" t="str">
        <x:v>A0057</x:v>
      </x:c>
      <x:c r="C63" s="10" t="str">
        <x:v>propagation</x:v>
      </x:c>
      <x:c r="D63" s="10" t="str">
        <x:v>PTC-B A P05 plan</x:v>
      </x:c>
      <x:c r="E63" s="10" t="str">
        <x:v>design and protocol exist</x:v>
      </x:c>
      <x:c r="F63" s="10" t="str">
        <x:f>'Propagation'!L11</x:f>
        <x:v>PASS</x:v>
      </x:c>
      <x:c r="G63" s="10" t="str">
        <x:v>PASS</x:v>
      </x:c>
      <x:c r="H63" s="10" t="str">
        <x:f>IF(F63=G63,"PASS","FAIL")</x:f>
        <x:v>PASS</x:v>
      </x:c>
    </x:row>
    <x:row r="64">
      <x:c r="B64" s="10" t="str">
        <x:v>A0058</x:v>
      </x:c>
      <x:c r="C64" s="10" t="str">
        <x:v>propagation</x:v>
      </x:c>
      <x:c r="D64" s="10" t="str">
        <x:v>PTC-B A P05 source</x:v>
      </x:c>
      <x:c r="E64" s="10" t="str">
        <x:v>physical credit remains absent</x:v>
      </x:c>
      <x:c r="F64" s="10" t="str">
        <x:f>'Propagation'!M11</x:f>
        <x:v>OPEN</x:v>
      </x:c>
      <x:c r="G64" s="10" t="str">
        <x:v>OPEN</x:v>
      </x:c>
      <x:c r="H64" s="10" t="str">
        <x:f>IF(F64=G64,"PASS","FAIL")</x:f>
        <x:v>PASS</x:v>
      </x:c>
    </x:row>
    <x:row r="65">
      <x:c r="B65" s="10" t="str">
        <x:v>A0059</x:v>
      </x:c>
      <x:c r="C65" s="10" t="str">
        <x:v>propagation</x:v>
      </x:c>
      <x:c r="D65" s="10" t="str">
        <x:v>PTC-B A P06 plan</x:v>
      </x:c>
      <x:c r="E65" s="10" t="str">
        <x:v>design and protocol exist</x:v>
      </x:c>
      <x:c r="F65" s="10" t="str">
        <x:f>'Propagation'!L12</x:f>
        <x:v>PASS</x:v>
      </x:c>
      <x:c r="G65" s="10" t="str">
        <x:v>PASS</x:v>
      </x:c>
      <x:c r="H65" s="10" t="str">
        <x:f>IF(F65=G65,"PASS","FAIL")</x:f>
        <x:v>PASS</x:v>
      </x:c>
    </x:row>
    <x:row r="66">
      <x:c r="B66" s="10" t="str">
        <x:v>A0060</x:v>
      </x:c>
      <x:c r="C66" s="10" t="str">
        <x:v>propagation</x:v>
      </x:c>
      <x:c r="D66" s="10" t="str">
        <x:v>PTC-B A P06 source</x:v>
      </x:c>
      <x:c r="E66" s="10" t="str">
        <x:v>physical credit remains absent</x:v>
      </x:c>
      <x:c r="F66" s="10" t="str">
        <x:f>'Propagation'!M12</x:f>
        <x:v>OPEN</x:v>
      </x:c>
      <x:c r="G66" s="10" t="str">
        <x:v>OPEN</x:v>
      </x:c>
      <x:c r="H66" s="10" t="str">
        <x:f>IF(F66=G66,"PASS","FAIL")</x:f>
        <x:v>PASS</x:v>
      </x:c>
    </x:row>
    <x:row r="67">
      <x:c r="B67" s="10" t="str">
        <x:v>A0061</x:v>
      </x:c>
      <x:c r="C67" s="10" t="str">
        <x:v>propagation</x:v>
      </x:c>
      <x:c r="D67" s="10" t="str">
        <x:v>PTC-B B P01 plan</x:v>
      </x:c>
      <x:c r="E67" s="10" t="str">
        <x:v>design and protocol exist</x:v>
      </x:c>
      <x:c r="F67" s="10" t="str">
        <x:f>'Propagation'!L13</x:f>
        <x:v>PASS</x:v>
      </x:c>
      <x:c r="G67" s="10" t="str">
        <x:v>PASS</x:v>
      </x:c>
      <x:c r="H67" s="10" t="str">
        <x:f>IF(F67=G67,"PASS","FAIL")</x:f>
        <x:v>PASS</x:v>
      </x:c>
    </x:row>
    <x:row r="68">
      <x:c r="B68" s="10" t="str">
        <x:v>A0062</x:v>
      </x:c>
      <x:c r="C68" s="10" t="str">
        <x:v>propagation</x:v>
      </x:c>
      <x:c r="D68" s="10" t="str">
        <x:v>PTC-B B P01 source</x:v>
      </x:c>
      <x:c r="E68" s="10" t="str">
        <x:v>physical credit remains absent</x:v>
      </x:c>
      <x:c r="F68" s="10" t="str">
        <x:f>'Propagation'!M13</x:f>
        <x:v>OPEN</x:v>
      </x:c>
      <x:c r="G68" s="10" t="str">
        <x:v>OPEN</x:v>
      </x:c>
      <x:c r="H68" s="10" t="str">
        <x:f>IF(F68=G68,"PASS","FAIL")</x:f>
        <x:v>PASS</x:v>
      </x:c>
    </x:row>
    <x:row r="69">
      <x:c r="B69" s="10" t="str">
        <x:v>A0063</x:v>
      </x:c>
      <x:c r="C69" s="10" t="str">
        <x:v>propagation</x:v>
      </x:c>
      <x:c r="D69" s="10" t="str">
        <x:v>PTC-B B P02 plan</x:v>
      </x:c>
      <x:c r="E69" s="10" t="str">
        <x:v>design and protocol exist</x:v>
      </x:c>
      <x:c r="F69" s="10" t="str">
        <x:f>'Propagation'!L14</x:f>
        <x:v>PASS</x:v>
      </x:c>
      <x:c r="G69" s="10" t="str">
        <x:v>PASS</x:v>
      </x:c>
      <x:c r="H69" s="10" t="str">
        <x:f>IF(F69=G69,"PASS","FAIL")</x:f>
        <x:v>PASS</x:v>
      </x:c>
    </x:row>
    <x:row r="70">
      <x:c r="B70" s="10" t="str">
        <x:v>A0064</x:v>
      </x:c>
      <x:c r="C70" s="10" t="str">
        <x:v>propagation</x:v>
      </x:c>
      <x:c r="D70" s="10" t="str">
        <x:v>PTC-B B P02 source</x:v>
      </x:c>
      <x:c r="E70" s="10" t="str">
        <x:v>physical credit remains absent</x:v>
      </x:c>
      <x:c r="F70" s="10" t="str">
        <x:f>'Propagation'!M14</x:f>
        <x:v>OPEN</x:v>
      </x:c>
      <x:c r="G70" s="10" t="str">
        <x:v>OPEN</x:v>
      </x:c>
      <x:c r="H70" s="10" t="str">
        <x:f>IF(F70=G70,"PASS","FAIL")</x:f>
        <x:v>PASS</x:v>
      </x:c>
    </x:row>
    <x:row r="71">
      <x:c r="B71" s="10" t="str">
        <x:v>A0065</x:v>
      </x:c>
      <x:c r="C71" s="10" t="str">
        <x:v>propagation</x:v>
      </x:c>
      <x:c r="D71" s="10" t="str">
        <x:v>PTC-B B P03 plan</x:v>
      </x:c>
      <x:c r="E71" s="10" t="str">
        <x:v>design and protocol exist</x:v>
      </x:c>
      <x:c r="F71" s="10" t="str">
        <x:f>'Propagation'!L15</x:f>
        <x:v>PASS</x:v>
      </x:c>
      <x:c r="G71" s="10" t="str">
        <x:v>PASS</x:v>
      </x:c>
      <x:c r="H71" s="10" t="str">
        <x:f>IF(F71=G71,"PASS","FAIL")</x:f>
        <x:v>PASS</x:v>
      </x:c>
    </x:row>
    <x:row r="72">
      <x:c r="B72" s="10" t="str">
        <x:v>A0066</x:v>
      </x:c>
      <x:c r="C72" s="10" t="str">
        <x:v>propagation</x:v>
      </x:c>
      <x:c r="D72" s="10" t="str">
        <x:v>PTC-B B P03 source</x:v>
      </x:c>
      <x:c r="E72" s="10" t="str">
        <x:v>physical credit remains absent</x:v>
      </x:c>
      <x:c r="F72" s="10" t="str">
        <x:f>'Propagation'!M15</x:f>
        <x:v>OPEN</x:v>
      </x:c>
      <x:c r="G72" s="10" t="str">
        <x:v>OPEN</x:v>
      </x:c>
      <x:c r="H72" s="10" t="str">
        <x:f>IF(F72=G72,"PASS","FAIL")</x:f>
        <x:v>PASS</x:v>
      </x:c>
    </x:row>
    <x:row r="73">
      <x:c r="B73" s="10" t="str">
        <x:v>A0067</x:v>
      </x:c>
      <x:c r="C73" s="10" t="str">
        <x:v>propagation</x:v>
      </x:c>
      <x:c r="D73" s="10" t="str">
        <x:v>PTC-B B P04 plan</x:v>
      </x:c>
      <x:c r="E73" s="10" t="str">
        <x:v>design and protocol exist</x:v>
      </x:c>
      <x:c r="F73" s="10" t="str">
        <x:f>'Propagation'!L16</x:f>
        <x:v>PASS</x:v>
      </x:c>
      <x:c r="G73" s="10" t="str">
        <x:v>PASS</x:v>
      </x:c>
      <x:c r="H73" s="10" t="str">
        <x:f>IF(F73=G73,"PASS","FAIL")</x:f>
        <x:v>PASS</x:v>
      </x:c>
    </x:row>
    <x:row r="74">
      <x:c r="B74" s="10" t="str">
        <x:v>A0068</x:v>
      </x:c>
      <x:c r="C74" s="10" t="str">
        <x:v>propagation</x:v>
      </x:c>
      <x:c r="D74" s="10" t="str">
        <x:v>PTC-B B P04 source</x:v>
      </x:c>
      <x:c r="E74" s="10" t="str">
        <x:v>physical credit remains absent</x:v>
      </x:c>
      <x:c r="F74" s="10" t="str">
        <x:f>'Propagation'!M16</x:f>
        <x:v>OPEN</x:v>
      </x:c>
      <x:c r="G74" s="10" t="str">
        <x:v>OPEN</x:v>
      </x:c>
      <x:c r="H74" s="10" t="str">
        <x:f>IF(F74=G74,"PASS","FAIL")</x:f>
        <x:v>PASS</x:v>
      </x:c>
    </x:row>
    <x:row r="75">
      <x:c r="B75" s="10" t="str">
        <x:v>A0069</x:v>
      </x:c>
      <x:c r="C75" s="10" t="str">
        <x:v>propagation</x:v>
      </x:c>
      <x:c r="D75" s="10" t="str">
        <x:v>PTC-B B P05 plan</x:v>
      </x:c>
      <x:c r="E75" s="10" t="str">
        <x:v>design and protocol exist</x:v>
      </x:c>
      <x:c r="F75" s="10" t="str">
        <x:f>'Propagation'!L17</x:f>
        <x:v>PASS</x:v>
      </x:c>
      <x:c r="G75" s="10" t="str">
        <x:v>PASS</x:v>
      </x:c>
      <x:c r="H75" s="10" t="str">
        <x:f>IF(F75=G75,"PASS","FAIL")</x:f>
        <x:v>PASS</x:v>
      </x:c>
    </x:row>
    <x:row r="76">
      <x:c r="B76" s="10" t="str">
        <x:v>A0070</x:v>
      </x:c>
      <x:c r="C76" s="10" t="str">
        <x:v>propagation</x:v>
      </x:c>
      <x:c r="D76" s="10" t="str">
        <x:v>PTC-B B P05 source</x:v>
      </x:c>
      <x:c r="E76" s="10" t="str">
        <x:v>physical credit remains absent</x:v>
      </x:c>
      <x:c r="F76" s="10" t="str">
        <x:f>'Propagation'!M17</x:f>
        <x:v>OPEN</x:v>
      </x:c>
      <x:c r="G76" s="10" t="str">
        <x:v>OPEN</x:v>
      </x:c>
      <x:c r="H76" s="10" t="str">
        <x:f>IF(F76=G76,"PASS","FAIL")</x:f>
        <x:v>PASS</x:v>
      </x:c>
    </x:row>
    <x:row r="77">
      <x:c r="B77" s="10" t="str">
        <x:v>A0071</x:v>
      </x:c>
      <x:c r="C77" s="10" t="str">
        <x:v>propagation</x:v>
      </x:c>
      <x:c r="D77" s="10" t="str">
        <x:v>PTC-B B P06 plan</x:v>
      </x:c>
      <x:c r="E77" s="10" t="str">
        <x:v>design and protocol exist</x:v>
      </x:c>
      <x:c r="F77" s="10" t="str">
        <x:f>'Propagation'!L18</x:f>
        <x:v>PASS</x:v>
      </x:c>
      <x:c r="G77" s="10" t="str">
        <x:v>PASS</x:v>
      </x:c>
      <x:c r="H77" s="10" t="str">
        <x:f>IF(F77=G77,"PASS","FAIL")</x:f>
        <x:v>PASS</x:v>
      </x:c>
    </x:row>
    <x:row r="78">
      <x:c r="B78" s="10" t="str">
        <x:v>A0072</x:v>
      </x:c>
      <x:c r="C78" s="10" t="str">
        <x:v>propagation</x:v>
      </x:c>
      <x:c r="D78" s="10" t="str">
        <x:v>PTC-B B P06 source</x:v>
      </x:c>
      <x:c r="E78" s="10" t="str">
        <x:v>physical credit remains absent</x:v>
      </x:c>
      <x:c r="F78" s="10" t="str">
        <x:f>'Propagation'!M18</x:f>
        <x:v>OPEN</x:v>
      </x:c>
      <x:c r="G78" s="10" t="str">
        <x:v>OPEN</x:v>
      </x:c>
      <x:c r="H78" s="10" t="str">
        <x:f>IF(F78=G78,"PASS","FAIL")</x:f>
        <x:v>PASS</x:v>
      </x:c>
    </x:row>
    <x:row r="79">
      <x:c r="B79" s="10" t="str">
        <x:v>A0073</x:v>
      </x:c>
      <x:c r="C79" s="10" t="str">
        <x:v>propagation</x:v>
      </x:c>
      <x:c r="D79" s="10" t="str">
        <x:v>PTC-C A P01 plan</x:v>
      </x:c>
      <x:c r="E79" s="10" t="str">
        <x:v>design and protocol exist</x:v>
      </x:c>
      <x:c r="F79" s="10" t="str">
        <x:f>'Propagation'!L19</x:f>
        <x:v>PASS</x:v>
      </x:c>
      <x:c r="G79" s="10" t="str">
        <x:v>PASS</x:v>
      </x:c>
      <x:c r="H79" s="10" t="str">
        <x:f>IF(F79=G79,"PASS","FAIL")</x:f>
        <x:v>PASS</x:v>
      </x:c>
    </x:row>
    <x:row r="80">
      <x:c r="B80" s="10" t="str">
        <x:v>A0074</x:v>
      </x:c>
      <x:c r="C80" s="10" t="str">
        <x:v>propagation</x:v>
      </x:c>
      <x:c r="D80" s="10" t="str">
        <x:v>PTC-C A P01 source</x:v>
      </x:c>
      <x:c r="E80" s="10" t="str">
        <x:v>physical credit remains absent</x:v>
      </x:c>
      <x:c r="F80" s="10" t="str">
        <x:f>'Propagation'!M19</x:f>
        <x:v>OPEN</x:v>
      </x:c>
      <x:c r="G80" s="10" t="str">
        <x:v>OPEN</x:v>
      </x:c>
      <x:c r="H80" s="10" t="str">
        <x:f>IF(F80=G80,"PASS","FAIL")</x:f>
        <x:v>PASS</x:v>
      </x:c>
    </x:row>
    <x:row r="81">
      <x:c r="B81" s="10" t="str">
        <x:v>A0075</x:v>
      </x:c>
      <x:c r="C81" s="10" t="str">
        <x:v>propagation</x:v>
      </x:c>
      <x:c r="D81" s="10" t="str">
        <x:v>PTC-C A P02 plan</x:v>
      </x:c>
      <x:c r="E81" s="10" t="str">
        <x:v>design and protocol exist</x:v>
      </x:c>
      <x:c r="F81" s="10" t="str">
        <x:f>'Propagation'!L20</x:f>
        <x:v>PASS</x:v>
      </x:c>
      <x:c r="G81" s="10" t="str">
        <x:v>PASS</x:v>
      </x:c>
      <x:c r="H81" s="10" t="str">
        <x:f>IF(F81=G81,"PASS","FAIL")</x:f>
        <x:v>PASS</x:v>
      </x:c>
    </x:row>
    <x:row r="82">
      <x:c r="B82" s="10" t="str">
        <x:v>A0076</x:v>
      </x:c>
      <x:c r="C82" s="10" t="str">
        <x:v>propagation</x:v>
      </x:c>
      <x:c r="D82" s="10" t="str">
        <x:v>PTC-C A P02 source</x:v>
      </x:c>
      <x:c r="E82" s="10" t="str">
        <x:v>physical credit remains absent</x:v>
      </x:c>
      <x:c r="F82" s="10" t="str">
        <x:f>'Propagation'!M20</x:f>
        <x:v>OPEN</x:v>
      </x:c>
      <x:c r="G82" s="10" t="str">
        <x:v>OPEN</x:v>
      </x:c>
      <x:c r="H82" s="10" t="str">
        <x:f>IF(F82=G82,"PASS","FAIL")</x:f>
        <x:v>PASS</x:v>
      </x:c>
    </x:row>
    <x:row r="83">
      <x:c r="B83" s="10" t="str">
        <x:v>A0077</x:v>
      </x:c>
      <x:c r="C83" s="10" t="str">
        <x:v>propagation</x:v>
      </x:c>
      <x:c r="D83" s="10" t="str">
        <x:v>PTC-C A P03 plan</x:v>
      </x:c>
      <x:c r="E83" s="10" t="str">
        <x:v>design and protocol exist</x:v>
      </x:c>
      <x:c r="F83" s="10" t="str">
        <x:f>'Propagation'!L21</x:f>
        <x:v>PASS</x:v>
      </x:c>
      <x:c r="G83" s="10" t="str">
        <x:v>PASS</x:v>
      </x:c>
      <x:c r="H83" s="10" t="str">
        <x:f>IF(F83=G83,"PASS","FAIL")</x:f>
        <x:v>PASS</x:v>
      </x:c>
    </x:row>
    <x:row r="84">
      <x:c r="B84" s="10" t="str">
        <x:v>A0078</x:v>
      </x:c>
      <x:c r="C84" s="10" t="str">
        <x:v>propagation</x:v>
      </x:c>
      <x:c r="D84" s="10" t="str">
        <x:v>PTC-C A P03 source</x:v>
      </x:c>
      <x:c r="E84" s="10" t="str">
        <x:v>physical credit remains absent</x:v>
      </x:c>
      <x:c r="F84" s="10" t="str">
        <x:f>'Propagation'!M21</x:f>
        <x:v>OPEN</x:v>
      </x:c>
      <x:c r="G84" s="10" t="str">
        <x:v>OPEN</x:v>
      </x:c>
      <x:c r="H84" s="10" t="str">
        <x:f>IF(F84=G84,"PASS","FAIL")</x:f>
        <x:v>PASS</x:v>
      </x:c>
    </x:row>
    <x:row r="85">
      <x:c r="B85" s="10" t="str">
        <x:v>A0079</x:v>
      </x:c>
      <x:c r="C85" s="10" t="str">
        <x:v>propagation</x:v>
      </x:c>
      <x:c r="D85" s="10" t="str">
        <x:v>PTC-C A P04 plan</x:v>
      </x:c>
      <x:c r="E85" s="10" t="str">
        <x:v>design and protocol exist</x:v>
      </x:c>
      <x:c r="F85" s="10" t="str">
        <x:f>'Propagation'!L22</x:f>
        <x:v>PASS</x:v>
      </x:c>
      <x:c r="G85" s="10" t="str">
        <x:v>PASS</x:v>
      </x:c>
      <x:c r="H85" s="10" t="str">
        <x:f>IF(F85=G85,"PASS","FAIL")</x:f>
        <x:v>PASS</x:v>
      </x:c>
    </x:row>
    <x:row r="86">
      <x:c r="B86" s="10" t="str">
        <x:v>A0080</x:v>
      </x:c>
      <x:c r="C86" s="10" t="str">
        <x:v>propagation</x:v>
      </x:c>
      <x:c r="D86" s="10" t="str">
        <x:v>PTC-C A P04 source</x:v>
      </x:c>
      <x:c r="E86" s="10" t="str">
        <x:v>physical credit remains absent</x:v>
      </x:c>
      <x:c r="F86" s="10" t="str">
        <x:f>'Propagation'!M22</x:f>
        <x:v>OPEN</x:v>
      </x:c>
      <x:c r="G86" s="10" t="str">
        <x:v>OPEN</x:v>
      </x:c>
      <x:c r="H86" s="10" t="str">
        <x:f>IF(F86=G86,"PASS","FAIL")</x:f>
        <x:v>PASS</x:v>
      </x:c>
    </x:row>
    <x:row r="87">
      <x:c r="B87" s="10" t="str">
        <x:v>A0081</x:v>
      </x:c>
      <x:c r="C87" s="10" t="str">
        <x:v>propagation</x:v>
      </x:c>
      <x:c r="D87" s="10" t="str">
        <x:v>PTC-C A P05 plan</x:v>
      </x:c>
      <x:c r="E87" s="10" t="str">
        <x:v>design and protocol exist</x:v>
      </x:c>
      <x:c r="F87" s="10" t="str">
        <x:f>'Propagation'!L23</x:f>
        <x:v>PASS</x:v>
      </x:c>
      <x:c r="G87" s="10" t="str">
        <x:v>PASS</x:v>
      </x:c>
      <x:c r="H87" s="10" t="str">
        <x:f>IF(F87=G87,"PASS","FAIL")</x:f>
        <x:v>PASS</x:v>
      </x:c>
    </x:row>
    <x:row r="88">
      <x:c r="B88" s="10" t="str">
        <x:v>A0082</x:v>
      </x:c>
      <x:c r="C88" s="10" t="str">
        <x:v>propagation</x:v>
      </x:c>
      <x:c r="D88" s="10" t="str">
        <x:v>PTC-C A P05 source</x:v>
      </x:c>
      <x:c r="E88" s="10" t="str">
        <x:v>physical credit remains absent</x:v>
      </x:c>
      <x:c r="F88" s="10" t="str">
        <x:f>'Propagation'!M23</x:f>
        <x:v>OPEN</x:v>
      </x:c>
      <x:c r="G88" s="10" t="str">
        <x:v>OPEN</x:v>
      </x:c>
      <x:c r="H88" s="10" t="str">
        <x:f>IF(F88=G88,"PASS","FAIL")</x:f>
        <x:v>PASS</x:v>
      </x:c>
    </x:row>
    <x:row r="89">
      <x:c r="B89" s="10" t="str">
        <x:v>A0083</x:v>
      </x:c>
      <x:c r="C89" s="10" t="str">
        <x:v>propagation</x:v>
      </x:c>
      <x:c r="D89" s="10" t="str">
        <x:v>PTC-C A P06 plan</x:v>
      </x:c>
      <x:c r="E89" s="10" t="str">
        <x:v>design and protocol exist</x:v>
      </x:c>
      <x:c r="F89" s="10" t="str">
        <x:f>'Propagation'!L24</x:f>
        <x:v>PASS</x:v>
      </x:c>
      <x:c r="G89" s="10" t="str">
        <x:v>PASS</x:v>
      </x:c>
      <x:c r="H89" s="10" t="str">
        <x:f>IF(F89=G89,"PASS","FAIL")</x:f>
        <x:v>PASS</x:v>
      </x:c>
    </x:row>
    <x:row r="90">
      <x:c r="B90" s="10" t="str">
        <x:v>A0084</x:v>
      </x:c>
      <x:c r="C90" s="10" t="str">
        <x:v>propagation</x:v>
      </x:c>
      <x:c r="D90" s="10" t="str">
        <x:v>PTC-C A P06 source</x:v>
      </x:c>
      <x:c r="E90" s="10" t="str">
        <x:v>physical credit remains absent</x:v>
      </x:c>
      <x:c r="F90" s="10" t="str">
        <x:f>'Propagation'!M24</x:f>
        <x:v>OPEN</x:v>
      </x:c>
      <x:c r="G90" s="10" t="str">
        <x:v>OPEN</x:v>
      </x:c>
      <x:c r="H90" s="10" t="str">
        <x:f>IF(F90=G90,"PASS","FAIL")</x:f>
        <x:v>PASS</x:v>
      </x:c>
    </x:row>
    <x:row r="91">
      <x:c r="B91" s="10" t="str">
        <x:v>A0085</x:v>
      </x:c>
      <x:c r="C91" s="10" t="str">
        <x:v>propagation</x:v>
      </x:c>
      <x:c r="D91" s="10" t="str">
        <x:v>PTC-C B P01 plan</x:v>
      </x:c>
      <x:c r="E91" s="10" t="str">
        <x:v>design and protocol exist</x:v>
      </x:c>
      <x:c r="F91" s="10" t="str">
        <x:f>'Propagation'!L25</x:f>
        <x:v>PASS</x:v>
      </x:c>
      <x:c r="G91" s="10" t="str">
        <x:v>PASS</x:v>
      </x:c>
      <x:c r="H91" s="10" t="str">
        <x:f>IF(F91=G91,"PASS","FAIL")</x:f>
        <x:v>PASS</x:v>
      </x:c>
    </x:row>
    <x:row r="92">
      <x:c r="B92" s="10" t="str">
        <x:v>A0086</x:v>
      </x:c>
      <x:c r="C92" s="10" t="str">
        <x:v>propagation</x:v>
      </x:c>
      <x:c r="D92" s="10" t="str">
        <x:v>PTC-C B P01 source</x:v>
      </x:c>
      <x:c r="E92" s="10" t="str">
        <x:v>physical credit remains absent</x:v>
      </x:c>
      <x:c r="F92" s="10" t="str">
        <x:f>'Propagation'!M25</x:f>
        <x:v>OPEN</x:v>
      </x:c>
      <x:c r="G92" s="10" t="str">
        <x:v>OPEN</x:v>
      </x:c>
      <x:c r="H92" s="10" t="str">
        <x:f>IF(F92=G92,"PASS","FAIL")</x:f>
        <x:v>PASS</x:v>
      </x:c>
    </x:row>
    <x:row r="93">
      <x:c r="B93" s="10" t="str">
        <x:v>A0087</x:v>
      </x:c>
      <x:c r="C93" s="10" t="str">
        <x:v>propagation</x:v>
      </x:c>
      <x:c r="D93" s="10" t="str">
        <x:v>PTC-C B P02 plan</x:v>
      </x:c>
      <x:c r="E93" s="10" t="str">
        <x:v>design and protocol exist</x:v>
      </x:c>
      <x:c r="F93" s="10" t="str">
        <x:f>'Propagation'!L26</x:f>
        <x:v>PASS</x:v>
      </x:c>
      <x:c r="G93" s="10" t="str">
        <x:v>PASS</x:v>
      </x:c>
      <x:c r="H93" s="10" t="str">
        <x:f>IF(F93=G93,"PASS","FAIL")</x:f>
        <x:v>PASS</x:v>
      </x:c>
    </x:row>
    <x:row r="94">
      <x:c r="B94" s="10" t="str">
        <x:v>A0088</x:v>
      </x:c>
      <x:c r="C94" s="10" t="str">
        <x:v>propagation</x:v>
      </x:c>
      <x:c r="D94" s="10" t="str">
        <x:v>PTC-C B P02 source</x:v>
      </x:c>
      <x:c r="E94" s="10" t="str">
        <x:v>physical credit remains absent</x:v>
      </x:c>
      <x:c r="F94" s="10" t="str">
        <x:f>'Propagation'!M26</x:f>
        <x:v>OPEN</x:v>
      </x:c>
      <x:c r="G94" s="10" t="str">
        <x:v>OPEN</x:v>
      </x:c>
      <x:c r="H94" s="10" t="str">
        <x:f>IF(F94=G94,"PASS","FAIL")</x:f>
        <x:v>PASS</x:v>
      </x:c>
    </x:row>
    <x:row r="95">
      <x:c r="B95" s="10" t="str">
        <x:v>A0089</x:v>
      </x:c>
      <x:c r="C95" s="10" t="str">
        <x:v>propagation</x:v>
      </x:c>
      <x:c r="D95" s="10" t="str">
        <x:v>PTC-C B P03 plan</x:v>
      </x:c>
      <x:c r="E95" s="10" t="str">
        <x:v>design and protocol exist</x:v>
      </x:c>
      <x:c r="F95" s="10" t="str">
        <x:f>'Propagation'!L27</x:f>
        <x:v>PASS</x:v>
      </x:c>
      <x:c r="G95" s="10" t="str">
        <x:v>PASS</x:v>
      </x:c>
      <x:c r="H95" s="10" t="str">
        <x:f>IF(F95=G95,"PASS","FAIL")</x:f>
        <x:v>PASS</x:v>
      </x:c>
    </x:row>
    <x:row r="96">
      <x:c r="B96" s="10" t="str">
        <x:v>A0090</x:v>
      </x:c>
      <x:c r="C96" s="10" t="str">
        <x:v>propagation</x:v>
      </x:c>
      <x:c r="D96" s="10" t="str">
        <x:v>PTC-C B P03 source</x:v>
      </x:c>
      <x:c r="E96" s="10" t="str">
        <x:v>physical credit remains absent</x:v>
      </x:c>
      <x:c r="F96" s="10" t="str">
        <x:f>'Propagation'!M27</x:f>
        <x:v>OPEN</x:v>
      </x:c>
      <x:c r="G96" s="10" t="str">
        <x:v>OPEN</x:v>
      </x:c>
      <x:c r="H96" s="10" t="str">
        <x:f>IF(F96=G96,"PASS","FAIL")</x:f>
        <x:v>PASS</x:v>
      </x:c>
    </x:row>
    <x:row r="97">
      <x:c r="B97" s="10" t="str">
        <x:v>A0091</x:v>
      </x:c>
      <x:c r="C97" s="10" t="str">
        <x:v>propagation</x:v>
      </x:c>
      <x:c r="D97" s="10" t="str">
        <x:v>PTC-C B P04 plan</x:v>
      </x:c>
      <x:c r="E97" s="10" t="str">
        <x:v>design and protocol exist</x:v>
      </x:c>
      <x:c r="F97" s="10" t="str">
        <x:f>'Propagation'!L28</x:f>
        <x:v>PASS</x:v>
      </x:c>
      <x:c r="G97" s="10" t="str">
        <x:v>PASS</x:v>
      </x:c>
      <x:c r="H97" s="10" t="str">
        <x:f>IF(F97=G97,"PASS","FAIL")</x:f>
        <x:v>PASS</x:v>
      </x:c>
    </x:row>
    <x:row r="98">
      <x:c r="B98" s="10" t="str">
        <x:v>A0092</x:v>
      </x:c>
      <x:c r="C98" s="10" t="str">
        <x:v>propagation</x:v>
      </x:c>
      <x:c r="D98" s="10" t="str">
        <x:v>PTC-C B P04 source</x:v>
      </x:c>
      <x:c r="E98" s="10" t="str">
        <x:v>physical credit remains absent</x:v>
      </x:c>
      <x:c r="F98" s="10" t="str">
        <x:f>'Propagation'!M28</x:f>
        <x:v>OPEN</x:v>
      </x:c>
      <x:c r="G98" s="10" t="str">
        <x:v>OPEN</x:v>
      </x:c>
      <x:c r="H98" s="10" t="str">
        <x:f>IF(F98=G98,"PASS","FAIL")</x:f>
        <x:v>PASS</x:v>
      </x:c>
    </x:row>
    <x:row r="99">
      <x:c r="B99" s="10" t="str">
        <x:v>A0093</x:v>
      </x:c>
      <x:c r="C99" s="10" t="str">
        <x:v>propagation</x:v>
      </x:c>
      <x:c r="D99" s="10" t="str">
        <x:v>PTC-C B P05 plan</x:v>
      </x:c>
      <x:c r="E99" s="10" t="str">
        <x:v>design and protocol exist</x:v>
      </x:c>
      <x:c r="F99" s="10" t="str">
        <x:f>'Propagation'!L29</x:f>
        <x:v>PASS</x:v>
      </x:c>
      <x:c r="G99" s="10" t="str">
        <x:v>PASS</x:v>
      </x:c>
      <x:c r="H99" s="10" t="str">
        <x:f>IF(F99=G99,"PASS","FAIL")</x:f>
        <x:v>PASS</x:v>
      </x:c>
    </x:row>
    <x:row r="100">
      <x:c r="B100" s="10" t="str">
        <x:v>A0094</x:v>
      </x:c>
      <x:c r="C100" s="10" t="str">
        <x:v>propagation</x:v>
      </x:c>
      <x:c r="D100" s="10" t="str">
        <x:v>PTC-C B P05 source</x:v>
      </x:c>
      <x:c r="E100" s="10" t="str">
        <x:v>physical credit remains absent</x:v>
      </x:c>
      <x:c r="F100" s="10" t="str">
        <x:f>'Propagation'!M29</x:f>
        <x:v>OPEN</x:v>
      </x:c>
      <x:c r="G100" s="10" t="str">
        <x:v>OPEN</x:v>
      </x:c>
      <x:c r="H100" s="10" t="str">
        <x:f>IF(F100=G100,"PASS","FAIL")</x:f>
        <x:v>PASS</x:v>
      </x:c>
    </x:row>
    <x:row r="101">
      <x:c r="B101" s="10" t="str">
        <x:v>A0095</x:v>
      </x:c>
      <x:c r="C101" s="10" t="str">
        <x:v>propagation</x:v>
      </x:c>
      <x:c r="D101" s="10" t="str">
        <x:v>PTC-C B P06 plan</x:v>
      </x:c>
      <x:c r="E101" s="10" t="str">
        <x:v>design and protocol exist</x:v>
      </x:c>
      <x:c r="F101" s="10" t="str">
        <x:f>'Propagation'!L30</x:f>
        <x:v>PASS</x:v>
      </x:c>
      <x:c r="G101" s="10" t="str">
        <x:v>PASS</x:v>
      </x:c>
      <x:c r="H101" s="10" t="str">
        <x:f>IF(F101=G101,"PASS","FAIL")</x:f>
        <x:v>PASS</x:v>
      </x:c>
    </x:row>
    <x:row r="102">
      <x:c r="B102" s="10" t="str">
        <x:v>A0096</x:v>
      </x:c>
      <x:c r="C102" s="10" t="str">
        <x:v>propagation</x:v>
      </x:c>
      <x:c r="D102" s="10" t="str">
        <x:v>PTC-C B P06 source</x:v>
      </x:c>
      <x:c r="E102" s="10" t="str">
        <x:v>physical credit remains absent</x:v>
      </x:c>
      <x:c r="F102" s="10" t="str">
        <x:f>'Propagation'!M30</x:f>
        <x:v>OPEN</x:v>
      </x:c>
      <x:c r="G102" s="10" t="str">
        <x:v>OPEN</x:v>
      </x:c>
      <x:c r="H102" s="10" t="str">
        <x:f>IF(F102=G102,"PASS","FAIL")</x:f>
        <x:v>PASS</x:v>
      </x:c>
    </x:row>
    <x:row r="103">
      <x:c r="B103" s="10" t="str">
        <x:v>A0097</x:v>
      </x:c>
      <x:c r="C103" s="10" t="str">
        <x:v>cell</x:v>
      </x:c>
      <x:c r="D103" s="10" t="str">
        <x:v>MC-B1 plan</x:v>
      </x:c>
      <x:c r="E103" s="10" t="str">
        <x:v>cell minimums reconcile</x:v>
      </x:c>
      <x:c r="F103" s="10" t="str">
        <x:f>'Cell Architecture'!N7</x:f>
        <x:v>PASS</x:v>
      </x:c>
      <x:c r="G103" s="10" t="str">
        <x:v>PASS</x:v>
      </x:c>
      <x:c r="H103" s="10" t="str">
        <x:f>IF(F103=G103,"PASS","FAIL")</x:f>
        <x:v>PASS</x:v>
      </x:c>
    </x:row>
    <x:row r="104">
      <x:c r="B104" s="10" t="str">
        <x:v>A0098</x:v>
      </x:c>
      <x:c r="C104" s="10" t="str">
        <x:v>cell</x:v>
      </x:c>
      <x:c r="D104" s="10" t="str">
        <x:v>MC-B1 source</x:v>
      </x:c>
      <x:c r="E104" s="10" t="str">
        <x:v>physical acceptance remains absent</x:v>
      </x:c>
      <x:c r="F104" s="10" t="str">
        <x:f>'Cell Architecture'!O7</x:f>
        <x:v>OPEN</x:v>
      </x:c>
      <x:c r="G104" s="10" t="str">
        <x:v>OPEN</x:v>
      </x:c>
      <x:c r="H104" s="10" t="str">
        <x:f>IF(F104=G104,"PASS","FAIL")</x:f>
        <x:v>PASS</x:v>
      </x:c>
    </x:row>
    <x:row r="105">
      <x:c r="B105" s="10" t="str">
        <x:v>A0099</x:v>
      </x:c>
      <x:c r="C105" s="10" t="str">
        <x:v>cell</x:v>
      </x:c>
      <x:c r="D105" s="10" t="str">
        <x:v>MC-C1 plan</x:v>
      </x:c>
      <x:c r="E105" s="10" t="str">
        <x:v>cell minimums reconcile</x:v>
      </x:c>
      <x:c r="F105" s="10" t="str">
        <x:f>'Cell Architecture'!N8</x:f>
        <x:v>PASS</x:v>
      </x:c>
      <x:c r="G105" s="10" t="str">
        <x:v>PASS</x:v>
      </x:c>
      <x:c r="H105" s="10" t="str">
        <x:f>IF(F105=G105,"PASS","FAIL")</x:f>
        <x:v>PASS</x:v>
      </x:c>
    </x:row>
    <x:row r="106">
      <x:c r="B106" s="10" t="str">
        <x:v>A0100</x:v>
      </x:c>
      <x:c r="C106" s="10" t="str">
        <x:v>cell</x:v>
      </x:c>
      <x:c r="D106" s="10" t="str">
        <x:v>MC-C1 source</x:v>
      </x:c>
      <x:c r="E106" s="10" t="str">
        <x:v>physical acceptance remains absent</x:v>
      </x:c>
      <x:c r="F106" s="10" t="str">
        <x:f>'Cell Architecture'!O8</x:f>
        <x:v>OPEN</x:v>
      </x:c>
      <x:c r="G106" s="10" t="str">
        <x:v>OPEN</x:v>
      </x:c>
      <x:c r="H106" s="10" t="str">
        <x:f>IF(F106=G106,"PASS","FAIL")</x:f>
        <x:v>PASS</x:v>
      </x:c>
    </x:row>
    <x:row r="107">
      <x:c r="B107" s="10" t="str">
        <x:v>A0101</x:v>
      </x:c>
      <x:c r="C107" s="10" t="str">
        <x:v>cell</x:v>
      </x:c>
      <x:c r="D107" s="10" t="str">
        <x:v>MC-A1 plan</x:v>
      </x:c>
      <x:c r="E107" s="10" t="str">
        <x:v>cell minimums reconcile</x:v>
      </x:c>
      <x:c r="F107" s="10" t="str">
        <x:f>'Cell Architecture'!N9</x:f>
        <x:v>PASS</x:v>
      </x:c>
      <x:c r="G107" s="10" t="str">
        <x:v>PASS</x:v>
      </x:c>
      <x:c r="H107" s="10" t="str">
        <x:f>IF(F107=G107,"PASS","FAIL")</x:f>
        <x:v>PASS</x:v>
      </x:c>
    </x:row>
    <x:row r="108">
      <x:c r="B108" s="10" t="str">
        <x:v>A0102</x:v>
      </x:c>
      <x:c r="C108" s="10" t="str">
        <x:v>cell</x:v>
      </x:c>
      <x:c r="D108" s="10" t="str">
        <x:v>MC-A1 source</x:v>
      </x:c>
      <x:c r="E108" s="10" t="str">
        <x:v>physical acceptance remains absent</x:v>
      </x:c>
      <x:c r="F108" s="10" t="str">
        <x:f>'Cell Architecture'!O9</x:f>
        <x:v>OPEN</x:v>
      </x:c>
      <x:c r="G108" s="10" t="str">
        <x:v>OPEN</x:v>
      </x:c>
      <x:c r="H108" s="10" t="str">
        <x:f>IF(F108=G108,"PASS","FAIL")</x:f>
        <x:v>PASS</x:v>
      </x:c>
    </x:row>
    <x:row r="109">
      <x:c r="B109" s="10" t="str">
        <x:v>A0103</x:v>
      </x:c>
      <x:c r="C109" s="10" t="str">
        <x:v>hazard world</x:v>
      </x:c>
      <x:c r="D109" s="10" t="str">
        <x:v>A W01</x:v>
      </x:c>
      <x:c r="E109" s="10" t="str">
        <x:v>root event card complete</x:v>
      </x:c>
      <x:c r="F109" s="10" t="str">
        <x:f>'Hazard Worlds'!M7</x:f>
        <x:v>PASS</x:v>
      </x:c>
      <x:c r="G109" s="10" t="str">
        <x:v>PASS</x:v>
      </x:c>
      <x:c r="H109" s="10" t="str">
        <x:f>IF(F109=G109,"PASS","FAIL")</x:f>
        <x:v>PASS</x:v>
      </x:c>
    </x:row>
    <x:row r="110">
      <x:c r="B110" s="10" t="str">
        <x:v>A0104</x:v>
      </x:c>
      <x:c r="C110" s="10" t="str">
        <x:v>hazard world</x:v>
      </x:c>
      <x:c r="D110" s="10" t="str">
        <x:v>A W02</x:v>
      </x:c>
      <x:c r="E110" s="10" t="str">
        <x:v>root event card complete</x:v>
      </x:c>
      <x:c r="F110" s="10" t="str">
        <x:f>'Hazard Worlds'!M8</x:f>
        <x:v>PASS</x:v>
      </x:c>
      <x:c r="G110" s="10" t="str">
        <x:v>PASS</x:v>
      </x:c>
      <x:c r="H110" s="10" t="str">
        <x:f>IF(F110=G110,"PASS","FAIL")</x:f>
        <x:v>PASS</x:v>
      </x:c>
    </x:row>
    <x:row r="111">
      <x:c r="B111" s="10" t="str">
        <x:v>A0105</x:v>
      </x:c>
      <x:c r="C111" s="10" t="str">
        <x:v>hazard world</x:v>
      </x:c>
      <x:c r="D111" s="10" t="str">
        <x:v>A W03</x:v>
      </x:c>
      <x:c r="E111" s="10" t="str">
        <x:v>root event card complete</x:v>
      </x:c>
      <x:c r="F111" s="10" t="str">
        <x:f>'Hazard Worlds'!M9</x:f>
        <x:v>PASS</x:v>
      </x:c>
      <x:c r="G111" s="10" t="str">
        <x:v>PASS</x:v>
      </x:c>
      <x:c r="H111" s="10" t="str">
        <x:f>IF(F111=G111,"PASS","FAIL")</x:f>
        <x:v>PASS</x:v>
      </x:c>
    </x:row>
    <x:row r="112">
      <x:c r="B112" s="10" t="str">
        <x:v>A0106</x:v>
      </x:c>
      <x:c r="C112" s="10" t="str">
        <x:v>hazard world</x:v>
      </x:c>
      <x:c r="D112" s="10" t="str">
        <x:v>A W04</x:v>
      </x:c>
      <x:c r="E112" s="10" t="str">
        <x:v>root event card complete</x:v>
      </x:c>
      <x:c r="F112" s="10" t="str">
        <x:f>'Hazard Worlds'!M10</x:f>
        <x:v>PASS</x:v>
      </x:c>
      <x:c r="G112" s="10" t="str">
        <x:v>PASS</x:v>
      </x:c>
      <x:c r="H112" s="10" t="str">
        <x:f>IF(F112=G112,"PASS","FAIL")</x:f>
        <x:v>PASS</x:v>
      </x:c>
    </x:row>
    <x:row r="113">
      <x:c r="B113" s="10" t="str">
        <x:v>A0107</x:v>
      </x:c>
      <x:c r="C113" s="10" t="str">
        <x:v>hazard world</x:v>
      </x:c>
      <x:c r="D113" s="10" t="str">
        <x:v>A W05</x:v>
      </x:c>
      <x:c r="E113" s="10" t="str">
        <x:v>root event card complete</x:v>
      </x:c>
      <x:c r="F113" s="10" t="str">
        <x:f>'Hazard Worlds'!M11</x:f>
        <x:v>PASS</x:v>
      </x:c>
      <x:c r="G113" s="10" t="str">
        <x:v>PASS</x:v>
      </x:c>
      <x:c r="H113" s="10" t="str">
        <x:f>IF(F113=G113,"PASS","FAIL")</x:f>
        <x:v>PASS</x:v>
      </x:c>
    </x:row>
    <x:row r="114">
      <x:c r="B114" s="10" t="str">
        <x:v>A0108</x:v>
      </x:c>
      <x:c r="C114" s="10" t="str">
        <x:v>hazard world</x:v>
      </x:c>
      <x:c r="D114" s="10" t="str">
        <x:v>A W06</x:v>
      </x:c>
      <x:c r="E114" s="10" t="str">
        <x:v>root event card complete</x:v>
      </x:c>
      <x:c r="F114" s="10" t="str">
        <x:f>'Hazard Worlds'!M12</x:f>
        <x:v>PASS</x:v>
      </x:c>
      <x:c r="G114" s="10" t="str">
        <x:v>PASS</x:v>
      </x:c>
      <x:c r="H114" s="10" t="str">
        <x:f>IF(F114=G114,"PASS","FAIL")</x:f>
        <x:v>PASS</x:v>
      </x:c>
    </x:row>
    <x:row r="115">
      <x:c r="B115" s="10" t="str">
        <x:v>A0109</x:v>
      </x:c>
      <x:c r="C115" s="10" t="str">
        <x:v>hazard world</x:v>
      </x:c>
      <x:c r="D115" s="10" t="str">
        <x:v>A W07</x:v>
      </x:c>
      <x:c r="E115" s="10" t="str">
        <x:v>root event card complete</x:v>
      </x:c>
      <x:c r="F115" s="10" t="str">
        <x:f>'Hazard Worlds'!M13</x:f>
        <x:v>PASS</x:v>
      </x:c>
      <x:c r="G115" s="10" t="str">
        <x:v>PASS</x:v>
      </x:c>
      <x:c r="H115" s="10" t="str">
        <x:f>IF(F115=G115,"PASS","FAIL")</x:f>
        <x:v>PASS</x:v>
      </x:c>
    </x:row>
    <x:row r="116">
      <x:c r="B116" s="10" t="str">
        <x:v>A0110</x:v>
      </x:c>
      <x:c r="C116" s="10" t="str">
        <x:v>hazard world</x:v>
      </x:c>
      <x:c r="D116" s="10" t="str">
        <x:v>A W08</x:v>
      </x:c>
      <x:c r="E116" s="10" t="str">
        <x:v>root event card complete</x:v>
      </x:c>
      <x:c r="F116" s="10" t="str">
        <x:f>'Hazard Worlds'!M14</x:f>
        <x:v>PASS</x:v>
      </x:c>
      <x:c r="G116" s="10" t="str">
        <x:v>PASS</x:v>
      </x:c>
      <x:c r="H116" s="10" t="str">
        <x:f>IF(F116=G116,"PASS","FAIL")</x:f>
        <x:v>PASS</x:v>
      </x:c>
    </x:row>
    <x:row r="117">
      <x:c r="B117" s="10" t="str">
        <x:v>A0111</x:v>
      </x:c>
      <x:c r="C117" s="10" t="str">
        <x:v>hazard world</x:v>
      </x:c>
      <x:c r="D117" s="10" t="str">
        <x:v>A W09</x:v>
      </x:c>
      <x:c r="E117" s="10" t="str">
        <x:v>root event card complete</x:v>
      </x:c>
      <x:c r="F117" s="10" t="str">
        <x:f>'Hazard Worlds'!M15</x:f>
        <x:v>PASS</x:v>
      </x:c>
      <x:c r="G117" s="10" t="str">
        <x:v>PASS</x:v>
      </x:c>
      <x:c r="H117" s="10" t="str">
        <x:f>IF(F117=G117,"PASS","FAIL")</x:f>
        <x:v>PASS</x:v>
      </x:c>
    </x:row>
    <x:row r="118">
      <x:c r="B118" s="10" t="str">
        <x:v>A0112</x:v>
      </x:c>
      <x:c r="C118" s="10" t="str">
        <x:v>hazard world</x:v>
      </x:c>
      <x:c r="D118" s="10" t="str">
        <x:v>A W10</x:v>
      </x:c>
      <x:c r="E118" s="10" t="str">
        <x:v>root event card complete</x:v>
      </x:c>
      <x:c r="F118" s="10" t="str">
        <x:f>'Hazard Worlds'!M16</x:f>
        <x:v>PASS</x:v>
      </x:c>
      <x:c r="G118" s="10" t="str">
        <x:v>PASS</x:v>
      </x:c>
      <x:c r="H118" s="10" t="str">
        <x:f>IF(F118=G118,"PASS","FAIL")</x:f>
        <x:v>PASS</x:v>
      </x:c>
    </x:row>
    <x:row r="119">
      <x:c r="B119" s="10" t="str">
        <x:v>A0113</x:v>
      </x:c>
      <x:c r="C119" s="10" t="str">
        <x:v>hazard world</x:v>
      </x:c>
      <x:c r="D119" s="10" t="str">
        <x:v>A W11</x:v>
      </x:c>
      <x:c r="E119" s="10" t="str">
        <x:v>root event card complete</x:v>
      </x:c>
      <x:c r="F119" s="10" t="str">
        <x:f>'Hazard Worlds'!M17</x:f>
        <x:v>PASS</x:v>
      </x:c>
      <x:c r="G119" s="10" t="str">
        <x:v>PASS</x:v>
      </x:c>
      <x:c r="H119" s="10" t="str">
        <x:f>IF(F119=G119,"PASS","FAIL")</x:f>
        <x:v>PASS</x:v>
      </x:c>
    </x:row>
    <x:row r="120">
      <x:c r="B120" s="10" t="str">
        <x:v>A0114</x:v>
      </x:c>
      <x:c r="C120" s="10" t="str">
        <x:v>hazard world</x:v>
      </x:c>
      <x:c r="D120" s="10" t="str">
        <x:v>A W12</x:v>
      </x:c>
      <x:c r="E120" s="10" t="str">
        <x:v>root event card complete</x:v>
      </x:c>
      <x:c r="F120" s="10" t="str">
        <x:f>'Hazard Worlds'!M18</x:f>
        <x:v>PASS</x:v>
      </x:c>
      <x:c r="G120" s="10" t="str">
        <x:v>PASS</x:v>
      </x:c>
      <x:c r="H120" s="10" t="str">
        <x:f>IF(F120=G120,"PASS","FAIL")</x:f>
        <x:v>PASS</x:v>
      </x:c>
    </x:row>
    <x:row r="121">
      <x:c r="B121" s="10" t="str">
        <x:v>A0115</x:v>
      </x:c>
      <x:c r="C121" s="10" t="str">
        <x:v>hazard world</x:v>
      </x:c>
      <x:c r="D121" s="10" t="str">
        <x:v>B W01</x:v>
      </x:c>
      <x:c r="E121" s="10" t="str">
        <x:v>root event card complete</x:v>
      </x:c>
      <x:c r="F121" s="10" t="str">
        <x:f>'Hazard Worlds'!M19</x:f>
        <x:v>PASS</x:v>
      </x:c>
      <x:c r="G121" s="10" t="str">
        <x:v>PASS</x:v>
      </x:c>
      <x:c r="H121" s="10" t="str">
        <x:f>IF(F121=G121,"PASS","FAIL")</x:f>
        <x:v>PASS</x:v>
      </x:c>
    </x:row>
    <x:row r="122">
      <x:c r="B122" s="10" t="str">
        <x:v>A0116</x:v>
      </x:c>
      <x:c r="C122" s="10" t="str">
        <x:v>hazard world</x:v>
      </x:c>
      <x:c r="D122" s="10" t="str">
        <x:v>B W02</x:v>
      </x:c>
      <x:c r="E122" s="10" t="str">
        <x:v>root event card complete</x:v>
      </x:c>
      <x:c r="F122" s="10" t="str">
        <x:f>'Hazard Worlds'!M20</x:f>
        <x:v>PASS</x:v>
      </x:c>
      <x:c r="G122" s="10" t="str">
        <x:v>PASS</x:v>
      </x:c>
      <x:c r="H122" s="10" t="str">
        <x:f>IF(F122=G122,"PASS","FAIL")</x:f>
        <x:v>PASS</x:v>
      </x:c>
    </x:row>
    <x:row r="123">
      <x:c r="B123" s="10" t="str">
        <x:v>A0117</x:v>
      </x:c>
      <x:c r="C123" s="10" t="str">
        <x:v>hazard world</x:v>
      </x:c>
      <x:c r="D123" s="10" t="str">
        <x:v>B W03</x:v>
      </x:c>
      <x:c r="E123" s="10" t="str">
        <x:v>root event card complete</x:v>
      </x:c>
      <x:c r="F123" s="10" t="str">
        <x:f>'Hazard Worlds'!M21</x:f>
        <x:v>PASS</x:v>
      </x:c>
      <x:c r="G123" s="10" t="str">
        <x:v>PASS</x:v>
      </x:c>
      <x:c r="H123" s="10" t="str">
        <x:f>IF(F123=G123,"PASS","FAIL")</x:f>
        <x:v>PASS</x:v>
      </x:c>
    </x:row>
    <x:row r="124">
      <x:c r="B124" s="10" t="str">
        <x:v>A0118</x:v>
      </x:c>
      <x:c r="C124" s="10" t="str">
        <x:v>hazard world</x:v>
      </x:c>
      <x:c r="D124" s="10" t="str">
        <x:v>B W04</x:v>
      </x:c>
      <x:c r="E124" s="10" t="str">
        <x:v>root event card complete</x:v>
      </x:c>
      <x:c r="F124" s="10" t="str">
        <x:f>'Hazard Worlds'!M22</x:f>
        <x:v>PASS</x:v>
      </x:c>
      <x:c r="G124" s="10" t="str">
        <x:v>PASS</x:v>
      </x:c>
      <x:c r="H124" s="10" t="str">
        <x:f>IF(F124=G124,"PASS","FAIL")</x:f>
        <x:v>PASS</x:v>
      </x:c>
    </x:row>
    <x:row r="125">
      <x:c r="B125" s="10" t="str">
        <x:v>A0119</x:v>
      </x:c>
      <x:c r="C125" s="10" t="str">
        <x:v>hazard world</x:v>
      </x:c>
      <x:c r="D125" s="10" t="str">
        <x:v>B W05</x:v>
      </x:c>
      <x:c r="E125" s="10" t="str">
        <x:v>root event card complete</x:v>
      </x:c>
      <x:c r="F125" s="10" t="str">
        <x:f>'Hazard Worlds'!M23</x:f>
        <x:v>PASS</x:v>
      </x:c>
      <x:c r="G125" s="10" t="str">
        <x:v>PASS</x:v>
      </x:c>
      <x:c r="H125" s="10" t="str">
        <x:f>IF(F125=G125,"PASS","FAIL")</x:f>
        <x:v>PASS</x:v>
      </x:c>
    </x:row>
    <x:row r="126">
      <x:c r="B126" s="10" t="str">
        <x:v>A0120</x:v>
      </x:c>
      <x:c r="C126" s="10" t="str">
        <x:v>hazard world</x:v>
      </x:c>
      <x:c r="D126" s="10" t="str">
        <x:v>B W06</x:v>
      </x:c>
      <x:c r="E126" s="10" t="str">
        <x:v>root event card complete</x:v>
      </x:c>
      <x:c r="F126" s="10" t="str">
        <x:f>'Hazard Worlds'!M24</x:f>
        <x:v>PASS</x:v>
      </x:c>
      <x:c r="G126" s="10" t="str">
        <x:v>PASS</x:v>
      </x:c>
      <x:c r="H126" s="10" t="str">
        <x:f>IF(F126=G126,"PASS","FAIL")</x:f>
        <x:v>PASS</x:v>
      </x:c>
    </x:row>
    <x:row r="127">
      <x:c r="B127" s="10" t="str">
        <x:v>A0121</x:v>
      </x:c>
      <x:c r="C127" s="10" t="str">
        <x:v>hazard world</x:v>
      </x:c>
      <x:c r="D127" s="10" t="str">
        <x:v>B W07</x:v>
      </x:c>
      <x:c r="E127" s="10" t="str">
        <x:v>root event card complete</x:v>
      </x:c>
      <x:c r="F127" s="10" t="str">
        <x:f>'Hazard Worlds'!M25</x:f>
        <x:v>PASS</x:v>
      </x:c>
      <x:c r="G127" s="10" t="str">
        <x:v>PASS</x:v>
      </x:c>
      <x:c r="H127" s="10" t="str">
        <x:f>IF(F127=G127,"PASS","FAIL")</x:f>
        <x:v>PASS</x:v>
      </x:c>
    </x:row>
    <x:row r="128">
      <x:c r="B128" s="10" t="str">
        <x:v>A0122</x:v>
      </x:c>
      <x:c r="C128" s="10" t="str">
        <x:v>hazard world</x:v>
      </x:c>
      <x:c r="D128" s="10" t="str">
        <x:v>B W08</x:v>
      </x:c>
      <x:c r="E128" s="10" t="str">
        <x:v>root event card complete</x:v>
      </x:c>
      <x:c r="F128" s="10" t="str">
        <x:f>'Hazard Worlds'!M26</x:f>
        <x:v>PASS</x:v>
      </x:c>
      <x:c r="G128" s="10" t="str">
        <x:v>PASS</x:v>
      </x:c>
      <x:c r="H128" s="10" t="str">
        <x:f>IF(F128=G128,"PASS","FAIL")</x:f>
        <x:v>PASS</x:v>
      </x:c>
    </x:row>
    <x:row r="129">
      <x:c r="B129" s="10" t="str">
        <x:v>A0123</x:v>
      </x:c>
      <x:c r="C129" s="10" t="str">
        <x:v>hazard world</x:v>
      </x:c>
      <x:c r="D129" s="10" t="str">
        <x:v>B W09</x:v>
      </x:c>
      <x:c r="E129" s="10" t="str">
        <x:v>root event card complete</x:v>
      </x:c>
      <x:c r="F129" s="10" t="str">
        <x:f>'Hazard Worlds'!M27</x:f>
        <x:v>PASS</x:v>
      </x:c>
      <x:c r="G129" s="10" t="str">
        <x:v>PASS</x:v>
      </x:c>
      <x:c r="H129" s="10" t="str">
        <x:f>IF(F129=G129,"PASS","FAIL")</x:f>
        <x:v>PASS</x:v>
      </x:c>
    </x:row>
    <x:row r="130">
      <x:c r="B130" s="10" t="str">
        <x:v>A0124</x:v>
      </x:c>
      <x:c r="C130" s="10" t="str">
        <x:v>hazard world</x:v>
      </x:c>
      <x:c r="D130" s="10" t="str">
        <x:v>B W10</x:v>
      </x:c>
      <x:c r="E130" s="10" t="str">
        <x:v>root event card complete</x:v>
      </x:c>
      <x:c r="F130" s="10" t="str">
        <x:f>'Hazard Worlds'!M28</x:f>
        <x:v>PASS</x:v>
      </x:c>
      <x:c r="G130" s="10" t="str">
        <x:v>PASS</x:v>
      </x:c>
      <x:c r="H130" s="10" t="str">
        <x:f>IF(F130=G130,"PASS","FAIL")</x:f>
        <x:v>PASS</x:v>
      </x:c>
    </x:row>
    <x:row r="131">
      <x:c r="B131" s="10" t="str">
        <x:v>A0125</x:v>
      </x:c>
      <x:c r="C131" s="10" t="str">
        <x:v>hazard world</x:v>
      </x:c>
      <x:c r="D131" s="10" t="str">
        <x:v>B W11</x:v>
      </x:c>
      <x:c r="E131" s="10" t="str">
        <x:v>root event card complete</x:v>
      </x:c>
      <x:c r="F131" s="10" t="str">
        <x:f>'Hazard Worlds'!M29</x:f>
        <x:v>PASS</x:v>
      </x:c>
      <x:c r="G131" s="10" t="str">
        <x:v>PASS</x:v>
      </x:c>
      <x:c r="H131" s="10" t="str">
        <x:f>IF(F131=G131,"PASS","FAIL")</x:f>
        <x:v>PASS</x:v>
      </x:c>
    </x:row>
    <x:row r="132">
      <x:c r="B132" s="10" t="str">
        <x:v>A0126</x:v>
      </x:c>
      <x:c r="C132" s="10" t="str">
        <x:v>hazard world</x:v>
      </x:c>
      <x:c r="D132" s="10" t="str">
        <x:v>B W12</x:v>
      </x:c>
      <x:c r="E132" s="10" t="str">
        <x:v>root event card complete</x:v>
      </x:c>
      <x:c r="F132" s="10" t="str">
        <x:f>'Hazard Worlds'!M30</x:f>
        <x:v>PASS</x:v>
      </x:c>
      <x:c r="G132" s="10" t="str">
        <x:v>PASS</x:v>
      </x:c>
      <x:c r="H132" s="10" t="str">
        <x:f>IF(F132=G132,"PASS","FAIL")</x:f>
        <x:v>PASS</x:v>
      </x:c>
    </x:row>
    <x:row r="133">
      <x:c r="B133" s="10" t="str">
        <x:v>A0127</x:v>
      </x:c>
      <x:c r="C133" s="10" t="str">
        <x:v>trial</x:v>
      </x:c>
      <x:c r="D133" s="10" t="str">
        <x:v>MCR-F-B-A-W01 plan</x:v>
      </x:c>
      <x:c r="E133" s="10" t="str">
        <x:v>event identity complete</x:v>
      </x:c>
      <x:c r="F133" s="10" t="str">
        <x:f>'Trial Register'!Q7</x:f>
        <x:v>PASS</x:v>
      </x:c>
      <x:c r="G133" s="10" t="str">
        <x:v>PASS</x:v>
      </x:c>
      <x:c r="H133" s="10" t="str">
        <x:f>IF(F133=G133,"PASS","FAIL")</x:f>
        <x:v>PASS</x:v>
      </x:c>
    </x:row>
    <x:row r="134">
      <x:c r="B134" s="10" t="str">
        <x:v>A0128</x:v>
      </x:c>
      <x:c r="C134" s="10" t="str">
        <x:v>trial</x:v>
      </x:c>
      <x:c r="D134" s="10" t="str">
        <x:v>MCR-F-B-A-W01 source</x:v>
      </x:c>
      <x:c r="E134" s="10" t="str">
        <x:v>unexecuted event remains open</x:v>
      </x:c>
      <x:c r="F134" s="10" t="str">
        <x:f>'Trial Register'!R7</x:f>
        <x:v>OPEN</x:v>
      </x:c>
      <x:c r="G134" s="10" t="str">
        <x:v>OPEN</x:v>
      </x:c>
      <x:c r="H134" s="10" t="str">
        <x:f>IF(F134=G134,"PASS","FAIL")</x:f>
        <x:v>PASS</x:v>
      </x:c>
    </x:row>
    <x:row r="135">
      <x:c r="B135" s="10" t="str">
        <x:v>A0129</x:v>
      </x:c>
      <x:c r="C135" s="10" t="str">
        <x:v>trial</x:v>
      </x:c>
      <x:c r="D135" s="10" t="str">
        <x:v>MCR-F-B-A-W02 plan</x:v>
      </x:c>
      <x:c r="E135" s="10" t="str">
        <x:v>event identity complete</x:v>
      </x:c>
      <x:c r="F135" s="10" t="str">
        <x:f>'Trial Register'!Q8</x:f>
        <x:v>PASS</x:v>
      </x:c>
      <x:c r="G135" s="10" t="str">
        <x:v>PASS</x:v>
      </x:c>
      <x:c r="H135" s="10" t="str">
        <x:f>IF(F135=G135,"PASS","FAIL")</x:f>
        <x:v>PASS</x:v>
      </x:c>
    </x:row>
    <x:row r="136">
      <x:c r="B136" s="10" t="str">
        <x:v>A0130</x:v>
      </x:c>
      <x:c r="C136" s="10" t="str">
        <x:v>trial</x:v>
      </x:c>
      <x:c r="D136" s="10" t="str">
        <x:v>MCR-F-B-A-W02 source</x:v>
      </x:c>
      <x:c r="E136" s="10" t="str">
        <x:v>unexecuted event remains open</x:v>
      </x:c>
      <x:c r="F136" s="10" t="str">
        <x:f>'Trial Register'!R8</x:f>
        <x:v>OPEN</x:v>
      </x:c>
      <x:c r="G136" s="10" t="str">
        <x:v>OPEN</x:v>
      </x:c>
      <x:c r="H136" s="10" t="str">
        <x:f>IF(F136=G136,"PASS","FAIL")</x:f>
        <x:v>PASS</x:v>
      </x:c>
    </x:row>
    <x:row r="137">
      <x:c r="B137" s="10" t="str">
        <x:v>A0131</x:v>
      </x:c>
      <x:c r="C137" s="10" t="str">
        <x:v>trial</x:v>
      </x:c>
      <x:c r="D137" s="10" t="str">
        <x:v>MCR-F-B-A-W03 plan</x:v>
      </x:c>
      <x:c r="E137" s="10" t="str">
        <x:v>event identity complete</x:v>
      </x:c>
      <x:c r="F137" s="10" t="str">
        <x:f>'Trial Register'!Q9</x:f>
        <x:v>PASS</x:v>
      </x:c>
      <x:c r="G137" s="10" t="str">
        <x:v>PASS</x:v>
      </x:c>
      <x:c r="H137" s="10" t="str">
        <x:f>IF(F137=G137,"PASS","FAIL")</x:f>
        <x:v>PASS</x:v>
      </x:c>
    </x:row>
    <x:row r="138">
      <x:c r="B138" s="10" t="str">
        <x:v>A0132</x:v>
      </x:c>
      <x:c r="C138" s="10" t="str">
        <x:v>trial</x:v>
      </x:c>
      <x:c r="D138" s="10" t="str">
        <x:v>MCR-F-B-A-W03 source</x:v>
      </x:c>
      <x:c r="E138" s="10" t="str">
        <x:v>unexecuted event remains open</x:v>
      </x:c>
      <x:c r="F138" s="10" t="str">
        <x:f>'Trial Register'!R9</x:f>
        <x:v>OPEN</x:v>
      </x:c>
      <x:c r="G138" s="10" t="str">
        <x:v>OPEN</x:v>
      </x:c>
      <x:c r="H138" s="10" t="str">
        <x:f>IF(F138=G138,"PASS","FAIL")</x:f>
        <x:v>PASS</x:v>
      </x:c>
    </x:row>
    <x:row r="139">
      <x:c r="B139" s="10" t="str">
        <x:v>A0133</x:v>
      </x:c>
      <x:c r="C139" s="10" t="str">
        <x:v>trial</x:v>
      </x:c>
      <x:c r="D139" s="10" t="str">
        <x:v>MCR-F-B-A-W04 plan</x:v>
      </x:c>
      <x:c r="E139" s="10" t="str">
        <x:v>event identity complete</x:v>
      </x:c>
      <x:c r="F139" s="10" t="str">
        <x:f>'Trial Register'!Q10</x:f>
        <x:v>PASS</x:v>
      </x:c>
      <x:c r="G139" s="10" t="str">
        <x:v>PASS</x:v>
      </x:c>
      <x:c r="H139" s="10" t="str">
        <x:f>IF(F139=G139,"PASS","FAIL")</x:f>
        <x:v>PASS</x:v>
      </x:c>
    </x:row>
    <x:row r="140">
      <x:c r="B140" s="10" t="str">
        <x:v>A0134</x:v>
      </x:c>
      <x:c r="C140" s="10" t="str">
        <x:v>trial</x:v>
      </x:c>
      <x:c r="D140" s="10" t="str">
        <x:v>MCR-F-B-A-W04 source</x:v>
      </x:c>
      <x:c r="E140" s="10" t="str">
        <x:v>unexecuted event remains open</x:v>
      </x:c>
      <x:c r="F140" s="10" t="str">
        <x:f>'Trial Register'!R10</x:f>
        <x:v>OPEN</x:v>
      </x:c>
      <x:c r="G140" s="10" t="str">
        <x:v>OPEN</x:v>
      </x:c>
      <x:c r="H140" s="10" t="str">
        <x:f>IF(F140=G140,"PASS","FAIL")</x:f>
        <x:v>PASS</x:v>
      </x:c>
    </x:row>
    <x:row r="141">
      <x:c r="B141" s="10" t="str">
        <x:v>A0135</x:v>
      </x:c>
      <x:c r="C141" s="10" t="str">
        <x:v>trial</x:v>
      </x:c>
      <x:c r="D141" s="10" t="str">
        <x:v>MCR-F-B-A-W05 plan</x:v>
      </x:c>
      <x:c r="E141" s="10" t="str">
        <x:v>event identity complete</x:v>
      </x:c>
      <x:c r="F141" s="10" t="str">
        <x:f>'Trial Register'!Q11</x:f>
        <x:v>PASS</x:v>
      </x:c>
      <x:c r="G141" s="10" t="str">
        <x:v>PASS</x:v>
      </x:c>
      <x:c r="H141" s="10" t="str">
        <x:f>IF(F141=G141,"PASS","FAIL")</x:f>
        <x:v>PASS</x:v>
      </x:c>
    </x:row>
    <x:row r="142">
      <x:c r="B142" s="10" t="str">
        <x:v>A0136</x:v>
      </x:c>
      <x:c r="C142" s="10" t="str">
        <x:v>trial</x:v>
      </x:c>
      <x:c r="D142" s="10" t="str">
        <x:v>MCR-F-B-A-W05 source</x:v>
      </x:c>
      <x:c r="E142" s="10" t="str">
        <x:v>unexecuted event remains open</x:v>
      </x:c>
      <x:c r="F142" s="10" t="str">
        <x:f>'Trial Register'!R11</x:f>
        <x:v>OPEN</x:v>
      </x:c>
      <x:c r="G142" s="10" t="str">
        <x:v>OPEN</x:v>
      </x:c>
      <x:c r="H142" s="10" t="str">
        <x:f>IF(F142=G142,"PASS","FAIL")</x:f>
        <x:v>PASS</x:v>
      </x:c>
    </x:row>
    <x:row r="143">
      <x:c r="B143" s="10" t="str">
        <x:v>A0137</x:v>
      </x:c>
      <x:c r="C143" s="10" t="str">
        <x:v>trial</x:v>
      </x:c>
      <x:c r="D143" s="10" t="str">
        <x:v>MCR-F-B-A-W06 plan</x:v>
      </x:c>
      <x:c r="E143" s="10" t="str">
        <x:v>event identity complete</x:v>
      </x:c>
      <x:c r="F143" s="10" t="str">
        <x:f>'Trial Register'!Q12</x:f>
        <x:v>PASS</x:v>
      </x:c>
      <x:c r="G143" s="10" t="str">
        <x:v>PASS</x:v>
      </x:c>
      <x:c r="H143" s="10" t="str">
        <x:f>IF(F143=G143,"PASS","FAIL")</x:f>
        <x:v>PASS</x:v>
      </x:c>
    </x:row>
    <x:row r="144">
      <x:c r="B144" s="10" t="str">
        <x:v>A0138</x:v>
      </x:c>
      <x:c r="C144" s="10" t="str">
        <x:v>trial</x:v>
      </x:c>
      <x:c r="D144" s="10" t="str">
        <x:v>MCR-F-B-A-W06 source</x:v>
      </x:c>
      <x:c r="E144" s="10" t="str">
        <x:v>unexecuted event remains open</x:v>
      </x:c>
      <x:c r="F144" s="10" t="str">
        <x:f>'Trial Register'!R12</x:f>
        <x:v>OPEN</x:v>
      </x:c>
      <x:c r="G144" s="10" t="str">
        <x:v>OPEN</x:v>
      </x:c>
      <x:c r="H144" s="10" t="str">
        <x:f>IF(F144=G144,"PASS","FAIL")</x:f>
        <x:v>PASS</x:v>
      </x:c>
    </x:row>
    <x:row r="145">
      <x:c r="B145" s="10" t="str">
        <x:v>A0139</x:v>
      </x:c>
      <x:c r="C145" s="10" t="str">
        <x:v>trial</x:v>
      </x:c>
      <x:c r="D145" s="10" t="str">
        <x:v>MCR-F-B-A-W07 plan</x:v>
      </x:c>
      <x:c r="E145" s="10" t="str">
        <x:v>event identity complete</x:v>
      </x:c>
      <x:c r="F145" s="10" t="str">
        <x:f>'Trial Register'!Q13</x:f>
        <x:v>PASS</x:v>
      </x:c>
      <x:c r="G145" s="10" t="str">
        <x:v>PASS</x:v>
      </x:c>
      <x:c r="H145" s="10" t="str">
        <x:f>IF(F145=G145,"PASS","FAIL")</x:f>
        <x:v>PASS</x:v>
      </x:c>
    </x:row>
    <x:row r="146">
      <x:c r="B146" s="10" t="str">
        <x:v>A0140</x:v>
      </x:c>
      <x:c r="C146" s="10" t="str">
        <x:v>trial</x:v>
      </x:c>
      <x:c r="D146" s="10" t="str">
        <x:v>MCR-F-B-A-W07 source</x:v>
      </x:c>
      <x:c r="E146" s="10" t="str">
        <x:v>unexecuted event remains open</x:v>
      </x:c>
      <x:c r="F146" s="10" t="str">
        <x:f>'Trial Register'!R13</x:f>
        <x:v>OPEN</x:v>
      </x:c>
      <x:c r="G146" s="10" t="str">
        <x:v>OPEN</x:v>
      </x:c>
      <x:c r="H146" s="10" t="str">
        <x:f>IF(F146=G146,"PASS","FAIL")</x:f>
        <x:v>PASS</x:v>
      </x:c>
    </x:row>
    <x:row r="147">
      <x:c r="B147" s="10" t="str">
        <x:v>A0141</x:v>
      </x:c>
      <x:c r="C147" s="10" t="str">
        <x:v>trial</x:v>
      </x:c>
      <x:c r="D147" s="10" t="str">
        <x:v>MCR-F-B-A-W08 plan</x:v>
      </x:c>
      <x:c r="E147" s="10" t="str">
        <x:v>event identity complete</x:v>
      </x:c>
      <x:c r="F147" s="10" t="str">
        <x:f>'Trial Register'!Q14</x:f>
        <x:v>PASS</x:v>
      </x:c>
      <x:c r="G147" s="10" t="str">
        <x:v>PASS</x:v>
      </x:c>
      <x:c r="H147" s="10" t="str">
        <x:f>IF(F147=G147,"PASS","FAIL")</x:f>
        <x:v>PASS</x:v>
      </x:c>
    </x:row>
    <x:row r="148">
      <x:c r="B148" s="10" t="str">
        <x:v>A0142</x:v>
      </x:c>
      <x:c r="C148" s="10" t="str">
        <x:v>trial</x:v>
      </x:c>
      <x:c r="D148" s="10" t="str">
        <x:v>MCR-F-B-A-W08 source</x:v>
      </x:c>
      <x:c r="E148" s="10" t="str">
        <x:v>unexecuted event remains open</x:v>
      </x:c>
      <x:c r="F148" s="10" t="str">
        <x:f>'Trial Register'!R14</x:f>
        <x:v>OPEN</x:v>
      </x:c>
      <x:c r="G148" s="10" t="str">
        <x:v>OPEN</x:v>
      </x:c>
      <x:c r="H148" s="10" t="str">
        <x:f>IF(F148=G148,"PASS","FAIL")</x:f>
        <x:v>PASS</x:v>
      </x:c>
    </x:row>
    <x:row r="149">
      <x:c r="B149" s="10" t="str">
        <x:v>A0143</x:v>
      </x:c>
      <x:c r="C149" s="10" t="str">
        <x:v>trial</x:v>
      </x:c>
      <x:c r="D149" s="10" t="str">
        <x:v>MCR-F-B-A-W09 plan</x:v>
      </x:c>
      <x:c r="E149" s="10" t="str">
        <x:v>event identity complete</x:v>
      </x:c>
      <x:c r="F149" s="10" t="str">
        <x:f>'Trial Register'!Q15</x:f>
        <x:v>PASS</x:v>
      </x:c>
      <x:c r="G149" s="10" t="str">
        <x:v>PASS</x:v>
      </x:c>
      <x:c r="H149" s="10" t="str">
        <x:f>IF(F149=G149,"PASS","FAIL")</x:f>
        <x:v>PASS</x:v>
      </x:c>
    </x:row>
    <x:row r="150">
      <x:c r="B150" s="10" t="str">
        <x:v>A0144</x:v>
      </x:c>
      <x:c r="C150" s="10" t="str">
        <x:v>trial</x:v>
      </x:c>
      <x:c r="D150" s="10" t="str">
        <x:v>MCR-F-B-A-W09 source</x:v>
      </x:c>
      <x:c r="E150" s="10" t="str">
        <x:v>unexecuted event remains open</x:v>
      </x:c>
      <x:c r="F150" s="10" t="str">
        <x:f>'Trial Register'!R15</x:f>
        <x:v>OPEN</x:v>
      </x:c>
      <x:c r="G150" s="10" t="str">
        <x:v>OPEN</x:v>
      </x:c>
      <x:c r="H150" s="10" t="str">
        <x:f>IF(F150=G150,"PASS","FAIL")</x:f>
        <x:v>PASS</x:v>
      </x:c>
    </x:row>
    <x:row r="151">
      <x:c r="B151" s="10" t="str">
        <x:v>A0145</x:v>
      </x:c>
      <x:c r="C151" s="10" t="str">
        <x:v>trial</x:v>
      </x:c>
      <x:c r="D151" s="10" t="str">
        <x:v>MCR-F-B-A-W10 plan</x:v>
      </x:c>
      <x:c r="E151" s="10" t="str">
        <x:v>event identity complete</x:v>
      </x:c>
      <x:c r="F151" s="10" t="str">
        <x:f>'Trial Register'!Q16</x:f>
        <x:v>PASS</x:v>
      </x:c>
      <x:c r="G151" s="10" t="str">
        <x:v>PASS</x:v>
      </x:c>
      <x:c r="H151" s="10" t="str">
        <x:f>IF(F151=G151,"PASS","FAIL")</x:f>
        <x:v>PASS</x:v>
      </x:c>
    </x:row>
    <x:row r="152">
      <x:c r="B152" s="10" t="str">
        <x:v>A0146</x:v>
      </x:c>
      <x:c r="C152" s="10" t="str">
        <x:v>trial</x:v>
      </x:c>
      <x:c r="D152" s="10" t="str">
        <x:v>MCR-F-B-A-W10 source</x:v>
      </x:c>
      <x:c r="E152" s="10" t="str">
        <x:v>unexecuted event remains open</x:v>
      </x:c>
      <x:c r="F152" s="10" t="str">
        <x:f>'Trial Register'!R16</x:f>
        <x:v>OPEN</x:v>
      </x:c>
      <x:c r="G152" s="10" t="str">
        <x:v>OPEN</x:v>
      </x:c>
      <x:c r="H152" s="10" t="str">
        <x:f>IF(F152=G152,"PASS","FAIL")</x:f>
        <x:v>PASS</x:v>
      </x:c>
    </x:row>
    <x:row r="153">
      <x:c r="B153" s="10" t="str">
        <x:v>A0147</x:v>
      </x:c>
      <x:c r="C153" s="10" t="str">
        <x:v>trial</x:v>
      </x:c>
      <x:c r="D153" s="10" t="str">
        <x:v>MCR-F-B-A-W11 plan</x:v>
      </x:c>
      <x:c r="E153" s="10" t="str">
        <x:v>event identity complete</x:v>
      </x:c>
      <x:c r="F153" s="10" t="str">
        <x:f>'Trial Register'!Q17</x:f>
        <x:v>PASS</x:v>
      </x:c>
      <x:c r="G153" s="10" t="str">
        <x:v>PASS</x:v>
      </x:c>
      <x:c r="H153" s="10" t="str">
        <x:f>IF(F153=G153,"PASS","FAIL")</x:f>
        <x:v>PASS</x:v>
      </x:c>
    </x:row>
    <x:row r="154">
      <x:c r="B154" s="10" t="str">
        <x:v>A0148</x:v>
      </x:c>
      <x:c r="C154" s="10" t="str">
        <x:v>trial</x:v>
      </x:c>
      <x:c r="D154" s="10" t="str">
        <x:v>MCR-F-B-A-W11 source</x:v>
      </x:c>
      <x:c r="E154" s="10" t="str">
        <x:v>unexecuted event remains open</x:v>
      </x:c>
      <x:c r="F154" s="10" t="str">
        <x:f>'Trial Register'!R17</x:f>
        <x:v>OPEN</x:v>
      </x:c>
      <x:c r="G154" s="10" t="str">
        <x:v>OPEN</x:v>
      </x:c>
      <x:c r="H154" s="10" t="str">
        <x:f>IF(F154=G154,"PASS","FAIL")</x:f>
        <x:v>PASS</x:v>
      </x:c>
    </x:row>
    <x:row r="155">
      <x:c r="B155" s="10" t="str">
        <x:v>A0149</x:v>
      </x:c>
      <x:c r="C155" s="10" t="str">
        <x:v>trial</x:v>
      </x:c>
      <x:c r="D155" s="10" t="str">
        <x:v>MCR-F-B-A-W12 plan</x:v>
      </x:c>
      <x:c r="E155" s="10" t="str">
        <x:v>event identity complete</x:v>
      </x:c>
      <x:c r="F155" s="10" t="str">
        <x:f>'Trial Register'!Q18</x:f>
        <x:v>PASS</x:v>
      </x:c>
      <x:c r="G155" s="10" t="str">
        <x:v>PASS</x:v>
      </x:c>
      <x:c r="H155" s="10" t="str">
        <x:f>IF(F155=G155,"PASS","FAIL")</x:f>
        <x:v>PASS</x:v>
      </x:c>
    </x:row>
    <x:row r="156">
      <x:c r="B156" s="10" t="str">
        <x:v>A0150</x:v>
      </x:c>
      <x:c r="C156" s="10" t="str">
        <x:v>trial</x:v>
      </x:c>
      <x:c r="D156" s="10" t="str">
        <x:v>MCR-F-B-A-W12 source</x:v>
      </x:c>
      <x:c r="E156" s="10" t="str">
        <x:v>unexecuted event remains open</x:v>
      </x:c>
      <x:c r="F156" s="10" t="str">
        <x:f>'Trial Register'!R18</x:f>
        <x:v>OPEN</x:v>
      </x:c>
      <x:c r="G156" s="10" t="str">
        <x:v>OPEN</x:v>
      </x:c>
      <x:c r="H156" s="10" t="str">
        <x:f>IF(F156=G156,"PASS","FAIL")</x:f>
        <x:v>PASS</x:v>
      </x:c>
    </x:row>
    <x:row r="157">
      <x:c r="B157" s="10" t="str">
        <x:v>A0151</x:v>
      </x:c>
      <x:c r="C157" s="10" t="str">
        <x:v>trial</x:v>
      </x:c>
      <x:c r="D157" s="10" t="str">
        <x:v>MCR-C-B-A-W02 plan</x:v>
      </x:c>
      <x:c r="E157" s="10" t="str">
        <x:v>event identity complete</x:v>
      </x:c>
      <x:c r="F157" s="10" t="str">
        <x:f>'Trial Register'!Q19</x:f>
        <x:v>PASS</x:v>
      </x:c>
      <x:c r="G157" s="10" t="str">
        <x:v>PASS</x:v>
      </x:c>
      <x:c r="H157" s="10" t="str">
        <x:f>IF(F157=G157,"PASS","FAIL")</x:f>
        <x:v>PASS</x:v>
      </x:c>
    </x:row>
    <x:row r="158">
      <x:c r="B158" s="10" t="str">
        <x:v>A0152</x:v>
      </x:c>
      <x:c r="C158" s="10" t="str">
        <x:v>trial</x:v>
      </x:c>
      <x:c r="D158" s="10" t="str">
        <x:v>MCR-C-B-A-W02 source</x:v>
      </x:c>
      <x:c r="E158" s="10" t="str">
        <x:v>unexecuted event remains open</x:v>
      </x:c>
      <x:c r="F158" s="10" t="str">
        <x:f>'Trial Register'!R19</x:f>
        <x:v>OPEN</x:v>
      </x:c>
      <x:c r="G158" s="10" t="str">
        <x:v>OPEN</x:v>
      </x:c>
      <x:c r="H158" s="10" t="str">
        <x:f>IF(F158=G158,"PASS","FAIL")</x:f>
        <x:v>PASS</x:v>
      </x:c>
    </x:row>
    <x:row r="159">
      <x:c r="B159" s="10" t="str">
        <x:v>A0153</x:v>
      </x:c>
      <x:c r="C159" s="10" t="str">
        <x:v>trial</x:v>
      </x:c>
      <x:c r="D159" s="10" t="str">
        <x:v>MCR-C-B-A-W03 plan</x:v>
      </x:c>
      <x:c r="E159" s="10" t="str">
        <x:v>event identity complete</x:v>
      </x:c>
      <x:c r="F159" s="10" t="str">
        <x:f>'Trial Register'!Q20</x:f>
        <x:v>PASS</x:v>
      </x:c>
      <x:c r="G159" s="10" t="str">
        <x:v>PASS</x:v>
      </x:c>
      <x:c r="H159" s="10" t="str">
        <x:f>IF(F159=G159,"PASS","FAIL")</x:f>
        <x:v>PASS</x:v>
      </x:c>
    </x:row>
    <x:row r="160">
      <x:c r="B160" s="10" t="str">
        <x:v>A0154</x:v>
      </x:c>
      <x:c r="C160" s="10" t="str">
        <x:v>trial</x:v>
      </x:c>
      <x:c r="D160" s="10" t="str">
        <x:v>MCR-C-B-A-W03 source</x:v>
      </x:c>
      <x:c r="E160" s="10" t="str">
        <x:v>unexecuted event remains open</x:v>
      </x:c>
      <x:c r="F160" s="10" t="str">
        <x:f>'Trial Register'!R20</x:f>
        <x:v>OPEN</x:v>
      </x:c>
      <x:c r="G160" s="10" t="str">
        <x:v>OPEN</x:v>
      </x:c>
      <x:c r="H160" s="10" t="str">
        <x:f>IF(F160=G160,"PASS","FAIL")</x:f>
        <x:v>PASS</x:v>
      </x:c>
    </x:row>
    <x:row r="161">
      <x:c r="B161" s="10" t="str">
        <x:v>A0155</x:v>
      </x:c>
      <x:c r="C161" s="10" t="str">
        <x:v>trial</x:v>
      </x:c>
      <x:c r="D161" s="10" t="str">
        <x:v>MCR-C-B-A-W06 plan</x:v>
      </x:c>
      <x:c r="E161" s="10" t="str">
        <x:v>event identity complete</x:v>
      </x:c>
      <x:c r="F161" s="10" t="str">
        <x:f>'Trial Register'!Q21</x:f>
        <x:v>PASS</x:v>
      </x:c>
      <x:c r="G161" s="10" t="str">
        <x:v>PASS</x:v>
      </x:c>
      <x:c r="H161" s="10" t="str">
        <x:f>IF(F161=G161,"PASS","FAIL")</x:f>
        <x:v>PASS</x:v>
      </x:c>
    </x:row>
    <x:row r="162">
      <x:c r="B162" s="10" t="str">
        <x:v>A0156</x:v>
      </x:c>
      <x:c r="C162" s="10" t="str">
        <x:v>trial</x:v>
      </x:c>
      <x:c r="D162" s="10" t="str">
        <x:v>MCR-C-B-A-W06 source</x:v>
      </x:c>
      <x:c r="E162" s="10" t="str">
        <x:v>unexecuted event remains open</x:v>
      </x:c>
      <x:c r="F162" s="10" t="str">
        <x:f>'Trial Register'!R21</x:f>
        <x:v>OPEN</x:v>
      </x:c>
      <x:c r="G162" s="10" t="str">
        <x:v>OPEN</x:v>
      </x:c>
      <x:c r="H162" s="10" t="str">
        <x:f>IF(F162=G162,"PASS","FAIL")</x:f>
        <x:v>PASS</x:v>
      </x:c>
    </x:row>
    <x:row r="163">
      <x:c r="B163" s="10" t="str">
        <x:v>A0157</x:v>
      </x:c>
      <x:c r="C163" s="10" t="str">
        <x:v>trial</x:v>
      </x:c>
      <x:c r="D163" s="10" t="str">
        <x:v>MCR-C-B-A-W07 plan</x:v>
      </x:c>
      <x:c r="E163" s="10" t="str">
        <x:v>event identity complete</x:v>
      </x:c>
      <x:c r="F163" s="10" t="str">
        <x:f>'Trial Register'!Q22</x:f>
        <x:v>PASS</x:v>
      </x:c>
      <x:c r="G163" s="10" t="str">
        <x:v>PASS</x:v>
      </x:c>
      <x:c r="H163" s="10" t="str">
        <x:f>IF(F163=G163,"PASS","FAIL")</x:f>
        <x:v>PASS</x:v>
      </x:c>
    </x:row>
    <x:row r="164">
      <x:c r="B164" s="10" t="str">
        <x:v>A0158</x:v>
      </x:c>
      <x:c r="C164" s="10" t="str">
        <x:v>trial</x:v>
      </x:c>
      <x:c r="D164" s="10" t="str">
        <x:v>MCR-C-B-A-W07 source</x:v>
      </x:c>
      <x:c r="E164" s="10" t="str">
        <x:v>unexecuted event remains open</x:v>
      </x:c>
      <x:c r="F164" s="10" t="str">
        <x:f>'Trial Register'!R22</x:f>
        <x:v>OPEN</x:v>
      </x:c>
      <x:c r="G164" s="10" t="str">
        <x:v>OPEN</x:v>
      </x:c>
      <x:c r="H164" s="10" t="str">
        <x:f>IF(F164=G164,"PASS","FAIL")</x:f>
        <x:v>PASS</x:v>
      </x:c>
    </x:row>
    <x:row r="165">
      <x:c r="B165" s="10" t="str">
        <x:v>A0159</x:v>
      </x:c>
      <x:c r="C165" s="10" t="str">
        <x:v>trial</x:v>
      </x:c>
      <x:c r="D165" s="10" t="str">
        <x:v>MCR-C-B-A-W08 plan</x:v>
      </x:c>
      <x:c r="E165" s="10" t="str">
        <x:v>event identity complete</x:v>
      </x:c>
      <x:c r="F165" s="10" t="str">
        <x:f>'Trial Register'!Q23</x:f>
        <x:v>PASS</x:v>
      </x:c>
      <x:c r="G165" s="10" t="str">
        <x:v>PASS</x:v>
      </x:c>
      <x:c r="H165" s="10" t="str">
        <x:f>IF(F165=G165,"PASS","FAIL")</x:f>
        <x:v>PASS</x:v>
      </x:c>
    </x:row>
    <x:row r="166">
      <x:c r="B166" s="10" t="str">
        <x:v>A0160</x:v>
      </x:c>
      <x:c r="C166" s="10" t="str">
        <x:v>trial</x:v>
      </x:c>
      <x:c r="D166" s="10" t="str">
        <x:v>MCR-C-B-A-W08 source</x:v>
      </x:c>
      <x:c r="E166" s="10" t="str">
        <x:v>unexecuted event remains open</x:v>
      </x:c>
      <x:c r="F166" s="10" t="str">
        <x:f>'Trial Register'!R23</x:f>
        <x:v>OPEN</x:v>
      </x:c>
      <x:c r="G166" s="10" t="str">
        <x:v>OPEN</x:v>
      </x:c>
      <x:c r="H166" s="10" t="str">
        <x:f>IF(F166=G166,"PASS","FAIL")</x:f>
        <x:v>PASS</x:v>
      </x:c>
    </x:row>
    <x:row r="167">
      <x:c r="B167" s="10" t="str">
        <x:v>A0161</x:v>
      </x:c>
      <x:c r="C167" s="10" t="str">
        <x:v>trial</x:v>
      </x:c>
      <x:c r="D167" s="10" t="str">
        <x:v>MCR-C-B-A-W09 plan</x:v>
      </x:c>
      <x:c r="E167" s="10" t="str">
        <x:v>event identity complete</x:v>
      </x:c>
      <x:c r="F167" s="10" t="str">
        <x:f>'Trial Register'!Q24</x:f>
        <x:v>PASS</x:v>
      </x:c>
      <x:c r="G167" s="10" t="str">
        <x:v>PASS</x:v>
      </x:c>
      <x:c r="H167" s="10" t="str">
        <x:f>IF(F167=G167,"PASS","FAIL")</x:f>
        <x:v>PASS</x:v>
      </x:c>
    </x:row>
    <x:row r="168">
      <x:c r="B168" s="10" t="str">
        <x:v>A0162</x:v>
      </x:c>
      <x:c r="C168" s="10" t="str">
        <x:v>trial</x:v>
      </x:c>
      <x:c r="D168" s="10" t="str">
        <x:v>MCR-C-B-A-W09 source</x:v>
      </x:c>
      <x:c r="E168" s="10" t="str">
        <x:v>unexecuted event remains open</x:v>
      </x:c>
      <x:c r="F168" s="10" t="str">
        <x:f>'Trial Register'!R24</x:f>
        <x:v>OPEN</x:v>
      </x:c>
      <x:c r="G168" s="10" t="str">
        <x:v>OPEN</x:v>
      </x:c>
      <x:c r="H168" s="10" t="str">
        <x:f>IF(F168=G168,"PASS","FAIL")</x:f>
        <x:v>PASS</x:v>
      </x:c>
    </x:row>
    <x:row r="169">
      <x:c r="B169" s="10" t="str">
        <x:v>A0163</x:v>
      </x:c>
      <x:c r="C169" s="10" t="str">
        <x:v>trial</x:v>
      </x:c>
      <x:c r="D169" s="10" t="str">
        <x:v>MCR-R-B-A-1 plan</x:v>
      </x:c>
      <x:c r="E169" s="10" t="str">
        <x:v>event identity complete</x:v>
      </x:c>
      <x:c r="F169" s="10" t="str">
        <x:f>'Trial Register'!Q25</x:f>
        <x:v>PASS</x:v>
      </x:c>
      <x:c r="G169" s="10" t="str">
        <x:v>PASS</x:v>
      </x:c>
      <x:c r="H169" s="10" t="str">
        <x:f>IF(F169=G169,"PASS","FAIL")</x:f>
        <x:v>PASS</x:v>
      </x:c>
    </x:row>
    <x:row r="170">
      <x:c r="B170" s="10" t="str">
        <x:v>A0164</x:v>
      </x:c>
      <x:c r="C170" s="10" t="str">
        <x:v>trial</x:v>
      </x:c>
      <x:c r="D170" s="10" t="str">
        <x:v>MCR-R-B-A-1 source</x:v>
      </x:c>
      <x:c r="E170" s="10" t="str">
        <x:v>unexecuted event remains open</x:v>
      </x:c>
      <x:c r="F170" s="10" t="str">
        <x:f>'Trial Register'!R25</x:f>
        <x:v>OPEN</x:v>
      </x:c>
      <x:c r="G170" s="10" t="str">
        <x:v>OPEN</x:v>
      </x:c>
      <x:c r="H170" s="10" t="str">
        <x:f>IF(F170=G170,"PASS","FAIL")</x:f>
        <x:v>PASS</x:v>
      </x:c>
    </x:row>
    <x:row r="171">
      <x:c r="B171" s="10" t="str">
        <x:v>A0165</x:v>
      </x:c>
      <x:c r="C171" s="10" t="str">
        <x:v>trial</x:v>
      </x:c>
      <x:c r="D171" s="10" t="str">
        <x:v>MCR-R-B-A-2 plan</x:v>
      </x:c>
      <x:c r="E171" s="10" t="str">
        <x:v>event identity complete</x:v>
      </x:c>
      <x:c r="F171" s="10" t="str">
        <x:f>'Trial Register'!Q26</x:f>
        <x:v>PASS</x:v>
      </x:c>
      <x:c r="G171" s="10" t="str">
        <x:v>PASS</x:v>
      </x:c>
      <x:c r="H171" s="10" t="str">
        <x:f>IF(F171=G171,"PASS","FAIL")</x:f>
        <x:v>PASS</x:v>
      </x:c>
    </x:row>
    <x:row r="172">
      <x:c r="B172" s="10" t="str">
        <x:v>A0166</x:v>
      </x:c>
      <x:c r="C172" s="10" t="str">
        <x:v>trial</x:v>
      </x:c>
      <x:c r="D172" s="10" t="str">
        <x:v>MCR-R-B-A-2 source</x:v>
      </x:c>
      <x:c r="E172" s="10" t="str">
        <x:v>unexecuted event remains open</x:v>
      </x:c>
      <x:c r="F172" s="10" t="str">
        <x:f>'Trial Register'!R26</x:f>
        <x:v>OPEN</x:v>
      </x:c>
      <x:c r="G172" s="10" t="str">
        <x:v>OPEN</x:v>
      </x:c>
      <x:c r="H172" s="10" t="str">
        <x:f>IF(F172=G172,"PASS","FAIL")</x:f>
        <x:v>PASS</x:v>
      </x:c>
    </x:row>
    <x:row r="173">
      <x:c r="B173" s="10" t="str">
        <x:v>A0167</x:v>
      </x:c>
      <x:c r="C173" s="10" t="str">
        <x:v>trial</x:v>
      </x:c>
      <x:c r="D173" s="10" t="str">
        <x:v>MCR-F-B-B-W01 plan</x:v>
      </x:c>
      <x:c r="E173" s="10" t="str">
        <x:v>event identity complete</x:v>
      </x:c>
      <x:c r="F173" s="10" t="str">
        <x:f>'Trial Register'!Q27</x:f>
        <x:v>PASS</x:v>
      </x:c>
      <x:c r="G173" s="10" t="str">
        <x:v>PASS</x:v>
      </x:c>
      <x:c r="H173" s="10" t="str">
        <x:f>IF(F173=G173,"PASS","FAIL")</x:f>
        <x:v>PASS</x:v>
      </x:c>
    </x:row>
    <x:row r="174">
      <x:c r="B174" s="10" t="str">
        <x:v>A0168</x:v>
      </x:c>
      <x:c r="C174" s="10" t="str">
        <x:v>trial</x:v>
      </x:c>
      <x:c r="D174" s="10" t="str">
        <x:v>MCR-F-B-B-W01 source</x:v>
      </x:c>
      <x:c r="E174" s="10" t="str">
        <x:v>unexecuted event remains open</x:v>
      </x:c>
      <x:c r="F174" s="10" t="str">
        <x:f>'Trial Register'!R27</x:f>
        <x:v>OPEN</x:v>
      </x:c>
      <x:c r="G174" s="10" t="str">
        <x:v>OPEN</x:v>
      </x:c>
      <x:c r="H174" s="10" t="str">
        <x:f>IF(F174=G174,"PASS","FAIL")</x:f>
        <x:v>PASS</x:v>
      </x:c>
    </x:row>
    <x:row r="175">
      <x:c r="B175" s="10" t="str">
        <x:v>A0169</x:v>
      </x:c>
      <x:c r="C175" s="10" t="str">
        <x:v>trial</x:v>
      </x:c>
      <x:c r="D175" s="10" t="str">
        <x:v>MCR-F-B-B-W02 plan</x:v>
      </x:c>
      <x:c r="E175" s="10" t="str">
        <x:v>event identity complete</x:v>
      </x:c>
      <x:c r="F175" s="10" t="str">
        <x:f>'Trial Register'!Q28</x:f>
        <x:v>PASS</x:v>
      </x:c>
      <x:c r="G175" s="10" t="str">
        <x:v>PASS</x:v>
      </x:c>
      <x:c r="H175" s="10" t="str">
        <x:f>IF(F175=G175,"PASS","FAIL")</x:f>
        <x:v>PASS</x:v>
      </x:c>
    </x:row>
    <x:row r="176">
      <x:c r="B176" s="10" t="str">
        <x:v>A0170</x:v>
      </x:c>
      <x:c r="C176" s="10" t="str">
        <x:v>trial</x:v>
      </x:c>
      <x:c r="D176" s="10" t="str">
        <x:v>MCR-F-B-B-W02 source</x:v>
      </x:c>
      <x:c r="E176" s="10" t="str">
        <x:v>unexecuted event remains open</x:v>
      </x:c>
      <x:c r="F176" s="10" t="str">
        <x:f>'Trial Register'!R28</x:f>
        <x:v>OPEN</x:v>
      </x:c>
      <x:c r="G176" s="10" t="str">
        <x:v>OPEN</x:v>
      </x:c>
      <x:c r="H176" s="10" t="str">
        <x:f>IF(F176=G176,"PASS","FAIL")</x:f>
        <x:v>PASS</x:v>
      </x:c>
    </x:row>
    <x:row r="177">
      <x:c r="B177" s="10" t="str">
        <x:v>A0171</x:v>
      </x:c>
      <x:c r="C177" s="10" t="str">
        <x:v>trial</x:v>
      </x:c>
      <x:c r="D177" s="10" t="str">
        <x:v>MCR-F-B-B-W03 plan</x:v>
      </x:c>
      <x:c r="E177" s="10" t="str">
        <x:v>event identity complete</x:v>
      </x:c>
      <x:c r="F177" s="10" t="str">
        <x:f>'Trial Register'!Q29</x:f>
        <x:v>PASS</x:v>
      </x:c>
      <x:c r="G177" s="10" t="str">
        <x:v>PASS</x:v>
      </x:c>
      <x:c r="H177" s="10" t="str">
        <x:f>IF(F177=G177,"PASS","FAIL")</x:f>
        <x:v>PASS</x:v>
      </x:c>
    </x:row>
    <x:row r="178">
      <x:c r="B178" s="10" t="str">
        <x:v>A0172</x:v>
      </x:c>
      <x:c r="C178" s="10" t="str">
        <x:v>trial</x:v>
      </x:c>
      <x:c r="D178" s="10" t="str">
        <x:v>MCR-F-B-B-W03 source</x:v>
      </x:c>
      <x:c r="E178" s="10" t="str">
        <x:v>unexecuted event remains open</x:v>
      </x:c>
      <x:c r="F178" s="10" t="str">
        <x:f>'Trial Register'!R29</x:f>
        <x:v>OPEN</x:v>
      </x:c>
      <x:c r="G178" s="10" t="str">
        <x:v>OPEN</x:v>
      </x:c>
      <x:c r="H178" s="10" t="str">
        <x:f>IF(F178=G178,"PASS","FAIL")</x:f>
        <x:v>PASS</x:v>
      </x:c>
    </x:row>
    <x:row r="179">
      <x:c r="B179" s="10" t="str">
        <x:v>A0173</x:v>
      </x:c>
      <x:c r="C179" s="10" t="str">
        <x:v>trial</x:v>
      </x:c>
      <x:c r="D179" s="10" t="str">
        <x:v>MCR-F-B-B-W04 plan</x:v>
      </x:c>
      <x:c r="E179" s="10" t="str">
        <x:v>event identity complete</x:v>
      </x:c>
      <x:c r="F179" s="10" t="str">
        <x:f>'Trial Register'!Q30</x:f>
        <x:v>PASS</x:v>
      </x:c>
      <x:c r="G179" s="10" t="str">
        <x:v>PASS</x:v>
      </x:c>
      <x:c r="H179" s="10" t="str">
        <x:f>IF(F179=G179,"PASS","FAIL")</x:f>
        <x:v>PASS</x:v>
      </x:c>
    </x:row>
    <x:row r="180">
      <x:c r="B180" s="10" t="str">
        <x:v>A0174</x:v>
      </x:c>
      <x:c r="C180" s="10" t="str">
        <x:v>trial</x:v>
      </x:c>
      <x:c r="D180" s="10" t="str">
        <x:v>MCR-F-B-B-W04 source</x:v>
      </x:c>
      <x:c r="E180" s="10" t="str">
        <x:v>unexecuted event remains open</x:v>
      </x:c>
      <x:c r="F180" s="10" t="str">
        <x:f>'Trial Register'!R30</x:f>
        <x:v>OPEN</x:v>
      </x:c>
      <x:c r="G180" s="10" t="str">
        <x:v>OPEN</x:v>
      </x:c>
      <x:c r="H180" s="10" t="str">
        <x:f>IF(F180=G180,"PASS","FAIL")</x:f>
        <x:v>PASS</x:v>
      </x:c>
    </x:row>
    <x:row r="181">
      <x:c r="B181" s="10" t="str">
        <x:v>A0175</x:v>
      </x:c>
      <x:c r="C181" s="10" t="str">
        <x:v>trial</x:v>
      </x:c>
      <x:c r="D181" s="10" t="str">
        <x:v>MCR-F-B-B-W05 plan</x:v>
      </x:c>
      <x:c r="E181" s="10" t="str">
        <x:v>event identity complete</x:v>
      </x:c>
      <x:c r="F181" s="10" t="str">
        <x:f>'Trial Register'!Q31</x:f>
        <x:v>PASS</x:v>
      </x:c>
      <x:c r="G181" s="10" t="str">
        <x:v>PASS</x:v>
      </x:c>
      <x:c r="H181" s="10" t="str">
        <x:f>IF(F181=G181,"PASS","FAIL")</x:f>
        <x:v>PASS</x:v>
      </x:c>
    </x:row>
    <x:row r="182">
      <x:c r="B182" s="10" t="str">
        <x:v>A0176</x:v>
      </x:c>
      <x:c r="C182" s="10" t="str">
        <x:v>trial</x:v>
      </x:c>
      <x:c r="D182" s="10" t="str">
        <x:v>MCR-F-B-B-W05 source</x:v>
      </x:c>
      <x:c r="E182" s="10" t="str">
        <x:v>unexecuted event remains open</x:v>
      </x:c>
      <x:c r="F182" s="10" t="str">
        <x:f>'Trial Register'!R31</x:f>
        <x:v>OPEN</x:v>
      </x:c>
      <x:c r="G182" s="10" t="str">
        <x:v>OPEN</x:v>
      </x:c>
      <x:c r="H182" s="10" t="str">
        <x:f>IF(F182=G182,"PASS","FAIL")</x:f>
        <x:v>PASS</x:v>
      </x:c>
    </x:row>
    <x:row r="183">
      <x:c r="B183" s="10" t="str">
        <x:v>A0177</x:v>
      </x:c>
      <x:c r="C183" s="10" t="str">
        <x:v>trial</x:v>
      </x:c>
      <x:c r="D183" s="10" t="str">
        <x:v>MCR-F-B-B-W06 plan</x:v>
      </x:c>
      <x:c r="E183" s="10" t="str">
        <x:v>event identity complete</x:v>
      </x:c>
      <x:c r="F183" s="10" t="str">
        <x:f>'Trial Register'!Q32</x:f>
        <x:v>PASS</x:v>
      </x:c>
      <x:c r="G183" s="10" t="str">
        <x:v>PASS</x:v>
      </x:c>
      <x:c r="H183" s="10" t="str">
        <x:f>IF(F183=G183,"PASS","FAIL")</x:f>
        <x:v>PASS</x:v>
      </x:c>
    </x:row>
    <x:row r="184">
      <x:c r="B184" s="10" t="str">
        <x:v>A0178</x:v>
      </x:c>
      <x:c r="C184" s="10" t="str">
        <x:v>trial</x:v>
      </x:c>
      <x:c r="D184" s="10" t="str">
        <x:v>MCR-F-B-B-W06 source</x:v>
      </x:c>
      <x:c r="E184" s="10" t="str">
        <x:v>unexecuted event remains open</x:v>
      </x:c>
      <x:c r="F184" s="10" t="str">
        <x:f>'Trial Register'!R32</x:f>
        <x:v>OPEN</x:v>
      </x:c>
      <x:c r="G184" s="10" t="str">
        <x:v>OPEN</x:v>
      </x:c>
      <x:c r="H184" s="10" t="str">
        <x:f>IF(F184=G184,"PASS","FAIL")</x:f>
        <x:v>PASS</x:v>
      </x:c>
    </x:row>
    <x:row r="185">
      <x:c r="B185" s="10" t="str">
        <x:v>A0179</x:v>
      </x:c>
      <x:c r="C185" s="10" t="str">
        <x:v>trial</x:v>
      </x:c>
      <x:c r="D185" s="10" t="str">
        <x:v>MCR-F-B-B-W07 plan</x:v>
      </x:c>
      <x:c r="E185" s="10" t="str">
        <x:v>event identity complete</x:v>
      </x:c>
      <x:c r="F185" s="10" t="str">
        <x:f>'Trial Register'!Q33</x:f>
        <x:v>PASS</x:v>
      </x:c>
      <x:c r="G185" s="10" t="str">
        <x:v>PASS</x:v>
      </x:c>
      <x:c r="H185" s="10" t="str">
        <x:f>IF(F185=G185,"PASS","FAIL")</x:f>
        <x:v>PASS</x:v>
      </x:c>
    </x:row>
    <x:row r="186">
      <x:c r="B186" s="10" t="str">
        <x:v>A0180</x:v>
      </x:c>
      <x:c r="C186" s="10" t="str">
        <x:v>trial</x:v>
      </x:c>
      <x:c r="D186" s="10" t="str">
        <x:v>MCR-F-B-B-W07 source</x:v>
      </x:c>
      <x:c r="E186" s="10" t="str">
        <x:v>unexecuted event remains open</x:v>
      </x:c>
      <x:c r="F186" s="10" t="str">
        <x:f>'Trial Register'!R33</x:f>
        <x:v>OPEN</x:v>
      </x:c>
      <x:c r="G186" s="10" t="str">
        <x:v>OPEN</x:v>
      </x:c>
      <x:c r="H186" s="10" t="str">
        <x:f>IF(F186=G186,"PASS","FAIL")</x:f>
        <x:v>PASS</x:v>
      </x:c>
    </x:row>
    <x:row r="187">
      <x:c r="B187" s="10" t="str">
        <x:v>A0181</x:v>
      </x:c>
      <x:c r="C187" s="10" t="str">
        <x:v>trial</x:v>
      </x:c>
      <x:c r="D187" s="10" t="str">
        <x:v>MCR-F-B-B-W08 plan</x:v>
      </x:c>
      <x:c r="E187" s="10" t="str">
        <x:v>event identity complete</x:v>
      </x:c>
      <x:c r="F187" s="10" t="str">
        <x:f>'Trial Register'!Q34</x:f>
        <x:v>PASS</x:v>
      </x:c>
      <x:c r="G187" s="10" t="str">
        <x:v>PASS</x:v>
      </x:c>
      <x:c r="H187" s="10" t="str">
        <x:f>IF(F187=G187,"PASS","FAIL")</x:f>
        <x:v>PASS</x:v>
      </x:c>
    </x:row>
    <x:row r="188">
      <x:c r="B188" s="10" t="str">
        <x:v>A0182</x:v>
      </x:c>
      <x:c r="C188" s="10" t="str">
        <x:v>trial</x:v>
      </x:c>
      <x:c r="D188" s="10" t="str">
        <x:v>MCR-F-B-B-W08 source</x:v>
      </x:c>
      <x:c r="E188" s="10" t="str">
        <x:v>unexecuted event remains open</x:v>
      </x:c>
      <x:c r="F188" s="10" t="str">
        <x:f>'Trial Register'!R34</x:f>
        <x:v>OPEN</x:v>
      </x:c>
      <x:c r="G188" s="10" t="str">
        <x:v>OPEN</x:v>
      </x:c>
      <x:c r="H188" s="10" t="str">
        <x:f>IF(F188=G188,"PASS","FAIL")</x:f>
        <x:v>PASS</x:v>
      </x:c>
    </x:row>
    <x:row r="189">
      <x:c r="B189" s="10" t="str">
        <x:v>A0183</x:v>
      </x:c>
      <x:c r="C189" s="10" t="str">
        <x:v>trial</x:v>
      </x:c>
      <x:c r="D189" s="10" t="str">
        <x:v>MCR-F-B-B-W09 plan</x:v>
      </x:c>
      <x:c r="E189" s="10" t="str">
        <x:v>event identity complete</x:v>
      </x:c>
      <x:c r="F189" s="10" t="str">
        <x:f>'Trial Register'!Q35</x:f>
        <x:v>PASS</x:v>
      </x:c>
      <x:c r="G189" s="10" t="str">
        <x:v>PASS</x:v>
      </x:c>
      <x:c r="H189" s="10" t="str">
        <x:f>IF(F189=G189,"PASS","FAIL")</x:f>
        <x:v>PASS</x:v>
      </x:c>
    </x:row>
    <x:row r="190">
      <x:c r="B190" s="10" t="str">
        <x:v>A0184</x:v>
      </x:c>
      <x:c r="C190" s="10" t="str">
        <x:v>trial</x:v>
      </x:c>
      <x:c r="D190" s="10" t="str">
        <x:v>MCR-F-B-B-W09 source</x:v>
      </x:c>
      <x:c r="E190" s="10" t="str">
        <x:v>unexecuted event remains open</x:v>
      </x:c>
      <x:c r="F190" s="10" t="str">
        <x:f>'Trial Register'!R35</x:f>
        <x:v>OPEN</x:v>
      </x:c>
      <x:c r="G190" s="10" t="str">
        <x:v>OPEN</x:v>
      </x:c>
      <x:c r="H190" s="10" t="str">
        <x:f>IF(F190=G190,"PASS","FAIL")</x:f>
        <x:v>PASS</x:v>
      </x:c>
    </x:row>
    <x:row r="191">
      <x:c r="B191" s="10" t="str">
        <x:v>A0185</x:v>
      </x:c>
      <x:c r="C191" s="10" t="str">
        <x:v>trial</x:v>
      </x:c>
      <x:c r="D191" s="10" t="str">
        <x:v>MCR-F-B-B-W10 plan</x:v>
      </x:c>
      <x:c r="E191" s="10" t="str">
        <x:v>event identity complete</x:v>
      </x:c>
      <x:c r="F191" s="10" t="str">
        <x:f>'Trial Register'!Q36</x:f>
        <x:v>PASS</x:v>
      </x:c>
      <x:c r="G191" s="10" t="str">
        <x:v>PASS</x:v>
      </x:c>
      <x:c r="H191" s="10" t="str">
        <x:f>IF(F191=G191,"PASS","FAIL")</x:f>
        <x:v>PASS</x:v>
      </x:c>
    </x:row>
    <x:row r="192">
      <x:c r="B192" s="10" t="str">
        <x:v>A0186</x:v>
      </x:c>
      <x:c r="C192" s="10" t="str">
        <x:v>trial</x:v>
      </x:c>
      <x:c r="D192" s="10" t="str">
        <x:v>MCR-F-B-B-W10 source</x:v>
      </x:c>
      <x:c r="E192" s="10" t="str">
        <x:v>unexecuted event remains open</x:v>
      </x:c>
      <x:c r="F192" s="10" t="str">
        <x:f>'Trial Register'!R36</x:f>
        <x:v>OPEN</x:v>
      </x:c>
      <x:c r="G192" s="10" t="str">
        <x:v>OPEN</x:v>
      </x:c>
      <x:c r="H192" s="10" t="str">
        <x:f>IF(F192=G192,"PASS","FAIL")</x:f>
        <x:v>PASS</x:v>
      </x:c>
    </x:row>
    <x:row r="193">
      <x:c r="B193" s="10" t="str">
        <x:v>A0187</x:v>
      </x:c>
      <x:c r="C193" s="10" t="str">
        <x:v>trial</x:v>
      </x:c>
      <x:c r="D193" s="10" t="str">
        <x:v>MCR-F-B-B-W11 plan</x:v>
      </x:c>
      <x:c r="E193" s="10" t="str">
        <x:v>event identity complete</x:v>
      </x:c>
      <x:c r="F193" s="10" t="str">
        <x:f>'Trial Register'!Q37</x:f>
        <x:v>PASS</x:v>
      </x:c>
      <x:c r="G193" s="10" t="str">
        <x:v>PASS</x:v>
      </x:c>
      <x:c r="H193" s="10" t="str">
        <x:f>IF(F193=G193,"PASS","FAIL")</x:f>
        <x:v>PASS</x:v>
      </x:c>
    </x:row>
    <x:row r="194">
      <x:c r="B194" s="10" t="str">
        <x:v>A0188</x:v>
      </x:c>
      <x:c r="C194" s="10" t="str">
        <x:v>trial</x:v>
      </x:c>
      <x:c r="D194" s="10" t="str">
        <x:v>MCR-F-B-B-W11 source</x:v>
      </x:c>
      <x:c r="E194" s="10" t="str">
        <x:v>unexecuted event remains open</x:v>
      </x:c>
      <x:c r="F194" s="10" t="str">
        <x:f>'Trial Register'!R37</x:f>
        <x:v>OPEN</x:v>
      </x:c>
      <x:c r="G194" s="10" t="str">
        <x:v>OPEN</x:v>
      </x:c>
      <x:c r="H194" s="10" t="str">
        <x:f>IF(F194=G194,"PASS","FAIL")</x:f>
        <x:v>PASS</x:v>
      </x:c>
    </x:row>
    <x:row r="195">
      <x:c r="B195" s="10" t="str">
        <x:v>A0189</x:v>
      </x:c>
      <x:c r="C195" s="10" t="str">
        <x:v>trial</x:v>
      </x:c>
      <x:c r="D195" s="10" t="str">
        <x:v>MCR-F-B-B-W12 plan</x:v>
      </x:c>
      <x:c r="E195" s="10" t="str">
        <x:v>event identity complete</x:v>
      </x:c>
      <x:c r="F195" s="10" t="str">
        <x:f>'Trial Register'!Q38</x:f>
        <x:v>PASS</x:v>
      </x:c>
      <x:c r="G195" s="10" t="str">
        <x:v>PASS</x:v>
      </x:c>
      <x:c r="H195" s="10" t="str">
        <x:f>IF(F195=G195,"PASS","FAIL")</x:f>
        <x:v>PASS</x:v>
      </x:c>
    </x:row>
    <x:row r="196">
      <x:c r="B196" s="10" t="str">
        <x:v>A0190</x:v>
      </x:c>
      <x:c r="C196" s="10" t="str">
        <x:v>trial</x:v>
      </x:c>
      <x:c r="D196" s="10" t="str">
        <x:v>MCR-F-B-B-W12 source</x:v>
      </x:c>
      <x:c r="E196" s="10" t="str">
        <x:v>unexecuted event remains open</x:v>
      </x:c>
      <x:c r="F196" s="10" t="str">
        <x:f>'Trial Register'!R38</x:f>
        <x:v>OPEN</x:v>
      </x:c>
      <x:c r="G196" s="10" t="str">
        <x:v>OPEN</x:v>
      </x:c>
      <x:c r="H196" s="10" t="str">
        <x:f>IF(F196=G196,"PASS","FAIL")</x:f>
        <x:v>PASS</x:v>
      </x:c>
    </x:row>
    <x:row r="197">
      <x:c r="B197" s="10" t="str">
        <x:v>A0191</x:v>
      </x:c>
      <x:c r="C197" s="10" t="str">
        <x:v>trial</x:v>
      </x:c>
      <x:c r="D197" s="10" t="str">
        <x:v>MCR-C-B-B-W02 plan</x:v>
      </x:c>
      <x:c r="E197" s="10" t="str">
        <x:v>event identity complete</x:v>
      </x:c>
      <x:c r="F197" s="10" t="str">
        <x:f>'Trial Register'!Q39</x:f>
        <x:v>PASS</x:v>
      </x:c>
      <x:c r="G197" s="10" t="str">
        <x:v>PASS</x:v>
      </x:c>
      <x:c r="H197" s="10" t="str">
        <x:f>IF(F197=G197,"PASS","FAIL")</x:f>
        <x:v>PASS</x:v>
      </x:c>
    </x:row>
    <x:row r="198">
      <x:c r="B198" s="10" t="str">
        <x:v>A0192</x:v>
      </x:c>
      <x:c r="C198" s="10" t="str">
        <x:v>trial</x:v>
      </x:c>
      <x:c r="D198" s="10" t="str">
        <x:v>MCR-C-B-B-W02 source</x:v>
      </x:c>
      <x:c r="E198" s="10" t="str">
        <x:v>unexecuted event remains open</x:v>
      </x:c>
      <x:c r="F198" s="10" t="str">
        <x:f>'Trial Register'!R39</x:f>
        <x:v>OPEN</x:v>
      </x:c>
      <x:c r="G198" s="10" t="str">
        <x:v>OPEN</x:v>
      </x:c>
      <x:c r="H198" s="10" t="str">
        <x:f>IF(F198=G198,"PASS","FAIL")</x:f>
        <x:v>PASS</x:v>
      </x:c>
    </x:row>
    <x:row r="199">
      <x:c r="B199" s="10" t="str">
        <x:v>A0193</x:v>
      </x:c>
      <x:c r="C199" s="10" t="str">
        <x:v>trial</x:v>
      </x:c>
      <x:c r="D199" s="10" t="str">
        <x:v>MCR-C-B-B-W03 plan</x:v>
      </x:c>
      <x:c r="E199" s="10" t="str">
        <x:v>event identity complete</x:v>
      </x:c>
      <x:c r="F199" s="10" t="str">
        <x:f>'Trial Register'!Q40</x:f>
        <x:v>PASS</x:v>
      </x:c>
      <x:c r="G199" s="10" t="str">
        <x:v>PASS</x:v>
      </x:c>
      <x:c r="H199" s="10" t="str">
        <x:f>IF(F199=G199,"PASS","FAIL")</x:f>
        <x:v>PASS</x:v>
      </x:c>
    </x:row>
    <x:row r="200">
      <x:c r="B200" s="10" t="str">
        <x:v>A0194</x:v>
      </x:c>
      <x:c r="C200" s="10" t="str">
        <x:v>trial</x:v>
      </x:c>
      <x:c r="D200" s="10" t="str">
        <x:v>MCR-C-B-B-W03 source</x:v>
      </x:c>
      <x:c r="E200" s="10" t="str">
        <x:v>unexecuted event remains open</x:v>
      </x:c>
      <x:c r="F200" s="10" t="str">
        <x:f>'Trial Register'!R40</x:f>
        <x:v>OPEN</x:v>
      </x:c>
      <x:c r="G200" s="10" t="str">
        <x:v>OPEN</x:v>
      </x:c>
      <x:c r="H200" s="10" t="str">
        <x:f>IF(F200=G200,"PASS","FAIL")</x:f>
        <x:v>PASS</x:v>
      </x:c>
    </x:row>
    <x:row r="201">
      <x:c r="B201" s="10" t="str">
        <x:v>A0195</x:v>
      </x:c>
      <x:c r="C201" s="10" t="str">
        <x:v>trial</x:v>
      </x:c>
      <x:c r="D201" s="10" t="str">
        <x:v>MCR-C-B-B-W06 plan</x:v>
      </x:c>
      <x:c r="E201" s="10" t="str">
        <x:v>event identity complete</x:v>
      </x:c>
      <x:c r="F201" s="10" t="str">
        <x:f>'Trial Register'!Q41</x:f>
        <x:v>PASS</x:v>
      </x:c>
      <x:c r="G201" s="10" t="str">
        <x:v>PASS</x:v>
      </x:c>
      <x:c r="H201" s="10" t="str">
        <x:f>IF(F201=G201,"PASS","FAIL")</x:f>
        <x:v>PASS</x:v>
      </x:c>
    </x:row>
    <x:row r="202">
      <x:c r="B202" s="10" t="str">
        <x:v>A0196</x:v>
      </x:c>
      <x:c r="C202" s="10" t="str">
        <x:v>trial</x:v>
      </x:c>
      <x:c r="D202" s="10" t="str">
        <x:v>MCR-C-B-B-W06 source</x:v>
      </x:c>
      <x:c r="E202" s="10" t="str">
        <x:v>unexecuted event remains open</x:v>
      </x:c>
      <x:c r="F202" s="10" t="str">
        <x:f>'Trial Register'!R41</x:f>
        <x:v>OPEN</x:v>
      </x:c>
      <x:c r="G202" s="10" t="str">
        <x:v>OPEN</x:v>
      </x:c>
      <x:c r="H202" s="10" t="str">
        <x:f>IF(F202=G202,"PASS","FAIL")</x:f>
        <x:v>PASS</x:v>
      </x:c>
    </x:row>
    <x:row r="203">
      <x:c r="B203" s="10" t="str">
        <x:v>A0197</x:v>
      </x:c>
      <x:c r="C203" s="10" t="str">
        <x:v>trial</x:v>
      </x:c>
      <x:c r="D203" s="10" t="str">
        <x:v>MCR-C-B-B-W07 plan</x:v>
      </x:c>
      <x:c r="E203" s="10" t="str">
        <x:v>event identity complete</x:v>
      </x:c>
      <x:c r="F203" s="10" t="str">
        <x:f>'Trial Register'!Q42</x:f>
        <x:v>PASS</x:v>
      </x:c>
      <x:c r="G203" s="10" t="str">
        <x:v>PASS</x:v>
      </x:c>
      <x:c r="H203" s="10" t="str">
        <x:f>IF(F203=G203,"PASS","FAIL")</x:f>
        <x:v>PASS</x:v>
      </x:c>
    </x:row>
    <x:row r="204">
      <x:c r="B204" s="10" t="str">
        <x:v>A0198</x:v>
      </x:c>
      <x:c r="C204" s="10" t="str">
        <x:v>trial</x:v>
      </x:c>
      <x:c r="D204" s="10" t="str">
        <x:v>MCR-C-B-B-W07 source</x:v>
      </x:c>
      <x:c r="E204" s="10" t="str">
        <x:v>unexecuted event remains open</x:v>
      </x:c>
      <x:c r="F204" s="10" t="str">
        <x:f>'Trial Register'!R42</x:f>
        <x:v>OPEN</x:v>
      </x:c>
      <x:c r="G204" s="10" t="str">
        <x:v>OPEN</x:v>
      </x:c>
      <x:c r="H204" s="10" t="str">
        <x:f>IF(F204=G204,"PASS","FAIL")</x:f>
        <x:v>PASS</x:v>
      </x:c>
    </x:row>
    <x:row r="205">
      <x:c r="B205" s="10" t="str">
        <x:v>A0199</x:v>
      </x:c>
      <x:c r="C205" s="10" t="str">
        <x:v>trial</x:v>
      </x:c>
      <x:c r="D205" s="10" t="str">
        <x:v>MCR-C-B-B-W08 plan</x:v>
      </x:c>
      <x:c r="E205" s="10" t="str">
        <x:v>event identity complete</x:v>
      </x:c>
      <x:c r="F205" s="10" t="str">
        <x:f>'Trial Register'!Q43</x:f>
        <x:v>PASS</x:v>
      </x:c>
      <x:c r="G205" s="10" t="str">
        <x:v>PASS</x:v>
      </x:c>
      <x:c r="H205" s="10" t="str">
        <x:f>IF(F205=G205,"PASS","FAIL")</x:f>
        <x:v>PASS</x:v>
      </x:c>
    </x:row>
    <x:row r="206">
      <x:c r="B206" s="10" t="str">
        <x:v>A0200</x:v>
      </x:c>
      <x:c r="C206" s="10" t="str">
        <x:v>trial</x:v>
      </x:c>
      <x:c r="D206" s="10" t="str">
        <x:v>MCR-C-B-B-W08 source</x:v>
      </x:c>
      <x:c r="E206" s="10" t="str">
        <x:v>unexecuted event remains open</x:v>
      </x:c>
      <x:c r="F206" s="10" t="str">
        <x:f>'Trial Register'!R43</x:f>
        <x:v>OPEN</x:v>
      </x:c>
      <x:c r="G206" s="10" t="str">
        <x:v>OPEN</x:v>
      </x:c>
      <x:c r="H206" s="10" t="str">
        <x:f>IF(F206=G206,"PASS","FAIL")</x:f>
        <x:v>PASS</x:v>
      </x:c>
    </x:row>
    <x:row r="207">
      <x:c r="B207" s="10" t="str">
        <x:v>A0201</x:v>
      </x:c>
      <x:c r="C207" s="10" t="str">
        <x:v>trial</x:v>
      </x:c>
      <x:c r="D207" s="10" t="str">
        <x:v>MCR-C-B-B-W09 plan</x:v>
      </x:c>
      <x:c r="E207" s="10" t="str">
        <x:v>event identity complete</x:v>
      </x:c>
      <x:c r="F207" s="10" t="str">
        <x:f>'Trial Register'!Q44</x:f>
        <x:v>PASS</x:v>
      </x:c>
      <x:c r="G207" s="10" t="str">
        <x:v>PASS</x:v>
      </x:c>
      <x:c r="H207" s="10" t="str">
        <x:f>IF(F207=G207,"PASS","FAIL")</x:f>
        <x:v>PASS</x:v>
      </x:c>
    </x:row>
    <x:row r="208">
      <x:c r="B208" s="10" t="str">
        <x:v>A0202</x:v>
      </x:c>
      <x:c r="C208" s="10" t="str">
        <x:v>trial</x:v>
      </x:c>
      <x:c r="D208" s="10" t="str">
        <x:v>MCR-C-B-B-W09 source</x:v>
      </x:c>
      <x:c r="E208" s="10" t="str">
        <x:v>unexecuted event remains open</x:v>
      </x:c>
      <x:c r="F208" s="10" t="str">
        <x:f>'Trial Register'!R44</x:f>
        <x:v>OPEN</x:v>
      </x:c>
      <x:c r="G208" s="10" t="str">
        <x:v>OPEN</x:v>
      </x:c>
      <x:c r="H208" s="10" t="str">
        <x:f>IF(F208=G208,"PASS","FAIL")</x:f>
        <x:v>PASS</x:v>
      </x:c>
    </x:row>
    <x:row r="209">
      <x:c r="B209" s="10" t="str">
        <x:v>A0203</x:v>
      </x:c>
      <x:c r="C209" s="10" t="str">
        <x:v>trial</x:v>
      </x:c>
      <x:c r="D209" s="10" t="str">
        <x:v>MCR-R-B-B-1 plan</x:v>
      </x:c>
      <x:c r="E209" s="10" t="str">
        <x:v>event identity complete</x:v>
      </x:c>
      <x:c r="F209" s="10" t="str">
        <x:f>'Trial Register'!Q45</x:f>
        <x:v>PASS</x:v>
      </x:c>
      <x:c r="G209" s="10" t="str">
        <x:v>PASS</x:v>
      </x:c>
      <x:c r="H209" s="10" t="str">
        <x:f>IF(F209=G209,"PASS","FAIL")</x:f>
        <x:v>PASS</x:v>
      </x:c>
    </x:row>
    <x:row r="210">
      <x:c r="B210" s="10" t="str">
        <x:v>A0204</x:v>
      </x:c>
      <x:c r="C210" s="10" t="str">
        <x:v>trial</x:v>
      </x:c>
      <x:c r="D210" s="10" t="str">
        <x:v>MCR-R-B-B-1 source</x:v>
      </x:c>
      <x:c r="E210" s="10" t="str">
        <x:v>unexecuted event remains open</x:v>
      </x:c>
      <x:c r="F210" s="10" t="str">
        <x:f>'Trial Register'!R45</x:f>
        <x:v>OPEN</x:v>
      </x:c>
      <x:c r="G210" s="10" t="str">
        <x:v>OPEN</x:v>
      </x:c>
      <x:c r="H210" s="10" t="str">
        <x:f>IF(F210=G210,"PASS","FAIL")</x:f>
        <x:v>PASS</x:v>
      </x:c>
    </x:row>
    <x:row r="211">
      <x:c r="B211" s="10" t="str">
        <x:v>A0205</x:v>
      </x:c>
      <x:c r="C211" s="10" t="str">
        <x:v>trial</x:v>
      </x:c>
      <x:c r="D211" s="10" t="str">
        <x:v>MCR-R-B-B-2 plan</x:v>
      </x:c>
      <x:c r="E211" s="10" t="str">
        <x:v>event identity complete</x:v>
      </x:c>
      <x:c r="F211" s="10" t="str">
        <x:f>'Trial Register'!Q46</x:f>
        <x:v>PASS</x:v>
      </x:c>
      <x:c r="G211" s="10" t="str">
        <x:v>PASS</x:v>
      </x:c>
      <x:c r="H211" s="10" t="str">
        <x:f>IF(F211=G211,"PASS","FAIL")</x:f>
        <x:v>PASS</x:v>
      </x:c>
    </x:row>
    <x:row r="212">
      <x:c r="B212" s="10" t="str">
        <x:v>A0206</x:v>
      </x:c>
      <x:c r="C212" s="10" t="str">
        <x:v>trial</x:v>
      </x:c>
      <x:c r="D212" s="10" t="str">
        <x:v>MCR-R-B-B-2 source</x:v>
      </x:c>
      <x:c r="E212" s="10" t="str">
        <x:v>unexecuted event remains open</x:v>
      </x:c>
      <x:c r="F212" s="10" t="str">
        <x:f>'Trial Register'!R46</x:f>
        <x:v>OPEN</x:v>
      </x:c>
      <x:c r="G212" s="10" t="str">
        <x:v>OPEN</x:v>
      </x:c>
      <x:c r="H212" s="10" t="str">
        <x:f>IF(F212=G212,"PASS","FAIL")</x:f>
        <x:v>PASS</x:v>
      </x:c>
    </x:row>
    <x:row r="213">
      <x:c r="B213" s="10" t="str">
        <x:v>A0207</x:v>
      </x:c>
      <x:c r="C213" s="10" t="str">
        <x:v>trial</x:v>
      </x:c>
      <x:c r="D213" s="10" t="str">
        <x:v>MCR-F-C-A-W01 plan</x:v>
      </x:c>
      <x:c r="E213" s="10" t="str">
        <x:v>event identity complete</x:v>
      </x:c>
      <x:c r="F213" s="10" t="str">
        <x:f>'Trial Register'!Q47</x:f>
        <x:v>PASS</x:v>
      </x:c>
      <x:c r="G213" s="10" t="str">
        <x:v>PASS</x:v>
      </x:c>
      <x:c r="H213" s="10" t="str">
        <x:f>IF(F213=G213,"PASS","FAIL")</x:f>
        <x:v>PASS</x:v>
      </x:c>
    </x:row>
    <x:row r="214">
      <x:c r="B214" s="10" t="str">
        <x:v>A0208</x:v>
      </x:c>
      <x:c r="C214" s="10" t="str">
        <x:v>trial</x:v>
      </x:c>
      <x:c r="D214" s="10" t="str">
        <x:v>MCR-F-C-A-W01 source</x:v>
      </x:c>
      <x:c r="E214" s="10" t="str">
        <x:v>unexecuted event remains open</x:v>
      </x:c>
      <x:c r="F214" s="10" t="str">
        <x:f>'Trial Register'!R47</x:f>
        <x:v>OPEN</x:v>
      </x:c>
      <x:c r="G214" s="10" t="str">
        <x:v>OPEN</x:v>
      </x:c>
      <x:c r="H214" s="10" t="str">
        <x:f>IF(F214=G214,"PASS","FAIL")</x:f>
        <x:v>PASS</x:v>
      </x:c>
    </x:row>
    <x:row r="215">
      <x:c r="B215" s="10" t="str">
        <x:v>A0209</x:v>
      </x:c>
      <x:c r="C215" s="10" t="str">
        <x:v>trial</x:v>
      </x:c>
      <x:c r="D215" s="10" t="str">
        <x:v>MCR-F-C-A-W02 plan</x:v>
      </x:c>
      <x:c r="E215" s="10" t="str">
        <x:v>event identity complete</x:v>
      </x:c>
      <x:c r="F215" s="10" t="str">
        <x:f>'Trial Register'!Q48</x:f>
        <x:v>PASS</x:v>
      </x:c>
      <x:c r="G215" s="10" t="str">
        <x:v>PASS</x:v>
      </x:c>
      <x:c r="H215" s="10" t="str">
        <x:f>IF(F215=G215,"PASS","FAIL")</x:f>
        <x:v>PASS</x:v>
      </x:c>
    </x:row>
    <x:row r="216">
      <x:c r="B216" s="10" t="str">
        <x:v>A0210</x:v>
      </x:c>
      <x:c r="C216" s="10" t="str">
        <x:v>trial</x:v>
      </x:c>
      <x:c r="D216" s="10" t="str">
        <x:v>MCR-F-C-A-W02 source</x:v>
      </x:c>
      <x:c r="E216" s="10" t="str">
        <x:v>unexecuted event remains open</x:v>
      </x:c>
      <x:c r="F216" s="10" t="str">
        <x:f>'Trial Register'!R48</x:f>
        <x:v>OPEN</x:v>
      </x:c>
      <x:c r="G216" s="10" t="str">
        <x:v>OPEN</x:v>
      </x:c>
      <x:c r="H216" s="10" t="str">
        <x:f>IF(F216=G216,"PASS","FAIL")</x:f>
        <x:v>PASS</x:v>
      </x:c>
    </x:row>
    <x:row r="217">
      <x:c r="B217" s="10" t="str">
        <x:v>A0211</x:v>
      </x:c>
      <x:c r="C217" s="10" t="str">
        <x:v>trial</x:v>
      </x:c>
      <x:c r="D217" s="10" t="str">
        <x:v>MCR-F-C-A-W03 plan</x:v>
      </x:c>
      <x:c r="E217" s="10" t="str">
        <x:v>event identity complete</x:v>
      </x:c>
      <x:c r="F217" s="10" t="str">
        <x:f>'Trial Register'!Q49</x:f>
        <x:v>PASS</x:v>
      </x:c>
      <x:c r="G217" s="10" t="str">
        <x:v>PASS</x:v>
      </x:c>
      <x:c r="H217" s="10" t="str">
        <x:f>IF(F217=G217,"PASS","FAIL")</x:f>
        <x:v>PASS</x:v>
      </x:c>
    </x:row>
    <x:row r="218">
      <x:c r="B218" s="10" t="str">
        <x:v>A0212</x:v>
      </x:c>
      <x:c r="C218" s="10" t="str">
        <x:v>trial</x:v>
      </x:c>
      <x:c r="D218" s="10" t="str">
        <x:v>MCR-F-C-A-W03 source</x:v>
      </x:c>
      <x:c r="E218" s="10" t="str">
        <x:v>unexecuted event remains open</x:v>
      </x:c>
      <x:c r="F218" s="10" t="str">
        <x:f>'Trial Register'!R49</x:f>
        <x:v>OPEN</x:v>
      </x:c>
      <x:c r="G218" s="10" t="str">
        <x:v>OPEN</x:v>
      </x:c>
      <x:c r="H218" s="10" t="str">
        <x:f>IF(F218=G218,"PASS","FAIL")</x:f>
        <x:v>PASS</x:v>
      </x:c>
    </x:row>
    <x:row r="219">
      <x:c r="B219" s="10" t="str">
        <x:v>A0213</x:v>
      </x:c>
      <x:c r="C219" s="10" t="str">
        <x:v>trial</x:v>
      </x:c>
      <x:c r="D219" s="10" t="str">
        <x:v>MCR-F-C-A-W04 plan</x:v>
      </x:c>
      <x:c r="E219" s="10" t="str">
        <x:v>event identity complete</x:v>
      </x:c>
      <x:c r="F219" s="10" t="str">
        <x:f>'Trial Register'!Q50</x:f>
        <x:v>PASS</x:v>
      </x:c>
      <x:c r="G219" s="10" t="str">
        <x:v>PASS</x:v>
      </x:c>
      <x:c r="H219" s="10" t="str">
        <x:f>IF(F219=G219,"PASS","FAIL")</x:f>
        <x:v>PASS</x:v>
      </x:c>
    </x:row>
    <x:row r="220">
      <x:c r="B220" s="10" t="str">
        <x:v>A0214</x:v>
      </x:c>
      <x:c r="C220" s="10" t="str">
        <x:v>trial</x:v>
      </x:c>
      <x:c r="D220" s="10" t="str">
        <x:v>MCR-F-C-A-W04 source</x:v>
      </x:c>
      <x:c r="E220" s="10" t="str">
        <x:v>unexecuted event remains open</x:v>
      </x:c>
      <x:c r="F220" s="10" t="str">
        <x:f>'Trial Register'!R50</x:f>
        <x:v>OPEN</x:v>
      </x:c>
      <x:c r="G220" s="10" t="str">
        <x:v>OPEN</x:v>
      </x:c>
      <x:c r="H220" s="10" t="str">
        <x:f>IF(F220=G220,"PASS","FAIL")</x:f>
        <x:v>PASS</x:v>
      </x:c>
    </x:row>
    <x:row r="221">
      <x:c r="B221" s="10" t="str">
        <x:v>A0215</x:v>
      </x:c>
      <x:c r="C221" s="10" t="str">
        <x:v>trial</x:v>
      </x:c>
      <x:c r="D221" s="10" t="str">
        <x:v>MCR-F-C-A-W05 plan</x:v>
      </x:c>
      <x:c r="E221" s="10" t="str">
        <x:v>event identity complete</x:v>
      </x:c>
      <x:c r="F221" s="10" t="str">
        <x:f>'Trial Register'!Q51</x:f>
        <x:v>PASS</x:v>
      </x:c>
      <x:c r="G221" s="10" t="str">
        <x:v>PASS</x:v>
      </x:c>
      <x:c r="H221" s="10" t="str">
        <x:f>IF(F221=G221,"PASS","FAIL")</x:f>
        <x:v>PASS</x:v>
      </x:c>
    </x:row>
    <x:row r="222">
      <x:c r="B222" s="10" t="str">
        <x:v>A0216</x:v>
      </x:c>
      <x:c r="C222" s="10" t="str">
        <x:v>trial</x:v>
      </x:c>
      <x:c r="D222" s="10" t="str">
        <x:v>MCR-F-C-A-W05 source</x:v>
      </x:c>
      <x:c r="E222" s="10" t="str">
        <x:v>unexecuted event remains open</x:v>
      </x:c>
      <x:c r="F222" s="10" t="str">
        <x:f>'Trial Register'!R51</x:f>
        <x:v>OPEN</x:v>
      </x:c>
      <x:c r="G222" s="10" t="str">
        <x:v>OPEN</x:v>
      </x:c>
      <x:c r="H222" s="10" t="str">
        <x:f>IF(F222=G222,"PASS","FAIL")</x:f>
        <x:v>PASS</x:v>
      </x:c>
    </x:row>
    <x:row r="223">
      <x:c r="B223" s="10" t="str">
        <x:v>A0217</x:v>
      </x:c>
      <x:c r="C223" s="10" t="str">
        <x:v>trial</x:v>
      </x:c>
      <x:c r="D223" s="10" t="str">
        <x:v>MCR-F-C-A-W06 plan</x:v>
      </x:c>
      <x:c r="E223" s="10" t="str">
        <x:v>event identity complete</x:v>
      </x:c>
      <x:c r="F223" s="10" t="str">
        <x:f>'Trial Register'!Q52</x:f>
        <x:v>PASS</x:v>
      </x:c>
      <x:c r="G223" s="10" t="str">
        <x:v>PASS</x:v>
      </x:c>
      <x:c r="H223" s="10" t="str">
        <x:f>IF(F223=G223,"PASS","FAIL")</x:f>
        <x:v>PASS</x:v>
      </x:c>
    </x:row>
    <x:row r="224">
      <x:c r="B224" s="10" t="str">
        <x:v>A0218</x:v>
      </x:c>
      <x:c r="C224" s="10" t="str">
        <x:v>trial</x:v>
      </x:c>
      <x:c r="D224" s="10" t="str">
        <x:v>MCR-F-C-A-W06 source</x:v>
      </x:c>
      <x:c r="E224" s="10" t="str">
        <x:v>unexecuted event remains open</x:v>
      </x:c>
      <x:c r="F224" s="10" t="str">
        <x:f>'Trial Register'!R52</x:f>
        <x:v>OPEN</x:v>
      </x:c>
      <x:c r="G224" s="10" t="str">
        <x:v>OPEN</x:v>
      </x:c>
      <x:c r="H224" s="10" t="str">
        <x:f>IF(F224=G224,"PASS","FAIL")</x:f>
        <x:v>PASS</x:v>
      </x:c>
    </x:row>
    <x:row r="225">
      <x:c r="B225" s="10" t="str">
        <x:v>A0219</x:v>
      </x:c>
      <x:c r="C225" s="10" t="str">
        <x:v>trial</x:v>
      </x:c>
      <x:c r="D225" s="10" t="str">
        <x:v>MCR-F-C-A-W07 plan</x:v>
      </x:c>
      <x:c r="E225" s="10" t="str">
        <x:v>event identity complete</x:v>
      </x:c>
      <x:c r="F225" s="10" t="str">
        <x:f>'Trial Register'!Q53</x:f>
        <x:v>PASS</x:v>
      </x:c>
      <x:c r="G225" s="10" t="str">
        <x:v>PASS</x:v>
      </x:c>
      <x:c r="H225" s="10" t="str">
        <x:f>IF(F225=G225,"PASS","FAIL")</x:f>
        <x:v>PASS</x:v>
      </x:c>
    </x:row>
    <x:row r="226">
      <x:c r="B226" s="10" t="str">
        <x:v>A0220</x:v>
      </x:c>
      <x:c r="C226" s="10" t="str">
        <x:v>trial</x:v>
      </x:c>
      <x:c r="D226" s="10" t="str">
        <x:v>MCR-F-C-A-W07 source</x:v>
      </x:c>
      <x:c r="E226" s="10" t="str">
        <x:v>unexecuted event remains open</x:v>
      </x:c>
      <x:c r="F226" s="10" t="str">
        <x:f>'Trial Register'!R53</x:f>
        <x:v>OPEN</x:v>
      </x:c>
      <x:c r="G226" s="10" t="str">
        <x:v>OPEN</x:v>
      </x:c>
      <x:c r="H226" s="10" t="str">
        <x:f>IF(F226=G226,"PASS","FAIL")</x:f>
        <x:v>PASS</x:v>
      </x:c>
    </x:row>
    <x:row r="227">
      <x:c r="B227" s="10" t="str">
        <x:v>A0221</x:v>
      </x:c>
      <x:c r="C227" s="10" t="str">
        <x:v>trial</x:v>
      </x:c>
      <x:c r="D227" s="10" t="str">
        <x:v>MCR-F-C-A-W08 plan</x:v>
      </x:c>
      <x:c r="E227" s="10" t="str">
        <x:v>event identity complete</x:v>
      </x:c>
      <x:c r="F227" s="10" t="str">
        <x:f>'Trial Register'!Q54</x:f>
        <x:v>PASS</x:v>
      </x:c>
      <x:c r="G227" s="10" t="str">
        <x:v>PASS</x:v>
      </x:c>
      <x:c r="H227" s="10" t="str">
        <x:f>IF(F227=G227,"PASS","FAIL")</x:f>
        <x:v>PASS</x:v>
      </x:c>
    </x:row>
    <x:row r="228">
      <x:c r="B228" s="10" t="str">
        <x:v>A0222</x:v>
      </x:c>
      <x:c r="C228" s="10" t="str">
        <x:v>trial</x:v>
      </x:c>
      <x:c r="D228" s="10" t="str">
        <x:v>MCR-F-C-A-W08 source</x:v>
      </x:c>
      <x:c r="E228" s="10" t="str">
        <x:v>unexecuted event remains open</x:v>
      </x:c>
      <x:c r="F228" s="10" t="str">
        <x:f>'Trial Register'!R54</x:f>
        <x:v>OPEN</x:v>
      </x:c>
      <x:c r="G228" s="10" t="str">
        <x:v>OPEN</x:v>
      </x:c>
      <x:c r="H228" s="10" t="str">
        <x:f>IF(F228=G228,"PASS","FAIL")</x:f>
        <x:v>PASS</x:v>
      </x:c>
    </x:row>
    <x:row r="229">
      <x:c r="B229" s="10" t="str">
        <x:v>A0223</x:v>
      </x:c>
      <x:c r="C229" s="10" t="str">
        <x:v>trial</x:v>
      </x:c>
      <x:c r="D229" s="10" t="str">
        <x:v>MCR-F-C-A-W09 plan</x:v>
      </x:c>
      <x:c r="E229" s="10" t="str">
        <x:v>event identity complete</x:v>
      </x:c>
      <x:c r="F229" s="10" t="str">
        <x:f>'Trial Register'!Q55</x:f>
        <x:v>PASS</x:v>
      </x:c>
      <x:c r="G229" s="10" t="str">
        <x:v>PASS</x:v>
      </x:c>
      <x:c r="H229" s="10" t="str">
        <x:f>IF(F229=G229,"PASS","FAIL")</x:f>
        <x:v>PASS</x:v>
      </x:c>
    </x:row>
    <x:row r="230">
      <x:c r="B230" s="10" t="str">
        <x:v>A0224</x:v>
      </x:c>
      <x:c r="C230" s="10" t="str">
        <x:v>trial</x:v>
      </x:c>
      <x:c r="D230" s="10" t="str">
        <x:v>MCR-F-C-A-W09 source</x:v>
      </x:c>
      <x:c r="E230" s="10" t="str">
        <x:v>unexecuted event remains open</x:v>
      </x:c>
      <x:c r="F230" s="10" t="str">
        <x:f>'Trial Register'!R55</x:f>
        <x:v>OPEN</x:v>
      </x:c>
      <x:c r="G230" s="10" t="str">
        <x:v>OPEN</x:v>
      </x:c>
      <x:c r="H230" s="10" t="str">
        <x:f>IF(F230=G230,"PASS","FAIL")</x:f>
        <x:v>PASS</x:v>
      </x:c>
    </x:row>
    <x:row r="231">
      <x:c r="B231" s="10" t="str">
        <x:v>A0225</x:v>
      </x:c>
      <x:c r="C231" s="10" t="str">
        <x:v>trial</x:v>
      </x:c>
      <x:c r="D231" s="10" t="str">
        <x:v>MCR-F-C-A-W10 plan</x:v>
      </x:c>
      <x:c r="E231" s="10" t="str">
        <x:v>event identity complete</x:v>
      </x:c>
      <x:c r="F231" s="10" t="str">
        <x:f>'Trial Register'!Q56</x:f>
        <x:v>PASS</x:v>
      </x:c>
      <x:c r="G231" s="10" t="str">
        <x:v>PASS</x:v>
      </x:c>
      <x:c r="H231" s="10" t="str">
        <x:f>IF(F231=G231,"PASS","FAIL")</x:f>
        <x:v>PASS</x:v>
      </x:c>
    </x:row>
    <x:row r="232">
      <x:c r="B232" s="10" t="str">
        <x:v>A0226</x:v>
      </x:c>
      <x:c r="C232" s="10" t="str">
        <x:v>trial</x:v>
      </x:c>
      <x:c r="D232" s="10" t="str">
        <x:v>MCR-F-C-A-W10 source</x:v>
      </x:c>
      <x:c r="E232" s="10" t="str">
        <x:v>unexecuted event remains open</x:v>
      </x:c>
      <x:c r="F232" s="10" t="str">
        <x:f>'Trial Register'!R56</x:f>
        <x:v>OPEN</x:v>
      </x:c>
      <x:c r="G232" s="10" t="str">
        <x:v>OPEN</x:v>
      </x:c>
      <x:c r="H232" s="10" t="str">
        <x:f>IF(F232=G232,"PASS","FAIL")</x:f>
        <x:v>PASS</x:v>
      </x:c>
    </x:row>
    <x:row r="233">
      <x:c r="B233" s="10" t="str">
        <x:v>A0227</x:v>
      </x:c>
      <x:c r="C233" s="10" t="str">
        <x:v>trial</x:v>
      </x:c>
      <x:c r="D233" s="10" t="str">
        <x:v>MCR-F-C-A-W11 plan</x:v>
      </x:c>
      <x:c r="E233" s="10" t="str">
        <x:v>event identity complete</x:v>
      </x:c>
      <x:c r="F233" s="10" t="str">
        <x:f>'Trial Register'!Q57</x:f>
        <x:v>PASS</x:v>
      </x:c>
      <x:c r="G233" s="10" t="str">
        <x:v>PASS</x:v>
      </x:c>
      <x:c r="H233" s="10" t="str">
        <x:f>IF(F233=G233,"PASS","FAIL")</x:f>
        <x:v>PASS</x:v>
      </x:c>
    </x:row>
    <x:row r="234">
      <x:c r="B234" s="10" t="str">
        <x:v>A0228</x:v>
      </x:c>
      <x:c r="C234" s="10" t="str">
        <x:v>trial</x:v>
      </x:c>
      <x:c r="D234" s="10" t="str">
        <x:v>MCR-F-C-A-W11 source</x:v>
      </x:c>
      <x:c r="E234" s="10" t="str">
        <x:v>unexecuted event remains open</x:v>
      </x:c>
      <x:c r="F234" s="10" t="str">
        <x:f>'Trial Register'!R57</x:f>
        <x:v>OPEN</x:v>
      </x:c>
      <x:c r="G234" s="10" t="str">
        <x:v>OPEN</x:v>
      </x:c>
      <x:c r="H234" s="10" t="str">
        <x:f>IF(F234=G234,"PASS","FAIL")</x:f>
        <x:v>PASS</x:v>
      </x:c>
    </x:row>
    <x:row r="235">
      <x:c r="B235" s="10" t="str">
        <x:v>A0229</x:v>
      </x:c>
      <x:c r="C235" s="10" t="str">
        <x:v>trial</x:v>
      </x:c>
      <x:c r="D235" s="10" t="str">
        <x:v>MCR-F-C-A-W12 plan</x:v>
      </x:c>
      <x:c r="E235" s="10" t="str">
        <x:v>event identity complete</x:v>
      </x:c>
      <x:c r="F235" s="10" t="str">
        <x:f>'Trial Register'!Q58</x:f>
        <x:v>PASS</x:v>
      </x:c>
      <x:c r="G235" s="10" t="str">
        <x:v>PASS</x:v>
      </x:c>
      <x:c r="H235" s="10" t="str">
        <x:f>IF(F235=G235,"PASS","FAIL")</x:f>
        <x:v>PASS</x:v>
      </x:c>
    </x:row>
    <x:row r="236">
      <x:c r="B236" s="10" t="str">
        <x:v>A0230</x:v>
      </x:c>
      <x:c r="C236" s="10" t="str">
        <x:v>trial</x:v>
      </x:c>
      <x:c r="D236" s="10" t="str">
        <x:v>MCR-F-C-A-W12 source</x:v>
      </x:c>
      <x:c r="E236" s="10" t="str">
        <x:v>unexecuted event remains open</x:v>
      </x:c>
      <x:c r="F236" s="10" t="str">
        <x:f>'Trial Register'!R58</x:f>
        <x:v>OPEN</x:v>
      </x:c>
      <x:c r="G236" s="10" t="str">
        <x:v>OPEN</x:v>
      </x:c>
      <x:c r="H236" s="10" t="str">
        <x:f>IF(F236=G236,"PASS","FAIL")</x:f>
        <x:v>PASS</x:v>
      </x:c>
    </x:row>
    <x:row r="237">
      <x:c r="B237" s="10" t="str">
        <x:v>A0231</x:v>
      </x:c>
      <x:c r="C237" s="10" t="str">
        <x:v>trial</x:v>
      </x:c>
      <x:c r="D237" s="10" t="str">
        <x:v>MCR-C-C-A-W02 plan</x:v>
      </x:c>
      <x:c r="E237" s="10" t="str">
        <x:v>event identity complete</x:v>
      </x:c>
      <x:c r="F237" s="10" t="str">
        <x:f>'Trial Register'!Q59</x:f>
        <x:v>PASS</x:v>
      </x:c>
      <x:c r="G237" s="10" t="str">
        <x:v>PASS</x:v>
      </x:c>
      <x:c r="H237" s="10" t="str">
        <x:f>IF(F237=G237,"PASS","FAIL")</x:f>
        <x:v>PASS</x:v>
      </x:c>
    </x:row>
    <x:row r="238">
      <x:c r="B238" s="10" t="str">
        <x:v>A0232</x:v>
      </x:c>
      <x:c r="C238" s="10" t="str">
        <x:v>trial</x:v>
      </x:c>
      <x:c r="D238" s="10" t="str">
        <x:v>MCR-C-C-A-W02 source</x:v>
      </x:c>
      <x:c r="E238" s="10" t="str">
        <x:v>unexecuted event remains open</x:v>
      </x:c>
      <x:c r="F238" s="10" t="str">
        <x:f>'Trial Register'!R59</x:f>
        <x:v>OPEN</x:v>
      </x:c>
      <x:c r="G238" s="10" t="str">
        <x:v>OPEN</x:v>
      </x:c>
      <x:c r="H238" s="10" t="str">
        <x:f>IF(F238=G238,"PASS","FAIL")</x:f>
        <x:v>PASS</x:v>
      </x:c>
    </x:row>
    <x:row r="239">
      <x:c r="B239" s="10" t="str">
        <x:v>A0233</x:v>
      </x:c>
      <x:c r="C239" s="10" t="str">
        <x:v>trial</x:v>
      </x:c>
      <x:c r="D239" s="10" t="str">
        <x:v>MCR-C-C-A-W03 plan</x:v>
      </x:c>
      <x:c r="E239" s="10" t="str">
        <x:v>event identity complete</x:v>
      </x:c>
      <x:c r="F239" s="10" t="str">
        <x:f>'Trial Register'!Q60</x:f>
        <x:v>PASS</x:v>
      </x:c>
      <x:c r="G239" s="10" t="str">
        <x:v>PASS</x:v>
      </x:c>
      <x:c r="H239" s="10" t="str">
        <x:f>IF(F239=G239,"PASS","FAIL")</x:f>
        <x:v>PASS</x:v>
      </x:c>
    </x:row>
    <x:row r="240">
      <x:c r="B240" s="10" t="str">
        <x:v>A0234</x:v>
      </x:c>
      <x:c r="C240" s="10" t="str">
        <x:v>trial</x:v>
      </x:c>
      <x:c r="D240" s="10" t="str">
        <x:v>MCR-C-C-A-W03 source</x:v>
      </x:c>
      <x:c r="E240" s="10" t="str">
        <x:v>unexecuted event remains open</x:v>
      </x:c>
      <x:c r="F240" s="10" t="str">
        <x:f>'Trial Register'!R60</x:f>
        <x:v>OPEN</x:v>
      </x:c>
      <x:c r="G240" s="10" t="str">
        <x:v>OPEN</x:v>
      </x:c>
      <x:c r="H240" s="10" t="str">
        <x:f>IF(F240=G240,"PASS","FAIL")</x:f>
        <x:v>PASS</x:v>
      </x:c>
    </x:row>
    <x:row r="241">
      <x:c r="B241" s="10" t="str">
        <x:v>A0235</x:v>
      </x:c>
      <x:c r="C241" s="10" t="str">
        <x:v>trial</x:v>
      </x:c>
      <x:c r="D241" s="10" t="str">
        <x:v>MCR-C-C-A-W06 plan</x:v>
      </x:c>
      <x:c r="E241" s="10" t="str">
        <x:v>event identity complete</x:v>
      </x:c>
      <x:c r="F241" s="10" t="str">
        <x:f>'Trial Register'!Q61</x:f>
        <x:v>PASS</x:v>
      </x:c>
      <x:c r="G241" s="10" t="str">
        <x:v>PASS</x:v>
      </x:c>
      <x:c r="H241" s="10" t="str">
        <x:f>IF(F241=G241,"PASS","FAIL")</x:f>
        <x:v>PASS</x:v>
      </x:c>
    </x:row>
    <x:row r="242">
      <x:c r="B242" s="10" t="str">
        <x:v>A0236</x:v>
      </x:c>
      <x:c r="C242" s="10" t="str">
        <x:v>trial</x:v>
      </x:c>
      <x:c r="D242" s="10" t="str">
        <x:v>MCR-C-C-A-W06 source</x:v>
      </x:c>
      <x:c r="E242" s="10" t="str">
        <x:v>unexecuted event remains open</x:v>
      </x:c>
      <x:c r="F242" s="10" t="str">
        <x:f>'Trial Register'!R61</x:f>
        <x:v>OPEN</x:v>
      </x:c>
      <x:c r="G242" s="10" t="str">
        <x:v>OPEN</x:v>
      </x:c>
      <x:c r="H242" s="10" t="str">
        <x:f>IF(F242=G242,"PASS","FAIL")</x:f>
        <x:v>PASS</x:v>
      </x:c>
    </x:row>
    <x:row r="243">
      <x:c r="B243" s="10" t="str">
        <x:v>A0237</x:v>
      </x:c>
      <x:c r="C243" s="10" t="str">
        <x:v>trial</x:v>
      </x:c>
      <x:c r="D243" s="10" t="str">
        <x:v>MCR-C-C-A-W07 plan</x:v>
      </x:c>
      <x:c r="E243" s="10" t="str">
        <x:v>event identity complete</x:v>
      </x:c>
      <x:c r="F243" s="10" t="str">
        <x:f>'Trial Register'!Q62</x:f>
        <x:v>PASS</x:v>
      </x:c>
      <x:c r="G243" s="10" t="str">
        <x:v>PASS</x:v>
      </x:c>
      <x:c r="H243" s="10" t="str">
        <x:f>IF(F243=G243,"PASS","FAIL")</x:f>
        <x:v>PASS</x:v>
      </x:c>
    </x:row>
    <x:row r="244">
      <x:c r="B244" s="10" t="str">
        <x:v>A0238</x:v>
      </x:c>
      <x:c r="C244" s="10" t="str">
        <x:v>trial</x:v>
      </x:c>
      <x:c r="D244" s="10" t="str">
        <x:v>MCR-C-C-A-W07 source</x:v>
      </x:c>
      <x:c r="E244" s="10" t="str">
        <x:v>unexecuted event remains open</x:v>
      </x:c>
      <x:c r="F244" s="10" t="str">
        <x:f>'Trial Register'!R62</x:f>
        <x:v>OPEN</x:v>
      </x:c>
      <x:c r="G244" s="10" t="str">
        <x:v>OPEN</x:v>
      </x:c>
      <x:c r="H244" s="10" t="str">
        <x:f>IF(F244=G244,"PASS","FAIL")</x:f>
        <x:v>PASS</x:v>
      </x:c>
    </x:row>
    <x:row r="245">
      <x:c r="B245" s="10" t="str">
        <x:v>A0239</x:v>
      </x:c>
      <x:c r="C245" s="10" t="str">
        <x:v>trial</x:v>
      </x:c>
      <x:c r="D245" s="10" t="str">
        <x:v>MCR-C-C-A-W08 plan</x:v>
      </x:c>
      <x:c r="E245" s="10" t="str">
        <x:v>event identity complete</x:v>
      </x:c>
      <x:c r="F245" s="10" t="str">
        <x:f>'Trial Register'!Q63</x:f>
        <x:v>PASS</x:v>
      </x:c>
      <x:c r="G245" s="10" t="str">
        <x:v>PASS</x:v>
      </x:c>
      <x:c r="H245" s="10" t="str">
        <x:f>IF(F245=G245,"PASS","FAIL")</x:f>
        <x:v>PASS</x:v>
      </x:c>
    </x:row>
    <x:row r="246">
      <x:c r="B246" s="10" t="str">
        <x:v>A0240</x:v>
      </x:c>
      <x:c r="C246" s="10" t="str">
        <x:v>trial</x:v>
      </x:c>
      <x:c r="D246" s="10" t="str">
        <x:v>MCR-C-C-A-W08 source</x:v>
      </x:c>
      <x:c r="E246" s="10" t="str">
        <x:v>unexecuted event remains open</x:v>
      </x:c>
      <x:c r="F246" s="10" t="str">
        <x:f>'Trial Register'!R63</x:f>
        <x:v>OPEN</x:v>
      </x:c>
      <x:c r="G246" s="10" t="str">
        <x:v>OPEN</x:v>
      </x:c>
      <x:c r="H246" s="10" t="str">
        <x:f>IF(F246=G246,"PASS","FAIL")</x:f>
        <x:v>PASS</x:v>
      </x:c>
    </x:row>
    <x:row r="247">
      <x:c r="B247" s="10" t="str">
        <x:v>A0241</x:v>
      </x:c>
      <x:c r="C247" s="10" t="str">
        <x:v>trial</x:v>
      </x:c>
      <x:c r="D247" s="10" t="str">
        <x:v>MCR-C-C-A-W09 plan</x:v>
      </x:c>
      <x:c r="E247" s="10" t="str">
        <x:v>event identity complete</x:v>
      </x:c>
      <x:c r="F247" s="10" t="str">
        <x:f>'Trial Register'!Q64</x:f>
        <x:v>PASS</x:v>
      </x:c>
      <x:c r="G247" s="10" t="str">
        <x:v>PASS</x:v>
      </x:c>
      <x:c r="H247" s="10" t="str">
        <x:f>IF(F247=G247,"PASS","FAIL")</x:f>
        <x:v>PASS</x:v>
      </x:c>
    </x:row>
    <x:row r="248">
      <x:c r="B248" s="10" t="str">
        <x:v>A0242</x:v>
      </x:c>
      <x:c r="C248" s="10" t="str">
        <x:v>trial</x:v>
      </x:c>
      <x:c r="D248" s="10" t="str">
        <x:v>MCR-C-C-A-W09 source</x:v>
      </x:c>
      <x:c r="E248" s="10" t="str">
        <x:v>unexecuted event remains open</x:v>
      </x:c>
      <x:c r="F248" s="10" t="str">
        <x:f>'Trial Register'!R64</x:f>
        <x:v>OPEN</x:v>
      </x:c>
      <x:c r="G248" s="10" t="str">
        <x:v>OPEN</x:v>
      </x:c>
      <x:c r="H248" s="10" t="str">
        <x:f>IF(F248=G248,"PASS","FAIL")</x:f>
        <x:v>PASS</x:v>
      </x:c>
    </x:row>
    <x:row r="249">
      <x:c r="B249" s="10" t="str">
        <x:v>A0243</x:v>
      </x:c>
      <x:c r="C249" s="10" t="str">
        <x:v>trial</x:v>
      </x:c>
      <x:c r="D249" s="10" t="str">
        <x:v>MCR-R-C-A-1 plan</x:v>
      </x:c>
      <x:c r="E249" s="10" t="str">
        <x:v>event identity complete</x:v>
      </x:c>
      <x:c r="F249" s="10" t="str">
        <x:f>'Trial Register'!Q65</x:f>
        <x:v>PASS</x:v>
      </x:c>
      <x:c r="G249" s="10" t="str">
        <x:v>PASS</x:v>
      </x:c>
      <x:c r="H249" s="10" t="str">
        <x:f>IF(F249=G249,"PASS","FAIL")</x:f>
        <x:v>PASS</x:v>
      </x:c>
    </x:row>
    <x:row r="250">
      <x:c r="B250" s="10" t="str">
        <x:v>A0244</x:v>
      </x:c>
      <x:c r="C250" s="10" t="str">
        <x:v>trial</x:v>
      </x:c>
      <x:c r="D250" s="10" t="str">
        <x:v>MCR-R-C-A-1 source</x:v>
      </x:c>
      <x:c r="E250" s="10" t="str">
        <x:v>unexecuted event remains open</x:v>
      </x:c>
      <x:c r="F250" s="10" t="str">
        <x:f>'Trial Register'!R65</x:f>
        <x:v>OPEN</x:v>
      </x:c>
      <x:c r="G250" s="10" t="str">
        <x:v>OPEN</x:v>
      </x:c>
      <x:c r="H250" s="10" t="str">
        <x:f>IF(F250=G250,"PASS","FAIL")</x:f>
        <x:v>PASS</x:v>
      </x:c>
    </x:row>
    <x:row r="251">
      <x:c r="B251" s="10" t="str">
        <x:v>A0245</x:v>
      </x:c>
      <x:c r="C251" s="10" t="str">
        <x:v>trial</x:v>
      </x:c>
      <x:c r="D251" s="10" t="str">
        <x:v>MCR-R-C-A-2 plan</x:v>
      </x:c>
      <x:c r="E251" s="10" t="str">
        <x:v>event identity complete</x:v>
      </x:c>
      <x:c r="F251" s="10" t="str">
        <x:f>'Trial Register'!Q66</x:f>
        <x:v>PASS</x:v>
      </x:c>
      <x:c r="G251" s="10" t="str">
        <x:v>PASS</x:v>
      </x:c>
      <x:c r="H251" s="10" t="str">
        <x:f>IF(F251=G251,"PASS","FAIL")</x:f>
        <x:v>PASS</x:v>
      </x:c>
    </x:row>
    <x:row r="252">
      <x:c r="B252" s="10" t="str">
        <x:v>A0246</x:v>
      </x:c>
      <x:c r="C252" s="10" t="str">
        <x:v>trial</x:v>
      </x:c>
      <x:c r="D252" s="10" t="str">
        <x:v>MCR-R-C-A-2 source</x:v>
      </x:c>
      <x:c r="E252" s="10" t="str">
        <x:v>unexecuted event remains open</x:v>
      </x:c>
      <x:c r="F252" s="10" t="str">
        <x:f>'Trial Register'!R66</x:f>
        <x:v>OPEN</x:v>
      </x:c>
      <x:c r="G252" s="10" t="str">
        <x:v>OPEN</x:v>
      </x:c>
      <x:c r="H252" s="10" t="str">
        <x:f>IF(F252=G252,"PASS","FAIL")</x:f>
        <x:v>PASS</x:v>
      </x:c>
    </x:row>
    <x:row r="253">
      <x:c r="B253" s="10" t="str">
        <x:v>A0247</x:v>
      </x:c>
      <x:c r="C253" s="10" t="str">
        <x:v>trial</x:v>
      </x:c>
      <x:c r="D253" s="10" t="str">
        <x:v>MCR-F-C-B-W01 plan</x:v>
      </x:c>
      <x:c r="E253" s="10" t="str">
        <x:v>event identity complete</x:v>
      </x:c>
      <x:c r="F253" s="10" t="str">
        <x:f>'Trial Register'!Q67</x:f>
        <x:v>PASS</x:v>
      </x:c>
      <x:c r="G253" s="10" t="str">
        <x:v>PASS</x:v>
      </x:c>
      <x:c r="H253" s="10" t="str">
        <x:f>IF(F253=G253,"PASS","FAIL")</x:f>
        <x:v>PASS</x:v>
      </x:c>
    </x:row>
    <x:row r="254">
      <x:c r="B254" s="10" t="str">
        <x:v>A0248</x:v>
      </x:c>
      <x:c r="C254" s="10" t="str">
        <x:v>trial</x:v>
      </x:c>
      <x:c r="D254" s="10" t="str">
        <x:v>MCR-F-C-B-W01 source</x:v>
      </x:c>
      <x:c r="E254" s="10" t="str">
        <x:v>unexecuted event remains open</x:v>
      </x:c>
      <x:c r="F254" s="10" t="str">
        <x:f>'Trial Register'!R67</x:f>
        <x:v>OPEN</x:v>
      </x:c>
      <x:c r="G254" s="10" t="str">
        <x:v>OPEN</x:v>
      </x:c>
      <x:c r="H254" s="10" t="str">
        <x:f>IF(F254=G254,"PASS","FAIL")</x:f>
        <x:v>PASS</x:v>
      </x:c>
    </x:row>
    <x:row r="255">
      <x:c r="B255" s="10" t="str">
        <x:v>A0249</x:v>
      </x:c>
      <x:c r="C255" s="10" t="str">
        <x:v>trial</x:v>
      </x:c>
      <x:c r="D255" s="10" t="str">
        <x:v>MCR-F-C-B-W02 plan</x:v>
      </x:c>
      <x:c r="E255" s="10" t="str">
        <x:v>event identity complete</x:v>
      </x:c>
      <x:c r="F255" s="10" t="str">
        <x:f>'Trial Register'!Q68</x:f>
        <x:v>PASS</x:v>
      </x:c>
      <x:c r="G255" s="10" t="str">
        <x:v>PASS</x:v>
      </x:c>
      <x:c r="H255" s="10" t="str">
        <x:f>IF(F255=G255,"PASS","FAIL")</x:f>
        <x:v>PASS</x:v>
      </x:c>
    </x:row>
    <x:row r="256">
      <x:c r="B256" s="10" t="str">
        <x:v>A0250</x:v>
      </x:c>
      <x:c r="C256" s="10" t="str">
        <x:v>trial</x:v>
      </x:c>
      <x:c r="D256" s="10" t="str">
        <x:v>MCR-F-C-B-W02 source</x:v>
      </x:c>
      <x:c r="E256" s="10" t="str">
        <x:v>unexecuted event remains open</x:v>
      </x:c>
      <x:c r="F256" s="10" t="str">
        <x:f>'Trial Register'!R68</x:f>
        <x:v>OPEN</x:v>
      </x:c>
      <x:c r="G256" s="10" t="str">
        <x:v>OPEN</x:v>
      </x:c>
      <x:c r="H256" s="10" t="str">
        <x:f>IF(F256=G256,"PASS","FAIL")</x:f>
        <x:v>PASS</x:v>
      </x:c>
    </x:row>
    <x:row r="257">
      <x:c r="B257" s="10" t="str">
        <x:v>A0251</x:v>
      </x:c>
      <x:c r="C257" s="10" t="str">
        <x:v>trial</x:v>
      </x:c>
      <x:c r="D257" s="10" t="str">
        <x:v>MCR-F-C-B-W03 plan</x:v>
      </x:c>
      <x:c r="E257" s="10" t="str">
        <x:v>event identity complete</x:v>
      </x:c>
      <x:c r="F257" s="10" t="str">
        <x:f>'Trial Register'!Q69</x:f>
        <x:v>PASS</x:v>
      </x:c>
      <x:c r="G257" s="10" t="str">
        <x:v>PASS</x:v>
      </x:c>
      <x:c r="H257" s="10" t="str">
        <x:f>IF(F257=G257,"PASS","FAIL")</x:f>
        <x:v>PASS</x:v>
      </x:c>
    </x:row>
    <x:row r="258">
      <x:c r="B258" s="10" t="str">
        <x:v>A0252</x:v>
      </x:c>
      <x:c r="C258" s="10" t="str">
        <x:v>trial</x:v>
      </x:c>
      <x:c r="D258" s="10" t="str">
        <x:v>MCR-F-C-B-W03 source</x:v>
      </x:c>
      <x:c r="E258" s="10" t="str">
        <x:v>unexecuted event remains open</x:v>
      </x:c>
      <x:c r="F258" s="10" t="str">
        <x:f>'Trial Register'!R69</x:f>
        <x:v>OPEN</x:v>
      </x:c>
      <x:c r="G258" s="10" t="str">
        <x:v>OPEN</x:v>
      </x:c>
      <x:c r="H258" s="10" t="str">
        <x:f>IF(F258=G258,"PASS","FAIL")</x:f>
        <x:v>PASS</x:v>
      </x:c>
    </x:row>
    <x:row r="259">
      <x:c r="B259" s="10" t="str">
        <x:v>A0253</x:v>
      </x:c>
      <x:c r="C259" s="10" t="str">
        <x:v>trial</x:v>
      </x:c>
      <x:c r="D259" s="10" t="str">
        <x:v>MCR-F-C-B-W04 plan</x:v>
      </x:c>
      <x:c r="E259" s="10" t="str">
        <x:v>event identity complete</x:v>
      </x:c>
      <x:c r="F259" s="10" t="str">
        <x:f>'Trial Register'!Q70</x:f>
        <x:v>PASS</x:v>
      </x:c>
      <x:c r="G259" s="10" t="str">
        <x:v>PASS</x:v>
      </x:c>
      <x:c r="H259" s="10" t="str">
        <x:f>IF(F259=G259,"PASS","FAIL")</x:f>
        <x:v>PASS</x:v>
      </x:c>
    </x:row>
    <x:row r="260">
      <x:c r="B260" s="10" t="str">
        <x:v>A0254</x:v>
      </x:c>
      <x:c r="C260" s="10" t="str">
        <x:v>trial</x:v>
      </x:c>
      <x:c r="D260" s="10" t="str">
        <x:v>MCR-F-C-B-W04 source</x:v>
      </x:c>
      <x:c r="E260" s="10" t="str">
        <x:v>unexecuted event remains open</x:v>
      </x:c>
      <x:c r="F260" s="10" t="str">
        <x:f>'Trial Register'!R70</x:f>
        <x:v>OPEN</x:v>
      </x:c>
      <x:c r="G260" s="10" t="str">
        <x:v>OPEN</x:v>
      </x:c>
      <x:c r="H260" s="10" t="str">
        <x:f>IF(F260=G260,"PASS","FAIL")</x:f>
        <x:v>PASS</x:v>
      </x:c>
    </x:row>
    <x:row r="261">
      <x:c r="B261" s="10" t="str">
        <x:v>A0255</x:v>
      </x:c>
      <x:c r="C261" s="10" t="str">
        <x:v>trial</x:v>
      </x:c>
      <x:c r="D261" s="10" t="str">
        <x:v>MCR-F-C-B-W05 plan</x:v>
      </x:c>
      <x:c r="E261" s="10" t="str">
        <x:v>event identity complete</x:v>
      </x:c>
      <x:c r="F261" s="10" t="str">
        <x:f>'Trial Register'!Q71</x:f>
        <x:v>PASS</x:v>
      </x:c>
      <x:c r="G261" s="10" t="str">
        <x:v>PASS</x:v>
      </x:c>
      <x:c r="H261" s="10" t="str">
        <x:f>IF(F261=G261,"PASS","FAIL")</x:f>
        <x:v>PASS</x:v>
      </x:c>
    </x:row>
    <x:row r="262">
      <x:c r="B262" s="10" t="str">
        <x:v>A0256</x:v>
      </x:c>
      <x:c r="C262" s="10" t="str">
        <x:v>trial</x:v>
      </x:c>
      <x:c r="D262" s="10" t="str">
        <x:v>MCR-F-C-B-W05 source</x:v>
      </x:c>
      <x:c r="E262" s="10" t="str">
        <x:v>unexecuted event remains open</x:v>
      </x:c>
      <x:c r="F262" s="10" t="str">
        <x:f>'Trial Register'!R71</x:f>
        <x:v>OPEN</x:v>
      </x:c>
      <x:c r="G262" s="10" t="str">
        <x:v>OPEN</x:v>
      </x:c>
      <x:c r="H262" s="10" t="str">
        <x:f>IF(F262=G262,"PASS","FAIL")</x:f>
        <x:v>PASS</x:v>
      </x:c>
    </x:row>
    <x:row r="263">
      <x:c r="B263" s="10" t="str">
        <x:v>A0257</x:v>
      </x:c>
      <x:c r="C263" s="10" t="str">
        <x:v>trial</x:v>
      </x:c>
      <x:c r="D263" s="10" t="str">
        <x:v>MCR-F-C-B-W06 plan</x:v>
      </x:c>
      <x:c r="E263" s="10" t="str">
        <x:v>event identity complete</x:v>
      </x:c>
      <x:c r="F263" s="10" t="str">
        <x:f>'Trial Register'!Q72</x:f>
        <x:v>PASS</x:v>
      </x:c>
      <x:c r="G263" s="10" t="str">
        <x:v>PASS</x:v>
      </x:c>
      <x:c r="H263" s="10" t="str">
        <x:f>IF(F263=G263,"PASS","FAIL")</x:f>
        <x:v>PASS</x:v>
      </x:c>
    </x:row>
    <x:row r="264">
      <x:c r="B264" s="10" t="str">
        <x:v>A0258</x:v>
      </x:c>
      <x:c r="C264" s="10" t="str">
        <x:v>trial</x:v>
      </x:c>
      <x:c r="D264" s="10" t="str">
        <x:v>MCR-F-C-B-W06 source</x:v>
      </x:c>
      <x:c r="E264" s="10" t="str">
        <x:v>unexecuted event remains open</x:v>
      </x:c>
      <x:c r="F264" s="10" t="str">
        <x:f>'Trial Register'!R72</x:f>
        <x:v>OPEN</x:v>
      </x:c>
      <x:c r="G264" s="10" t="str">
        <x:v>OPEN</x:v>
      </x:c>
      <x:c r="H264" s="10" t="str">
        <x:f>IF(F264=G264,"PASS","FAIL")</x:f>
        <x:v>PASS</x:v>
      </x:c>
    </x:row>
    <x:row r="265">
      <x:c r="B265" s="10" t="str">
        <x:v>A0259</x:v>
      </x:c>
      <x:c r="C265" s="10" t="str">
        <x:v>trial</x:v>
      </x:c>
      <x:c r="D265" s="10" t="str">
        <x:v>MCR-F-C-B-W07 plan</x:v>
      </x:c>
      <x:c r="E265" s="10" t="str">
        <x:v>event identity complete</x:v>
      </x:c>
      <x:c r="F265" s="10" t="str">
        <x:f>'Trial Register'!Q73</x:f>
        <x:v>PASS</x:v>
      </x:c>
      <x:c r="G265" s="10" t="str">
        <x:v>PASS</x:v>
      </x:c>
      <x:c r="H265" s="10" t="str">
        <x:f>IF(F265=G265,"PASS","FAIL")</x:f>
        <x:v>PASS</x:v>
      </x:c>
    </x:row>
    <x:row r="266">
      <x:c r="B266" s="10" t="str">
        <x:v>A0260</x:v>
      </x:c>
      <x:c r="C266" s="10" t="str">
        <x:v>trial</x:v>
      </x:c>
      <x:c r="D266" s="10" t="str">
        <x:v>MCR-F-C-B-W07 source</x:v>
      </x:c>
      <x:c r="E266" s="10" t="str">
        <x:v>unexecuted event remains open</x:v>
      </x:c>
      <x:c r="F266" s="10" t="str">
        <x:f>'Trial Register'!R73</x:f>
        <x:v>OPEN</x:v>
      </x:c>
      <x:c r="G266" s="10" t="str">
        <x:v>OPEN</x:v>
      </x:c>
      <x:c r="H266" s="10" t="str">
        <x:f>IF(F266=G266,"PASS","FAIL")</x:f>
        <x:v>PASS</x:v>
      </x:c>
    </x:row>
    <x:row r="267">
      <x:c r="B267" s="10" t="str">
        <x:v>A0261</x:v>
      </x:c>
      <x:c r="C267" s="10" t="str">
        <x:v>trial</x:v>
      </x:c>
      <x:c r="D267" s="10" t="str">
        <x:v>MCR-F-C-B-W08 plan</x:v>
      </x:c>
      <x:c r="E267" s="10" t="str">
        <x:v>event identity complete</x:v>
      </x:c>
      <x:c r="F267" s="10" t="str">
        <x:f>'Trial Register'!Q74</x:f>
        <x:v>PASS</x:v>
      </x:c>
      <x:c r="G267" s="10" t="str">
        <x:v>PASS</x:v>
      </x:c>
      <x:c r="H267" s="10" t="str">
        <x:f>IF(F267=G267,"PASS","FAIL")</x:f>
        <x:v>PASS</x:v>
      </x:c>
    </x:row>
    <x:row r="268">
      <x:c r="B268" s="10" t="str">
        <x:v>A0262</x:v>
      </x:c>
      <x:c r="C268" s="10" t="str">
        <x:v>trial</x:v>
      </x:c>
      <x:c r="D268" s="10" t="str">
        <x:v>MCR-F-C-B-W08 source</x:v>
      </x:c>
      <x:c r="E268" s="10" t="str">
        <x:v>unexecuted event remains open</x:v>
      </x:c>
      <x:c r="F268" s="10" t="str">
        <x:f>'Trial Register'!R74</x:f>
        <x:v>OPEN</x:v>
      </x:c>
      <x:c r="G268" s="10" t="str">
        <x:v>OPEN</x:v>
      </x:c>
      <x:c r="H268" s="10" t="str">
        <x:f>IF(F268=G268,"PASS","FAIL")</x:f>
        <x:v>PASS</x:v>
      </x:c>
    </x:row>
    <x:row r="269">
      <x:c r="B269" s="10" t="str">
        <x:v>A0263</x:v>
      </x:c>
      <x:c r="C269" s="10" t="str">
        <x:v>trial</x:v>
      </x:c>
      <x:c r="D269" s="10" t="str">
        <x:v>MCR-F-C-B-W09 plan</x:v>
      </x:c>
      <x:c r="E269" s="10" t="str">
        <x:v>event identity complete</x:v>
      </x:c>
      <x:c r="F269" s="10" t="str">
        <x:f>'Trial Register'!Q75</x:f>
        <x:v>PASS</x:v>
      </x:c>
      <x:c r="G269" s="10" t="str">
        <x:v>PASS</x:v>
      </x:c>
      <x:c r="H269" s="10" t="str">
        <x:f>IF(F269=G269,"PASS","FAIL")</x:f>
        <x:v>PASS</x:v>
      </x:c>
    </x:row>
    <x:row r="270">
      <x:c r="B270" s="10" t="str">
        <x:v>A0264</x:v>
      </x:c>
      <x:c r="C270" s="10" t="str">
        <x:v>trial</x:v>
      </x:c>
      <x:c r="D270" s="10" t="str">
        <x:v>MCR-F-C-B-W09 source</x:v>
      </x:c>
      <x:c r="E270" s="10" t="str">
        <x:v>unexecuted event remains open</x:v>
      </x:c>
      <x:c r="F270" s="10" t="str">
        <x:f>'Trial Register'!R75</x:f>
        <x:v>OPEN</x:v>
      </x:c>
      <x:c r="G270" s="10" t="str">
        <x:v>OPEN</x:v>
      </x:c>
      <x:c r="H270" s="10" t="str">
        <x:f>IF(F270=G270,"PASS","FAIL")</x:f>
        <x:v>PASS</x:v>
      </x:c>
    </x:row>
    <x:row r="271">
      <x:c r="B271" s="10" t="str">
        <x:v>A0265</x:v>
      </x:c>
      <x:c r="C271" s="10" t="str">
        <x:v>trial</x:v>
      </x:c>
      <x:c r="D271" s="10" t="str">
        <x:v>MCR-F-C-B-W10 plan</x:v>
      </x:c>
      <x:c r="E271" s="10" t="str">
        <x:v>event identity complete</x:v>
      </x:c>
      <x:c r="F271" s="10" t="str">
        <x:f>'Trial Register'!Q76</x:f>
        <x:v>PASS</x:v>
      </x:c>
      <x:c r="G271" s="10" t="str">
        <x:v>PASS</x:v>
      </x:c>
      <x:c r="H271" s="10" t="str">
        <x:f>IF(F271=G271,"PASS","FAIL")</x:f>
        <x:v>PASS</x:v>
      </x:c>
    </x:row>
    <x:row r="272">
      <x:c r="B272" s="10" t="str">
        <x:v>A0266</x:v>
      </x:c>
      <x:c r="C272" s="10" t="str">
        <x:v>trial</x:v>
      </x:c>
      <x:c r="D272" s="10" t="str">
        <x:v>MCR-F-C-B-W10 source</x:v>
      </x:c>
      <x:c r="E272" s="10" t="str">
        <x:v>unexecuted event remains open</x:v>
      </x:c>
      <x:c r="F272" s="10" t="str">
        <x:f>'Trial Register'!R76</x:f>
        <x:v>OPEN</x:v>
      </x:c>
      <x:c r="G272" s="10" t="str">
        <x:v>OPEN</x:v>
      </x:c>
      <x:c r="H272" s="10" t="str">
        <x:f>IF(F272=G272,"PASS","FAIL")</x:f>
        <x:v>PASS</x:v>
      </x:c>
    </x:row>
    <x:row r="273">
      <x:c r="B273" s="10" t="str">
        <x:v>A0267</x:v>
      </x:c>
      <x:c r="C273" s="10" t="str">
        <x:v>trial</x:v>
      </x:c>
      <x:c r="D273" s="10" t="str">
        <x:v>MCR-F-C-B-W11 plan</x:v>
      </x:c>
      <x:c r="E273" s="10" t="str">
        <x:v>event identity complete</x:v>
      </x:c>
      <x:c r="F273" s="10" t="str">
        <x:f>'Trial Register'!Q77</x:f>
        <x:v>PASS</x:v>
      </x:c>
      <x:c r="G273" s="10" t="str">
        <x:v>PASS</x:v>
      </x:c>
      <x:c r="H273" s="10" t="str">
        <x:f>IF(F273=G273,"PASS","FAIL")</x:f>
        <x:v>PASS</x:v>
      </x:c>
    </x:row>
    <x:row r="274">
      <x:c r="B274" s="10" t="str">
        <x:v>A0268</x:v>
      </x:c>
      <x:c r="C274" s="10" t="str">
        <x:v>trial</x:v>
      </x:c>
      <x:c r="D274" s="10" t="str">
        <x:v>MCR-F-C-B-W11 source</x:v>
      </x:c>
      <x:c r="E274" s="10" t="str">
        <x:v>unexecuted event remains open</x:v>
      </x:c>
      <x:c r="F274" s="10" t="str">
        <x:f>'Trial Register'!R77</x:f>
        <x:v>OPEN</x:v>
      </x:c>
      <x:c r="G274" s="10" t="str">
        <x:v>OPEN</x:v>
      </x:c>
      <x:c r="H274" s="10" t="str">
        <x:f>IF(F274=G274,"PASS","FAIL")</x:f>
        <x:v>PASS</x:v>
      </x:c>
    </x:row>
    <x:row r="275">
      <x:c r="B275" s="10" t="str">
        <x:v>A0269</x:v>
      </x:c>
      <x:c r="C275" s="10" t="str">
        <x:v>trial</x:v>
      </x:c>
      <x:c r="D275" s="10" t="str">
        <x:v>MCR-F-C-B-W12 plan</x:v>
      </x:c>
      <x:c r="E275" s="10" t="str">
        <x:v>event identity complete</x:v>
      </x:c>
      <x:c r="F275" s="10" t="str">
        <x:f>'Trial Register'!Q78</x:f>
        <x:v>PASS</x:v>
      </x:c>
      <x:c r="G275" s="10" t="str">
        <x:v>PASS</x:v>
      </x:c>
      <x:c r="H275" s="10" t="str">
        <x:f>IF(F275=G275,"PASS","FAIL")</x:f>
        <x:v>PASS</x:v>
      </x:c>
    </x:row>
    <x:row r="276">
      <x:c r="B276" s="10" t="str">
        <x:v>A0270</x:v>
      </x:c>
      <x:c r="C276" s="10" t="str">
        <x:v>trial</x:v>
      </x:c>
      <x:c r="D276" s="10" t="str">
        <x:v>MCR-F-C-B-W12 source</x:v>
      </x:c>
      <x:c r="E276" s="10" t="str">
        <x:v>unexecuted event remains open</x:v>
      </x:c>
      <x:c r="F276" s="10" t="str">
        <x:f>'Trial Register'!R78</x:f>
        <x:v>OPEN</x:v>
      </x:c>
      <x:c r="G276" s="10" t="str">
        <x:v>OPEN</x:v>
      </x:c>
      <x:c r="H276" s="10" t="str">
        <x:f>IF(F276=G276,"PASS","FAIL")</x:f>
        <x:v>PASS</x:v>
      </x:c>
    </x:row>
    <x:row r="277">
      <x:c r="B277" s="10" t="str">
        <x:v>A0271</x:v>
      </x:c>
      <x:c r="C277" s="10" t="str">
        <x:v>trial</x:v>
      </x:c>
      <x:c r="D277" s="10" t="str">
        <x:v>MCR-C-C-B-W02 plan</x:v>
      </x:c>
      <x:c r="E277" s="10" t="str">
        <x:v>event identity complete</x:v>
      </x:c>
      <x:c r="F277" s="10" t="str">
        <x:f>'Trial Register'!Q79</x:f>
        <x:v>PASS</x:v>
      </x:c>
      <x:c r="G277" s="10" t="str">
        <x:v>PASS</x:v>
      </x:c>
      <x:c r="H277" s="10" t="str">
        <x:f>IF(F277=G277,"PASS","FAIL")</x:f>
        <x:v>PASS</x:v>
      </x:c>
    </x:row>
    <x:row r="278">
      <x:c r="B278" s="10" t="str">
        <x:v>A0272</x:v>
      </x:c>
      <x:c r="C278" s="10" t="str">
        <x:v>trial</x:v>
      </x:c>
      <x:c r="D278" s="10" t="str">
        <x:v>MCR-C-C-B-W02 source</x:v>
      </x:c>
      <x:c r="E278" s="10" t="str">
        <x:v>unexecuted event remains open</x:v>
      </x:c>
      <x:c r="F278" s="10" t="str">
        <x:f>'Trial Register'!R79</x:f>
        <x:v>OPEN</x:v>
      </x:c>
      <x:c r="G278" s="10" t="str">
        <x:v>OPEN</x:v>
      </x:c>
      <x:c r="H278" s="10" t="str">
        <x:f>IF(F278=G278,"PASS","FAIL")</x:f>
        <x:v>PASS</x:v>
      </x:c>
    </x:row>
    <x:row r="279">
      <x:c r="B279" s="10" t="str">
        <x:v>A0273</x:v>
      </x:c>
      <x:c r="C279" s="10" t="str">
        <x:v>trial</x:v>
      </x:c>
      <x:c r="D279" s="10" t="str">
        <x:v>MCR-C-C-B-W03 plan</x:v>
      </x:c>
      <x:c r="E279" s="10" t="str">
        <x:v>event identity complete</x:v>
      </x:c>
      <x:c r="F279" s="10" t="str">
        <x:f>'Trial Register'!Q80</x:f>
        <x:v>PASS</x:v>
      </x:c>
      <x:c r="G279" s="10" t="str">
        <x:v>PASS</x:v>
      </x:c>
      <x:c r="H279" s="10" t="str">
        <x:f>IF(F279=G279,"PASS","FAIL")</x:f>
        <x:v>PASS</x:v>
      </x:c>
    </x:row>
    <x:row r="280">
      <x:c r="B280" s="10" t="str">
        <x:v>A0274</x:v>
      </x:c>
      <x:c r="C280" s="10" t="str">
        <x:v>trial</x:v>
      </x:c>
      <x:c r="D280" s="10" t="str">
        <x:v>MCR-C-C-B-W03 source</x:v>
      </x:c>
      <x:c r="E280" s="10" t="str">
        <x:v>unexecuted event remains open</x:v>
      </x:c>
      <x:c r="F280" s="10" t="str">
        <x:f>'Trial Register'!R80</x:f>
        <x:v>OPEN</x:v>
      </x:c>
      <x:c r="G280" s="10" t="str">
        <x:v>OPEN</x:v>
      </x:c>
      <x:c r="H280" s="10" t="str">
        <x:f>IF(F280=G280,"PASS","FAIL")</x:f>
        <x:v>PASS</x:v>
      </x:c>
    </x:row>
    <x:row r="281">
      <x:c r="B281" s="10" t="str">
        <x:v>A0275</x:v>
      </x:c>
      <x:c r="C281" s="10" t="str">
        <x:v>trial</x:v>
      </x:c>
      <x:c r="D281" s="10" t="str">
        <x:v>MCR-C-C-B-W06 plan</x:v>
      </x:c>
      <x:c r="E281" s="10" t="str">
        <x:v>event identity complete</x:v>
      </x:c>
      <x:c r="F281" s="10" t="str">
        <x:f>'Trial Register'!Q81</x:f>
        <x:v>PASS</x:v>
      </x:c>
      <x:c r="G281" s="10" t="str">
        <x:v>PASS</x:v>
      </x:c>
      <x:c r="H281" s="10" t="str">
        <x:f>IF(F281=G281,"PASS","FAIL")</x:f>
        <x:v>PASS</x:v>
      </x:c>
    </x:row>
    <x:row r="282">
      <x:c r="B282" s="10" t="str">
        <x:v>A0276</x:v>
      </x:c>
      <x:c r="C282" s="10" t="str">
        <x:v>trial</x:v>
      </x:c>
      <x:c r="D282" s="10" t="str">
        <x:v>MCR-C-C-B-W06 source</x:v>
      </x:c>
      <x:c r="E282" s="10" t="str">
        <x:v>unexecuted event remains open</x:v>
      </x:c>
      <x:c r="F282" s="10" t="str">
        <x:f>'Trial Register'!R81</x:f>
        <x:v>OPEN</x:v>
      </x:c>
      <x:c r="G282" s="10" t="str">
        <x:v>OPEN</x:v>
      </x:c>
      <x:c r="H282" s="10" t="str">
        <x:f>IF(F282=G282,"PASS","FAIL")</x:f>
        <x:v>PASS</x:v>
      </x:c>
    </x:row>
    <x:row r="283">
      <x:c r="B283" s="10" t="str">
        <x:v>A0277</x:v>
      </x:c>
      <x:c r="C283" s="10" t="str">
        <x:v>trial</x:v>
      </x:c>
      <x:c r="D283" s="10" t="str">
        <x:v>MCR-C-C-B-W07 plan</x:v>
      </x:c>
      <x:c r="E283" s="10" t="str">
        <x:v>event identity complete</x:v>
      </x:c>
      <x:c r="F283" s="10" t="str">
        <x:f>'Trial Register'!Q82</x:f>
        <x:v>PASS</x:v>
      </x:c>
      <x:c r="G283" s="10" t="str">
        <x:v>PASS</x:v>
      </x:c>
      <x:c r="H283" s="10" t="str">
        <x:f>IF(F283=G283,"PASS","FAIL")</x:f>
        <x:v>PASS</x:v>
      </x:c>
    </x:row>
    <x:row r="284">
      <x:c r="B284" s="10" t="str">
        <x:v>A0278</x:v>
      </x:c>
      <x:c r="C284" s="10" t="str">
        <x:v>trial</x:v>
      </x:c>
      <x:c r="D284" s="10" t="str">
        <x:v>MCR-C-C-B-W07 source</x:v>
      </x:c>
      <x:c r="E284" s="10" t="str">
        <x:v>unexecuted event remains open</x:v>
      </x:c>
      <x:c r="F284" s="10" t="str">
        <x:f>'Trial Register'!R82</x:f>
        <x:v>OPEN</x:v>
      </x:c>
      <x:c r="G284" s="10" t="str">
        <x:v>OPEN</x:v>
      </x:c>
      <x:c r="H284" s="10" t="str">
        <x:f>IF(F284=G284,"PASS","FAIL")</x:f>
        <x:v>PASS</x:v>
      </x:c>
    </x:row>
    <x:row r="285">
      <x:c r="B285" s="10" t="str">
        <x:v>A0279</x:v>
      </x:c>
      <x:c r="C285" s="10" t="str">
        <x:v>trial</x:v>
      </x:c>
      <x:c r="D285" s="10" t="str">
        <x:v>MCR-C-C-B-W08 plan</x:v>
      </x:c>
      <x:c r="E285" s="10" t="str">
        <x:v>event identity complete</x:v>
      </x:c>
      <x:c r="F285" s="10" t="str">
        <x:f>'Trial Register'!Q83</x:f>
        <x:v>PASS</x:v>
      </x:c>
      <x:c r="G285" s="10" t="str">
        <x:v>PASS</x:v>
      </x:c>
      <x:c r="H285" s="10" t="str">
        <x:f>IF(F285=G285,"PASS","FAIL")</x:f>
        <x:v>PASS</x:v>
      </x:c>
    </x:row>
    <x:row r="286">
      <x:c r="B286" s="10" t="str">
        <x:v>A0280</x:v>
      </x:c>
      <x:c r="C286" s="10" t="str">
        <x:v>trial</x:v>
      </x:c>
      <x:c r="D286" s="10" t="str">
        <x:v>MCR-C-C-B-W08 source</x:v>
      </x:c>
      <x:c r="E286" s="10" t="str">
        <x:v>unexecuted event remains open</x:v>
      </x:c>
      <x:c r="F286" s="10" t="str">
        <x:f>'Trial Register'!R83</x:f>
        <x:v>OPEN</x:v>
      </x:c>
      <x:c r="G286" s="10" t="str">
        <x:v>OPEN</x:v>
      </x:c>
      <x:c r="H286" s="10" t="str">
        <x:f>IF(F286=G286,"PASS","FAIL")</x:f>
        <x:v>PASS</x:v>
      </x:c>
    </x:row>
    <x:row r="287">
      <x:c r="B287" s="10" t="str">
        <x:v>A0281</x:v>
      </x:c>
      <x:c r="C287" s="10" t="str">
        <x:v>trial</x:v>
      </x:c>
      <x:c r="D287" s="10" t="str">
        <x:v>MCR-C-C-B-W09 plan</x:v>
      </x:c>
      <x:c r="E287" s="10" t="str">
        <x:v>event identity complete</x:v>
      </x:c>
      <x:c r="F287" s="10" t="str">
        <x:f>'Trial Register'!Q84</x:f>
        <x:v>PASS</x:v>
      </x:c>
      <x:c r="G287" s="10" t="str">
        <x:v>PASS</x:v>
      </x:c>
      <x:c r="H287" s="10" t="str">
        <x:f>IF(F287=G287,"PASS","FAIL")</x:f>
        <x:v>PASS</x:v>
      </x:c>
    </x:row>
    <x:row r="288">
      <x:c r="B288" s="10" t="str">
        <x:v>A0282</x:v>
      </x:c>
      <x:c r="C288" s="10" t="str">
        <x:v>trial</x:v>
      </x:c>
      <x:c r="D288" s="10" t="str">
        <x:v>MCR-C-C-B-W09 source</x:v>
      </x:c>
      <x:c r="E288" s="10" t="str">
        <x:v>unexecuted event remains open</x:v>
      </x:c>
      <x:c r="F288" s="10" t="str">
        <x:f>'Trial Register'!R84</x:f>
        <x:v>OPEN</x:v>
      </x:c>
      <x:c r="G288" s="10" t="str">
        <x:v>OPEN</x:v>
      </x:c>
      <x:c r="H288" s="10" t="str">
        <x:f>IF(F288=G288,"PASS","FAIL")</x:f>
        <x:v>PASS</x:v>
      </x:c>
    </x:row>
    <x:row r="289">
      <x:c r="B289" s="10" t="str">
        <x:v>A0283</x:v>
      </x:c>
      <x:c r="C289" s="10" t="str">
        <x:v>trial</x:v>
      </x:c>
      <x:c r="D289" s="10" t="str">
        <x:v>MCR-R-C-B-1 plan</x:v>
      </x:c>
      <x:c r="E289" s="10" t="str">
        <x:v>event identity complete</x:v>
      </x:c>
      <x:c r="F289" s="10" t="str">
        <x:f>'Trial Register'!Q85</x:f>
        <x:v>PASS</x:v>
      </x:c>
      <x:c r="G289" s="10" t="str">
        <x:v>PASS</x:v>
      </x:c>
      <x:c r="H289" s="10" t="str">
        <x:f>IF(F289=G289,"PASS","FAIL")</x:f>
        <x:v>PASS</x:v>
      </x:c>
    </x:row>
    <x:row r="290">
      <x:c r="B290" s="10" t="str">
        <x:v>A0284</x:v>
      </x:c>
      <x:c r="C290" s="10" t="str">
        <x:v>trial</x:v>
      </x:c>
      <x:c r="D290" s="10" t="str">
        <x:v>MCR-R-C-B-1 source</x:v>
      </x:c>
      <x:c r="E290" s="10" t="str">
        <x:v>unexecuted event remains open</x:v>
      </x:c>
      <x:c r="F290" s="10" t="str">
        <x:f>'Trial Register'!R85</x:f>
        <x:v>OPEN</x:v>
      </x:c>
      <x:c r="G290" s="10" t="str">
        <x:v>OPEN</x:v>
      </x:c>
      <x:c r="H290" s="10" t="str">
        <x:f>IF(F290=G290,"PASS","FAIL")</x:f>
        <x:v>PASS</x:v>
      </x:c>
    </x:row>
    <x:row r="291">
      <x:c r="B291" s="10" t="str">
        <x:v>A0285</x:v>
      </x:c>
      <x:c r="C291" s="10" t="str">
        <x:v>trial</x:v>
      </x:c>
      <x:c r="D291" s="10" t="str">
        <x:v>MCR-R-C-B-2 plan</x:v>
      </x:c>
      <x:c r="E291" s="10" t="str">
        <x:v>event identity complete</x:v>
      </x:c>
      <x:c r="F291" s="10" t="str">
        <x:f>'Trial Register'!Q86</x:f>
        <x:v>PASS</x:v>
      </x:c>
      <x:c r="G291" s="10" t="str">
        <x:v>PASS</x:v>
      </x:c>
      <x:c r="H291" s="10" t="str">
        <x:f>IF(F291=G291,"PASS","FAIL")</x:f>
        <x:v>PASS</x:v>
      </x:c>
    </x:row>
    <x:row r="292">
      <x:c r="B292" s="10" t="str">
        <x:v>A0286</x:v>
      </x:c>
      <x:c r="C292" s="10" t="str">
        <x:v>trial</x:v>
      </x:c>
      <x:c r="D292" s="10" t="str">
        <x:v>MCR-R-C-B-2 source</x:v>
      </x:c>
      <x:c r="E292" s="10" t="str">
        <x:v>unexecuted event remains open</x:v>
      </x:c>
      <x:c r="F292" s="10" t="str">
        <x:f>'Trial Register'!R86</x:f>
        <x:v>OPEN</x:v>
      </x:c>
      <x:c r="G292" s="10" t="str">
        <x:v>OPEN</x:v>
      </x:c>
      <x:c r="H292" s="10" t="str">
        <x:f>IF(F292=G292,"PASS","FAIL")</x:f>
        <x:v>PASS</x:v>
      </x:c>
    </x:row>
    <x:row r="293">
      <x:c r="B293" s="10" t="str">
        <x:v>A0287</x:v>
      </x:c>
      <x:c r="C293" s="10" t="str">
        <x:v>instrument</x:v>
      </x:c>
      <x:c r="D293" s="10" t="str">
        <x:v>I01 plan</x:v>
      </x:c>
      <x:c r="E293" s="10" t="str">
        <x:v>independent measurement path defined</x:v>
      </x:c>
      <x:c r="F293" s="10" t="str">
        <x:f>'Instrumentation'!M7</x:f>
        <x:v>PASS</x:v>
      </x:c>
      <x:c r="G293" s="10" t="str">
        <x:v>PASS</x:v>
      </x:c>
      <x:c r="H293" s="10" t="str">
        <x:f>IF(F293=G293,"PASS","FAIL")</x:f>
        <x:v>PASS</x:v>
      </x:c>
    </x:row>
    <x:row r="294">
      <x:c r="B294" s="10" t="str">
        <x:v>A0288</x:v>
      </x:c>
      <x:c r="C294" s="10" t="str">
        <x:v>instrument</x:v>
      </x:c>
      <x:c r="D294" s="10" t="str">
        <x:v>I01 source</x:v>
      </x:c>
      <x:c r="E294" s="10" t="str">
        <x:v>physical acceptance remains absent</x:v>
      </x:c>
      <x:c r="F294" s="10" t="str">
        <x:f>'Instrumentation'!N7</x:f>
        <x:v>OPEN</x:v>
      </x:c>
      <x:c r="G294" s="10" t="str">
        <x:v>OPEN</x:v>
      </x:c>
      <x:c r="H294" s="10" t="str">
        <x:f>IF(F294=G294,"PASS","FAIL")</x:f>
        <x:v>PASS</x:v>
      </x:c>
    </x:row>
    <x:row r="295">
      <x:c r="B295" s="10" t="str">
        <x:v>A0289</x:v>
      </x:c>
      <x:c r="C295" s="10" t="str">
        <x:v>instrument</x:v>
      </x:c>
      <x:c r="D295" s="10" t="str">
        <x:v>I02 plan</x:v>
      </x:c>
      <x:c r="E295" s="10" t="str">
        <x:v>independent measurement path defined</x:v>
      </x:c>
      <x:c r="F295" s="10" t="str">
        <x:f>'Instrumentation'!M8</x:f>
        <x:v>PASS</x:v>
      </x:c>
      <x:c r="G295" s="10" t="str">
        <x:v>PASS</x:v>
      </x:c>
      <x:c r="H295" s="10" t="str">
        <x:f>IF(F295=G295,"PASS","FAIL")</x:f>
        <x:v>PASS</x:v>
      </x:c>
    </x:row>
    <x:row r="296">
      <x:c r="B296" s="10" t="str">
        <x:v>A0290</x:v>
      </x:c>
      <x:c r="C296" s="10" t="str">
        <x:v>instrument</x:v>
      </x:c>
      <x:c r="D296" s="10" t="str">
        <x:v>I02 source</x:v>
      </x:c>
      <x:c r="E296" s="10" t="str">
        <x:v>physical acceptance remains absent</x:v>
      </x:c>
      <x:c r="F296" s="10" t="str">
        <x:f>'Instrumentation'!N8</x:f>
        <x:v>OPEN</x:v>
      </x:c>
      <x:c r="G296" s="10" t="str">
        <x:v>OPEN</x:v>
      </x:c>
      <x:c r="H296" s="10" t="str">
        <x:f>IF(F296=G296,"PASS","FAIL")</x:f>
        <x:v>PASS</x:v>
      </x:c>
    </x:row>
    <x:row r="297">
      <x:c r="B297" s="10" t="str">
        <x:v>A0291</x:v>
      </x:c>
      <x:c r="C297" s="10" t="str">
        <x:v>instrument</x:v>
      </x:c>
      <x:c r="D297" s="10" t="str">
        <x:v>I03 plan</x:v>
      </x:c>
      <x:c r="E297" s="10" t="str">
        <x:v>independent measurement path defined</x:v>
      </x:c>
      <x:c r="F297" s="10" t="str">
        <x:f>'Instrumentation'!M9</x:f>
        <x:v>PASS</x:v>
      </x:c>
      <x:c r="G297" s="10" t="str">
        <x:v>PASS</x:v>
      </x:c>
      <x:c r="H297" s="10" t="str">
        <x:f>IF(F297=G297,"PASS","FAIL")</x:f>
        <x:v>PASS</x:v>
      </x:c>
    </x:row>
    <x:row r="298">
      <x:c r="B298" s="10" t="str">
        <x:v>A0292</x:v>
      </x:c>
      <x:c r="C298" s="10" t="str">
        <x:v>instrument</x:v>
      </x:c>
      <x:c r="D298" s="10" t="str">
        <x:v>I03 source</x:v>
      </x:c>
      <x:c r="E298" s="10" t="str">
        <x:v>physical acceptance remains absent</x:v>
      </x:c>
      <x:c r="F298" s="10" t="str">
        <x:f>'Instrumentation'!N9</x:f>
        <x:v>OPEN</x:v>
      </x:c>
      <x:c r="G298" s="10" t="str">
        <x:v>OPEN</x:v>
      </x:c>
      <x:c r="H298" s="10" t="str">
        <x:f>IF(F298=G298,"PASS","FAIL")</x:f>
        <x:v>PASS</x:v>
      </x:c>
    </x:row>
    <x:row r="299">
      <x:c r="B299" s="10" t="str">
        <x:v>A0293</x:v>
      </x:c>
      <x:c r="C299" s="10" t="str">
        <x:v>instrument</x:v>
      </x:c>
      <x:c r="D299" s="10" t="str">
        <x:v>I04 plan</x:v>
      </x:c>
      <x:c r="E299" s="10" t="str">
        <x:v>independent measurement path defined</x:v>
      </x:c>
      <x:c r="F299" s="10" t="str">
        <x:f>'Instrumentation'!M10</x:f>
        <x:v>PASS</x:v>
      </x:c>
      <x:c r="G299" s="10" t="str">
        <x:v>PASS</x:v>
      </x:c>
      <x:c r="H299" s="10" t="str">
        <x:f>IF(F299=G299,"PASS","FAIL")</x:f>
        <x:v>PASS</x:v>
      </x:c>
    </x:row>
    <x:row r="300">
      <x:c r="B300" s="10" t="str">
        <x:v>A0294</x:v>
      </x:c>
      <x:c r="C300" s="10" t="str">
        <x:v>instrument</x:v>
      </x:c>
      <x:c r="D300" s="10" t="str">
        <x:v>I04 source</x:v>
      </x:c>
      <x:c r="E300" s="10" t="str">
        <x:v>physical acceptance remains absent</x:v>
      </x:c>
      <x:c r="F300" s="10" t="str">
        <x:f>'Instrumentation'!N10</x:f>
        <x:v>OPEN</x:v>
      </x:c>
      <x:c r="G300" s="10" t="str">
        <x:v>OPEN</x:v>
      </x:c>
      <x:c r="H300" s="10" t="str">
        <x:f>IF(F300=G300,"PASS","FAIL")</x:f>
        <x:v>PASS</x:v>
      </x:c>
    </x:row>
    <x:row r="301">
      <x:c r="B301" s="10" t="str">
        <x:v>A0295</x:v>
      </x:c>
      <x:c r="C301" s="10" t="str">
        <x:v>instrument</x:v>
      </x:c>
      <x:c r="D301" s="10" t="str">
        <x:v>I05 plan</x:v>
      </x:c>
      <x:c r="E301" s="10" t="str">
        <x:v>independent measurement path defined</x:v>
      </x:c>
      <x:c r="F301" s="10" t="str">
        <x:f>'Instrumentation'!M11</x:f>
        <x:v>PASS</x:v>
      </x:c>
      <x:c r="G301" s="10" t="str">
        <x:v>PASS</x:v>
      </x:c>
      <x:c r="H301" s="10" t="str">
        <x:f>IF(F301=G301,"PASS","FAIL")</x:f>
        <x:v>PASS</x:v>
      </x:c>
    </x:row>
    <x:row r="302">
      <x:c r="B302" s="10" t="str">
        <x:v>A0296</x:v>
      </x:c>
      <x:c r="C302" s="10" t="str">
        <x:v>instrument</x:v>
      </x:c>
      <x:c r="D302" s="10" t="str">
        <x:v>I05 source</x:v>
      </x:c>
      <x:c r="E302" s="10" t="str">
        <x:v>physical acceptance remains absent</x:v>
      </x:c>
      <x:c r="F302" s="10" t="str">
        <x:f>'Instrumentation'!N11</x:f>
        <x:v>OPEN</x:v>
      </x:c>
      <x:c r="G302" s="10" t="str">
        <x:v>OPEN</x:v>
      </x:c>
      <x:c r="H302" s="10" t="str">
        <x:f>IF(F302=G302,"PASS","FAIL")</x:f>
        <x:v>PASS</x:v>
      </x:c>
    </x:row>
    <x:row r="303">
      <x:c r="B303" s="10" t="str">
        <x:v>A0297</x:v>
      </x:c>
      <x:c r="C303" s="10" t="str">
        <x:v>instrument</x:v>
      </x:c>
      <x:c r="D303" s="10" t="str">
        <x:v>I06 plan</x:v>
      </x:c>
      <x:c r="E303" s="10" t="str">
        <x:v>independent measurement path defined</x:v>
      </x:c>
      <x:c r="F303" s="10" t="str">
        <x:f>'Instrumentation'!M12</x:f>
        <x:v>PASS</x:v>
      </x:c>
      <x:c r="G303" s="10" t="str">
        <x:v>PASS</x:v>
      </x:c>
      <x:c r="H303" s="10" t="str">
        <x:f>IF(F303=G303,"PASS","FAIL")</x:f>
        <x:v>PASS</x:v>
      </x:c>
    </x:row>
    <x:row r="304">
      <x:c r="B304" s="10" t="str">
        <x:v>A0298</x:v>
      </x:c>
      <x:c r="C304" s="10" t="str">
        <x:v>instrument</x:v>
      </x:c>
      <x:c r="D304" s="10" t="str">
        <x:v>I06 source</x:v>
      </x:c>
      <x:c r="E304" s="10" t="str">
        <x:v>physical acceptance remains absent</x:v>
      </x:c>
      <x:c r="F304" s="10" t="str">
        <x:f>'Instrumentation'!N12</x:f>
        <x:v>OPEN</x:v>
      </x:c>
      <x:c r="G304" s="10" t="str">
        <x:v>OPEN</x:v>
      </x:c>
      <x:c r="H304" s="10" t="str">
        <x:f>IF(F304=G304,"PASS","FAIL")</x:f>
        <x:v>PASS</x:v>
      </x:c>
    </x:row>
    <x:row r="305">
      <x:c r="B305" s="10" t="str">
        <x:v>A0299</x:v>
      </x:c>
      <x:c r="C305" s="10" t="str">
        <x:v>instrument</x:v>
      </x:c>
      <x:c r="D305" s="10" t="str">
        <x:v>I07 plan</x:v>
      </x:c>
      <x:c r="E305" s="10" t="str">
        <x:v>independent measurement path defined</x:v>
      </x:c>
      <x:c r="F305" s="10" t="str">
        <x:f>'Instrumentation'!M13</x:f>
        <x:v>PASS</x:v>
      </x:c>
      <x:c r="G305" s="10" t="str">
        <x:v>PASS</x:v>
      </x:c>
      <x:c r="H305" s="10" t="str">
        <x:f>IF(F305=G305,"PASS","FAIL")</x:f>
        <x:v>PASS</x:v>
      </x:c>
    </x:row>
    <x:row r="306">
      <x:c r="B306" s="10" t="str">
        <x:v>A0300</x:v>
      </x:c>
      <x:c r="C306" s="10" t="str">
        <x:v>instrument</x:v>
      </x:c>
      <x:c r="D306" s="10" t="str">
        <x:v>I07 source</x:v>
      </x:c>
      <x:c r="E306" s="10" t="str">
        <x:v>physical acceptance remains absent</x:v>
      </x:c>
      <x:c r="F306" s="10" t="str">
        <x:f>'Instrumentation'!N13</x:f>
        <x:v>OPEN</x:v>
      </x:c>
      <x:c r="G306" s="10" t="str">
        <x:v>OPEN</x:v>
      </x:c>
      <x:c r="H306" s="10" t="str">
        <x:f>IF(F306=G306,"PASS","FAIL")</x:f>
        <x:v>PASS</x:v>
      </x:c>
    </x:row>
    <x:row r="307">
      <x:c r="B307" s="10" t="str">
        <x:v>A0301</x:v>
      </x:c>
      <x:c r="C307" s="10" t="str">
        <x:v>instrument</x:v>
      </x:c>
      <x:c r="D307" s="10" t="str">
        <x:v>I08 plan</x:v>
      </x:c>
      <x:c r="E307" s="10" t="str">
        <x:v>independent measurement path defined</x:v>
      </x:c>
      <x:c r="F307" s="10" t="str">
        <x:f>'Instrumentation'!M14</x:f>
        <x:v>PASS</x:v>
      </x:c>
      <x:c r="G307" s="10" t="str">
        <x:v>PASS</x:v>
      </x:c>
      <x:c r="H307" s="10" t="str">
        <x:f>IF(F307=G307,"PASS","FAIL")</x:f>
        <x:v>PASS</x:v>
      </x:c>
    </x:row>
    <x:row r="308">
      <x:c r="B308" s="10" t="str">
        <x:v>A0302</x:v>
      </x:c>
      <x:c r="C308" s="10" t="str">
        <x:v>instrument</x:v>
      </x:c>
      <x:c r="D308" s="10" t="str">
        <x:v>I08 source</x:v>
      </x:c>
      <x:c r="E308" s="10" t="str">
        <x:v>physical acceptance remains absent</x:v>
      </x:c>
      <x:c r="F308" s="10" t="str">
        <x:f>'Instrumentation'!N14</x:f>
        <x:v>OPEN</x:v>
      </x:c>
      <x:c r="G308" s="10" t="str">
        <x:v>OPEN</x:v>
      </x:c>
      <x:c r="H308" s="10" t="str">
        <x:f>IF(F308=G308,"PASS","FAIL")</x:f>
        <x:v>PASS</x:v>
      </x:c>
    </x:row>
    <x:row r="309">
      <x:c r="B309" s="10" t="str">
        <x:v>A0303</x:v>
      </x:c>
      <x:c r="C309" s="10" t="str">
        <x:v>instrument</x:v>
      </x:c>
      <x:c r="D309" s="10" t="str">
        <x:v>I09 plan</x:v>
      </x:c>
      <x:c r="E309" s="10" t="str">
        <x:v>independent measurement path defined</x:v>
      </x:c>
      <x:c r="F309" s="10" t="str">
        <x:f>'Instrumentation'!M15</x:f>
        <x:v>PASS</x:v>
      </x:c>
      <x:c r="G309" s="10" t="str">
        <x:v>PASS</x:v>
      </x:c>
      <x:c r="H309" s="10" t="str">
        <x:f>IF(F309=G309,"PASS","FAIL")</x:f>
        <x:v>PASS</x:v>
      </x:c>
    </x:row>
    <x:row r="310">
      <x:c r="B310" s="10" t="str">
        <x:v>A0304</x:v>
      </x:c>
      <x:c r="C310" s="10" t="str">
        <x:v>instrument</x:v>
      </x:c>
      <x:c r="D310" s="10" t="str">
        <x:v>I09 source</x:v>
      </x:c>
      <x:c r="E310" s="10" t="str">
        <x:v>physical acceptance remains absent</x:v>
      </x:c>
      <x:c r="F310" s="10" t="str">
        <x:f>'Instrumentation'!N15</x:f>
        <x:v>OPEN</x:v>
      </x:c>
      <x:c r="G310" s="10" t="str">
        <x:v>OPEN</x:v>
      </x:c>
      <x:c r="H310" s="10" t="str">
        <x:f>IF(F310=G310,"PASS","FAIL")</x:f>
        <x:v>PASS</x:v>
      </x:c>
    </x:row>
    <x:row r="311">
      <x:c r="B311" s="10" t="str">
        <x:v>A0305</x:v>
      </x:c>
      <x:c r="C311" s="10" t="str">
        <x:v>instrument</x:v>
      </x:c>
      <x:c r="D311" s="10" t="str">
        <x:v>I10 plan</x:v>
      </x:c>
      <x:c r="E311" s="10" t="str">
        <x:v>independent measurement path defined</x:v>
      </x:c>
      <x:c r="F311" s="10" t="str">
        <x:f>'Instrumentation'!M16</x:f>
        <x:v>PASS</x:v>
      </x:c>
      <x:c r="G311" s="10" t="str">
        <x:v>PASS</x:v>
      </x:c>
      <x:c r="H311" s="10" t="str">
        <x:f>IF(F311=G311,"PASS","FAIL")</x:f>
        <x:v>PASS</x:v>
      </x:c>
    </x:row>
    <x:row r="312">
      <x:c r="B312" s="10" t="str">
        <x:v>A0306</x:v>
      </x:c>
      <x:c r="C312" s="10" t="str">
        <x:v>instrument</x:v>
      </x:c>
      <x:c r="D312" s="10" t="str">
        <x:v>I10 source</x:v>
      </x:c>
      <x:c r="E312" s="10" t="str">
        <x:v>physical acceptance remains absent</x:v>
      </x:c>
      <x:c r="F312" s="10" t="str">
        <x:f>'Instrumentation'!N16</x:f>
        <x:v>OPEN</x:v>
      </x:c>
      <x:c r="G312" s="10" t="str">
        <x:v>OPEN</x:v>
      </x:c>
      <x:c r="H312" s="10" t="str">
        <x:f>IF(F312=G312,"PASS","FAIL")</x:f>
        <x:v>PASS</x:v>
      </x:c>
    </x:row>
    <x:row r="313">
      <x:c r="B313" s="10" t="str">
        <x:v>A0307</x:v>
      </x:c>
      <x:c r="C313" s="10" t="str">
        <x:v>instrument</x:v>
      </x:c>
      <x:c r="D313" s="10" t="str">
        <x:v>I11 plan</x:v>
      </x:c>
      <x:c r="E313" s="10" t="str">
        <x:v>independent measurement path defined</x:v>
      </x:c>
      <x:c r="F313" s="10" t="str">
        <x:f>'Instrumentation'!M17</x:f>
        <x:v>PASS</x:v>
      </x:c>
      <x:c r="G313" s="10" t="str">
        <x:v>PASS</x:v>
      </x:c>
      <x:c r="H313" s="10" t="str">
        <x:f>IF(F313=G313,"PASS","FAIL")</x:f>
        <x:v>PASS</x:v>
      </x:c>
    </x:row>
    <x:row r="314">
      <x:c r="B314" s="10" t="str">
        <x:v>A0308</x:v>
      </x:c>
      <x:c r="C314" s="10" t="str">
        <x:v>instrument</x:v>
      </x:c>
      <x:c r="D314" s="10" t="str">
        <x:v>I11 source</x:v>
      </x:c>
      <x:c r="E314" s="10" t="str">
        <x:v>physical acceptance remains absent</x:v>
      </x:c>
      <x:c r="F314" s="10" t="str">
        <x:f>'Instrumentation'!N17</x:f>
        <x:v>OPEN</x:v>
      </x:c>
      <x:c r="G314" s="10" t="str">
        <x:v>OPEN</x:v>
      </x:c>
      <x:c r="H314" s="10" t="str">
        <x:f>IF(F314=G314,"PASS","FAIL")</x:f>
        <x:v>PASS</x:v>
      </x:c>
    </x:row>
    <x:row r="315">
      <x:c r="B315" s="10" t="str">
        <x:v>A0309</x:v>
      </x:c>
      <x:c r="C315" s="10" t="str">
        <x:v>instrument</x:v>
      </x:c>
      <x:c r="D315" s="10" t="str">
        <x:v>I12 plan</x:v>
      </x:c>
      <x:c r="E315" s="10" t="str">
        <x:v>independent measurement path defined</x:v>
      </x:c>
      <x:c r="F315" s="10" t="str">
        <x:f>'Instrumentation'!M18</x:f>
        <x:v>PASS</x:v>
      </x:c>
      <x:c r="G315" s="10" t="str">
        <x:v>PASS</x:v>
      </x:c>
      <x:c r="H315" s="10" t="str">
        <x:f>IF(F315=G315,"PASS","FAIL")</x:f>
        <x:v>PASS</x:v>
      </x:c>
    </x:row>
    <x:row r="316">
      <x:c r="B316" s="10" t="str">
        <x:v>A0310</x:v>
      </x:c>
      <x:c r="C316" s="10" t="str">
        <x:v>instrument</x:v>
      </x:c>
      <x:c r="D316" s="10" t="str">
        <x:v>I12 source</x:v>
      </x:c>
      <x:c r="E316" s="10" t="str">
        <x:v>physical acceptance remains absent</x:v>
      </x:c>
      <x:c r="F316" s="10" t="str">
        <x:f>'Instrumentation'!N18</x:f>
        <x:v>OPEN</x:v>
      </x:c>
      <x:c r="G316" s="10" t="str">
        <x:v>OPEN</x:v>
      </x:c>
      <x:c r="H316" s="10" t="str">
        <x:f>IF(F316=G316,"PASS","FAIL")</x:f>
        <x:v>PASS</x:v>
      </x:c>
    </x:row>
    <x:row r="317">
      <x:c r="B317" s="10" t="str">
        <x:v>A0311</x:v>
      </x:c>
      <x:c r="C317" s="10" t="str">
        <x:v>instrument</x:v>
      </x:c>
      <x:c r="D317" s="10" t="str">
        <x:v>I13 plan</x:v>
      </x:c>
      <x:c r="E317" s="10" t="str">
        <x:v>independent measurement path defined</x:v>
      </x:c>
      <x:c r="F317" s="10" t="str">
        <x:f>'Instrumentation'!M19</x:f>
        <x:v>PASS</x:v>
      </x:c>
      <x:c r="G317" s="10" t="str">
        <x:v>PASS</x:v>
      </x:c>
      <x:c r="H317" s="10" t="str">
        <x:f>IF(F317=G317,"PASS","FAIL")</x:f>
        <x:v>PASS</x:v>
      </x:c>
    </x:row>
    <x:row r="318">
      <x:c r="B318" s="10" t="str">
        <x:v>A0312</x:v>
      </x:c>
      <x:c r="C318" s="10" t="str">
        <x:v>instrument</x:v>
      </x:c>
      <x:c r="D318" s="10" t="str">
        <x:v>I13 source</x:v>
      </x:c>
      <x:c r="E318" s="10" t="str">
        <x:v>physical acceptance remains absent</x:v>
      </x:c>
      <x:c r="F318" s="10" t="str">
        <x:f>'Instrumentation'!N19</x:f>
        <x:v>OPEN</x:v>
      </x:c>
      <x:c r="G318" s="10" t="str">
        <x:v>OPEN</x:v>
      </x:c>
      <x:c r="H318" s="10" t="str">
        <x:f>IF(F318=G318,"PASS","FAIL")</x:f>
        <x:v>PASS</x:v>
      </x:c>
    </x:row>
    <x:row r="319">
      <x:c r="B319" s="10" t="str">
        <x:v>A0313</x:v>
      </x:c>
      <x:c r="C319" s="10" t="str">
        <x:v>instrument</x:v>
      </x:c>
      <x:c r="D319" s="10" t="str">
        <x:v>I14 plan</x:v>
      </x:c>
      <x:c r="E319" s="10" t="str">
        <x:v>independent measurement path defined</x:v>
      </x:c>
      <x:c r="F319" s="10" t="str">
        <x:f>'Instrumentation'!M20</x:f>
        <x:v>PASS</x:v>
      </x:c>
      <x:c r="G319" s="10" t="str">
        <x:v>PASS</x:v>
      </x:c>
      <x:c r="H319" s="10" t="str">
        <x:f>IF(F319=G319,"PASS","FAIL")</x:f>
        <x:v>PASS</x:v>
      </x:c>
    </x:row>
    <x:row r="320">
      <x:c r="B320" s="10" t="str">
        <x:v>A0314</x:v>
      </x:c>
      <x:c r="C320" s="10" t="str">
        <x:v>instrument</x:v>
      </x:c>
      <x:c r="D320" s="10" t="str">
        <x:v>I14 source</x:v>
      </x:c>
      <x:c r="E320" s="10" t="str">
        <x:v>physical acceptance remains absent</x:v>
      </x:c>
      <x:c r="F320" s="10" t="str">
        <x:f>'Instrumentation'!N20</x:f>
        <x:v>OPEN</x:v>
      </x:c>
      <x:c r="G320" s="10" t="str">
        <x:v>OPEN</x:v>
      </x:c>
      <x:c r="H320" s="10" t="str">
        <x:f>IF(F320=G320,"PASS","FAIL")</x:f>
        <x:v>PASS</x:v>
      </x:c>
    </x:row>
    <x:row r="321">
      <x:c r="B321" s="10" t="str">
        <x:v>A0315</x:v>
      </x:c>
      <x:c r="C321" s="10" t="str">
        <x:v>instrument</x:v>
      </x:c>
      <x:c r="D321" s="10" t="str">
        <x:v>I15 plan</x:v>
      </x:c>
      <x:c r="E321" s="10" t="str">
        <x:v>independent measurement path defined</x:v>
      </x:c>
      <x:c r="F321" s="10" t="str">
        <x:f>'Instrumentation'!M21</x:f>
        <x:v>PASS</x:v>
      </x:c>
      <x:c r="G321" s="10" t="str">
        <x:v>PASS</x:v>
      </x:c>
      <x:c r="H321" s="10" t="str">
        <x:f>IF(F321=G321,"PASS","FAIL")</x:f>
        <x:v>PASS</x:v>
      </x:c>
    </x:row>
    <x:row r="322">
      <x:c r="B322" s="10" t="str">
        <x:v>A0316</x:v>
      </x:c>
      <x:c r="C322" s="10" t="str">
        <x:v>instrument</x:v>
      </x:c>
      <x:c r="D322" s="10" t="str">
        <x:v>I15 source</x:v>
      </x:c>
      <x:c r="E322" s="10" t="str">
        <x:v>physical acceptance remains absent</x:v>
      </x:c>
      <x:c r="F322" s="10" t="str">
        <x:f>'Instrumentation'!N21</x:f>
        <x:v>OPEN</x:v>
      </x:c>
      <x:c r="G322" s="10" t="str">
        <x:v>OPEN</x:v>
      </x:c>
      <x:c r="H322" s="10" t="str">
        <x:f>IF(F322=G322,"PASS","FAIL")</x:f>
        <x:v>PASS</x:v>
      </x:c>
    </x:row>
    <x:row r="323">
      <x:c r="B323" s="10" t="str">
        <x:v>A0317</x:v>
      </x:c>
      <x:c r="C323" s="10" t="str">
        <x:v>instrument</x:v>
      </x:c>
      <x:c r="D323" s="10" t="str">
        <x:v>I16 plan</x:v>
      </x:c>
      <x:c r="E323" s="10" t="str">
        <x:v>independent measurement path defined</x:v>
      </x:c>
      <x:c r="F323" s="10" t="str">
        <x:f>'Instrumentation'!M22</x:f>
        <x:v>PASS</x:v>
      </x:c>
      <x:c r="G323" s="10" t="str">
        <x:v>PASS</x:v>
      </x:c>
      <x:c r="H323" s="10" t="str">
        <x:f>IF(F323=G323,"PASS","FAIL")</x:f>
        <x:v>PASS</x:v>
      </x:c>
    </x:row>
    <x:row r="324">
      <x:c r="B324" s="10" t="str">
        <x:v>A0318</x:v>
      </x:c>
      <x:c r="C324" s="10" t="str">
        <x:v>instrument</x:v>
      </x:c>
      <x:c r="D324" s="10" t="str">
        <x:v>I16 source</x:v>
      </x:c>
      <x:c r="E324" s="10" t="str">
        <x:v>physical acceptance remains absent</x:v>
      </x:c>
      <x:c r="F324" s="10" t="str">
        <x:f>'Instrumentation'!N22</x:f>
        <x:v>OPEN</x:v>
      </x:c>
      <x:c r="G324" s="10" t="str">
        <x:v>OPEN</x:v>
      </x:c>
      <x:c r="H324" s="10" t="str">
        <x:f>IF(F324=G324,"PASS","FAIL")</x:f>
        <x:v>PASS</x:v>
      </x:c>
    </x:row>
    <x:row r="325">
      <x:c r="B325" s="10" t="str">
        <x:v>A0319</x:v>
      </x:c>
      <x:c r="C325" s="10" t="str">
        <x:v>instrument</x:v>
      </x:c>
      <x:c r="D325" s="10" t="str">
        <x:v>I17 plan</x:v>
      </x:c>
      <x:c r="E325" s="10" t="str">
        <x:v>independent measurement path defined</x:v>
      </x:c>
      <x:c r="F325" s="10" t="str">
        <x:f>'Instrumentation'!M23</x:f>
        <x:v>PASS</x:v>
      </x:c>
      <x:c r="G325" s="10" t="str">
        <x:v>PASS</x:v>
      </x:c>
      <x:c r="H325" s="10" t="str">
        <x:f>IF(F325=G325,"PASS","FAIL")</x:f>
        <x:v>PASS</x:v>
      </x:c>
    </x:row>
    <x:row r="326">
      <x:c r="B326" s="10" t="str">
        <x:v>A0320</x:v>
      </x:c>
      <x:c r="C326" s="10" t="str">
        <x:v>instrument</x:v>
      </x:c>
      <x:c r="D326" s="10" t="str">
        <x:v>I17 source</x:v>
      </x:c>
      <x:c r="E326" s="10" t="str">
        <x:v>physical acceptance remains absent</x:v>
      </x:c>
      <x:c r="F326" s="10" t="str">
        <x:f>'Instrumentation'!N23</x:f>
        <x:v>OPEN</x:v>
      </x:c>
      <x:c r="G326" s="10" t="str">
        <x:v>OPEN</x:v>
      </x:c>
      <x:c r="H326" s="10" t="str">
        <x:f>IF(F326=G326,"PASS","FAIL")</x:f>
        <x:v>PASS</x:v>
      </x:c>
    </x:row>
    <x:row r="327">
      <x:c r="B327" s="10" t="str">
        <x:v>A0321</x:v>
      </x:c>
      <x:c r="C327" s="10" t="str">
        <x:v>instrument</x:v>
      </x:c>
      <x:c r="D327" s="10" t="str">
        <x:v>I18 plan</x:v>
      </x:c>
      <x:c r="E327" s="10" t="str">
        <x:v>independent measurement path defined</x:v>
      </x:c>
      <x:c r="F327" s="10" t="str">
        <x:f>'Instrumentation'!M24</x:f>
        <x:v>PASS</x:v>
      </x:c>
      <x:c r="G327" s="10" t="str">
        <x:v>PASS</x:v>
      </x:c>
      <x:c r="H327" s="10" t="str">
        <x:f>IF(F327=G327,"PASS","FAIL")</x:f>
        <x:v>PASS</x:v>
      </x:c>
    </x:row>
    <x:row r="328">
      <x:c r="B328" s="10" t="str">
        <x:v>A0322</x:v>
      </x:c>
      <x:c r="C328" s="10" t="str">
        <x:v>instrument</x:v>
      </x:c>
      <x:c r="D328" s="10" t="str">
        <x:v>I18 source</x:v>
      </x:c>
      <x:c r="E328" s="10" t="str">
        <x:v>physical acceptance remains absent</x:v>
      </x:c>
      <x:c r="F328" s="10" t="str">
        <x:f>'Instrumentation'!N24</x:f>
        <x:v>OPEN</x:v>
      </x:c>
      <x:c r="G328" s="10" t="str">
        <x:v>OPEN</x:v>
      </x:c>
      <x:c r="H328" s="10" t="str">
        <x:f>IF(F328=G328,"PASS","FAIL")</x:f>
        <x:v>PASS</x:v>
      </x:c>
    </x:row>
    <x:row r="329">
      <x:c r="B329" s="10" t="str">
        <x:v>A0323</x:v>
      </x:c>
      <x:c r="C329" s="10" t="str">
        <x:v>safety logic</x:v>
      </x:c>
      <x:c r="D329" s="10" t="str">
        <x:v>PTC-B A plan</x:v>
      </x:c>
      <x:c r="E329" s="10" t="str">
        <x:v>timing budgets hold</x:v>
      </x:c>
      <x:c r="F329" s="10" t="str">
        <x:f>'Safety Logic'!P7</x:f>
        <x:v>PASS</x:v>
      </x:c>
      <x:c r="G329" s="10" t="str">
        <x:v>PASS</x:v>
      </x:c>
      <x:c r="H329" s="10" t="str">
        <x:f>IF(F329=G329,"PASS","FAIL")</x:f>
        <x:v>PASS</x:v>
      </x:c>
    </x:row>
    <x:row r="330">
      <x:c r="B330" s="10" t="str">
        <x:v>A0324</x:v>
      </x:c>
      <x:c r="C330" s="10" t="str">
        <x:v>safety logic</x:v>
      </x:c>
      <x:c r="D330" s="10" t="str">
        <x:v>PTC-B A source</x:v>
      </x:c>
      <x:c r="E330" s="10" t="str">
        <x:v>physical proof remains absent</x:v>
      </x:c>
      <x:c r="F330" s="10" t="str">
        <x:f>'Safety Logic'!Q7</x:f>
        <x:v>OPEN</x:v>
      </x:c>
      <x:c r="G330" s="10" t="str">
        <x:v>OPEN</x:v>
      </x:c>
      <x:c r="H330" s="10" t="str">
        <x:f>IF(F330=G330,"PASS","FAIL")</x:f>
        <x:v>PASS</x:v>
      </x:c>
    </x:row>
    <x:row r="331">
      <x:c r="B331" s="10" t="str">
        <x:v>A0325</x:v>
      </x:c>
      <x:c r="C331" s="10" t="str">
        <x:v>safety logic</x:v>
      </x:c>
      <x:c r="D331" s="10" t="str">
        <x:v>PTC-B B plan</x:v>
      </x:c>
      <x:c r="E331" s="10" t="str">
        <x:v>timing budgets hold</x:v>
      </x:c>
      <x:c r="F331" s="10" t="str">
        <x:f>'Safety Logic'!P8</x:f>
        <x:v>PASS</x:v>
      </x:c>
      <x:c r="G331" s="10" t="str">
        <x:v>PASS</x:v>
      </x:c>
      <x:c r="H331" s="10" t="str">
        <x:f>IF(F331=G331,"PASS","FAIL")</x:f>
        <x:v>PASS</x:v>
      </x:c>
    </x:row>
    <x:row r="332">
      <x:c r="B332" s="10" t="str">
        <x:v>A0326</x:v>
      </x:c>
      <x:c r="C332" s="10" t="str">
        <x:v>safety logic</x:v>
      </x:c>
      <x:c r="D332" s="10" t="str">
        <x:v>PTC-B B source</x:v>
      </x:c>
      <x:c r="E332" s="10" t="str">
        <x:v>physical proof remains absent</x:v>
      </x:c>
      <x:c r="F332" s="10" t="str">
        <x:f>'Safety Logic'!Q8</x:f>
        <x:v>OPEN</x:v>
      </x:c>
      <x:c r="G332" s="10" t="str">
        <x:v>OPEN</x:v>
      </x:c>
      <x:c r="H332" s="10" t="str">
        <x:f>IF(F332=G332,"PASS","FAIL")</x:f>
        <x:v>PASS</x:v>
      </x:c>
    </x:row>
    <x:row r="333">
      <x:c r="B333" s="10" t="str">
        <x:v>A0327</x:v>
      </x:c>
      <x:c r="C333" s="10" t="str">
        <x:v>safety logic</x:v>
      </x:c>
      <x:c r="D333" s="10" t="str">
        <x:v>PTC-C A plan</x:v>
      </x:c>
      <x:c r="E333" s="10" t="str">
        <x:v>timing budgets hold</x:v>
      </x:c>
      <x:c r="F333" s="10" t="str">
        <x:f>'Safety Logic'!P9</x:f>
        <x:v>PASS</x:v>
      </x:c>
      <x:c r="G333" s="10" t="str">
        <x:v>PASS</x:v>
      </x:c>
      <x:c r="H333" s="10" t="str">
        <x:f>IF(F333=G333,"PASS","FAIL")</x:f>
        <x:v>PASS</x:v>
      </x:c>
    </x:row>
    <x:row r="334">
      <x:c r="B334" s="10" t="str">
        <x:v>A0328</x:v>
      </x:c>
      <x:c r="C334" s="10" t="str">
        <x:v>safety logic</x:v>
      </x:c>
      <x:c r="D334" s="10" t="str">
        <x:v>PTC-C A source</x:v>
      </x:c>
      <x:c r="E334" s="10" t="str">
        <x:v>physical proof remains absent</x:v>
      </x:c>
      <x:c r="F334" s="10" t="str">
        <x:f>'Safety Logic'!Q9</x:f>
        <x:v>OPEN</x:v>
      </x:c>
      <x:c r="G334" s="10" t="str">
        <x:v>OPEN</x:v>
      </x:c>
      <x:c r="H334" s="10" t="str">
        <x:f>IF(F334=G334,"PASS","FAIL")</x:f>
        <x:v>PASS</x:v>
      </x:c>
    </x:row>
    <x:row r="335">
      <x:c r="B335" s="10" t="str">
        <x:v>A0329</x:v>
      </x:c>
      <x:c r="C335" s="10" t="str">
        <x:v>safety logic</x:v>
      </x:c>
      <x:c r="D335" s="10" t="str">
        <x:v>PTC-C B plan</x:v>
      </x:c>
      <x:c r="E335" s="10" t="str">
        <x:v>timing budgets hold</x:v>
      </x:c>
      <x:c r="F335" s="10" t="str">
        <x:f>'Safety Logic'!P10</x:f>
        <x:v>PASS</x:v>
      </x:c>
      <x:c r="G335" s="10" t="str">
        <x:v>PASS</x:v>
      </x:c>
      <x:c r="H335" s="10" t="str">
        <x:f>IF(F335=G335,"PASS","FAIL")</x:f>
        <x:v>PASS</x:v>
      </x:c>
    </x:row>
    <x:row r="336">
      <x:c r="B336" s="10" t="str">
        <x:v>A0330</x:v>
      </x:c>
      <x:c r="C336" s="10" t="str">
        <x:v>safety logic</x:v>
      </x:c>
      <x:c r="D336" s="10" t="str">
        <x:v>PTC-C B source</x:v>
      </x:c>
      <x:c r="E336" s="10" t="str">
        <x:v>physical proof remains absent</x:v>
      </x:c>
      <x:c r="F336" s="10" t="str">
        <x:f>'Safety Logic'!Q10</x:f>
        <x:v>OPEN</x:v>
      </x:c>
      <x:c r="G336" s="10" t="str">
        <x:v>OPEN</x:v>
      </x:c>
      <x:c r="H336" s="10" t="str">
        <x:f>IF(F336=G336,"PASS","FAIL")</x:f>
        <x:v>PASS</x:v>
      </x:c>
    </x:row>
    <x:row r="337">
      <x:c r="B337" s="10" t="str">
        <x:v>A0331</x:v>
      </x:c>
      <x:c r="C337" s="10" t="str">
        <x:v>recovery</x:v>
      </x:c>
      <x:c r="D337" s="10" t="str">
        <x:v>PTC-B A plan</x:v>
      </x:c>
      <x:c r="E337" s="10" t="str">
        <x:v>capacity and packet rules hold</x:v>
      </x:c>
      <x:c r="F337" s="10" t="str">
        <x:f>'Recovery Evidence'!N7</x:f>
        <x:v>PASS</x:v>
      </x:c>
      <x:c r="G337" s="10" t="str">
        <x:v>PASS</x:v>
      </x:c>
      <x:c r="H337" s="10" t="str">
        <x:f>IF(F337=G337,"PASS","FAIL")</x:f>
        <x:v>PASS</x:v>
      </x:c>
    </x:row>
    <x:row r="338">
      <x:c r="B338" s="10" t="str">
        <x:v>A0332</x:v>
      </x:c>
      <x:c r="C338" s="10" t="str">
        <x:v>recovery</x:v>
      </x:c>
      <x:c r="D338" s="10" t="str">
        <x:v>PTC-B A source</x:v>
      </x:c>
      <x:c r="E338" s="10" t="str">
        <x:v>physical proof remains absent</x:v>
      </x:c>
      <x:c r="F338" s="10" t="str">
        <x:f>'Recovery Evidence'!O7</x:f>
        <x:v>OPEN</x:v>
      </x:c>
      <x:c r="G338" s="10" t="str">
        <x:v>OPEN</x:v>
      </x:c>
      <x:c r="H338" s="10" t="str">
        <x:f>IF(F338=G338,"PASS","FAIL")</x:f>
        <x:v>PASS</x:v>
      </x:c>
    </x:row>
    <x:row r="339">
      <x:c r="B339" s="10" t="str">
        <x:v>A0333</x:v>
      </x:c>
      <x:c r="C339" s="10" t="str">
        <x:v>recovery</x:v>
      </x:c>
      <x:c r="D339" s="10" t="str">
        <x:v>PTC-B B plan</x:v>
      </x:c>
      <x:c r="E339" s="10" t="str">
        <x:v>capacity and packet rules hold</x:v>
      </x:c>
      <x:c r="F339" s="10" t="str">
        <x:f>'Recovery Evidence'!N8</x:f>
        <x:v>PASS</x:v>
      </x:c>
      <x:c r="G339" s="10" t="str">
        <x:v>PASS</x:v>
      </x:c>
      <x:c r="H339" s="10" t="str">
        <x:f>IF(F339=G339,"PASS","FAIL")</x:f>
        <x:v>PASS</x:v>
      </x:c>
    </x:row>
    <x:row r="340">
      <x:c r="B340" s="10" t="str">
        <x:v>A0334</x:v>
      </x:c>
      <x:c r="C340" s="10" t="str">
        <x:v>recovery</x:v>
      </x:c>
      <x:c r="D340" s="10" t="str">
        <x:v>PTC-B B source</x:v>
      </x:c>
      <x:c r="E340" s="10" t="str">
        <x:v>physical proof remains absent</x:v>
      </x:c>
      <x:c r="F340" s="10" t="str">
        <x:f>'Recovery Evidence'!O8</x:f>
        <x:v>OPEN</x:v>
      </x:c>
      <x:c r="G340" s="10" t="str">
        <x:v>OPEN</x:v>
      </x:c>
      <x:c r="H340" s="10" t="str">
        <x:f>IF(F340=G340,"PASS","FAIL")</x:f>
        <x:v>PASS</x:v>
      </x:c>
    </x:row>
    <x:row r="341">
      <x:c r="B341" s="10" t="str">
        <x:v>A0335</x:v>
      </x:c>
      <x:c r="C341" s="10" t="str">
        <x:v>recovery</x:v>
      </x:c>
      <x:c r="D341" s="10" t="str">
        <x:v>PTC-C A plan</x:v>
      </x:c>
      <x:c r="E341" s="10" t="str">
        <x:v>capacity and packet rules hold</x:v>
      </x:c>
      <x:c r="F341" s="10" t="str">
        <x:f>'Recovery Evidence'!N9</x:f>
        <x:v>PASS</x:v>
      </x:c>
      <x:c r="G341" s="10" t="str">
        <x:v>PASS</x:v>
      </x:c>
      <x:c r="H341" s="10" t="str">
        <x:f>IF(F341=G341,"PASS","FAIL")</x:f>
        <x:v>PASS</x:v>
      </x:c>
    </x:row>
    <x:row r="342">
      <x:c r="B342" s="10" t="str">
        <x:v>A0336</x:v>
      </x:c>
      <x:c r="C342" s="10" t="str">
        <x:v>recovery</x:v>
      </x:c>
      <x:c r="D342" s="10" t="str">
        <x:v>PTC-C A source</x:v>
      </x:c>
      <x:c r="E342" s="10" t="str">
        <x:v>physical proof remains absent</x:v>
      </x:c>
      <x:c r="F342" s="10" t="str">
        <x:f>'Recovery Evidence'!O9</x:f>
        <x:v>OPEN</x:v>
      </x:c>
      <x:c r="G342" s="10" t="str">
        <x:v>OPEN</x:v>
      </x:c>
      <x:c r="H342" s="10" t="str">
        <x:f>IF(F342=G342,"PASS","FAIL")</x:f>
        <x:v>PASS</x:v>
      </x:c>
    </x:row>
    <x:row r="343">
      <x:c r="B343" s="10" t="str">
        <x:v>A0337</x:v>
      </x:c>
      <x:c r="C343" s="10" t="str">
        <x:v>recovery</x:v>
      </x:c>
      <x:c r="D343" s="10" t="str">
        <x:v>PTC-C B plan</x:v>
      </x:c>
      <x:c r="E343" s="10" t="str">
        <x:v>capacity and packet rules hold</x:v>
      </x:c>
      <x:c r="F343" s="10" t="str">
        <x:f>'Recovery Evidence'!N10</x:f>
        <x:v>PASS</x:v>
      </x:c>
      <x:c r="G343" s="10" t="str">
        <x:v>PASS</x:v>
      </x:c>
      <x:c r="H343" s="10" t="str">
        <x:f>IF(F343=G343,"PASS","FAIL")</x:f>
        <x:v>PASS</x:v>
      </x:c>
    </x:row>
    <x:row r="344">
      <x:c r="B344" s="10" t="str">
        <x:v>A0338</x:v>
      </x:c>
      <x:c r="C344" s="10" t="str">
        <x:v>recovery</x:v>
      </x:c>
      <x:c r="D344" s="10" t="str">
        <x:v>PTC-C B source</x:v>
      </x:c>
      <x:c r="E344" s="10" t="str">
        <x:v>physical proof remains absent</x:v>
      </x:c>
      <x:c r="F344" s="10" t="str">
        <x:f>'Recovery Evidence'!O10</x:f>
        <x:v>OPEN</x:v>
      </x:c>
      <x:c r="G344" s="10" t="str">
        <x:v>OPEN</x:v>
      </x:c>
      <x:c r="H344" s="10" t="str">
        <x:f>IF(F344=G344,"PASS","FAIL")</x:f>
        <x:v>PASS</x:v>
      </x:c>
    </x:row>
    <x:row r="345">
      <x:c r="B345" s="10" t="str">
        <x:v>A0339</x:v>
      </x:c>
      <x:c r="C345" s="10" t="str">
        <x:v>schedule</x:v>
      </x:c>
      <x:c r="D345" s="10" t="str">
        <x:v>source and authority freeze</x:v>
      </x:c>
      <x:c r="E345" s="10" t="str">
        <x:v>phase ends inside month thirty</x:v>
      </x:c>
      <x:c r="F345" s="10" t="str">
        <x:f>'Schedule'!J7</x:f>
        <x:v>PASS</x:v>
      </x:c>
      <x:c r="G345" s="10" t="str">
        <x:v>PASS</x:v>
      </x:c>
      <x:c r="H345" s="10" t="str">
        <x:f>IF(F345=G345,"PASS","FAIL")</x:f>
        <x:v>PASS</x:v>
      </x:c>
    </x:row>
    <x:row r="346">
      <x:c r="B346" s="10" t="str">
        <x:v>A0340</x:v>
      </x:c>
      <x:c r="C346" s="10" t="str">
        <x:v>schedule</x:v>
      </x:c>
      <x:c r="D346" s="10" t="str">
        <x:v>cell design release</x:v>
      </x:c>
      <x:c r="E346" s="10" t="str">
        <x:v>phase ends inside month thirty</x:v>
      </x:c>
      <x:c r="F346" s="10" t="str">
        <x:f>'Schedule'!J8</x:f>
        <x:v>PASS</x:v>
      </x:c>
      <x:c r="G346" s="10" t="str">
        <x:v>PASS</x:v>
      </x:c>
      <x:c r="H346" s="10" t="str">
        <x:f>IF(F346=G346,"PASS","FAIL")</x:f>
        <x:v>PASS</x:v>
      </x:c>
    </x:row>
    <x:row r="347">
      <x:c r="B347" s="10" t="str">
        <x:v>A0341</x:v>
      </x:c>
      <x:c r="C347" s="10" t="str">
        <x:v>schedule</x:v>
      </x:c>
      <x:c r="D347" s="10" t="str">
        <x:v>civil works and containment</x:v>
      </x:c>
      <x:c r="E347" s="10" t="str">
        <x:v>phase ends inside month thirty</x:v>
      </x:c>
      <x:c r="F347" s="10" t="str">
        <x:f>'Schedule'!J9</x:f>
        <x:v>PASS</x:v>
      </x:c>
      <x:c r="G347" s="10" t="str">
        <x:v>PASS</x:v>
      </x:c>
      <x:c r="H347" s="10" t="str">
        <x:f>IF(F347=G347,"PASS","FAIL")</x:f>
        <x:v>PASS</x:v>
      </x:c>
    </x:row>
    <x:row r="348">
      <x:c r="B348" s="10" t="str">
        <x:v>A0342</x:v>
      </x:c>
      <x:c r="C348" s="10" t="str">
        <x:v>schedule</x:v>
      </x:c>
      <x:c r="D348" s="10" t="str">
        <x:v>recovery, sensing and safety energy</x:v>
      </x:c>
      <x:c r="E348" s="10" t="str">
        <x:v>phase ends inside month thirty</x:v>
      </x:c>
      <x:c r="F348" s="10" t="str">
        <x:f>'Schedule'!J10</x:f>
        <x:v>PASS</x:v>
      </x:c>
      <x:c r="G348" s="10" t="str">
        <x:v>PASS</x:v>
      </x:c>
      <x:c r="H348" s="10" t="str">
        <x:f>IF(F348=G348,"PASS","FAIL")</x:f>
        <x:v>PASS</x:v>
      </x:c>
    </x:row>
    <x:row r="349">
      <x:c r="B349" s="10" t="str">
        <x:v>A0343</x:v>
      </x:c>
      <x:c r="C349" s="10" t="str">
        <x:v>schedule</x:v>
      </x:c>
      <x:c r="D349" s="10" t="str">
        <x:v>component and cold-flow trials</x:v>
      </x:c>
      <x:c r="E349" s="10" t="str">
        <x:v>phase ends inside month thirty</x:v>
      </x:c>
      <x:c r="F349" s="10" t="str">
        <x:f>'Schedule'!J11</x:f>
        <x:v>PASS</x:v>
      </x:c>
      <x:c r="G349" s="10" t="str">
        <x:v>PASS</x:v>
      </x:c>
      <x:c r="H349" s="10" t="str">
        <x:f>IF(F349=G349,"PASS","FAIL")</x:f>
        <x:v>PASS</x:v>
      </x:c>
    </x:row>
    <x:row r="350">
      <x:c r="B350" s="10" t="str">
        <x:v>A0344</x:v>
      </x:c>
      <x:c r="C350" s="10" t="str">
        <x:v>schedule</x:v>
      </x:c>
      <x:c r="D350" s="10" t="str">
        <x:v>live-source limited-scale trials</x:v>
      </x:c>
      <x:c r="E350" s="10" t="str">
        <x:v>phase ends inside month thirty</x:v>
      </x:c>
      <x:c r="F350" s="10" t="str">
        <x:f>'Schedule'!J12</x:f>
        <x:v>PASS</x:v>
      </x:c>
      <x:c r="G350" s="10" t="str">
        <x:v>PASS</x:v>
      </x:c>
      <x:c r="H350" s="10" t="str">
        <x:f>IF(F350=G350,"PASS","FAIL")</x:f>
        <x:v>PASS</x:v>
      </x:c>
    </x:row>
    <x:row r="351">
      <x:c r="B351" s="10" t="str">
        <x:v>A0345</x:v>
      </x:c>
      <x:c r="C351" s="10" t="str">
        <x:v>schedule</x:v>
      </x:c>
      <x:c r="D351" s="10" t="str">
        <x:v>root-site event campaign</x:v>
      </x:c>
      <x:c r="E351" s="10" t="str">
        <x:v>phase ends inside month thirty</x:v>
      </x:c>
      <x:c r="F351" s="10" t="str">
        <x:f>'Schedule'!J13</x:f>
        <x:v>PASS</x:v>
      </x:c>
      <x:c r="G351" s="10" t="str">
        <x:v>PASS</x:v>
      </x:c>
      <x:c r="H351" s="10" t="str">
        <x:f>IF(F351=G351,"PASS","FAIL")</x:f>
        <x:v>PASS</x:v>
      </x:c>
    </x:row>
    <x:row r="352">
      <x:c r="B352" s="10" t="str">
        <x:v>A0346</x:v>
      </x:c>
      <x:c r="C352" s="10" t="str">
        <x:v>schedule</x:v>
      </x:c>
      <x:c r="D352" s="10" t="str">
        <x:v>propagation and full-compartment trials</x:v>
      </x:c>
      <x:c r="E352" s="10" t="str">
        <x:v>phase ends inside month thirty</x:v>
      </x:c>
      <x:c r="F352" s="10" t="str">
        <x:f>'Schedule'!J14</x:f>
        <x:v>PASS</x:v>
      </x:c>
      <x:c r="G352" s="10" t="str">
        <x:v>PASS</x:v>
      </x:c>
      <x:c r="H352" s="10" t="str">
        <x:f>IF(F352=G352,"PASS","FAIL")</x:f>
        <x:v>PASS</x:v>
      </x:c>
    </x:row>
    <x:row r="353">
      <x:c r="B353" s="10" t="str">
        <x:v>A0347</x:v>
      </x:c>
      <x:c r="C353" s="10" t="str">
        <x:v>schedule</x:v>
      </x:c>
      <x:c r="D353" s="10" t="str">
        <x:v>independent acceptance board</x:v>
      </x:c>
      <x:c r="E353" s="10" t="str">
        <x:v>phase ends inside month thirty</x:v>
      </x:c>
      <x:c r="F353" s="10" t="str">
        <x:f>'Schedule'!J15</x:f>
        <x:v>PASS</x:v>
      </x:c>
      <x:c r="G353" s="10" t="str">
        <x:v>PASS</x:v>
      </x:c>
      <x:c r="H353" s="10" t="str">
        <x:f>IF(F353=G353,"PASS","FAIL")</x:f>
        <x:v>PASS</x:v>
      </x:c>
    </x:row>
    <x:row r="354">
      <x:c r="B354" s="10" t="str">
        <x:v>A0348</x:v>
      </x:c>
      <x:c r="C354" s="10" t="str">
        <x:v>capital</x:v>
      </x:c>
      <x:c r="D354" s="10" t="str">
        <x:v>Capital row 12</x:v>
      </x:c>
      <x:c r="E354" s="10" t="str">
        <x:v>reconciliation passes</x:v>
      </x:c>
      <x:c r="F354" s="10" t="str">
        <x:f>'Capital'!G12</x:f>
        <x:v>PASS</x:v>
      </x:c>
      <x:c r="G354" s="10" t="str">
        <x:v>PASS</x:v>
      </x:c>
      <x:c r="H354" s="10" t="str">
        <x:f>IF(F354=G354,"PASS","FAIL")</x:f>
        <x:v>PASS</x:v>
      </x:c>
    </x:row>
    <x:row r="355">
      <x:c r="B355" s="10" t="str">
        <x:v>A0349</x:v>
      </x:c>
      <x:c r="C355" s="10" t="str">
        <x:v>capital</x:v>
      </x:c>
      <x:c r="D355" s="10" t="str">
        <x:v>Capital row 18</x:v>
      </x:c>
      <x:c r="E355" s="10" t="str">
        <x:v>reconciliation passes</x:v>
      </x:c>
      <x:c r="F355" s="10" t="str">
        <x:f>'Capital'!G18</x:f>
        <x:v>PASS</x:v>
      </x:c>
      <x:c r="G355" s="10" t="str">
        <x:v>PASS</x:v>
      </x:c>
      <x:c r="H355" s="10" t="str">
        <x:f>IF(F355=G355,"PASS","FAIL")</x:f>
        <x:v>PASS</x:v>
      </x:c>
    </x:row>
    <x:row r="356">
      <x:c r="B356" s="10" t="str">
        <x:v>A0350</x:v>
      </x:c>
      <x:c r="C356" s="10" t="str">
        <x:v>capital</x:v>
      </x:c>
      <x:c r="D356" s="10" t="str">
        <x:v>Capital row 20</x:v>
      </x:c>
      <x:c r="E356" s="10" t="str">
        <x:v>reconciliation passes</x:v>
      </x:c>
      <x:c r="F356" s="10" t="str">
        <x:f>'Capital'!G20</x:f>
        <x:v>PASS</x:v>
      </x:c>
      <x:c r="G356" s="10" t="str">
        <x:v>PASS</x:v>
      </x:c>
      <x:c r="H356" s="10" t="str">
        <x:f>IF(F356=G356,"PASS","FAIL")</x:f>
        <x:v>PASS</x:v>
      </x:c>
    </x:row>
    <x:row r="357">
      <x:c r="B357" s="10" t="str">
        <x:v>A0351</x:v>
      </x:c>
      <x:c r="C357" s="10" t="str">
        <x:v>capital</x:v>
      </x:c>
      <x:c r="D357" s="10" t="str">
        <x:v>Capital row 22</x:v>
      </x:c>
      <x:c r="E357" s="10" t="str">
        <x:v>reconciliation passes</x:v>
      </x:c>
      <x:c r="F357" s="10" t="str">
        <x:f>'Capital'!G22</x:f>
        <x:v>PASS</x:v>
      </x:c>
      <x:c r="G357" s="10" t="str">
        <x:v>PASS</x:v>
      </x:c>
      <x:c r="H357" s="10" t="str">
        <x:f>IF(F357=G357,"PASS","FAIL")</x:f>
        <x:v>PASS</x:v>
      </x:c>
    </x:row>
    <x:row r="358">
      <x:c r="B358" s="10" t="str">
        <x:v>A0352</x:v>
      </x:c>
      <x:c r="C358" s="10" t="str">
        <x:v>capital</x:v>
      </x:c>
      <x:c r="D358" s="10" t="str">
        <x:v>Capital row 23</x:v>
      </x:c>
      <x:c r="E358" s="10" t="str">
        <x:v>reconciliation passes</x:v>
      </x:c>
      <x:c r="F358" s="10" t="str">
        <x:f>'Capital'!G23</x:f>
        <x:v>PASS</x:v>
      </x:c>
      <x:c r="G358" s="10" t="str">
        <x:v>PASS</x:v>
      </x:c>
      <x:c r="H358" s="10" t="str">
        <x:f>IF(F358=G358,"PASS","FAIL")</x:f>
        <x:v>PASS</x:v>
      </x:c>
    </x:row>
    <x:row r="359">
      <x:c r="B359" s="10" t="str">
        <x:v>A0353</x:v>
      </x:c>
      <x:c r="C359" s="10" t="str">
        <x:v>capital</x:v>
      </x:c>
      <x:c r="D359" s="10" t="str">
        <x:v>Capital row 25</x:v>
      </x:c>
      <x:c r="E359" s="10" t="str">
        <x:v>reconciliation passes</x:v>
      </x:c>
      <x:c r="F359" s="10" t="str">
        <x:f>'Capital'!G25</x:f>
        <x:v>PASS</x:v>
      </x:c>
      <x:c r="G359" s="10" t="str">
        <x:v>PASS</x:v>
      </x:c>
      <x:c r="H359" s="10" t="str">
        <x:f>IF(F359=G359,"PASS","FAIL")</x:f>
        <x:v>PASS</x:v>
      </x:c>
    </x:row>
    <x:row r="360">
      <x:c r="B360" s="10" t="str">
        <x:v>A0354</x:v>
      </x:c>
      <x:c r="C360" s="10" t="str">
        <x:v>capital</x:v>
      </x:c>
      <x:c r="D360" s="10" t="str">
        <x:v>Capital row 26</x:v>
      </x:c>
      <x:c r="E360" s="10" t="str">
        <x:v>reconciliation passes</x:v>
      </x:c>
      <x:c r="F360" s="10" t="str">
        <x:f>'Capital'!G26</x:f>
        <x:v>PASS</x:v>
      </x:c>
      <x:c r="G360" s="10" t="str">
        <x:v>PASS</x:v>
      </x:c>
      <x:c r="H360" s="10" t="str">
        <x:f>IF(F360=G360,"PASS","FAIL")</x:f>
        <x:v>PASS</x:v>
      </x:c>
    </x:row>
    <x:row r="361">
      <x:c r="B361" s="10" t="str">
        <x:v>A0355</x:v>
      </x:c>
      <x:c r="C361" s="10" t="str">
        <x:v>annual</x:v>
      </x:c>
      <x:c r="D361" s="10" t="str">
        <x:v>Annual Support row 11</x:v>
      </x:c>
      <x:c r="E361" s="10" t="str">
        <x:v>reconciliation passes</x:v>
      </x:c>
      <x:c r="F361" s="10" t="str">
        <x:f>'Annual Support'!G11</x:f>
        <x:v>PASS</x:v>
      </x:c>
      <x:c r="G361" s="10" t="str">
        <x:v>PASS</x:v>
      </x:c>
      <x:c r="H361" s="10" t="str">
        <x:f>IF(F361=G361,"PASS","FAIL")</x:f>
        <x:v>PASS</x:v>
      </x:c>
    </x:row>
    <x:row r="362">
      <x:c r="B362" s="10" t="str">
        <x:v>A0356</x:v>
      </x:c>
      <x:c r="C362" s="10" t="str">
        <x:v>annual</x:v>
      </x:c>
      <x:c r="D362" s="10" t="str">
        <x:v>Annual Support row 17</x:v>
      </x:c>
      <x:c r="E362" s="10" t="str">
        <x:v>reconciliation passes</x:v>
      </x:c>
      <x:c r="F362" s="10" t="str">
        <x:f>'Annual Support'!G17</x:f>
        <x:v>PASS</x:v>
      </x:c>
      <x:c r="G362" s="10" t="str">
        <x:v>PASS</x:v>
      </x:c>
      <x:c r="H362" s="10" t="str">
        <x:f>IF(F362=G362,"PASS","FAIL")</x:f>
        <x:v>PASS</x:v>
      </x:c>
    </x:row>
    <x:row r="363">
      <x:c r="B363" s="10" t="str">
        <x:v>A0357</x:v>
      </x:c>
      <x:c r="C363" s="10" t="str">
        <x:v>annual</x:v>
      </x:c>
      <x:c r="D363" s="10" t="str">
        <x:v>Annual Support row 19</x:v>
      </x:c>
      <x:c r="E363" s="10" t="str">
        <x:v>reconciliation passes</x:v>
      </x:c>
      <x:c r="F363" s="10" t="str">
        <x:f>'Annual Support'!G19</x:f>
        <x:v>PASS</x:v>
      </x:c>
      <x:c r="G363" s="10" t="str">
        <x:v>PASS</x:v>
      </x:c>
      <x:c r="H363" s="10" t="str">
        <x:f>IF(F363=G363,"PASS","FAIL")</x:f>
        <x:v>PASS</x:v>
      </x:c>
    </x:row>
    <x:row r="364">
      <x:c r="B364" s="10" t="str">
        <x:v>A0358</x:v>
      </x:c>
      <x:c r="C364" s="10" t="str">
        <x:v>annual</x:v>
      </x:c>
      <x:c r="D364" s="10" t="str">
        <x:v>Annual Support row 21</x:v>
      </x:c>
      <x:c r="E364" s="10" t="str">
        <x:v>reconciliation passes</x:v>
      </x:c>
      <x:c r="F364" s="10" t="str">
        <x:f>'Annual Support'!G21</x:f>
        <x:v>PASS</x:v>
      </x:c>
      <x:c r="G364" s="10" t="str">
        <x:v>PASS</x:v>
      </x:c>
      <x:c r="H364" s="10" t="str">
        <x:f>IF(F364=G364,"PASS","FAIL")</x:f>
        <x:v>PASS</x:v>
      </x:c>
    </x:row>
    <x:row r="365">
      <x:c r="B365" s="10" t="str">
        <x:v>A0359</x:v>
      </x:c>
      <x:c r="C365" s="10" t="str">
        <x:v>annual</x:v>
      </x:c>
      <x:c r="D365" s="10" t="str">
        <x:v>Annual Support row 22</x:v>
      </x:c>
      <x:c r="E365" s="10" t="str">
        <x:v>reconciliation passes</x:v>
      </x:c>
      <x:c r="F365" s="10" t="str">
        <x:f>'Annual Support'!G22</x:f>
        <x:v>PASS</x:v>
      </x:c>
      <x:c r="G365" s="10" t="str">
        <x:v>PASS</x:v>
      </x:c>
      <x:c r="H365" s="10" t="str">
        <x:f>IF(F365=G365,"PASS","FAIL")</x:f>
        <x:v>PASS</x:v>
      </x:c>
    </x:row>
    <x:row r="366">
      <x:c r="B366" s="10" t="str">
        <x:v>A0360</x:v>
      </x:c>
      <x:c r="C366" s="10" t="str">
        <x:v>annual</x:v>
      </x:c>
      <x:c r="D366" s="10" t="str">
        <x:v>Annual Support row 24</x:v>
      </x:c>
      <x:c r="E366" s="10" t="str">
        <x:v>reconciliation passes</x:v>
      </x:c>
      <x:c r="F366" s="10" t="str">
        <x:f>'Annual Support'!G24</x:f>
        <x:v>PASS</x:v>
      </x:c>
      <x:c r="G366" s="10" t="str">
        <x:v>PASS</x:v>
      </x:c>
      <x:c r="H366" s="10" t="str">
        <x:f>IF(F366=G366,"PASS","FAIL")</x:f>
        <x:v>PASS</x:v>
      </x:c>
    </x:row>
    <x:row r="367">
      <x:c r="B367" s="10" t="str">
        <x:v>A0361</x:v>
      </x:c>
      <x:c r="C367" s="10" t="str">
        <x:v>annual</x:v>
      </x:c>
      <x:c r="D367" s="10" t="str">
        <x:v>Annual Support row 25</x:v>
      </x:c>
      <x:c r="E367" s="10" t="str">
        <x:v>reconciliation passes</x:v>
      </x:c>
      <x:c r="F367" s="10" t="str">
        <x:f>'Annual Support'!G25</x:f>
        <x:v>PASS</x:v>
      </x:c>
      <x:c r="G367" s="10" t="str">
        <x:v>PASS</x:v>
      </x:c>
      <x:c r="H367" s="10" t="str">
        <x:f>IF(F367=G367,"PASS","FAIL")</x:f>
        <x:v>PASS</x:v>
      </x:c>
    </x:row>
    <x:row r="368">
      <x:c r="B368" s="10" t="str">
        <x:v>A0362</x:v>
      </x:c>
      <x:c r="C368" s="10" t="str">
        <x:v>release gate</x:v>
      </x:c>
      <x:c r="D368" s="10" t="str">
        <x:v>Gate row 7</x:v>
      </x:c>
      <x:c r="E368" s="10" t="str">
        <x:v>state matches gate class</x:v>
      </x:c>
      <x:c r="F368" s="10" t="str">
        <x:f>'Release Gates'!I7</x:f>
        <x:v>PASS</x:v>
      </x:c>
      <x:c r="G368" s="10" t="str">
        <x:v>PASS</x:v>
      </x:c>
      <x:c r="H368" s="10" t="str">
        <x:f>IF(F368=G368,"PASS","FAIL")</x:f>
        <x:v>PASS</x:v>
      </x:c>
    </x:row>
    <x:row r="369">
      <x:c r="B369" s="10" t="str">
        <x:v>A0363</x:v>
      </x:c>
      <x:c r="C369" s="10" t="str">
        <x:v>release gate</x:v>
      </x:c>
      <x:c r="D369" s="10" t="str">
        <x:v>Gate row 8</x:v>
      </x:c>
      <x:c r="E369" s="10" t="str">
        <x:v>state matches gate class</x:v>
      </x:c>
      <x:c r="F369" s="10" t="str">
        <x:f>'Release Gates'!I8</x:f>
        <x:v>PASS</x:v>
      </x:c>
      <x:c r="G369" s="10" t="str">
        <x:v>PASS</x:v>
      </x:c>
      <x:c r="H369" s="10" t="str">
        <x:f>IF(F369=G369,"PASS","FAIL")</x:f>
        <x:v>PASS</x:v>
      </x:c>
    </x:row>
    <x:row r="370">
      <x:c r="B370" s="10" t="str">
        <x:v>A0364</x:v>
      </x:c>
      <x:c r="C370" s="10" t="str">
        <x:v>release gate</x:v>
      </x:c>
      <x:c r="D370" s="10" t="str">
        <x:v>Gate row 9</x:v>
      </x:c>
      <x:c r="E370" s="10" t="str">
        <x:v>state matches gate class</x:v>
      </x:c>
      <x:c r="F370" s="10" t="str">
        <x:f>'Release Gates'!I9</x:f>
        <x:v>PASS</x:v>
      </x:c>
      <x:c r="G370" s="10" t="str">
        <x:v>PASS</x:v>
      </x:c>
      <x:c r="H370" s="10" t="str">
        <x:f>IF(F370=G370,"PASS","FAIL")</x:f>
        <x:v>PASS</x:v>
      </x:c>
    </x:row>
    <x:row r="371">
      <x:c r="B371" s="10" t="str">
        <x:v>A0365</x:v>
      </x:c>
      <x:c r="C371" s="10" t="str">
        <x:v>release gate</x:v>
      </x:c>
      <x:c r="D371" s="10" t="str">
        <x:v>Gate row 10</x:v>
      </x:c>
      <x:c r="E371" s="10" t="str">
        <x:v>state matches gate class</x:v>
      </x:c>
      <x:c r="F371" s="10" t="str">
        <x:f>'Release Gates'!I10</x:f>
        <x:v>PASS</x:v>
      </x:c>
      <x:c r="G371" s="10" t="str">
        <x:v>PASS</x:v>
      </x:c>
      <x:c r="H371" s="10" t="str">
        <x:f>IF(F371=G371,"PASS","FAIL")</x:f>
        <x:v>PASS</x:v>
      </x:c>
    </x:row>
    <x:row r="372">
      <x:c r="B372" s="10" t="str">
        <x:v>A0366</x:v>
      </x:c>
      <x:c r="C372" s="10" t="str">
        <x:v>release gate</x:v>
      </x:c>
      <x:c r="D372" s="10" t="str">
        <x:v>Gate row 11</x:v>
      </x:c>
      <x:c r="E372" s="10" t="str">
        <x:v>state matches gate class</x:v>
      </x:c>
      <x:c r="F372" s="10" t="str">
        <x:f>'Release Gates'!I11</x:f>
        <x:v>PASS</x:v>
      </x:c>
      <x:c r="G372" s="10" t="str">
        <x:v>PASS</x:v>
      </x:c>
      <x:c r="H372" s="10" t="str">
        <x:f>IF(F372=G372,"PASS","FAIL")</x:f>
        <x:v>PASS</x:v>
      </x:c>
    </x:row>
    <x:row r="373">
      <x:c r="B373" s="10" t="str">
        <x:v>A0367</x:v>
      </x:c>
      <x:c r="C373" s="10" t="str">
        <x:v>release gate</x:v>
      </x:c>
      <x:c r="D373" s="10" t="str">
        <x:v>Gate row 12</x:v>
      </x:c>
      <x:c r="E373" s="10" t="str">
        <x:v>state matches gate class</x:v>
      </x:c>
      <x:c r="F373" s="10" t="str">
        <x:f>'Release Gates'!I12</x:f>
        <x:v>PASS</x:v>
      </x:c>
      <x:c r="G373" s="10" t="str">
        <x:v>PASS</x:v>
      </x:c>
      <x:c r="H373" s="10" t="str">
        <x:f>IF(F373=G373,"PASS","FAIL")</x:f>
        <x:v>PASS</x:v>
      </x:c>
    </x:row>
    <x:row r="374">
      <x:c r="B374" s="10" t="str">
        <x:v>A0368</x:v>
      </x:c>
      <x:c r="C374" s="10" t="str">
        <x:v>release gate</x:v>
      </x:c>
      <x:c r="D374" s="10" t="str">
        <x:v>Gate row 13</x:v>
      </x:c>
      <x:c r="E374" s="10" t="str">
        <x:v>state matches gate class</x:v>
      </x:c>
      <x:c r="F374" s="10" t="str">
        <x:f>'Release Gates'!I13</x:f>
        <x:v>PASS</x:v>
      </x:c>
      <x:c r="G374" s="10" t="str">
        <x:v>PASS</x:v>
      </x:c>
      <x:c r="H374" s="10" t="str">
        <x:f>IF(F374=G374,"PASS","FAIL")</x:f>
        <x:v>PASS</x:v>
      </x:c>
    </x:row>
    <x:row r="375">
      <x:c r="B375" s="10" t="str">
        <x:v>A0369</x:v>
      </x:c>
      <x:c r="C375" s="10" t="str">
        <x:v>release gate</x:v>
      </x:c>
      <x:c r="D375" s="10" t="str">
        <x:v>Gate row 14</x:v>
      </x:c>
      <x:c r="E375" s="10" t="str">
        <x:v>state matches gate class</x:v>
      </x:c>
      <x:c r="F375" s="10" t="str">
        <x:f>'Release Gates'!I14</x:f>
        <x:v>PASS</x:v>
      </x:c>
      <x:c r="G375" s="10" t="str">
        <x:v>PASS</x:v>
      </x:c>
      <x:c r="H375" s="10" t="str">
        <x:f>IF(F375=G375,"PASS","FAIL")</x:f>
        <x:v>PASS</x:v>
      </x:c>
    </x:row>
    <x:row r="376">
      <x:c r="B376" s="10" t="str">
        <x:v>A0370</x:v>
      </x:c>
      <x:c r="C376" s="10" t="str">
        <x:v>release gate</x:v>
      </x:c>
      <x:c r="D376" s="10" t="str">
        <x:v>Gate row 15</x:v>
      </x:c>
      <x:c r="E376" s="10" t="str">
        <x:v>state matches gate class</x:v>
      </x:c>
      <x:c r="F376" s="10" t="str">
        <x:f>'Release Gates'!I15</x:f>
        <x:v>PASS</x:v>
      </x:c>
      <x:c r="G376" s="10" t="str">
        <x:v>PASS</x:v>
      </x:c>
      <x:c r="H376" s="10" t="str">
        <x:f>IF(F376=G376,"PASS","FAIL")</x:f>
        <x:v>PASS</x:v>
      </x:c>
    </x:row>
    <x:row r="377">
      <x:c r="B377" s="10" t="str">
        <x:v>A0371</x:v>
      </x:c>
      <x:c r="C377" s="10" t="str">
        <x:v>release gate</x:v>
      </x:c>
      <x:c r="D377" s="10" t="str">
        <x:v>Gate row 16</x:v>
      </x:c>
      <x:c r="E377" s="10" t="str">
        <x:v>state matches gate class</x:v>
      </x:c>
      <x:c r="F377" s="10" t="str">
        <x:f>'Release Gates'!I16</x:f>
        <x:v>PASS</x:v>
      </x:c>
      <x:c r="G377" s="10" t="str">
        <x:v>PASS</x:v>
      </x:c>
      <x:c r="H377" s="10" t="str">
        <x:f>IF(F377=G377,"PASS","FAIL")</x:f>
        <x:v>PASS</x:v>
      </x:c>
    </x:row>
    <x:row r="378">
      <x:c r="B378" s="10" t="str">
        <x:v>A0372</x:v>
      </x:c>
      <x:c r="C378" s="10" t="str">
        <x:v>release gate</x:v>
      </x:c>
      <x:c r="D378" s="10" t="str">
        <x:v>Gate row 17</x:v>
      </x:c>
      <x:c r="E378" s="10" t="str">
        <x:v>state matches gate class</x:v>
      </x:c>
      <x:c r="F378" s="10" t="str">
        <x:f>'Release Gates'!I17</x:f>
        <x:v>PASS</x:v>
      </x:c>
      <x:c r="G378" s="10" t="str">
        <x:v>PASS</x:v>
      </x:c>
      <x:c r="H378" s="10" t="str">
        <x:f>IF(F378=G378,"PASS","FAIL")</x:f>
        <x:v>PASS</x:v>
      </x:c>
    </x:row>
    <x:row r="379">
      <x:c r="B379" s="10" t="str">
        <x:v>A0373</x:v>
      </x:c>
      <x:c r="C379" s="10" t="str">
        <x:v>release gate</x:v>
      </x:c>
      <x:c r="D379" s="10" t="str">
        <x:v>Gate row 18</x:v>
      </x:c>
      <x:c r="E379" s="10" t="str">
        <x:v>state matches gate class</x:v>
      </x:c>
      <x:c r="F379" s="10" t="str">
        <x:f>'Release Gates'!I18</x:f>
        <x:v>PASS</x:v>
      </x:c>
      <x:c r="G379" s="10" t="str">
        <x:v>PASS</x:v>
      </x:c>
      <x:c r="H379" s="10" t="str">
        <x:f>IF(F379=G379,"PASS","FAIL")</x:f>
        <x:v>PASS</x:v>
      </x:c>
    </x:row>
    <x:row r="380">
      <x:c r="B380" s="10" t="str">
        <x:v>A0374</x:v>
      </x:c>
      <x:c r="C380" s="10" t="str">
        <x:v>release gate</x:v>
      </x:c>
      <x:c r="D380" s="10" t="str">
        <x:v>Gate row 19</x:v>
      </x:c>
      <x:c r="E380" s="10" t="str">
        <x:v>state matches gate class</x:v>
      </x:c>
      <x:c r="F380" s="10" t="str">
        <x:f>'Release Gates'!I19</x:f>
        <x:v>PASS</x:v>
      </x:c>
      <x:c r="G380" s="10" t="str">
        <x:v>PASS</x:v>
      </x:c>
      <x:c r="H380" s="10" t="str">
        <x:f>IF(F380=G380,"PASS","FAIL")</x:f>
        <x:v>PASS</x:v>
      </x:c>
    </x:row>
    <x:row r="381">
      <x:c r="B381" s="10" t="str">
        <x:v>A0375</x:v>
      </x:c>
      <x:c r="C381" s="10" t="str">
        <x:v>release gate</x:v>
      </x:c>
      <x:c r="D381" s="10" t="str">
        <x:v>Gate row 20</x:v>
      </x:c>
      <x:c r="E381" s="10" t="str">
        <x:v>state matches gate class</x:v>
      </x:c>
      <x:c r="F381" s="10" t="str">
        <x:f>'Release Gates'!I20</x:f>
        <x:v>PASS</x:v>
      </x:c>
      <x:c r="G381" s="10" t="str">
        <x:v>PASS</x:v>
      </x:c>
      <x:c r="H381" s="10" t="str">
        <x:f>IF(F381=G381,"PASS","FAIL")</x:f>
        <x:v>PASS</x:v>
      </x:c>
    </x:row>
    <x:row r="382">
      <x:c r="B382" s="10" t="str">
        <x:v>A0376</x:v>
      </x:c>
      <x:c r="C382" s="10" t="str">
        <x:v>release gate</x:v>
      </x:c>
      <x:c r="D382" s="10" t="str">
        <x:v>Gate row 21</x:v>
      </x:c>
      <x:c r="E382" s="10" t="str">
        <x:v>state matches gate class</x:v>
      </x:c>
      <x:c r="F382" s="10" t="str">
        <x:f>'Release Gates'!I21</x:f>
        <x:v>PASS</x:v>
      </x:c>
      <x:c r="G382" s="10" t="str">
        <x:v>PASS</x:v>
      </x:c>
      <x:c r="H382" s="10" t="str">
        <x:f>IF(F382=G382,"PASS","FAIL")</x:f>
        <x:v>PASS</x:v>
      </x:c>
    </x:row>
    <x:row r="383">
      <x:c r="B383" s="10" t="str">
        <x:v>A0377</x:v>
      </x:c>
      <x:c r="C383" s="10" t="str">
        <x:v>release gate</x:v>
      </x:c>
      <x:c r="D383" s="10" t="str">
        <x:v>Gate row 22</x:v>
      </x:c>
      <x:c r="E383" s="10" t="str">
        <x:v>state matches gate class</x:v>
      </x:c>
      <x:c r="F383" s="10" t="str">
        <x:f>'Release Gates'!I22</x:f>
        <x:v>PASS</x:v>
      </x:c>
      <x:c r="G383" s="10" t="str">
        <x:v>PASS</x:v>
      </x:c>
      <x:c r="H383" s="10" t="str">
        <x:f>IF(F383=G383,"PASS","FAIL")</x:f>
        <x:v>PASS</x:v>
      </x:c>
    </x:row>
    <x:row r="384">
      <x:c r="B384" s="10" t="str">
        <x:v>A0378</x:v>
      </x:c>
      <x:c r="C384" s="10" t="str">
        <x:v>release gate</x:v>
      </x:c>
      <x:c r="D384" s="10" t="str">
        <x:v>Gate row 23</x:v>
      </x:c>
      <x:c r="E384" s="10" t="str">
        <x:v>state matches gate class</x:v>
      </x:c>
      <x:c r="F384" s="10" t="str">
        <x:f>'Release Gates'!I23</x:f>
        <x:v>PASS</x:v>
      </x:c>
      <x:c r="G384" s="10" t="str">
        <x:v>PASS</x:v>
      </x:c>
      <x:c r="H384" s="10" t="str">
        <x:f>IF(F384=G384,"PASS","FAIL")</x:f>
        <x:v>PASS</x:v>
      </x:c>
    </x:row>
    <x:row r="385">
      <x:c r="B385" s="10" t="str">
        <x:v>A0379</x:v>
      </x:c>
      <x:c r="C385" s="10" t="str">
        <x:v>release gate</x:v>
      </x:c>
      <x:c r="D385" s="10" t="str">
        <x:v>Gate row 24</x:v>
      </x:c>
      <x:c r="E385" s="10" t="str">
        <x:v>state matches gate class</x:v>
      </x:c>
      <x:c r="F385" s="10" t="str">
        <x:f>'Release Gates'!I24</x:f>
        <x:v>PASS</x:v>
      </x:c>
      <x:c r="G385" s="10" t="str">
        <x:v>PASS</x:v>
      </x:c>
      <x:c r="H385" s="10" t="str">
        <x:f>IF(F385=G385,"PASS","FAIL")</x:f>
        <x:v>PASS</x:v>
      </x:c>
    </x:row>
    <x:row r="386">
      <x:c r="B386" s="10" t="str">
        <x:v>A0380</x:v>
      </x:c>
      <x:c r="C386" s="10" t="str">
        <x:v>release gate</x:v>
      </x:c>
      <x:c r="D386" s="10" t="str">
        <x:v>Gate row 25</x:v>
      </x:c>
      <x:c r="E386" s="10" t="str">
        <x:v>state matches gate class</x:v>
      </x:c>
      <x:c r="F386" s="10" t="str">
        <x:f>'Release Gates'!I25</x:f>
        <x:v>PASS</x:v>
      </x:c>
      <x:c r="G386" s="10" t="str">
        <x:v>PASS</x:v>
      </x:c>
      <x:c r="H386" s="10" t="str">
        <x:f>IF(F386=G386,"PASS","FAIL")</x:f>
        <x:v>PASS</x:v>
      </x:c>
    </x:row>
    <x:row r="387">
      <x:c r="B387" s="10" t="str">
        <x:v>A0381</x:v>
      </x:c>
      <x:c r="C387" s="10" t="str">
        <x:v>release gate</x:v>
      </x:c>
      <x:c r="D387" s="10" t="str">
        <x:v>Gate row 26</x:v>
      </x:c>
      <x:c r="E387" s="10" t="str">
        <x:v>state matches gate class</x:v>
      </x:c>
      <x:c r="F387" s="10" t="str">
        <x:f>'Release Gates'!I26</x:f>
        <x:v>PASS</x:v>
      </x:c>
      <x:c r="G387" s="10" t="str">
        <x:v>PASS</x:v>
      </x:c>
      <x:c r="H387" s="10" t="str">
        <x:f>IF(F387=G387,"PASS","FAIL")</x:f>
        <x:v>PASS</x:v>
      </x:c>
    </x:row>
    <x:row r="388">
      <x:c r="B388" s="10" t="str">
        <x:v>A0382</x:v>
      </x:c>
      <x:c r="C388" s="10" t="str">
        <x:v>release gate</x:v>
      </x:c>
      <x:c r="D388" s="10" t="str">
        <x:v>Gate row 27</x:v>
      </x:c>
      <x:c r="E388" s="10" t="str">
        <x:v>state matches gate class</x:v>
      </x:c>
      <x:c r="F388" s="10" t="str">
        <x:f>'Release Gates'!I27</x:f>
        <x:v>PASS</x:v>
      </x:c>
      <x:c r="G388" s="10" t="str">
        <x:v>PASS</x:v>
      </x:c>
      <x:c r="H388" s="10" t="str">
        <x:f>IF(F388=G388,"PASS","FAIL")</x:f>
        <x:v>PASS</x:v>
      </x:c>
    </x:row>
    <x:row r="389">
      <x:c r="B389" s="10" t="str">
        <x:v>A0383</x:v>
      </x:c>
      <x:c r="C389" s="10" t="str">
        <x:v>release gate</x:v>
      </x:c>
      <x:c r="D389" s="10" t="str">
        <x:v>Gate row 28</x:v>
      </x:c>
      <x:c r="E389" s="10" t="str">
        <x:v>state matches gate class</x:v>
      </x:c>
      <x:c r="F389" s="10" t="str">
        <x:f>'Release Gates'!I28</x:f>
        <x:v>PASS</x:v>
      </x:c>
      <x:c r="G389" s="10" t="str">
        <x:v>PASS</x:v>
      </x:c>
      <x:c r="H389" s="10" t="str">
        <x:f>IF(F389=G389,"PASS","FAIL")</x:f>
        <x:v>PASS</x:v>
      </x:c>
    </x:row>
    <x:row r="390">
      <x:c r="B390" s="10" t="str">
        <x:v>A0384</x:v>
      </x:c>
      <x:c r="C390" s="10" t="str">
        <x:v>release gate</x:v>
      </x:c>
      <x:c r="D390" s="10" t="str">
        <x:v>Gate row 29</x:v>
      </x:c>
      <x:c r="E390" s="10" t="str">
        <x:v>state matches gate class</x:v>
      </x:c>
      <x:c r="F390" s="10" t="str">
        <x:f>'Release Gates'!I29</x:f>
        <x:v>PASS</x:v>
      </x:c>
      <x:c r="G390" s="10" t="str">
        <x:v>PASS</x:v>
      </x:c>
      <x:c r="H390" s="10" t="str">
        <x:f>IF(F390=G390,"PASS","FAIL")</x:f>
        <x:v>PASS</x:v>
      </x:c>
    </x:row>
    <x:row r="391">
      <x:c r="B391" s="10" t="str">
        <x:v>A0385</x:v>
      </x:c>
      <x:c r="C391" s="10" t="str">
        <x:v>release gate</x:v>
      </x:c>
      <x:c r="D391" s="10" t="str">
        <x:v>Gate row 30</x:v>
      </x:c>
      <x:c r="E391" s="10" t="str">
        <x:v>state matches gate class</x:v>
      </x:c>
      <x:c r="F391" s="10" t="str">
        <x:f>'Release Gates'!I30</x:f>
        <x:v>PASS</x:v>
      </x:c>
      <x:c r="G391" s="10" t="str">
        <x:v>PASS</x:v>
      </x:c>
      <x:c r="H391" s="10" t="str">
        <x:f>IF(F391=G391,"PASS","FAIL")</x:f>
        <x:v>PASS</x:v>
      </x:c>
    </x:row>
    <x:row r="392">
      <x:c r="B392" s="10" t="str">
        <x:v>A0386</x:v>
      </x:c>
      <x:c r="C392" s="10" t="str">
        <x:v>release gate</x:v>
      </x:c>
      <x:c r="D392" s="10" t="str">
        <x:v>Gate row 31</x:v>
      </x:c>
      <x:c r="E392" s="10" t="str">
        <x:v>state matches gate class</x:v>
      </x:c>
      <x:c r="F392" s="10" t="str">
        <x:f>'Release Gates'!I31</x:f>
        <x:v>PASS</x:v>
      </x:c>
      <x:c r="G392" s="10" t="str">
        <x:v>PASS</x:v>
      </x:c>
      <x:c r="H392" s="10" t="str">
        <x:f>IF(F392=G392,"PASS","FAIL")</x:f>
        <x:v>PASS</x:v>
      </x:c>
    </x:row>
    <x:row r="393">
      <x:c r="B393" s="10" t="str">
        <x:v>A0387</x:v>
      </x:c>
      <x:c r="C393" s="10" t="str">
        <x:v>release gate</x:v>
      </x:c>
      <x:c r="D393" s="10" t="str">
        <x:v>Gate row 32</x:v>
      </x:c>
      <x:c r="E393" s="10" t="str">
        <x:v>state matches gate class</x:v>
      </x:c>
      <x:c r="F393" s="10" t="str">
        <x:f>'Release Gates'!I32</x:f>
        <x:v>PASS</x:v>
      </x:c>
      <x:c r="G393" s="10" t="str">
        <x:v>PASS</x:v>
      </x:c>
      <x:c r="H393" s="10" t="str">
        <x:f>IF(F393=G393,"PASS","FAIL")</x:f>
        <x:v>PASS</x:v>
      </x:c>
    </x:row>
    <x:row r="394">
      <x:c r="B394" s="10" t="str">
        <x:v>A0388</x:v>
      </x:c>
      <x:c r="C394" s="10" t="str">
        <x:v>release gate</x:v>
      </x:c>
      <x:c r="D394" s="10" t="str">
        <x:v>Gate row 33</x:v>
      </x:c>
      <x:c r="E394" s="10" t="str">
        <x:v>state matches gate class</x:v>
      </x:c>
      <x:c r="F394" s="10" t="str">
        <x:f>'Release Gates'!I33</x:f>
        <x:v>PASS</x:v>
      </x:c>
      <x:c r="G394" s="10" t="str">
        <x:v>PASS</x:v>
      </x:c>
      <x:c r="H394" s="10" t="str">
        <x:f>IF(F394=G394,"PASS","FAIL")</x:f>
        <x:v>PASS</x:v>
      </x:c>
    </x:row>
    <x:row r="395">
      <x:c r="B395" s="10" t="str">
        <x:v>A0389</x:v>
      </x:c>
      <x:c r="C395" s="10" t="str">
        <x:v>release gate</x:v>
      </x:c>
      <x:c r="D395" s="10" t="str">
        <x:v>Gate row 34</x:v>
      </x:c>
      <x:c r="E395" s="10" t="str">
        <x:v>state matches gate class</x:v>
      </x:c>
      <x:c r="F395" s="10" t="str">
        <x:f>'Release Gates'!I34</x:f>
        <x:v>PASS</x:v>
      </x:c>
      <x:c r="G395" s="10" t="str">
        <x:v>PASS</x:v>
      </x:c>
      <x:c r="H395" s="10" t="str">
        <x:f>IF(F395=G395,"PASS","FAIL")</x:f>
        <x:v>PASS</x:v>
      </x:c>
    </x:row>
    <x:row r="396">
      <x:c r="B396" s="10" t="str">
        <x:v>A0390</x:v>
      </x:c>
      <x:c r="C396" s="10" t="str">
        <x:v>release gate</x:v>
      </x:c>
      <x:c r="D396" s="10" t="str">
        <x:v>Gate row 35</x:v>
      </x:c>
      <x:c r="E396" s="10" t="str">
        <x:v>state matches gate class</x:v>
      </x:c>
      <x:c r="F396" s="10" t="str">
        <x:f>'Release Gates'!I35</x:f>
        <x:v>PASS</x:v>
      </x:c>
      <x:c r="G396" s="10" t="str">
        <x:v>PASS</x:v>
      </x:c>
      <x:c r="H396" s="10" t="str">
        <x:f>IF(F396=G396,"PASS","FAIL")</x:f>
        <x:v>PASS</x:v>
      </x:c>
    </x:row>
    <x:row r="397">
      <x:c r="B397" s="10" t="str">
        <x:v>A0391</x:v>
      </x:c>
      <x:c r="C397" s="10" t="str">
        <x:v>release gate</x:v>
      </x:c>
      <x:c r="D397" s="10" t="str">
        <x:v>Gate row 36</x:v>
      </x:c>
      <x:c r="E397" s="10" t="str">
        <x:v>state matches gate class</x:v>
      </x:c>
      <x:c r="F397" s="10" t="str">
        <x:f>'Release Gates'!I36</x:f>
        <x:v>PASS</x:v>
      </x:c>
      <x:c r="G397" s="10" t="str">
        <x:v>PASS</x:v>
      </x:c>
      <x:c r="H397" s="10" t="str">
        <x:f>IF(F397=G397,"PASS","FAIL")</x:f>
        <x:v>PASS</x:v>
      </x:c>
    </x:row>
    <x:row r="398">
      <x:c r="B398" s="10" t="str">
        <x:v>A0392</x:v>
      </x:c>
      <x:c r="C398" s="10" t="str">
        <x:v>release gate</x:v>
      </x:c>
      <x:c r="D398" s="10" t="str">
        <x:v>Gate row 37</x:v>
      </x:c>
      <x:c r="E398" s="10" t="str">
        <x:v>state matches gate class</x:v>
      </x:c>
      <x:c r="F398" s="10" t="str">
        <x:f>'Release Gates'!I37</x:f>
        <x:v>PASS</x:v>
      </x:c>
      <x:c r="G398" s="10" t="str">
        <x:v>PASS</x:v>
      </x:c>
      <x:c r="H398" s="10" t="str">
        <x:f>IF(F398=G398,"PASS","FAIL")</x:f>
        <x:v>PASS</x:v>
      </x:c>
    </x:row>
    <x:row r="399">
      <x:c r="B399" s="10" t="str">
        <x:v>A0393</x:v>
      </x:c>
      <x:c r="C399" s="10" t="str">
        <x:v>release gate</x:v>
      </x:c>
      <x:c r="D399" s="10" t="str">
        <x:v>Gate row 38</x:v>
      </x:c>
      <x:c r="E399" s="10" t="str">
        <x:v>state matches gate class</x:v>
      </x:c>
      <x:c r="F399" s="10" t="str">
        <x:f>'Release Gates'!I38</x:f>
        <x:v>PASS</x:v>
      </x:c>
      <x:c r="G399" s="10" t="str">
        <x:v>PASS</x:v>
      </x:c>
      <x:c r="H399" s="10" t="str">
        <x:f>IF(F399=G399,"PASS","FAIL")</x:f>
        <x:v>PASS</x:v>
      </x:c>
    </x:row>
    <x:row r="400">
      <x:c r="B400" s="10" t="str">
        <x:v>A0394</x:v>
      </x:c>
      <x:c r="C400" s="10" t="str">
        <x:v>release gate</x:v>
      </x:c>
      <x:c r="D400" s="10" t="str">
        <x:v>Gate row 39</x:v>
      </x:c>
      <x:c r="E400" s="10" t="str">
        <x:v>state matches gate class</x:v>
      </x:c>
      <x:c r="F400" s="10" t="str">
        <x:f>'Release Gates'!I39</x:f>
        <x:v>PASS</x:v>
      </x:c>
      <x:c r="G400" s="10" t="str">
        <x:v>PASS</x:v>
      </x:c>
      <x:c r="H400" s="10" t="str">
        <x:f>IF(F400=G400,"PASS","FAIL")</x:f>
        <x:v>PASS</x:v>
      </x:c>
    </x:row>
    <x:row r="401">
      <x:c r="B401" s="10" t="str">
        <x:v>A0395</x:v>
      </x:c>
      <x:c r="C401" s="10" t="str">
        <x:v>release gate</x:v>
      </x:c>
      <x:c r="D401" s="10" t="str">
        <x:v>Gate row 40</x:v>
      </x:c>
      <x:c r="E401" s="10" t="str">
        <x:v>state matches gate class</x:v>
      </x:c>
      <x:c r="F401" s="10" t="str">
        <x:f>'Release Gates'!I40</x:f>
        <x:v>PASS</x:v>
      </x:c>
      <x:c r="G401" s="10" t="str">
        <x:v>PASS</x:v>
      </x:c>
      <x:c r="H401" s="10" t="str">
        <x:f>IF(F401=G401,"PASS","FAIL")</x:f>
        <x:v>PASS</x:v>
      </x:c>
    </x:row>
    <x:row r="402">
      <x:c r="B402" s="10" t="str">
        <x:v>A0396</x:v>
      </x:c>
      <x:c r="C402" s="10" t="str">
        <x:v>release gate</x:v>
      </x:c>
      <x:c r="D402" s="10" t="str">
        <x:v>Gate row 41</x:v>
      </x:c>
      <x:c r="E402" s="10" t="str">
        <x:v>state matches gate class</x:v>
      </x:c>
      <x:c r="F402" s="10" t="str">
        <x:f>'Release Gates'!I41</x:f>
        <x:v>PASS</x:v>
      </x:c>
      <x:c r="G402" s="10" t="str">
        <x:v>PASS</x:v>
      </x:c>
      <x:c r="H402" s="10" t="str">
        <x:f>IF(F402=G402,"PASS","FAIL")</x:f>
        <x:v>PASS</x:v>
      </x:c>
    </x:row>
    <x:row r="403">
      <x:c r="B403" s="10" t="str">
        <x:v>A0397</x:v>
      </x:c>
      <x:c r="C403" s="10" t="str">
        <x:v>release gate</x:v>
      </x:c>
      <x:c r="D403" s="10" t="str">
        <x:v>Gate row 42</x:v>
      </x:c>
      <x:c r="E403" s="10" t="str">
        <x:v>state matches gate class</x:v>
      </x:c>
      <x:c r="F403" s="10" t="str">
        <x:f>'Release Gates'!I42</x:f>
        <x:v>PASS</x:v>
      </x:c>
      <x:c r="G403" s="10" t="str">
        <x:v>PASS</x:v>
      </x:c>
      <x:c r="H403" s="10" t="str">
        <x:f>IF(F403=G403,"PASS","FAIL")</x:f>
        <x:v>PASS</x:v>
      </x:c>
    </x:row>
    <x:row r="404">
      <x:c r="B404" s="10" t="str">
        <x:v>A0398</x:v>
      </x:c>
      <x:c r="C404" s="10" t="str">
        <x:v>release gate</x:v>
      </x:c>
      <x:c r="D404" s="10" t="str">
        <x:v>Gate row 43</x:v>
      </x:c>
      <x:c r="E404" s="10" t="str">
        <x:v>state matches gate class</x:v>
      </x:c>
      <x:c r="F404" s="10" t="str">
        <x:f>'Release Gates'!I43</x:f>
        <x:v>PASS</x:v>
      </x:c>
      <x:c r="G404" s="10" t="str">
        <x:v>PASS</x:v>
      </x:c>
      <x:c r="H404" s="10" t="str">
        <x:f>IF(F404=G404,"PASS","FAIL")</x:f>
        <x:v>PASS</x:v>
      </x:c>
    </x:row>
    <x:row r="405">
      <x:c r="B405" s="10" t="str">
        <x:v>A0399</x:v>
      </x:c>
      <x:c r="C405" s="10" t="str">
        <x:v>release gate</x:v>
      </x:c>
      <x:c r="D405" s="10" t="str">
        <x:v>Gate row 44</x:v>
      </x:c>
      <x:c r="E405" s="10" t="str">
        <x:v>state matches gate class</x:v>
      </x:c>
      <x:c r="F405" s="10" t="str">
        <x:f>'Release Gates'!I44</x:f>
        <x:v>PASS</x:v>
      </x:c>
      <x:c r="G405" s="10" t="str">
        <x:v>PASS</x:v>
      </x:c>
      <x:c r="H405" s="10" t="str">
        <x:f>IF(F405=G405,"PASS","FAIL")</x:f>
        <x:v>PASS</x:v>
      </x:c>
    </x:row>
    <x:row r="406">
      <x:c r="B406" s="10" t="str">
        <x:v>A0400</x:v>
      </x:c>
      <x:c r="C406" s="10" t="str">
        <x:v>release gate</x:v>
      </x:c>
      <x:c r="D406" s="10" t="str">
        <x:v>Gate row 45</x:v>
      </x:c>
      <x:c r="E406" s="10" t="str">
        <x:v>state matches gate class</x:v>
      </x:c>
      <x:c r="F406" s="10" t="str">
        <x:f>'Release Gates'!I45</x:f>
        <x:v>PASS</x:v>
      </x:c>
      <x:c r="G406" s="10" t="str">
        <x:v>PASS</x:v>
      </x:c>
      <x:c r="H406" s="10" t="str">
        <x:f>IF(F406=G406,"PASS","FAIL")</x:f>
        <x:v>PASS</x:v>
      </x:c>
    </x:row>
    <x:row r="407">
      <x:c r="B407" s="10" t="str">
        <x:v>A0401</x:v>
      </x:c>
      <x:c r="C407" s="10" t="str">
        <x:v>release gate</x:v>
      </x:c>
      <x:c r="D407" s="10" t="str">
        <x:v>Gate row 46</x:v>
      </x:c>
      <x:c r="E407" s="10" t="str">
        <x:v>state matches gate class</x:v>
      </x:c>
      <x:c r="F407" s="10" t="str">
        <x:f>'Release Gates'!I46</x:f>
        <x:v>PASS</x:v>
      </x:c>
      <x:c r="G407" s="10" t="str">
        <x:v>PASS</x:v>
      </x:c>
      <x:c r="H407" s="10" t="str">
        <x:f>IF(F407=G407,"PASS","FAIL")</x:f>
        <x:v>PASS</x:v>
      </x:c>
    </x:row>
    <x:row r="408">
      <x:c r="B408" s="10" t="str">
        <x:v>A0402</x:v>
      </x:c>
      <x:c r="C408" s="10" t="str">
        <x:v>release gate</x:v>
      </x:c>
      <x:c r="D408" s="10" t="str">
        <x:v>Gate row 47</x:v>
      </x:c>
      <x:c r="E408" s="10" t="str">
        <x:v>state matches gate class</x:v>
      </x:c>
      <x:c r="F408" s="10" t="str">
        <x:f>'Release Gates'!I47</x:f>
        <x:v>PASS</x:v>
      </x:c>
      <x:c r="G408" s="10" t="str">
        <x:v>PASS</x:v>
      </x:c>
      <x:c r="H408" s="10" t="str">
        <x:f>IF(F408=G408,"PASS","FAIL")</x:f>
        <x:v>PASS</x:v>
      </x:c>
    </x:row>
    <x:row r="409">
      <x:c r="B409" s="10" t="str">
        <x:v>A0403</x:v>
      </x:c>
      <x:c r="C409" s="10" t="str">
        <x:v>release gate</x:v>
      </x:c>
      <x:c r="D409" s="10" t="str">
        <x:v>Gate row 48</x:v>
      </x:c>
      <x:c r="E409" s="10" t="str">
        <x:v>state matches gate class</x:v>
      </x:c>
      <x:c r="F409" s="10" t="str">
        <x:f>'Release Gates'!I48</x:f>
        <x:v>PASS</x:v>
      </x:c>
      <x:c r="G409" s="10" t="str">
        <x:v>PASS</x:v>
      </x:c>
      <x:c r="H409" s="10" t="str">
        <x:f>IF(F409=G409,"PASS","FAIL")</x:f>
        <x:v>PASS</x:v>
      </x:c>
    </x:row>
    <x:row r="410">
      <x:c r="B410" s="10" t="str">
        <x:v>A0404</x:v>
      </x:c>
      <x:c r="C410" s="10" t="str">
        <x:v>release gate</x:v>
      </x:c>
      <x:c r="D410" s="10" t="str">
        <x:v>Gate row 49</x:v>
      </x:c>
      <x:c r="E410" s="10" t="str">
        <x:v>state matches gate class</x:v>
      </x:c>
      <x:c r="F410" s="10" t="str">
        <x:f>'Release Gates'!I49</x:f>
        <x:v>PASS</x:v>
      </x:c>
      <x:c r="G410" s="10" t="str">
        <x:v>PASS</x:v>
      </x:c>
      <x:c r="H410" s="10" t="str">
        <x:f>IF(F410=G410,"PASS","FAIL")</x:f>
        <x:v>PASS</x:v>
      </x:c>
    </x:row>
    <x:row r="411">
      <x:c r="B411" s="10" t="str">
        <x:v>A0405</x:v>
      </x:c>
      <x:c r="C411" s="10" t="str">
        <x:v>release gate</x:v>
      </x:c>
      <x:c r="D411" s="10" t="str">
        <x:v>Gate row 50</x:v>
      </x:c>
      <x:c r="E411" s="10" t="str">
        <x:v>state matches gate class</x:v>
      </x:c>
      <x:c r="F411" s="10" t="str">
        <x:f>'Release Gates'!I50</x:f>
        <x:v>PASS</x:v>
      </x:c>
      <x:c r="G411" s="10" t="str">
        <x:v>PASS</x:v>
      </x:c>
      <x:c r="H411" s="10" t="str">
        <x:f>IF(F411=G411,"PASS","FAIL")</x:f>
        <x:v>PASS</x:v>
      </x:c>
    </x:row>
    <x:row r="412">
      <x:c r="B412" s="10" t="str">
        <x:v>A0406</x:v>
      </x:c>
      <x:c r="C412" s="10" t="str">
        <x:v>release gate</x:v>
      </x:c>
      <x:c r="D412" s="10" t="str">
        <x:v>Gate row 51</x:v>
      </x:c>
      <x:c r="E412" s="10" t="str">
        <x:v>state matches gate class</x:v>
      </x:c>
      <x:c r="F412" s="10" t="str">
        <x:f>'Release Gates'!I51</x:f>
        <x:v>PASS</x:v>
      </x:c>
      <x:c r="G412" s="10" t="str">
        <x:v>PASS</x:v>
      </x:c>
      <x:c r="H412" s="10" t="str">
        <x:f>IF(F412=G412,"PASS","FAIL")</x:f>
        <x:v>PASS</x:v>
      </x:c>
    </x:row>
    <x:row r="413">
      <x:c r="B413" s="10" t="str">
        <x:v>A0407</x:v>
      </x:c>
      <x:c r="C413" s="10" t="str">
        <x:v>release gate</x:v>
      </x:c>
      <x:c r="D413" s="10" t="str">
        <x:v>Gate row 52</x:v>
      </x:c>
      <x:c r="E413" s="10" t="str">
        <x:v>state matches gate class</x:v>
      </x:c>
      <x:c r="F413" s="10" t="str">
        <x:f>'Release Gates'!I52</x:f>
        <x:v>PASS</x:v>
      </x:c>
      <x:c r="G413" s="10" t="str">
        <x:v>PASS</x:v>
      </x:c>
      <x:c r="H413" s="10" t="str">
        <x:f>IF(F413=G413,"PASS","FAIL")</x:f>
        <x:v>PASS</x:v>
      </x:c>
    </x:row>
    <x:row r="414">
      <x:c r="B414" s="10" t="str">
        <x:v>A0408</x:v>
      </x:c>
      <x:c r="C414" s="10" t="str">
        <x:v>release gate</x:v>
      </x:c>
      <x:c r="D414" s="10" t="str">
        <x:v>Gate row 53</x:v>
      </x:c>
      <x:c r="E414" s="10" t="str">
        <x:v>state matches gate class</x:v>
      </x:c>
      <x:c r="F414" s="10" t="str">
        <x:f>'Release Gates'!I53</x:f>
        <x:v>PASS</x:v>
      </x:c>
      <x:c r="G414" s="10" t="str">
        <x:v>PASS</x:v>
      </x:c>
      <x:c r="H414" s="10" t="str">
        <x:f>IF(F414=G414,"PASS","FAIL")</x:f>
        <x:v>PASS</x:v>
      </x:c>
    </x:row>
    <x:row r="415">
      <x:c r="B415" s="10" t="str">
        <x:v>A0409</x:v>
      </x:c>
      <x:c r="C415" s="10" t="str">
        <x:v>release gate</x:v>
      </x:c>
      <x:c r="D415" s="10" t="str">
        <x:v>Gate row 54</x:v>
      </x:c>
      <x:c r="E415" s="10" t="str">
        <x:v>state matches gate class</x:v>
      </x:c>
      <x:c r="F415" s="10" t="str">
        <x:f>'Release Gates'!I54</x:f>
        <x:v>PASS</x:v>
      </x:c>
      <x:c r="G415" s="10" t="str">
        <x:v>PASS</x:v>
      </x:c>
      <x:c r="H415" s="10" t="str">
        <x:f>IF(F415=G415,"PASS","FAIL")</x:f>
        <x:v>PASS</x:v>
      </x:c>
    </x:row>
    <x:row r="416">
      <x:c r="B416" s="10" t="str">
        <x:v>A0410</x:v>
      </x:c>
      <x:c r="C416" s="10" t="str">
        <x:v>release gate</x:v>
      </x:c>
      <x:c r="D416" s="10" t="str">
        <x:v>Gate row 55</x:v>
      </x:c>
      <x:c r="E416" s="10" t="str">
        <x:v>state matches gate class</x:v>
      </x:c>
      <x:c r="F416" s="10" t="str">
        <x:f>'Release Gates'!I55</x:f>
        <x:v>PASS</x:v>
      </x:c>
      <x:c r="G416" s="10" t="str">
        <x:v>PASS</x:v>
      </x:c>
      <x:c r="H416" s="10" t="str">
        <x:f>IF(F416=G416,"PASS","FAIL")</x:f>
        <x:v>PASS</x:v>
      </x:c>
    </x:row>
    <x:row r="417">
      <x:c r="B417" s="10" t="str">
        <x:v>A0411</x:v>
      </x:c>
      <x:c r="C417" s="10" t="str">
        <x:v>release gate</x:v>
      </x:c>
      <x:c r="D417" s="10" t="str">
        <x:v>Gate row 56</x:v>
      </x:c>
      <x:c r="E417" s="10" t="str">
        <x:v>state matches gate class</x:v>
      </x:c>
      <x:c r="F417" s="10" t="str">
        <x:f>'Release Gates'!I56</x:f>
        <x:v>PASS</x:v>
      </x:c>
      <x:c r="G417" s="10" t="str">
        <x:v>PASS</x:v>
      </x:c>
      <x:c r="H417" s="10" t="str">
        <x:f>IF(F417=G417,"PASS","FAIL")</x:f>
        <x:v>PASS</x:v>
      </x:c>
    </x:row>
    <x:row r="418">
      <x:c r="B418" s="10" t="str">
        <x:v>A0412</x:v>
      </x:c>
      <x:c r="C418" s="10" t="str">
        <x:v>release gate</x:v>
      </x:c>
      <x:c r="D418" s="10" t="str">
        <x:v>Gate row 57</x:v>
      </x:c>
      <x:c r="E418" s="10" t="str">
        <x:v>state matches gate class</x:v>
      </x:c>
      <x:c r="F418" s="10" t="str">
        <x:f>'Release Gates'!I57</x:f>
        <x:v>PASS</x:v>
      </x:c>
      <x:c r="G418" s="10" t="str">
        <x:v>PASS</x:v>
      </x:c>
      <x:c r="H418" s="10" t="str">
        <x:f>IF(F418=G418,"PASS","FAIL")</x:f>
        <x:v>PASS</x:v>
      </x:c>
    </x:row>
    <x:row r="419">
      <x:c r="B419" s="10" t="str">
        <x:v>A0413</x:v>
      </x:c>
      <x:c r="C419" s="10" t="str">
        <x:v>release gate</x:v>
      </x:c>
      <x:c r="D419" s="10" t="str">
        <x:v>Gate row 58</x:v>
      </x:c>
      <x:c r="E419" s="10" t="str">
        <x:v>state matches gate class</x:v>
      </x:c>
      <x:c r="F419" s="10" t="str">
        <x:f>'Release Gates'!I58</x:f>
        <x:v>PASS</x:v>
      </x:c>
      <x:c r="G419" s="10" t="str">
        <x:v>PASS</x:v>
      </x:c>
      <x:c r="H419" s="10" t="str">
        <x:f>IF(F419=G419,"PASS","FAIL")</x:f>
        <x:v>PASS</x:v>
      </x:c>
    </x:row>
    <x:row r="420">
      <x:c r="B420" s="10" t="str">
        <x:v>A0414</x:v>
      </x:c>
      <x:c r="C420" s="10" t="str">
        <x:v>release gate</x:v>
      </x:c>
      <x:c r="D420" s="10" t="str">
        <x:v>Gate row 59</x:v>
      </x:c>
      <x:c r="E420" s="10" t="str">
        <x:v>state matches gate class</x:v>
      </x:c>
      <x:c r="F420" s="10" t="str">
        <x:f>'Release Gates'!I59</x:f>
        <x:v>PASS</x:v>
      </x:c>
      <x:c r="G420" s="10" t="str">
        <x:v>PASS</x:v>
      </x:c>
      <x:c r="H420" s="10" t="str">
        <x:f>IF(F420=G420,"PASS","FAIL")</x:f>
        <x:v>PASS</x:v>
      </x:c>
    </x:row>
    <x:row r="421">
      <x:c r="B421" s="10" t="str">
        <x:v>A0415</x:v>
      </x:c>
      <x:c r="C421" s="10" t="str">
        <x:v>release gate</x:v>
      </x:c>
      <x:c r="D421" s="10" t="str">
        <x:v>Gate row 60</x:v>
      </x:c>
      <x:c r="E421" s="10" t="str">
        <x:v>state matches gate class</x:v>
      </x:c>
      <x:c r="F421" s="10" t="str">
        <x:f>'Release Gates'!I60</x:f>
        <x:v>PASS</x:v>
      </x:c>
      <x:c r="G421" s="10" t="str">
        <x:v>PASS</x:v>
      </x:c>
      <x:c r="H421" s="10" t="str">
        <x:f>IF(F421=G421,"PASS","FAIL")</x:f>
        <x:v>PASS</x:v>
      </x:c>
    </x:row>
    <x:row r="422">
      <x:c r="B422" s="10" t="str">
        <x:v>A0416</x:v>
      </x:c>
      <x:c r="C422" s="10" t="str">
        <x:v>release gate</x:v>
      </x:c>
      <x:c r="D422" s="10" t="str">
        <x:v>Gate row 61</x:v>
      </x:c>
      <x:c r="E422" s="10" t="str">
        <x:v>state matches gate class</x:v>
      </x:c>
      <x:c r="F422" s="10" t="str">
        <x:f>'Release Gates'!I61</x:f>
        <x:v>PASS</x:v>
      </x:c>
      <x:c r="G422" s="10" t="str">
        <x:v>PASS</x:v>
      </x:c>
      <x:c r="H422" s="10" t="str">
        <x:f>IF(F422=G422,"PASS","FAIL")</x:f>
        <x:v>PASS</x:v>
      </x:c>
    </x:row>
    <x:row r="423">
      <x:c r="B423" s="10" t="str">
        <x:v>A0417</x:v>
      </x:c>
      <x:c r="C423" s="10" t="str">
        <x:v>release gate</x:v>
      </x:c>
      <x:c r="D423" s="10" t="str">
        <x:v>Gate row 62</x:v>
      </x:c>
      <x:c r="E423" s="10" t="str">
        <x:v>state matches gate class</x:v>
      </x:c>
      <x:c r="F423" s="10" t="str">
        <x:f>'Release Gates'!I62</x:f>
        <x:v>PASS</x:v>
      </x:c>
      <x:c r="G423" s="10" t="str">
        <x:v>PASS</x:v>
      </x:c>
      <x:c r="H423" s="10" t="str">
        <x:f>IF(F423=G423,"PASS","FAIL")</x:f>
        <x:v>PASS</x:v>
      </x:c>
    </x:row>
    <x:row r="424">
      <x:c r="B424" s="10" t="str">
        <x:v>A0418</x:v>
      </x:c>
      <x:c r="C424" s="10" t="str">
        <x:v>release gate</x:v>
      </x:c>
      <x:c r="D424" s="10" t="str">
        <x:v>Gate row 63</x:v>
      </x:c>
      <x:c r="E424" s="10" t="str">
        <x:v>state matches gate class</x:v>
      </x:c>
      <x:c r="F424" s="10" t="str">
        <x:f>'Release Gates'!I63</x:f>
        <x:v>PASS</x:v>
      </x:c>
      <x:c r="G424" s="10" t="str">
        <x:v>PASS</x:v>
      </x:c>
      <x:c r="H424" s="10" t="str">
        <x:f>IF(F424=G424,"PASS","FAIL")</x:f>
        <x:v>PASS</x:v>
      </x:c>
    </x:row>
    <x:row r="425">
      <x:c r="B425" s="10" t="str">
        <x:v>A0419</x:v>
      </x:c>
      <x:c r="C425" s="10" t="str">
        <x:v>release gate</x:v>
      </x:c>
      <x:c r="D425" s="10" t="str">
        <x:v>Gate row 64</x:v>
      </x:c>
      <x:c r="E425" s="10" t="str">
        <x:v>state matches gate class</x:v>
      </x:c>
      <x:c r="F425" s="10" t="str">
        <x:f>'Release Gates'!I64</x:f>
        <x:v>PASS</x:v>
      </x:c>
      <x:c r="G425" s="10" t="str">
        <x:v>PASS</x:v>
      </x:c>
      <x:c r="H425" s="10" t="str">
        <x:f>IF(F425=G425,"PASS","FAIL")</x:f>
        <x:v>PASS</x:v>
      </x:c>
    </x:row>
    <x:row r="426">
      <x:c r="B426" s="10" t="str">
        <x:v>A0420</x:v>
      </x:c>
      <x:c r="C426" s="10" t="str">
        <x:v>release gate</x:v>
      </x:c>
      <x:c r="D426" s="10" t="str">
        <x:v>Gate row 65</x:v>
      </x:c>
      <x:c r="E426" s="10" t="str">
        <x:v>state matches gate class</x:v>
      </x:c>
      <x:c r="F426" s="10" t="str">
        <x:f>'Release Gates'!I65</x:f>
        <x:v>PASS</x:v>
      </x:c>
      <x:c r="G426" s="10" t="str">
        <x:v>PASS</x:v>
      </x:c>
      <x:c r="H426" s="10" t="str">
        <x:f>IF(F426=G426,"PASS","FAIL")</x:f>
        <x:v>PASS</x:v>
      </x:c>
    </x:row>
    <x:row r="427">
      <x:c r="B427" s="10" t="str">
        <x:v>A0421</x:v>
      </x:c>
      <x:c r="C427" s="10" t="str">
        <x:v>release gate</x:v>
      </x:c>
      <x:c r="D427" s="10" t="str">
        <x:v>Gate row 66</x:v>
      </x:c>
      <x:c r="E427" s="10" t="str">
        <x:v>state matches gate class</x:v>
      </x:c>
      <x:c r="F427" s="10" t="str">
        <x:f>'Release Gates'!I66</x:f>
        <x:v>PASS</x:v>
      </x:c>
      <x:c r="G427" s="10" t="str">
        <x:v>PASS</x:v>
      </x:c>
      <x:c r="H427" s="10" t="str">
        <x:f>IF(F427=G427,"PASS","FAIL")</x:f>
        <x:v>PASS</x:v>
      </x:c>
    </x:row>
    <x:row r="428">
      <x:c r="B428" s="10" t="str">
        <x:v>A0422</x:v>
      </x:c>
      <x:c r="C428" s="10" t="str">
        <x:v>release gate</x:v>
      </x:c>
      <x:c r="D428" s="10" t="str">
        <x:v>Gate row 67</x:v>
      </x:c>
      <x:c r="E428" s="10" t="str">
        <x:v>state matches gate class</x:v>
      </x:c>
      <x:c r="F428" s="10" t="str">
        <x:f>'Release Gates'!I67</x:f>
        <x:v>PASS</x:v>
      </x:c>
      <x:c r="G428" s="10" t="str">
        <x:v>PASS</x:v>
      </x:c>
      <x:c r="H428" s="10" t="str">
        <x:f>IF(F428=G428,"PASS","FAIL")</x:f>
        <x:v>PASS</x:v>
      </x:c>
    </x:row>
    <x:row r="429">
      <x:c r="B429" s="10" t="str">
        <x:v>A0423</x:v>
      </x:c>
      <x:c r="C429" s="10" t="str">
        <x:v>release gate</x:v>
      </x:c>
      <x:c r="D429" s="10" t="str">
        <x:v>Gate row 68</x:v>
      </x:c>
      <x:c r="E429" s="10" t="str">
        <x:v>state matches gate class</x:v>
      </x:c>
      <x:c r="F429" s="10" t="str">
        <x:f>'Release Gates'!I68</x:f>
        <x:v>PASS</x:v>
      </x:c>
      <x:c r="G429" s="10" t="str">
        <x:v>PASS</x:v>
      </x:c>
      <x:c r="H429" s="10" t="str">
        <x:f>IF(F429=G429,"PASS","FAIL")</x:f>
        <x:v>PASS</x:v>
      </x:c>
    </x:row>
    <x:row r="430">
      <x:c r="B430" s="10" t="str">
        <x:v>A0424</x:v>
      </x:c>
      <x:c r="C430" s="10" t="str">
        <x:v>release gate</x:v>
      </x:c>
      <x:c r="D430" s="10" t="str">
        <x:v>Gate row 69</x:v>
      </x:c>
      <x:c r="E430" s="10" t="str">
        <x:v>state matches gate class</x:v>
      </x:c>
      <x:c r="F430" s="10" t="str">
        <x:f>'Release Gates'!I69</x:f>
        <x:v>PASS</x:v>
      </x:c>
      <x:c r="G430" s="10" t="str">
        <x:v>PASS</x:v>
      </x:c>
      <x:c r="H430" s="10" t="str">
        <x:f>IF(F430=G430,"PASS","FAIL")</x:f>
        <x:v>PASS</x:v>
      </x:c>
    </x:row>
    <x:row r="431">
      <x:c r="B431" s="10" t="str">
        <x:v>A0425</x:v>
      </x:c>
      <x:c r="C431" s="10" t="str">
        <x:v>release gate</x:v>
      </x:c>
      <x:c r="D431" s="10" t="str">
        <x:v>Gate row 70</x:v>
      </x:c>
      <x:c r="E431" s="10" t="str">
        <x:v>state matches gate class</x:v>
      </x:c>
      <x:c r="F431" s="10" t="str">
        <x:f>'Release Gates'!I70</x:f>
        <x:v>PASS</x:v>
      </x:c>
      <x:c r="G431" s="10" t="str">
        <x:v>PASS</x:v>
      </x:c>
      <x:c r="H431" s="10" t="str">
        <x:f>IF(F431=G431,"PASS","FAIL")</x:f>
        <x:v>PASS</x:v>
      </x:c>
    </x:row>
    <x:row r="432">
      <x:c r="B432" s="10" t="str">
        <x:v>A0426</x:v>
      </x:c>
      <x:c r="C432" s="10" t="str">
        <x:v>release gate</x:v>
      </x:c>
      <x:c r="D432" s="10" t="str">
        <x:v>Gate row 71</x:v>
      </x:c>
      <x:c r="E432" s="10" t="str">
        <x:v>state matches gate class</x:v>
      </x:c>
      <x:c r="F432" s="10" t="str">
        <x:f>'Release Gates'!I71</x:f>
        <x:v>PASS</x:v>
      </x:c>
      <x:c r="G432" s="10" t="str">
        <x:v>PASS</x:v>
      </x:c>
      <x:c r="H432" s="10" t="str">
        <x:f>IF(F432=G432,"PASS","FAIL")</x:f>
        <x:v>PASS</x:v>
      </x:c>
    </x:row>
    <x:row r="433">
      <x:c r="B433" s="10" t="str">
        <x:v>A0427</x:v>
      </x:c>
      <x:c r="C433" s="10" t="str">
        <x:v>release gate</x:v>
      </x:c>
      <x:c r="D433" s="10" t="str">
        <x:v>Gate row 72</x:v>
      </x:c>
      <x:c r="E433" s="10" t="str">
        <x:v>state matches gate class</x:v>
      </x:c>
      <x:c r="F433" s="10" t="str">
        <x:f>'Release Gates'!I72</x:f>
        <x:v>PASS</x:v>
      </x:c>
      <x:c r="G433" s="10" t="str">
        <x:v>PASS</x:v>
      </x:c>
      <x:c r="H433" s="10" t="str">
        <x:f>IF(F433=G433,"PASS","FAIL")</x:f>
        <x:v>PASS</x:v>
      </x:c>
    </x:row>
    <x:row r="434">
      <x:c r="B434" s="10" t="str">
        <x:v>A0428</x:v>
      </x:c>
      <x:c r="C434" s="10" t="str">
        <x:v>release gate</x:v>
      </x:c>
      <x:c r="D434" s="10" t="str">
        <x:v>Gate row 73</x:v>
      </x:c>
      <x:c r="E434" s="10" t="str">
        <x:v>state matches gate class</x:v>
      </x:c>
      <x:c r="F434" s="10" t="str">
        <x:f>'Release Gates'!I73</x:f>
        <x:v>PASS</x:v>
      </x:c>
      <x:c r="G434" s="10" t="str">
        <x:v>PASS</x:v>
      </x:c>
      <x:c r="H434" s="10" t="str">
        <x:f>IF(F434=G434,"PASS","FAIL")</x:f>
        <x:v>PASS</x:v>
      </x:c>
    </x:row>
    <x:row r="435">
      <x:c r="B435" s="10" t="str">
        <x:v>A0429</x:v>
      </x:c>
      <x:c r="C435" s="10" t="str">
        <x:v>release gate</x:v>
      </x:c>
      <x:c r="D435" s="10" t="str">
        <x:v>Gate row 74</x:v>
      </x:c>
      <x:c r="E435" s="10" t="str">
        <x:v>state matches gate class</x:v>
      </x:c>
      <x:c r="F435" s="10" t="str">
        <x:f>'Release Gates'!I74</x:f>
        <x:v>PASS</x:v>
      </x:c>
      <x:c r="G435" s="10" t="str">
        <x:v>PASS</x:v>
      </x:c>
      <x:c r="H435" s="10" t="str">
        <x:f>IF(F435=G435,"PASS","FAIL")</x:f>
        <x:v>PASS</x:v>
      </x:c>
    </x:row>
    <x:row r="436">
      <x:c r="B436" s="10" t="str">
        <x:v>A0430</x:v>
      </x:c>
      <x:c r="C436" s="10" t="str">
        <x:v>release gate</x:v>
      </x:c>
      <x:c r="D436" s="10" t="str">
        <x:v>Gate row 75</x:v>
      </x:c>
      <x:c r="E436" s="10" t="str">
        <x:v>state matches gate class</x:v>
      </x:c>
      <x:c r="F436" s="10" t="str">
        <x:f>'Release Gates'!I75</x:f>
        <x:v>PASS</x:v>
      </x:c>
      <x:c r="G436" s="10" t="str">
        <x:v>PASS</x:v>
      </x:c>
      <x:c r="H436" s="10" t="str">
        <x:f>IF(F436=G436,"PASS","FAIL")</x:f>
        <x:v>PASS</x:v>
      </x:c>
    </x:row>
    <x:row r="437">
      <x:c r="B437" s="10" t="str">
        <x:v>A0431</x:v>
      </x:c>
      <x:c r="C437" s="10" t="str">
        <x:v>release gate</x:v>
      </x:c>
      <x:c r="D437" s="10" t="str">
        <x:v>Gate row 76</x:v>
      </x:c>
      <x:c r="E437" s="10" t="str">
        <x:v>state matches gate class</x:v>
      </x:c>
      <x:c r="F437" s="10" t="str">
        <x:f>'Release Gates'!I76</x:f>
        <x:v>PASS</x:v>
      </x:c>
      <x:c r="G437" s="10" t="str">
        <x:v>PASS</x:v>
      </x:c>
      <x:c r="H437" s="10" t="str">
        <x:f>IF(F437=G437,"PASS","FAIL")</x:f>
        <x:v>PASS</x:v>
      </x:c>
    </x:row>
    <x:row r="438">
      <x:c r="B438" s="10" t="str">
        <x:v>A0432</x:v>
      </x:c>
      <x:c r="C438" s="10" t="str">
        <x:v>release gate</x:v>
      </x:c>
      <x:c r="D438" s="10" t="str">
        <x:v>Gate row 77</x:v>
      </x:c>
      <x:c r="E438" s="10" t="str">
        <x:v>state matches gate class</x:v>
      </x:c>
      <x:c r="F438" s="10" t="str">
        <x:f>'Release Gates'!I77</x:f>
        <x:v>PASS</x:v>
      </x:c>
      <x:c r="G438" s="10" t="str">
        <x:v>PASS</x:v>
      </x:c>
      <x:c r="H438" s="10" t="str">
        <x:f>IF(F438=G438,"PASS","FAIL")</x:f>
        <x:v>PASS</x:v>
      </x:c>
    </x:row>
    <x:row r="439">
      <x:c r="B439" s="10" t="str">
        <x:v>A0433</x:v>
      </x:c>
      <x:c r="C439" s="10" t="str">
        <x:v>release gate</x:v>
      </x:c>
      <x:c r="D439" s="10" t="str">
        <x:v>Gate row 78</x:v>
      </x:c>
      <x:c r="E439" s="10" t="str">
        <x:v>state matches gate class</x:v>
      </x:c>
      <x:c r="F439" s="10" t="str">
        <x:f>'Release Gates'!I78</x:f>
        <x:v>PASS</x:v>
      </x:c>
      <x:c r="G439" s="10" t="str">
        <x:v>PASS</x:v>
      </x:c>
      <x:c r="H439" s="10" t="str">
        <x:f>IF(F439=G439,"PASS","FAIL")</x:f>
        <x:v>PASS</x:v>
      </x:c>
    </x:row>
    <x:row r="440">
      <x:c r="B440" s="10" t="str">
        <x:v>A0434</x:v>
      </x:c>
      <x:c r="C440" s="10" t="str">
        <x:v>release gate</x:v>
      </x:c>
      <x:c r="D440" s="10" t="str">
        <x:v>Gate row 79</x:v>
      </x:c>
      <x:c r="E440" s="10" t="str">
        <x:v>state matches gate class</x:v>
      </x:c>
      <x:c r="F440" s="10" t="str">
        <x:f>'Release Gates'!I79</x:f>
        <x:v>OPEN</x:v>
      </x:c>
      <x:c r="G440" s="10" t="str">
        <x:v>OPEN</x:v>
      </x:c>
      <x:c r="H440" s="10" t="str">
        <x:f>IF(F440=G440,"PASS","FAIL")</x:f>
        <x:v>PASS</x:v>
      </x:c>
    </x:row>
    <x:row r="441">
      <x:c r="B441" s="10" t="str">
        <x:v>A0435</x:v>
      </x:c>
      <x:c r="C441" s="10" t="str">
        <x:v>release gate</x:v>
      </x:c>
      <x:c r="D441" s="10" t="str">
        <x:v>Gate row 80</x:v>
      </x:c>
      <x:c r="E441" s="10" t="str">
        <x:v>state matches gate class</x:v>
      </x:c>
      <x:c r="F441" s="10" t="str">
        <x:f>'Release Gates'!I80</x:f>
        <x:v>OPEN</x:v>
      </x:c>
      <x:c r="G441" s="10" t="str">
        <x:v>OPEN</x:v>
      </x:c>
      <x:c r="H441" s="10" t="str">
        <x:f>IF(F441=G441,"PASS","FAIL")</x:f>
        <x:v>PASS</x:v>
      </x:c>
    </x:row>
    <x:row r="442">
      <x:c r="B442" s="10" t="str">
        <x:v>A0436</x:v>
      </x:c>
      <x:c r="C442" s="10" t="str">
        <x:v>release gate</x:v>
      </x:c>
      <x:c r="D442" s="10" t="str">
        <x:v>Gate row 81</x:v>
      </x:c>
      <x:c r="E442" s="10" t="str">
        <x:v>state matches gate class</x:v>
      </x:c>
      <x:c r="F442" s="10" t="str">
        <x:f>'Release Gates'!I81</x:f>
        <x:v>OPEN</x:v>
      </x:c>
      <x:c r="G442" s="10" t="str">
        <x:v>OPEN</x:v>
      </x:c>
      <x:c r="H442" s="10" t="str">
        <x:f>IF(F442=G442,"PASS","FAIL")</x:f>
        <x:v>PASS</x:v>
      </x:c>
    </x:row>
    <x:row r="443">
      <x:c r="B443" s="10" t="str">
        <x:v>A0437</x:v>
      </x:c>
      <x:c r="C443" s="10" t="str">
        <x:v>release gate</x:v>
      </x:c>
      <x:c r="D443" s="10" t="str">
        <x:v>Gate row 82</x:v>
      </x:c>
      <x:c r="E443" s="10" t="str">
        <x:v>state matches gate class</x:v>
      </x:c>
      <x:c r="F443" s="10" t="str">
        <x:f>'Release Gates'!I82</x:f>
        <x:v>OPEN</x:v>
      </x:c>
      <x:c r="G443" s="10" t="str">
        <x:v>OPEN</x:v>
      </x:c>
      <x:c r="H443" s="10" t="str">
        <x:f>IF(F443=G443,"PASS","FAIL")</x:f>
        <x:v>PASS</x:v>
      </x:c>
    </x:row>
    <x:row r="444">
      <x:c r="B444" s="10" t="str">
        <x:v>A0438</x:v>
      </x:c>
      <x:c r="C444" s="10" t="str">
        <x:v>release gate</x:v>
      </x:c>
      <x:c r="D444" s="10" t="str">
        <x:v>Gate row 83</x:v>
      </x:c>
      <x:c r="E444" s="10" t="str">
        <x:v>state matches gate class</x:v>
      </x:c>
      <x:c r="F444" s="10" t="str">
        <x:f>'Release Gates'!I83</x:f>
        <x:v>OPEN</x:v>
      </x:c>
      <x:c r="G444" s="10" t="str">
        <x:v>OPEN</x:v>
      </x:c>
      <x:c r="H444" s="10" t="str">
        <x:f>IF(F444=G444,"PASS","FAIL")</x:f>
        <x:v>PASS</x:v>
      </x:c>
    </x:row>
    <x:row r="445">
      <x:c r="B445" s="10" t="str">
        <x:v>A0439</x:v>
      </x:c>
      <x:c r="C445" s="10" t="str">
        <x:v>release gate</x:v>
      </x:c>
      <x:c r="D445" s="10" t="str">
        <x:v>Gate row 84</x:v>
      </x:c>
      <x:c r="E445" s="10" t="str">
        <x:v>state matches gate class</x:v>
      </x:c>
      <x:c r="F445" s="10" t="str">
        <x:f>'Release Gates'!I84</x:f>
        <x:v>OPEN</x:v>
      </x:c>
      <x:c r="G445" s="10" t="str">
        <x:v>OPEN</x:v>
      </x:c>
      <x:c r="H445" s="10" t="str">
        <x:f>IF(F445=G445,"PASS","FAIL")</x:f>
        <x:v>PASS</x:v>
      </x:c>
    </x:row>
    <x:row r="446">
      <x:c r="B446" s="10" t="str">
        <x:v>A0440</x:v>
      </x:c>
      <x:c r="C446" s="10" t="str">
        <x:v>release gate</x:v>
      </x:c>
      <x:c r="D446" s="10" t="str">
        <x:v>Gate row 85</x:v>
      </x:c>
      <x:c r="E446" s="10" t="str">
        <x:v>state matches gate class</x:v>
      </x:c>
      <x:c r="F446" s="10" t="str">
        <x:f>'Release Gates'!I85</x:f>
        <x:v>OPEN</x:v>
      </x:c>
      <x:c r="G446" s="10" t="str">
        <x:v>OPEN</x:v>
      </x:c>
      <x:c r="H446" s="10" t="str">
        <x:f>IF(F446=G446,"PASS","FAIL")</x:f>
        <x:v>PASS</x:v>
      </x:c>
    </x:row>
    <x:row r="447">
      <x:c r="B447" s="10" t="str">
        <x:v>A0441</x:v>
      </x:c>
      <x:c r="C447" s="10" t="str">
        <x:v>release gate</x:v>
      </x:c>
      <x:c r="D447" s="10" t="str">
        <x:v>Gate row 86</x:v>
      </x:c>
      <x:c r="E447" s="10" t="str">
        <x:v>state matches gate class</x:v>
      </x:c>
      <x:c r="F447" s="10" t="str">
        <x:f>'Release Gates'!I86</x:f>
        <x:v>OPEN</x:v>
      </x:c>
      <x:c r="G447" s="10" t="str">
        <x:v>OPEN</x:v>
      </x:c>
      <x:c r="H447" s="10" t="str">
        <x:f>IF(F447=G447,"PASS","FAIL")</x:f>
        <x:v>PASS</x:v>
      </x:c>
    </x:row>
    <x:row r="448">
      <x:c r="B448" s="10" t="str">
        <x:v>A0442</x:v>
      </x:c>
      <x:c r="C448" s="10" t="str">
        <x:v>release gate</x:v>
      </x:c>
      <x:c r="D448" s="10" t="str">
        <x:v>Gate row 87</x:v>
      </x:c>
      <x:c r="E448" s="10" t="str">
        <x:v>state matches gate class</x:v>
      </x:c>
      <x:c r="F448" s="10" t="str">
        <x:f>'Release Gates'!I87</x:f>
        <x:v>OPEN</x:v>
      </x:c>
      <x:c r="G448" s="10" t="str">
        <x:v>OPEN</x:v>
      </x:c>
      <x:c r="H448" s="10" t="str">
        <x:f>IF(F448=G448,"PASS","FAIL")</x:f>
        <x:v>PASS</x:v>
      </x:c>
    </x:row>
    <x:row r="449">
      <x:c r="B449" s="10" t="str">
        <x:v>A0443</x:v>
      </x:c>
      <x:c r="C449" s="10" t="str">
        <x:v>release gate</x:v>
      </x:c>
      <x:c r="D449" s="10" t="str">
        <x:v>Gate row 88</x:v>
      </x:c>
      <x:c r="E449" s="10" t="str">
        <x:v>state matches gate class</x:v>
      </x:c>
      <x:c r="F449" s="10" t="str">
        <x:f>'Release Gates'!I88</x:f>
        <x:v>OPEN</x:v>
      </x:c>
      <x:c r="G449" s="10" t="str">
        <x:v>OPEN</x:v>
      </x:c>
      <x:c r="H449" s="10" t="str">
        <x:f>IF(F449=G449,"PASS","FAIL")</x:f>
        <x:v>PASS</x:v>
      </x:c>
    </x:row>
    <x:row r="450">
      <x:c r="B450" s="10" t="str">
        <x:v>A0444</x:v>
      </x:c>
      <x:c r="C450" s="10" t="str">
        <x:v>release gate</x:v>
      </x:c>
      <x:c r="D450" s="10" t="str">
        <x:v>Gate row 89</x:v>
      </x:c>
      <x:c r="E450" s="10" t="str">
        <x:v>state matches gate class</x:v>
      </x:c>
      <x:c r="F450" s="10" t="str">
        <x:f>'Release Gates'!I89</x:f>
        <x:v>OPEN</x:v>
      </x:c>
      <x:c r="G450" s="10" t="str">
        <x:v>OPEN</x:v>
      </x:c>
      <x:c r="H450" s="10" t="str">
        <x:f>IF(F450=G450,"PASS","FAIL")</x:f>
        <x:v>PASS</x:v>
      </x:c>
    </x:row>
    <x:row r="451">
      <x:c r="B451" s="10" t="str">
        <x:v>A0445</x:v>
      </x:c>
      <x:c r="C451" s="10" t="str">
        <x:v>release gate</x:v>
      </x:c>
      <x:c r="D451" s="10" t="str">
        <x:v>Gate row 90</x:v>
      </x:c>
      <x:c r="E451" s="10" t="str">
        <x:v>state matches gate class</x:v>
      </x:c>
      <x:c r="F451" s="10" t="str">
        <x:f>'Release Gates'!I90</x:f>
        <x:v>OPEN</x:v>
      </x:c>
      <x:c r="G451" s="10" t="str">
        <x:v>OPEN</x:v>
      </x:c>
      <x:c r="H451" s="10" t="str">
        <x:f>IF(F451=G451,"PASS","FAIL")</x:f>
        <x:v>PASS</x:v>
      </x:c>
    </x:row>
    <x:row r="452">
      <x:c r="B452" s="10" t="str">
        <x:v>A0446</x:v>
      </x:c>
      <x:c r="C452" s="10" t="str">
        <x:v>release gate</x:v>
      </x:c>
      <x:c r="D452" s="10" t="str">
        <x:v>Gate row 91</x:v>
      </x:c>
      <x:c r="E452" s="10" t="str">
        <x:v>state matches gate class</x:v>
      </x:c>
      <x:c r="F452" s="10" t="str">
        <x:f>'Release Gates'!I91</x:f>
        <x:v>OPEN</x:v>
      </x:c>
      <x:c r="G452" s="10" t="str">
        <x:v>OPEN</x:v>
      </x:c>
      <x:c r="H452" s="10" t="str">
        <x:f>IF(F452=G452,"PASS","FAIL")</x:f>
        <x:v>PASS</x:v>
      </x:c>
    </x:row>
    <x:row r="453">
      <x:c r="B453" s="10" t="str">
        <x:v>A0447</x:v>
      </x:c>
      <x:c r="C453" s="10" t="str">
        <x:v>release gate</x:v>
      </x:c>
      <x:c r="D453" s="10" t="str">
        <x:v>Gate row 92</x:v>
      </x:c>
      <x:c r="E453" s="10" t="str">
        <x:v>state matches gate class</x:v>
      </x:c>
      <x:c r="F453" s="10" t="str">
        <x:f>'Release Gates'!I92</x:f>
        <x:v>OPEN</x:v>
      </x:c>
      <x:c r="G453" s="10" t="str">
        <x:v>OPEN</x:v>
      </x:c>
      <x:c r="H453" s="10" t="str">
        <x:f>IF(F453=G453,"PASS","FAIL")</x:f>
        <x:v>PASS</x:v>
      </x:c>
    </x:row>
    <x:row r="454">
      <x:c r="B454" s="10" t="str">
        <x:v>A0448</x:v>
      </x:c>
      <x:c r="C454" s="10" t="str">
        <x:v>release gate</x:v>
      </x:c>
      <x:c r="D454" s="10" t="str">
        <x:v>Gate row 93</x:v>
      </x:c>
      <x:c r="E454" s="10" t="str">
        <x:v>state matches gate class</x:v>
      </x:c>
      <x:c r="F454" s="10" t="str">
        <x:f>'Release Gates'!I93</x:f>
        <x:v>OPEN</x:v>
      </x:c>
      <x:c r="G454" s="10" t="str">
        <x:v>OPEN</x:v>
      </x:c>
      <x:c r="H454" s="10" t="str">
        <x:f>IF(F454=G454,"PASS","FAIL")</x:f>
        <x:v>PASS</x:v>
      </x:c>
    </x:row>
    <x:row r="455">
      <x:c r="B455" s="10" t="str">
        <x:v>A0449</x:v>
      </x:c>
      <x:c r="C455" s="10" t="str">
        <x:v>release gate</x:v>
      </x:c>
      <x:c r="D455" s="10" t="str">
        <x:v>Gate row 94</x:v>
      </x:c>
      <x:c r="E455" s="10" t="str">
        <x:v>state matches gate class</x:v>
      </x:c>
      <x:c r="F455" s="10" t="str">
        <x:f>'Release Gates'!I94</x:f>
        <x:v>OPEN</x:v>
      </x:c>
      <x:c r="G455" s="10" t="str">
        <x:v>OPEN</x:v>
      </x:c>
      <x:c r="H455" s="10" t="str">
        <x:f>IF(F455=G455,"PASS","FAIL")</x:f>
        <x:v>PASS</x:v>
      </x:c>
    </x:row>
    <x:row r="456">
      <x:c r="B456" s="10" t="str">
        <x:v>A0450</x:v>
      </x:c>
      <x:c r="C456" s="10" t="str">
        <x:v>release gate</x:v>
      </x:c>
      <x:c r="D456" s="10" t="str">
        <x:v>Gate row 95</x:v>
      </x:c>
      <x:c r="E456" s="10" t="str">
        <x:v>state matches gate class</x:v>
      </x:c>
      <x:c r="F456" s="10" t="str">
        <x:f>'Release Gates'!I95</x:f>
        <x:v>OPEN</x:v>
      </x:c>
      <x:c r="G456" s="10" t="str">
        <x:v>OPEN</x:v>
      </x:c>
      <x:c r="H456" s="10" t="str">
        <x:f>IF(F456=G456,"PASS","FAIL")</x:f>
        <x:v>PASS</x:v>
      </x:c>
    </x:row>
    <x:row r="457">
      <x:c r="B457" s="10" t="str">
        <x:v>A0451</x:v>
      </x:c>
      <x:c r="C457" s="10" t="str">
        <x:v>release gate</x:v>
      </x:c>
      <x:c r="D457" s="10" t="str">
        <x:v>Gate row 96</x:v>
      </x:c>
      <x:c r="E457" s="10" t="str">
        <x:v>state matches gate class</x:v>
      </x:c>
      <x:c r="F457" s="10" t="str">
        <x:f>'Release Gates'!I96</x:f>
        <x:v>OPEN</x:v>
      </x:c>
      <x:c r="G457" s="10" t="str">
        <x:v>OPEN</x:v>
      </x:c>
      <x:c r="H457" s="10" t="str">
        <x:f>IF(F457=G457,"PASS","FAIL")</x:f>
        <x:v>PASS</x:v>
      </x:c>
    </x:row>
    <x:row r="458">
      <x:c r="B458" s="10" t="str">
        <x:v>A0452</x:v>
      </x:c>
      <x:c r="C458" s="10" t="str">
        <x:v>release gate</x:v>
      </x:c>
      <x:c r="D458" s="10" t="str">
        <x:v>Gate row 97</x:v>
      </x:c>
      <x:c r="E458" s="10" t="str">
        <x:v>state matches gate class</x:v>
      </x:c>
      <x:c r="F458" s="10" t="str">
        <x:f>'Release Gates'!I97</x:f>
        <x:v>OPEN</x:v>
      </x:c>
      <x:c r="G458" s="10" t="str">
        <x:v>OPEN</x:v>
      </x:c>
      <x:c r="H458" s="10" t="str">
        <x:f>IF(F458=G458,"PASS","FAIL")</x:f>
        <x:v>PASS</x:v>
      </x:c>
    </x:row>
    <x:row r="459">
      <x:c r="B459" s="10" t="str">
        <x:v>A0453</x:v>
      </x:c>
      <x:c r="C459" s="10" t="str">
        <x:v>release gate</x:v>
      </x:c>
      <x:c r="D459" s="10" t="str">
        <x:v>Gate row 98</x:v>
      </x:c>
      <x:c r="E459" s="10" t="str">
        <x:v>state matches gate class</x:v>
      </x:c>
      <x:c r="F459" s="10" t="str">
        <x:f>'Release Gates'!I98</x:f>
        <x:v>OPEN</x:v>
      </x:c>
      <x:c r="G459" s="10" t="str">
        <x:v>OPEN</x:v>
      </x:c>
      <x:c r="H459" s="10" t="str">
        <x:f>IF(F459=G459,"PASS","FAIL")</x:f>
        <x:v>PASS</x:v>
      </x:c>
    </x:row>
    <x:row r="460">
      <x:c r="B460" s="10" t="str">
        <x:v>A0454</x:v>
      </x:c>
      <x:c r="C460" s="10" t="str">
        <x:v>release gate</x:v>
      </x:c>
      <x:c r="D460" s="10" t="str">
        <x:v>Gate row 99</x:v>
      </x:c>
      <x:c r="E460" s="10" t="str">
        <x:v>state matches gate class</x:v>
      </x:c>
      <x:c r="F460" s="10" t="str">
        <x:f>'Release Gates'!I99</x:f>
        <x:v>OPEN</x:v>
      </x:c>
      <x:c r="G460" s="10" t="str">
        <x:v>OPEN</x:v>
      </x:c>
      <x:c r="H460" s="10" t="str">
        <x:f>IF(F460=G460,"PASS","FAIL")</x:f>
        <x:v>PASS</x:v>
      </x:c>
    </x:row>
    <x:row r="461">
      <x:c r="B461" s="10" t="str">
        <x:v>A0455</x:v>
      </x:c>
      <x:c r="C461" s="10" t="str">
        <x:v>release gate</x:v>
      </x:c>
      <x:c r="D461" s="10" t="str">
        <x:v>Gate row 100</x:v>
      </x:c>
      <x:c r="E461" s="10" t="str">
        <x:v>state matches gate class</x:v>
      </x:c>
      <x:c r="F461" s="10" t="str">
        <x:f>'Release Gates'!I100</x:f>
        <x:v>OPEN</x:v>
      </x:c>
      <x:c r="G461" s="10" t="str">
        <x:v>OPEN</x:v>
      </x:c>
      <x:c r="H461" s="10" t="str">
        <x:f>IF(F461=G461,"PASS","FAIL")</x:f>
        <x:v>PASS</x:v>
      </x:c>
    </x:row>
    <x:row r="462">
      <x:c r="B462" s="10" t="str">
        <x:v>A0456</x:v>
      </x:c>
      <x:c r="C462" s="10" t="str">
        <x:v>release gate</x:v>
      </x:c>
      <x:c r="D462" s="10" t="str">
        <x:v>Gate row 101</x:v>
      </x:c>
      <x:c r="E462" s="10" t="str">
        <x:v>state matches gate class</x:v>
      </x:c>
      <x:c r="F462" s="10" t="str">
        <x:f>'Release Gates'!I101</x:f>
        <x:v>OPEN</x:v>
      </x:c>
      <x:c r="G462" s="10" t="str">
        <x:v>OPEN</x:v>
      </x:c>
      <x:c r="H462" s="10" t="str">
        <x:f>IF(F462=G462,"PASS","FAIL")</x:f>
        <x:v>PASS</x:v>
      </x:c>
    </x:row>
    <x:row r="463">
      <x:c r="B463" s="10" t="str">
        <x:v>A0457</x:v>
      </x:c>
      <x:c r="C463" s="10" t="str">
        <x:v>release gate</x:v>
      </x:c>
      <x:c r="D463" s="10" t="str">
        <x:v>Gate row 102</x:v>
      </x:c>
      <x:c r="E463" s="10" t="str">
        <x:v>state matches gate class</x:v>
      </x:c>
      <x:c r="F463" s="10" t="str">
        <x:f>'Release Gates'!I102</x:f>
        <x:v>OPEN</x:v>
      </x:c>
      <x:c r="G463" s="10" t="str">
        <x:v>OPEN</x:v>
      </x:c>
      <x:c r="H463" s="10" t="str">
        <x:f>IF(F463=G463,"PASS","FAIL")</x:f>
        <x:v>PASS</x:v>
      </x:c>
    </x:row>
    <x:row r="464">
      <x:c r="B464" s="10" t="str">
        <x:v>A0458</x:v>
      </x:c>
      <x:c r="C464" s="10" t="str">
        <x:v>release gate</x:v>
      </x:c>
      <x:c r="D464" s="10" t="str">
        <x:v>Gate row 103</x:v>
      </x:c>
      <x:c r="E464" s="10" t="str">
        <x:v>state matches gate class</x:v>
      </x:c>
      <x:c r="F464" s="10" t="str">
        <x:f>'Release Gates'!I103</x:f>
        <x:v>OPEN</x:v>
      </x:c>
      <x:c r="G464" s="10" t="str">
        <x:v>OPEN</x:v>
      </x:c>
      <x:c r="H464" s="10" t="str">
        <x:f>IF(F464=G464,"PASS","FAIL")</x:f>
        <x:v>PASS</x:v>
      </x:c>
    </x:row>
    <x:row r="465">
      <x:c r="B465" s="10" t="str">
        <x:v>A0459</x:v>
      </x:c>
      <x:c r="C465" s="10" t="str">
        <x:v>release gate</x:v>
      </x:c>
      <x:c r="D465" s="10" t="str">
        <x:v>Gate row 104</x:v>
      </x:c>
      <x:c r="E465" s="10" t="str">
        <x:v>state matches gate class</x:v>
      </x:c>
      <x:c r="F465" s="10" t="str">
        <x:f>'Release Gates'!I104</x:f>
        <x:v>OPEN</x:v>
      </x:c>
      <x:c r="G465" s="10" t="str">
        <x:v>OPEN</x:v>
      </x:c>
      <x:c r="H465" s="10" t="str">
        <x:f>IF(F465=G465,"PASS","FAIL")</x:f>
        <x:v>PASS</x:v>
      </x:c>
    </x:row>
    <x:row r="466">
      <x:c r="B466" s="10" t="str">
        <x:v>A0460</x:v>
      </x:c>
      <x:c r="C466" s="10" t="str">
        <x:v>release gate</x:v>
      </x:c>
      <x:c r="D466" s="10" t="str">
        <x:v>Gate row 105</x:v>
      </x:c>
      <x:c r="E466" s="10" t="str">
        <x:v>state matches gate class</x:v>
      </x:c>
      <x:c r="F466" s="10" t="str">
        <x:f>'Release Gates'!I105</x:f>
        <x:v>OPEN</x:v>
      </x:c>
      <x:c r="G466" s="10" t="str">
        <x:v>OPEN</x:v>
      </x:c>
      <x:c r="H466" s="10" t="str">
        <x:f>IF(F466=G466,"PASS","FAIL")</x:f>
        <x:v>PASS</x:v>
      </x:c>
    </x:row>
    <x:row r="467">
      <x:c r="B467" s="10" t="str">
        <x:v>A0461</x:v>
      </x:c>
      <x:c r="C467" s="10" t="str">
        <x:v>release gate</x:v>
      </x:c>
      <x:c r="D467" s="10" t="str">
        <x:v>Gate row 106</x:v>
      </x:c>
      <x:c r="E467" s="10" t="str">
        <x:v>state matches gate class</x:v>
      </x:c>
      <x:c r="F467" s="10" t="str">
        <x:f>'Release Gates'!I106</x:f>
        <x:v>OPEN</x:v>
      </x:c>
      <x:c r="G467" s="10" t="str">
        <x:v>OPEN</x:v>
      </x:c>
      <x:c r="H467" s="10" t="str">
        <x:f>IF(F467=G467,"PASS","FAIL")</x:f>
        <x:v>PASS</x:v>
      </x:c>
    </x:row>
    <x:row r="468">
      <x:c r="B468" s="10" t="str">
        <x:v>A0462</x:v>
      </x:c>
      <x:c r="C468" s="10" t="str">
        <x:v>release gate</x:v>
      </x:c>
      <x:c r="D468" s="10" t="str">
        <x:v>Gate row 107</x:v>
      </x:c>
      <x:c r="E468" s="10" t="str">
        <x:v>state matches gate class</x:v>
      </x:c>
      <x:c r="F468" s="10" t="str">
        <x:f>'Release Gates'!I107</x:f>
        <x:v>OPEN</x:v>
      </x:c>
      <x:c r="G468" s="10" t="str">
        <x:v>OPEN</x:v>
      </x:c>
      <x:c r="H468" s="10" t="str">
        <x:f>IF(F468=G468,"PASS","FAIL")</x:f>
        <x:v>PASS</x:v>
      </x:c>
    </x:row>
    <x:row r="469">
      <x:c r="B469" s="10" t="str">
        <x:v>A0463</x:v>
      </x:c>
      <x:c r="C469" s="10" t="str">
        <x:v>release gate</x:v>
      </x:c>
      <x:c r="D469" s="10" t="str">
        <x:v>Gate row 108</x:v>
      </x:c>
      <x:c r="E469" s="10" t="str">
        <x:v>state matches gate class</x:v>
      </x:c>
      <x:c r="F469" s="10" t="str">
        <x:f>'Release Gates'!I108</x:f>
        <x:v>OPEN</x:v>
      </x:c>
      <x:c r="G469" s="10" t="str">
        <x:v>OPEN</x:v>
      </x:c>
      <x:c r="H469" s="10" t="str">
        <x:f>IF(F469=G469,"PASS","FAIL")</x:f>
        <x:v>PASS</x:v>
      </x:c>
    </x:row>
    <x:row r="470">
      <x:c r="B470" s="10" t="str">
        <x:v>A0464</x:v>
      </x:c>
      <x:c r="C470" s="10" t="str">
        <x:v>release gate</x:v>
      </x:c>
      <x:c r="D470" s="10" t="str">
        <x:v>Gate row 109</x:v>
      </x:c>
      <x:c r="E470" s="10" t="str">
        <x:v>state matches gate class</x:v>
      </x:c>
      <x:c r="F470" s="10" t="str">
        <x:f>'Release Gates'!I109</x:f>
        <x:v>OPEN</x:v>
      </x:c>
      <x:c r="G470" s="10" t="str">
        <x:v>OPEN</x:v>
      </x:c>
      <x:c r="H470" s="10" t="str">
        <x:f>IF(F470=G470,"PASS","FAIL")</x:f>
        <x:v>PASS</x:v>
      </x:c>
    </x:row>
    <x:row r="471">
      <x:c r="B471" s="10" t="str">
        <x:v>A0465</x:v>
      </x:c>
      <x:c r="C471" s="10" t="str">
        <x:v>release gate</x:v>
      </x:c>
      <x:c r="D471" s="10" t="str">
        <x:v>Gate row 110</x:v>
      </x:c>
      <x:c r="E471" s="10" t="str">
        <x:v>state matches gate class</x:v>
      </x:c>
      <x:c r="F471" s="10" t="str">
        <x:f>'Release Gates'!I110</x:f>
        <x:v>OPEN</x:v>
      </x:c>
      <x:c r="G471" s="10" t="str">
        <x:v>OPEN</x:v>
      </x:c>
      <x:c r="H471" s="10" t="str">
        <x:f>IF(F471=G471,"PASS","FAIL")</x:f>
        <x:v>PASS</x:v>
      </x:c>
    </x:row>
    <x:row r="472">
      <x:c r="B472" s="10" t="str">
        <x:v>A0466</x:v>
      </x:c>
      <x:c r="C472" s="10" t="str">
        <x:v>release gate</x:v>
      </x:c>
      <x:c r="D472" s="10" t="str">
        <x:v>Gate row 111</x:v>
      </x:c>
      <x:c r="E472" s="10" t="str">
        <x:v>state matches gate class</x:v>
      </x:c>
      <x:c r="F472" s="10" t="str">
        <x:f>'Release Gates'!I111</x:f>
        <x:v>OPEN</x:v>
      </x:c>
      <x:c r="G472" s="10" t="str">
        <x:v>OPEN</x:v>
      </x:c>
      <x:c r="H472" s="10" t="str">
        <x:f>IF(F472=G472,"PASS","FAIL")</x:f>
        <x:v>PASS</x:v>
      </x:c>
    </x:row>
    <x:row r="473">
      <x:c r="B473" s="10" t="str">
        <x:v>A0467</x:v>
      </x:c>
      <x:c r="C473" s="10" t="str">
        <x:v>release gate</x:v>
      </x:c>
      <x:c r="D473" s="10" t="str">
        <x:v>Gate row 112</x:v>
      </x:c>
      <x:c r="E473" s="10" t="str">
        <x:v>state matches gate class</x:v>
      </x:c>
      <x:c r="F473" s="10" t="str">
        <x:f>'Release Gates'!I112</x:f>
        <x:v>OPEN</x:v>
      </x:c>
      <x:c r="G473" s="10" t="str">
        <x:v>OPEN</x:v>
      </x:c>
      <x:c r="H473" s="10" t="str">
        <x:f>IF(F473=G473,"PASS","FAIL")</x:f>
        <x:v>PASS</x:v>
      </x:c>
    </x:row>
    <x:row r="474">
      <x:c r="B474" s="10" t="str">
        <x:v>A0468</x:v>
      </x:c>
      <x:c r="C474" s="10" t="str">
        <x:v>release gate</x:v>
      </x:c>
      <x:c r="D474" s="10" t="str">
        <x:v>Gate row 113</x:v>
      </x:c>
      <x:c r="E474" s="10" t="str">
        <x:v>state matches gate class</x:v>
      </x:c>
      <x:c r="F474" s="10" t="str">
        <x:f>'Release Gates'!I113</x:f>
        <x:v>OPEN</x:v>
      </x:c>
      <x:c r="G474" s="10" t="str">
        <x:v>OPEN</x:v>
      </x:c>
      <x:c r="H474" s="10" t="str">
        <x:f>IF(F474=G474,"PASS","FAIL")</x:f>
        <x:v>PASS</x:v>
      </x:c>
    </x:row>
    <x:row r="475">
      <x:c r="B475" s="10" t="str">
        <x:v>A0469</x:v>
      </x:c>
      <x:c r="C475" s="10" t="str">
        <x:v>release gate</x:v>
      </x:c>
      <x:c r="D475" s="10" t="str">
        <x:v>Gate row 114</x:v>
      </x:c>
      <x:c r="E475" s="10" t="str">
        <x:v>state matches gate class</x:v>
      </x:c>
      <x:c r="F475" s="10" t="str">
        <x:f>'Release Gates'!I114</x:f>
        <x:v>OPEN</x:v>
      </x:c>
      <x:c r="G475" s="10" t="str">
        <x:v>OPEN</x:v>
      </x:c>
      <x:c r="H475" s="10" t="str">
        <x:f>IF(F475=G475,"PASS","FAIL")</x:f>
        <x:v>PASS</x:v>
      </x:c>
    </x:row>
    <x:row r="476">
      <x:c r="B476" s="10" t="str">
        <x:v>A0470</x:v>
      </x:c>
      <x:c r="C476" s="10" t="str">
        <x:v>release gate</x:v>
      </x:c>
      <x:c r="D476" s="10" t="str">
        <x:v>Gate row 115</x:v>
      </x:c>
      <x:c r="E476" s="10" t="str">
        <x:v>state matches gate class</x:v>
      </x:c>
      <x:c r="F476" s="10" t="str">
        <x:f>'Release Gates'!I115</x:f>
        <x:v>OPEN</x:v>
      </x:c>
      <x:c r="G476" s="10" t="str">
        <x:v>OPEN</x:v>
      </x:c>
      <x:c r="H476" s="10" t="str">
        <x:f>IF(F476=G476,"PASS","FAIL")</x:f>
        <x:v>PASS</x:v>
      </x:c>
    </x:row>
    <x:row r="477">
      <x:c r="B477" s="10" t="str">
        <x:v>A0471</x:v>
      </x:c>
      <x:c r="C477" s="10" t="str">
        <x:v>release gate</x:v>
      </x:c>
      <x:c r="D477" s="10" t="str">
        <x:v>Gate row 116</x:v>
      </x:c>
      <x:c r="E477" s="10" t="str">
        <x:v>state matches gate class</x:v>
      </x:c>
      <x:c r="F477" s="10" t="str">
        <x:f>'Release Gates'!I116</x:f>
        <x:v>OPEN</x:v>
      </x:c>
      <x:c r="G477" s="10" t="str">
        <x:v>OPEN</x:v>
      </x:c>
      <x:c r="H477" s="10" t="str">
        <x:f>IF(F477=G477,"PASS","FAIL")</x:f>
        <x:v>PASS</x:v>
      </x:c>
    </x:row>
    <x:row r="478">
      <x:c r="B478" s="10" t="str">
        <x:v>A0472</x:v>
      </x:c>
      <x:c r="C478" s="10" t="str">
        <x:v>release gate</x:v>
      </x:c>
      <x:c r="D478" s="10" t="str">
        <x:v>Gate row 117</x:v>
      </x:c>
      <x:c r="E478" s="10" t="str">
        <x:v>state matches gate class</x:v>
      </x:c>
      <x:c r="F478" s="10" t="str">
        <x:f>'Release Gates'!I117</x:f>
        <x:v>OPEN</x:v>
      </x:c>
      <x:c r="G478" s="10" t="str">
        <x:v>OPEN</x:v>
      </x:c>
      <x:c r="H478" s="10" t="str">
        <x:f>IF(F478=G478,"PASS","FAIL")</x:f>
        <x:v>PASS</x:v>
      </x:c>
    </x:row>
    <x:row r="479">
      <x:c r="B479" s="10" t="str">
        <x:v>A0473</x:v>
      </x:c>
      <x:c r="C479" s="10" t="str">
        <x:v>release gate</x:v>
      </x:c>
      <x:c r="D479" s="10" t="str">
        <x:v>Gate row 118</x:v>
      </x:c>
      <x:c r="E479" s="10" t="str">
        <x:v>state matches gate class</x:v>
      </x:c>
      <x:c r="F479" s="10" t="str">
        <x:f>'Release Gates'!I118</x:f>
        <x:v>OPEN</x:v>
      </x:c>
      <x:c r="G479" s="10" t="str">
        <x:v>OPEN</x:v>
      </x:c>
      <x:c r="H479" s="10" t="str">
        <x:f>IF(F479=G479,"PASS","FAIL")</x:f>
        <x:v>PASS</x:v>
      </x:c>
    </x:row>
    <x:row r="480">
      <x:c r="B480" s="10" t="str">
        <x:v>A0474</x:v>
      </x:c>
      <x:c r="C480" s="10" t="str">
        <x:v>release gate</x:v>
      </x:c>
      <x:c r="D480" s="10" t="str">
        <x:v>Gate row 119</x:v>
      </x:c>
      <x:c r="E480" s="10" t="str">
        <x:v>state matches gate class</x:v>
      </x:c>
      <x:c r="F480" s="10" t="str">
        <x:f>'Release Gates'!I119</x:f>
        <x:v>OPEN</x:v>
      </x:c>
      <x:c r="G480" s="10" t="str">
        <x:v>OPEN</x:v>
      </x:c>
      <x:c r="H480" s="10" t="str">
        <x:f>IF(F480=G480,"PASS","FAIL")</x:f>
        <x:v>PASS</x:v>
      </x:c>
    </x:row>
    <x:row r="481">
      <x:c r="B481" s="10" t="str">
        <x:v>A0475</x:v>
      </x:c>
      <x:c r="C481" s="10" t="str">
        <x:v>release gate</x:v>
      </x:c>
      <x:c r="D481" s="10" t="str">
        <x:v>Gate row 120</x:v>
      </x:c>
      <x:c r="E481" s="10" t="str">
        <x:v>state matches gate class</x:v>
      </x:c>
      <x:c r="F481" s="10" t="str">
        <x:f>'Release Gates'!I120</x:f>
        <x:v>OPEN</x:v>
      </x:c>
      <x:c r="G481" s="10" t="str">
        <x:v>OPEN</x:v>
      </x:c>
      <x:c r="H481" s="10" t="str">
        <x:f>IF(F481=G481,"PASS","FAIL")</x:f>
        <x:v>PASS</x:v>
      </x:c>
    </x:row>
    <x:row r="482">
      <x:c r="B482" s="10" t="str">
        <x:v>A0476</x:v>
      </x:c>
      <x:c r="C482" s="10" t="str">
        <x:v>release gate</x:v>
      </x:c>
      <x:c r="D482" s="10" t="str">
        <x:v>Gate row 121</x:v>
      </x:c>
      <x:c r="E482" s="10" t="str">
        <x:v>state matches gate class</x:v>
      </x:c>
      <x:c r="F482" s="10" t="str">
        <x:f>'Release Gates'!I121</x:f>
        <x:v>OPEN</x:v>
      </x:c>
      <x:c r="G482" s="10" t="str">
        <x:v>OPEN</x:v>
      </x:c>
      <x:c r="H482" s="10" t="str">
        <x:f>IF(F482=G482,"PASS","FAIL")</x:f>
        <x:v>PASS</x:v>
      </x:c>
    </x:row>
    <x:row r="483">
      <x:c r="B483" s="10" t="str">
        <x:v>A0477</x:v>
      </x:c>
      <x:c r="C483" s="10" t="str">
        <x:v>release gate</x:v>
      </x:c>
      <x:c r="D483" s="10" t="str">
        <x:v>Gate row 122</x:v>
      </x:c>
      <x:c r="E483" s="10" t="str">
        <x:v>state matches gate class</x:v>
      </x:c>
      <x:c r="F483" s="10" t="str">
        <x:f>'Release Gates'!I122</x:f>
        <x:v>OPEN</x:v>
      </x:c>
      <x:c r="G483" s="10" t="str">
        <x:v>OPEN</x:v>
      </x:c>
      <x:c r="H483" s="10" t="str">
        <x:f>IF(F483=G483,"PASS","FAIL")</x:f>
        <x:v>PASS</x:v>
      </x:c>
    </x:row>
    <x:row r="484">
      <x:c r="B484" s="10" t="str">
        <x:v>A0478</x:v>
      </x:c>
      <x:c r="C484" s="10" t="str">
        <x:v>release gate</x:v>
      </x:c>
      <x:c r="D484" s="10" t="str">
        <x:v>Gate row 123</x:v>
      </x:c>
      <x:c r="E484" s="10" t="str">
        <x:v>state matches gate class</x:v>
      </x:c>
      <x:c r="F484" s="10" t="str">
        <x:f>'Release Gates'!I123</x:f>
        <x:v>OPEN</x:v>
      </x:c>
      <x:c r="G484" s="10" t="str">
        <x:v>OPEN</x:v>
      </x:c>
      <x:c r="H484" s="10" t="str">
        <x:f>IF(F484=G484,"PASS","FAIL")</x:f>
        <x:v>PASS</x:v>
      </x:c>
    </x:row>
    <x:row r="485">
      <x:c r="B485" s="10" t="str">
        <x:v>A0479</x:v>
      </x:c>
      <x:c r="C485" s="10" t="str">
        <x:v>release gate</x:v>
      </x:c>
      <x:c r="D485" s="10" t="str">
        <x:v>Gate row 124</x:v>
      </x:c>
      <x:c r="E485" s="10" t="str">
        <x:v>state matches gate class</x:v>
      </x:c>
      <x:c r="F485" s="10" t="str">
        <x:f>'Release Gates'!I124</x:f>
        <x:v>OPEN</x:v>
      </x:c>
      <x:c r="G485" s="10" t="str">
        <x:v>OPEN</x:v>
      </x:c>
      <x:c r="H485" s="10" t="str">
        <x:f>IF(F485=G485,"PASS","FAIL")</x:f>
        <x:v>PASS</x:v>
      </x:c>
    </x:row>
    <x:row r="486">
      <x:c r="B486" s="10" t="str">
        <x:v>A0480</x:v>
      </x:c>
      <x:c r="C486" s="10" t="str">
        <x:v>release gate</x:v>
      </x:c>
      <x:c r="D486" s="10" t="str">
        <x:v>Gate row 125</x:v>
      </x:c>
      <x:c r="E486" s="10" t="str">
        <x:v>state matches gate class</x:v>
      </x:c>
      <x:c r="F486" s="10" t="str">
        <x:f>'Release Gates'!I125</x:f>
        <x:v>OPEN</x:v>
      </x:c>
      <x:c r="G486" s="10" t="str">
        <x:v>OPEN</x:v>
      </x:c>
      <x:c r="H486" s="10" t="str">
        <x:f>IF(F486=G486,"PASS","FAIL")</x:f>
        <x:v>PASS</x:v>
      </x:c>
    </x:row>
    <x:row r="487">
      <x:c r="B487" s="10" t="str">
        <x:v>A0481</x:v>
      </x:c>
      <x:c r="C487" s="10" t="str">
        <x:v>release gate</x:v>
      </x:c>
      <x:c r="D487" s="10" t="str">
        <x:v>Gate row 126</x:v>
      </x:c>
      <x:c r="E487" s="10" t="str">
        <x:v>state matches gate class</x:v>
      </x:c>
      <x:c r="F487" s="10" t="str">
        <x:f>'Release Gates'!I126</x:f>
        <x:v>OPEN</x:v>
      </x:c>
      <x:c r="G487" s="10" t="str">
        <x:v>OPEN</x:v>
      </x:c>
      <x:c r="H487" s="10" t="str">
        <x:f>IF(F487=G487,"PASS","FAIL")</x:f>
        <x:v>PASS</x:v>
      </x:c>
    </x:row>
    <x:row r="488">
      <x:c r="B488" s="10" t="str">
        <x:v>A0482</x:v>
      </x:c>
      <x:c r="C488" s="10" t="str">
        <x:v>release gate</x:v>
      </x:c>
      <x:c r="D488" s="10" t="str">
        <x:v>Gate row 127</x:v>
      </x:c>
      <x:c r="E488" s="10" t="str">
        <x:v>state matches gate class</x:v>
      </x:c>
      <x:c r="F488" s="10" t="str">
        <x:f>'Release Gates'!I127</x:f>
        <x:v>OPEN</x:v>
      </x:c>
      <x:c r="G488" s="10" t="str">
        <x:v>OPEN</x:v>
      </x:c>
      <x:c r="H488" s="10" t="str">
        <x:f>IF(F488=G488,"PASS","FAIL")</x:f>
        <x:v>PASS</x:v>
      </x:c>
    </x:row>
    <x:row r="489">
      <x:c r="B489" s="10" t="str">
        <x:v>A0483</x:v>
      </x:c>
      <x:c r="C489" s="10" t="str">
        <x:v>release gate</x:v>
      </x:c>
      <x:c r="D489" s="10" t="str">
        <x:v>Gate row 128</x:v>
      </x:c>
      <x:c r="E489" s="10" t="str">
        <x:v>state matches gate class</x:v>
      </x:c>
      <x:c r="F489" s="10" t="str">
        <x:f>'Release Gates'!I128</x:f>
        <x:v>OPEN</x:v>
      </x:c>
      <x:c r="G489" s="10" t="str">
        <x:v>OPEN</x:v>
      </x:c>
      <x:c r="H489" s="10" t="str">
        <x:f>IF(F489=G489,"PASS","FAIL")</x:f>
        <x:v>PASS</x:v>
      </x:c>
    </x:row>
    <x:row r="490">
      <x:c r="B490" s="10" t="str">
        <x:v>A0484</x:v>
      </x:c>
      <x:c r="C490" s="10" t="str">
        <x:v>release gate</x:v>
      </x:c>
      <x:c r="D490" s="10" t="str">
        <x:v>Gate row 129</x:v>
      </x:c>
      <x:c r="E490" s="10" t="str">
        <x:v>state matches gate class</x:v>
      </x:c>
      <x:c r="F490" s="10" t="str">
        <x:f>'Release Gates'!I129</x:f>
        <x:v>OPEN</x:v>
      </x:c>
      <x:c r="G490" s="10" t="str">
        <x:v>OPEN</x:v>
      </x:c>
      <x:c r="H490" s="10" t="str">
        <x:f>IF(F490=G490,"PASS","FAIL")</x:f>
        <x:v>PASS</x:v>
      </x:c>
    </x:row>
    <x:row r="491">
      <x:c r="B491" s="10" t="str">
        <x:v>A0485</x:v>
      </x:c>
      <x:c r="C491" s="10" t="str">
        <x:v>release gate</x:v>
      </x:c>
      <x:c r="D491" s="10" t="str">
        <x:v>Gate row 130</x:v>
      </x:c>
      <x:c r="E491" s="10" t="str">
        <x:v>state matches gate class</x:v>
      </x:c>
      <x:c r="F491" s="10" t="str">
        <x:f>'Release Gates'!I130</x:f>
        <x:v>OPEN</x:v>
      </x:c>
      <x:c r="G491" s="10" t="str">
        <x:v>OPEN</x:v>
      </x:c>
      <x:c r="H491" s="10" t="str">
        <x:f>IF(F491=G491,"PASS","FAIL")</x:f>
        <x:v>PASS</x:v>
      </x:c>
    </x:row>
    <x:row r="492">
      <x:c r="B492" s="10" t="str">
        <x:v>A0486</x:v>
      </x:c>
      <x:c r="C492" s="10" t="str">
        <x:v>release gate</x:v>
      </x:c>
      <x:c r="D492" s="10" t="str">
        <x:v>Gate row 131</x:v>
      </x:c>
      <x:c r="E492" s="10" t="str">
        <x:v>state matches gate class</x:v>
      </x:c>
      <x:c r="F492" s="10" t="str">
        <x:f>'Release Gates'!I131</x:f>
        <x:v>OPEN</x:v>
      </x:c>
      <x:c r="G492" s="10" t="str">
        <x:v>OPEN</x:v>
      </x:c>
      <x:c r="H492" s="10" t="str">
        <x:f>IF(F492=G492,"PASS","FAIL")</x:f>
        <x:v>PASS</x:v>
      </x:c>
    </x:row>
    <x:row r="493">
      <x:c r="B493" s="10" t="str">
        <x:v>A0487</x:v>
      </x:c>
      <x:c r="C493" s="10" t="str">
        <x:v>release gate</x:v>
      </x:c>
      <x:c r="D493" s="10" t="str">
        <x:v>Gate row 132</x:v>
      </x:c>
      <x:c r="E493" s="10" t="str">
        <x:v>state matches gate class</x:v>
      </x:c>
      <x:c r="F493" s="10" t="str">
        <x:f>'Release Gates'!I132</x:f>
        <x:v>OPEN</x:v>
      </x:c>
      <x:c r="G493" s="10" t="str">
        <x:v>OPEN</x:v>
      </x:c>
      <x:c r="H493" s="10" t="str">
        <x:f>IF(F493=G493,"PASS","FAIL")</x:f>
        <x:v>PASS</x:v>
      </x:c>
    </x:row>
    <x:row r="494">
      <x:c r="B494" s="10" t="str">
        <x:v>A0488</x:v>
      </x:c>
      <x:c r="C494" s="10" t="str">
        <x:v>release gate</x:v>
      </x:c>
      <x:c r="D494" s="10" t="str">
        <x:v>Gate row 133</x:v>
      </x:c>
      <x:c r="E494" s="10" t="str">
        <x:v>state matches gate class</x:v>
      </x:c>
      <x:c r="F494" s="10" t="str">
        <x:f>'Release Gates'!I133</x:f>
        <x:v>OPEN</x:v>
      </x:c>
      <x:c r="G494" s="10" t="str">
        <x:v>OPEN</x:v>
      </x:c>
      <x:c r="H494" s="10" t="str">
        <x:f>IF(F494=G494,"PASS","FAIL")</x:f>
        <x:v>PASS</x:v>
      </x:c>
    </x:row>
    <x:row r="495">
      <x:c r="B495" s="10" t="str">
        <x:v>A0489</x:v>
      </x:c>
      <x:c r="C495" s="10" t="str">
        <x:v>release gate</x:v>
      </x:c>
      <x:c r="D495" s="10" t="str">
        <x:v>Gate row 134</x:v>
      </x:c>
      <x:c r="E495" s="10" t="str">
        <x:v>state matches gate class</x:v>
      </x:c>
      <x:c r="F495" s="10" t="str">
        <x:f>'Release Gates'!I134</x:f>
        <x:v>OPEN</x:v>
      </x:c>
      <x:c r="G495" s="10" t="str">
        <x:v>OPEN</x:v>
      </x:c>
      <x:c r="H495" s="10" t="str">
        <x:f>IF(F495=G495,"PASS","FAIL")</x:f>
        <x:v>PASS</x:v>
      </x:c>
    </x:row>
    <x:row r="496">
      <x:c r="B496" s="10" t="str">
        <x:v>A0490</x:v>
      </x:c>
      <x:c r="C496" s="10" t="str">
        <x:v>release gate</x:v>
      </x:c>
      <x:c r="D496" s="10" t="str">
        <x:v>Gate row 135</x:v>
      </x:c>
      <x:c r="E496" s="10" t="str">
        <x:v>state matches gate class</x:v>
      </x:c>
      <x:c r="F496" s="10" t="str">
        <x:f>'Release Gates'!I135</x:f>
        <x:v>OPEN</x:v>
      </x:c>
      <x:c r="G496" s="10" t="str">
        <x:v>OPEN</x:v>
      </x:c>
      <x:c r="H496" s="10" t="str">
        <x:f>IF(F496=G496,"PASS","FAIL")</x:f>
        <x:v>PASS</x:v>
      </x:c>
    </x:row>
    <x:row r="497">
      <x:c r="B497" s="10" t="str">
        <x:v>A0491</x:v>
      </x:c>
      <x:c r="C497" s="10" t="str">
        <x:v>release gate</x:v>
      </x:c>
      <x:c r="D497" s="10" t="str">
        <x:v>Gate row 136</x:v>
      </x:c>
      <x:c r="E497" s="10" t="str">
        <x:v>state matches gate class</x:v>
      </x:c>
      <x:c r="F497" s="10" t="str">
        <x:f>'Release Gates'!I136</x:f>
        <x:v>OPEN</x:v>
      </x:c>
      <x:c r="G497" s="10" t="str">
        <x:v>OPEN</x:v>
      </x:c>
      <x:c r="H497" s="10" t="str">
        <x:f>IF(F497=G497,"PASS","FAIL")</x:f>
        <x:v>PASS</x:v>
      </x:c>
    </x:row>
    <x:row r="498">
      <x:c r="B498" s="10" t="str">
        <x:v>A0492</x:v>
      </x:c>
      <x:c r="C498" s="10" t="str">
        <x:v>release gate</x:v>
      </x:c>
      <x:c r="D498" s="10" t="str">
        <x:v>Gate row 137</x:v>
      </x:c>
      <x:c r="E498" s="10" t="str">
        <x:v>state matches gate class</x:v>
      </x:c>
      <x:c r="F498" s="10" t="str">
        <x:f>'Release Gates'!I137</x:f>
        <x:v>OPEN</x:v>
      </x:c>
      <x:c r="G498" s="10" t="str">
        <x:v>OPEN</x:v>
      </x:c>
      <x:c r="H498" s="10" t="str">
        <x:f>IF(F498=G498,"PASS","FAIL")</x:f>
        <x:v>PASS</x:v>
      </x:c>
    </x:row>
    <x:row r="499">
      <x:c r="B499" s="10" t="str">
        <x:v>A0493</x:v>
      </x:c>
      <x:c r="C499" s="10" t="str">
        <x:v>release gate</x:v>
      </x:c>
      <x:c r="D499" s="10" t="str">
        <x:v>Gate row 138</x:v>
      </x:c>
      <x:c r="E499" s="10" t="str">
        <x:v>state matches gate class</x:v>
      </x:c>
      <x:c r="F499" s="10" t="str">
        <x:f>'Release Gates'!I138</x:f>
        <x:v>OPEN</x:v>
      </x:c>
      <x:c r="G499" s="10" t="str">
        <x:v>OPEN</x:v>
      </x:c>
      <x:c r="H499" s="10" t="str">
        <x:f>IF(F499=G499,"PASS","FAIL")</x:f>
        <x:v>PASS</x:v>
      </x:c>
    </x:row>
    <x:row r="500">
      <x:c r="B500" s="10" t="str">
        <x:v>A0494</x:v>
      </x:c>
      <x:c r="C500" s="10" t="str">
        <x:v>release gate</x:v>
      </x:c>
      <x:c r="D500" s="10" t="str">
        <x:v>Gate row 139</x:v>
      </x:c>
      <x:c r="E500" s="10" t="str">
        <x:v>state matches gate class</x:v>
      </x:c>
      <x:c r="F500" s="10" t="str">
        <x:f>'Release Gates'!I139</x:f>
        <x:v>OPEN</x:v>
      </x:c>
      <x:c r="G500" s="10" t="str">
        <x:v>OPEN</x:v>
      </x:c>
      <x:c r="H500" s="10" t="str">
        <x:f>IF(F500=G500,"PASS","FAIL")</x:f>
        <x:v>PASS</x:v>
      </x:c>
    </x:row>
    <x:row r="501">
      <x:c r="B501" s="10" t="str">
        <x:v>A0495</x:v>
      </x:c>
      <x:c r="C501" s="10" t="str">
        <x:v>release gate</x:v>
      </x:c>
      <x:c r="D501" s="10" t="str">
        <x:v>Gate row 140</x:v>
      </x:c>
      <x:c r="E501" s="10" t="str">
        <x:v>state matches gate class</x:v>
      </x:c>
      <x:c r="F501" s="10" t="str">
        <x:f>'Release Gates'!I140</x:f>
        <x:v>OPEN</x:v>
      </x:c>
      <x:c r="G501" s="10" t="str">
        <x:v>OPEN</x:v>
      </x:c>
      <x:c r="H501" s="10" t="str">
        <x:f>IF(F501=G501,"PASS","FAIL")</x:f>
        <x:v>PASS</x:v>
      </x:c>
    </x:row>
    <x:row r="502">
      <x:c r="B502" s="10" t="str">
        <x:v>A0496</x:v>
      </x:c>
      <x:c r="C502" s="10" t="str">
        <x:v>release gate</x:v>
      </x:c>
      <x:c r="D502" s="10" t="str">
        <x:v>Gate row 141</x:v>
      </x:c>
      <x:c r="E502" s="10" t="str">
        <x:v>state matches gate class</x:v>
      </x:c>
      <x:c r="F502" s="10" t="str">
        <x:f>'Release Gates'!I141</x:f>
        <x:v>OPEN</x:v>
      </x:c>
      <x:c r="G502" s="10" t="str">
        <x:v>OPEN</x:v>
      </x:c>
      <x:c r="H502" s="10" t="str">
        <x:f>IF(F502=G502,"PASS","FAIL")</x:f>
        <x:v>PASS</x:v>
      </x:c>
    </x:row>
    <x:row r="503">
      <x:c r="B503" s="10" t="str">
        <x:v>A0497</x:v>
      </x:c>
      <x:c r="C503" s="10" t="str">
        <x:v>release gate</x:v>
      </x:c>
      <x:c r="D503" s="10" t="str">
        <x:v>Gate row 142</x:v>
      </x:c>
      <x:c r="E503" s="10" t="str">
        <x:v>state matches gate class</x:v>
      </x:c>
      <x:c r="F503" s="10" t="str">
        <x:f>'Release Gates'!I142</x:f>
        <x:v>OPEN</x:v>
      </x:c>
      <x:c r="G503" s="10" t="str">
        <x:v>OPEN</x:v>
      </x:c>
      <x:c r="H503" s="10" t="str">
        <x:f>IF(F503=G503,"PASS","FAIL")</x:f>
        <x:v>PASS</x:v>
      </x:c>
    </x:row>
    <x:row r="504">
      <x:c r="B504" s="10" t="str">
        <x:v>A0498</x:v>
      </x:c>
      <x:c r="C504" s="10" t="str">
        <x:v>release gate</x:v>
      </x:c>
      <x:c r="D504" s="10" t="str">
        <x:v>Gate row 143</x:v>
      </x:c>
      <x:c r="E504" s="10" t="str">
        <x:v>state matches gate class</x:v>
      </x:c>
      <x:c r="F504" s="10" t="str">
        <x:f>'Release Gates'!I143</x:f>
        <x:v>OPEN</x:v>
      </x:c>
      <x:c r="G504" s="10" t="str">
        <x:v>OPEN</x:v>
      </x:c>
      <x:c r="H504" s="10" t="str">
        <x:f>IF(F504=G504,"PASS","FAIL")</x:f>
        <x:v>PASS</x:v>
      </x:c>
    </x:row>
    <x:row r="505">
      <x:c r="B505" s="10" t="str">
        <x:v>A0499</x:v>
      </x:c>
      <x:c r="C505" s="10" t="str">
        <x:v>release gate</x:v>
      </x:c>
      <x:c r="D505" s="10" t="str">
        <x:v>Gate row 144</x:v>
      </x:c>
      <x:c r="E505" s="10" t="str">
        <x:v>state matches gate class</x:v>
      </x:c>
      <x:c r="F505" s="10" t="str">
        <x:f>'Release Gates'!I144</x:f>
        <x:v>OPEN</x:v>
      </x:c>
      <x:c r="G505" s="10" t="str">
        <x:v>OPEN</x:v>
      </x:c>
      <x:c r="H505" s="10" t="str">
        <x:f>IF(F505=G505,"PASS","FAIL")</x:f>
        <x:v>PASS</x:v>
      </x:c>
    </x:row>
    <x:row r="506">
      <x:c r="B506" s="10" t="str">
        <x:v>A0500</x:v>
      </x:c>
      <x:c r="C506" s="10" t="str">
        <x:v>release gate</x:v>
      </x:c>
      <x:c r="D506" s="10" t="str">
        <x:v>Gate row 145</x:v>
      </x:c>
      <x:c r="E506" s="10" t="str">
        <x:v>state matches gate class</x:v>
      </x:c>
      <x:c r="F506" s="10" t="str">
        <x:f>'Release Gates'!I145</x:f>
        <x:v>OPEN</x:v>
      </x:c>
      <x:c r="G506" s="10" t="str">
        <x:v>OPEN</x:v>
      </x:c>
      <x:c r="H506" s="10" t="str">
        <x:f>IF(F506=G506,"PASS","FAIL")</x:f>
        <x:v>PASS</x:v>
      </x:c>
    </x:row>
    <x:row r="507">
      <x:c r="B507" s="10" t="str">
        <x:v>A0501</x:v>
      </x:c>
      <x:c r="C507" s="10" t="str">
        <x:v>release gate</x:v>
      </x:c>
      <x:c r="D507" s="10" t="str">
        <x:v>Gate row 146</x:v>
      </x:c>
      <x:c r="E507" s="10" t="str">
        <x:v>state matches gate class</x:v>
      </x:c>
      <x:c r="F507" s="10" t="str">
        <x:f>'Release Gates'!I146</x:f>
        <x:v>OPEN</x:v>
      </x:c>
      <x:c r="G507" s="10" t="str">
        <x:v>OPEN</x:v>
      </x:c>
      <x:c r="H507" s="10" t="str">
        <x:f>IF(F507=G507,"PASS","FAIL")</x:f>
        <x:v>PASS</x:v>
      </x:c>
    </x:row>
    <x:row r="508">
      <x:c r="B508" s="10" t="str">
        <x:v>A0502</x:v>
      </x:c>
      <x:c r="C508" s="10" t="str">
        <x:v>release gate</x:v>
      </x:c>
      <x:c r="D508" s="10" t="str">
        <x:v>Gate row 147</x:v>
      </x:c>
      <x:c r="E508" s="10" t="str">
        <x:v>state matches gate class</x:v>
      </x:c>
      <x:c r="F508" s="10" t="str">
        <x:f>'Release Gates'!I147</x:f>
        <x:v>OPEN</x:v>
      </x:c>
      <x:c r="G508" s="10" t="str">
        <x:v>OPEN</x:v>
      </x:c>
      <x:c r="H508" s="10" t="str">
        <x:f>IF(F508=G508,"PASS","FAIL")</x:f>
        <x:v>PASS</x:v>
      </x:c>
    </x:row>
    <x:row r="509">
      <x:c r="B509" s="10" t="str">
        <x:v>A0503</x:v>
      </x:c>
      <x:c r="C509" s="10" t="str">
        <x:v>release gate</x:v>
      </x:c>
      <x:c r="D509" s="10" t="str">
        <x:v>Gate row 148</x:v>
      </x:c>
      <x:c r="E509" s="10" t="str">
        <x:v>state matches gate class</x:v>
      </x:c>
      <x:c r="F509" s="10" t="str">
        <x:f>'Release Gates'!I148</x:f>
        <x:v>OPEN</x:v>
      </x:c>
      <x:c r="G509" s="10" t="str">
        <x:v>OPEN</x:v>
      </x:c>
      <x:c r="H509" s="10" t="str">
        <x:f>IF(F509=G509,"PASS","FAIL")</x:f>
        <x:v>PASS</x:v>
      </x:c>
    </x:row>
    <x:row r="510">
      <x:c r="B510" s="10" t="str">
        <x:v>A0504</x:v>
      </x:c>
      <x:c r="C510" s="10" t="str">
        <x:v>release gate</x:v>
      </x:c>
      <x:c r="D510" s="10" t="str">
        <x:v>Gate row 149</x:v>
      </x:c>
      <x:c r="E510" s="10" t="str">
        <x:v>state matches gate class</x:v>
      </x:c>
      <x:c r="F510" s="10" t="str">
        <x:f>'Release Gates'!I149</x:f>
        <x:v>OPEN</x:v>
      </x:c>
      <x:c r="G510" s="10" t="str">
        <x:v>OPEN</x:v>
      </x:c>
      <x:c r="H510" s="10" t="str">
        <x:f>IF(F510=G510,"PASS","FAIL")</x:f>
        <x:v>PASS</x:v>
      </x:c>
    </x:row>
    <x:row r="511">
      <x:c r="B511" s="10" t="str">
        <x:v>A0505</x:v>
      </x:c>
      <x:c r="C511" s="10" t="str">
        <x:v>release gate</x:v>
      </x:c>
      <x:c r="D511" s="10" t="str">
        <x:v>Gate row 150</x:v>
      </x:c>
      <x:c r="E511" s="10" t="str">
        <x:v>state matches gate class</x:v>
      </x:c>
      <x:c r="F511" s="10" t="str">
        <x:f>'Release Gates'!I150</x:f>
        <x:v>OPEN</x:v>
      </x:c>
      <x:c r="G511" s="10" t="str">
        <x:v>OPEN</x:v>
      </x:c>
      <x:c r="H511" s="10" t="str">
        <x:f>IF(F511=G511,"PASS","FAIL")</x:f>
        <x:v>PASS</x:v>
      </x:c>
    </x:row>
    <x:row r="512">
      <x:c r="B512" s="10" t="str">
        <x:v>A0506</x:v>
      </x:c>
      <x:c r="C512" s="10" t="str">
        <x:v>release gate</x:v>
      </x:c>
      <x:c r="D512" s="10" t="str">
        <x:v>Gate row 151</x:v>
      </x:c>
      <x:c r="E512" s="10" t="str">
        <x:v>state matches gate class</x:v>
      </x:c>
      <x:c r="F512" s="10" t="str">
        <x:f>'Release Gates'!I151</x:f>
        <x:v>OPEN</x:v>
      </x:c>
      <x:c r="G512" s="10" t="str">
        <x:v>OPEN</x:v>
      </x:c>
      <x:c r="H512" s="10" t="str">
        <x:f>IF(F512=G512,"PASS","FAIL")</x:f>
        <x:v>PASS</x:v>
      </x:c>
    </x:row>
    <x:row r="513">
      <x:c r="B513" s="10" t="str">
        <x:v>A0507</x:v>
      </x:c>
      <x:c r="C513" s="10" t="str">
        <x:v>release gate</x:v>
      </x:c>
      <x:c r="D513" s="10" t="str">
        <x:v>Gate row 152</x:v>
      </x:c>
      <x:c r="E513" s="10" t="str">
        <x:v>state matches gate class</x:v>
      </x:c>
      <x:c r="F513" s="10" t="str">
        <x:f>'Release Gates'!I152</x:f>
        <x:v>OPEN</x:v>
      </x:c>
      <x:c r="G513" s="10" t="str">
        <x:v>OPEN</x:v>
      </x:c>
      <x:c r="H513" s="10" t="str">
        <x:f>IF(F513=G513,"PASS","FAIL")</x:f>
        <x:v>PASS</x:v>
      </x:c>
    </x:row>
    <x:row r="514">
      <x:c r="B514" s="10" t="str">
        <x:v>A0508</x:v>
      </x:c>
      <x:c r="C514" s="10" t="str">
        <x:v>release gate</x:v>
      </x:c>
      <x:c r="D514" s="10" t="str">
        <x:v>Gate row 153</x:v>
      </x:c>
      <x:c r="E514" s="10" t="str">
        <x:v>state matches gate class</x:v>
      </x:c>
      <x:c r="F514" s="10" t="str">
        <x:f>'Release Gates'!I153</x:f>
        <x:v>OPEN</x:v>
      </x:c>
      <x:c r="G514" s="10" t="str">
        <x:v>OPEN</x:v>
      </x:c>
      <x:c r="H514" s="10" t="str">
        <x:f>IF(F514=G514,"PASS","FAIL")</x:f>
        <x:v>PASS</x:v>
      </x:c>
    </x:row>
    <x:row r="515">
      <x:c r="B515" s="10" t="str">
        <x:v>A0509</x:v>
      </x:c>
      <x:c r="C515" s="10" t="str">
        <x:v>release gate</x:v>
      </x:c>
      <x:c r="D515" s="10" t="str">
        <x:v>Gate row 154</x:v>
      </x:c>
      <x:c r="E515" s="10" t="str">
        <x:v>state matches gate class</x:v>
      </x:c>
      <x:c r="F515" s="10" t="str">
        <x:f>'Release Gates'!I154</x:f>
        <x:v>OPEN</x:v>
      </x:c>
      <x:c r="G515" s="10" t="str">
        <x:v>OPEN</x:v>
      </x:c>
      <x:c r="H515" s="10" t="str">
        <x:f>IF(F515=G515,"PASS","FAIL")</x:f>
        <x:v>PASS</x:v>
      </x:c>
    </x:row>
    <x:row r="516">
      <x:c r="B516" s="10" t="str">
        <x:v>A0510</x:v>
      </x:c>
      <x:c r="C516" s="10" t="str">
        <x:v>release gate</x:v>
      </x:c>
      <x:c r="D516" s="10" t="str">
        <x:v>Gate row 155</x:v>
      </x:c>
      <x:c r="E516" s="10" t="str">
        <x:v>state matches gate class</x:v>
      </x:c>
      <x:c r="F516" s="10" t="str">
        <x:f>'Release Gates'!I155</x:f>
        <x:v>OPEN</x:v>
      </x:c>
      <x:c r="G516" s="10" t="str">
        <x:v>OPEN</x:v>
      </x:c>
      <x:c r="H516" s="10" t="str">
        <x:f>IF(F516=G516,"PASS","FAIL")</x:f>
        <x:v>PASS</x:v>
      </x:c>
    </x:row>
    <x:row r="517">
      <x:c r="B517" s="10" t="str">
        <x:v>A0511</x:v>
      </x:c>
      <x:c r="C517" s="10" t="str">
        <x:v>release gate</x:v>
      </x:c>
      <x:c r="D517" s="10" t="str">
        <x:v>Gate row 156</x:v>
      </x:c>
      <x:c r="E517" s="10" t="str">
        <x:v>state matches gate class</x:v>
      </x:c>
      <x:c r="F517" s="10" t="str">
        <x:f>'Release Gates'!I156</x:f>
        <x:v>OPEN</x:v>
      </x:c>
      <x:c r="G517" s="10" t="str">
        <x:v>OPEN</x:v>
      </x:c>
      <x:c r="H517" s="10" t="str">
        <x:f>IF(F517=G517,"PASS","FAIL")</x:f>
        <x:v>PASS</x:v>
      </x:c>
    </x:row>
    <x:row r="518">
      <x:c r="B518" s="10" t="str">
        <x:v>A0512</x:v>
      </x:c>
      <x:c r="C518" s="10" t="str">
        <x:v>release gate</x:v>
      </x:c>
      <x:c r="D518" s="10" t="str">
        <x:v>Gate row 157</x:v>
      </x:c>
      <x:c r="E518" s="10" t="str">
        <x:v>state matches gate class</x:v>
      </x:c>
      <x:c r="F518" s="10" t="str">
        <x:f>'Release Gates'!I157</x:f>
        <x:v>OPEN</x:v>
      </x:c>
      <x:c r="G518" s="10" t="str">
        <x:v>OPEN</x:v>
      </x:c>
      <x:c r="H518" s="10" t="str">
        <x:f>IF(F518=G518,"PASS","FAIL")</x:f>
        <x:v>PASS</x:v>
      </x:c>
    </x:row>
    <x:row r="519">
      <x:c r="B519" s="10" t="str">
        <x:v>A0513</x:v>
      </x:c>
      <x:c r="C519" s="10" t="str">
        <x:v>release gate</x:v>
      </x:c>
      <x:c r="D519" s="10" t="str">
        <x:v>Gate row 158</x:v>
      </x:c>
      <x:c r="E519" s="10" t="str">
        <x:v>state matches gate class</x:v>
      </x:c>
      <x:c r="F519" s="10" t="str">
        <x:f>'Release Gates'!I158</x:f>
        <x:v>OPEN</x:v>
      </x:c>
      <x:c r="G519" s="10" t="str">
        <x:v>OPEN</x:v>
      </x:c>
      <x:c r="H519" s="10" t="str">
        <x:f>IF(F519=G519,"PASS","FAIL")</x:f>
        <x:v>PASS</x:v>
      </x:c>
    </x:row>
    <x:row r="520">
      <x:c r="B520" s="10" t="str">
        <x:v>A0514</x:v>
      </x:c>
      <x:c r="C520" s="10" t="str">
        <x:v>release gate</x:v>
      </x:c>
      <x:c r="D520" s="10" t="str">
        <x:v>Gate row 159</x:v>
      </x:c>
      <x:c r="E520" s="10" t="str">
        <x:v>state matches gate class</x:v>
      </x:c>
      <x:c r="F520" s="10" t="str">
        <x:f>'Release Gates'!I159</x:f>
        <x:v>OPEN</x:v>
      </x:c>
      <x:c r="G520" s="10" t="str">
        <x:v>OPEN</x:v>
      </x:c>
      <x:c r="H520" s="10" t="str">
        <x:f>IF(F520=G520,"PASS","FAIL")</x:f>
        <x:v>PASS</x:v>
      </x:c>
    </x:row>
    <x:row r="521">
      <x:c r="B521" s="10" t="str">
        <x:v>A0515</x:v>
      </x:c>
      <x:c r="C521" s="10" t="str">
        <x:v>release gate</x:v>
      </x:c>
      <x:c r="D521" s="10" t="str">
        <x:v>Gate row 160</x:v>
      </x:c>
      <x:c r="E521" s="10" t="str">
        <x:v>state matches gate class</x:v>
      </x:c>
      <x:c r="F521" s="10" t="str">
        <x:f>'Release Gates'!I160</x:f>
        <x:v>OPEN</x:v>
      </x:c>
      <x:c r="G521" s="10" t="str">
        <x:v>OPEN</x:v>
      </x:c>
      <x:c r="H521" s="10" t="str">
        <x:f>IF(F521=G521,"PASS","FAIL")</x:f>
        <x:v>PASS</x:v>
      </x:c>
    </x:row>
    <x:row r="522">
      <x:c r="B522" s="10" t="str">
        <x:v>A0516</x:v>
      </x:c>
      <x:c r="C522" s="10" t="str">
        <x:v>release gate</x:v>
      </x:c>
      <x:c r="D522" s="10" t="str">
        <x:v>Gate row 161</x:v>
      </x:c>
      <x:c r="E522" s="10" t="str">
        <x:v>state matches gate class</x:v>
      </x:c>
      <x:c r="F522" s="10" t="str">
        <x:f>'Release Gates'!I161</x:f>
        <x:v>OPEN</x:v>
      </x:c>
      <x:c r="G522" s="10" t="str">
        <x:v>OPEN</x:v>
      </x:c>
      <x:c r="H522" s="10" t="str">
        <x:f>IF(F522=G522,"PASS","FAIL")</x:f>
        <x:v>PASS</x:v>
      </x:c>
    </x:row>
    <x:row r="523">
      <x:c r="B523" s="10" t="str">
        <x:v>A0517</x:v>
      </x:c>
      <x:c r="C523" s="10" t="str">
        <x:v>release gate</x:v>
      </x:c>
      <x:c r="D523" s="10" t="str">
        <x:v>Gate row 162</x:v>
      </x:c>
      <x:c r="E523" s="10" t="str">
        <x:v>state matches gate class</x:v>
      </x:c>
      <x:c r="F523" s="10" t="str">
        <x:f>'Release Gates'!I162</x:f>
        <x:v>OPEN</x:v>
      </x:c>
      <x:c r="G523" s="10" t="str">
        <x:v>OPEN</x:v>
      </x:c>
      <x:c r="H523" s="10" t="str">
        <x:f>IF(F523=G523,"PASS","FAIL")</x:f>
        <x:v>PASS</x:v>
      </x:c>
    </x:row>
    <x:row r="524">
      <x:c r="B524" s="10" t="str">
        <x:v>A0518</x:v>
      </x:c>
      <x:c r="C524" s="10" t="str">
        <x:v>release gate</x:v>
      </x:c>
      <x:c r="D524" s="10" t="str">
        <x:v>Gate row 163</x:v>
      </x:c>
      <x:c r="E524" s="10" t="str">
        <x:v>state matches gate class</x:v>
      </x:c>
      <x:c r="F524" s="10" t="str">
        <x:f>'Release Gates'!I163</x:f>
        <x:v>OPEN</x:v>
      </x:c>
      <x:c r="G524" s="10" t="str">
        <x:v>OPEN</x:v>
      </x:c>
      <x:c r="H524" s="10" t="str">
        <x:f>IF(F524=G524,"PASS","FAIL")</x:f>
        <x:v>PASS</x:v>
      </x:c>
    </x:row>
    <x:row r="525">
      <x:c r="B525" s="10" t="str">
        <x:v>A0519</x:v>
      </x:c>
      <x:c r="C525" s="10" t="str">
        <x:v>release gate</x:v>
      </x:c>
      <x:c r="D525" s="10" t="str">
        <x:v>Gate row 164</x:v>
      </x:c>
      <x:c r="E525" s="10" t="str">
        <x:v>state matches gate class</x:v>
      </x:c>
      <x:c r="F525" s="10" t="str">
        <x:f>'Release Gates'!I164</x:f>
        <x:v>OPEN</x:v>
      </x:c>
      <x:c r="G525" s="10" t="str">
        <x:v>OPEN</x:v>
      </x:c>
      <x:c r="H525" s="10" t="str">
        <x:f>IF(F525=G525,"PASS","FAIL")</x:f>
        <x:v>PASS</x:v>
      </x:c>
    </x:row>
    <x:row r="526">
      <x:c r="B526" s="10" t="str">
        <x:v>A0520</x:v>
      </x:c>
      <x:c r="C526" s="10" t="str">
        <x:v>release gate</x:v>
      </x:c>
      <x:c r="D526" s="10" t="str">
        <x:v>Gate row 165</x:v>
      </x:c>
      <x:c r="E526" s="10" t="str">
        <x:v>state matches gate class</x:v>
      </x:c>
      <x:c r="F526" s="10" t="str">
        <x:f>'Release Gates'!I165</x:f>
        <x:v>OPEN</x:v>
      </x:c>
      <x:c r="G526" s="10" t="str">
        <x:v>OPEN</x:v>
      </x:c>
      <x:c r="H526" s="10" t="str">
        <x:f>IF(F526=G526,"PASS","FAIL")</x:f>
        <x:v>PASS</x:v>
      </x:c>
    </x:row>
    <x:row r="527">
      <x:c r="B527" s="10" t="str">
        <x:v>A0521</x:v>
      </x:c>
      <x:c r="C527" s="10" t="str">
        <x:v>release gate</x:v>
      </x:c>
      <x:c r="D527" s="10" t="str">
        <x:v>Gate row 166</x:v>
      </x:c>
      <x:c r="E527" s="10" t="str">
        <x:v>state matches gate class</x:v>
      </x:c>
      <x:c r="F527" s="10" t="str">
        <x:f>'Release Gates'!I166</x:f>
        <x:v>OPEN</x:v>
      </x:c>
      <x:c r="G527" s="10" t="str">
        <x:v>OPEN</x:v>
      </x:c>
      <x:c r="H527" s="10" t="str">
        <x:f>IF(F527=G527,"PASS","FAIL")</x:f>
        <x:v>PASS</x:v>
      </x:c>
    </x:row>
    <x:row r="528">
      <x:c r="B528" s="10" t="str">
        <x:v>A0522</x:v>
      </x:c>
      <x:c r="C528" s="10" t="str">
        <x:v>release gate</x:v>
      </x:c>
      <x:c r="D528" s="10" t="str">
        <x:v>Gate row 167</x:v>
      </x:c>
      <x:c r="E528" s="10" t="str">
        <x:v>state matches gate class</x:v>
      </x:c>
      <x:c r="F528" s="10" t="str">
        <x:f>'Release Gates'!I167</x:f>
        <x:v>OPEN</x:v>
      </x:c>
      <x:c r="G528" s="10" t="str">
        <x:v>OPEN</x:v>
      </x:c>
      <x:c r="H528" s="10" t="str">
        <x:f>IF(F528=G528,"PASS","FAIL")</x:f>
        <x:v>PASS</x:v>
      </x:c>
    </x:row>
    <x:row r="529">
      <x:c r="B529" s="10" t="str">
        <x:v>A0523</x:v>
      </x:c>
      <x:c r="C529" s="10" t="str">
        <x:v>release gate</x:v>
      </x:c>
      <x:c r="D529" s="10" t="str">
        <x:v>Gate row 168</x:v>
      </x:c>
      <x:c r="E529" s="10" t="str">
        <x:v>state matches gate class</x:v>
      </x:c>
      <x:c r="F529" s="10" t="str">
        <x:f>'Release Gates'!I168</x:f>
        <x:v>OPEN</x:v>
      </x:c>
      <x:c r="G529" s="10" t="str">
        <x:v>OPEN</x:v>
      </x:c>
      <x:c r="H529" s="10" t="str">
        <x:f>IF(F529=G529,"PASS","FAIL")</x:f>
        <x:v>PASS</x:v>
      </x:c>
    </x:row>
    <x:row r="530">
      <x:c r="B530" s="10" t="str">
        <x:v>A0524</x:v>
      </x:c>
      <x:c r="C530" s="10" t="str">
        <x:v>release gate</x:v>
      </x:c>
      <x:c r="D530" s="10" t="str">
        <x:v>Gate row 169</x:v>
      </x:c>
      <x:c r="E530" s="10" t="str">
        <x:v>state matches gate class</x:v>
      </x:c>
      <x:c r="F530" s="10" t="str">
        <x:f>'Release Gates'!I169</x:f>
        <x:v>OPEN</x:v>
      </x:c>
      <x:c r="G530" s="10" t="str">
        <x:v>OPEN</x:v>
      </x:c>
      <x:c r="H530" s="10" t="str">
        <x:f>IF(F530=G530,"PASS","FAIL")</x:f>
        <x:v>PASS</x:v>
      </x:c>
    </x:row>
    <x:row r="531">
      <x:c r="B531" s="10" t="str">
        <x:v>A0525</x:v>
      </x:c>
      <x:c r="C531" s="10" t="str">
        <x:v>release gate</x:v>
      </x:c>
      <x:c r="D531" s="10" t="str">
        <x:v>Gate row 170</x:v>
      </x:c>
      <x:c r="E531" s="10" t="str">
        <x:v>state matches gate class</x:v>
      </x:c>
      <x:c r="F531" s="10" t="str">
        <x:f>'Release Gates'!I170</x:f>
        <x:v>OPEN</x:v>
      </x:c>
      <x:c r="G531" s="10" t="str">
        <x:v>OPEN</x:v>
      </x:c>
      <x:c r="H531" s="10" t="str">
        <x:f>IF(F531=G531,"PASS","FAIL")</x:f>
        <x:v>PASS</x:v>
      </x:c>
    </x:row>
    <x:row r="532">
      <x:c r="B532" s="10" t="str">
        <x:v>A0526</x:v>
      </x:c>
      <x:c r="C532" s="10" t="str">
        <x:v>release gate</x:v>
      </x:c>
      <x:c r="D532" s="10" t="str">
        <x:v>Gate row 171</x:v>
      </x:c>
      <x:c r="E532" s="10" t="str">
        <x:v>state matches gate class</x:v>
      </x:c>
      <x:c r="F532" s="10" t="str">
        <x:f>'Release Gates'!I171</x:f>
        <x:v>OPEN</x:v>
      </x:c>
      <x:c r="G532" s="10" t="str">
        <x:v>OPEN</x:v>
      </x:c>
      <x:c r="H532" s="10" t="str">
        <x:f>IF(F532=G532,"PASS","FAIL")</x:f>
        <x:v>PASS</x:v>
      </x:c>
    </x:row>
    <x:row r="533">
      <x:c r="B533" s="10" t="str">
        <x:v>A0527</x:v>
      </x:c>
      <x:c r="C533" s="10" t="str">
        <x:v>release gate</x:v>
      </x:c>
      <x:c r="D533" s="10" t="str">
        <x:v>Gate row 172</x:v>
      </x:c>
      <x:c r="E533" s="10" t="str">
        <x:v>state matches gate class</x:v>
      </x:c>
      <x:c r="F533" s="10" t="str">
        <x:f>'Release Gates'!I172</x:f>
        <x:v>OPEN</x:v>
      </x:c>
      <x:c r="G533" s="10" t="str">
        <x:v>OPEN</x:v>
      </x:c>
      <x:c r="H533" s="10" t="str">
        <x:f>IF(F533=G533,"PASS","FAIL")</x:f>
        <x:v>PASS</x:v>
      </x:c>
    </x:row>
    <x:row r="534">
      <x:c r="B534" s="10" t="str">
        <x:v>A0528</x:v>
      </x:c>
      <x:c r="C534" s="10" t="str">
        <x:v>release gate</x:v>
      </x:c>
      <x:c r="D534" s="10" t="str">
        <x:v>Gate row 173</x:v>
      </x:c>
      <x:c r="E534" s="10" t="str">
        <x:v>state matches gate class</x:v>
      </x:c>
      <x:c r="F534" s="10" t="str">
        <x:f>'Release Gates'!I173</x:f>
        <x:v>OPEN</x:v>
      </x:c>
      <x:c r="G534" s="10" t="str">
        <x:v>OPEN</x:v>
      </x:c>
      <x:c r="H534" s="10" t="str">
        <x:f>IF(F534=G534,"PASS","FAIL")</x:f>
        <x:v>PASS</x:v>
      </x:c>
    </x:row>
    <x:row r="535">
      <x:c r="B535" s="10" t="str">
        <x:v>A0529</x:v>
      </x:c>
      <x:c r="C535" s="10" t="str">
        <x:v>release gate</x:v>
      </x:c>
      <x:c r="D535" s="10" t="str">
        <x:v>Gate row 174</x:v>
      </x:c>
      <x:c r="E535" s="10" t="str">
        <x:v>state matches gate class</x:v>
      </x:c>
      <x:c r="F535" s="10" t="str">
        <x:f>'Release Gates'!I174</x:f>
        <x:v>OPEN</x:v>
      </x:c>
      <x:c r="G535" s="10" t="str">
        <x:v>OPEN</x:v>
      </x:c>
      <x:c r="H535" s="10" t="str">
        <x:f>IF(F535=G535,"PASS","FAIL")</x:f>
        <x:v>PASS</x:v>
      </x:c>
    </x:row>
    <x:row r="536">
      <x:c r="B536" s="10" t="str">
        <x:v>A0530</x:v>
      </x:c>
      <x:c r="C536" s="10" t="str">
        <x:v>release gate</x:v>
      </x:c>
      <x:c r="D536" s="10" t="str">
        <x:v>Gate row 175</x:v>
      </x:c>
      <x:c r="E536" s="10" t="str">
        <x:v>state matches gate class</x:v>
      </x:c>
      <x:c r="F536" s="10" t="str">
        <x:f>'Release Gates'!I175</x:f>
        <x:v>OPEN</x:v>
      </x:c>
      <x:c r="G536" s="10" t="str">
        <x:v>OPEN</x:v>
      </x:c>
      <x:c r="H536" s="10" t="str">
        <x:f>IF(F536=G536,"PASS","FAIL")</x:f>
        <x:v>PASS</x:v>
      </x:c>
    </x:row>
    <x:row r="537">
      <x:c r="B537" s="10" t="str">
        <x:v>A0531</x:v>
      </x:c>
      <x:c r="C537" s="10" t="str">
        <x:v>release gate</x:v>
      </x:c>
      <x:c r="D537" s="10" t="str">
        <x:v>Gate row 176</x:v>
      </x:c>
      <x:c r="E537" s="10" t="str">
        <x:v>state matches gate class</x:v>
      </x:c>
      <x:c r="F537" s="10" t="str">
        <x:f>'Release Gates'!I176</x:f>
        <x:v>OPEN</x:v>
      </x:c>
      <x:c r="G537" s="10" t="str">
        <x:v>OPEN</x:v>
      </x:c>
      <x:c r="H537" s="10" t="str">
        <x:f>IF(F537=G537,"PASS","FAIL")</x:f>
        <x:v>PASS</x:v>
      </x:c>
    </x:row>
    <x:row r="538">
      <x:c r="B538" s="10" t="str">
        <x:v>A0532</x:v>
      </x:c>
      <x:c r="C538" s="10" t="str">
        <x:v>release gate</x:v>
      </x:c>
      <x:c r="D538" s="10" t="str">
        <x:v>Gate row 177</x:v>
      </x:c>
      <x:c r="E538" s="10" t="str">
        <x:v>state matches gate class</x:v>
      </x:c>
      <x:c r="F538" s="10" t="str">
        <x:f>'Release Gates'!I177</x:f>
        <x:v>OPEN</x:v>
      </x:c>
      <x:c r="G538" s="10" t="str">
        <x:v>OPEN</x:v>
      </x:c>
      <x:c r="H538" s="10" t="str">
        <x:f>IF(F538=G538,"PASS","FAIL")</x:f>
        <x:v>PASS</x:v>
      </x:c>
    </x:row>
    <x:row r="539">
      <x:c r="B539" s="10" t="str">
        <x:v>A0533</x:v>
      </x:c>
      <x:c r="C539" s="10" t="str">
        <x:v>release gate</x:v>
      </x:c>
      <x:c r="D539" s="10" t="str">
        <x:v>Gate row 178</x:v>
      </x:c>
      <x:c r="E539" s="10" t="str">
        <x:v>state matches gate class</x:v>
      </x:c>
      <x:c r="F539" s="10" t="str">
        <x:f>'Release Gates'!I178</x:f>
        <x:v>OPEN</x:v>
      </x:c>
      <x:c r="G539" s="10" t="str">
        <x:v>OPEN</x:v>
      </x:c>
      <x:c r="H539" s="10" t="str">
        <x:f>IF(F539=G539,"PASS","FAIL")</x:f>
        <x:v>PASS</x:v>
      </x:c>
    </x:row>
    <x:row r="540">
      <x:c r="B540" s="10" t="str">
        <x:v>A0534</x:v>
      </x:c>
      <x:c r="C540" s="10" t="str">
        <x:v>release gate</x:v>
      </x:c>
      <x:c r="D540" s="10" t="str">
        <x:v>Gate row 179</x:v>
      </x:c>
      <x:c r="E540" s="10" t="str">
        <x:v>state matches gate class</x:v>
      </x:c>
      <x:c r="F540" s="10" t="str">
        <x:f>'Release Gates'!I179</x:f>
        <x:v>OPEN</x:v>
      </x:c>
      <x:c r="G540" s="10" t="str">
        <x:v>OPEN</x:v>
      </x:c>
      <x:c r="H540" s="10" t="str">
        <x:f>IF(F540=G540,"PASS","FAIL")</x:f>
        <x:v>PASS</x:v>
      </x:c>
    </x:row>
    <x:row r="541">
      <x:c r="B541" s="10" t="str">
        <x:v>A0535</x:v>
      </x:c>
      <x:c r="C541" s="10" t="str">
        <x:v>release gate</x:v>
      </x:c>
      <x:c r="D541" s="10" t="str">
        <x:v>Gate row 180</x:v>
      </x:c>
      <x:c r="E541" s="10" t="str">
        <x:v>state matches gate class</x:v>
      </x:c>
      <x:c r="F541" s="10" t="str">
        <x:f>'Release Gates'!I180</x:f>
        <x:v>OPEN</x:v>
      </x:c>
      <x:c r="G541" s="10" t="str">
        <x:v>OPEN</x:v>
      </x:c>
      <x:c r="H541" s="10" t="str">
        <x:f>IF(F541=G541,"PASS","FAIL")</x:f>
        <x:v>PASS</x:v>
      </x:c>
    </x:row>
    <x:row r="542">
      <x:c r="B542" s="10" t="str">
        <x:v>A0536</x:v>
      </x:c>
      <x:c r="C542" s="10" t="str">
        <x:v>release gate</x:v>
      </x:c>
      <x:c r="D542" s="10" t="str">
        <x:v>Gate row 181</x:v>
      </x:c>
      <x:c r="E542" s="10" t="str">
        <x:v>state matches gate class</x:v>
      </x:c>
      <x:c r="F542" s="10" t="str">
        <x:f>'Release Gates'!I181</x:f>
        <x:v>OPEN</x:v>
      </x:c>
      <x:c r="G542" s="10" t="str">
        <x:v>OPEN</x:v>
      </x:c>
      <x:c r="H542" s="10" t="str">
        <x:f>IF(F542=G542,"PASS","FAIL")</x:f>
        <x:v>PASS</x:v>
      </x:c>
    </x:row>
    <x:row r="543">
      <x:c r="B543" s="10" t="str">
        <x:v>A0537</x:v>
      </x:c>
      <x:c r="C543" s="10" t="str">
        <x:v>release gate</x:v>
      </x:c>
      <x:c r="D543" s="10" t="str">
        <x:v>Gate row 182</x:v>
      </x:c>
      <x:c r="E543" s="10" t="str">
        <x:v>state matches gate class</x:v>
      </x:c>
      <x:c r="F543" s="10" t="str">
        <x:f>'Release Gates'!I182</x:f>
        <x:v>OPEN</x:v>
      </x:c>
      <x:c r="G543" s="10" t="str">
        <x:v>OPEN</x:v>
      </x:c>
      <x:c r="H543" s="10" t="str">
        <x:f>IF(F543=G543,"PASS","FAIL")</x:f>
        <x:v>PASS</x:v>
      </x:c>
    </x:row>
    <x:row r="544">
      <x:c r="B544" s="10" t="str">
        <x:v>A0538</x:v>
      </x:c>
      <x:c r="C544" s="10" t="str">
        <x:v>release gate</x:v>
      </x:c>
      <x:c r="D544" s="10" t="str">
        <x:v>Gate row 183</x:v>
      </x:c>
      <x:c r="E544" s="10" t="str">
        <x:v>state matches gate class</x:v>
      </x:c>
      <x:c r="F544" s="10" t="str">
        <x:f>'Release Gates'!I183</x:f>
        <x:v>OPEN</x:v>
      </x:c>
      <x:c r="G544" s="10" t="str">
        <x:v>OPEN</x:v>
      </x:c>
      <x:c r="H544" s="10" t="str">
        <x:f>IF(F544=G544,"PASS","FAIL")</x:f>
        <x:v>PASS</x:v>
      </x:c>
    </x:row>
    <x:row r="545">
      <x:c r="B545" s="10" t="str">
        <x:v>A0539</x:v>
      </x:c>
      <x:c r="C545" s="10" t="str">
        <x:v>release gate</x:v>
      </x:c>
      <x:c r="D545" s="10" t="str">
        <x:v>Gate row 184</x:v>
      </x:c>
      <x:c r="E545" s="10" t="str">
        <x:v>state matches gate class</x:v>
      </x:c>
      <x:c r="F545" s="10" t="str">
        <x:f>'Release Gates'!I184</x:f>
        <x:v>OPEN</x:v>
      </x:c>
      <x:c r="G545" s="10" t="str">
        <x:v>OPEN</x:v>
      </x:c>
      <x:c r="H545" s="10" t="str">
        <x:f>IF(F545=G545,"PASS","FAIL")</x:f>
        <x:v>PASS</x:v>
      </x:c>
    </x:row>
    <x:row r="546">
      <x:c r="B546" s="10" t="str">
        <x:v>A0540</x:v>
      </x:c>
      <x:c r="C546" s="10" t="str">
        <x:v>release gate</x:v>
      </x:c>
      <x:c r="D546" s="10" t="str">
        <x:v>Gate row 185</x:v>
      </x:c>
      <x:c r="E546" s="10" t="str">
        <x:v>state matches gate class</x:v>
      </x:c>
      <x:c r="F546" s="10" t="str">
        <x:f>'Release Gates'!I185</x:f>
        <x:v>OPEN</x:v>
      </x:c>
      <x:c r="G546" s="10" t="str">
        <x:v>OPEN</x:v>
      </x:c>
      <x:c r="H546" s="10" t="str">
        <x:f>IF(F546=G546,"PASS","FAIL")</x:f>
        <x:v>PASS</x:v>
      </x:c>
    </x:row>
    <x:row r="547">
      <x:c r="B547" s="10" t="str">
        <x:v>A0541</x:v>
      </x:c>
      <x:c r="C547" s="10" t="str">
        <x:v>release gate</x:v>
      </x:c>
      <x:c r="D547" s="10" t="str">
        <x:v>Gate row 186</x:v>
      </x:c>
      <x:c r="E547" s="10" t="str">
        <x:v>state matches gate class</x:v>
      </x:c>
      <x:c r="F547" s="10" t="str">
        <x:f>'Release Gates'!I186</x:f>
        <x:v>OPEN</x:v>
      </x:c>
      <x:c r="G547" s="10" t="str">
        <x:v>OPEN</x:v>
      </x:c>
      <x:c r="H547" s="10" t="str">
        <x:f>IF(F547=G547,"PASS","FAIL")</x:f>
        <x:v>PASS</x:v>
      </x:c>
    </x:row>
    <x:row r="548">
      <x:c r="B548" s="10" t="str">
        <x:v>A0542</x:v>
      </x:c>
      <x:c r="C548" s="10" t="str">
        <x:v>release gate</x:v>
      </x:c>
      <x:c r="D548" s="10" t="str">
        <x:v>Gate row 187</x:v>
      </x:c>
      <x:c r="E548" s="10" t="str">
        <x:v>state matches gate class</x:v>
      </x:c>
      <x:c r="F548" s="10" t="str">
        <x:f>'Release Gates'!I187</x:f>
        <x:v>OPEN</x:v>
      </x:c>
      <x:c r="G548" s="10" t="str">
        <x:v>OPEN</x:v>
      </x:c>
      <x:c r="H548" s="10" t="str">
        <x:f>IF(F548=G548,"PASS","FAIL")</x:f>
        <x:v>PASS</x:v>
      </x:c>
    </x:row>
    <x:row r="549">
      <x:c r="B549" s="10" t="str">
        <x:v>A0543</x:v>
      </x:c>
      <x:c r="C549" s="10" t="str">
        <x:v>release gate</x:v>
      </x:c>
      <x:c r="D549" s="10" t="str">
        <x:v>Gate row 188</x:v>
      </x:c>
      <x:c r="E549" s="10" t="str">
        <x:v>state matches gate class</x:v>
      </x:c>
      <x:c r="F549" s="10" t="str">
        <x:f>'Release Gates'!I188</x:f>
        <x:v>OPEN</x:v>
      </x:c>
      <x:c r="G549" s="10" t="str">
        <x:v>OPEN</x:v>
      </x:c>
      <x:c r="H549" s="10" t="str">
        <x:f>IF(F549=G549,"PASS","FAIL")</x:f>
        <x:v>PASS</x:v>
      </x:c>
    </x:row>
    <x:row r="550">
      <x:c r="B550" s="10" t="str">
        <x:v>A0544</x:v>
      </x:c>
      <x:c r="C550" s="10" t="str">
        <x:v>release gate</x:v>
      </x:c>
      <x:c r="D550" s="10" t="str">
        <x:v>Gate row 189</x:v>
      </x:c>
      <x:c r="E550" s="10" t="str">
        <x:v>state matches gate class</x:v>
      </x:c>
      <x:c r="F550" s="10" t="str">
        <x:f>'Release Gates'!I189</x:f>
        <x:v>OPEN</x:v>
      </x:c>
      <x:c r="G550" s="10" t="str">
        <x:v>OPEN</x:v>
      </x:c>
      <x:c r="H550" s="10" t="str">
        <x:f>IF(F550=G550,"PASS","FAIL")</x:f>
        <x:v>PASS</x:v>
      </x:c>
    </x:row>
    <x:row r="551">
      <x:c r="B551" s="10" t="str">
        <x:v>A0545</x:v>
      </x:c>
      <x:c r="C551" s="10" t="str">
        <x:v>release gate</x:v>
      </x:c>
      <x:c r="D551" s="10" t="str">
        <x:v>Gate row 190</x:v>
      </x:c>
      <x:c r="E551" s="10" t="str">
        <x:v>state matches gate class</x:v>
      </x:c>
      <x:c r="F551" s="10" t="str">
        <x:f>'Release Gates'!I190</x:f>
        <x:v>OPEN</x:v>
      </x:c>
      <x:c r="G551" s="10" t="str">
        <x:v>OPEN</x:v>
      </x:c>
      <x:c r="H551" s="10" t="str">
        <x:f>IF(F551=G551,"PASS","FAIL")</x:f>
        <x:v>PASS</x:v>
      </x:c>
    </x:row>
    <x:row r="552">
      <x:c r="B552" s="10" t="str">
        <x:v>A0546</x:v>
      </x:c>
      <x:c r="C552" s="10" t="str">
        <x:v>release gate</x:v>
      </x:c>
      <x:c r="D552" s="10" t="str">
        <x:v>Gate row 191</x:v>
      </x:c>
      <x:c r="E552" s="10" t="str">
        <x:v>state matches gate class</x:v>
      </x:c>
      <x:c r="F552" s="10" t="str">
        <x:f>'Release Gates'!I191</x:f>
        <x:v>OPEN</x:v>
      </x:c>
      <x:c r="G552" s="10" t="str">
        <x:v>OPEN</x:v>
      </x:c>
      <x:c r="H552" s="10" t="str">
        <x:f>IF(F552=G552,"PASS","FAIL")</x:f>
        <x:v>PASS</x:v>
      </x:c>
    </x:row>
    <x:row r="553">
      <x:c r="B553" s="10" t="str">
        <x:v>A0547</x:v>
      </x:c>
      <x:c r="C553" s="10" t="str">
        <x:v>release gate</x:v>
      </x:c>
      <x:c r="D553" s="10" t="str">
        <x:v>Gate row 192</x:v>
      </x:c>
      <x:c r="E553" s="10" t="str">
        <x:v>state matches gate class</x:v>
      </x:c>
      <x:c r="F553" s="10" t="str">
        <x:f>'Release Gates'!I192</x:f>
        <x:v>OPEN</x:v>
      </x:c>
      <x:c r="G553" s="10" t="str">
        <x:v>OPEN</x:v>
      </x:c>
      <x:c r="H553" s="10" t="str">
        <x:f>IF(F553=G553,"PASS","FAIL")</x:f>
        <x:v>PASS</x:v>
      </x:c>
    </x:row>
    <x:row r="554">
      <x:c r="B554" s="10" t="str">
        <x:v>A0548</x:v>
      </x:c>
      <x:c r="C554" s="10" t="str">
        <x:v>release gate</x:v>
      </x:c>
      <x:c r="D554" s="10" t="str">
        <x:v>Gate row 193</x:v>
      </x:c>
      <x:c r="E554" s="10" t="str">
        <x:v>state matches gate class</x:v>
      </x:c>
      <x:c r="F554" s="10" t="str">
        <x:f>'Release Gates'!I193</x:f>
        <x:v>OPEN</x:v>
      </x:c>
      <x:c r="G554" s="10" t="str">
        <x:v>OPEN</x:v>
      </x:c>
      <x:c r="H554" s="10" t="str">
        <x:f>IF(F554=G554,"PASS","FAIL")</x:f>
        <x:v>PASS</x:v>
      </x:c>
    </x:row>
    <x:row r="555">
      <x:c r="B555" s="10" t="str">
        <x:v>A0549</x:v>
      </x:c>
      <x:c r="C555" s="10" t="str">
        <x:v>release gate</x:v>
      </x:c>
      <x:c r="D555" s="10" t="str">
        <x:v>Gate row 194</x:v>
      </x:c>
      <x:c r="E555" s="10" t="str">
        <x:v>state matches gate class</x:v>
      </x:c>
      <x:c r="F555" s="10" t="str">
        <x:f>'Release Gates'!I194</x:f>
        <x:v>OPEN</x:v>
      </x:c>
      <x:c r="G555" s="10" t="str">
        <x:v>OPEN</x:v>
      </x:c>
      <x:c r="H555" s="10" t="str">
        <x:f>IF(F555=G555,"PASS","FAIL")</x:f>
        <x:v>PASS</x:v>
      </x:c>
    </x:row>
    <x:row r="556">
      <x:c r="B556" s="10" t="str">
        <x:v>A0550</x:v>
      </x:c>
      <x:c r="C556" s="10" t="str">
        <x:v>release gate</x:v>
      </x:c>
      <x:c r="D556" s="10" t="str">
        <x:v>Gate row 195</x:v>
      </x:c>
      <x:c r="E556" s="10" t="str">
        <x:v>state matches gate class</x:v>
      </x:c>
      <x:c r="F556" s="10" t="str">
        <x:f>'Release Gates'!I195</x:f>
        <x:v>OPEN</x:v>
      </x:c>
      <x:c r="G556" s="10" t="str">
        <x:v>OPEN</x:v>
      </x:c>
      <x:c r="H556" s="10" t="str">
        <x:f>IF(F556=G556,"PASS","FAIL")</x:f>
        <x:v>PASS</x:v>
      </x:c>
    </x:row>
    <x:row r="557">
      <x:c r="B557" s="10" t="str">
        <x:v>A0551</x:v>
      </x:c>
      <x:c r="C557" s="10" t="str">
        <x:v>release gate</x:v>
      </x:c>
      <x:c r="D557" s="10" t="str">
        <x:v>Gate row 196</x:v>
      </x:c>
      <x:c r="E557" s="10" t="str">
        <x:v>state matches gate class</x:v>
      </x:c>
      <x:c r="F557" s="10" t="str">
        <x:f>'Release Gates'!I196</x:f>
        <x:v>OPEN</x:v>
      </x:c>
      <x:c r="G557" s="10" t="str">
        <x:v>OPEN</x:v>
      </x:c>
      <x:c r="H557" s="10" t="str">
        <x:f>IF(F557=G557,"PASS","FAIL")</x:f>
        <x:v>PASS</x:v>
      </x:c>
    </x:row>
    <x:row r="558">
      <x:c r="B558" s="10" t="str">
        <x:v>A0552</x:v>
      </x:c>
      <x:c r="C558" s="10" t="str">
        <x:v>release gate</x:v>
      </x:c>
      <x:c r="D558" s="10" t="str">
        <x:v>Gate row 197</x:v>
      </x:c>
      <x:c r="E558" s="10" t="str">
        <x:v>state matches gate class</x:v>
      </x:c>
      <x:c r="F558" s="10" t="str">
        <x:f>'Release Gates'!I197</x:f>
        <x:v>OPEN</x:v>
      </x:c>
      <x:c r="G558" s="10" t="str">
        <x:v>OPEN</x:v>
      </x:c>
      <x:c r="H558" s="10" t="str">
        <x:f>IF(F558=G558,"PASS","FAIL")</x:f>
        <x:v>PASS</x:v>
      </x:c>
    </x:row>
    <x:row r="559">
      <x:c r="B559" s="10" t="str">
        <x:v>A0553</x:v>
      </x:c>
      <x:c r="C559" s="10" t="str">
        <x:v>release gate</x:v>
      </x:c>
      <x:c r="D559" s="10" t="str">
        <x:v>Gate row 198</x:v>
      </x:c>
      <x:c r="E559" s="10" t="str">
        <x:v>state matches gate class</x:v>
      </x:c>
      <x:c r="F559" s="10" t="str">
        <x:f>'Release Gates'!I198</x:f>
        <x:v>BLOCKED</x:v>
      </x:c>
      <x:c r="G559" s="10" t="str">
        <x:v>BLOCKED</x:v>
      </x:c>
      <x:c r="H559" s="10" t="str">
        <x:f>IF(F559=G559,"PASS","FAIL")</x:f>
        <x:v>PASS</x:v>
      </x:c>
    </x:row>
    <x:row r="560">
      <x:c r="B560" s="10" t="str">
        <x:v>A0554</x:v>
      </x:c>
      <x:c r="C560" s="10" t="str">
        <x:v>release gate</x:v>
      </x:c>
      <x:c r="D560" s="10" t="str">
        <x:v>Gate row 199</x:v>
      </x:c>
      <x:c r="E560" s="10" t="str">
        <x:v>state matches gate class</x:v>
      </x:c>
      <x:c r="F560" s="10" t="str">
        <x:f>'Release Gates'!I199</x:f>
        <x:v>BLOCKED</x:v>
      </x:c>
      <x:c r="G560" s="10" t="str">
        <x:v>BLOCKED</x:v>
      </x:c>
      <x:c r="H560" s="10" t="str">
        <x:f>IF(F560=G560,"PASS","FAIL")</x:f>
        <x:v>PASS</x:v>
      </x:c>
    </x:row>
    <x:row r="561">
      <x:c r="B561" s="10" t="str">
        <x:v>A0555</x:v>
      </x:c>
      <x:c r="C561" s="10" t="str">
        <x:v>release gate</x:v>
      </x:c>
      <x:c r="D561" s="10" t="str">
        <x:v>Gate row 200</x:v>
      </x:c>
      <x:c r="E561" s="10" t="str">
        <x:v>state matches gate class</x:v>
      </x:c>
      <x:c r="F561" s="10" t="str">
        <x:f>'Release Gates'!I200</x:f>
        <x:v>BLOCKED</x:v>
      </x:c>
      <x:c r="G561" s="10" t="str">
        <x:v>BLOCKED</x:v>
      </x:c>
      <x:c r="H561" s="10" t="str">
        <x:f>IF(F561=G561,"PASS","FAIL")</x:f>
        <x:v>PASS</x:v>
      </x:c>
    </x:row>
    <x:row r="562">
      <x:c r="B562" s="10" t="str">
        <x:v>A0556</x:v>
      </x:c>
      <x:c r="C562" s="10" t="str">
        <x:v>release gate</x:v>
      </x:c>
      <x:c r="D562" s="10" t="str">
        <x:v>Gate row 201</x:v>
      </x:c>
      <x:c r="E562" s="10" t="str">
        <x:v>state matches gate class</x:v>
      </x:c>
      <x:c r="F562" s="10" t="str">
        <x:f>'Release Gates'!I201</x:f>
        <x:v>BLOCKED</x:v>
      </x:c>
      <x:c r="G562" s="10" t="str">
        <x:v>BLOCKED</x:v>
      </x:c>
      <x:c r="H562" s="10" t="str">
        <x:f>IF(F562=G562,"PASS","FAIL")</x:f>
        <x:v>PASS</x:v>
      </x:c>
    </x:row>
    <x:row r="563">
      <x:c r="B563" s="10" t="str">
        <x:v>A0557</x:v>
      </x:c>
      <x:c r="C563" s="10" t="str">
        <x:v>release gate</x:v>
      </x:c>
      <x:c r="D563" s="10" t="str">
        <x:v>Gate row 202</x:v>
      </x:c>
      <x:c r="E563" s="10" t="str">
        <x:v>state matches gate class</x:v>
      </x:c>
      <x:c r="F563" s="10" t="str">
        <x:f>'Release Gates'!I202</x:f>
        <x:v>BLOCKED</x:v>
      </x:c>
      <x:c r="G563" s="10" t="str">
        <x:v>BLOCKED</x:v>
      </x:c>
      <x:c r="H563" s="10" t="str">
        <x:f>IF(F563=G563,"PASS","FAIL")</x:f>
        <x:v>PASS</x:v>
      </x:c>
    </x:row>
    <x:row r="564">
      <x:c r="B564" s="10" t="str">
        <x:v>A0558</x:v>
      </x:c>
      <x:c r="C564" s="10" t="str">
        <x:v>release gate</x:v>
      </x:c>
      <x:c r="D564" s="10" t="str">
        <x:v>Gate row 203</x:v>
      </x:c>
      <x:c r="E564" s="10" t="str">
        <x:v>state matches gate class</x:v>
      </x:c>
      <x:c r="F564" s="10" t="str">
        <x:f>'Release Gates'!I203</x:f>
        <x:v>BLOCKED</x:v>
      </x:c>
      <x:c r="G564" s="10" t="str">
        <x:v>BLOCKED</x:v>
      </x:c>
      <x:c r="H564" s="10" t="str">
        <x:f>IF(F564=G564,"PASS","FAIL")</x:f>
        <x:v>PASS</x:v>
      </x:c>
    </x:row>
    <x:row r="565">
      <x:c r="B565" s="10" t="str">
        <x:v>A0559</x:v>
      </x:c>
      <x:c r="C565" s="10" t="str">
        <x:v>release gate</x:v>
      </x:c>
      <x:c r="D565" s="10" t="str">
        <x:v>Gate row 204</x:v>
      </x:c>
      <x:c r="E565" s="10" t="str">
        <x:v>state matches gate class</x:v>
      </x:c>
      <x:c r="F565" s="10" t="str">
        <x:f>'Release Gates'!I204</x:f>
        <x:v>BLOCKED</x:v>
      </x:c>
      <x:c r="G565" s="10" t="str">
        <x:v>BLOCKED</x:v>
      </x:c>
      <x:c r="H565" s="10" t="str">
        <x:f>IF(F565=G565,"PASS","FAIL")</x:f>
        <x:v>PASS</x:v>
      </x:c>
    </x:row>
    <x:row r="566">
      <x:c r="B566" s="10" t="str">
        <x:v>A0560</x:v>
      </x:c>
      <x:c r="C566" s="10" t="str">
        <x:v>headline</x:v>
      </x:c>
      <x:c r="D566" s="10" t="str">
        <x:v>Root A C1 energy</x:v>
      </x:c>
      <x:c r="E566" s="10" t="str">
        <x:v>equals 85.176 GJ</x:v>
      </x:c>
      <x:c r="F566" s="10" t="str">
        <x:f>IF(ABS('Source States'!I8-85.176)&lt;0.000001,"PASS","FAIL")</x:f>
        <x:v>PASS</x:v>
      </x:c>
      <x:c r="G566" s="10" t="str">
        <x:v>PASS</x:v>
      </x:c>
      <x:c r="H566" s="10" t="str">
        <x:f>IF(F566=G566,"PASS","FAIL")</x:f>
        <x:v>PASS</x:v>
      </x:c>
    </x:row>
    <x:row r="567">
      <x:c r="B567" s="10" t="str">
        <x:v>A0561</x:v>
      </x:c>
      <x:c r="C567" s="10" t="str">
        <x:v>headline</x:v>
      </x:c>
      <x:c r="D567" s="10" t="str">
        <x:v>Root B C1 energy</x:v>
      </x:c>
      <x:c r="E567" s="10" t="str">
        <x:v>equals 57.024 GJ</x:v>
      </x:c>
      <x:c r="F567" s="10" t="str">
        <x:f>IF(ABS('Source States'!I11-57.024)&lt;0.000001,"PASS","FAIL")</x:f>
        <x:v>PASS</x:v>
      </x:c>
      <x:c r="G567" s="10" t="str">
        <x:v>PASS</x:v>
      </x:c>
      <x:c r="H567" s="10" t="str">
        <x:f>IF(F567=G567,"PASS","FAIL")</x:f>
        <x:v>PASS</x:v>
      </x:c>
    </x:row>
    <x:row r="568">
      <x:c r="B568" s="10" t="str">
        <x:v>A0562</x:v>
      </x:c>
      <x:c r="C568" s="10" t="str">
        <x:v>headline</x:v>
      </x:c>
      <x:c r="D568" s="10" t="str">
        <x:v>Root A C2 energy</x:v>
      </x:c>
      <x:c r="E568" s="10" t="str">
        <x:v>equals 340.704 GJ</x:v>
      </x:c>
      <x:c r="F568" s="10" t="str">
        <x:f>IF(ABS('Source States'!I9-340.704)&lt;0.000001,"PASS","FAIL")</x:f>
        <x:v>PASS</x:v>
      </x:c>
      <x:c r="G568" s="10" t="str">
        <x:v>PASS</x:v>
      </x:c>
      <x:c r="H568" s="10" t="str">
        <x:f>IF(F568=G568,"PASS","FAIL")</x:f>
        <x:v>PASS</x:v>
      </x:c>
    </x:row>
    <x:row r="569">
      <x:c r="B569" s="10" t="str">
        <x:v>A0563</x:v>
      </x:c>
      <x:c r="C569" s="10" t="str">
        <x:v>headline</x:v>
      </x:c>
      <x:c r="D569" s="10" t="str">
        <x:v>Root B C2 energy</x:v>
      </x:c>
      <x:c r="E569" s="10" t="str">
        <x:v>equals 228.096 GJ</x:v>
      </x:c>
      <x:c r="F569" s="10" t="str">
        <x:f>IF(ABS('Source States'!I12-228.096)&lt;0.000001,"PASS","FAIL")</x:f>
        <x:v>PASS</x:v>
      </x:c>
      <x:c r="G569" s="10" t="str">
        <x:v>PASS</x:v>
      </x:c>
      <x:c r="H569" s="10" t="str">
        <x:f>IF(F569=G569,"PASS","FAIL")</x:f>
        <x:v>PASS</x:v>
      </x:c>
    </x:row>
    <x:row r="570">
      <x:c r="B570" s="10" t="str">
        <x:v>A0564</x:v>
      </x:c>
      <x:c r="C570" s="10" t="str">
        <x:v>headline</x:v>
      </x:c>
      <x:c r="D570" s="10" t="str">
        <x:v>Root B C1 gas</x:v>
      </x:c>
      <x:c r="E570" s="10" t="str">
        <x:v>equals 1,060 m3 before thermal allowance</x:v>
      </x:c>
      <x:c r="F570" s="10" t="str">
        <x:f>IF(ABS('Source States'!K11-1060)&lt;0.000001,"PASS","FAIL")</x:f>
        <x:v>PASS</x:v>
      </x:c>
      <x:c r="G570" s="10" t="str">
        <x:v>PASS</x:v>
      </x:c>
      <x:c r="H570" s="10" t="str">
        <x:f>IF(F570=G570,"PASS","FAIL")</x:f>
        <x:v>PASS</x:v>
      </x:c>
    </x:row>
    <x:row r="571">
      <x:c r="B571" s="10" t="str">
        <x:v>A0565</x:v>
      </x:c>
      <x:c r="C571" s="10" t="str">
        <x:v>headline</x:v>
      </x:c>
      <x:c r="D571" s="10" t="str">
        <x:v>Root B C2 gas</x:v>
      </x:c>
      <x:c r="E571" s="10" t="str">
        <x:v>equals 4,240 m3 before thermal allowance</x:v>
      </x:c>
      <x:c r="F571" s="10" t="str">
        <x:f>IF(ABS('Source States'!K12-4240)&lt;0.000001,"PASS","FAIL")</x:f>
        <x:v>PASS</x:v>
      </x:c>
      <x:c r="G571" s="10" t="str">
        <x:v>PASS</x:v>
      </x:c>
      <x:c r="H571" s="10" t="str">
        <x:f>IF(F571=G571,"PASS","FAIL")</x:f>
        <x:v>PASS</x:v>
      </x:c>
    </x:row>
    <x:row r="572">
      <x:c r="B572" s="10" t="str">
        <x:v>A0566</x:v>
      </x:c>
      <x:c r="C572" s="10" t="str">
        <x:v>headline</x:v>
      </x:c>
      <x:c r="D572" s="10" t="str">
        <x:v>C1 holder margin</x:v>
      </x:c>
      <x:c r="E572" s="10" t="str">
        <x:v>equals 410 m3 after thermal allowance</x:v>
      </x:c>
      <x:c r="F572" s="10" t="str">
        <x:f>IF(ABS('DME Release'!N11-410)&lt;0.000001,"PASS","FAIL")</x:f>
        <x:v>PASS</x:v>
      </x:c>
      <x:c r="G572" s="10" t="str">
        <x:v>PASS</x:v>
      </x:c>
      <x:c r="H572" s="10" t="str">
        <x:f>IF(F572=G572,"PASS","FAIL")</x:f>
        <x:v>PASS</x:v>
      </x:c>
    </x:row>
    <x:row r="573">
      <x:c r="B573" s="10" t="str">
        <x:v>A0567</x:v>
      </x:c>
      <x:c r="C573" s="10" t="str">
        <x:v>headline</x:v>
      </x:c>
      <x:c r="D573" s="10" t="str">
        <x:v>MCR-1 capital</x:v>
      </x:c>
      <x:c r="E573" s="10" t="str">
        <x:v>equals USD 260M</x:v>
      </x:c>
      <x:c r="F573" s="10" t="str">
        <x:f>IF(ABS('Capital'!E12-260)&lt;0.000001,"PASS","FAIL")</x:f>
        <x:v>PASS</x:v>
      </x:c>
      <x:c r="G573" s="10" t="str">
        <x:v>PASS</x:v>
      </x:c>
      <x:c r="H573" s="10" t="str">
        <x:f>IF(F573=G573,"PASS","FAIL")</x:f>
        <x:v>PASS</x:v>
      </x:c>
    </x:row>
    <x:row r="574">
      <x:c r="B574" s="10" t="str">
        <x:v>A0568</x:v>
      </x:c>
      <x:c r="C574" s="10" t="str">
        <x:v>headline</x:v>
      </x:c>
      <x:c r="D574" s="10" t="str">
        <x:v>MCR-1 annual support</x:v>
      </x:c>
      <x:c r="E574" s="10" t="str">
        <x:v>equals USD 25M/year</x:v>
      </x:c>
      <x:c r="F574" s="10" t="str">
        <x:f>IF(ABS('Annual Support'!E11-25)&lt;0.000001,"PASS","FAIL")</x:f>
        <x:v>PASS</x:v>
      </x:c>
      <x:c r="G574" s="10" t="str">
        <x:v>PASS</x:v>
      </x:c>
      <x:c r="H574" s="10" t="str">
        <x:f>IF(F574=G574,"PASS","FAIL")</x:f>
        <x:v>PASS</x:v>
      </x:c>
    </x:row>
    <x:row r="575">
      <x:c r="B575" s="10" t="str">
        <x:v>A0569</x:v>
      </x:c>
      <x:c r="C575" s="10" t="str">
        <x:v>headline</x:v>
      </x:c>
      <x:c r="D575" s="10" t="str">
        <x:v>BRD-3R capital</x:v>
      </x:c>
      <x:c r="E575" s="10" t="str">
        <x:v>equals USD 780M</x:v>
      </x:c>
      <x:c r="F575" s="10" t="str">
        <x:f>IF(ABS('Capital'!E22-780)&lt;0.000001,"PASS","FAIL")</x:f>
        <x:v>PASS</x:v>
      </x:c>
      <x:c r="G575" s="10" t="str">
        <x:v>PASS</x:v>
      </x:c>
      <x:c r="H575" s="10" t="str">
        <x:f>IF(F575=G575,"PASS","FAIL")</x:f>
        <x:v>PASS</x:v>
      </x:c>
    </x:row>
    <x:row r="576">
      <x:c r="B576" s="10" t="str">
        <x:v>A0570</x:v>
      </x:c>
      <x:c r="C576" s="10" t="str">
        <x:v>headline</x:v>
      </x:c>
      <x:c r="D576" s="10" t="str">
        <x:v>BRD-3R annual</x:v>
      </x:c>
      <x:c r="E576" s="10" t="str">
        <x:v>equals USD 157M/year</x:v>
      </x:c>
      <x:c r="F576" s="10" t="str">
        <x:f>IF(ABS('Annual Support'!E21-157)&lt;0.000001,"PASS","FAIL")</x:f>
        <x:v>PASS</x:v>
      </x:c>
      <x:c r="G576" s="10" t="str">
        <x:v>PASS</x:v>
      </x:c>
      <x:c r="H576" s="10" t="str">
        <x:f>IF(F576=G576,"PASS","FAIL")</x:f>
        <x:v>PASS</x:v>
      </x:c>
    </x:row>
    <x:row r="577">
      <x:c r="B577" s="10" t="str">
        <x:v>A0571</x:v>
      </x:c>
      <x:c r="C577" s="10" t="str">
        <x:v>headline</x:v>
      </x:c>
      <x:c r="D577" s="10" t="str">
        <x:v>planning gate count</x:v>
      </x:c>
      <x:c r="E577" s="10" t="str">
        <x:v>equals 72</x:v>
      </x:c>
      <x:c r="F577" s="10" t="str">
        <x:f>IF(COUNTIF('Release Gates'!I7:I78,"PASS")='Controls'!$D$68,"PASS","FAIL")</x:f>
        <x:v>PASS</x:v>
      </x:c>
      <x:c r="G577" s="10" t="str">
        <x:v>PASS</x:v>
      </x:c>
      <x:c r="H577" s="10" t="str">
        <x:f>IF(F577=G577,"PASS","FAIL")</x:f>
        <x:v>PASS</x:v>
      </x:c>
    </x:row>
    <x:row r="578">
      <x:c r="B578" s="10" t="str">
        <x:v>A0572</x:v>
      </x:c>
      <x:c r="C578" s="10" t="str">
        <x:v>headline</x:v>
      </x:c>
      <x:c r="D578" s="10" t="str">
        <x:v>physical gate count</x:v>
      </x:c>
      <x:c r="E578" s="10" t="str">
        <x:v>equals 119 open</x:v>
      </x:c>
      <x:c r="F578" s="10" t="str">
        <x:f>IF(COUNTIF('Release Gates'!I79:I197,"OPEN")='Controls'!$D$69,"PASS","FAIL")</x:f>
        <x:v>PASS</x:v>
      </x:c>
      <x:c r="G578" s="10" t="str">
        <x:v>PASS</x:v>
      </x:c>
      <x:c r="H578" s="10" t="str">
        <x:f>IF(F578=G578,"PASS","FAIL")</x:f>
        <x:v>PASS</x:v>
      </x:c>
    </x:row>
    <x:row r="579">
      <x:c r="B579" s="11" t="str">
        <x:v>A0573</x:v>
      </x:c>
      <x:c r="C579" s="11" t="str">
        <x:v>headline</x:v>
      </x:c>
      <x:c r="D579" s="11" t="str">
        <x:v>downstream gate count</x:v>
      </x:c>
      <x:c r="E579" s="11" t="str">
        <x:v>equals 7 blocked</x:v>
      </x:c>
      <x:c r="F579" s="11" t="str">
        <x:f>IF(COUNTIF('Release Gates'!I198:I204,"BLOCKED")='Controls'!$D$70,"PASS","FAIL")</x:f>
        <x:v>PASS</x:v>
      </x:c>
      <x:c r="G579" s="11" t="str">
        <x:v>PASS</x:v>
      </x:c>
      <x:c r="H579" s="11" t="str">
        <x:f>IF(F579=G579,"PASS","FAIL")</x:f>
        <x:v>PASS</x:v>
      </x:c>
    </x:row>
  </x:sheetData>
  <x:mergeCells>
    <x:mergeCell ref="B2:I2"/>
    <x:mergeCell ref="B3:I3"/>
  </x:mergeCells>
  <x:conditionalFormatting sqref="F7:H579">
    <x:cfRule type="containsText" dxfId="266" priority="1" operator="containsText" text="PASS"/>
    <x:cfRule type="containsText" dxfId="267" priority="2" operator="containsText" text="AUTHORIZED"/>
    <x:cfRule type="containsText" dxfId="268" priority="3" operator="containsText" text="DEFINED"/>
    <x:cfRule type="containsText" dxfId="269" priority="4" operator="containsText" text="READY"/>
    <x:cfRule type="containsText" dxfId="270" priority="5" operator="containsText" text="HOLD"/>
    <x:cfRule type="containsText" dxfId="271" priority="6" operator="containsText" text="OPEN"/>
    <x:cfRule type="containsText" dxfId="272" priority="7" operator="containsText" text="BLOCKED"/>
    <x:cfRule type="containsText" dxfId="273" priority="8" operator="containsText" text="PLANNING"/>
    <x:cfRule type="containsText" dxfId="274" priority="9" operator="containsText" text="QUARANTINE"/>
    <x:cfRule type="containsText" dxfId="275" priority="10" operator="containsText" text="INDETERMINATE"/>
    <x:cfRule type="containsText" dxfId="276" priority="11" operator="containsText" text="FAIL"/>
    <x:cfRule type="containsText" dxfId="277" priority="12" operator="containsText" text="REJECT"/>
    <x:cfRule type="containsText" dxfId="278" priority="13" operator="containsText" text="INVALID"/>
    <x:cfRule type="containsText" dxfId="279" priority="14" operator="containsText" text="STOP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2" hidden="0" customWidth="1"/>
    <x:col min="3" max="3" width="105" hidden="0" customWidth="1"/>
  </x:cols>
  <x:sheetData>
    <x:row r="2">
      <x:c r="B2" s="1" t="str">
        <x:v>Workbook use and authority</x:v>
      </x:c>
    </x:row>
    <x:row r="3">
      <x:c r="B3" s="2" t="str">
        <x:v>MCR-1 is a planning constitution. The workbook separates inherited quantities, declared hypotheses, calculated screens and absent physical evidence.</x:v>
      </x:c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>
      <x:c r="B6" s="8" t="str">
        <x:v>Topic</x:v>
      </x:c>
      <x:c r="C6" s="8" t="str">
        <x:v>Rule</x:v>
      </x:c>
    </x:row>
    <x:row r="7">
      <x:c r="B7" s="10" t="str">
        <x:v>Decision</x:v>
      </x:c>
      <x:c r="C7" s="43" t="str">
        <x:v>Determine the containment, trial and authority system needed to earn a two-tonne maximum credible release for SA6.</x:v>
      </x:c>
    </x:row>
    <x:row r="8">
      <x:c r="B8" s="10" t="str">
        <x:v>C0</x:v>
      </x:c>
      <x:c r="C8" s="43" t="str">
        <x:v>No hazardous source is present. Geometry, controls and evidence paths may be commissioned with inert media.</x:v>
      </x:c>
    </x:row>
    <x:row r="9">
      <x:c r="B9" s="10" t="str">
        <x:v>C1</x:v>
      </x:c>
      <x:c r="C9" s="43" t="str">
        <x:v>One two-tonne compartment may be live. All adjacent compartments remain inert and independently verified.</x:v>
      </x:c>
    </x:row>
    <x:row r="10">
      <x:c r="B10" s="10" t="str">
        <x:v>C2</x:v>
      </x:c>
      <x:c r="C10" s="43" t="str">
        <x:v>Four live compartments are prohibited until every passive propagation claim and the separate C2 authority gate pass.</x:v>
      </x:c>
    </x:row>
    <x:row r="11">
      <x:c r="B11" s="10" t="str">
        <x:v>Root A</x:v>
      </x:c>
      <x:c r="C11" s="43" t="str">
        <x:v>Liquid fuel is governed by pool formation, drainage, firewater segregation, thermal radiation and recovery mass.</x:v>
      </x:c>
    </x:row>
    <x:row r="12">
      <x:c r="B12" s="10" t="str">
        <x:v>Root B</x:v>
      </x:c>
      <x:c r="C12" s="43" t="str">
        <x:v>DME is governed by two-phase release, dense-gas accumulation, ventilation limits, remote retention, ignition and recovery.</x:v>
      </x:c>
    </x:row>
    <x:row r="13">
      <x:c r="B13" s="10" t="str">
        <x:v>Ventilation</x:v>
      </x:c>
      <x:c r="C13" s="43" t="str">
        <x:v>The 12 m3/s system is creditable only below its calculated source-rate limit. It is not a full-bore safeguard.</x:v>
      </x:c>
    </x:row>
    <x:row r="14">
      <x:c r="B14" s="10" t="str">
        <x:v>Gas holder</x:v>
      </x:c>
      <x:c r="C14" s="43" t="str">
        <x:v>The 2,000 m3 holder accepts one compartment after a 1.5 thermal allowance. It cannot accept the C2 upper bound.</x:v>
      </x:c>
    </x:row>
    <x:row r="15">
      <x:c r="B15" s="10" t="str">
        <x:v>Explosion screen</x:v>
      </x:c>
      <x:c r="C15" s="43" t="str">
        <x:v>TNT participation and scaled-distance values set a conservative analysis domain. They are not validated consequences.</x:v>
      </x:c>
    </x:row>
    <x:row r="16">
      <x:c r="B16" s="10" t="str">
        <x:v>Physical evidence</x:v>
      </x:c>
      <x:c r="C16" s="43" t="str">
        <x:v>All cell, propagation, trial, instrument, safety and recovery source fields remain zero or open.</x:v>
      </x:c>
    </x:row>
    <x:row r="17">
      <x:c r="B17" s="10" t="str">
        <x:v>Finance</x:v>
      </x:c>
      <x:c r="C17" s="43" t="str">
        <x:v>Capital and annual values are design allocations inside CISA-1. They are not quotes, appropriations or execution authority.</x:v>
      </x:c>
    </x:row>
    <x:row r="18">
      <x:c r="B18" s="10" t="str">
        <x:v>Permitted diagrams</x:v>
      </x:c>
      <x:c r="C18" s="43" t="str">
        <x:v>Internal sections, flow diagrams, one-lines, sensor maps and hazard domains may follow this constitution.</x:v>
      </x:c>
    </x:row>
    <x:row r="19">
      <x:c r="B19" s="10" t="str">
        <x:v>Rendering</x:v>
      </x:c>
      <x:c r="C19" s="43" t="str">
        <x:v>Exterior vehicle form remains blocked.</x:v>
      </x:c>
    </x:row>
    <x:row r="20">
      <x:c r="B20" s="11" t="str">
        <x:v>Sources</x:v>
      </x:c>
      <x:c r="C20" s="44" t="str">
        <x:v>Internal authority: BPT-1, CRET-1, SDEC-1, PTC-0 and RSP-1. No external-site material is used.</x:v>
      </x:c>
    </x:row>
  </x:sheetData>
  <x:mergeCells>
    <x:mergeCell ref="B2:L2"/>
    <x:mergeCell ref="B3:L3"/>
  </x:mergeCells>
  <x:pageMargins left="0.7" right="0.7" top="0.75" bottom="0.75" header="0.3" footer="0.3"/>
</x:worksheet>
</file>