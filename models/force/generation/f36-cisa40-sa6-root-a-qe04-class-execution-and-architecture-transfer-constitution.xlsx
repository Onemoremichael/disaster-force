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ables/table14.xml" ContentType="application/vnd.openxmlformats-officedocument.spreadsheetml.table+xml"/>
  <Override PartName="/xl/worksheets/sheet17.xml" ContentType="application/vnd.openxmlformats-officedocument.spreadsheetml.worksheet+xml"/>
  <Override PartName="/xl/tables/table15.xml" ContentType="application/vnd.openxmlformats-officedocument.spreadsheetml.table+xml"/>
  <Override PartName="/xl/worksheets/sheet18.xml" ContentType="application/vnd.openxmlformats-officedocument.spreadsheetml.worksheet+xml"/>
  <Override PartName="/xl/tables/table16.xml" ContentType="application/vnd.openxmlformats-officedocument.spreadsheetml.table+xml"/>
  <Override PartName="/xl/worksheets/sheet19.xml" ContentType="application/vnd.openxmlformats-officedocument.spreadsheetml.worksheet+xml"/>
  <Override PartName="/xl/tables/table17.xml" ContentType="application/vnd.openxmlformats-officedocument.spreadsheetml.table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tables/table19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e7fb8a84f448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b102ef969f314d6e"/>
    <x:sheet xmlns:r="http://schemas.openxmlformats.org/officeDocument/2006/relationships" name="Assumptions" sheetId="2" r:id="R2b665192d05542a6"/>
    <x:sheet xmlns:r="http://schemas.openxmlformats.org/officeDocument/2006/relationships" name="Architecture Freeze" sheetId="3" r:id="R6bd9ee08ee7c4a53"/>
    <x:sheet xmlns:r="http://schemas.openxmlformats.org/officeDocument/2006/relationships" name="Cell Map" sheetId="4" r:id="R6c80e92bb86c4d93"/>
    <x:sheet xmlns:r="http://schemas.openxmlformats.org/officeDocument/2006/relationships" name="Module Bank" sheetId="5" r:id="Ra4b0799c20e34946"/>
    <x:sheet xmlns:r="http://schemas.openxmlformats.org/officeDocument/2006/relationships" name="Exchange Trials" sheetId="6" r:id="R7de63f663a014ca7"/>
    <x:sheet xmlns:r="http://schemas.openxmlformats.org/officeDocument/2006/relationships" name="Exchange Decision" sheetId="7" r:id="R3250a5b5c00444de"/>
    <x:sheet xmlns:r="http://schemas.openxmlformats.org/officeDocument/2006/relationships" name="Capacity" sheetId="8" r:id="R14315078cbdb4601"/>
    <x:sheet xmlns:r="http://schemas.openxmlformats.org/officeDocument/2006/relationships" name="Primary Schedule" sheetId="9" r:id="R94770bae08be4524"/>
    <x:sheet xmlns:r="http://schemas.openxmlformats.org/officeDocument/2006/relationships" name="Calendar Cases" sheetId="10" r:id="R77f1c09c99e44410"/>
    <x:sheet xmlns:r="http://schemas.openxmlformats.org/officeDocument/2006/relationships" name="Attempt Register" sheetId="11" r:id="R98cc668ca0ae47ea"/>
    <x:sheet xmlns:r="http://schemas.openxmlformats.org/officeDocument/2006/relationships" name="Package Bank" sheetId="12" r:id="R3666196ac4e24bcd"/>
    <x:sheet xmlns:r="http://schemas.openxmlformats.org/officeDocument/2006/relationships" name="Event Gates" sheetId="13" r:id="R00f61457aaea4d2f"/>
    <x:sheet xmlns:r="http://schemas.openxmlformats.org/officeDocument/2006/relationships" name="Attempt Objects" sheetId="14" r:id="Rab9fc08ef1ca48b4"/>
    <x:sheet xmlns:r="http://schemas.openxmlformats.org/officeDocument/2006/relationships" name="Source Accounts" sheetId="15" r:id="R06587aed7ffa4308"/>
    <x:sheet xmlns:r="http://schemas.openxmlformats.org/officeDocument/2006/relationships" name="Return Cycles" sheetId="16" r:id="R8d41dc4cb07347ca"/>
    <x:sheet xmlns:r="http://schemas.openxmlformats.org/officeDocument/2006/relationships" name="Transitions" sheetId="17" r:id="R68c4b40206154299"/>
    <x:sheet xmlns:r="http://schemas.openxmlformats.org/officeDocument/2006/relationships" name="Contrasts" sheetId="18" r:id="R0f88212c6d984b3b"/>
    <x:sheet xmlns:r="http://schemas.openxmlformats.org/officeDocument/2006/relationships" name="Hierarchy" sheetId="19" r:id="R5b2ba17fe3db4dac"/>
    <x:sheet xmlns:r="http://schemas.openxmlformats.org/officeDocument/2006/relationships" name="Evidence" sheetId="20" r:id="R5328ebeb8c4449ac"/>
    <x:sheet xmlns:r="http://schemas.openxmlformats.org/officeDocument/2006/relationships" name="Workforce" sheetId="21" r:id="R574a7b0591df42cc"/>
    <x:sheet xmlns:r="http://schemas.openxmlformats.org/officeDocument/2006/relationships" name="Technology" sheetId="22" r:id="Rdefa9b1a614a4571"/>
    <x:sheet xmlns:r="http://schemas.openxmlformats.org/officeDocument/2006/relationships" name="Finance" sheetId="23" r:id="R38bccaef97474462"/>
    <x:sheet xmlns:r="http://schemas.openxmlformats.org/officeDocument/2006/relationships" name="Cases" sheetId="24" r:id="R62542d7c5ee24e3e"/>
    <x:sheet xmlns:r="http://schemas.openxmlformats.org/officeDocument/2006/relationships" name="Audit" sheetId="25" r:id="Read3bf754455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.000"/>
    <x:numFmt numFmtId="201" formatCode="@"/>
    <x:numFmt numFmtId="202" formatCode="#,##0.000000"/>
    <x:numFmt numFmtId="203" formatCode="0.0000"/>
    <x:numFmt numFmtId="204" formatCode="0.000"/>
    <x:numFmt numFmtId="205" formatCode="#,##0.00"/>
  </x:numFmts>
  <x:fonts count="9">
    <x:font>
      <x:sz val="11"/>
      <x:name val="Carlito"/>
    </x:font>
    <x:font>
      <x:b/>
      <x:sz val="15"/>
      <x:color rgb="FF17324D"/>
      <x:name val="Arial"/>
    </x:font>
    <x:font>
      <x:i/>
      <x:sz val="9"/>
      <x:color rgb="FF5B6773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i/>
      <x:sz val="10"/>
      <x:color rgb="FF1F2937"/>
      <x:name val="Arial"/>
    </x:font>
    <x:font>
      <x:sz val="1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CEAF7"/>
      </x:patternFill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8">
    <x:border/>
    <x:border>
      <x:bottom style="thin">
        <x:color rgb="FFCAD4DE"/>
      </x:bottom>
    </x:border>
    <x:border>
      <x:left style="thin">
        <x:color rgb="FFCAD4DE"/>
      </x:left>
      <x:top style="thin">
        <x:color rgb="FFCAD4DE"/>
      </x:top>
      <x:bottom style="thin">
        <x:color rgb="FFCAD4DE"/>
      </x:bottom>
    </x:border>
    <x:border>
      <x:top style="thin">
        <x:color rgb="FFCAD4DE"/>
      </x:top>
      <x:bottom style="thin">
        <x:color rgb="FFCAD4DE"/>
      </x:bottom>
    </x:border>
    <x:border>
      <x:right style="thin">
        <x:color rgb="FFCAD4DE"/>
      </x:right>
      <x:top style="thin">
        <x:color rgb="FFCAD4DE"/>
      </x:top>
      <x:bottom style="thin">
        <x:color rgb="FFCAD4DE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5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3" fillId="2" borderId="3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5" xfId="0" applyNumberFormat="1" applyFont="1" applyFill="1" applyBorder="1"/>
    <x:xf numFmtId="0" fontId="5" fillId="3" borderId="6" xfId="0" applyNumberFormat="1" applyFont="1" applyFill="1" applyBorder="1"/>
    <x:xf numFmtId="0" fontId="5" fillId="3" borderId="7" xfId="0" applyNumberFormat="1" applyFont="1" applyFill="1" applyBorder="1"/>
    <x:xf numFmtId="0" fontId="5" fillId="3" borderId="5" xfId="0" applyNumberFormat="1" applyFont="1" applyFill="1" applyBorder="1" applyAlignment="1">
      <x:alignment wrapText="1"/>
    </x:xf>
    <x:xf numFmtId="0" fontId="5" fillId="3" borderId="6" xfId="0" applyNumberFormat="1" applyFont="1" applyFill="1" applyBorder="1" applyAlignment="1">
      <x:alignment wrapText="1"/>
    </x:xf>
    <x:xf numFmtId="0" fontId="5" fillId="3" borderId="7" xfId="0" applyNumberFormat="1" applyFont="1" applyFill="1" applyBorder="1" applyAlignment="1">
      <x:alignment wrapText="1"/>
    </x:xf>
    <x:xf numFmtId="0" fontId="5" fillId="3" borderId="5" xfId="0" applyNumberFormat="1" applyFont="1" applyFill="1" applyBorder="1" applyAlignment="1">
      <x:alignment horizontal="center" wrapText="1"/>
    </x:xf>
    <x:xf numFmtId="0" fontId="5" fillId="3" borderId="6" xfId="0" applyNumberFormat="1" applyFont="1" applyFill="1" applyBorder="1" applyAlignment="1">
      <x:alignment horizontal="center" wrapText="1"/>
    </x:xf>
    <x:xf numFmtId="0" fontId="5" fillId="3" borderId="7" xfId="0" applyNumberFormat="1" applyFont="1" applyFill="1" applyBorder="1" applyAlignment="1">
      <x:alignment horizontal="center" wrapText="1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5" fillId="3" borderId="6" xfId="0" applyNumberFormat="1" applyFont="1" applyFill="1" applyBorder="1" applyAlignment="1">
      <x:alignment horizontal="center" vertical="center" wrapText="1"/>
    </x:xf>
    <x:xf numFmtId="0" fontId="5" fillId="3" borderId="7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202" fontId="6" fillId="4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 wrapText="1"/>
    </x:xf>
    <x:xf numFmtId="0" fontId="3" fillId="3" borderId="5" xfId="0" applyNumberFormat="1" applyFont="1" applyFill="1" applyBorder="1" applyAlignment="1">
      <x:alignment horizontal="center" vertical="center" wrapText="1"/>
    </x:xf>
    <x:xf numFmtId="0" fontId="3" fillId="3" borderId="6" xfId="0" applyNumberFormat="1" applyFont="1" applyFill="1" applyBorder="1" applyAlignment="1">
      <x:alignment horizontal="center" vertical="center" wrapText="1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203" fontId="6" fillId="4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4" fontId="6" fillId="4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0" fontId="8" fillId="0" borderId="1" xfId="0" applyNumberFormat="1" applyFont="1" applyFill="1" applyBorder="1"/>
    <x:xf numFmtId="0" fontId="8" fillId="0" borderId="0" xfId="0" applyNumberFormat="1" applyFont="1" applyFill="1" applyBorder="1"/>
    <x:xf numFmtId="0" fontId="8" fillId="0" borderId="1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5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B6773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556d015fa84430" /><Relationship Type="http://schemas.openxmlformats.org/officeDocument/2006/relationships/theme" Target="/xl/theme/theme1.xml" Id="R8522b441f09644b5" /><Relationship Type="http://schemas.openxmlformats.org/officeDocument/2006/relationships/sharedStrings" Target="/xl/sharedStrings.xml" Id="R5be7e3362e574cc4" /><Relationship Type="http://schemas.openxmlformats.org/officeDocument/2006/relationships/worksheet" Target="/xl/worksheets/sheet1.xml" Id="Rb102ef969f314d6e" /><Relationship Type="http://schemas.openxmlformats.org/officeDocument/2006/relationships/worksheet" Target="/xl/worksheets/sheet2.xml" Id="R2b665192d05542a6" /><Relationship Type="http://schemas.openxmlformats.org/officeDocument/2006/relationships/worksheet" Target="/xl/worksheets/sheet3.xml" Id="R6bd9ee08ee7c4a53" /><Relationship Type="http://schemas.openxmlformats.org/officeDocument/2006/relationships/worksheet" Target="/xl/worksheets/sheet4.xml" Id="R6c80e92bb86c4d93" /><Relationship Type="http://schemas.openxmlformats.org/officeDocument/2006/relationships/worksheet" Target="/xl/worksheets/sheet5.xml" Id="Ra4b0799c20e34946" /><Relationship Type="http://schemas.openxmlformats.org/officeDocument/2006/relationships/worksheet" Target="/xl/worksheets/sheet6.xml" Id="R7de63f663a014ca7" /><Relationship Type="http://schemas.openxmlformats.org/officeDocument/2006/relationships/worksheet" Target="/xl/worksheets/sheet7.xml" Id="R3250a5b5c00444de" /><Relationship Type="http://schemas.openxmlformats.org/officeDocument/2006/relationships/worksheet" Target="/xl/worksheets/sheet8.xml" Id="R14315078cbdb4601" /><Relationship Type="http://schemas.openxmlformats.org/officeDocument/2006/relationships/worksheet" Target="/xl/worksheets/sheet9.xml" Id="R94770bae08be4524" /><Relationship Type="http://schemas.openxmlformats.org/officeDocument/2006/relationships/worksheet" Target="/xl/worksheets/sheet10.xml" Id="R77f1c09c99e44410" /><Relationship Type="http://schemas.openxmlformats.org/officeDocument/2006/relationships/worksheet" Target="/xl/worksheets/sheet11.xml" Id="R98cc668ca0ae47ea" /><Relationship Type="http://schemas.openxmlformats.org/officeDocument/2006/relationships/worksheet" Target="/xl/worksheets/sheet12.xml" Id="R3666196ac4e24bcd" /><Relationship Type="http://schemas.openxmlformats.org/officeDocument/2006/relationships/worksheet" Target="/xl/worksheets/sheet13.xml" Id="R00f61457aaea4d2f" /><Relationship Type="http://schemas.openxmlformats.org/officeDocument/2006/relationships/worksheet" Target="/xl/worksheets/sheet14.xml" Id="Rab9fc08ef1ca48b4" /><Relationship Type="http://schemas.openxmlformats.org/officeDocument/2006/relationships/worksheet" Target="/xl/worksheets/sheet15.xml" Id="R06587aed7ffa4308" /><Relationship Type="http://schemas.openxmlformats.org/officeDocument/2006/relationships/worksheet" Target="/xl/worksheets/sheet16.xml" Id="R8d41dc4cb07347ca" /><Relationship Type="http://schemas.openxmlformats.org/officeDocument/2006/relationships/worksheet" Target="/xl/worksheets/sheet17.xml" Id="R68c4b40206154299" /><Relationship Type="http://schemas.openxmlformats.org/officeDocument/2006/relationships/worksheet" Target="/xl/worksheets/sheet18.xml" Id="R0f88212c6d984b3b" /><Relationship Type="http://schemas.openxmlformats.org/officeDocument/2006/relationships/worksheet" Target="/xl/worksheets/sheet19.xml" Id="R5b2ba17fe3db4dac" /><Relationship Type="http://schemas.openxmlformats.org/officeDocument/2006/relationships/worksheet" Target="/xl/worksheets/sheet20.xml" Id="R5328ebeb8c4449ac" /><Relationship Type="http://schemas.openxmlformats.org/officeDocument/2006/relationships/worksheet" Target="/xl/worksheets/sheet21.xml" Id="R574a7b0591df42cc" /><Relationship Type="http://schemas.openxmlformats.org/officeDocument/2006/relationships/worksheet" Target="/xl/worksheets/sheet22.xml" Id="Rdefa9b1a614a4571" /><Relationship Type="http://schemas.openxmlformats.org/officeDocument/2006/relationships/worksheet" Target="/xl/worksheets/sheet23.xml" Id="R38bccaef97474462" /><Relationship Type="http://schemas.openxmlformats.org/officeDocument/2006/relationships/worksheet" Target="/xl/worksheets/sheet24.xml" Id="R62542d7c5ee24e3e" /><Relationship Type="http://schemas.openxmlformats.org/officeDocument/2006/relationships/worksheet" Target="/xl/worksheets/sheet25.xml" Id="Read3bf75445542ee" /></Relationships>
</file>

<file path=xl/tables/table1.xml><?xml version="1.0" encoding="utf-8"?>
<x:table xmlns:x="http://schemas.openxmlformats.org/spreadsheetml/2006/main" id="1" name="RbfAssumptions" displayName="RbfAssumptions" ref="A7:E46" headerRowCount="1" totalsRowCount="0" totalsRowShown="0">
  <x:tableColumns count="5">
    <x:tableColumn id="1" name="Parameter"/>
    <x:tableColumn id="2" name="Value"/>
    <x:tableColumn id="3" name="Unit"/>
    <x:tableColumn id="4" name="Role"/>
    <x:tableColumn id="5" name="Internal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hitectureFreezeTable" displayName="ArchitectureFreezeTable" ref="A7:H37" headerRowCount="1" totalsRowCount="0" totalsRowShown="0">
  <x:tableColumns count="8">
    <x:tableColumn id="1" name="Freeze ID"/>
    <x:tableColumn id="2" name="Domain"/>
    <x:tableColumn id="3" name="Required definition"/>
    <x:tableColumn id="4" name="RBE-1 reference"/>
    <x:tableColumn id="5" name="Serialized value"/>
    <x:tableColumn id="6" name="Configuration hash"/>
    <x:tableColumn id="7" name="Independent review"/>
    <x:tableColumn id="8" name="Sta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actCellMap" displayName="ExactCellMap" ref="A5:K17" headerRowCount="1" totalsRowCount="0" totalsRowShown="0">
  <x:tableColumns count="11">
    <x:tableColumn id="1" name="Cell ID"/>
    <x:tableColumn id="2" name="Rig"/>
    <x:tableColumn id="3" name="Campus"/>
    <x:tableColumn id="4" name="Primary truth root"/>
    <x:tableColumn id="5" name="Builder lineage"/>
    <x:tableColumn id="6" name="Active module"/>
    <x:tableColumn id="7" name="Source family"/>
    <x:tableColumn id="8" name="Primary package"/>
    <x:tableColumn id="9" name="48 gates current"/>
    <x:tableColumn id="10" name="Credit count"/>
    <x:tableColumn id="11" name="Cell 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oduleBankTable" displayName="ModuleBankTable" ref="A7:J25" headerRowCount="1" totalsRowCount="0" totalsRowShown="0">
  <x:tableColumns count="10">
    <x:tableColumn id="1" name="Module ID"/>
    <x:tableColumn id="2" name="Builder lineage"/>
    <x:tableColumn id="3" name="Role"/>
    <x:tableColumn id="4" name="Assigned cell"/>
    <x:tableColumn id="5" name="Route and stop system"/>
    <x:tableColumn id="6" name="Receiver"/>
    <x:tableColumn id="7" name="Capture liner"/>
    <x:tableColumn id="8" name="Physical acceptance"/>
    <x:tableColumn id="9" name="Custody seal"/>
    <x:tableColumn id="10" name="Sta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xchangeTrialTable" displayName="ExchangeTrialTable" ref="A7:M79" headerRowCount="1" totalsRowCount="0" totalsRowShown="0">
  <x:tableColumns count="13">
    <x:tableColumn id="1" name="Trial ID"/>
    <x:tableColumn id="2" name="Rig"/>
    <x:tableColumn id="3" name="Campus"/>
    <x:tableColumn id="4" name="Direction"/>
    <x:tableColumn id="5" name="Family"/>
    <x:tableColumn id="6" name="Outgoing module"/>
    <x:tableColumn id="7" name="Incoming module"/>
    <x:tableColumn id="8" name="Geometry state"/>
    <x:tableColumn id="9" name="Leak state"/>
    <x:tableColumn id="10" name="Cross-talk ratio"/>
    <x:tableColumn id="11" name="Safe state"/>
    <x:tableColumn id="12" name="Two originals and replay"/>
    <x:tableColumn id="13" name="Disposi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ExchangeDecisionTable" displayName="ExchangeDecisionTable" ref="A8:I20" headerRowCount="1" totalsRowCount="0" totalsRowShown="0">
  <x:tableColumns count="9">
    <x:tableColumn id="1" name="Decision ID"/>
    <x:tableColumn id="2" name="Rig"/>
    <x:tableColumn id="3" name="Direction"/>
    <x:tableColumn id="4" name="Required trials"/>
    <x:tableColumn id="5" name="Pass"/>
    <x:tableColumn id="6" name="Adverse"/>
    <x:tableColumn id="7" name="Open"/>
    <x:tableColumn id="8" name="Independent authority"/>
    <x:tableColumn id="9" name="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apacityTable" displayName="CapacityTable" ref="A8:F20" headerRowCount="1" totalsRowCount="0" totalsRowShown="0">
  <x:tableColumns count="6">
    <x:tableColumn id="1" name="Scenario"/>
    <x:tableColumn id="2" name="Resource"/>
    <x:tableColumn id="3" name="Units"/>
    <x:tableColumn id="4" name="Service interval h"/>
    <x:tableColumn id="5" name="Starts/week"/>
    <x:tableColumn id="6" name="Constraint sourc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rimaryScheduleTable" displayName="PrimaryScheduleTable" ref="A7:K18" headerRowCount="1" totalsRowCount="0" totalsRowShown="0">
  <x:tableColumns count="11">
    <x:tableColumn id="1" name="Order"/>
    <x:tableColumn id="2" name="Day from C0"/>
    <x:tableColumn id="3" name="Campus"/>
    <x:tableColumn id="4" name="Normalized rig"/>
    <x:tableColumn id="5" name="Truth root"/>
    <x:tableColumn id="6" name="Builder lineage"/>
    <x:tableColumn id="7" name="Cell role"/>
    <x:tableColumn id="8" name="Module interval h"/>
    <x:tableColumn id="9" name="Host interval h"/>
    <x:tableColumn id="10" name="Return day"/>
    <x:tableColumn id="11" name="Review-ready day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alendarCaseTable" displayName="CalendarCaseTable" ref="A5:M10" headerRowCount="1" totalsRowCount="0" totalsRowShown="0">
  <x:tableColumns count="13">
    <x:tableColumn id="1" name="Case"/>
    <x:tableColumn id="2" name="Total attempts incl. seed"/>
    <x:tableColumn id="3" name="Post-seed attempts"/>
    <x:tableColumn id="4" name="Local host attempts"/>
    <x:tableColumn id="5" name="Host interval d"/>
    <x:tableColumn id="6" name="Last event from C0 d"/>
    <x:tableColumn id="7" name="Return offset d"/>
    <x:tableColumn id="8" name="Last return d"/>
    <x:tableColumn id="9" name="Review lag d"/>
    <x:tableColumn id="10" name="Review from C0 d"/>
    <x:tableColumn id="11" name="Exchange campaign d"/>
    <x:tableColumn id="12" name="Total boundary d"/>
    <x:tableColumn id="13" name="Inside 24 month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ttemptRegisterTable" displayName="AttemptRegisterTable" ref="A7:P35" headerRowCount="1" totalsRowCount="0" totalsRowShown="0">
  <x:tableColumns count="16">
    <x:tableColumn id="1" name="Attempt ID"/>
    <x:tableColumn id="2" name="Role"/>
    <x:tableColumn id="3" name="Truth-root family"/>
    <x:tableColumn id="4" name="Exact cell"/>
    <x:tableColumn id="5" name="Package ID"/>
    <x:tableColumn id="6" name="Module ID"/>
    <x:tableColumn id="7" name="Validity"/>
    <x:tableColumn id="8" name="Outcome"/>
    <x:tableColumn id="9" name="Environmental kg"/>
    <x:tableColumn id="10" name="Unaccounted kg"/>
    <x:tableColumn id="11" name="Peak MPa"/>
    <x:tableColumn id="12" name="Receiver state"/>
    <x:tableColumn id="13" name="Mass U95 kg"/>
    <x:tableColumn id="14" name="Return state"/>
    <x:tableColumn id="15" name="Object state"/>
    <x:tableColumn id="16" name="Disposi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ageBankTable" displayName="PackageBankTable" ref="A9:I39" headerRowCount="1" totalsRowCount="0" totalsRowShown="0">
  <x:tableColumns count="9">
    <x:tableColumn id="1" name="Package ID"/>
    <x:tableColumn id="2" name="Truth-root family"/>
    <x:tableColumn id="3" name="Role"/>
    <x:tableColumn id="4" name="Gross kg"/>
    <x:tableColumn id="5" name="Event kg"/>
    <x:tableColumn id="6" name="Assay kg"/>
    <x:tableColumn id="7" name="Conditioning kg"/>
    <x:tableColumn id="8" name="Quarantine kg"/>
    <x:tableColumn id="9" name="Physical state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EventGateTable" displayName="EventGateTable" ref="A5:G53" headerRowCount="1" totalsRowCount="0" totalsRowShown="0">
  <x:tableColumns count="7">
    <x:tableColumn id="1" name="Gate ID"/>
    <x:tableColumn id="2" name="Domain"/>
    <x:tableColumn id="3" name="Required state"/>
    <x:tableColumn id="4" name="Owner"/>
    <x:tableColumn id="5" name="Current evidence"/>
    <x:tableColumn id="6" name="Authority"/>
    <x:tableColumn id="7" name="Definition stat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AttemptObjectTable" displayName="AttemptObjectTable" ref="A5:R33" headerRowCount="1" totalsRowCount="0" totalsRowShown="0">
  <x:tableColumns count="18">
    <x:tableColumn id="1" name="Attempt"/>
    <x:tableColumn id="2" name="Gates req."/>
    <x:tableColumn id="3" name="Gates closed"/>
    <x:tableColumn id="4" name="Dossier req."/>
    <x:tableColumn id="5" name="Dossier bound"/>
    <x:tableColumn id="6" name="Safeing req."/>
    <x:tableColumn id="7" name="Safeing closed"/>
    <x:tableColumn id="8" name="Measurements req."/>
    <x:tableColumn id="9" name="Measurements accepted"/>
    <x:tableColumn id="10" name="Samples req."/>
    <x:tableColumn id="11" name="Samples accepted"/>
    <x:tableColumn id="12" name="Work req."/>
    <x:tableColumn id="13" name="Work closed"/>
    <x:tableColumn id="14" name="Decisions req."/>
    <x:tableColumn id="15" name="Decisions closed"/>
    <x:tableColumn id="16" name="Replays req."/>
    <x:tableColumn id="17" name="Replays closed"/>
    <x:tableColumn id="18" name="Object sta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ReturnCycleTable" displayName="ReturnCycleTable" ref="A5:K33" headerRowCount="1" totalsRowCount="0" totalsRowShown="0">
  <x:tableColumns count="11">
    <x:tableColumn id="1" name="Attempt"/>
    <x:tableColumn id="2" name="Module"/>
    <x:tableColumn id="3" name="Event time"/>
    <x:tableColumn id="4" name="Elapsed h"/>
    <x:tableColumn id="5" name="72 h state"/>
    <x:tableColumn id="6" name="336 h state"/>
    <x:tableColumn id="7" name="504 h state"/>
    <x:tableColumn id="8" name="672 h state"/>
    <x:tableColumn id="9" name="Work packages closed"/>
    <x:tableColumn id="10" name="Decisions closed"/>
    <x:tableColumn id="11" name="Return stat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ransitionTable" displayName="TransitionTable" ref="A5:M27" headerRowCount="1" totalsRowCount="0" totalsRowShown="0">
  <x:tableColumns count="13">
    <x:tableColumn id="1" name="Transition ID"/>
    <x:tableColumn id="2" name="Host sequence"/>
    <x:tableColumn id="3" name="Predecessor"/>
    <x:tableColumn id="4" name="Successor"/>
    <x:tableColumn id="5" name="Transition class"/>
    <x:tableColumn id="6" name="Required interval h"/>
    <x:tableColumn id="7" name="Observed interval h"/>
    <x:tableColumn id="8" name="Outgoing isolated"/>
    <x:tableColumn id="9" name="Incoming accepted"/>
    <x:tableColumn id="10" name="Cross-talk ratio"/>
    <x:tableColumn id="11" name="Evidence complete"/>
    <x:tableColumn id="12" name="Authority"/>
    <x:tableColumn id="13" name="Sta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ontrastTable" displayName="ContrastTable" ref="A5:J11" headerRowCount="1" totalsRowCount="0" totalsRowShown="0">
  <x:tableColumns count="10">
    <x:tableColumn id="1" name="Contrast ID"/>
    <x:tableColumn id="2" name="Rig"/>
    <x:tableColumn id="3" name="Campus"/>
    <x:tableColumn id="4" name="TR-A lineage"/>
    <x:tableColumn id="5" name="TR-B lineage"/>
    <x:tableColumn id="6" name="Both cell credits"/>
    <x:tableColumn id="7" name="Exchange accepted"/>
    <x:tableColumn id="8" name="Difference reconstructed"/>
    <x:tableColumn id="9" name="Independent review"/>
    <x:tableColumn id="10" name="State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HierarchyTable" displayName="HierarchyTable" ref="A10:G24" headerRowCount="1" totalsRowCount="0" totalsRowShown="0">
  <x:tableColumns count="7">
    <x:tableColumn id="1" name="Decision ID"/>
    <x:tableColumn id="2" name="Level"/>
    <x:tableColumn id="3" name="Scope"/>
    <x:tableColumn id="4" name="Required records"/>
    <x:tableColumn id="5" name="Scientific decision"/>
    <x:tableColumn id="6" name="Authority"/>
    <x:tableColumn id="7" name="State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WorkforceTable" displayName="WorkforceTable" ref="A5:E12" headerRowCount="1" totalsRowCount="0" totalsRowShown="0">
  <x:tableColumns count="5">
    <x:tableColumn id="1" name="Function"/>
    <x:tableColumn id="2" name="Positions"/>
    <x:tableColumn id="3" name="Owned capacity"/>
    <x:tableColumn id="4" name="RAS-1 positions"/>
    <x:tableColumn id="5" name="Incremen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echnologyTable" displayName="TechnologyTable" ref="A5:E17" headerRowCount="1" totalsRowCount="0" totalsRowShown="0">
  <x:tableColumns count="5">
    <x:tableColumn id="1" name="Program"/>
    <x:tableColumn id="2" name="USD M"/>
    <x:tableColumn id="3" name="Required advance"/>
    <x:tableColumn id="4" name="Current-class use"/>
    <x:tableColumn id="5" name="Credit rule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BoundaryCaseTable" displayName="BoundaryCaseTable" ref="A7:H127" headerRowCount="1" totalsRowCount="0" totalsRowShown="0">
  <x:tableColumns count="8">
    <x:tableColumn id="1" name="Case ID"/>
    <x:tableColumn id="2" name="Category"/>
    <x:tableColumn id="3" name="Input"/>
    <x:tableColumn id="4" name="Lower bound"/>
    <x:tableColumn id="5" name="Upper bound"/>
    <x:tableColumn id="6" name="Expected"/>
    <x:tableColumn id="7" name="Calculated"/>
    <x:tableColumn id="8" name="Audit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AuditTable" displayName="AuditTable" ref="A5:F245" headerRowCount="1" totalsRowCount="0" totalsRowShown="0">
  <x:tableColumns count="6">
    <x:tableColumn id="1" name="Audit ID"/>
    <x:tableColumn id="2" name="Family"/>
    <x:tableColumn id="3" name="Assertion"/>
    <x:tableColumn id="4" name="Expected"/>
    <x:tableColumn id="5" name="Observed"/>
    <x:tableColumn id="6" name="Dis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ab0102165a43e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43115c025a42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806c0d5bafc438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928b3602cd4af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d62420b2e6349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e2c0eff28d54d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552e9a16e8481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e8c851ba81483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a9cb7362da5471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24e548819a545e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b53ca5e7005436a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926feca4297e47de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90fb474e7a7a44b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4.xml" Id="Rc529c20bdadf4aa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5.xml" Id="R9738425c10b24bca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6.xml" Id="R0697ca9807d54d9b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7.xml" Id="Rfef8c24100c348ab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8.xml" Id="Ra2626772e20742e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19.xml" Id="R3ad2bcc093d840c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0.xml" Id="R2b5935909512492e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1.xml" Id="R3aee516e74c1456d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8" hidden="0" customWidth="1"/>
    <x:col min="2" max="2" width="25" hidden="0" customWidth="1"/>
    <x:col min="3" max="3" width="3" hidden="0" customWidth="1"/>
    <x:col min="4" max="4" width="42" hidden="0" customWidth="1"/>
    <x:col min="5" max="5" width="24" hidden="0" customWidth="1"/>
    <x:col min="6" max="6" width="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2" ht="26" customHeight="1">
      <x:c r="A2" s="2" t="str">
        <x:v>RBF-1 QE-04 class execution and architecture transfer</x:v>
      </x:c>
      <x:c r="B2" s="2" t="str">
        <x:v>RBF-1 QE-04 class execution and architecture transfer</x:v>
      </x:c>
      <x:c r="C2" s="2" t="str">
        <x:v>RBF-1 QE-04 class execution and architecture transfer</x:v>
      </x:c>
      <x:c r="D2" s="2" t="str">
        <x:v>RBF-1 QE-04 class execution and architecture transfer</x:v>
      </x:c>
      <x:c r="E2" s="2" t="str">
        <x:v>RBF-1 QE-04 class execution and architecture transfer</x:v>
      </x:c>
      <x:c r="F2" s="2" t="str">
        <x:v>RBF-1 QE-04 class execution and architecture transfer</x:v>
      </x:c>
      <x:c r="G2" s="2" t="str">
        <x:v>RBF-1 QE-04 class execution and architecture transfer</x:v>
      </x:c>
      <x:c r="H2" s="2" t="str">
        <x:v>RBF-1 QE-04 class execution and architecture transfer</x:v>
      </x:c>
      <x:c r="I2" s="2" t="str">
        <x:v>RBF-1 QE-04 class execution and architecture transfer</x:v>
      </x:c>
      <x:c r="J2" s="2" t="str">
        <x:v>RBF-1 QE-04 class execution and architecture transfer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</x:row>
    <x:row r="5">
      <x:c r="A5" s="52" t="str">
        <x:v>Planning constitution only. Source, exchange and class fields remain open. Fixed-boundary transfer and modular-exchange transfer are separate claims.</x:v>
      </x:c>
      <x:c r="B5" s="51"/>
      <x:c r="C5" s="51"/>
      <x:c r="D5" s="51"/>
      <x:c r="E5" s="51"/>
      <x:c r="F5" s="51"/>
      <x:c r="G5" s="51"/>
      <x:c r="H5" s="51"/>
      <x:c r="I5" s="51"/>
      <x:c r="J5" s="51"/>
    </x:row>
    <x:row r="6">
      <x:c r="A6" s="51"/>
      <x:c r="B6" s="51"/>
      <x:c r="C6" s="51"/>
      <x:c r="D6" s="51"/>
      <x:c r="E6" s="51"/>
      <x:c r="F6" s="51"/>
      <x:c r="G6" s="51"/>
      <x:c r="H6" s="51"/>
      <x:c r="I6" s="51"/>
      <x:c r="J6" s="51"/>
    </x:row>
    <x:row r="7">
      <x:c r="A7" s="12" t="str">
        <x:v>Class and calendar state</x:v>
      </x:c>
      <x:c r="B7" s="13" t="str">
        <x:v>Class and calendar state</x:v>
      </x:c>
      <x:c r="C7" s="13" t="str">
        <x:v>Class and calendar state</x:v>
      </x:c>
      <x:c r="D7" s="13" t="str">
        <x:v>Class and calendar state</x:v>
      </x:c>
      <x:c r="E7" s="13" t="str">
        <x:v>Class and calendar state</x:v>
      </x:c>
      <x:c r="F7" s="13" t="str">
        <x:v>Class and calendar state</x:v>
      </x:c>
      <x:c r="G7" s="13" t="str">
        <x:v>Class and calendar state</x:v>
      </x:c>
      <x:c r="H7" s="13" t="str">
        <x:v>Class and calendar state</x:v>
      </x:c>
      <x:c r="I7" s="13" t="str">
        <x:v>Class and calendar state</x:v>
      </x:c>
      <x:c r="J7" s="14" t="str">
        <x:v>Class and calendar state</x:v>
      </x:c>
    </x:row>
    <x:row r="8">
      <x:c r="A8" s="17" t="str">
        <x:v>Exact cells</x:v>
      </x:c>
      <x:c r="B8" s="18" t="n">
        <x:f>'Assumptions'!B8</x:f>
        <x:v>12</x:v>
      </x:c>
      <x:c r="C8" s="16"/>
      <x:c r="D8" s="17" t="str">
        <x:v>Primary total boundary days</x:v>
      </x:c>
      <x:c r="E8" s="18" t="n">
        <x:f>'Calendar Cases'!L6</x:f>
        <x:v>147</x:v>
      </x:c>
      <x:c r="F8" s="16"/>
      <x:c r="G8" s="16"/>
      <x:c r="H8" s="16"/>
      <x:c r="I8" s="16"/>
      <x:c r="J8" s="16"/>
    </x:row>
    <x:row r="9">
      <x:c r="A9" s="17" t="str">
        <x:v>Selected architecture state</x:v>
      </x:c>
      <x:c r="B9" s="20" t="str">
        <x:f>'Architecture Freeze'!B5</x:f>
        <x:v>OPEN</x:v>
      </x:c>
      <x:c r="C9" s="16"/>
      <x:c r="D9" s="17" t="str">
        <x:v>Distributed maximum boundary days</x:v>
      </x:c>
      <x:c r="E9" s="18" t="n">
        <x:f>'Calendar Cases'!L7</x:f>
        <x:v>182</x:v>
      </x:c>
      <x:c r="F9" s="16"/>
      <x:c r="G9" s="16"/>
      <x:c r="H9" s="16"/>
      <x:c r="I9" s="16"/>
      <x:c r="J9" s="16"/>
    </x:row>
    <x:row r="10">
      <x:c r="A10" s="17" t="str">
        <x:v>Exchange trials</x:v>
      </x:c>
      <x:c r="B10" s="20" t="n">
        <x:f>'Assumptions'!B24</x:f>
        <x:v>72</x:v>
      </x:c>
      <x:c r="C10" s="16"/>
      <x:c r="D10" s="17" t="str">
        <x:v>Qualified concentration boundary days</x:v>
      </x:c>
      <x:c r="E10" s="18" t="n">
        <x:f>'Calendar Cases'!L9</x:f>
        <x:v>364</x:v>
      </x:c>
      <x:c r="F10" s="16"/>
      <x:c r="G10" s="16"/>
      <x:c r="H10" s="16"/>
      <x:c r="I10" s="16"/>
      <x:c r="J10" s="16"/>
    </x:row>
    <x:row r="11">
      <x:c r="A11" s="17" t="str">
        <x:v>National exchange state</x:v>
      </x:c>
      <x:c r="B11" s="18" t="str">
        <x:f>'Exchange Decision'!B6</x:f>
        <x:v>OPEN</x:v>
      </x:c>
      <x:c r="C11" s="16"/>
      <x:c r="D11" s="17" t="str">
        <x:v>Denied-exchange boundary days</x:v>
      </x:c>
      <x:c r="E11" s="18" t="n">
        <x:f>'Calendar Cases'!L10</x:f>
        <x:v>602</x:v>
      </x:c>
      <x:c r="F11" s="16"/>
      <x:c r="G11" s="16"/>
      <x:c r="H11" s="16"/>
      <x:c r="I11" s="16"/>
      <x:c r="J11" s="16"/>
    </x:row>
    <x:row r="12">
      <x:c r="A12" s="17" t="str">
        <x:v>Required class attempts</x:v>
      </x:c>
      <x:c r="B12" s="18" t="n">
        <x:f>'Assumptions'!B8</x:f>
        <x:v>12</x:v>
      </x:c>
      <x:c r="C12" s="16"/>
      <x:c r="D12" s="17" t="str">
        <x:v>Future packages</x:v>
      </x:c>
      <x:c r="E12" s="18" t="n">
        <x:f>'Package Bank'!B5</x:f>
        <x:v>30</x:v>
      </x:c>
      <x:c r="F12" s="16"/>
      <x:c r="G12" s="16"/>
      <x:c r="H12" s="16"/>
      <x:c r="I12" s="16"/>
      <x:c r="J12" s="16"/>
    </x:row>
    <x:row r="13">
      <x:c r="A13" s="17" t="str">
        <x:v>Maximum attempts</x:v>
      </x:c>
      <x:c r="B13" s="18" t="n">
        <x:f>'Assumptions'!B40</x:f>
        <x:v>28</x:v>
      </x:c>
      <x:c r="C13" s="16"/>
      <x:c r="D13" s="17" t="str">
        <x:v>Source-contact modules</x:v>
      </x:c>
      <x:c r="E13" s="18" t="n">
        <x:f>'Module Bank'!B5</x:f>
        <x:v>18</x:v>
      </x:c>
      <x:c r="F13" s="16"/>
      <x:c r="G13" s="16"/>
      <x:c r="H13" s="16"/>
      <x:c r="I13" s="16"/>
      <x:c r="J13" s="16"/>
    </x:row>
    <x:row r="14">
      <x:c r="A14" s="17" t="str">
        <x:v>Module-return minimum h</x:v>
      </x:c>
      <x:c r="B14" s="18" t="n">
        <x:f>'Assumptions'!B16</x:f>
        <x:v>672</x:v>
      </x:c>
      <x:c r="C14" s="16"/>
      <x:c r="D14" s="17" t="str">
        <x:v>Maximum event issue kg</x:v>
      </x:c>
      <x:c r="E14" s="18" t="n">
        <x:f>'Package Bank'!B7</x:f>
        <x:v>14000</x:v>
      </x:c>
      <x:c r="F14" s="16"/>
      <x:c r="G14" s="16"/>
      <x:c r="H14" s="16"/>
      <x:c r="I14" s="16"/>
      <x:c r="J14" s="16"/>
    </x:row>
    <x:row r="15">
      <x:c r="A15" s="17" t="str">
        <x:v>Qualified capacity starts/week</x:v>
      </x:c>
      <x:c r="B15" s="18" t="n">
        <x:f>'Capacity'!B5</x:f>
        <x:v>3</x:v>
      </x:c>
      <x:c r="C15" s="16"/>
      <x:c r="D15" s="17" t="str">
        <x:v>Maximum evidence allocation GB</x:v>
      </x:c>
      <x:c r="E15" s="18" t="n">
        <x:f>'Evidence'!B13</x:f>
        <x:v>13887.6087796992</x:v>
      </x:c>
      <x:c r="F15" s="16"/>
      <x:c r="G15" s="16"/>
      <x:c r="H15" s="16"/>
      <x:c r="I15" s="16"/>
      <x:c r="J15" s="16"/>
    </x:row>
    <x:row r="16">
      <x:c r="A16" s="17" t="str">
        <x:v>Denied-exchange capacity starts/week</x:v>
      </x:c>
      <x:c r="B16" s="20" t="n">
        <x:f>'Capacity'!B6</x:f>
        <x:v>1.5</x:v>
      </x:c>
      <x:c r="C16" s="16"/>
      <x:c r="D16" s="17" t="str">
        <x:v>Fixed environmental limit kg</x:v>
      </x:c>
      <x:c r="E16" s="18" t="n">
        <x:f>'Source Accounts'!B9</x:f>
        <x:v>6</x:v>
      </x:c>
      <x:c r="F16" s="16"/>
      <x:c r="G16" s="16"/>
      <x:c r="H16" s="16"/>
      <x:c r="I16" s="16"/>
      <x:c r="J16" s="16"/>
    </x:row>
    <x:row r="17">
      <x:c r="A17" s="17" t="str">
        <x:v>Class state</x:v>
      </x:c>
      <x:c r="B17" s="20" t="str">
        <x:f>'Hierarchy'!B8</x:f>
        <x:v>OPEN</x:v>
      </x:c>
      <x:c r="C17" s="16"/>
      <x:c r="D17" s="17" t="str">
        <x:v>Fixed unaccounted limit kg</x:v>
      </x:c>
      <x:c r="E17" s="18" t="n">
        <x:f>'Source Accounts'!B12</x:f>
        <x:v>45</x:v>
      </x:c>
      <x:c r="F17" s="16"/>
      <x:c r="G17" s="16"/>
      <x:c r="H17" s="16"/>
      <x:c r="I17" s="16"/>
      <x:c r="J17" s="16"/>
    </x:row>
    <x:row r="18">
      <x:c r="A18" s="17" t="str">
        <x:v>Next research object</x:v>
      </x:c>
      <x:c r="B18" s="20" t="str">
        <x:v>RBG-1 AM-06 entry-ladder reset</x:v>
      </x:c>
      <x:c r="C18" s="16"/>
      <x:c r="D18" s="17" t="str">
        <x:v>Blocked</x:v>
      </x:c>
      <x:c r="E18" s="16" t="str">
        <x:v>AM-06 issue, fire, candidate entry, production, export, exterior rendering</x:v>
      </x:c>
      <x:c r="F18" s="16"/>
      <x:c r="G18" s="16"/>
      <x:c r="H18" s="16"/>
      <x:c r="I18" s="16"/>
      <x:c r="J18" s="16"/>
    </x:row>
    <x:row r="19">
      <x:c r="A19" s="17"/>
      <x:c r="B19" s="18"/>
      <x:c r="C19" s="16"/>
      <x:c r="D19" s="16"/>
      <x:c r="E19" s="16"/>
      <x:c r="F19" s="16"/>
      <x:c r="G19" s="16"/>
      <x:c r="H19" s="16"/>
      <x:c r="I19" s="16"/>
      <x:c r="J19" s="16"/>
    </x:row>
    <x:row r="20">
      <x:c r="A20" s="12" t="str">
        <x:v>Fiscal amendment</x:v>
      </x:c>
      <x:c r="B20" s="19" t="str">
        <x:v>Fiscal amendment</x:v>
      </x:c>
      <x:c r="C20" s="13" t="str">
        <x:v>Fiscal amendment</x:v>
      </x:c>
      <x:c r="D20" s="13" t="str">
        <x:v>Fiscal amendment</x:v>
      </x:c>
      <x:c r="E20" s="13" t="str">
        <x:v>Fiscal amendment</x:v>
      </x:c>
      <x:c r="F20" s="13" t="str">
        <x:v>Fiscal amendment</x:v>
      </x:c>
      <x:c r="G20" s="13" t="str">
        <x:v>Fiscal amendment</x:v>
      </x:c>
      <x:c r="H20" s="13" t="str">
        <x:v>Fiscal amendment</x:v>
      </x:c>
      <x:c r="I20" s="13" t="str">
        <x:v>Fiscal amendment</x:v>
      </x:c>
      <x:c r="J20" s="14" t="str">
        <x:v>Fiscal amendment</x:v>
      </x:c>
    </x:row>
    <x:row r="21">
      <x:c r="A21" s="17" t="str">
        <x:v>Revised parent</x:v>
      </x:c>
      <x:c r="B21" s="18" t="str">
        <x:v>RAS-2R</x:v>
      </x:c>
      <x:c r="C21" s="16"/>
      <x:c r="D21" s="16"/>
      <x:c r="E21" s="16"/>
      <x:c r="F21" s="16"/>
      <x:c r="G21" s="16"/>
      <x:c r="H21" s="16"/>
      <x:c r="I21" s="16"/>
      <x:c r="J21" s="16"/>
    </x:row>
    <x:row r="22">
      <x:c r="A22" s="17" t="str">
        <x:v>Stage state</x:v>
      </x:c>
      <x:c r="B22" s="18" t="str">
        <x:f>'Finance'!B28</x:f>
        <x:v>AMENDMENT REQUIRED</x:v>
      </x:c>
      <x:c r="C22" s="16"/>
      <x:c r="D22" s="16"/>
      <x:c r="E22" s="16"/>
      <x:c r="F22" s="16"/>
      <x:c r="G22" s="16"/>
      <x:c r="H22" s="16"/>
      <x:c r="I22" s="16"/>
      <x:c r="J22" s="16"/>
    </x:row>
    <x:row r="23">
      <x:c r="A23" s="17" t="str">
        <x:v>Incremental capital USD M</x:v>
      </x:c>
      <x:c r="B23" s="18" t="n">
        <x:f>'Finance'!B7</x:f>
        <x:v>180</x:v>
      </x:c>
      <x:c r="C23" s="16"/>
      <x:c r="D23" s="16"/>
      <x:c r="E23" s="16"/>
      <x:c r="F23" s="16"/>
      <x:c r="G23" s="16"/>
      <x:c r="H23" s="16"/>
      <x:c r="I23" s="16"/>
      <x:c r="J23" s="16"/>
    </x:row>
    <x:row r="24">
      <x:c r="A24" s="17" t="str">
        <x:v>Incremental annual support USD M</x:v>
      </x:c>
      <x:c r="B24" s="18" t="n">
        <x:f>'Finance'!B9</x:f>
        <x:v>28</x:v>
      </x:c>
      <x:c r="C24" s="16"/>
      <x:c r="D24" s="16"/>
      <x:c r="E24" s="16"/>
      <x:c r="F24" s="16"/>
      <x:c r="G24" s="16"/>
      <x:c r="H24" s="16"/>
      <x:c r="I24" s="16"/>
      <x:c r="J24" s="16"/>
    </x:row>
    <x:row r="25">
      <x:c r="A25" s="17" t="str">
        <x:v>Technology USD M</x:v>
      </x:c>
      <x:c r="B25" s="18" t="n">
        <x:f>'Finance'!B11</x:f>
        <x:v>160</x:v>
      </x:c>
      <x:c r="C25" s="16"/>
      <x:c r="D25" s="16"/>
      <x:c r="E25" s="16"/>
      <x:c r="F25" s="16"/>
      <x:c r="G25" s="16"/>
      <x:c r="H25" s="16"/>
      <x:c r="I25" s="16"/>
      <x:c r="J25" s="16"/>
    </x:row>
    <x:row r="26">
      <x:c r="A26" s="17" t="str">
        <x:v>Stage exposure USD M</x:v>
      </x:c>
      <x:c r="B26" s="18" t="n">
        <x:f>'Finance'!B16</x:f>
        <x:v>236</x:v>
      </x:c>
      <x:c r="C26" s="16"/>
      <x:c r="D26" s="16"/>
      <x:c r="E26" s="16"/>
      <x:c r="F26" s="16"/>
      <x:c r="G26" s="16"/>
      <x:c r="H26" s="16"/>
      <x:c r="I26" s="16"/>
      <x:c r="J26" s="16"/>
    </x:row>
    <x:row r="27">
      <x:c r="A27" s="17" t="str">
        <x:v>Revised parent gross exposure USD M</x:v>
      </x:c>
      <x:c r="B27" s="18" t="n">
        <x:f>'Finance'!B18</x:f>
        <x:v>1457.5</x:v>
      </x:c>
      <x:c r="C27" s="16"/>
      <x:c r="D27" s="16"/>
      <x:c r="E27" s="16"/>
      <x:c r="F27" s="16"/>
      <x:c r="G27" s="16"/>
      <x:c r="H27" s="16"/>
      <x:c r="I27" s="16"/>
      <x:c r="J27" s="16"/>
    </x:row>
    <x:row r="28">
      <x:c r="A28" s="17" t="str">
        <x:v>Cumulative child exposure USD M</x:v>
      </x:c>
      <x:c r="B28" s="18" t="n">
        <x:f>'Finance'!B20</x:f>
        <x:v>1174.25</x:v>
      </x:c>
      <x:c r="C28" s="16"/>
      <x:c r="D28" s="16"/>
      <x:c r="E28" s="16"/>
      <x:c r="F28" s="16"/>
      <x:c r="G28" s="16"/>
      <x:c r="H28" s="16"/>
      <x:c r="I28" s="16"/>
      <x:c r="J28" s="16"/>
    </x:row>
    <x:row r="29">
      <x:c r="A29" s="17" t="str">
        <x:v>Parent difference USD M</x:v>
      </x:c>
      <x:c r="B29" s="18" t="n">
        <x:f>'Finance'!B21</x:f>
        <x:v>283.25</x:v>
      </x:c>
      <x:c r="C29" s="16"/>
      <x:c r="D29" s="16"/>
      <x:c r="E29" s="16"/>
      <x:c r="F29" s="16"/>
      <x:c r="G29" s="16"/>
      <x:c r="H29" s="16"/>
      <x:c r="I29" s="16"/>
      <x:c r="J29" s="16"/>
    </x:row>
    <x:row r="30">
      <x:c r="A30" s="17" t="str">
        <x:v>Public positions</x:v>
      </x:c>
      <x:c r="B30" s="18" t="n">
        <x:f>'Workforce'!B14</x:f>
        <x:v>560</x:v>
      </x:c>
      <x:c r="C30" s="16"/>
      <x:c r="D30" s="16"/>
      <x:c r="E30" s="16"/>
      <x:c r="F30" s="16"/>
      <x:c r="G30" s="16"/>
      <x:c r="H30" s="16"/>
      <x:c r="I30" s="16"/>
      <x:c r="J30" s="16"/>
    </x:row>
  </x:sheetData>
  <x:mergeCells>
    <x:mergeCell ref="A2:J2"/>
    <x:mergeCell ref="A7:J7"/>
    <x:mergeCell ref="A20:J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85A82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18" hidden="0" customWidth="1"/>
    <x:col min="4" max="4" width="30" hidden="0" customWidth="1"/>
    <x:col min="5" max="5" width="20" hidden="0" customWidth="1"/>
  </x:cols>
  <x:sheetData>
    <x:row r="2" ht="26" customHeight="1">
      <x:c r="A2" s="2" t="str">
        <x:v>Registered class assumptions</x:v>
      </x:c>
      <x:c r="B2" s="2" t="str">
        <x:v>Registered class assumptions</x:v>
      </x:c>
      <x:c r="C2" s="2" t="str">
        <x:v>Registered class assumptions</x:v>
      </x:c>
      <x:c r="D2" s="2" t="str">
        <x:v>Registered class assumptions</x:v>
      </x:c>
      <x:c r="E2" s="2" t="str">
        <x:v>Registered class assumptions</x:v>
      </x:c>
      <x:c r="F2" s="2" t="str">
        <x:v>Registered class assumptions</x:v>
      </x:c>
    </x:row>
    <x:row r="3">
      <x:c r="A3" s="50"/>
      <x:c r="B3" s="50"/>
      <x:c r="C3" s="50"/>
      <x:c r="D3" s="50"/>
      <x:c r="E3" s="50"/>
      <x:c r="F3" s="50"/>
    </x:row>
    <x:row r="4">
      <x:c r="A4" s="51"/>
      <x:c r="B4" s="51"/>
      <x:c r="C4" s="51"/>
      <x:c r="D4" s="51"/>
      <x:c r="E4" s="51"/>
      <x:c r="F4" s="51"/>
    </x:row>
    <x:row r="5">
      <x:c r="A5" s="52" t="str">
        <x:v>Blue cells are planning inputs drawn from the internal evidence chain. Observed values and authorities remain separate in their owning registers.</x:v>
      </x:c>
      <x:c r="B5" s="51"/>
      <x:c r="C5" s="51"/>
      <x:c r="D5" s="51"/>
      <x:c r="E5" s="51"/>
      <x:c r="F5" s="51"/>
    </x:row>
    <x:row r="6">
      <x:c r="A6" s="51"/>
      <x:c r="B6" s="51"/>
      <x:c r="C6" s="51"/>
      <x:c r="D6" s="51"/>
      <x:c r="E6" s="51"/>
      <x:c r="F6" s="51"/>
    </x:row>
    <x:row r="7">
      <x:c r="A7" s="32" t="str">
        <x:v>Parameter</x:v>
      </x:c>
      <x:c r="B7" s="33" t="str">
        <x:v>Value</x:v>
      </x:c>
      <x:c r="C7" s="33" t="str">
        <x:v>Unit</x:v>
      </x:c>
      <x:c r="D7" s="33" t="str">
        <x:v>Role</x:v>
      </x:c>
      <x:c r="E7" s="34" t="str">
        <x:v>Internal source</x:v>
      </x:c>
      <x:c r="F7" s="51"/>
    </x:row>
    <x:row r="8">
      <x:c r="A8" s="16" t="str">
        <x:v>Required exact cells</x:v>
      </x:c>
      <x:c r="B8" s="37" t="n">
        <x:v>12</x:v>
      </x:c>
      <x:c r="C8" s="16" t="str">
        <x:v>count</x:v>
      </x:c>
      <x:c r="D8" s="16" t="str">
        <x:v>class denominator</x:v>
      </x:c>
      <x:c r="E8" s="16" t="str">
        <x:v>RBE-1</x:v>
      </x:c>
      <x:c r="F8" s="51"/>
    </x:row>
    <x:row r="9">
      <x:c r="A9" s="16" t="str">
        <x:v>Active source packages</x:v>
      </x:c>
      <x:c r="B9" s="37" t="n">
        <x:v>12</x:v>
      </x:c>
      <x:c r="C9" s="16" t="str">
        <x:v>count</x:v>
      </x:c>
      <x:c r="D9" s="16" t="str">
        <x:v>primary issue</x:v>
      </x:c>
      <x:c r="E9" s="16" t="str">
        <x:v>RBE-1</x:v>
      </x:c>
      <x:c r="F9" s="51"/>
    </x:row>
    <x:row r="10">
      <x:c r="A10" s="16" t="str">
        <x:v>Reserves per truth-root family</x:v>
      </x:c>
      <x:c r="B10" s="37" t="n">
        <x:v>8</x:v>
      </x:c>
      <x:c r="C10" s="16" t="str">
        <x:v>count</x:v>
      </x:c>
      <x:c r="D10" s="16" t="str">
        <x:v>invalidity capacity</x:v>
      </x:c>
      <x:c r="E10" s="16" t="str">
        <x:v>RBE-1</x:v>
      </x:c>
      <x:c r="F10" s="51"/>
    </x:row>
    <x:row r="11">
      <x:c r="A11" s="16" t="str">
        <x:v>Forensic source packages</x:v>
      </x:c>
      <x:c r="B11" s="37" t="n">
        <x:v>2</x:v>
      </x:c>
      <x:c r="C11" s="16" t="str">
        <x:v>count</x:v>
      </x:c>
      <x:c r="D11" s="16" t="str">
        <x:v>untokened reference</x:v>
      </x:c>
      <x:c r="E11" s="16" t="str">
        <x:v>RBE-1</x:v>
      </x:c>
      <x:c r="F11" s="51"/>
    </x:row>
    <x:row r="12">
      <x:c r="A12" s="16" t="str">
        <x:v>Gross package mass</x:v>
      </x:c>
      <x:c r="B12" s="37" t="n">
        <x:v>600</x:v>
      </x:c>
      <x:c r="C12" s="16" t="str">
        <x:v>kg</x:v>
      </x:c>
      <x:c r="D12" s="16" t="str">
        <x:v>custody</x:v>
      </x:c>
      <x:c r="E12" s="16" t="str">
        <x:v>RBE-1</x:v>
      </x:c>
      <x:c r="F12" s="51"/>
    </x:row>
    <x:row r="13">
      <x:c r="A13" s="16" t="str">
        <x:v>Event aliquot</x:v>
      </x:c>
      <x:c r="B13" s="37" t="n">
        <x:v>500</x:v>
      </x:c>
      <x:c r="C13" s="16" t="str">
        <x:v>kg</x:v>
      </x:c>
      <x:c r="D13" s="16" t="str">
        <x:v>attempt issue</x:v>
      </x:c>
      <x:c r="E13" s="16" t="str">
        <x:v>RBE-1</x:v>
      </x:c>
      <x:c r="F13" s="51"/>
    </x:row>
    <x:row r="14">
      <x:c r="A14" s="16" t="str">
        <x:v>Environmental limit per credit</x:v>
      </x:c>
      <x:c r="B14" s="37" t="n">
        <x:v>0.5</x:v>
      </x:c>
      <x:c r="C14" s="16" t="str">
        <x:v>kg</x:v>
      </x:c>
      <x:c r="D14" s="16" t="str">
        <x:v>fixed class account</x:v>
      </x:c>
      <x:c r="E14" s="16" t="str">
        <x:v>RBE-1</x:v>
      </x:c>
      <x:c r="F14" s="51"/>
    </x:row>
    <x:row r="15">
      <x:c r="A15" s="16" t="str">
        <x:v>Unaccounted limit per credit</x:v>
      </x:c>
      <x:c r="B15" s="37" t="n">
        <x:v>3.75</x:v>
      </x:c>
      <x:c r="C15" s="16" t="str">
        <x:v>kg</x:v>
      </x:c>
      <x:c r="D15" s="16" t="str">
        <x:v>fixed class account</x:v>
      </x:c>
      <x:c r="E15" s="16" t="str">
        <x:v>RBE-1</x:v>
      </x:c>
      <x:c r="F15" s="51"/>
    </x:row>
    <x:row r="16">
      <x:c r="A16" s="16" t="str">
        <x:v>Module return minimum</x:v>
      </x:c>
      <x:c r="B16" s="37" t="n">
        <x:v>672</x:v>
      </x:c>
      <x:c r="C16" s="16" t="str">
        <x:v>h</x:v>
      </x:c>
      <x:c r="D16" s="16" t="str">
        <x:v>same-module interval</x:v>
      </x:c>
      <x:c r="E16" s="16" t="str">
        <x:v>RBE-1</x:v>
      </x:c>
      <x:c r="F16" s="51"/>
    </x:row>
    <x:row r="17">
      <x:c r="A17" s="16" t="str">
        <x:v>Qualified unlike-module host interval</x:v>
      </x:c>
      <x:c r="B17" s="37" t="n">
        <x:v>336</x:v>
      </x:c>
      <x:c r="C17" s="16" t="str">
        <x:v>h</x:v>
      </x:c>
      <x:c r="D17" s="16" t="str">
        <x:v>same-host interval</x:v>
      </x:c>
      <x:c r="E17" s="16" t="str">
        <x:v>RBF-1</x:v>
      </x:c>
      <x:c r="F17" s="51"/>
    </x:row>
    <x:row r="18">
      <x:c r="A18" s="16" t="str">
        <x:v>Campus event units</x:v>
      </x:c>
      <x:c r="B18" s="37" t="n">
        <x:v>3</x:v>
      </x:c>
      <x:c r="C18" s="16" t="str">
        <x:v>count</x:v>
      </x:c>
      <x:c r="D18" s="16" t="str">
        <x:v>one per campus</x:v>
      </x:c>
      <x:c r="E18" s="16" t="str">
        <x:v>RBF-1</x:v>
      </x:c>
      <x:c r="F18" s="51"/>
    </x:row>
    <x:row r="19">
      <x:c r="A19" s="16" t="str">
        <x:v>Host rigs</x:v>
      </x:c>
      <x:c r="B19" s="37" t="n">
        <x:v>6</x:v>
      </x:c>
      <x:c r="C19" s="16" t="str">
        <x:v>count</x:v>
      </x:c>
      <x:c r="D19" s="16" t="str">
        <x:v>public hosts</x:v>
      </x:c>
      <x:c r="E19" s="16" t="str">
        <x:v>RAS-1</x:v>
      </x:c>
      <x:c r="F19" s="51"/>
    </x:row>
    <x:row r="20">
      <x:c r="A20" s="16" t="str">
        <x:v>Active source-contact modules</x:v>
      </x:c>
      <x:c r="B20" s="37" t="n">
        <x:v>12</x:v>
      </x:c>
      <x:c r="C20" s="16" t="str">
        <x:v>count</x:v>
      </x:c>
      <x:c r="D20" s="16" t="str">
        <x:v>root-dedicated</x:v>
      </x:c>
      <x:c r="E20" s="16" t="str">
        <x:v>RBF-1</x:v>
      </x:c>
      <x:c r="F20" s="51"/>
    </x:row>
    <x:row r="21">
      <x:c r="A21" s="16" t="str">
        <x:v>Module-return lanes</x:v>
      </x:c>
      <x:c r="B21" s="37" t="n">
        <x:v>12</x:v>
      </x:c>
      <x:c r="C21" s="16" t="str">
        <x:v>count</x:v>
      </x:c>
      <x:c r="D21" s="16" t="str">
        <x:v>concurrent return</x:v>
      </x:c>
      <x:c r="E21" s="16" t="str">
        <x:v>RBF-1</x:v>
      </x:c>
      <x:c r="F21" s="51"/>
    </x:row>
    <x:row r="22">
      <x:c r="A22" s="16" t="str">
        <x:v>Package-preparation paths</x:v>
      </x:c>
      <x:c r="B22" s="37" t="n">
        <x:v>3</x:v>
      </x:c>
      <x:c r="C22" s="16" t="str">
        <x:v>count</x:v>
      </x:c>
      <x:c r="D22" s="16" t="str">
        <x:v>accepted issue</x:v>
      </x:c>
      <x:c r="E22" s="16" t="str">
        <x:v>RBF-1</x:v>
      </x:c>
      <x:c r="F22" s="51"/>
    </x:row>
    <x:row r="23">
      <x:c r="A23" s="16" t="str">
        <x:v>Evidence paths</x:v>
      </x:c>
      <x:c r="B23" s="37" t="n">
        <x:v>3</x:v>
      </x:c>
      <x:c r="C23" s="16" t="str">
        <x:v>count</x:v>
      </x:c>
      <x:c r="D23" s="16" t="str">
        <x:v>live ingest</x:v>
      </x:c>
      <x:c r="E23" s="16" t="str">
        <x:v>RBF-1</x:v>
      </x:c>
      <x:c r="F23" s="51"/>
    </x:row>
    <x:row r="24">
      <x:c r="A24" s="16" t="str">
        <x:v>Exchange qualification trials</x:v>
      </x:c>
      <x:c r="B24" s="37" t="n">
        <x:v>72</x:v>
      </x:c>
      <x:c r="C24" s="16" t="str">
        <x:v>count</x:v>
      </x:c>
      <x:c r="D24" s="16" t="str">
        <x:v>two directions</x:v>
      </x:c>
      <x:c r="E24" s="16" t="str">
        <x:v>RBF-1</x:v>
      </x:c>
      <x:c r="F24" s="51"/>
    </x:row>
    <x:row r="25">
      <x:c r="A25" s="16" t="str">
        <x:v>Exchange campaign weeks</x:v>
      </x:c>
      <x:c r="B25" s="37" t="n">
        <x:v>12</x:v>
      </x:c>
      <x:c r="C25" s="16" t="str">
        <x:v>weeks</x:v>
      </x:c>
      <x:c r="D25" s="16" t="str">
        <x:v>pre-source qualification</x:v>
      </x:c>
      <x:c r="E25" s="16" t="str">
        <x:v>RBF-1</x:v>
      </x:c>
      <x:c r="F25" s="51"/>
    </x:row>
    <x:row r="26">
      <x:c r="A26" s="16" t="str">
        <x:v>Class review lag</x:v>
      </x:c>
      <x:c r="B26" s="37" t="n">
        <x:v>336</x:v>
      </x:c>
      <x:c r="C26" s="16" t="str">
        <x:v>h</x:v>
      </x:c>
      <x:c r="D26" s="16" t="str">
        <x:v>post-return decision</x:v>
      </x:c>
      <x:c r="E26" s="16" t="str">
        <x:v>RBF-1</x:v>
      </x:c>
      <x:c r="F26" s="51"/>
    </x:row>
    <x:row r="27">
      <x:c r="A27" s="16" t="str">
        <x:v>Native evidence per attempt</x:v>
      </x:c>
      <x:c r="B27" s="37" t="n">
        <x:v>381.527713728</x:v>
      </x:c>
      <x:c r="C27" s="16" t="str">
        <x:v>GB</x:v>
      </x:c>
      <x:c r="D27" s="16" t="str">
        <x:v>two originals plus custody</x:v>
      </x:c>
      <x:c r="E27" s="16" t="str">
        <x:v>RBE-1</x:v>
      </x:c>
      <x:c r="F27" s="51"/>
    </x:row>
    <x:row r="28">
      <x:c r="A28" s="16" t="str">
        <x:v>Governed evidence per attempt</x:v>
      </x:c>
      <x:c r="B28" s="37" t="n">
        <x:v>495.9860278464</x:v>
      </x:c>
      <x:c r="C28" s="16" t="str">
        <x:v>GB</x:v>
      </x:c>
      <x:c r="D28" s="16" t="str">
        <x:v>capacity allowance</x:v>
      </x:c>
      <x:c r="E28" s="16" t="str">
        <x:v>RBE-1</x:v>
      </x:c>
      <x:c r="F28" s="51"/>
    </x:row>
    <x:row r="29">
      <x:c r="A29" s="16" t="str">
        <x:v>Stage duration</x:v>
      </x:c>
      <x:c r="B29" s="37" t="n">
        <x:v>24</x:v>
      </x:c>
      <x:c r="C29" s="16" t="str">
        <x:v>months</x:v>
      </x:c>
      <x:c r="D29" s="16" t="str">
        <x:v>class envelope</x:v>
      </x:c>
      <x:c r="E29" s="16" t="str">
        <x:v>RBF-1</x:v>
      </x:c>
      <x:c r="F29" s="51"/>
    </x:row>
    <x:row r="30">
      <x:c r="A30" s="16" t="str">
        <x:v>Parent exposure basis</x:v>
      </x:c>
      <x:c r="B30" s="37" t="n">
        <x:v>30</x:v>
      </x:c>
      <x:c r="C30" s="16" t="str">
        <x:v>months</x:v>
      </x:c>
      <x:c r="D30" s="16" t="str">
        <x:v>RAS baseline</x:v>
      </x:c>
      <x:c r="E30" s="16" t="str">
        <x:v>RAS-1</x:v>
      </x:c>
      <x:c r="F30" s="51"/>
    </x:row>
    <x:row r="31">
      <x:c r="A31" s="16" t="str">
        <x:v>Current parent capital</x:v>
      </x:c>
      <x:c r="B31" s="37" t="n">
        <x:v>620</x:v>
      </x:c>
      <x:c r="C31" s="16" t="str">
        <x:v>USD M</x:v>
      </x:c>
      <x:c r="D31" s="16" t="str">
        <x:v>RAS-1 boundary</x:v>
      </x:c>
      <x:c r="E31" s="16" t="str">
        <x:v>RBE-1</x:v>
      </x:c>
      <x:c r="F31" s="51"/>
    </x:row>
    <x:row r="32">
      <x:c r="A32" s="16" t="str">
        <x:v>Capital increment</x:v>
      </x:c>
      <x:c r="B32" s="37" t="n">
        <x:v>180</x:v>
      </x:c>
      <x:c r="C32" s="16" t="str">
        <x:v>USD M</x:v>
      </x:c>
      <x:c r="D32" s="16" t="str">
        <x:v>RBF-1 requirement</x:v>
      </x:c>
      <x:c r="E32" s="16" t="str">
        <x:v>RBF-1</x:v>
      </x:c>
      <x:c r="F32" s="51"/>
    </x:row>
    <x:row r="33">
      <x:c r="A33" s="16" t="str">
        <x:v>Current annual support</x:v>
      </x:c>
      <x:c r="B33" s="37" t="n">
        <x:v>235</x:v>
      </x:c>
      <x:c r="C33" s="16" t="str">
        <x:v>USD M/year</x:v>
      </x:c>
      <x:c r="D33" s="16" t="str">
        <x:v>RAS-1 boundary</x:v>
      </x:c>
      <x:c r="E33" s="16" t="str">
        <x:v>RBE-1</x:v>
      </x:c>
      <x:c r="F33" s="51"/>
    </x:row>
    <x:row r="34">
      <x:c r="A34" s="16" t="str">
        <x:v>Annual support increment</x:v>
      </x:c>
      <x:c r="B34" s="37" t="n">
        <x:v>28</x:v>
      </x:c>
      <x:c r="C34" s="16" t="str">
        <x:v>USD M/year</x:v>
      </x:c>
      <x:c r="D34" s="16" t="str">
        <x:v>RBF-1 requirement</x:v>
      </x:c>
      <x:c r="E34" s="16" t="str">
        <x:v>RBF-1</x:v>
      </x:c>
      <x:c r="F34" s="51"/>
    </x:row>
    <x:row r="35">
      <x:c r="A35" s="16" t="str">
        <x:v>Current technology</x:v>
      </x:c>
      <x:c r="B35" s="37" t="n">
        <x:v>1005</x:v>
      </x:c>
      <x:c r="C35" s="16" t="str">
        <x:v>USD M</x:v>
      </x:c>
      <x:c r="D35" s="16" t="str">
        <x:v>RAS-1 boundary</x:v>
      </x:c>
      <x:c r="E35" s="16" t="str">
        <x:v>RBE-1</x:v>
      </x:c>
      <x:c r="F35" s="51"/>
    </x:row>
    <x:row r="36">
      <x:c r="A36" s="16" t="str">
        <x:v>Technology increment</x:v>
      </x:c>
      <x:c r="B36" s="37" t="n">
        <x:v>160</x:v>
      </x:c>
      <x:c r="C36" s="16" t="str">
        <x:v>USD M</x:v>
      </x:c>
      <x:c r="D36" s="16" t="str">
        <x:v>RBF-1 requirement</x:v>
      </x:c>
      <x:c r="E36" s="16" t="str">
        <x:v>RBF-1</x:v>
      </x:c>
      <x:c r="F36" s="51"/>
    </x:row>
    <x:row r="37">
      <x:c r="A37" s="16" t="str">
        <x:v>Prior cumulative child exposure</x:v>
      </x:c>
      <x:c r="B37" s="37" t="n">
        <x:v>938.25</x:v>
      </x:c>
      <x:c r="C37" s="16" t="str">
        <x:v>USD M</x:v>
      </x:c>
      <x:c r="D37" s="16" t="str">
        <x:v>through RBE-1</x:v>
      </x:c>
      <x:c r="E37" s="16" t="str">
        <x:v>RBE-1</x:v>
      </x:c>
      <x:c r="F37" s="51"/>
    </x:row>
    <x:row r="38">
      <x:c r="A38" s="16" t="str">
        <x:v>Current public positions</x:v>
      </x:c>
      <x:c r="B38" s="37" t="n">
        <x:v>512</x:v>
      </x:c>
      <x:c r="C38" s="16" t="str">
        <x:v>positions</x:v>
      </x:c>
      <x:c r="D38" s="16" t="str">
        <x:v>RAS-1 establishment</x:v>
      </x:c>
      <x:c r="E38" s="16" t="str">
        <x:v>RAS-1</x:v>
      </x:c>
      <x:c r="F38" s="51"/>
    </x:row>
    <x:row r="39">
      <x:c r="A39" s="16" t="str">
        <x:v>Position increment</x:v>
      </x:c>
      <x:c r="B39" s="37" t="n">
        <x:v>48</x:v>
      </x:c>
      <x:c r="C39" s="16" t="str">
        <x:v>positions</x:v>
      </x:c>
      <x:c r="D39" s="16" t="str">
        <x:v>RBF-1 formation</x:v>
      </x:c>
      <x:c r="E39" s="16" t="str">
        <x:v>RBF-1</x:v>
      </x:c>
      <x:c r="F39" s="51"/>
    </x:row>
    <x:row r="40">
      <x:c r="A40" s="16" t="str">
        <x:v>Maximum source attempts</x:v>
      </x:c>
      <x:c r="B40" s="37" t="n">
        <x:v>28</x:v>
      </x:c>
      <x:c r="C40" s="16" t="str">
        <x:v>count</x:v>
      </x:c>
      <x:c r="D40" s="16" t="str">
        <x:v>source bank capacity</x:v>
      </x:c>
      <x:c r="E40" s="16" t="str">
        <x:v>RBE-1</x:v>
      </x:c>
      <x:c r="F40" s="51"/>
    </x:row>
    <x:row r="41">
      <x:c r="A41" s="16" t="str">
        <x:v>Required available receiver volume</x:v>
      </x:c>
      <x:c r="B41" s="37" t="n">
        <x:v>0.717626262626</x:v>
      </x:c>
      <x:c r="C41" s="16" t="str">
        <x:v>m³</x:v>
      </x:c>
      <x:c r="D41" s="16" t="str">
        <x:v>event issue</x:v>
      </x:c>
      <x:c r="E41" s="16" t="str">
        <x:v>RBE-1</x:v>
      </x:c>
      <x:c r="F41" s="51"/>
    </x:row>
    <x:row r="42">
      <x:c r="A42" s="16" t="str">
        <x:v>Measured peak ceiling</x:v>
      </x:c>
      <x:c r="B42" s="37" t="n">
        <x:v>1.8</x:v>
      </x:c>
      <x:c r="C42" s="16" t="str">
        <x:v>MPa</x:v>
      </x:c>
      <x:c r="D42" s="16" t="str">
        <x:v>event and qualification</x:v>
      </x:c>
      <x:c r="E42" s="16" t="str">
        <x:v>RBE-1</x:v>
      </x:c>
      <x:c r="F42" s="51"/>
    </x:row>
    <x:row r="43">
      <x:c r="A43" s="16" t="str">
        <x:v>Expanded mass uncertainty ceiling</x:v>
      </x:c>
      <x:c r="B43" s="37" t="n">
        <x:v>5</x:v>
      </x:c>
      <x:c r="C43" s="16" t="str">
        <x:v>kg</x:v>
      </x:c>
      <x:c r="D43" s="16" t="str">
        <x:v>each attempt</x:v>
      </x:c>
      <x:c r="E43" s="16" t="str">
        <x:v>RAS-1</x:v>
      </x:c>
      <x:c r="F43" s="51"/>
    </x:row>
    <x:row r="44">
      <x:c r="A44" s="16" t="str">
        <x:v>Minimum ancestry recovery</x:v>
      </x:c>
      <x:c r="B44" s="37" t="n">
        <x:v>0.995</x:v>
      </x:c>
      <x:c r="C44" s="16" t="str">
        <x:v>ratio</x:v>
      </x:c>
      <x:c r="D44" s="16" t="str">
        <x:v>each credit</x:v>
      </x:c>
      <x:c r="E44" s="16" t="str">
        <x:v>RAS-1</x:v>
      </x:c>
      <x:c r="F44" s="51"/>
    </x:row>
    <x:row r="45">
      <x:c r="A45" s="16" t="str">
        <x:v>Maximum ancestry cross-talk</x:v>
      </x:c>
      <x:c r="B45" s="37" t="n">
        <x:v>0.005</x:v>
      </x:c>
      <x:c r="C45" s="16" t="str">
        <x:v>ratio</x:v>
      </x:c>
      <x:c r="D45" s="16" t="str">
        <x:v>event and exchange</x:v>
      </x:c>
      <x:c r="E45" s="16" t="str">
        <x:v>RAS-1</x:v>
      </x:c>
      <x:c r="F45" s="51"/>
    </x:row>
    <x:row r="46">
      <x:c r="A46" s="16" t="str">
        <x:v>Capture-area limit</x:v>
      </x:c>
      <x:c r="B46" s="37" t="n">
        <x:v>6.25</x:v>
      </x:c>
      <x:c r="C46" s="16" t="str">
        <x:v>m²</x:v>
      </x:c>
      <x:c r="D46" s="16" t="str">
        <x:v>each credit</x:v>
      </x:c>
      <x:c r="E46" s="16" t="str">
        <x:v>RAS-1</x:v>
      </x:c>
      <x:c r="F46" s="51"/>
    </x:row>
  </x:sheetData>
  <x:mergeCells>
    <x:mergeCell ref="A2:F2"/>
  </x:mergeCells>
  <x:pageMargins left="0.7" right="0.7" top="0.75" bottom="0.75" header="0.3" footer="0.3"/>
  <x:tableParts count="1">
    <x:tablePart xmlns:r="http://schemas.openxmlformats.org/officeDocument/2006/relationships" r:id="R1aab0102165a43e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40" hidden="0" customWidth="1"/>
    <x:col min="4" max="4" width="24" hidden="0" customWidth="1"/>
    <x:col min="5" max="5" width="22" hidden="0" customWidth="1"/>
    <x:col min="6" max="6" width="24" hidden="0" customWidth="1"/>
    <x:col min="7" max="7" width="22" hidden="0" customWidth="1"/>
    <x:col min="8" max="8" width="15" hidden="0" customWidth="1"/>
  </x:cols>
  <x:sheetData>
    <x:row r="2" ht="26" customHeight="1">
      <x:c r="A2" s="2" t="str">
        <x:v>Selected-architecture freeze</x:v>
      </x:c>
      <x:c r="B2" s="2" t="str">
        <x:v>Selected-architecture freeze</x:v>
      </x:c>
      <x:c r="C2" s="2" t="str">
        <x:v>Selected-architecture freeze</x:v>
      </x:c>
      <x:c r="D2" s="2" t="str">
        <x:v>Selected-architecture freeze</x:v>
      </x:c>
      <x:c r="E2" s="2" t="str">
        <x:v>Selected-architecture freeze</x:v>
      </x:c>
      <x:c r="F2" s="2" t="str">
        <x:v>Selected-architecture freeze</x:v>
      </x:c>
      <x:c r="G2" s="2" t="str">
        <x:v>Selected-architecture freeze</x:v>
      </x:c>
      <x:c r="H2" s="2" t="str">
        <x:v>Selected-architecture freeze</x:v>
      </x:c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51"/>
      <x:c r="B4" s="51"/>
      <x:c r="C4" s="51"/>
      <x:c r="D4" s="51"/>
      <x:c r="E4" s="51"/>
      <x:c r="F4" s="51"/>
      <x:c r="G4" s="51"/>
      <x:c r="H4" s="51"/>
    </x:row>
    <x:row r="5">
      <x:c r="A5" s="16" t="str">
        <x:v>Architecture state</x:v>
      </x:c>
      <x:c r="B5" s="16" t="str">
        <x:f>IF(COUNTIFS(H8:H37,"ACCEPTED")=30,"FROZEN",IF(COUNTIFS(H8:H37,"DENY")&gt;0,"DENY","OPEN"))</x:f>
        <x:v>OPEN</x:v>
      </x:c>
      <x:c r="C5" s="16"/>
      <x:c r="D5" s="42" t="str">
        <x:v>One architecture identity transfers. A hybrid of admitted candidates requires a new first-event proof.</x:v>
      </x:c>
      <x:c r="E5" s="16"/>
      <x:c r="F5" s="16"/>
      <x:c r="G5" s="16"/>
      <x:c r="H5" s="16"/>
    </x:row>
    <x:row r="6">
      <x:c r="A6" s="16"/>
      <x:c r="B6" s="16"/>
      <x:c r="C6" s="16"/>
      <x:c r="D6" s="16"/>
      <x:c r="E6" s="16"/>
      <x:c r="F6" s="16"/>
      <x:c r="G6" s="16"/>
      <x:c r="H6" s="16"/>
    </x:row>
    <x:row r="7">
      <x:c r="A7" s="39" t="str">
        <x:v>Freeze ID</x:v>
      </x:c>
      <x:c r="B7" s="40" t="str">
        <x:v>Domain</x:v>
      </x:c>
      <x:c r="C7" s="40" t="str">
        <x:v>Required definition</x:v>
      </x:c>
      <x:c r="D7" s="40" t="str">
        <x:v>RBE-1 reference</x:v>
      </x:c>
      <x:c r="E7" s="40" t="str">
        <x:v>Serialized value</x:v>
      </x:c>
      <x:c r="F7" s="40" t="str">
        <x:v>Configuration hash</x:v>
      </x:c>
      <x:c r="G7" s="40" t="str">
        <x:v>Independent review</x:v>
      </x:c>
      <x:c r="H7" s="41" t="str">
        <x:v>State</x:v>
      </x:c>
    </x:row>
    <x:row r="8">
      <x:c r="A8" s="16" t="str">
        <x:v>AF-01</x:v>
      </x:c>
      <x:c r="B8" s="16" t="str">
        <x:v>route</x:v>
      </x:c>
      <x:c r="C8" s="16" t="str">
        <x:v>Frozen architecture definition 01</x:v>
      </x:c>
      <x:c r="D8" s="16" t="str">
        <x:v>RBE-1 accepted packet</x:v>
      </x:c>
      <x:c r="E8" s="36"/>
      <x:c r="F8" s="36"/>
      <x:c r="G8" s="36"/>
      <x:c r="H8" s="16" t="str">
        <x:f>IF(COUNTA(E8:G8)&lt;3,"OPEN",IF(G8="ACCEPTED","ACCEPTED","DENY"))</x:f>
        <x:v>OPEN</x:v>
      </x:c>
    </x:row>
    <x:row r="9">
      <x:c r="A9" s="16" t="str">
        <x:v>AF-02</x:v>
      </x:c>
      <x:c r="B9" s="16" t="str">
        <x:v>schedule</x:v>
      </x:c>
      <x:c r="C9" s="16" t="str">
        <x:v>Frozen architecture definition 02</x:v>
      </x:c>
      <x:c r="D9" s="16" t="str">
        <x:v>RBE-1 accepted packet</x:v>
      </x:c>
      <x:c r="E9" s="36"/>
      <x:c r="F9" s="36"/>
      <x:c r="G9" s="36"/>
      <x:c r="H9" s="16" t="str">
        <x:f>IF(COUNTA(E9:G9)&lt;3,"OPEN",IF(G9="ACCEPTED","ACCEPTED","DENY"))</x:f>
        <x:v>OPEN</x:v>
      </x:c>
    </x:row>
    <x:row r="10">
      <x:c r="A10" s="16" t="str">
        <x:v>AF-03</x:v>
      </x:c>
      <x:c r="B10" s="16" t="str">
        <x:v>stop energy</x:v>
      </x:c>
      <x:c r="C10" s="16" t="str">
        <x:v>Frozen architecture definition 03</x:v>
      </x:c>
      <x:c r="D10" s="16" t="str">
        <x:v>RBE-1 accepted packet</x:v>
      </x:c>
      <x:c r="E10" s="36"/>
      <x:c r="F10" s="36"/>
      <x:c r="G10" s="36"/>
      <x:c r="H10" s="16" t="str">
        <x:f>IF(COUNTA(E10:G10)&lt;3,"OPEN",IF(G10="ACCEPTED","ACCEPTED","DENY"))</x:f>
        <x:v>OPEN</x:v>
      </x:c>
    </x:row>
    <x:row r="11">
      <x:c r="A11" s="16" t="str">
        <x:v>AF-04</x:v>
      </x:c>
      <x:c r="B11" s="16" t="str">
        <x:v>final elements</x:v>
      </x:c>
      <x:c r="C11" s="16" t="str">
        <x:v>Frozen architecture definition 04</x:v>
      </x:c>
      <x:c r="D11" s="16" t="str">
        <x:v>RBE-1 accepted packet</x:v>
      </x:c>
      <x:c r="E11" s="36"/>
      <x:c r="F11" s="36"/>
      <x:c r="G11" s="36"/>
      <x:c r="H11" s="16" t="str">
        <x:f>IF(COUNTA(E11:G11)&lt;3,"OPEN",IF(G11="ACCEPTED","ACCEPTED","DENY"))</x:f>
        <x:v>OPEN</x:v>
      </x:c>
    </x:row>
    <x:row r="12">
      <x:c r="A12" s="16" t="str">
        <x:v>AF-05</x:v>
      </x:c>
      <x:c r="B12" s="16" t="str">
        <x:v>receiver</x:v>
      </x:c>
      <x:c r="C12" s="16" t="str">
        <x:v>Frozen architecture definition 05</x:v>
      </x:c>
      <x:c r="D12" s="16" t="str">
        <x:v>RBE-1 accepted packet</x:v>
      </x:c>
      <x:c r="E12" s="36"/>
      <x:c r="F12" s="36"/>
      <x:c r="G12" s="36"/>
      <x:c r="H12" s="16" t="str">
        <x:f>IF(COUNTA(E12:G12)&lt;3,"OPEN",IF(G12="ACCEPTED","ACCEPTED","DENY"))</x:f>
        <x:v>OPEN</x:v>
      </x:c>
    </x:row>
    <x:row r="13">
      <x:c r="A13" s="16" t="str">
        <x:v>AF-06</x:v>
      </x:c>
      <x:c r="B13" s="16" t="str">
        <x:v>capture</x:v>
      </x:c>
      <x:c r="C13" s="16" t="str">
        <x:v>Frozen architecture definition 06</x:v>
      </x:c>
      <x:c r="D13" s="16" t="str">
        <x:v>RBE-1 accepted packet</x:v>
      </x:c>
      <x:c r="E13" s="36"/>
      <x:c r="F13" s="36"/>
      <x:c r="G13" s="36"/>
      <x:c r="H13" s="16" t="str">
        <x:f>IF(COUNTA(E13:G13)&lt;3,"OPEN",IF(G13="ACCEPTED","ACCEPTED","DENY"))</x:f>
        <x:v>OPEN</x:v>
      </x:c>
    </x:row>
    <x:row r="14">
      <x:c r="A14" s="16" t="str">
        <x:v>AF-07</x:v>
      </x:c>
      <x:c r="B14" s="16" t="str">
        <x:v>materials</x:v>
      </x:c>
      <x:c r="C14" s="16" t="str">
        <x:v>Frozen architecture definition 07</x:v>
      </x:c>
      <x:c r="D14" s="16" t="str">
        <x:v>RBE-1 accepted packet</x:v>
      </x:c>
      <x:c r="E14" s="36"/>
      <x:c r="F14" s="36"/>
      <x:c r="G14" s="36"/>
      <x:c r="H14" s="16" t="str">
        <x:f>IF(COUNTA(E14:G14)&lt;3,"OPEN",IF(G14="ACCEPTED","ACCEPTED","DENY"))</x:f>
        <x:v>OPEN</x:v>
      </x:c>
    </x:row>
    <x:row r="15">
      <x:c r="A15" s="16" t="str">
        <x:v>AF-08</x:v>
      </x:c>
      <x:c r="B15" s="16" t="str">
        <x:v>pressure</x:v>
      </x:c>
      <x:c r="C15" s="16" t="str">
        <x:v>Frozen architecture definition 08</x:v>
      </x:c>
      <x:c r="D15" s="16" t="str">
        <x:v>RBE-1 accepted packet</x:v>
      </x:c>
      <x:c r="E15" s="36"/>
      <x:c r="F15" s="36"/>
      <x:c r="G15" s="36"/>
      <x:c r="H15" s="16" t="str">
        <x:f>IF(COUNTA(E15:G15)&lt;3,"OPEN",IF(G15="ACCEPTED","ACCEPTED","DENY"))</x:f>
        <x:v>OPEN</x:v>
      </x:c>
    </x:row>
    <x:row r="16">
      <x:c r="A16" s="16" t="str">
        <x:v>AF-09</x:v>
      </x:c>
      <x:c r="B16" s="16" t="str">
        <x:v>mass</x:v>
      </x:c>
      <x:c r="C16" s="16" t="str">
        <x:v>Frozen architecture definition 09</x:v>
      </x:c>
      <x:c r="D16" s="16" t="str">
        <x:v>RBE-1 accepted packet</x:v>
      </x:c>
      <x:c r="E16" s="36"/>
      <x:c r="F16" s="36"/>
      <x:c r="G16" s="36"/>
      <x:c r="H16" s="16" t="str">
        <x:f>IF(COUNTA(E16:G16)&lt;3,"OPEN",IF(G16="ACCEPTED","ACCEPTED","DENY"))</x:f>
        <x:v>OPEN</x:v>
      </x:c>
    </x:row>
    <x:row r="17">
      <x:c r="A17" s="16" t="str">
        <x:v>AF-10</x:v>
      </x:c>
      <x:c r="B17" s="16" t="str">
        <x:v>volume</x:v>
      </x:c>
      <x:c r="C17" s="16" t="str">
        <x:v>Frozen architecture definition 10</x:v>
      </x:c>
      <x:c r="D17" s="16" t="str">
        <x:v>RBE-1 accepted packet</x:v>
      </x:c>
      <x:c r="E17" s="36"/>
      <x:c r="F17" s="36"/>
      <x:c r="G17" s="36"/>
      <x:c r="H17" s="16" t="str">
        <x:f>IF(COUNTA(E17:G17)&lt;3,"OPEN",IF(G17="ACCEPTED","ACCEPTED","DENY"))</x:f>
        <x:v>OPEN</x:v>
      </x:c>
    </x:row>
    <x:row r="18">
      <x:c r="A18" s="16" t="str">
        <x:v>AF-11</x:v>
      </x:c>
      <x:c r="B18" s="16" t="str">
        <x:v>time</x:v>
      </x:c>
      <x:c r="C18" s="16" t="str">
        <x:v>Frozen architecture definition 11</x:v>
      </x:c>
      <x:c r="D18" s="16" t="str">
        <x:v>RBE-1 accepted packet</x:v>
      </x:c>
      <x:c r="E18" s="36"/>
      <x:c r="F18" s="36"/>
      <x:c r="G18" s="36"/>
      <x:c r="H18" s="16" t="str">
        <x:f>IF(COUNTA(E18:G18)&lt;3,"OPEN",IF(G18="ACCEPTED","ACCEPTED","DENY"))</x:f>
        <x:v>OPEN</x:v>
      </x:c>
    </x:row>
    <x:row r="19">
      <x:c r="A19" s="16" t="str">
        <x:v>AF-12</x:v>
      </x:c>
      <x:c r="B19" s="16" t="str">
        <x:v>ancestry</x:v>
      </x:c>
      <x:c r="C19" s="16" t="str">
        <x:v>Frozen architecture definition 12</x:v>
      </x:c>
      <x:c r="D19" s="16" t="str">
        <x:v>RBE-1 accepted packet</x:v>
      </x:c>
      <x:c r="E19" s="36"/>
      <x:c r="F19" s="36"/>
      <x:c r="G19" s="36"/>
      <x:c r="H19" s="16" t="str">
        <x:f>IF(COUNTA(E19:G19)&lt;3,"OPEN",IF(G19="ACCEPTED","ACCEPTED","DENY"))</x:f>
        <x:v>OPEN</x:v>
      </x:c>
    </x:row>
    <x:row r="20">
      <x:c r="A20" s="16" t="str">
        <x:v>AF-13</x:v>
      </x:c>
      <x:c r="B20" s="16" t="str">
        <x:v>control</x:v>
      </x:c>
      <x:c r="C20" s="16" t="str">
        <x:v>Frozen architecture definition 13</x:v>
      </x:c>
      <x:c r="D20" s="16" t="str">
        <x:v>RBE-1 accepted packet</x:v>
      </x:c>
      <x:c r="E20" s="36"/>
      <x:c r="F20" s="36"/>
      <x:c r="G20" s="36"/>
      <x:c r="H20" s="16" t="str">
        <x:f>IF(COUNTA(E20:G20)&lt;3,"OPEN",IF(G20="ACCEPTED","ACCEPTED","DENY"))</x:f>
        <x:v>OPEN</x:v>
      </x:c>
    </x:row>
    <x:row r="21">
      <x:c r="A21" s="16" t="str">
        <x:v>AF-14</x:v>
      </x:c>
      <x:c r="B21" s="16" t="str">
        <x:v>safety</x:v>
      </x:c>
      <x:c r="C21" s="16" t="str">
        <x:v>Frozen architecture definition 14</x:v>
      </x:c>
      <x:c r="D21" s="16" t="str">
        <x:v>RBE-1 accepted packet</x:v>
      </x:c>
      <x:c r="E21" s="36"/>
      <x:c r="F21" s="36"/>
      <x:c r="G21" s="36"/>
      <x:c r="H21" s="16" t="str">
        <x:f>IF(COUNTA(E21:G21)&lt;3,"OPEN",IF(G21="ACCEPTED","ACCEPTED","DENY"))</x:f>
        <x:v>OPEN</x:v>
      </x:c>
    </x:row>
    <x:row r="22">
      <x:c r="A22" s="16" t="str">
        <x:v>AF-15</x:v>
      </x:c>
      <x:c r="B22" s="16" t="str">
        <x:v>evidence</x:v>
      </x:c>
      <x:c r="C22" s="16" t="str">
        <x:v>Frozen architecture definition 15</x:v>
      </x:c>
      <x:c r="D22" s="16" t="str">
        <x:v>RBE-1 accepted packet</x:v>
      </x:c>
      <x:c r="E22" s="36"/>
      <x:c r="F22" s="36"/>
      <x:c r="G22" s="36"/>
      <x:c r="H22" s="16" t="str">
        <x:f>IF(COUNTA(E22:G22)&lt;3,"OPEN",IF(G22="ACCEPTED","ACCEPTED","DENY"))</x:f>
        <x:v>OPEN</x:v>
      </x:c>
    </x:row>
    <x:row r="23">
      <x:c r="A23" s="16" t="str">
        <x:v>AF-16</x:v>
      </x:c>
      <x:c r="B23" s="16" t="str">
        <x:v>robotics</x:v>
      </x:c>
      <x:c r="C23" s="16" t="str">
        <x:v>Frozen architecture definition 16</x:v>
      </x:c>
      <x:c r="D23" s="16" t="str">
        <x:v>RBE-1 accepted packet</x:v>
      </x:c>
      <x:c r="E23" s="36"/>
      <x:c r="F23" s="36"/>
      <x:c r="G23" s="36"/>
      <x:c r="H23" s="16" t="str">
        <x:f>IF(COUNTA(E23:G23)&lt;3,"OPEN",IF(G23="ACCEPTED","ACCEPTED","DENY"))</x:f>
        <x:v>OPEN</x:v>
      </x:c>
    </x:row>
    <x:row r="24">
      <x:c r="A24" s="16" t="str">
        <x:v>AF-17</x:v>
      </x:c>
      <x:c r="B24" s="16" t="str">
        <x:v>recovery</x:v>
      </x:c>
      <x:c r="C24" s="16" t="str">
        <x:v>Frozen architecture definition 17</x:v>
      </x:c>
      <x:c r="D24" s="16" t="str">
        <x:v>RBE-1 accepted packet</x:v>
      </x:c>
      <x:c r="E24" s="36"/>
      <x:c r="F24" s="36"/>
      <x:c r="G24" s="36"/>
      <x:c r="H24" s="16" t="str">
        <x:f>IF(COUNTA(E24:G24)&lt;3,"OPEN",IF(G24="ACCEPTED","ACCEPTED","DENY"))</x:f>
        <x:v>OPEN</x:v>
      </x:c>
    </x:row>
    <x:row r="25">
      <x:c r="A25" s="16" t="str">
        <x:v>AF-18</x:v>
      </x:c>
      <x:c r="B25" s="16" t="str">
        <x:v>interfaces</x:v>
      </x:c>
      <x:c r="C25" s="16" t="str">
        <x:v>Frozen architecture definition 18</x:v>
      </x:c>
      <x:c r="D25" s="16" t="str">
        <x:v>RBE-1 accepted packet</x:v>
      </x:c>
      <x:c r="E25" s="36"/>
      <x:c r="F25" s="36"/>
      <x:c r="G25" s="36"/>
      <x:c r="H25" s="16" t="str">
        <x:f>IF(COUNTA(E25:G25)&lt;3,"OPEN",IF(G25="ACCEPTED","ACCEPTED","DENY"))</x:f>
        <x:v>OPEN</x:v>
      </x:c>
    </x:row>
    <x:row r="26">
      <x:c r="A26" s="16" t="str">
        <x:v>AF-19</x:v>
      </x:c>
      <x:c r="B26" s="16" t="str">
        <x:v>substitution</x:v>
      </x:c>
      <x:c r="C26" s="16" t="str">
        <x:v>Frozen architecture definition 19</x:v>
      </x:c>
      <x:c r="D26" s="16" t="str">
        <x:v>RBE-1 accepted packet</x:v>
      </x:c>
      <x:c r="E26" s="36"/>
      <x:c r="F26" s="36"/>
      <x:c r="G26" s="36"/>
      <x:c r="H26" s="16" t="str">
        <x:f>IF(COUNTA(E26:G26)&lt;3,"OPEN",IF(G26="ACCEPTED","ACCEPTED","DENY"))</x:f>
        <x:v>OPEN</x:v>
      </x:c>
    </x:row>
    <x:row r="27">
      <x:c r="A27" s="16" t="str">
        <x:v>AF-20</x:v>
      </x:c>
      <x:c r="B27" s="16" t="str">
        <x:v>qualification</x:v>
      </x:c>
      <x:c r="C27" s="16" t="str">
        <x:v>Frozen architecture definition 20</x:v>
      </x:c>
      <x:c r="D27" s="16" t="str">
        <x:v>RBE-1 accepted packet</x:v>
      </x:c>
      <x:c r="E27" s="36"/>
      <x:c r="F27" s="36"/>
      <x:c r="G27" s="36"/>
      <x:c r="H27" s="16" t="str">
        <x:f>IF(COUNTA(E27:G27)&lt;3,"OPEN",IF(G27="ACCEPTED","ACCEPTED","DENY"))</x:f>
        <x:v>OPEN</x:v>
      </x:c>
    </x:row>
    <x:row r="28">
      <x:c r="A28" s="16" t="str">
        <x:v>AF-21</x:v>
      </x:c>
      <x:c r="B28" s="16" t="str">
        <x:v>route</x:v>
      </x:c>
      <x:c r="C28" s="16" t="str">
        <x:v>Frozen architecture definition 21</x:v>
      </x:c>
      <x:c r="D28" s="16" t="str">
        <x:v>RBE-1 accepted packet</x:v>
      </x:c>
      <x:c r="E28" s="36"/>
      <x:c r="F28" s="36"/>
      <x:c r="G28" s="36"/>
      <x:c r="H28" s="16" t="str">
        <x:f>IF(COUNTA(E28:G28)&lt;3,"OPEN",IF(G28="ACCEPTED","ACCEPTED","DENY"))</x:f>
        <x:v>OPEN</x:v>
      </x:c>
    </x:row>
    <x:row r="29">
      <x:c r="A29" s="16" t="str">
        <x:v>AF-22</x:v>
      </x:c>
      <x:c r="B29" s="16" t="str">
        <x:v>schedule</x:v>
      </x:c>
      <x:c r="C29" s="16" t="str">
        <x:v>Frozen architecture definition 22</x:v>
      </x:c>
      <x:c r="D29" s="16" t="str">
        <x:v>RBE-1 accepted packet</x:v>
      </x:c>
      <x:c r="E29" s="36"/>
      <x:c r="F29" s="36"/>
      <x:c r="G29" s="36"/>
      <x:c r="H29" s="16" t="str">
        <x:f>IF(COUNTA(E29:G29)&lt;3,"OPEN",IF(G29="ACCEPTED","ACCEPTED","DENY"))</x:f>
        <x:v>OPEN</x:v>
      </x:c>
    </x:row>
    <x:row r="30">
      <x:c r="A30" s="16" t="str">
        <x:v>AF-23</x:v>
      </x:c>
      <x:c r="B30" s="16" t="str">
        <x:v>stop energy</x:v>
      </x:c>
      <x:c r="C30" s="16" t="str">
        <x:v>Frozen architecture definition 23</x:v>
      </x:c>
      <x:c r="D30" s="16" t="str">
        <x:v>RBE-1 accepted packet</x:v>
      </x:c>
      <x:c r="E30" s="36"/>
      <x:c r="F30" s="36"/>
      <x:c r="G30" s="36"/>
      <x:c r="H30" s="16" t="str">
        <x:f>IF(COUNTA(E30:G30)&lt;3,"OPEN",IF(G30="ACCEPTED","ACCEPTED","DENY"))</x:f>
        <x:v>OPEN</x:v>
      </x:c>
    </x:row>
    <x:row r="31">
      <x:c r="A31" s="16" t="str">
        <x:v>AF-24</x:v>
      </x:c>
      <x:c r="B31" s="16" t="str">
        <x:v>final elements</x:v>
      </x:c>
      <x:c r="C31" s="16" t="str">
        <x:v>Frozen architecture definition 24</x:v>
      </x:c>
      <x:c r="D31" s="16" t="str">
        <x:v>RBE-1 accepted packet</x:v>
      </x:c>
      <x:c r="E31" s="36"/>
      <x:c r="F31" s="36"/>
      <x:c r="G31" s="36"/>
      <x:c r="H31" s="16" t="str">
        <x:f>IF(COUNTA(E31:G31)&lt;3,"OPEN",IF(G31="ACCEPTED","ACCEPTED","DENY"))</x:f>
        <x:v>OPEN</x:v>
      </x:c>
    </x:row>
    <x:row r="32">
      <x:c r="A32" s="16" t="str">
        <x:v>AF-25</x:v>
      </x:c>
      <x:c r="B32" s="16" t="str">
        <x:v>receiver</x:v>
      </x:c>
      <x:c r="C32" s="16" t="str">
        <x:v>Frozen architecture definition 25</x:v>
      </x:c>
      <x:c r="D32" s="16" t="str">
        <x:v>RBE-1 accepted packet</x:v>
      </x:c>
      <x:c r="E32" s="36"/>
      <x:c r="F32" s="36"/>
      <x:c r="G32" s="36"/>
      <x:c r="H32" s="16" t="str">
        <x:f>IF(COUNTA(E32:G32)&lt;3,"OPEN",IF(G32="ACCEPTED","ACCEPTED","DENY"))</x:f>
        <x:v>OPEN</x:v>
      </x:c>
    </x:row>
    <x:row r="33">
      <x:c r="A33" s="16" t="str">
        <x:v>AF-26</x:v>
      </x:c>
      <x:c r="B33" s="16" t="str">
        <x:v>capture</x:v>
      </x:c>
      <x:c r="C33" s="16" t="str">
        <x:v>Frozen architecture definition 26</x:v>
      </x:c>
      <x:c r="D33" s="16" t="str">
        <x:v>RBE-1 accepted packet</x:v>
      </x:c>
      <x:c r="E33" s="36"/>
      <x:c r="F33" s="36"/>
      <x:c r="G33" s="36"/>
      <x:c r="H33" s="16" t="str">
        <x:f>IF(COUNTA(E33:G33)&lt;3,"OPEN",IF(G33="ACCEPTED","ACCEPTED","DENY"))</x:f>
        <x:v>OPEN</x:v>
      </x:c>
    </x:row>
    <x:row r="34">
      <x:c r="A34" s="16" t="str">
        <x:v>AF-27</x:v>
      </x:c>
      <x:c r="B34" s="16" t="str">
        <x:v>materials</x:v>
      </x:c>
      <x:c r="C34" s="16" t="str">
        <x:v>Frozen architecture definition 27</x:v>
      </x:c>
      <x:c r="D34" s="16" t="str">
        <x:v>RBE-1 accepted packet</x:v>
      </x:c>
      <x:c r="E34" s="36"/>
      <x:c r="F34" s="36"/>
      <x:c r="G34" s="36"/>
      <x:c r="H34" s="16" t="str">
        <x:f>IF(COUNTA(E34:G34)&lt;3,"OPEN",IF(G34="ACCEPTED","ACCEPTED","DENY"))</x:f>
        <x:v>OPEN</x:v>
      </x:c>
    </x:row>
    <x:row r="35">
      <x:c r="A35" s="16" t="str">
        <x:v>AF-28</x:v>
      </x:c>
      <x:c r="B35" s="16" t="str">
        <x:v>pressure</x:v>
      </x:c>
      <x:c r="C35" s="16" t="str">
        <x:v>Frozen architecture definition 28</x:v>
      </x:c>
      <x:c r="D35" s="16" t="str">
        <x:v>RBE-1 accepted packet</x:v>
      </x:c>
      <x:c r="E35" s="36"/>
      <x:c r="F35" s="36"/>
      <x:c r="G35" s="36"/>
      <x:c r="H35" s="16" t="str">
        <x:f>IF(COUNTA(E35:G35)&lt;3,"OPEN",IF(G35="ACCEPTED","ACCEPTED","DENY"))</x:f>
        <x:v>OPEN</x:v>
      </x:c>
    </x:row>
    <x:row r="36">
      <x:c r="A36" s="16" t="str">
        <x:v>AF-29</x:v>
      </x:c>
      <x:c r="B36" s="16" t="str">
        <x:v>mass</x:v>
      </x:c>
      <x:c r="C36" s="16" t="str">
        <x:v>Frozen architecture definition 29</x:v>
      </x:c>
      <x:c r="D36" s="16" t="str">
        <x:v>RBE-1 accepted packet</x:v>
      </x:c>
      <x:c r="E36" s="36"/>
      <x:c r="F36" s="36"/>
      <x:c r="G36" s="36"/>
      <x:c r="H36" s="16" t="str">
        <x:f>IF(COUNTA(E36:G36)&lt;3,"OPEN",IF(G36="ACCEPTED","ACCEPTED","DENY"))</x:f>
        <x:v>OPEN</x:v>
      </x:c>
    </x:row>
    <x:row r="37">
      <x:c r="A37" s="16" t="str">
        <x:v>AF-30</x:v>
      </x:c>
      <x:c r="B37" s="16" t="str">
        <x:v>volume</x:v>
      </x:c>
      <x:c r="C37" s="16" t="str">
        <x:v>Frozen architecture definition 30</x:v>
      </x:c>
      <x:c r="D37" s="16" t="str">
        <x:v>RBE-1 accepted packet</x:v>
      </x:c>
      <x:c r="E37" s="36"/>
      <x:c r="F37" s="36"/>
      <x:c r="G37" s="36"/>
      <x:c r="H37" s="16" t="str">
        <x:f>IF(COUNTA(E37:G37)&lt;3,"OPEN",IF(G37="ACCEPTED","ACCEPTED","DENY"))</x:f>
        <x:v>OPEN</x:v>
      </x:c>
    </x:row>
  </x:sheetData>
  <x:mergeCells>
    <x:mergeCell ref="A2:H2"/>
  </x:mergeCells>
  <x:conditionalFormatting sqref="B5:H37">
    <x:cfRule type="containsText" dxfId="0" priority="1" operator="containsText" text="DENY"/>
    <x:cfRule type="containsText" dxfId="1" priority="2" operator="containsText" text="ADVERSE"/>
    <x:cfRule type="containsText" dxfId="2" priority="3" operator="containsText" text="FAIL"/>
    <x:cfRule type="containsText" dxfId="3" priority="4" operator="containsText" text="REQUIRED"/>
    <x:cfRule type="containsText" dxfId="4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9e43115c025a422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20" hidden="0" customWidth="1"/>
    <x:col min="5" max="5" width="17" hidden="0" customWidth="1"/>
    <x:col min="6" max="6" width="20" hidden="0" customWidth="1"/>
    <x:col min="7" max="7" width="15" hidden="0" customWidth="1"/>
    <x:col min="8" max="8" width="18" hidden="0" customWidth="1"/>
    <x:col min="9" max="9" width="18" hidden="0" customWidth="1"/>
    <x:col min="10" max="10" width="14" hidden="0" customWidth="1"/>
    <x:col min="11" max="11" width="15" hidden="0" customWidth="1"/>
  </x:cols>
  <x:sheetData>
    <x:row r="2" ht="26" customHeight="1">
      <x:c r="A2" s="2" t="str">
        <x:v>Orthogonal exact-cell registry</x:v>
      </x:c>
      <x:c r="B2" s="2" t="str">
        <x:v>Orthogonal exact-cell registry</x:v>
      </x:c>
      <x:c r="C2" s="2" t="str">
        <x:v>Orthogonal exact-cell registry</x:v>
      </x:c>
      <x:c r="D2" s="2" t="str">
        <x:v>Orthogonal exact-cell registry</x:v>
      </x:c>
      <x:c r="E2" s="2" t="str">
        <x:v>Orthogonal exact-cell registry</x:v>
      </x:c>
      <x:c r="F2" s="2" t="str">
        <x:v>Orthogonal exact-cell registry</x:v>
      </x:c>
      <x:c r="G2" s="2" t="str">
        <x:v>Orthogonal exact-cell registry</x:v>
      </x:c>
      <x:c r="H2" s="2" t="str">
        <x:v>Orthogonal exact-cell registry</x:v>
      </x:c>
      <x:c r="I2" s="2" t="str">
        <x:v>Orthogonal exact-cell registry</x:v>
      </x:c>
      <x:c r="J2" s="2" t="str">
        <x:v>Orthogonal exact-cell registry</x:v>
      </x:c>
      <x:c r="K2" s="2" t="str">
        <x:v>Orthogonal exact-cell registry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</x:row>
    <x:row r="5">
      <x:c r="A5" s="32" t="str">
        <x:v>Cell ID</x:v>
      </x:c>
      <x:c r="B5" s="33" t="str">
        <x:v>Rig</x:v>
      </x:c>
      <x:c r="C5" s="33" t="str">
        <x:v>Campus</x:v>
      </x:c>
      <x:c r="D5" s="33" t="str">
        <x:v>Primary truth root</x:v>
      </x:c>
      <x:c r="E5" s="33" t="str">
        <x:v>Builder lineage</x:v>
      </x:c>
      <x:c r="F5" s="33" t="str">
        <x:v>Active module</x:v>
      </x:c>
      <x:c r="G5" s="33" t="str">
        <x:v>Source family</x:v>
      </x:c>
      <x:c r="H5" s="33" t="str">
        <x:v>Primary package</x:v>
      </x:c>
      <x:c r="I5" s="33" t="str">
        <x:v>48 gates current</x:v>
      </x:c>
      <x:c r="J5" s="33" t="str">
        <x:v>Credit count</x:v>
      </x:c>
      <x:c r="K5" s="34" t="str">
        <x:v>Cell state</x:v>
      </x:c>
    </x:row>
    <x:row r="6">
      <x:c r="A6" s="16" t="str">
        <x:v>CELL-01</x:v>
      </x:c>
      <x:c r="B6" s="16" t="str">
        <x:v>S0</x:v>
      </x:c>
      <x:c r="C6" s="16" t="str">
        <x:v>C-1</x:v>
      </x:c>
      <x:c r="D6" s="16" t="str">
        <x:v>TR-A</x:v>
      </x:c>
      <x:c r="E6" s="16" t="str">
        <x:v>BL-A</x:v>
      </x:c>
      <x:c r="F6" s="16" t="str">
        <x:v>MOD-ACT-01</x:v>
      </x:c>
      <x:c r="G6" s="16" t="str">
        <x:v>TR-A</x:v>
      </x:c>
      <x:c r="H6" s="16" t="str">
        <x:v>P-ACT-01</x:v>
      </x:c>
      <x:c r="I6" s="36"/>
      <x:c r="J6" s="16" t="n">
        <x:f>COUNTIFS('Attempt Register'!$D$8:$D$35,A6,'Attempt Register'!$P$8:$P$35,"CREDIT")</x:f>
        <x:v>0</x:v>
      </x:c>
      <x:c r="K6" s="16" t="str">
        <x:f>IF(I6="","OPEN",IF(I6&lt;&gt;"YES","DENY",IF(COUNTIFS('Attempt Register'!$D$8:$D$35,A6,'Attempt Register'!$P$8:$P$35,"VALID-ADVERSE")&gt;0,"DENY",IF(J6=1,"CREDIT","OPEN"))))</x:f>
        <x:v>OPEN</x:v>
      </x:c>
    </x:row>
    <x:row r="7">
      <x:c r="A7" s="16" t="str">
        <x:v>CELL-02</x:v>
      </x:c>
      <x:c r="B7" s="16" t="str">
        <x:v>S0</x:v>
      </x:c>
      <x:c r="C7" s="16" t="str">
        <x:v>C-1</x:v>
      </x:c>
      <x:c r="D7" s="16" t="str">
        <x:v>TR-B</x:v>
      </x:c>
      <x:c r="E7" s="16" t="str">
        <x:v>BL-B</x:v>
      </x:c>
      <x:c r="F7" s="16" t="str">
        <x:v>MOD-ACT-02</x:v>
      </x:c>
      <x:c r="G7" s="16" t="str">
        <x:v>TR-B</x:v>
      </x:c>
      <x:c r="H7" s="16" t="str">
        <x:v>P-ACT-02</x:v>
      </x:c>
      <x:c r="I7" s="36"/>
      <x:c r="J7" s="16" t="n">
        <x:f>COUNTIFS('Attempt Register'!$D$8:$D$35,A7,'Attempt Register'!$P$8:$P$35,"CREDIT")</x:f>
        <x:v>0</x:v>
      </x:c>
      <x:c r="K7" s="16" t="str">
        <x:f>IF(I7="","OPEN",IF(I7&lt;&gt;"YES","DENY",IF(COUNTIFS('Attempt Register'!$D$8:$D$35,A7,'Attempt Register'!$P$8:$P$35,"VALID-ADVERSE")&gt;0,"DENY",IF(J7=1,"CREDIT","OPEN"))))</x:f>
        <x:v>OPEN</x:v>
      </x:c>
    </x:row>
    <x:row r="8">
      <x:c r="A8" s="16" t="str">
        <x:v>CELL-03</x:v>
      </x:c>
      <x:c r="B8" s="16" t="str">
        <x:v>S1</x:v>
      </x:c>
      <x:c r="C8" s="16" t="str">
        <x:v>C-1</x:v>
      </x:c>
      <x:c r="D8" s="16" t="str">
        <x:v>TR-A</x:v>
      </x:c>
      <x:c r="E8" s="16" t="str">
        <x:v>BL-B</x:v>
      </x:c>
      <x:c r="F8" s="16" t="str">
        <x:v>MOD-ACT-03</x:v>
      </x:c>
      <x:c r="G8" s="16" t="str">
        <x:v>TR-A</x:v>
      </x:c>
      <x:c r="H8" s="16" t="str">
        <x:v>P-ACT-03</x:v>
      </x:c>
      <x:c r="I8" s="36"/>
      <x:c r="J8" s="16" t="n">
        <x:f>COUNTIFS('Attempt Register'!$D$8:$D$35,A8,'Attempt Register'!$P$8:$P$35,"CREDIT")</x:f>
        <x:v>0</x:v>
      </x:c>
      <x:c r="K8" s="16" t="str">
        <x:f>IF(I8="","OPEN",IF(I8&lt;&gt;"YES","DENY",IF(COUNTIFS('Attempt Register'!$D$8:$D$35,A8,'Attempt Register'!$P$8:$P$35,"VALID-ADVERSE")&gt;0,"DENY",IF(J8=1,"CREDIT","OPEN"))))</x:f>
        <x:v>OPEN</x:v>
      </x:c>
    </x:row>
    <x:row r="9">
      <x:c r="A9" s="16" t="str">
        <x:v>CELL-04</x:v>
      </x:c>
      <x:c r="B9" s="16" t="str">
        <x:v>S1</x:v>
      </x:c>
      <x:c r="C9" s="16" t="str">
        <x:v>C-1</x:v>
      </x:c>
      <x:c r="D9" s="16" t="str">
        <x:v>TR-B</x:v>
      </x:c>
      <x:c r="E9" s="16" t="str">
        <x:v>BL-A</x:v>
      </x:c>
      <x:c r="F9" s="16" t="str">
        <x:v>MOD-ACT-04</x:v>
      </x:c>
      <x:c r="G9" s="16" t="str">
        <x:v>TR-B</x:v>
      </x:c>
      <x:c r="H9" s="16" t="str">
        <x:v>P-ACT-04</x:v>
      </x:c>
      <x:c r="I9" s="36"/>
      <x:c r="J9" s="16" t="n">
        <x:f>COUNTIFS('Attempt Register'!$D$8:$D$35,A9,'Attempt Register'!$P$8:$P$35,"CREDIT")</x:f>
        <x:v>0</x:v>
      </x:c>
      <x:c r="K9" s="16" t="str">
        <x:f>IF(I9="","OPEN",IF(I9&lt;&gt;"YES","DENY",IF(COUNTIFS('Attempt Register'!$D$8:$D$35,A9,'Attempt Register'!$P$8:$P$35,"VALID-ADVERSE")&gt;0,"DENY",IF(J9=1,"CREDIT","OPEN"))))</x:f>
        <x:v>OPEN</x:v>
      </x:c>
    </x:row>
    <x:row r="10">
      <x:c r="A10" s="16" t="str">
        <x:v>CELL-05</x:v>
      </x:c>
      <x:c r="B10" s="16" t="str">
        <x:v>S2</x:v>
      </x:c>
      <x:c r="C10" s="16" t="str">
        <x:v>C-2</x:v>
      </x:c>
      <x:c r="D10" s="16" t="str">
        <x:v>TR-A</x:v>
      </x:c>
      <x:c r="E10" s="16" t="str">
        <x:v>BL-A</x:v>
      </x:c>
      <x:c r="F10" s="16" t="str">
        <x:v>MOD-ACT-05</x:v>
      </x:c>
      <x:c r="G10" s="16" t="str">
        <x:v>TR-A</x:v>
      </x:c>
      <x:c r="H10" s="16" t="str">
        <x:v>P-ACT-05</x:v>
      </x:c>
      <x:c r="I10" s="36"/>
      <x:c r="J10" s="16" t="n">
        <x:f>COUNTIFS('Attempt Register'!$D$8:$D$35,A10,'Attempt Register'!$P$8:$P$35,"CREDIT")</x:f>
        <x:v>0</x:v>
      </x:c>
      <x:c r="K10" s="16" t="str">
        <x:f>IF(I10="","OPEN",IF(I10&lt;&gt;"YES","DENY",IF(COUNTIFS('Attempt Register'!$D$8:$D$35,A10,'Attempt Register'!$P$8:$P$35,"VALID-ADVERSE")&gt;0,"DENY",IF(J10=1,"CREDIT","OPEN"))))</x:f>
        <x:v>OPEN</x:v>
      </x:c>
    </x:row>
    <x:row r="11">
      <x:c r="A11" s="16" t="str">
        <x:v>CELL-06</x:v>
      </x:c>
      <x:c r="B11" s="16" t="str">
        <x:v>S2</x:v>
      </x:c>
      <x:c r="C11" s="16" t="str">
        <x:v>C-2</x:v>
      </x:c>
      <x:c r="D11" s="16" t="str">
        <x:v>TR-B</x:v>
      </x:c>
      <x:c r="E11" s="16" t="str">
        <x:v>BL-B</x:v>
      </x:c>
      <x:c r="F11" s="16" t="str">
        <x:v>MOD-ACT-06</x:v>
      </x:c>
      <x:c r="G11" s="16" t="str">
        <x:v>TR-B</x:v>
      </x:c>
      <x:c r="H11" s="16" t="str">
        <x:v>P-ACT-06</x:v>
      </x:c>
      <x:c r="I11" s="36"/>
      <x:c r="J11" s="16" t="n">
        <x:f>COUNTIFS('Attempt Register'!$D$8:$D$35,A11,'Attempt Register'!$P$8:$P$35,"CREDIT")</x:f>
        <x:v>0</x:v>
      </x:c>
      <x:c r="K11" s="16" t="str">
        <x:f>IF(I11="","OPEN",IF(I11&lt;&gt;"YES","DENY",IF(COUNTIFS('Attempt Register'!$D$8:$D$35,A11,'Attempt Register'!$P$8:$P$35,"VALID-ADVERSE")&gt;0,"DENY",IF(J11=1,"CREDIT","OPEN"))))</x:f>
        <x:v>OPEN</x:v>
      </x:c>
    </x:row>
    <x:row r="12">
      <x:c r="A12" s="16" t="str">
        <x:v>CELL-07</x:v>
      </x:c>
      <x:c r="B12" s="16" t="str">
        <x:v>S3</x:v>
      </x:c>
      <x:c r="C12" s="16" t="str">
        <x:v>C-2</x:v>
      </x:c>
      <x:c r="D12" s="16" t="str">
        <x:v>TR-A</x:v>
      </x:c>
      <x:c r="E12" s="16" t="str">
        <x:v>BL-B</x:v>
      </x:c>
      <x:c r="F12" s="16" t="str">
        <x:v>MOD-ACT-07</x:v>
      </x:c>
      <x:c r="G12" s="16" t="str">
        <x:v>TR-A</x:v>
      </x:c>
      <x:c r="H12" s="16" t="str">
        <x:v>P-ACT-07</x:v>
      </x:c>
      <x:c r="I12" s="36"/>
      <x:c r="J12" s="16" t="n">
        <x:f>COUNTIFS('Attempt Register'!$D$8:$D$35,A12,'Attempt Register'!$P$8:$P$35,"CREDIT")</x:f>
        <x:v>0</x:v>
      </x:c>
      <x:c r="K12" s="16" t="str">
        <x:f>IF(I12="","OPEN",IF(I12&lt;&gt;"YES","DENY",IF(COUNTIFS('Attempt Register'!$D$8:$D$35,A12,'Attempt Register'!$P$8:$P$35,"VALID-ADVERSE")&gt;0,"DENY",IF(J12=1,"CREDIT","OPEN"))))</x:f>
        <x:v>OPEN</x:v>
      </x:c>
    </x:row>
    <x:row r="13">
      <x:c r="A13" s="16" t="str">
        <x:v>CELL-08</x:v>
      </x:c>
      <x:c r="B13" s="16" t="str">
        <x:v>S3</x:v>
      </x:c>
      <x:c r="C13" s="16" t="str">
        <x:v>C-2</x:v>
      </x:c>
      <x:c r="D13" s="16" t="str">
        <x:v>TR-B</x:v>
      </x:c>
      <x:c r="E13" s="16" t="str">
        <x:v>BL-A</x:v>
      </x:c>
      <x:c r="F13" s="16" t="str">
        <x:v>MOD-ACT-08</x:v>
      </x:c>
      <x:c r="G13" s="16" t="str">
        <x:v>TR-B</x:v>
      </x:c>
      <x:c r="H13" s="16" t="str">
        <x:v>P-ACT-08</x:v>
      </x:c>
      <x:c r="I13" s="36"/>
      <x:c r="J13" s="16" t="n">
        <x:f>COUNTIFS('Attempt Register'!$D$8:$D$35,A13,'Attempt Register'!$P$8:$P$35,"CREDIT")</x:f>
        <x:v>0</x:v>
      </x:c>
      <x:c r="K13" s="16" t="str">
        <x:f>IF(I13="","OPEN",IF(I13&lt;&gt;"YES","DENY",IF(COUNTIFS('Attempt Register'!$D$8:$D$35,A13,'Attempt Register'!$P$8:$P$35,"VALID-ADVERSE")&gt;0,"DENY",IF(J13=1,"CREDIT","OPEN"))))</x:f>
        <x:v>OPEN</x:v>
      </x:c>
    </x:row>
    <x:row r="14">
      <x:c r="A14" s="16" t="str">
        <x:v>CELL-09</x:v>
      </x:c>
      <x:c r="B14" s="16" t="str">
        <x:v>S4</x:v>
      </x:c>
      <x:c r="C14" s="16" t="str">
        <x:v>C-3</x:v>
      </x:c>
      <x:c r="D14" s="16" t="str">
        <x:v>TR-A</x:v>
      </x:c>
      <x:c r="E14" s="16" t="str">
        <x:v>BL-A</x:v>
      </x:c>
      <x:c r="F14" s="16" t="str">
        <x:v>MOD-ACT-09</x:v>
      </x:c>
      <x:c r="G14" s="16" t="str">
        <x:v>TR-A</x:v>
      </x:c>
      <x:c r="H14" s="16" t="str">
        <x:v>P-ACT-09</x:v>
      </x:c>
      <x:c r="I14" s="36"/>
      <x:c r="J14" s="16" t="n">
        <x:f>COUNTIFS('Attempt Register'!$D$8:$D$35,A14,'Attempt Register'!$P$8:$P$35,"CREDIT")</x:f>
        <x:v>0</x:v>
      </x:c>
      <x:c r="K14" s="16" t="str">
        <x:f>IF(I14="","OPEN",IF(I14&lt;&gt;"YES","DENY",IF(COUNTIFS('Attempt Register'!$D$8:$D$35,A14,'Attempt Register'!$P$8:$P$35,"VALID-ADVERSE")&gt;0,"DENY",IF(J14=1,"CREDIT","OPEN"))))</x:f>
        <x:v>OPEN</x:v>
      </x:c>
    </x:row>
    <x:row r="15">
      <x:c r="A15" s="16" t="str">
        <x:v>CELL-10</x:v>
      </x:c>
      <x:c r="B15" s="16" t="str">
        <x:v>S4</x:v>
      </x:c>
      <x:c r="C15" s="16" t="str">
        <x:v>C-3</x:v>
      </x:c>
      <x:c r="D15" s="16" t="str">
        <x:v>TR-B</x:v>
      </x:c>
      <x:c r="E15" s="16" t="str">
        <x:v>BL-B</x:v>
      </x:c>
      <x:c r="F15" s="16" t="str">
        <x:v>MOD-ACT-10</x:v>
      </x:c>
      <x:c r="G15" s="16" t="str">
        <x:v>TR-B</x:v>
      </x:c>
      <x:c r="H15" s="16" t="str">
        <x:v>P-ACT-10</x:v>
      </x:c>
      <x:c r="I15" s="36"/>
      <x:c r="J15" s="16" t="n">
        <x:f>COUNTIFS('Attempt Register'!$D$8:$D$35,A15,'Attempt Register'!$P$8:$P$35,"CREDIT")</x:f>
        <x:v>0</x:v>
      </x:c>
      <x:c r="K15" s="16" t="str">
        <x:f>IF(I15="","OPEN",IF(I15&lt;&gt;"YES","DENY",IF(COUNTIFS('Attempt Register'!$D$8:$D$35,A15,'Attempt Register'!$P$8:$P$35,"VALID-ADVERSE")&gt;0,"DENY",IF(J15=1,"CREDIT","OPEN"))))</x:f>
        <x:v>OPEN</x:v>
      </x:c>
    </x:row>
    <x:row r="16">
      <x:c r="A16" s="16" t="str">
        <x:v>CELL-11</x:v>
      </x:c>
      <x:c r="B16" s="16" t="str">
        <x:v>S5</x:v>
      </x:c>
      <x:c r="C16" s="16" t="str">
        <x:v>C-3</x:v>
      </x:c>
      <x:c r="D16" s="16" t="str">
        <x:v>TR-A</x:v>
      </x:c>
      <x:c r="E16" s="16" t="str">
        <x:v>BL-B</x:v>
      </x:c>
      <x:c r="F16" s="16" t="str">
        <x:v>MOD-ACT-11</x:v>
      </x:c>
      <x:c r="G16" s="16" t="str">
        <x:v>TR-A</x:v>
      </x:c>
      <x:c r="H16" s="16" t="str">
        <x:v>P-ACT-11</x:v>
      </x:c>
      <x:c r="I16" s="36"/>
      <x:c r="J16" s="16" t="n">
        <x:f>COUNTIFS('Attempt Register'!$D$8:$D$35,A16,'Attempt Register'!$P$8:$P$35,"CREDIT")</x:f>
        <x:v>0</x:v>
      </x:c>
      <x:c r="K16" s="16" t="str">
        <x:f>IF(I16="","OPEN",IF(I16&lt;&gt;"YES","DENY",IF(COUNTIFS('Attempt Register'!$D$8:$D$35,A16,'Attempt Register'!$P$8:$P$35,"VALID-ADVERSE")&gt;0,"DENY",IF(J16=1,"CREDIT","OPEN"))))</x:f>
        <x:v>OPEN</x:v>
      </x:c>
    </x:row>
    <x:row r="17">
      <x:c r="A17" s="16" t="str">
        <x:v>CELL-12</x:v>
      </x:c>
      <x:c r="B17" s="16" t="str">
        <x:v>S5</x:v>
      </x:c>
      <x:c r="C17" s="16" t="str">
        <x:v>C-3</x:v>
      </x:c>
      <x:c r="D17" s="16" t="str">
        <x:v>TR-B</x:v>
      </x:c>
      <x:c r="E17" s="16" t="str">
        <x:v>BL-A</x:v>
      </x:c>
      <x:c r="F17" s="16" t="str">
        <x:v>MOD-ACT-12</x:v>
      </x:c>
      <x:c r="G17" s="16" t="str">
        <x:v>TR-B</x:v>
      </x:c>
      <x:c r="H17" s="16" t="str">
        <x:v>P-ACT-12</x:v>
      </x:c>
      <x:c r="I17" s="36"/>
      <x:c r="J17" s="16" t="n">
        <x:f>COUNTIFS('Attempt Register'!$D$8:$D$35,A17,'Attempt Register'!$P$8:$P$35,"CREDIT")</x:f>
        <x:v>0</x:v>
      </x:c>
      <x:c r="K17" s="16" t="str">
        <x:f>IF(I17="","OPEN",IF(I17&lt;&gt;"YES","DENY",IF(COUNTIFS('Attempt Register'!$D$8:$D$35,A17,'Attempt Register'!$P$8:$P$35,"VALID-ADVERSE")&gt;0,"DENY",IF(J17=1,"CREDIT","OPEN"))))</x:f>
        <x:v>OPEN</x:v>
      </x:c>
    </x:row>
  </x:sheetData>
  <x:mergeCells>
    <x:mergeCell ref="A2:K2"/>
  </x:mergeCells>
  <x:conditionalFormatting sqref="K6:K17">
    <x:cfRule type="containsText" dxfId="5" priority="1" operator="containsText" text="DENY"/>
    <x:cfRule type="containsText" dxfId="6" priority="2" operator="containsText" text="ADVERSE"/>
    <x:cfRule type="containsText" dxfId="7" priority="3" operator="containsText" text="FAIL"/>
    <x:cfRule type="containsText" dxfId="8" priority="4" operator="containsText" text="REQUIRED"/>
    <x:cfRule type="containsText" dxfId="9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3806c0d5bafc438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7" hidden="0" customWidth="1"/>
    <x:col min="3" max="3" width="22" hidden="0" customWidth="1"/>
    <x:col min="4" max="4" width="16" hidden="0" customWidth="1"/>
    <x:col min="5" max="5" width="23" hidden="0" customWidth="1"/>
    <x:col min="6" max="6" width="16" hidden="0" customWidth="1"/>
    <x:col min="7" max="7" width="17" hidden="0" customWidth="1"/>
    <x:col min="8" max="8" width="20" hidden="0" customWidth="1"/>
    <x:col min="9" max="9" width="16" hidden="0" customWidth="1"/>
    <x:col min="10" max="10" width="15" hidden="0" customWidth="1"/>
  </x:cols>
  <x:sheetData>
    <x:row r="2" ht="26" customHeight="1">
      <x:c r="A2" s="2" t="str">
        <x:v>Selected-architecture source-contact module bank</x:v>
      </x:c>
      <x:c r="B2" s="2" t="str">
        <x:v>Selected-architecture source-contact module bank</x:v>
      </x:c>
      <x:c r="C2" s="2" t="str">
        <x:v>Selected-architecture source-contact module bank</x:v>
      </x:c>
      <x:c r="D2" s="2" t="str">
        <x:v>Selected-architecture source-contact module bank</x:v>
      </x:c>
      <x:c r="E2" s="2" t="str">
        <x:v>Selected-architecture source-contact module bank</x:v>
      </x:c>
      <x:c r="F2" s="2" t="str">
        <x:v>Selected-architecture source-contact module bank</x:v>
      </x:c>
      <x:c r="G2" s="2" t="str">
        <x:v>Selected-architecture source-contact module bank</x:v>
      </x:c>
      <x:c r="H2" s="2" t="str">
        <x:v>Selected-architecture source-contact module bank</x:v>
      </x:c>
      <x:c r="I2" s="2" t="str">
        <x:v>Selected-architecture source-contact module bank</x:v>
      </x:c>
      <x:c r="J2" s="2" t="str">
        <x:v>Selected-architecture source-contact module bank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</x:row>
    <x:row r="5">
      <x:c r="A5" s="51" t="str">
        <x:v>Module records</x:v>
      </x:c>
      <x:c r="B5" s="51" t="n">
        <x:v>18</x:v>
      </x:c>
      <x:c r="C5" s="51"/>
      <x:c r="D5" s="51"/>
      <x:c r="E5" s="51"/>
      <x:c r="F5" s="51"/>
      <x:c r="G5" s="51"/>
      <x:c r="H5" s="51"/>
      <x:c r="I5" s="51"/>
      <x:c r="J5" s="51"/>
    </x:row>
    <x:row r="6">
      <x:c r="A6" s="51"/>
      <x:c r="B6" s="51"/>
      <x:c r="C6" s="51"/>
      <x:c r="D6" s="51"/>
      <x:c r="E6" s="51"/>
      <x:c r="F6" s="51"/>
      <x:c r="G6" s="51"/>
      <x:c r="H6" s="51"/>
      <x:c r="I6" s="51"/>
      <x:c r="J6" s="51"/>
    </x:row>
    <x:row r="7">
      <x:c r="A7" s="32" t="str">
        <x:v>Module ID</x:v>
      </x:c>
      <x:c r="B7" s="33" t="str">
        <x:v>Builder lineage</x:v>
      </x:c>
      <x:c r="C7" s="33" t="str">
        <x:v>Role</x:v>
      </x:c>
      <x:c r="D7" s="33" t="str">
        <x:v>Assigned cell</x:v>
      </x:c>
      <x:c r="E7" s="33" t="str">
        <x:v>Route and stop system</x:v>
      </x:c>
      <x:c r="F7" s="33" t="str">
        <x:v>Receiver</x:v>
      </x:c>
      <x:c r="G7" s="33" t="str">
        <x:v>Capture liner</x:v>
      </x:c>
      <x:c r="H7" s="33" t="str">
        <x:v>Physical acceptance</x:v>
      </x:c>
      <x:c r="I7" s="33" t="str">
        <x:v>Custody seal</x:v>
      </x:c>
      <x:c r="J7" s="34" t="str">
        <x:v>State</x:v>
      </x:c>
    </x:row>
    <x:row r="8">
      <x:c r="A8" s="16" t="str">
        <x:v>MOD-ACT-01</x:v>
      </x:c>
      <x:c r="B8" s="16" t="str">
        <x:v>BL-A</x:v>
      </x:c>
      <x:c r="C8" s="16" t="str">
        <x:v>ACTIVE</x:v>
      </x:c>
      <x:c r="D8" s="16" t="str">
        <x:v>CELL-01</x:v>
      </x:c>
      <x:c r="E8" s="36"/>
      <x:c r="F8" s="36"/>
      <x:c r="G8" s="36"/>
      <x:c r="H8" s="36"/>
      <x:c r="I8" s="36"/>
      <x:c r="J8" s="16" t="str">
        <x:f>IF(COUNTA(E8:I8)&lt;5,"OPEN",IF(AND(H8="ACCEPTED",I8="SEALED"),"ACCEPTED","DENY"))</x:f>
        <x:v>OPEN</x:v>
      </x:c>
    </x:row>
    <x:row r="9">
      <x:c r="A9" s="16" t="str">
        <x:v>MOD-ACT-02</x:v>
      </x:c>
      <x:c r="B9" s="16" t="str">
        <x:v>BL-B</x:v>
      </x:c>
      <x:c r="C9" s="16" t="str">
        <x:v>ACTIVE</x:v>
      </x:c>
      <x:c r="D9" s="16" t="str">
        <x:v>CELL-02</x:v>
      </x:c>
      <x:c r="E9" s="36"/>
      <x:c r="F9" s="36"/>
      <x:c r="G9" s="36"/>
      <x:c r="H9" s="36"/>
      <x:c r="I9" s="36"/>
      <x:c r="J9" s="16" t="str">
        <x:f>IF(COUNTA(E9:I9)&lt;5,"OPEN",IF(AND(H9="ACCEPTED",I9="SEALED"),"ACCEPTED","DENY"))</x:f>
        <x:v>OPEN</x:v>
      </x:c>
    </x:row>
    <x:row r="10">
      <x:c r="A10" s="16" t="str">
        <x:v>MOD-ACT-03</x:v>
      </x:c>
      <x:c r="B10" s="16" t="str">
        <x:v>BL-A</x:v>
      </x:c>
      <x:c r="C10" s="16" t="str">
        <x:v>ACTIVE</x:v>
      </x:c>
      <x:c r="D10" s="16" t="str">
        <x:v>CELL-03</x:v>
      </x:c>
      <x:c r="E10" s="36"/>
      <x:c r="F10" s="36"/>
      <x:c r="G10" s="36"/>
      <x:c r="H10" s="36"/>
      <x:c r="I10" s="36"/>
      <x:c r="J10" s="16" t="str">
        <x:f>IF(COUNTA(E10:I10)&lt;5,"OPEN",IF(AND(H10="ACCEPTED",I10="SEALED"),"ACCEPTED","DENY"))</x:f>
        <x:v>OPEN</x:v>
      </x:c>
    </x:row>
    <x:row r="11">
      <x:c r="A11" s="16" t="str">
        <x:v>MOD-ACT-04</x:v>
      </x:c>
      <x:c r="B11" s="16" t="str">
        <x:v>BL-B</x:v>
      </x:c>
      <x:c r="C11" s="16" t="str">
        <x:v>ACTIVE</x:v>
      </x:c>
      <x:c r="D11" s="16" t="str">
        <x:v>CELL-04</x:v>
      </x:c>
      <x:c r="E11" s="36"/>
      <x:c r="F11" s="36"/>
      <x:c r="G11" s="36"/>
      <x:c r="H11" s="36"/>
      <x:c r="I11" s="36"/>
      <x:c r="J11" s="16" t="str">
        <x:f>IF(COUNTA(E11:I11)&lt;5,"OPEN",IF(AND(H11="ACCEPTED",I11="SEALED"),"ACCEPTED","DENY"))</x:f>
        <x:v>OPEN</x:v>
      </x:c>
    </x:row>
    <x:row r="12">
      <x:c r="A12" s="16" t="str">
        <x:v>MOD-ACT-05</x:v>
      </x:c>
      <x:c r="B12" s="16" t="str">
        <x:v>BL-A</x:v>
      </x:c>
      <x:c r="C12" s="16" t="str">
        <x:v>ACTIVE</x:v>
      </x:c>
      <x:c r="D12" s="16" t="str">
        <x:v>CELL-05</x:v>
      </x:c>
      <x:c r="E12" s="36"/>
      <x:c r="F12" s="36"/>
      <x:c r="G12" s="36"/>
      <x:c r="H12" s="36"/>
      <x:c r="I12" s="36"/>
      <x:c r="J12" s="16" t="str">
        <x:f>IF(COUNTA(E12:I12)&lt;5,"OPEN",IF(AND(H12="ACCEPTED",I12="SEALED"),"ACCEPTED","DENY"))</x:f>
        <x:v>OPEN</x:v>
      </x:c>
    </x:row>
    <x:row r="13">
      <x:c r="A13" s="16" t="str">
        <x:v>MOD-ACT-06</x:v>
      </x:c>
      <x:c r="B13" s="16" t="str">
        <x:v>BL-B</x:v>
      </x:c>
      <x:c r="C13" s="16" t="str">
        <x:v>ACTIVE</x:v>
      </x:c>
      <x:c r="D13" s="16" t="str">
        <x:v>CELL-06</x:v>
      </x:c>
      <x:c r="E13" s="36"/>
      <x:c r="F13" s="36"/>
      <x:c r="G13" s="36"/>
      <x:c r="H13" s="36"/>
      <x:c r="I13" s="36"/>
      <x:c r="J13" s="16" t="str">
        <x:f>IF(COUNTA(E13:I13)&lt;5,"OPEN",IF(AND(H13="ACCEPTED",I13="SEALED"),"ACCEPTED","DENY"))</x:f>
        <x:v>OPEN</x:v>
      </x:c>
    </x:row>
    <x:row r="14">
      <x:c r="A14" s="16" t="str">
        <x:v>MOD-ACT-07</x:v>
      </x:c>
      <x:c r="B14" s="16" t="str">
        <x:v>BL-A</x:v>
      </x:c>
      <x:c r="C14" s="16" t="str">
        <x:v>ACTIVE</x:v>
      </x:c>
      <x:c r="D14" s="16" t="str">
        <x:v>CELL-07</x:v>
      </x:c>
      <x:c r="E14" s="36"/>
      <x:c r="F14" s="36"/>
      <x:c r="G14" s="36"/>
      <x:c r="H14" s="36"/>
      <x:c r="I14" s="36"/>
      <x:c r="J14" s="16" t="str">
        <x:f>IF(COUNTA(E14:I14)&lt;5,"OPEN",IF(AND(H14="ACCEPTED",I14="SEALED"),"ACCEPTED","DENY"))</x:f>
        <x:v>OPEN</x:v>
      </x:c>
    </x:row>
    <x:row r="15">
      <x:c r="A15" s="16" t="str">
        <x:v>MOD-ACT-08</x:v>
      </x:c>
      <x:c r="B15" s="16" t="str">
        <x:v>BL-B</x:v>
      </x:c>
      <x:c r="C15" s="16" t="str">
        <x:v>ACTIVE</x:v>
      </x:c>
      <x:c r="D15" s="16" t="str">
        <x:v>CELL-08</x:v>
      </x:c>
      <x:c r="E15" s="36"/>
      <x:c r="F15" s="36"/>
      <x:c r="G15" s="36"/>
      <x:c r="H15" s="36"/>
      <x:c r="I15" s="36"/>
      <x:c r="J15" s="16" t="str">
        <x:f>IF(COUNTA(E15:I15)&lt;5,"OPEN",IF(AND(H15="ACCEPTED",I15="SEALED"),"ACCEPTED","DENY"))</x:f>
        <x:v>OPEN</x:v>
      </x:c>
    </x:row>
    <x:row r="16">
      <x:c r="A16" s="16" t="str">
        <x:v>MOD-ACT-09</x:v>
      </x:c>
      <x:c r="B16" s="16" t="str">
        <x:v>BL-A</x:v>
      </x:c>
      <x:c r="C16" s="16" t="str">
        <x:v>ACTIVE</x:v>
      </x:c>
      <x:c r="D16" s="16" t="str">
        <x:v>CELL-09</x:v>
      </x:c>
      <x:c r="E16" s="36"/>
      <x:c r="F16" s="36"/>
      <x:c r="G16" s="36"/>
      <x:c r="H16" s="36"/>
      <x:c r="I16" s="36"/>
      <x:c r="J16" s="16" t="str">
        <x:f>IF(COUNTA(E16:I16)&lt;5,"OPEN",IF(AND(H16="ACCEPTED",I16="SEALED"),"ACCEPTED","DENY"))</x:f>
        <x:v>OPEN</x:v>
      </x:c>
    </x:row>
    <x:row r="17">
      <x:c r="A17" s="16" t="str">
        <x:v>MOD-ACT-10</x:v>
      </x:c>
      <x:c r="B17" s="16" t="str">
        <x:v>BL-B</x:v>
      </x:c>
      <x:c r="C17" s="16" t="str">
        <x:v>ACTIVE</x:v>
      </x:c>
      <x:c r="D17" s="16" t="str">
        <x:v>CELL-10</x:v>
      </x:c>
      <x:c r="E17" s="36"/>
      <x:c r="F17" s="36"/>
      <x:c r="G17" s="36"/>
      <x:c r="H17" s="36"/>
      <x:c r="I17" s="36"/>
      <x:c r="J17" s="16" t="str">
        <x:f>IF(COUNTA(E17:I17)&lt;5,"OPEN",IF(AND(H17="ACCEPTED",I17="SEALED"),"ACCEPTED","DENY"))</x:f>
        <x:v>OPEN</x:v>
      </x:c>
    </x:row>
    <x:row r="18">
      <x:c r="A18" s="16" t="str">
        <x:v>MOD-ACT-11</x:v>
      </x:c>
      <x:c r="B18" s="16" t="str">
        <x:v>BL-A</x:v>
      </x:c>
      <x:c r="C18" s="16" t="str">
        <x:v>ACTIVE</x:v>
      </x:c>
      <x:c r="D18" s="16" t="str">
        <x:v>CELL-11</x:v>
      </x:c>
      <x:c r="E18" s="36"/>
      <x:c r="F18" s="36"/>
      <x:c r="G18" s="36"/>
      <x:c r="H18" s="36"/>
      <x:c r="I18" s="36"/>
      <x:c r="J18" s="16" t="str">
        <x:f>IF(COUNTA(E18:I18)&lt;5,"OPEN",IF(AND(H18="ACCEPTED",I18="SEALED"),"ACCEPTED","DENY"))</x:f>
        <x:v>OPEN</x:v>
      </x:c>
    </x:row>
    <x:row r="19">
      <x:c r="A19" s="16" t="str">
        <x:v>MOD-ACT-12</x:v>
      </x:c>
      <x:c r="B19" s="16" t="str">
        <x:v>BL-B</x:v>
      </x:c>
      <x:c r="C19" s="16" t="str">
        <x:v>ACTIVE</x:v>
      </x:c>
      <x:c r="D19" s="16" t="str">
        <x:v>CELL-12</x:v>
      </x:c>
      <x:c r="E19" s="36"/>
      <x:c r="F19" s="36"/>
      <x:c r="G19" s="36"/>
      <x:c r="H19" s="36"/>
      <x:c r="I19" s="36"/>
      <x:c r="J19" s="16" t="str">
        <x:f>IF(COUNTA(E19:I19)&lt;5,"OPEN",IF(AND(H19="ACCEPTED",I19="SEALED"),"ACCEPTED","DENY"))</x:f>
        <x:v>OPEN</x:v>
      </x:c>
    </x:row>
    <x:row r="20">
      <x:c r="A20" s="16" t="str">
        <x:v>MOD-SPR-01</x:v>
      </x:c>
      <x:c r="B20" s="16" t="str">
        <x:v>BL-A</x:v>
      </x:c>
      <x:c r="C20" s="16" t="str">
        <x:v>OPERATIONAL SPARE</x:v>
      </x:c>
      <x:c r="D20" s="16"/>
      <x:c r="E20" s="36"/>
      <x:c r="F20" s="36"/>
      <x:c r="G20" s="36"/>
      <x:c r="H20" s="36"/>
      <x:c r="I20" s="36"/>
      <x:c r="J20" s="16" t="str">
        <x:f>IF(COUNTA(E20:I20)&lt;5,"OPEN",IF(AND(H20="ACCEPTED",I20="SEALED"),"ACCEPTED","DENY"))</x:f>
        <x:v>OPEN</x:v>
      </x:c>
    </x:row>
    <x:row r="21">
      <x:c r="A21" s="16" t="str">
        <x:v>MOD-SPR-02</x:v>
      </x:c>
      <x:c r="B21" s="16" t="str">
        <x:v>BL-A</x:v>
      </x:c>
      <x:c r="C21" s="16" t="str">
        <x:v>OPERATIONAL SPARE</x:v>
      </x:c>
      <x:c r="D21" s="16"/>
      <x:c r="E21" s="36"/>
      <x:c r="F21" s="36"/>
      <x:c r="G21" s="36"/>
      <x:c r="H21" s="36"/>
      <x:c r="I21" s="36"/>
      <x:c r="J21" s="16" t="str">
        <x:f>IF(COUNTA(E21:I21)&lt;5,"OPEN",IF(AND(H21="ACCEPTED",I21="SEALED"),"ACCEPTED","DENY"))</x:f>
        <x:v>OPEN</x:v>
      </x:c>
    </x:row>
    <x:row r="22">
      <x:c r="A22" s="16" t="str">
        <x:v>MOD-SPR-03</x:v>
      </x:c>
      <x:c r="B22" s="16" t="str">
        <x:v>BL-B</x:v>
      </x:c>
      <x:c r="C22" s="16" t="str">
        <x:v>OPERATIONAL SPARE</x:v>
      </x:c>
      <x:c r="D22" s="16"/>
      <x:c r="E22" s="36"/>
      <x:c r="F22" s="36"/>
      <x:c r="G22" s="36"/>
      <x:c r="H22" s="36"/>
      <x:c r="I22" s="36"/>
      <x:c r="J22" s="16" t="str">
        <x:f>IF(COUNTA(E22:I22)&lt;5,"OPEN",IF(AND(H22="ACCEPTED",I22="SEALED"),"ACCEPTED","DENY"))</x:f>
        <x:v>OPEN</x:v>
      </x:c>
    </x:row>
    <x:row r="23">
      <x:c r="A23" s="16" t="str">
        <x:v>MOD-SPR-04</x:v>
      </x:c>
      <x:c r="B23" s="16" t="str">
        <x:v>BL-B</x:v>
      </x:c>
      <x:c r="C23" s="16" t="str">
        <x:v>OPERATIONAL SPARE</x:v>
      </x:c>
      <x:c r="D23" s="16"/>
      <x:c r="E23" s="36"/>
      <x:c r="F23" s="36"/>
      <x:c r="G23" s="36"/>
      <x:c r="H23" s="36"/>
      <x:c r="I23" s="36"/>
      <x:c r="J23" s="16" t="str">
        <x:f>IF(COUNTA(E23:I23)&lt;5,"OPEN",IF(AND(H23="ACCEPTED",I23="SEALED"),"ACCEPTED","DENY"))</x:f>
        <x:v>OPEN</x:v>
      </x:c>
    </x:row>
    <x:row r="24">
      <x:c r="A24" s="16" t="str">
        <x:v>MOD-REF-A</x:v>
      </x:c>
      <x:c r="B24" s="16" t="str">
        <x:v>BL-A</x:v>
      </x:c>
      <x:c r="C24" s="16" t="str">
        <x:v>FORENSIC</x:v>
      </x:c>
      <x:c r="D24" s="16"/>
      <x:c r="E24" s="36"/>
      <x:c r="F24" s="36"/>
      <x:c r="G24" s="36"/>
      <x:c r="H24" s="36"/>
      <x:c r="I24" s="36"/>
      <x:c r="J24" s="16" t="str">
        <x:f>IF(COUNTA(E24:I24)&lt;5,"OPEN",IF(AND(H24="ACCEPTED",I24="SEALED"),"ACCEPTED","DENY"))</x:f>
        <x:v>OPEN</x:v>
      </x:c>
    </x:row>
    <x:row r="25">
      <x:c r="A25" s="16" t="str">
        <x:v>MOD-REF-B</x:v>
      </x:c>
      <x:c r="B25" s="16" t="str">
        <x:v>BL-B</x:v>
      </x:c>
      <x:c r="C25" s="16" t="str">
        <x:v>FORENSIC</x:v>
      </x:c>
      <x:c r="D25" s="16"/>
      <x:c r="E25" s="36"/>
      <x:c r="F25" s="36"/>
      <x:c r="G25" s="36"/>
      <x:c r="H25" s="36"/>
      <x:c r="I25" s="36"/>
      <x:c r="J25" s="16" t="str">
        <x:f>IF(COUNTA(E25:I25)&lt;5,"OPEN",IF(AND(H25="ACCEPTED",I25="SEALED"),"ACCEPTED","DENY"))</x:f>
        <x:v>OPEN</x:v>
      </x:c>
    </x:row>
  </x:sheetData>
  <x:mergeCells>
    <x:mergeCell ref="A2:J2"/>
  </x:mergeCells>
  <x:conditionalFormatting sqref="J8:J25">
    <x:cfRule type="containsText" dxfId="10" priority="1" operator="containsText" text="DENY"/>
    <x:cfRule type="containsText" dxfId="11" priority="2" operator="containsText" text="ADVERSE"/>
    <x:cfRule type="containsText" dxfId="12" priority="3" operator="containsText" text="FAIL"/>
    <x:cfRule type="containsText" dxfId="13" priority="4" operator="containsText" text="REQUIRED"/>
    <x:cfRule type="containsText" dxfId="14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92928b3602cd4aff"/>
  </x:tableParts>
</x:worksheet>
</file>

<file path=xl/worksheets/sheet6.xml><?xml version="1.0" encoding="utf-8"?>
<x:worksheet xmlns:x="http://schemas.openxmlformats.org/spreadsheetml/2006/main">
  <x:sheetPr>
    <x:tabColor rgb="FFDDEBF7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4" hidden="0" customWidth="1"/>
    <x:col min="2" max="2" width="10" hidden="0" customWidth="1"/>
    <x:col min="3" max="3" width="11" hidden="0" customWidth="1"/>
    <x:col min="4" max="4" width="14" hidden="0" customWidth="1"/>
    <x:col min="5" max="5" width="11" hidden="0" customWidth="1"/>
    <x:col min="6" max="6" width="19" hidden="0" customWidth="1"/>
    <x:col min="7" max="7" width="19" hidden="0" customWidth="1"/>
    <x:col min="8" max="8" width="18" hidden="0" customWidth="1"/>
    <x:col min="9" max="9" width="15" hidden="0" customWidth="1"/>
    <x:col min="10" max="10" width="17" hidden="0" customWidth="1"/>
    <x:col min="11" max="11" width="15" hidden="0" customWidth="1"/>
    <x:col min="12" max="12" width="24" hidden="0" customWidth="1"/>
    <x:col min="13" max="13" width="18" hidden="0" customWidth="1"/>
  </x:cols>
  <x:sheetData>
    <x:row r="2" ht="26" customHeight="1">
      <x:c r="A2" s="2" t="str">
        <x:v>Ordered module-exchange qualification register</x:v>
      </x:c>
      <x:c r="B2" s="2" t="str">
        <x:v>Ordered module-exchange qualification register</x:v>
      </x:c>
      <x:c r="C2" s="2" t="str">
        <x:v>Ordered module-exchange qualification register</x:v>
      </x:c>
      <x:c r="D2" s="2" t="str">
        <x:v>Ordered module-exchange qualification register</x:v>
      </x:c>
      <x:c r="E2" s="2" t="str">
        <x:v>Ordered module-exchange qualification register</x:v>
      </x:c>
      <x:c r="F2" s="2" t="str">
        <x:v>Ordered module-exchange qualification register</x:v>
      </x:c>
      <x:c r="G2" s="2" t="str">
        <x:v>Ordered module-exchange qualification register</x:v>
      </x:c>
      <x:c r="H2" s="2" t="str">
        <x:v>Ordered module-exchange qualification register</x:v>
      </x:c>
      <x:c r="I2" s="2" t="str">
        <x:v>Ordered module-exchange qualification register</x:v>
      </x:c>
      <x:c r="J2" s="2" t="str">
        <x:v>Ordered module-exchange qualification register</x:v>
      </x:c>
      <x:c r="K2" s="2" t="str">
        <x:v>Ordered module-exchange qualification register</x:v>
      </x:c>
      <x:c r="L2" s="2" t="str">
        <x:v>Ordered module-exchange qualification register</x:v>
      </x:c>
      <x:c r="M2" s="2" t="str">
        <x:v>Ordered module-exchange qualification register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</x:row>
    <x:row r="5">
      <x:c r="A5" s="52" t="str">
        <x:v>All observed fields remain blank. Each rig executes both directions across six challenge families.</x:v>
      </x:c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</x:row>
    <x:row r="6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</x:row>
    <x:row r="7">
      <x:c r="A7" s="32" t="str">
        <x:v>Trial ID</x:v>
      </x:c>
      <x:c r="B7" s="33" t="str">
        <x:v>Rig</x:v>
      </x:c>
      <x:c r="C7" s="33" t="str">
        <x:v>Campus</x:v>
      </x:c>
      <x:c r="D7" s="33" t="str">
        <x:v>Direction</x:v>
      </x:c>
      <x:c r="E7" s="33" t="str">
        <x:v>Family</x:v>
      </x:c>
      <x:c r="F7" s="33" t="str">
        <x:v>Outgoing module</x:v>
      </x:c>
      <x:c r="G7" s="33" t="str">
        <x:v>Incoming module</x:v>
      </x:c>
      <x:c r="H7" s="33" t="str">
        <x:v>Geometry state</x:v>
      </x:c>
      <x:c r="I7" s="33" t="str">
        <x:v>Leak state</x:v>
      </x:c>
      <x:c r="J7" s="33" t="str">
        <x:v>Cross-talk ratio</x:v>
      </x:c>
      <x:c r="K7" s="33" t="str">
        <x:v>Safe state</x:v>
      </x:c>
      <x:c r="L7" s="33" t="str">
        <x:v>Two originals and replay</x:v>
      </x:c>
      <x:c r="M7" s="34" t="str">
        <x:v>Disposition</x:v>
      </x:c>
    </x:row>
    <x:row r="8">
      <x:c r="A8" s="16" t="str">
        <x:v>MXT-001</x:v>
      </x:c>
      <x:c r="B8" s="16" t="str">
        <x:v>S0</x:v>
      </x:c>
      <x:c r="C8" s="16" t="str">
        <x:v>C-1</x:v>
      </x:c>
      <x:c r="D8" s="16" t="str">
        <x:v>A-to-B</x:v>
      </x:c>
      <x:c r="E8" s="16" t="str">
        <x:v>MX-1</x:v>
      </x:c>
      <x:c r="F8" s="16" t="str">
        <x:v>MOD-ACT-01</x:v>
      </x:c>
      <x:c r="G8" s="16" t="str">
        <x:v>MOD-ACT-02</x:v>
      </x:c>
      <x:c r="H8" s="36"/>
      <x:c r="I8" s="36"/>
      <x:c r="J8" s="43"/>
      <x:c r="K8" s="36"/>
      <x:c r="L8" s="36"/>
      <x:c r="M8" s="16" t="str">
        <x:f>IF(COUNTA(H8:L8)&lt;5,"OPEN",IF(AND(H8="PASS",I8="PASS",J8&gt;=0,J8&lt;='Assumptions'!$B$45,K8="PASS",L8="PASS"),"PASS","VALID-ADVERSE"))</x:f>
        <x:v>OPEN</x:v>
      </x:c>
    </x:row>
    <x:row r="9">
      <x:c r="A9" s="16" t="str">
        <x:v>MXT-002</x:v>
      </x:c>
      <x:c r="B9" s="16" t="str">
        <x:v>S0</x:v>
      </x:c>
      <x:c r="C9" s="16" t="str">
        <x:v>C-1</x:v>
      </x:c>
      <x:c r="D9" s="16" t="str">
        <x:v>A-to-B</x:v>
      </x:c>
      <x:c r="E9" s="16" t="str">
        <x:v>MX-2</x:v>
      </x:c>
      <x:c r="F9" s="16" t="str">
        <x:v>MOD-ACT-01</x:v>
      </x:c>
      <x:c r="G9" s="16" t="str">
        <x:v>MOD-ACT-02</x:v>
      </x:c>
      <x:c r="H9" s="36"/>
      <x:c r="I9" s="36"/>
      <x:c r="J9" s="43"/>
      <x:c r="K9" s="36"/>
      <x:c r="L9" s="36"/>
      <x:c r="M9" s="16" t="str">
        <x:f>IF(COUNTA(H9:L9)&lt;5,"OPEN",IF(AND(H9="PASS",I9="PASS",J9&gt;=0,J9&lt;='Assumptions'!$B$45,K9="PASS",L9="PASS"),"PASS","VALID-ADVERSE"))</x:f>
        <x:v>OPEN</x:v>
      </x:c>
    </x:row>
    <x:row r="10">
      <x:c r="A10" s="16" t="str">
        <x:v>MXT-003</x:v>
      </x:c>
      <x:c r="B10" s="16" t="str">
        <x:v>S0</x:v>
      </x:c>
      <x:c r="C10" s="16" t="str">
        <x:v>C-1</x:v>
      </x:c>
      <x:c r="D10" s="16" t="str">
        <x:v>A-to-B</x:v>
      </x:c>
      <x:c r="E10" s="16" t="str">
        <x:v>MX-3</x:v>
      </x:c>
      <x:c r="F10" s="16" t="str">
        <x:v>MOD-ACT-01</x:v>
      </x:c>
      <x:c r="G10" s="16" t="str">
        <x:v>MOD-ACT-02</x:v>
      </x:c>
      <x:c r="H10" s="36"/>
      <x:c r="I10" s="36"/>
      <x:c r="J10" s="43"/>
      <x:c r="K10" s="36"/>
      <x:c r="L10" s="36"/>
      <x:c r="M10" s="16" t="str">
        <x:f>IF(COUNTA(H10:L10)&lt;5,"OPEN",IF(AND(H10="PASS",I10="PASS",J10&gt;=0,J10&lt;='Assumptions'!$B$45,K10="PASS",L10="PASS"),"PASS","VALID-ADVERSE"))</x:f>
        <x:v>OPEN</x:v>
      </x:c>
    </x:row>
    <x:row r="11">
      <x:c r="A11" s="16" t="str">
        <x:v>MXT-004</x:v>
      </x:c>
      <x:c r="B11" s="16" t="str">
        <x:v>S0</x:v>
      </x:c>
      <x:c r="C11" s="16" t="str">
        <x:v>C-1</x:v>
      </x:c>
      <x:c r="D11" s="16" t="str">
        <x:v>A-to-B</x:v>
      </x:c>
      <x:c r="E11" s="16" t="str">
        <x:v>MX-4</x:v>
      </x:c>
      <x:c r="F11" s="16" t="str">
        <x:v>MOD-ACT-01</x:v>
      </x:c>
      <x:c r="G11" s="16" t="str">
        <x:v>MOD-ACT-02</x:v>
      </x:c>
      <x:c r="H11" s="36"/>
      <x:c r="I11" s="36"/>
      <x:c r="J11" s="43"/>
      <x:c r="K11" s="36"/>
      <x:c r="L11" s="36"/>
      <x:c r="M11" s="16" t="str">
        <x:f>IF(COUNTA(H11:L11)&lt;5,"OPEN",IF(AND(H11="PASS",I11="PASS",J11&gt;=0,J11&lt;='Assumptions'!$B$45,K11="PASS",L11="PASS"),"PASS","VALID-ADVERSE"))</x:f>
        <x:v>OPEN</x:v>
      </x:c>
    </x:row>
    <x:row r="12">
      <x:c r="A12" s="16" t="str">
        <x:v>MXT-005</x:v>
      </x:c>
      <x:c r="B12" s="16" t="str">
        <x:v>S0</x:v>
      </x:c>
      <x:c r="C12" s="16" t="str">
        <x:v>C-1</x:v>
      </x:c>
      <x:c r="D12" s="16" t="str">
        <x:v>A-to-B</x:v>
      </x:c>
      <x:c r="E12" s="16" t="str">
        <x:v>MX-5</x:v>
      </x:c>
      <x:c r="F12" s="16" t="str">
        <x:v>MOD-ACT-01</x:v>
      </x:c>
      <x:c r="G12" s="16" t="str">
        <x:v>MOD-ACT-02</x:v>
      </x:c>
      <x:c r="H12" s="36"/>
      <x:c r="I12" s="36"/>
      <x:c r="J12" s="43"/>
      <x:c r="K12" s="36"/>
      <x:c r="L12" s="36"/>
      <x:c r="M12" s="16" t="str">
        <x:f>IF(COUNTA(H12:L12)&lt;5,"OPEN",IF(AND(H12="PASS",I12="PASS",J12&gt;=0,J12&lt;='Assumptions'!$B$45,K12="PASS",L12="PASS"),"PASS","VALID-ADVERSE"))</x:f>
        <x:v>OPEN</x:v>
      </x:c>
    </x:row>
    <x:row r="13">
      <x:c r="A13" s="16" t="str">
        <x:v>MXT-006</x:v>
      </x:c>
      <x:c r="B13" s="16" t="str">
        <x:v>S0</x:v>
      </x:c>
      <x:c r="C13" s="16" t="str">
        <x:v>C-1</x:v>
      </x:c>
      <x:c r="D13" s="16" t="str">
        <x:v>A-to-B</x:v>
      </x:c>
      <x:c r="E13" s="16" t="str">
        <x:v>MX-6</x:v>
      </x:c>
      <x:c r="F13" s="16" t="str">
        <x:v>MOD-ACT-01</x:v>
      </x:c>
      <x:c r="G13" s="16" t="str">
        <x:v>MOD-ACT-02</x:v>
      </x:c>
      <x:c r="H13" s="36"/>
      <x:c r="I13" s="36"/>
      <x:c r="J13" s="43"/>
      <x:c r="K13" s="36"/>
      <x:c r="L13" s="36"/>
      <x:c r="M13" s="16" t="str">
        <x:f>IF(COUNTA(H13:L13)&lt;5,"OPEN",IF(AND(H13="PASS",I13="PASS",J13&gt;=0,J13&lt;='Assumptions'!$B$45,K13="PASS",L13="PASS"),"PASS","VALID-ADVERSE"))</x:f>
        <x:v>OPEN</x:v>
      </x:c>
    </x:row>
    <x:row r="14">
      <x:c r="A14" s="16" t="str">
        <x:v>MXT-007</x:v>
      </x:c>
      <x:c r="B14" s="16" t="str">
        <x:v>S0</x:v>
      </x:c>
      <x:c r="C14" s="16" t="str">
        <x:v>C-1</x:v>
      </x:c>
      <x:c r="D14" s="16" t="str">
        <x:v>B-to-A</x:v>
      </x:c>
      <x:c r="E14" s="16" t="str">
        <x:v>MX-1</x:v>
      </x:c>
      <x:c r="F14" s="16" t="str">
        <x:v>MOD-ACT-02</x:v>
      </x:c>
      <x:c r="G14" s="16" t="str">
        <x:v>MOD-ACT-01</x:v>
      </x:c>
      <x:c r="H14" s="36"/>
      <x:c r="I14" s="36"/>
      <x:c r="J14" s="43"/>
      <x:c r="K14" s="36"/>
      <x:c r="L14" s="36"/>
      <x:c r="M14" s="16" t="str">
        <x:f>IF(COUNTA(H14:L14)&lt;5,"OPEN",IF(AND(H14="PASS",I14="PASS",J14&gt;=0,J14&lt;='Assumptions'!$B$45,K14="PASS",L14="PASS"),"PASS","VALID-ADVERSE"))</x:f>
        <x:v>OPEN</x:v>
      </x:c>
    </x:row>
    <x:row r="15">
      <x:c r="A15" s="16" t="str">
        <x:v>MXT-008</x:v>
      </x:c>
      <x:c r="B15" s="16" t="str">
        <x:v>S0</x:v>
      </x:c>
      <x:c r="C15" s="16" t="str">
        <x:v>C-1</x:v>
      </x:c>
      <x:c r="D15" s="16" t="str">
        <x:v>B-to-A</x:v>
      </x:c>
      <x:c r="E15" s="16" t="str">
        <x:v>MX-2</x:v>
      </x:c>
      <x:c r="F15" s="16" t="str">
        <x:v>MOD-ACT-02</x:v>
      </x:c>
      <x:c r="G15" s="16" t="str">
        <x:v>MOD-ACT-01</x:v>
      </x:c>
      <x:c r="H15" s="36"/>
      <x:c r="I15" s="36"/>
      <x:c r="J15" s="43"/>
      <x:c r="K15" s="36"/>
      <x:c r="L15" s="36"/>
      <x:c r="M15" s="16" t="str">
        <x:f>IF(COUNTA(H15:L15)&lt;5,"OPEN",IF(AND(H15="PASS",I15="PASS",J15&gt;=0,J15&lt;='Assumptions'!$B$45,K15="PASS",L15="PASS"),"PASS","VALID-ADVERSE"))</x:f>
        <x:v>OPEN</x:v>
      </x:c>
    </x:row>
    <x:row r="16">
      <x:c r="A16" s="16" t="str">
        <x:v>MXT-009</x:v>
      </x:c>
      <x:c r="B16" s="16" t="str">
        <x:v>S0</x:v>
      </x:c>
      <x:c r="C16" s="16" t="str">
        <x:v>C-1</x:v>
      </x:c>
      <x:c r="D16" s="16" t="str">
        <x:v>B-to-A</x:v>
      </x:c>
      <x:c r="E16" s="16" t="str">
        <x:v>MX-3</x:v>
      </x:c>
      <x:c r="F16" s="16" t="str">
        <x:v>MOD-ACT-02</x:v>
      </x:c>
      <x:c r="G16" s="16" t="str">
        <x:v>MOD-ACT-01</x:v>
      </x:c>
      <x:c r="H16" s="36"/>
      <x:c r="I16" s="36"/>
      <x:c r="J16" s="43"/>
      <x:c r="K16" s="36"/>
      <x:c r="L16" s="36"/>
      <x:c r="M16" s="16" t="str">
        <x:f>IF(COUNTA(H16:L16)&lt;5,"OPEN",IF(AND(H16="PASS",I16="PASS",J16&gt;=0,J16&lt;='Assumptions'!$B$45,K16="PASS",L16="PASS"),"PASS","VALID-ADVERSE"))</x:f>
        <x:v>OPEN</x:v>
      </x:c>
    </x:row>
    <x:row r="17">
      <x:c r="A17" s="16" t="str">
        <x:v>MXT-010</x:v>
      </x:c>
      <x:c r="B17" s="16" t="str">
        <x:v>S0</x:v>
      </x:c>
      <x:c r="C17" s="16" t="str">
        <x:v>C-1</x:v>
      </x:c>
      <x:c r="D17" s="16" t="str">
        <x:v>B-to-A</x:v>
      </x:c>
      <x:c r="E17" s="16" t="str">
        <x:v>MX-4</x:v>
      </x:c>
      <x:c r="F17" s="16" t="str">
        <x:v>MOD-ACT-02</x:v>
      </x:c>
      <x:c r="G17" s="16" t="str">
        <x:v>MOD-ACT-01</x:v>
      </x:c>
      <x:c r="H17" s="36"/>
      <x:c r="I17" s="36"/>
      <x:c r="J17" s="43"/>
      <x:c r="K17" s="36"/>
      <x:c r="L17" s="36"/>
      <x:c r="M17" s="16" t="str">
        <x:f>IF(COUNTA(H17:L17)&lt;5,"OPEN",IF(AND(H17="PASS",I17="PASS",J17&gt;=0,J17&lt;='Assumptions'!$B$45,K17="PASS",L17="PASS"),"PASS","VALID-ADVERSE"))</x:f>
        <x:v>OPEN</x:v>
      </x:c>
    </x:row>
    <x:row r="18">
      <x:c r="A18" s="16" t="str">
        <x:v>MXT-011</x:v>
      </x:c>
      <x:c r="B18" s="16" t="str">
        <x:v>S0</x:v>
      </x:c>
      <x:c r="C18" s="16" t="str">
        <x:v>C-1</x:v>
      </x:c>
      <x:c r="D18" s="16" t="str">
        <x:v>B-to-A</x:v>
      </x:c>
      <x:c r="E18" s="16" t="str">
        <x:v>MX-5</x:v>
      </x:c>
      <x:c r="F18" s="16" t="str">
        <x:v>MOD-ACT-02</x:v>
      </x:c>
      <x:c r="G18" s="16" t="str">
        <x:v>MOD-ACT-01</x:v>
      </x:c>
      <x:c r="H18" s="36"/>
      <x:c r="I18" s="36"/>
      <x:c r="J18" s="43"/>
      <x:c r="K18" s="36"/>
      <x:c r="L18" s="36"/>
      <x:c r="M18" s="16" t="str">
        <x:f>IF(COUNTA(H18:L18)&lt;5,"OPEN",IF(AND(H18="PASS",I18="PASS",J18&gt;=0,J18&lt;='Assumptions'!$B$45,K18="PASS",L18="PASS"),"PASS","VALID-ADVERSE"))</x:f>
        <x:v>OPEN</x:v>
      </x:c>
    </x:row>
    <x:row r="19">
      <x:c r="A19" s="16" t="str">
        <x:v>MXT-012</x:v>
      </x:c>
      <x:c r="B19" s="16" t="str">
        <x:v>S0</x:v>
      </x:c>
      <x:c r="C19" s="16" t="str">
        <x:v>C-1</x:v>
      </x:c>
      <x:c r="D19" s="16" t="str">
        <x:v>B-to-A</x:v>
      </x:c>
      <x:c r="E19" s="16" t="str">
        <x:v>MX-6</x:v>
      </x:c>
      <x:c r="F19" s="16" t="str">
        <x:v>MOD-ACT-02</x:v>
      </x:c>
      <x:c r="G19" s="16" t="str">
        <x:v>MOD-ACT-01</x:v>
      </x:c>
      <x:c r="H19" s="36"/>
      <x:c r="I19" s="36"/>
      <x:c r="J19" s="43"/>
      <x:c r="K19" s="36"/>
      <x:c r="L19" s="36"/>
      <x:c r="M19" s="16" t="str">
        <x:f>IF(COUNTA(H19:L19)&lt;5,"OPEN",IF(AND(H19="PASS",I19="PASS",J19&gt;=0,J19&lt;='Assumptions'!$B$45,K19="PASS",L19="PASS"),"PASS","VALID-ADVERSE"))</x:f>
        <x:v>OPEN</x:v>
      </x:c>
    </x:row>
    <x:row r="20">
      <x:c r="A20" s="16" t="str">
        <x:v>MXT-013</x:v>
      </x:c>
      <x:c r="B20" s="16" t="str">
        <x:v>S1</x:v>
      </x:c>
      <x:c r="C20" s="16" t="str">
        <x:v>C-1</x:v>
      </x:c>
      <x:c r="D20" s="16" t="str">
        <x:v>A-to-B</x:v>
      </x:c>
      <x:c r="E20" s="16" t="str">
        <x:v>MX-1</x:v>
      </x:c>
      <x:c r="F20" s="16" t="str">
        <x:v>MOD-ACT-03</x:v>
      </x:c>
      <x:c r="G20" s="16" t="str">
        <x:v>MOD-ACT-04</x:v>
      </x:c>
      <x:c r="H20" s="36"/>
      <x:c r="I20" s="36"/>
      <x:c r="J20" s="43"/>
      <x:c r="K20" s="36"/>
      <x:c r="L20" s="36"/>
      <x:c r="M20" s="16" t="str">
        <x:f>IF(COUNTA(H20:L20)&lt;5,"OPEN",IF(AND(H20="PASS",I20="PASS",J20&gt;=0,J20&lt;='Assumptions'!$B$45,K20="PASS",L20="PASS"),"PASS","VALID-ADVERSE"))</x:f>
        <x:v>OPEN</x:v>
      </x:c>
    </x:row>
    <x:row r="21">
      <x:c r="A21" s="16" t="str">
        <x:v>MXT-014</x:v>
      </x:c>
      <x:c r="B21" s="16" t="str">
        <x:v>S1</x:v>
      </x:c>
      <x:c r="C21" s="16" t="str">
        <x:v>C-1</x:v>
      </x:c>
      <x:c r="D21" s="16" t="str">
        <x:v>A-to-B</x:v>
      </x:c>
      <x:c r="E21" s="16" t="str">
        <x:v>MX-2</x:v>
      </x:c>
      <x:c r="F21" s="16" t="str">
        <x:v>MOD-ACT-03</x:v>
      </x:c>
      <x:c r="G21" s="16" t="str">
        <x:v>MOD-ACT-04</x:v>
      </x:c>
      <x:c r="H21" s="36"/>
      <x:c r="I21" s="36"/>
      <x:c r="J21" s="43"/>
      <x:c r="K21" s="36"/>
      <x:c r="L21" s="36"/>
      <x:c r="M21" s="16" t="str">
        <x:f>IF(COUNTA(H21:L21)&lt;5,"OPEN",IF(AND(H21="PASS",I21="PASS",J21&gt;=0,J21&lt;='Assumptions'!$B$45,K21="PASS",L21="PASS"),"PASS","VALID-ADVERSE"))</x:f>
        <x:v>OPEN</x:v>
      </x:c>
    </x:row>
    <x:row r="22">
      <x:c r="A22" s="16" t="str">
        <x:v>MXT-015</x:v>
      </x:c>
      <x:c r="B22" s="16" t="str">
        <x:v>S1</x:v>
      </x:c>
      <x:c r="C22" s="16" t="str">
        <x:v>C-1</x:v>
      </x:c>
      <x:c r="D22" s="16" t="str">
        <x:v>A-to-B</x:v>
      </x:c>
      <x:c r="E22" s="16" t="str">
        <x:v>MX-3</x:v>
      </x:c>
      <x:c r="F22" s="16" t="str">
        <x:v>MOD-ACT-03</x:v>
      </x:c>
      <x:c r="G22" s="16" t="str">
        <x:v>MOD-ACT-04</x:v>
      </x:c>
      <x:c r="H22" s="36"/>
      <x:c r="I22" s="36"/>
      <x:c r="J22" s="43"/>
      <x:c r="K22" s="36"/>
      <x:c r="L22" s="36"/>
      <x:c r="M22" s="16" t="str">
        <x:f>IF(COUNTA(H22:L22)&lt;5,"OPEN",IF(AND(H22="PASS",I22="PASS",J22&gt;=0,J22&lt;='Assumptions'!$B$45,K22="PASS",L22="PASS"),"PASS","VALID-ADVERSE"))</x:f>
        <x:v>OPEN</x:v>
      </x:c>
    </x:row>
    <x:row r="23">
      <x:c r="A23" s="16" t="str">
        <x:v>MXT-016</x:v>
      </x:c>
      <x:c r="B23" s="16" t="str">
        <x:v>S1</x:v>
      </x:c>
      <x:c r="C23" s="16" t="str">
        <x:v>C-1</x:v>
      </x:c>
      <x:c r="D23" s="16" t="str">
        <x:v>A-to-B</x:v>
      </x:c>
      <x:c r="E23" s="16" t="str">
        <x:v>MX-4</x:v>
      </x:c>
      <x:c r="F23" s="16" t="str">
        <x:v>MOD-ACT-03</x:v>
      </x:c>
      <x:c r="G23" s="16" t="str">
        <x:v>MOD-ACT-04</x:v>
      </x:c>
      <x:c r="H23" s="36"/>
      <x:c r="I23" s="36"/>
      <x:c r="J23" s="43"/>
      <x:c r="K23" s="36"/>
      <x:c r="L23" s="36"/>
      <x:c r="M23" s="16" t="str">
        <x:f>IF(COUNTA(H23:L23)&lt;5,"OPEN",IF(AND(H23="PASS",I23="PASS",J23&gt;=0,J23&lt;='Assumptions'!$B$45,K23="PASS",L23="PASS"),"PASS","VALID-ADVERSE"))</x:f>
        <x:v>OPEN</x:v>
      </x:c>
    </x:row>
    <x:row r="24">
      <x:c r="A24" s="16" t="str">
        <x:v>MXT-017</x:v>
      </x:c>
      <x:c r="B24" s="16" t="str">
        <x:v>S1</x:v>
      </x:c>
      <x:c r="C24" s="16" t="str">
        <x:v>C-1</x:v>
      </x:c>
      <x:c r="D24" s="16" t="str">
        <x:v>A-to-B</x:v>
      </x:c>
      <x:c r="E24" s="16" t="str">
        <x:v>MX-5</x:v>
      </x:c>
      <x:c r="F24" s="16" t="str">
        <x:v>MOD-ACT-03</x:v>
      </x:c>
      <x:c r="G24" s="16" t="str">
        <x:v>MOD-ACT-04</x:v>
      </x:c>
      <x:c r="H24" s="36"/>
      <x:c r="I24" s="36"/>
      <x:c r="J24" s="43"/>
      <x:c r="K24" s="36"/>
      <x:c r="L24" s="36"/>
      <x:c r="M24" s="16" t="str">
        <x:f>IF(COUNTA(H24:L24)&lt;5,"OPEN",IF(AND(H24="PASS",I24="PASS",J24&gt;=0,J24&lt;='Assumptions'!$B$45,K24="PASS",L24="PASS"),"PASS","VALID-ADVERSE"))</x:f>
        <x:v>OPEN</x:v>
      </x:c>
    </x:row>
    <x:row r="25">
      <x:c r="A25" s="16" t="str">
        <x:v>MXT-018</x:v>
      </x:c>
      <x:c r="B25" s="16" t="str">
        <x:v>S1</x:v>
      </x:c>
      <x:c r="C25" s="16" t="str">
        <x:v>C-1</x:v>
      </x:c>
      <x:c r="D25" s="16" t="str">
        <x:v>A-to-B</x:v>
      </x:c>
      <x:c r="E25" s="16" t="str">
        <x:v>MX-6</x:v>
      </x:c>
      <x:c r="F25" s="16" t="str">
        <x:v>MOD-ACT-03</x:v>
      </x:c>
      <x:c r="G25" s="16" t="str">
        <x:v>MOD-ACT-04</x:v>
      </x:c>
      <x:c r="H25" s="36"/>
      <x:c r="I25" s="36"/>
      <x:c r="J25" s="43"/>
      <x:c r="K25" s="36"/>
      <x:c r="L25" s="36"/>
      <x:c r="M25" s="16" t="str">
        <x:f>IF(COUNTA(H25:L25)&lt;5,"OPEN",IF(AND(H25="PASS",I25="PASS",J25&gt;=0,J25&lt;='Assumptions'!$B$45,K25="PASS",L25="PASS"),"PASS","VALID-ADVERSE"))</x:f>
        <x:v>OPEN</x:v>
      </x:c>
    </x:row>
    <x:row r="26">
      <x:c r="A26" s="16" t="str">
        <x:v>MXT-019</x:v>
      </x:c>
      <x:c r="B26" s="16" t="str">
        <x:v>S1</x:v>
      </x:c>
      <x:c r="C26" s="16" t="str">
        <x:v>C-1</x:v>
      </x:c>
      <x:c r="D26" s="16" t="str">
        <x:v>B-to-A</x:v>
      </x:c>
      <x:c r="E26" s="16" t="str">
        <x:v>MX-1</x:v>
      </x:c>
      <x:c r="F26" s="16" t="str">
        <x:v>MOD-ACT-04</x:v>
      </x:c>
      <x:c r="G26" s="16" t="str">
        <x:v>MOD-ACT-03</x:v>
      </x:c>
      <x:c r="H26" s="36"/>
      <x:c r="I26" s="36"/>
      <x:c r="J26" s="43"/>
      <x:c r="K26" s="36"/>
      <x:c r="L26" s="36"/>
      <x:c r="M26" s="16" t="str">
        <x:f>IF(COUNTA(H26:L26)&lt;5,"OPEN",IF(AND(H26="PASS",I26="PASS",J26&gt;=0,J26&lt;='Assumptions'!$B$45,K26="PASS",L26="PASS"),"PASS","VALID-ADVERSE"))</x:f>
        <x:v>OPEN</x:v>
      </x:c>
    </x:row>
    <x:row r="27">
      <x:c r="A27" s="16" t="str">
        <x:v>MXT-020</x:v>
      </x:c>
      <x:c r="B27" s="16" t="str">
        <x:v>S1</x:v>
      </x:c>
      <x:c r="C27" s="16" t="str">
        <x:v>C-1</x:v>
      </x:c>
      <x:c r="D27" s="16" t="str">
        <x:v>B-to-A</x:v>
      </x:c>
      <x:c r="E27" s="16" t="str">
        <x:v>MX-2</x:v>
      </x:c>
      <x:c r="F27" s="16" t="str">
        <x:v>MOD-ACT-04</x:v>
      </x:c>
      <x:c r="G27" s="16" t="str">
        <x:v>MOD-ACT-03</x:v>
      </x:c>
      <x:c r="H27" s="36"/>
      <x:c r="I27" s="36"/>
      <x:c r="J27" s="43"/>
      <x:c r="K27" s="36"/>
      <x:c r="L27" s="36"/>
      <x:c r="M27" s="16" t="str">
        <x:f>IF(COUNTA(H27:L27)&lt;5,"OPEN",IF(AND(H27="PASS",I27="PASS",J27&gt;=0,J27&lt;='Assumptions'!$B$45,K27="PASS",L27="PASS"),"PASS","VALID-ADVERSE"))</x:f>
        <x:v>OPEN</x:v>
      </x:c>
    </x:row>
    <x:row r="28">
      <x:c r="A28" s="16" t="str">
        <x:v>MXT-021</x:v>
      </x:c>
      <x:c r="B28" s="16" t="str">
        <x:v>S1</x:v>
      </x:c>
      <x:c r="C28" s="16" t="str">
        <x:v>C-1</x:v>
      </x:c>
      <x:c r="D28" s="16" t="str">
        <x:v>B-to-A</x:v>
      </x:c>
      <x:c r="E28" s="16" t="str">
        <x:v>MX-3</x:v>
      </x:c>
      <x:c r="F28" s="16" t="str">
        <x:v>MOD-ACT-04</x:v>
      </x:c>
      <x:c r="G28" s="16" t="str">
        <x:v>MOD-ACT-03</x:v>
      </x:c>
      <x:c r="H28" s="36"/>
      <x:c r="I28" s="36"/>
      <x:c r="J28" s="43"/>
      <x:c r="K28" s="36"/>
      <x:c r="L28" s="36"/>
      <x:c r="M28" s="16" t="str">
        <x:f>IF(COUNTA(H28:L28)&lt;5,"OPEN",IF(AND(H28="PASS",I28="PASS",J28&gt;=0,J28&lt;='Assumptions'!$B$45,K28="PASS",L28="PASS"),"PASS","VALID-ADVERSE"))</x:f>
        <x:v>OPEN</x:v>
      </x:c>
    </x:row>
    <x:row r="29">
      <x:c r="A29" s="16" t="str">
        <x:v>MXT-022</x:v>
      </x:c>
      <x:c r="B29" s="16" t="str">
        <x:v>S1</x:v>
      </x:c>
      <x:c r="C29" s="16" t="str">
        <x:v>C-1</x:v>
      </x:c>
      <x:c r="D29" s="16" t="str">
        <x:v>B-to-A</x:v>
      </x:c>
      <x:c r="E29" s="16" t="str">
        <x:v>MX-4</x:v>
      </x:c>
      <x:c r="F29" s="16" t="str">
        <x:v>MOD-ACT-04</x:v>
      </x:c>
      <x:c r="G29" s="16" t="str">
        <x:v>MOD-ACT-03</x:v>
      </x:c>
      <x:c r="H29" s="36"/>
      <x:c r="I29" s="36"/>
      <x:c r="J29" s="43"/>
      <x:c r="K29" s="36"/>
      <x:c r="L29" s="36"/>
      <x:c r="M29" s="16" t="str">
        <x:f>IF(COUNTA(H29:L29)&lt;5,"OPEN",IF(AND(H29="PASS",I29="PASS",J29&gt;=0,J29&lt;='Assumptions'!$B$45,K29="PASS",L29="PASS"),"PASS","VALID-ADVERSE"))</x:f>
        <x:v>OPEN</x:v>
      </x:c>
    </x:row>
    <x:row r="30">
      <x:c r="A30" s="16" t="str">
        <x:v>MXT-023</x:v>
      </x:c>
      <x:c r="B30" s="16" t="str">
        <x:v>S1</x:v>
      </x:c>
      <x:c r="C30" s="16" t="str">
        <x:v>C-1</x:v>
      </x:c>
      <x:c r="D30" s="16" t="str">
        <x:v>B-to-A</x:v>
      </x:c>
      <x:c r="E30" s="16" t="str">
        <x:v>MX-5</x:v>
      </x:c>
      <x:c r="F30" s="16" t="str">
        <x:v>MOD-ACT-04</x:v>
      </x:c>
      <x:c r="G30" s="16" t="str">
        <x:v>MOD-ACT-03</x:v>
      </x:c>
      <x:c r="H30" s="36"/>
      <x:c r="I30" s="36"/>
      <x:c r="J30" s="43"/>
      <x:c r="K30" s="36"/>
      <x:c r="L30" s="36"/>
      <x:c r="M30" s="16" t="str">
        <x:f>IF(COUNTA(H30:L30)&lt;5,"OPEN",IF(AND(H30="PASS",I30="PASS",J30&gt;=0,J30&lt;='Assumptions'!$B$45,K30="PASS",L30="PASS"),"PASS","VALID-ADVERSE"))</x:f>
        <x:v>OPEN</x:v>
      </x:c>
    </x:row>
    <x:row r="31">
      <x:c r="A31" s="16" t="str">
        <x:v>MXT-024</x:v>
      </x:c>
      <x:c r="B31" s="16" t="str">
        <x:v>S1</x:v>
      </x:c>
      <x:c r="C31" s="16" t="str">
        <x:v>C-1</x:v>
      </x:c>
      <x:c r="D31" s="16" t="str">
        <x:v>B-to-A</x:v>
      </x:c>
      <x:c r="E31" s="16" t="str">
        <x:v>MX-6</x:v>
      </x:c>
      <x:c r="F31" s="16" t="str">
        <x:v>MOD-ACT-04</x:v>
      </x:c>
      <x:c r="G31" s="16" t="str">
        <x:v>MOD-ACT-03</x:v>
      </x:c>
      <x:c r="H31" s="36"/>
      <x:c r="I31" s="36"/>
      <x:c r="J31" s="43"/>
      <x:c r="K31" s="36"/>
      <x:c r="L31" s="36"/>
      <x:c r="M31" s="16" t="str">
        <x:f>IF(COUNTA(H31:L31)&lt;5,"OPEN",IF(AND(H31="PASS",I31="PASS",J31&gt;=0,J31&lt;='Assumptions'!$B$45,K31="PASS",L31="PASS"),"PASS","VALID-ADVERSE"))</x:f>
        <x:v>OPEN</x:v>
      </x:c>
    </x:row>
    <x:row r="32">
      <x:c r="A32" s="16" t="str">
        <x:v>MXT-025</x:v>
      </x:c>
      <x:c r="B32" s="16" t="str">
        <x:v>S2</x:v>
      </x:c>
      <x:c r="C32" s="16" t="str">
        <x:v>C-2</x:v>
      </x:c>
      <x:c r="D32" s="16" t="str">
        <x:v>A-to-B</x:v>
      </x:c>
      <x:c r="E32" s="16" t="str">
        <x:v>MX-1</x:v>
      </x:c>
      <x:c r="F32" s="16" t="str">
        <x:v>MOD-ACT-05</x:v>
      </x:c>
      <x:c r="G32" s="16" t="str">
        <x:v>MOD-ACT-06</x:v>
      </x:c>
      <x:c r="H32" s="36"/>
      <x:c r="I32" s="36"/>
      <x:c r="J32" s="43"/>
      <x:c r="K32" s="36"/>
      <x:c r="L32" s="36"/>
      <x:c r="M32" s="16" t="str">
        <x:f>IF(COUNTA(H32:L32)&lt;5,"OPEN",IF(AND(H32="PASS",I32="PASS",J32&gt;=0,J32&lt;='Assumptions'!$B$45,K32="PASS",L32="PASS"),"PASS","VALID-ADVERSE"))</x:f>
        <x:v>OPEN</x:v>
      </x:c>
    </x:row>
    <x:row r="33">
      <x:c r="A33" s="16" t="str">
        <x:v>MXT-026</x:v>
      </x:c>
      <x:c r="B33" s="16" t="str">
        <x:v>S2</x:v>
      </x:c>
      <x:c r="C33" s="16" t="str">
        <x:v>C-2</x:v>
      </x:c>
      <x:c r="D33" s="16" t="str">
        <x:v>A-to-B</x:v>
      </x:c>
      <x:c r="E33" s="16" t="str">
        <x:v>MX-2</x:v>
      </x:c>
      <x:c r="F33" s="16" t="str">
        <x:v>MOD-ACT-05</x:v>
      </x:c>
      <x:c r="G33" s="16" t="str">
        <x:v>MOD-ACT-06</x:v>
      </x:c>
      <x:c r="H33" s="36"/>
      <x:c r="I33" s="36"/>
      <x:c r="J33" s="43"/>
      <x:c r="K33" s="36"/>
      <x:c r="L33" s="36"/>
      <x:c r="M33" s="16" t="str">
        <x:f>IF(COUNTA(H33:L33)&lt;5,"OPEN",IF(AND(H33="PASS",I33="PASS",J33&gt;=0,J33&lt;='Assumptions'!$B$45,K33="PASS",L33="PASS"),"PASS","VALID-ADVERSE"))</x:f>
        <x:v>OPEN</x:v>
      </x:c>
    </x:row>
    <x:row r="34">
      <x:c r="A34" s="16" t="str">
        <x:v>MXT-027</x:v>
      </x:c>
      <x:c r="B34" s="16" t="str">
        <x:v>S2</x:v>
      </x:c>
      <x:c r="C34" s="16" t="str">
        <x:v>C-2</x:v>
      </x:c>
      <x:c r="D34" s="16" t="str">
        <x:v>A-to-B</x:v>
      </x:c>
      <x:c r="E34" s="16" t="str">
        <x:v>MX-3</x:v>
      </x:c>
      <x:c r="F34" s="16" t="str">
        <x:v>MOD-ACT-05</x:v>
      </x:c>
      <x:c r="G34" s="16" t="str">
        <x:v>MOD-ACT-06</x:v>
      </x:c>
      <x:c r="H34" s="36"/>
      <x:c r="I34" s="36"/>
      <x:c r="J34" s="43"/>
      <x:c r="K34" s="36"/>
      <x:c r="L34" s="36"/>
      <x:c r="M34" s="16" t="str">
        <x:f>IF(COUNTA(H34:L34)&lt;5,"OPEN",IF(AND(H34="PASS",I34="PASS",J34&gt;=0,J34&lt;='Assumptions'!$B$45,K34="PASS",L34="PASS"),"PASS","VALID-ADVERSE"))</x:f>
        <x:v>OPEN</x:v>
      </x:c>
    </x:row>
    <x:row r="35">
      <x:c r="A35" s="16" t="str">
        <x:v>MXT-028</x:v>
      </x:c>
      <x:c r="B35" s="16" t="str">
        <x:v>S2</x:v>
      </x:c>
      <x:c r="C35" s="16" t="str">
        <x:v>C-2</x:v>
      </x:c>
      <x:c r="D35" s="16" t="str">
        <x:v>A-to-B</x:v>
      </x:c>
      <x:c r="E35" s="16" t="str">
        <x:v>MX-4</x:v>
      </x:c>
      <x:c r="F35" s="16" t="str">
        <x:v>MOD-ACT-05</x:v>
      </x:c>
      <x:c r="G35" s="16" t="str">
        <x:v>MOD-ACT-06</x:v>
      </x:c>
      <x:c r="H35" s="36"/>
      <x:c r="I35" s="36"/>
      <x:c r="J35" s="43"/>
      <x:c r="K35" s="36"/>
      <x:c r="L35" s="36"/>
      <x:c r="M35" s="16" t="str">
        <x:f>IF(COUNTA(H35:L35)&lt;5,"OPEN",IF(AND(H35="PASS",I35="PASS",J35&gt;=0,J35&lt;='Assumptions'!$B$45,K35="PASS",L35="PASS"),"PASS","VALID-ADVERSE"))</x:f>
        <x:v>OPEN</x:v>
      </x:c>
    </x:row>
    <x:row r="36">
      <x:c r="A36" s="16" t="str">
        <x:v>MXT-029</x:v>
      </x:c>
      <x:c r="B36" s="16" t="str">
        <x:v>S2</x:v>
      </x:c>
      <x:c r="C36" s="16" t="str">
        <x:v>C-2</x:v>
      </x:c>
      <x:c r="D36" s="16" t="str">
        <x:v>A-to-B</x:v>
      </x:c>
      <x:c r="E36" s="16" t="str">
        <x:v>MX-5</x:v>
      </x:c>
      <x:c r="F36" s="16" t="str">
        <x:v>MOD-ACT-05</x:v>
      </x:c>
      <x:c r="G36" s="16" t="str">
        <x:v>MOD-ACT-06</x:v>
      </x:c>
      <x:c r="H36" s="36"/>
      <x:c r="I36" s="36"/>
      <x:c r="J36" s="43"/>
      <x:c r="K36" s="36"/>
      <x:c r="L36" s="36"/>
      <x:c r="M36" s="16" t="str">
        <x:f>IF(COUNTA(H36:L36)&lt;5,"OPEN",IF(AND(H36="PASS",I36="PASS",J36&gt;=0,J36&lt;='Assumptions'!$B$45,K36="PASS",L36="PASS"),"PASS","VALID-ADVERSE"))</x:f>
        <x:v>OPEN</x:v>
      </x:c>
    </x:row>
    <x:row r="37">
      <x:c r="A37" s="16" t="str">
        <x:v>MXT-030</x:v>
      </x:c>
      <x:c r="B37" s="16" t="str">
        <x:v>S2</x:v>
      </x:c>
      <x:c r="C37" s="16" t="str">
        <x:v>C-2</x:v>
      </x:c>
      <x:c r="D37" s="16" t="str">
        <x:v>A-to-B</x:v>
      </x:c>
      <x:c r="E37" s="16" t="str">
        <x:v>MX-6</x:v>
      </x:c>
      <x:c r="F37" s="16" t="str">
        <x:v>MOD-ACT-05</x:v>
      </x:c>
      <x:c r="G37" s="16" t="str">
        <x:v>MOD-ACT-06</x:v>
      </x:c>
      <x:c r="H37" s="36"/>
      <x:c r="I37" s="36"/>
      <x:c r="J37" s="43"/>
      <x:c r="K37" s="36"/>
      <x:c r="L37" s="36"/>
      <x:c r="M37" s="16" t="str">
        <x:f>IF(COUNTA(H37:L37)&lt;5,"OPEN",IF(AND(H37="PASS",I37="PASS",J37&gt;=0,J37&lt;='Assumptions'!$B$45,K37="PASS",L37="PASS"),"PASS","VALID-ADVERSE"))</x:f>
        <x:v>OPEN</x:v>
      </x:c>
    </x:row>
    <x:row r="38">
      <x:c r="A38" s="16" t="str">
        <x:v>MXT-031</x:v>
      </x:c>
      <x:c r="B38" s="16" t="str">
        <x:v>S2</x:v>
      </x:c>
      <x:c r="C38" s="16" t="str">
        <x:v>C-2</x:v>
      </x:c>
      <x:c r="D38" s="16" t="str">
        <x:v>B-to-A</x:v>
      </x:c>
      <x:c r="E38" s="16" t="str">
        <x:v>MX-1</x:v>
      </x:c>
      <x:c r="F38" s="16" t="str">
        <x:v>MOD-ACT-06</x:v>
      </x:c>
      <x:c r="G38" s="16" t="str">
        <x:v>MOD-ACT-05</x:v>
      </x:c>
      <x:c r="H38" s="36"/>
      <x:c r="I38" s="36"/>
      <x:c r="J38" s="43"/>
      <x:c r="K38" s="36"/>
      <x:c r="L38" s="36"/>
      <x:c r="M38" s="16" t="str">
        <x:f>IF(COUNTA(H38:L38)&lt;5,"OPEN",IF(AND(H38="PASS",I38="PASS",J38&gt;=0,J38&lt;='Assumptions'!$B$45,K38="PASS",L38="PASS"),"PASS","VALID-ADVERSE"))</x:f>
        <x:v>OPEN</x:v>
      </x:c>
    </x:row>
    <x:row r="39">
      <x:c r="A39" s="16" t="str">
        <x:v>MXT-032</x:v>
      </x:c>
      <x:c r="B39" s="16" t="str">
        <x:v>S2</x:v>
      </x:c>
      <x:c r="C39" s="16" t="str">
        <x:v>C-2</x:v>
      </x:c>
      <x:c r="D39" s="16" t="str">
        <x:v>B-to-A</x:v>
      </x:c>
      <x:c r="E39" s="16" t="str">
        <x:v>MX-2</x:v>
      </x:c>
      <x:c r="F39" s="16" t="str">
        <x:v>MOD-ACT-06</x:v>
      </x:c>
      <x:c r="G39" s="16" t="str">
        <x:v>MOD-ACT-05</x:v>
      </x:c>
      <x:c r="H39" s="36"/>
      <x:c r="I39" s="36"/>
      <x:c r="J39" s="43"/>
      <x:c r="K39" s="36"/>
      <x:c r="L39" s="36"/>
      <x:c r="M39" s="16" t="str">
        <x:f>IF(COUNTA(H39:L39)&lt;5,"OPEN",IF(AND(H39="PASS",I39="PASS",J39&gt;=0,J39&lt;='Assumptions'!$B$45,K39="PASS",L39="PASS"),"PASS","VALID-ADVERSE"))</x:f>
        <x:v>OPEN</x:v>
      </x:c>
    </x:row>
    <x:row r="40">
      <x:c r="A40" s="16" t="str">
        <x:v>MXT-033</x:v>
      </x:c>
      <x:c r="B40" s="16" t="str">
        <x:v>S2</x:v>
      </x:c>
      <x:c r="C40" s="16" t="str">
        <x:v>C-2</x:v>
      </x:c>
      <x:c r="D40" s="16" t="str">
        <x:v>B-to-A</x:v>
      </x:c>
      <x:c r="E40" s="16" t="str">
        <x:v>MX-3</x:v>
      </x:c>
      <x:c r="F40" s="16" t="str">
        <x:v>MOD-ACT-06</x:v>
      </x:c>
      <x:c r="G40" s="16" t="str">
        <x:v>MOD-ACT-05</x:v>
      </x:c>
      <x:c r="H40" s="36"/>
      <x:c r="I40" s="36"/>
      <x:c r="J40" s="43"/>
      <x:c r="K40" s="36"/>
      <x:c r="L40" s="36"/>
      <x:c r="M40" s="16" t="str">
        <x:f>IF(COUNTA(H40:L40)&lt;5,"OPEN",IF(AND(H40="PASS",I40="PASS",J40&gt;=0,J40&lt;='Assumptions'!$B$45,K40="PASS",L40="PASS"),"PASS","VALID-ADVERSE"))</x:f>
        <x:v>OPEN</x:v>
      </x:c>
    </x:row>
    <x:row r="41">
      <x:c r="A41" s="16" t="str">
        <x:v>MXT-034</x:v>
      </x:c>
      <x:c r="B41" s="16" t="str">
        <x:v>S2</x:v>
      </x:c>
      <x:c r="C41" s="16" t="str">
        <x:v>C-2</x:v>
      </x:c>
      <x:c r="D41" s="16" t="str">
        <x:v>B-to-A</x:v>
      </x:c>
      <x:c r="E41" s="16" t="str">
        <x:v>MX-4</x:v>
      </x:c>
      <x:c r="F41" s="16" t="str">
        <x:v>MOD-ACT-06</x:v>
      </x:c>
      <x:c r="G41" s="16" t="str">
        <x:v>MOD-ACT-05</x:v>
      </x:c>
      <x:c r="H41" s="36"/>
      <x:c r="I41" s="36"/>
      <x:c r="J41" s="43"/>
      <x:c r="K41" s="36"/>
      <x:c r="L41" s="36"/>
      <x:c r="M41" s="16" t="str">
        <x:f>IF(COUNTA(H41:L41)&lt;5,"OPEN",IF(AND(H41="PASS",I41="PASS",J41&gt;=0,J41&lt;='Assumptions'!$B$45,K41="PASS",L41="PASS"),"PASS","VALID-ADVERSE"))</x:f>
        <x:v>OPEN</x:v>
      </x:c>
    </x:row>
    <x:row r="42">
      <x:c r="A42" s="16" t="str">
        <x:v>MXT-035</x:v>
      </x:c>
      <x:c r="B42" s="16" t="str">
        <x:v>S2</x:v>
      </x:c>
      <x:c r="C42" s="16" t="str">
        <x:v>C-2</x:v>
      </x:c>
      <x:c r="D42" s="16" t="str">
        <x:v>B-to-A</x:v>
      </x:c>
      <x:c r="E42" s="16" t="str">
        <x:v>MX-5</x:v>
      </x:c>
      <x:c r="F42" s="16" t="str">
        <x:v>MOD-ACT-06</x:v>
      </x:c>
      <x:c r="G42" s="16" t="str">
        <x:v>MOD-ACT-05</x:v>
      </x:c>
      <x:c r="H42" s="36"/>
      <x:c r="I42" s="36"/>
      <x:c r="J42" s="43"/>
      <x:c r="K42" s="36"/>
      <x:c r="L42" s="36"/>
      <x:c r="M42" s="16" t="str">
        <x:f>IF(COUNTA(H42:L42)&lt;5,"OPEN",IF(AND(H42="PASS",I42="PASS",J42&gt;=0,J42&lt;='Assumptions'!$B$45,K42="PASS",L42="PASS"),"PASS","VALID-ADVERSE"))</x:f>
        <x:v>OPEN</x:v>
      </x:c>
    </x:row>
    <x:row r="43">
      <x:c r="A43" s="16" t="str">
        <x:v>MXT-036</x:v>
      </x:c>
      <x:c r="B43" s="16" t="str">
        <x:v>S2</x:v>
      </x:c>
      <x:c r="C43" s="16" t="str">
        <x:v>C-2</x:v>
      </x:c>
      <x:c r="D43" s="16" t="str">
        <x:v>B-to-A</x:v>
      </x:c>
      <x:c r="E43" s="16" t="str">
        <x:v>MX-6</x:v>
      </x:c>
      <x:c r="F43" s="16" t="str">
        <x:v>MOD-ACT-06</x:v>
      </x:c>
      <x:c r="G43" s="16" t="str">
        <x:v>MOD-ACT-05</x:v>
      </x:c>
      <x:c r="H43" s="36"/>
      <x:c r="I43" s="36"/>
      <x:c r="J43" s="43"/>
      <x:c r="K43" s="36"/>
      <x:c r="L43" s="36"/>
      <x:c r="M43" s="16" t="str">
        <x:f>IF(COUNTA(H43:L43)&lt;5,"OPEN",IF(AND(H43="PASS",I43="PASS",J43&gt;=0,J43&lt;='Assumptions'!$B$45,K43="PASS",L43="PASS"),"PASS","VALID-ADVERSE"))</x:f>
        <x:v>OPEN</x:v>
      </x:c>
    </x:row>
    <x:row r="44">
      <x:c r="A44" s="16" t="str">
        <x:v>MXT-037</x:v>
      </x:c>
      <x:c r="B44" s="16" t="str">
        <x:v>S3</x:v>
      </x:c>
      <x:c r="C44" s="16" t="str">
        <x:v>C-2</x:v>
      </x:c>
      <x:c r="D44" s="16" t="str">
        <x:v>A-to-B</x:v>
      </x:c>
      <x:c r="E44" s="16" t="str">
        <x:v>MX-1</x:v>
      </x:c>
      <x:c r="F44" s="16" t="str">
        <x:v>MOD-ACT-07</x:v>
      </x:c>
      <x:c r="G44" s="16" t="str">
        <x:v>MOD-ACT-08</x:v>
      </x:c>
      <x:c r="H44" s="36"/>
      <x:c r="I44" s="36"/>
      <x:c r="J44" s="43"/>
      <x:c r="K44" s="36"/>
      <x:c r="L44" s="36"/>
      <x:c r="M44" s="16" t="str">
        <x:f>IF(COUNTA(H44:L44)&lt;5,"OPEN",IF(AND(H44="PASS",I44="PASS",J44&gt;=0,J44&lt;='Assumptions'!$B$45,K44="PASS",L44="PASS"),"PASS","VALID-ADVERSE"))</x:f>
        <x:v>OPEN</x:v>
      </x:c>
    </x:row>
    <x:row r="45">
      <x:c r="A45" s="16" t="str">
        <x:v>MXT-038</x:v>
      </x:c>
      <x:c r="B45" s="16" t="str">
        <x:v>S3</x:v>
      </x:c>
      <x:c r="C45" s="16" t="str">
        <x:v>C-2</x:v>
      </x:c>
      <x:c r="D45" s="16" t="str">
        <x:v>A-to-B</x:v>
      </x:c>
      <x:c r="E45" s="16" t="str">
        <x:v>MX-2</x:v>
      </x:c>
      <x:c r="F45" s="16" t="str">
        <x:v>MOD-ACT-07</x:v>
      </x:c>
      <x:c r="G45" s="16" t="str">
        <x:v>MOD-ACT-08</x:v>
      </x:c>
      <x:c r="H45" s="36"/>
      <x:c r="I45" s="36"/>
      <x:c r="J45" s="43"/>
      <x:c r="K45" s="36"/>
      <x:c r="L45" s="36"/>
      <x:c r="M45" s="16" t="str">
        <x:f>IF(COUNTA(H45:L45)&lt;5,"OPEN",IF(AND(H45="PASS",I45="PASS",J45&gt;=0,J45&lt;='Assumptions'!$B$45,K45="PASS",L45="PASS"),"PASS","VALID-ADVERSE"))</x:f>
        <x:v>OPEN</x:v>
      </x:c>
    </x:row>
    <x:row r="46">
      <x:c r="A46" s="16" t="str">
        <x:v>MXT-039</x:v>
      </x:c>
      <x:c r="B46" s="16" t="str">
        <x:v>S3</x:v>
      </x:c>
      <x:c r="C46" s="16" t="str">
        <x:v>C-2</x:v>
      </x:c>
      <x:c r="D46" s="16" t="str">
        <x:v>A-to-B</x:v>
      </x:c>
      <x:c r="E46" s="16" t="str">
        <x:v>MX-3</x:v>
      </x:c>
      <x:c r="F46" s="16" t="str">
        <x:v>MOD-ACT-07</x:v>
      </x:c>
      <x:c r="G46" s="16" t="str">
        <x:v>MOD-ACT-08</x:v>
      </x:c>
      <x:c r="H46" s="36"/>
      <x:c r="I46" s="36"/>
      <x:c r="J46" s="43"/>
      <x:c r="K46" s="36"/>
      <x:c r="L46" s="36"/>
      <x:c r="M46" s="16" t="str">
        <x:f>IF(COUNTA(H46:L46)&lt;5,"OPEN",IF(AND(H46="PASS",I46="PASS",J46&gt;=0,J46&lt;='Assumptions'!$B$45,K46="PASS",L46="PASS"),"PASS","VALID-ADVERSE"))</x:f>
        <x:v>OPEN</x:v>
      </x:c>
    </x:row>
    <x:row r="47">
      <x:c r="A47" s="16" t="str">
        <x:v>MXT-040</x:v>
      </x:c>
      <x:c r="B47" s="16" t="str">
        <x:v>S3</x:v>
      </x:c>
      <x:c r="C47" s="16" t="str">
        <x:v>C-2</x:v>
      </x:c>
      <x:c r="D47" s="16" t="str">
        <x:v>A-to-B</x:v>
      </x:c>
      <x:c r="E47" s="16" t="str">
        <x:v>MX-4</x:v>
      </x:c>
      <x:c r="F47" s="16" t="str">
        <x:v>MOD-ACT-07</x:v>
      </x:c>
      <x:c r="G47" s="16" t="str">
        <x:v>MOD-ACT-08</x:v>
      </x:c>
      <x:c r="H47" s="36"/>
      <x:c r="I47" s="36"/>
      <x:c r="J47" s="43"/>
      <x:c r="K47" s="36"/>
      <x:c r="L47" s="36"/>
      <x:c r="M47" s="16" t="str">
        <x:f>IF(COUNTA(H47:L47)&lt;5,"OPEN",IF(AND(H47="PASS",I47="PASS",J47&gt;=0,J47&lt;='Assumptions'!$B$45,K47="PASS",L47="PASS"),"PASS","VALID-ADVERSE"))</x:f>
        <x:v>OPEN</x:v>
      </x:c>
    </x:row>
    <x:row r="48">
      <x:c r="A48" s="16" t="str">
        <x:v>MXT-041</x:v>
      </x:c>
      <x:c r="B48" s="16" t="str">
        <x:v>S3</x:v>
      </x:c>
      <x:c r="C48" s="16" t="str">
        <x:v>C-2</x:v>
      </x:c>
      <x:c r="D48" s="16" t="str">
        <x:v>A-to-B</x:v>
      </x:c>
      <x:c r="E48" s="16" t="str">
        <x:v>MX-5</x:v>
      </x:c>
      <x:c r="F48" s="16" t="str">
        <x:v>MOD-ACT-07</x:v>
      </x:c>
      <x:c r="G48" s="16" t="str">
        <x:v>MOD-ACT-08</x:v>
      </x:c>
      <x:c r="H48" s="36"/>
      <x:c r="I48" s="36"/>
      <x:c r="J48" s="43"/>
      <x:c r="K48" s="36"/>
      <x:c r="L48" s="36"/>
      <x:c r="M48" s="16" t="str">
        <x:f>IF(COUNTA(H48:L48)&lt;5,"OPEN",IF(AND(H48="PASS",I48="PASS",J48&gt;=0,J48&lt;='Assumptions'!$B$45,K48="PASS",L48="PASS"),"PASS","VALID-ADVERSE"))</x:f>
        <x:v>OPEN</x:v>
      </x:c>
    </x:row>
    <x:row r="49">
      <x:c r="A49" s="16" t="str">
        <x:v>MXT-042</x:v>
      </x:c>
      <x:c r="B49" s="16" t="str">
        <x:v>S3</x:v>
      </x:c>
      <x:c r="C49" s="16" t="str">
        <x:v>C-2</x:v>
      </x:c>
      <x:c r="D49" s="16" t="str">
        <x:v>A-to-B</x:v>
      </x:c>
      <x:c r="E49" s="16" t="str">
        <x:v>MX-6</x:v>
      </x:c>
      <x:c r="F49" s="16" t="str">
        <x:v>MOD-ACT-07</x:v>
      </x:c>
      <x:c r="G49" s="16" t="str">
        <x:v>MOD-ACT-08</x:v>
      </x:c>
      <x:c r="H49" s="36"/>
      <x:c r="I49" s="36"/>
      <x:c r="J49" s="43"/>
      <x:c r="K49" s="36"/>
      <x:c r="L49" s="36"/>
      <x:c r="M49" s="16" t="str">
        <x:f>IF(COUNTA(H49:L49)&lt;5,"OPEN",IF(AND(H49="PASS",I49="PASS",J49&gt;=0,J49&lt;='Assumptions'!$B$45,K49="PASS",L49="PASS"),"PASS","VALID-ADVERSE"))</x:f>
        <x:v>OPEN</x:v>
      </x:c>
    </x:row>
    <x:row r="50">
      <x:c r="A50" s="16" t="str">
        <x:v>MXT-043</x:v>
      </x:c>
      <x:c r="B50" s="16" t="str">
        <x:v>S3</x:v>
      </x:c>
      <x:c r="C50" s="16" t="str">
        <x:v>C-2</x:v>
      </x:c>
      <x:c r="D50" s="16" t="str">
        <x:v>B-to-A</x:v>
      </x:c>
      <x:c r="E50" s="16" t="str">
        <x:v>MX-1</x:v>
      </x:c>
      <x:c r="F50" s="16" t="str">
        <x:v>MOD-ACT-08</x:v>
      </x:c>
      <x:c r="G50" s="16" t="str">
        <x:v>MOD-ACT-07</x:v>
      </x:c>
      <x:c r="H50" s="36"/>
      <x:c r="I50" s="36"/>
      <x:c r="J50" s="43"/>
      <x:c r="K50" s="36"/>
      <x:c r="L50" s="36"/>
      <x:c r="M50" s="16" t="str">
        <x:f>IF(COUNTA(H50:L50)&lt;5,"OPEN",IF(AND(H50="PASS",I50="PASS",J50&gt;=0,J50&lt;='Assumptions'!$B$45,K50="PASS",L50="PASS"),"PASS","VALID-ADVERSE"))</x:f>
        <x:v>OPEN</x:v>
      </x:c>
    </x:row>
    <x:row r="51">
      <x:c r="A51" s="16" t="str">
        <x:v>MXT-044</x:v>
      </x:c>
      <x:c r="B51" s="16" t="str">
        <x:v>S3</x:v>
      </x:c>
      <x:c r="C51" s="16" t="str">
        <x:v>C-2</x:v>
      </x:c>
      <x:c r="D51" s="16" t="str">
        <x:v>B-to-A</x:v>
      </x:c>
      <x:c r="E51" s="16" t="str">
        <x:v>MX-2</x:v>
      </x:c>
      <x:c r="F51" s="16" t="str">
        <x:v>MOD-ACT-08</x:v>
      </x:c>
      <x:c r="G51" s="16" t="str">
        <x:v>MOD-ACT-07</x:v>
      </x:c>
      <x:c r="H51" s="36"/>
      <x:c r="I51" s="36"/>
      <x:c r="J51" s="43"/>
      <x:c r="K51" s="36"/>
      <x:c r="L51" s="36"/>
      <x:c r="M51" s="16" t="str">
        <x:f>IF(COUNTA(H51:L51)&lt;5,"OPEN",IF(AND(H51="PASS",I51="PASS",J51&gt;=0,J51&lt;='Assumptions'!$B$45,K51="PASS",L51="PASS"),"PASS","VALID-ADVERSE"))</x:f>
        <x:v>OPEN</x:v>
      </x:c>
    </x:row>
    <x:row r="52">
      <x:c r="A52" s="16" t="str">
        <x:v>MXT-045</x:v>
      </x:c>
      <x:c r="B52" s="16" t="str">
        <x:v>S3</x:v>
      </x:c>
      <x:c r="C52" s="16" t="str">
        <x:v>C-2</x:v>
      </x:c>
      <x:c r="D52" s="16" t="str">
        <x:v>B-to-A</x:v>
      </x:c>
      <x:c r="E52" s="16" t="str">
        <x:v>MX-3</x:v>
      </x:c>
      <x:c r="F52" s="16" t="str">
        <x:v>MOD-ACT-08</x:v>
      </x:c>
      <x:c r="G52" s="16" t="str">
        <x:v>MOD-ACT-07</x:v>
      </x:c>
      <x:c r="H52" s="36"/>
      <x:c r="I52" s="36"/>
      <x:c r="J52" s="43"/>
      <x:c r="K52" s="36"/>
      <x:c r="L52" s="36"/>
      <x:c r="M52" s="16" t="str">
        <x:f>IF(COUNTA(H52:L52)&lt;5,"OPEN",IF(AND(H52="PASS",I52="PASS",J52&gt;=0,J52&lt;='Assumptions'!$B$45,K52="PASS",L52="PASS"),"PASS","VALID-ADVERSE"))</x:f>
        <x:v>OPEN</x:v>
      </x:c>
    </x:row>
    <x:row r="53">
      <x:c r="A53" s="16" t="str">
        <x:v>MXT-046</x:v>
      </x:c>
      <x:c r="B53" s="16" t="str">
        <x:v>S3</x:v>
      </x:c>
      <x:c r="C53" s="16" t="str">
        <x:v>C-2</x:v>
      </x:c>
      <x:c r="D53" s="16" t="str">
        <x:v>B-to-A</x:v>
      </x:c>
      <x:c r="E53" s="16" t="str">
        <x:v>MX-4</x:v>
      </x:c>
      <x:c r="F53" s="16" t="str">
        <x:v>MOD-ACT-08</x:v>
      </x:c>
      <x:c r="G53" s="16" t="str">
        <x:v>MOD-ACT-07</x:v>
      </x:c>
      <x:c r="H53" s="36"/>
      <x:c r="I53" s="36"/>
      <x:c r="J53" s="43"/>
      <x:c r="K53" s="36"/>
      <x:c r="L53" s="36"/>
      <x:c r="M53" s="16" t="str">
        <x:f>IF(COUNTA(H53:L53)&lt;5,"OPEN",IF(AND(H53="PASS",I53="PASS",J53&gt;=0,J53&lt;='Assumptions'!$B$45,K53="PASS",L53="PASS"),"PASS","VALID-ADVERSE"))</x:f>
        <x:v>OPEN</x:v>
      </x:c>
    </x:row>
    <x:row r="54">
      <x:c r="A54" s="16" t="str">
        <x:v>MXT-047</x:v>
      </x:c>
      <x:c r="B54" s="16" t="str">
        <x:v>S3</x:v>
      </x:c>
      <x:c r="C54" s="16" t="str">
        <x:v>C-2</x:v>
      </x:c>
      <x:c r="D54" s="16" t="str">
        <x:v>B-to-A</x:v>
      </x:c>
      <x:c r="E54" s="16" t="str">
        <x:v>MX-5</x:v>
      </x:c>
      <x:c r="F54" s="16" t="str">
        <x:v>MOD-ACT-08</x:v>
      </x:c>
      <x:c r="G54" s="16" t="str">
        <x:v>MOD-ACT-07</x:v>
      </x:c>
      <x:c r="H54" s="36"/>
      <x:c r="I54" s="36"/>
      <x:c r="J54" s="43"/>
      <x:c r="K54" s="36"/>
      <x:c r="L54" s="36"/>
      <x:c r="M54" s="16" t="str">
        <x:f>IF(COUNTA(H54:L54)&lt;5,"OPEN",IF(AND(H54="PASS",I54="PASS",J54&gt;=0,J54&lt;='Assumptions'!$B$45,K54="PASS",L54="PASS"),"PASS","VALID-ADVERSE"))</x:f>
        <x:v>OPEN</x:v>
      </x:c>
    </x:row>
    <x:row r="55">
      <x:c r="A55" s="16" t="str">
        <x:v>MXT-048</x:v>
      </x:c>
      <x:c r="B55" s="16" t="str">
        <x:v>S3</x:v>
      </x:c>
      <x:c r="C55" s="16" t="str">
        <x:v>C-2</x:v>
      </x:c>
      <x:c r="D55" s="16" t="str">
        <x:v>B-to-A</x:v>
      </x:c>
      <x:c r="E55" s="16" t="str">
        <x:v>MX-6</x:v>
      </x:c>
      <x:c r="F55" s="16" t="str">
        <x:v>MOD-ACT-08</x:v>
      </x:c>
      <x:c r="G55" s="16" t="str">
        <x:v>MOD-ACT-07</x:v>
      </x:c>
      <x:c r="H55" s="36"/>
      <x:c r="I55" s="36"/>
      <x:c r="J55" s="43"/>
      <x:c r="K55" s="36"/>
      <x:c r="L55" s="36"/>
      <x:c r="M55" s="16" t="str">
        <x:f>IF(COUNTA(H55:L55)&lt;5,"OPEN",IF(AND(H55="PASS",I55="PASS",J55&gt;=0,J55&lt;='Assumptions'!$B$45,K55="PASS",L55="PASS"),"PASS","VALID-ADVERSE"))</x:f>
        <x:v>OPEN</x:v>
      </x:c>
    </x:row>
    <x:row r="56">
      <x:c r="A56" s="16" t="str">
        <x:v>MXT-049</x:v>
      </x:c>
      <x:c r="B56" s="16" t="str">
        <x:v>S4</x:v>
      </x:c>
      <x:c r="C56" s="16" t="str">
        <x:v>C-3</x:v>
      </x:c>
      <x:c r="D56" s="16" t="str">
        <x:v>A-to-B</x:v>
      </x:c>
      <x:c r="E56" s="16" t="str">
        <x:v>MX-1</x:v>
      </x:c>
      <x:c r="F56" s="16" t="str">
        <x:v>MOD-ACT-09</x:v>
      </x:c>
      <x:c r="G56" s="16" t="str">
        <x:v>MOD-ACT-10</x:v>
      </x:c>
      <x:c r="H56" s="36"/>
      <x:c r="I56" s="36"/>
      <x:c r="J56" s="43"/>
      <x:c r="K56" s="36"/>
      <x:c r="L56" s="36"/>
      <x:c r="M56" s="16" t="str">
        <x:f>IF(COUNTA(H56:L56)&lt;5,"OPEN",IF(AND(H56="PASS",I56="PASS",J56&gt;=0,J56&lt;='Assumptions'!$B$45,K56="PASS",L56="PASS"),"PASS","VALID-ADVERSE"))</x:f>
        <x:v>OPEN</x:v>
      </x:c>
    </x:row>
    <x:row r="57">
      <x:c r="A57" s="16" t="str">
        <x:v>MXT-050</x:v>
      </x:c>
      <x:c r="B57" s="16" t="str">
        <x:v>S4</x:v>
      </x:c>
      <x:c r="C57" s="16" t="str">
        <x:v>C-3</x:v>
      </x:c>
      <x:c r="D57" s="16" t="str">
        <x:v>A-to-B</x:v>
      </x:c>
      <x:c r="E57" s="16" t="str">
        <x:v>MX-2</x:v>
      </x:c>
      <x:c r="F57" s="16" t="str">
        <x:v>MOD-ACT-09</x:v>
      </x:c>
      <x:c r="G57" s="16" t="str">
        <x:v>MOD-ACT-10</x:v>
      </x:c>
      <x:c r="H57" s="36"/>
      <x:c r="I57" s="36"/>
      <x:c r="J57" s="43"/>
      <x:c r="K57" s="36"/>
      <x:c r="L57" s="36"/>
      <x:c r="M57" s="16" t="str">
        <x:f>IF(COUNTA(H57:L57)&lt;5,"OPEN",IF(AND(H57="PASS",I57="PASS",J57&gt;=0,J57&lt;='Assumptions'!$B$45,K57="PASS",L57="PASS"),"PASS","VALID-ADVERSE"))</x:f>
        <x:v>OPEN</x:v>
      </x:c>
    </x:row>
    <x:row r="58">
      <x:c r="A58" s="16" t="str">
        <x:v>MXT-051</x:v>
      </x:c>
      <x:c r="B58" s="16" t="str">
        <x:v>S4</x:v>
      </x:c>
      <x:c r="C58" s="16" t="str">
        <x:v>C-3</x:v>
      </x:c>
      <x:c r="D58" s="16" t="str">
        <x:v>A-to-B</x:v>
      </x:c>
      <x:c r="E58" s="16" t="str">
        <x:v>MX-3</x:v>
      </x:c>
      <x:c r="F58" s="16" t="str">
        <x:v>MOD-ACT-09</x:v>
      </x:c>
      <x:c r="G58" s="16" t="str">
        <x:v>MOD-ACT-10</x:v>
      </x:c>
      <x:c r="H58" s="36"/>
      <x:c r="I58" s="36"/>
      <x:c r="J58" s="43"/>
      <x:c r="K58" s="36"/>
      <x:c r="L58" s="36"/>
      <x:c r="M58" s="16" t="str">
        <x:f>IF(COUNTA(H58:L58)&lt;5,"OPEN",IF(AND(H58="PASS",I58="PASS",J58&gt;=0,J58&lt;='Assumptions'!$B$45,K58="PASS",L58="PASS"),"PASS","VALID-ADVERSE"))</x:f>
        <x:v>OPEN</x:v>
      </x:c>
    </x:row>
    <x:row r="59">
      <x:c r="A59" s="16" t="str">
        <x:v>MXT-052</x:v>
      </x:c>
      <x:c r="B59" s="16" t="str">
        <x:v>S4</x:v>
      </x:c>
      <x:c r="C59" s="16" t="str">
        <x:v>C-3</x:v>
      </x:c>
      <x:c r="D59" s="16" t="str">
        <x:v>A-to-B</x:v>
      </x:c>
      <x:c r="E59" s="16" t="str">
        <x:v>MX-4</x:v>
      </x:c>
      <x:c r="F59" s="16" t="str">
        <x:v>MOD-ACT-09</x:v>
      </x:c>
      <x:c r="G59" s="16" t="str">
        <x:v>MOD-ACT-10</x:v>
      </x:c>
      <x:c r="H59" s="36"/>
      <x:c r="I59" s="36"/>
      <x:c r="J59" s="43"/>
      <x:c r="K59" s="36"/>
      <x:c r="L59" s="36"/>
      <x:c r="M59" s="16" t="str">
        <x:f>IF(COUNTA(H59:L59)&lt;5,"OPEN",IF(AND(H59="PASS",I59="PASS",J59&gt;=0,J59&lt;='Assumptions'!$B$45,K59="PASS",L59="PASS"),"PASS","VALID-ADVERSE"))</x:f>
        <x:v>OPEN</x:v>
      </x:c>
    </x:row>
    <x:row r="60">
      <x:c r="A60" s="16" t="str">
        <x:v>MXT-053</x:v>
      </x:c>
      <x:c r="B60" s="16" t="str">
        <x:v>S4</x:v>
      </x:c>
      <x:c r="C60" s="16" t="str">
        <x:v>C-3</x:v>
      </x:c>
      <x:c r="D60" s="16" t="str">
        <x:v>A-to-B</x:v>
      </x:c>
      <x:c r="E60" s="16" t="str">
        <x:v>MX-5</x:v>
      </x:c>
      <x:c r="F60" s="16" t="str">
        <x:v>MOD-ACT-09</x:v>
      </x:c>
      <x:c r="G60" s="16" t="str">
        <x:v>MOD-ACT-10</x:v>
      </x:c>
      <x:c r="H60" s="36"/>
      <x:c r="I60" s="36"/>
      <x:c r="J60" s="43"/>
      <x:c r="K60" s="36"/>
      <x:c r="L60" s="36"/>
      <x:c r="M60" s="16" t="str">
        <x:f>IF(COUNTA(H60:L60)&lt;5,"OPEN",IF(AND(H60="PASS",I60="PASS",J60&gt;=0,J60&lt;='Assumptions'!$B$45,K60="PASS",L60="PASS"),"PASS","VALID-ADVERSE"))</x:f>
        <x:v>OPEN</x:v>
      </x:c>
    </x:row>
    <x:row r="61">
      <x:c r="A61" s="16" t="str">
        <x:v>MXT-054</x:v>
      </x:c>
      <x:c r="B61" s="16" t="str">
        <x:v>S4</x:v>
      </x:c>
      <x:c r="C61" s="16" t="str">
        <x:v>C-3</x:v>
      </x:c>
      <x:c r="D61" s="16" t="str">
        <x:v>A-to-B</x:v>
      </x:c>
      <x:c r="E61" s="16" t="str">
        <x:v>MX-6</x:v>
      </x:c>
      <x:c r="F61" s="16" t="str">
        <x:v>MOD-ACT-09</x:v>
      </x:c>
      <x:c r="G61" s="16" t="str">
        <x:v>MOD-ACT-10</x:v>
      </x:c>
      <x:c r="H61" s="36"/>
      <x:c r="I61" s="36"/>
      <x:c r="J61" s="43"/>
      <x:c r="K61" s="36"/>
      <x:c r="L61" s="36"/>
      <x:c r="M61" s="16" t="str">
        <x:f>IF(COUNTA(H61:L61)&lt;5,"OPEN",IF(AND(H61="PASS",I61="PASS",J61&gt;=0,J61&lt;='Assumptions'!$B$45,K61="PASS",L61="PASS"),"PASS","VALID-ADVERSE"))</x:f>
        <x:v>OPEN</x:v>
      </x:c>
    </x:row>
    <x:row r="62">
      <x:c r="A62" s="16" t="str">
        <x:v>MXT-055</x:v>
      </x:c>
      <x:c r="B62" s="16" t="str">
        <x:v>S4</x:v>
      </x:c>
      <x:c r="C62" s="16" t="str">
        <x:v>C-3</x:v>
      </x:c>
      <x:c r="D62" s="16" t="str">
        <x:v>B-to-A</x:v>
      </x:c>
      <x:c r="E62" s="16" t="str">
        <x:v>MX-1</x:v>
      </x:c>
      <x:c r="F62" s="16" t="str">
        <x:v>MOD-ACT-10</x:v>
      </x:c>
      <x:c r="G62" s="16" t="str">
        <x:v>MOD-ACT-09</x:v>
      </x:c>
      <x:c r="H62" s="36"/>
      <x:c r="I62" s="36"/>
      <x:c r="J62" s="43"/>
      <x:c r="K62" s="36"/>
      <x:c r="L62" s="36"/>
      <x:c r="M62" s="16" t="str">
        <x:f>IF(COUNTA(H62:L62)&lt;5,"OPEN",IF(AND(H62="PASS",I62="PASS",J62&gt;=0,J62&lt;='Assumptions'!$B$45,K62="PASS",L62="PASS"),"PASS","VALID-ADVERSE"))</x:f>
        <x:v>OPEN</x:v>
      </x:c>
    </x:row>
    <x:row r="63">
      <x:c r="A63" s="16" t="str">
        <x:v>MXT-056</x:v>
      </x:c>
      <x:c r="B63" s="16" t="str">
        <x:v>S4</x:v>
      </x:c>
      <x:c r="C63" s="16" t="str">
        <x:v>C-3</x:v>
      </x:c>
      <x:c r="D63" s="16" t="str">
        <x:v>B-to-A</x:v>
      </x:c>
      <x:c r="E63" s="16" t="str">
        <x:v>MX-2</x:v>
      </x:c>
      <x:c r="F63" s="16" t="str">
        <x:v>MOD-ACT-10</x:v>
      </x:c>
      <x:c r="G63" s="16" t="str">
        <x:v>MOD-ACT-09</x:v>
      </x:c>
      <x:c r="H63" s="36"/>
      <x:c r="I63" s="36"/>
      <x:c r="J63" s="43"/>
      <x:c r="K63" s="36"/>
      <x:c r="L63" s="36"/>
      <x:c r="M63" s="16" t="str">
        <x:f>IF(COUNTA(H63:L63)&lt;5,"OPEN",IF(AND(H63="PASS",I63="PASS",J63&gt;=0,J63&lt;='Assumptions'!$B$45,K63="PASS",L63="PASS"),"PASS","VALID-ADVERSE"))</x:f>
        <x:v>OPEN</x:v>
      </x:c>
    </x:row>
    <x:row r="64">
      <x:c r="A64" s="16" t="str">
        <x:v>MXT-057</x:v>
      </x:c>
      <x:c r="B64" s="16" t="str">
        <x:v>S4</x:v>
      </x:c>
      <x:c r="C64" s="16" t="str">
        <x:v>C-3</x:v>
      </x:c>
      <x:c r="D64" s="16" t="str">
        <x:v>B-to-A</x:v>
      </x:c>
      <x:c r="E64" s="16" t="str">
        <x:v>MX-3</x:v>
      </x:c>
      <x:c r="F64" s="16" t="str">
        <x:v>MOD-ACT-10</x:v>
      </x:c>
      <x:c r="G64" s="16" t="str">
        <x:v>MOD-ACT-09</x:v>
      </x:c>
      <x:c r="H64" s="36"/>
      <x:c r="I64" s="36"/>
      <x:c r="J64" s="43"/>
      <x:c r="K64" s="36"/>
      <x:c r="L64" s="36"/>
      <x:c r="M64" s="16" t="str">
        <x:f>IF(COUNTA(H64:L64)&lt;5,"OPEN",IF(AND(H64="PASS",I64="PASS",J64&gt;=0,J64&lt;='Assumptions'!$B$45,K64="PASS",L64="PASS"),"PASS","VALID-ADVERSE"))</x:f>
        <x:v>OPEN</x:v>
      </x:c>
    </x:row>
    <x:row r="65">
      <x:c r="A65" s="16" t="str">
        <x:v>MXT-058</x:v>
      </x:c>
      <x:c r="B65" s="16" t="str">
        <x:v>S4</x:v>
      </x:c>
      <x:c r="C65" s="16" t="str">
        <x:v>C-3</x:v>
      </x:c>
      <x:c r="D65" s="16" t="str">
        <x:v>B-to-A</x:v>
      </x:c>
      <x:c r="E65" s="16" t="str">
        <x:v>MX-4</x:v>
      </x:c>
      <x:c r="F65" s="16" t="str">
        <x:v>MOD-ACT-10</x:v>
      </x:c>
      <x:c r="G65" s="16" t="str">
        <x:v>MOD-ACT-09</x:v>
      </x:c>
      <x:c r="H65" s="36"/>
      <x:c r="I65" s="36"/>
      <x:c r="J65" s="43"/>
      <x:c r="K65" s="36"/>
      <x:c r="L65" s="36"/>
      <x:c r="M65" s="16" t="str">
        <x:f>IF(COUNTA(H65:L65)&lt;5,"OPEN",IF(AND(H65="PASS",I65="PASS",J65&gt;=0,J65&lt;='Assumptions'!$B$45,K65="PASS",L65="PASS"),"PASS","VALID-ADVERSE"))</x:f>
        <x:v>OPEN</x:v>
      </x:c>
    </x:row>
    <x:row r="66">
      <x:c r="A66" s="16" t="str">
        <x:v>MXT-059</x:v>
      </x:c>
      <x:c r="B66" s="16" t="str">
        <x:v>S4</x:v>
      </x:c>
      <x:c r="C66" s="16" t="str">
        <x:v>C-3</x:v>
      </x:c>
      <x:c r="D66" s="16" t="str">
        <x:v>B-to-A</x:v>
      </x:c>
      <x:c r="E66" s="16" t="str">
        <x:v>MX-5</x:v>
      </x:c>
      <x:c r="F66" s="16" t="str">
        <x:v>MOD-ACT-10</x:v>
      </x:c>
      <x:c r="G66" s="16" t="str">
        <x:v>MOD-ACT-09</x:v>
      </x:c>
      <x:c r="H66" s="36"/>
      <x:c r="I66" s="36"/>
      <x:c r="J66" s="43"/>
      <x:c r="K66" s="36"/>
      <x:c r="L66" s="36"/>
      <x:c r="M66" s="16" t="str">
        <x:f>IF(COUNTA(H66:L66)&lt;5,"OPEN",IF(AND(H66="PASS",I66="PASS",J66&gt;=0,J66&lt;='Assumptions'!$B$45,K66="PASS",L66="PASS"),"PASS","VALID-ADVERSE"))</x:f>
        <x:v>OPEN</x:v>
      </x:c>
    </x:row>
    <x:row r="67">
      <x:c r="A67" s="16" t="str">
        <x:v>MXT-060</x:v>
      </x:c>
      <x:c r="B67" s="16" t="str">
        <x:v>S4</x:v>
      </x:c>
      <x:c r="C67" s="16" t="str">
        <x:v>C-3</x:v>
      </x:c>
      <x:c r="D67" s="16" t="str">
        <x:v>B-to-A</x:v>
      </x:c>
      <x:c r="E67" s="16" t="str">
        <x:v>MX-6</x:v>
      </x:c>
      <x:c r="F67" s="16" t="str">
        <x:v>MOD-ACT-10</x:v>
      </x:c>
      <x:c r="G67" s="16" t="str">
        <x:v>MOD-ACT-09</x:v>
      </x:c>
      <x:c r="H67" s="36"/>
      <x:c r="I67" s="36"/>
      <x:c r="J67" s="43"/>
      <x:c r="K67" s="36"/>
      <x:c r="L67" s="36"/>
      <x:c r="M67" s="16" t="str">
        <x:f>IF(COUNTA(H67:L67)&lt;5,"OPEN",IF(AND(H67="PASS",I67="PASS",J67&gt;=0,J67&lt;='Assumptions'!$B$45,K67="PASS",L67="PASS"),"PASS","VALID-ADVERSE"))</x:f>
        <x:v>OPEN</x:v>
      </x:c>
    </x:row>
    <x:row r="68">
      <x:c r="A68" s="16" t="str">
        <x:v>MXT-061</x:v>
      </x:c>
      <x:c r="B68" s="16" t="str">
        <x:v>S5</x:v>
      </x:c>
      <x:c r="C68" s="16" t="str">
        <x:v>C-3</x:v>
      </x:c>
      <x:c r="D68" s="16" t="str">
        <x:v>A-to-B</x:v>
      </x:c>
      <x:c r="E68" s="16" t="str">
        <x:v>MX-1</x:v>
      </x:c>
      <x:c r="F68" s="16" t="str">
        <x:v>MOD-ACT-11</x:v>
      </x:c>
      <x:c r="G68" s="16" t="str">
        <x:v>MOD-ACT-12</x:v>
      </x:c>
      <x:c r="H68" s="36"/>
      <x:c r="I68" s="36"/>
      <x:c r="J68" s="43"/>
      <x:c r="K68" s="36"/>
      <x:c r="L68" s="36"/>
      <x:c r="M68" s="16" t="str">
        <x:f>IF(COUNTA(H68:L68)&lt;5,"OPEN",IF(AND(H68="PASS",I68="PASS",J68&gt;=0,J68&lt;='Assumptions'!$B$45,K68="PASS",L68="PASS"),"PASS","VALID-ADVERSE"))</x:f>
        <x:v>OPEN</x:v>
      </x:c>
    </x:row>
    <x:row r="69">
      <x:c r="A69" s="16" t="str">
        <x:v>MXT-062</x:v>
      </x:c>
      <x:c r="B69" s="16" t="str">
        <x:v>S5</x:v>
      </x:c>
      <x:c r="C69" s="16" t="str">
        <x:v>C-3</x:v>
      </x:c>
      <x:c r="D69" s="16" t="str">
        <x:v>A-to-B</x:v>
      </x:c>
      <x:c r="E69" s="16" t="str">
        <x:v>MX-2</x:v>
      </x:c>
      <x:c r="F69" s="16" t="str">
        <x:v>MOD-ACT-11</x:v>
      </x:c>
      <x:c r="G69" s="16" t="str">
        <x:v>MOD-ACT-12</x:v>
      </x:c>
      <x:c r="H69" s="36"/>
      <x:c r="I69" s="36"/>
      <x:c r="J69" s="43"/>
      <x:c r="K69" s="36"/>
      <x:c r="L69" s="36"/>
      <x:c r="M69" s="16" t="str">
        <x:f>IF(COUNTA(H69:L69)&lt;5,"OPEN",IF(AND(H69="PASS",I69="PASS",J69&gt;=0,J69&lt;='Assumptions'!$B$45,K69="PASS",L69="PASS"),"PASS","VALID-ADVERSE"))</x:f>
        <x:v>OPEN</x:v>
      </x:c>
    </x:row>
    <x:row r="70">
      <x:c r="A70" s="16" t="str">
        <x:v>MXT-063</x:v>
      </x:c>
      <x:c r="B70" s="16" t="str">
        <x:v>S5</x:v>
      </x:c>
      <x:c r="C70" s="16" t="str">
        <x:v>C-3</x:v>
      </x:c>
      <x:c r="D70" s="16" t="str">
        <x:v>A-to-B</x:v>
      </x:c>
      <x:c r="E70" s="16" t="str">
        <x:v>MX-3</x:v>
      </x:c>
      <x:c r="F70" s="16" t="str">
        <x:v>MOD-ACT-11</x:v>
      </x:c>
      <x:c r="G70" s="16" t="str">
        <x:v>MOD-ACT-12</x:v>
      </x:c>
      <x:c r="H70" s="36"/>
      <x:c r="I70" s="36"/>
      <x:c r="J70" s="43"/>
      <x:c r="K70" s="36"/>
      <x:c r="L70" s="36"/>
      <x:c r="M70" s="16" t="str">
        <x:f>IF(COUNTA(H70:L70)&lt;5,"OPEN",IF(AND(H70="PASS",I70="PASS",J70&gt;=0,J70&lt;='Assumptions'!$B$45,K70="PASS",L70="PASS"),"PASS","VALID-ADVERSE"))</x:f>
        <x:v>OPEN</x:v>
      </x:c>
    </x:row>
    <x:row r="71">
      <x:c r="A71" s="16" t="str">
        <x:v>MXT-064</x:v>
      </x:c>
      <x:c r="B71" s="16" t="str">
        <x:v>S5</x:v>
      </x:c>
      <x:c r="C71" s="16" t="str">
        <x:v>C-3</x:v>
      </x:c>
      <x:c r="D71" s="16" t="str">
        <x:v>A-to-B</x:v>
      </x:c>
      <x:c r="E71" s="16" t="str">
        <x:v>MX-4</x:v>
      </x:c>
      <x:c r="F71" s="16" t="str">
        <x:v>MOD-ACT-11</x:v>
      </x:c>
      <x:c r="G71" s="16" t="str">
        <x:v>MOD-ACT-12</x:v>
      </x:c>
      <x:c r="H71" s="36"/>
      <x:c r="I71" s="36"/>
      <x:c r="J71" s="43"/>
      <x:c r="K71" s="36"/>
      <x:c r="L71" s="36"/>
      <x:c r="M71" s="16" t="str">
        <x:f>IF(COUNTA(H71:L71)&lt;5,"OPEN",IF(AND(H71="PASS",I71="PASS",J71&gt;=0,J71&lt;='Assumptions'!$B$45,K71="PASS",L71="PASS"),"PASS","VALID-ADVERSE"))</x:f>
        <x:v>OPEN</x:v>
      </x:c>
    </x:row>
    <x:row r="72">
      <x:c r="A72" s="16" t="str">
        <x:v>MXT-065</x:v>
      </x:c>
      <x:c r="B72" s="16" t="str">
        <x:v>S5</x:v>
      </x:c>
      <x:c r="C72" s="16" t="str">
        <x:v>C-3</x:v>
      </x:c>
      <x:c r="D72" s="16" t="str">
        <x:v>A-to-B</x:v>
      </x:c>
      <x:c r="E72" s="16" t="str">
        <x:v>MX-5</x:v>
      </x:c>
      <x:c r="F72" s="16" t="str">
        <x:v>MOD-ACT-11</x:v>
      </x:c>
      <x:c r="G72" s="16" t="str">
        <x:v>MOD-ACT-12</x:v>
      </x:c>
      <x:c r="H72" s="36"/>
      <x:c r="I72" s="36"/>
      <x:c r="J72" s="43"/>
      <x:c r="K72" s="36"/>
      <x:c r="L72" s="36"/>
      <x:c r="M72" s="16" t="str">
        <x:f>IF(COUNTA(H72:L72)&lt;5,"OPEN",IF(AND(H72="PASS",I72="PASS",J72&gt;=0,J72&lt;='Assumptions'!$B$45,K72="PASS",L72="PASS"),"PASS","VALID-ADVERSE"))</x:f>
        <x:v>OPEN</x:v>
      </x:c>
    </x:row>
    <x:row r="73">
      <x:c r="A73" s="16" t="str">
        <x:v>MXT-066</x:v>
      </x:c>
      <x:c r="B73" s="16" t="str">
        <x:v>S5</x:v>
      </x:c>
      <x:c r="C73" s="16" t="str">
        <x:v>C-3</x:v>
      </x:c>
      <x:c r="D73" s="16" t="str">
        <x:v>A-to-B</x:v>
      </x:c>
      <x:c r="E73" s="16" t="str">
        <x:v>MX-6</x:v>
      </x:c>
      <x:c r="F73" s="16" t="str">
        <x:v>MOD-ACT-11</x:v>
      </x:c>
      <x:c r="G73" s="16" t="str">
        <x:v>MOD-ACT-12</x:v>
      </x:c>
      <x:c r="H73" s="36"/>
      <x:c r="I73" s="36"/>
      <x:c r="J73" s="43"/>
      <x:c r="K73" s="36"/>
      <x:c r="L73" s="36"/>
      <x:c r="M73" s="16" t="str">
        <x:f>IF(COUNTA(H73:L73)&lt;5,"OPEN",IF(AND(H73="PASS",I73="PASS",J73&gt;=0,J73&lt;='Assumptions'!$B$45,K73="PASS",L73="PASS"),"PASS","VALID-ADVERSE"))</x:f>
        <x:v>OPEN</x:v>
      </x:c>
    </x:row>
    <x:row r="74">
      <x:c r="A74" s="16" t="str">
        <x:v>MXT-067</x:v>
      </x:c>
      <x:c r="B74" s="16" t="str">
        <x:v>S5</x:v>
      </x:c>
      <x:c r="C74" s="16" t="str">
        <x:v>C-3</x:v>
      </x:c>
      <x:c r="D74" s="16" t="str">
        <x:v>B-to-A</x:v>
      </x:c>
      <x:c r="E74" s="16" t="str">
        <x:v>MX-1</x:v>
      </x:c>
      <x:c r="F74" s="16" t="str">
        <x:v>MOD-ACT-12</x:v>
      </x:c>
      <x:c r="G74" s="16" t="str">
        <x:v>MOD-ACT-11</x:v>
      </x:c>
      <x:c r="H74" s="36"/>
      <x:c r="I74" s="36"/>
      <x:c r="J74" s="43"/>
      <x:c r="K74" s="36"/>
      <x:c r="L74" s="36"/>
      <x:c r="M74" s="16" t="str">
        <x:f>IF(COUNTA(H74:L74)&lt;5,"OPEN",IF(AND(H74="PASS",I74="PASS",J74&gt;=0,J74&lt;='Assumptions'!$B$45,K74="PASS",L74="PASS"),"PASS","VALID-ADVERSE"))</x:f>
        <x:v>OPEN</x:v>
      </x:c>
    </x:row>
    <x:row r="75">
      <x:c r="A75" s="16" t="str">
        <x:v>MXT-068</x:v>
      </x:c>
      <x:c r="B75" s="16" t="str">
        <x:v>S5</x:v>
      </x:c>
      <x:c r="C75" s="16" t="str">
        <x:v>C-3</x:v>
      </x:c>
      <x:c r="D75" s="16" t="str">
        <x:v>B-to-A</x:v>
      </x:c>
      <x:c r="E75" s="16" t="str">
        <x:v>MX-2</x:v>
      </x:c>
      <x:c r="F75" s="16" t="str">
        <x:v>MOD-ACT-12</x:v>
      </x:c>
      <x:c r="G75" s="16" t="str">
        <x:v>MOD-ACT-11</x:v>
      </x:c>
      <x:c r="H75" s="36"/>
      <x:c r="I75" s="36"/>
      <x:c r="J75" s="43"/>
      <x:c r="K75" s="36"/>
      <x:c r="L75" s="36"/>
      <x:c r="M75" s="16" t="str">
        <x:f>IF(COUNTA(H75:L75)&lt;5,"OPEN",IF(AND(H75="PASS",I75="PASS",J75&gt;=0,J75&lt;='Assumptions'!$B$45,K75="PASS",L75="PASS"),"PASS","VALID-ADVERSE"))</x:f>
        <x:v>OPEN</x:v>
      </x:c>
    </x:row>
    <x:row r="76">
      <x:c r="A76" s="16" t="str">
        <x:v>MXT-069</x:v>
      </x:c>
      <x:c r="B76" s="16" t="str">
        <x:v>S5</x:v>
      </x:c>
      <x:c r="C76" s="16" t="str">
        <x:v>C-3</x:v>
      </x:c>
      <x:c r="D76" s="16" t="str">
        <x:v>B-to-A</x:v>
      </x:c>
      <x:c r="E76" s="16" t="str">
        <x:v>MX-3</x:v>
      </x:c>
      <x:c r="F76" s="16" t="str">
        <x:v>MOD-ACT-12</x:v>
      </x:c>
      <x:c r="G76" s="16" t="str">
        <x:v>MOD-ACT-11</x:v>
      </x:c>
      <x:c r="H76" s="36"/>
      <x:c r="I76" s="36"/>
      <x:c r="J76" s="43"/>
      <x:c r="K76" s="36"/>
      <x:c r="L76" s="36"/>
      <x:c r="M76" s="16" t="str">
        <x:f>IF(COUNTA(H76:L76)&lt;5,"OPEN",IF(AND(H76="PASS",I76="PASS",J76&gt;=0,J76&lt;='Assumptions'!$B$45,K76="PASS",L76="PASS"),"PASS","VALID-ADVERSE"))</x:f>
        <x:v>OPEN</x:v>
      </x:c>
    </x:row>
    <x:row r="77">
      <x:c r="A77" s="16" t="str">
        <x:v>MXT-070</x:v>
      </x:c>
      <x:c r="B77" s="16" t="str">
        <x:v>S5</x:v>
      </x:c>
      <x:c r="C77" s="16" t="str">
        <x:v>C-3</x:v>
      </x:c>
      <x:c r="D77" s="16" t="str">
        <x:v>B-to-A</x:v>
      </x:c>
      <x:c r="E77" s="16" t="str">
        <x:v>MX-4</x:v>
      </x:c>
      <x:c r="F77" s="16" t="str">
        <x:v>MOD-ACT-12</x:v>
      </x:c>
      <x:c r="G77" s="16" t="str">
        <x:v>MOD-ACT-11</x:v>
      </x:c>
      <x:c r="H77" s="36"/>
      <x:c r="I77" s="36"/>
      <x:c r="J77" s="43"/>
      <x:c r="K77" s="36"/>
      <x:c r="L77" s="36"/>
      <x:c r="M77" s="16" t="str">
        <x:f>IF(COUNTA(H77:L77)&lt;5,"OPEN",IF(AND(H77="PASS",I77="PASS",J77&gt;=0,J77&lt;='Assumptions'!$B$45,K77="PASS",L77="PASS"),"PASS","VALID-ADVERSE"))</x:f>
        <x:v>OPEN</x:v>
      </x:c>
    </x:row>
    <x:row r="78">
      <x:c r="A78" s="16" t="str">
        <x:v>MXT-071</x:v>
      </x:c>
      <x:c r="B78" s="16" t="str">
        <x:v>S5</x:v>
      </x:c>
      <x:c r="C78" s="16" t="str">
        <x:v>C-3</x:v>
      </x:c>
      <x:c r="D78" s="16" t="str">
        <x:v>B-to-A</x:v>
      </x:c>
      <x:c r="E78" s="16" t="str">
        <x:v>MX-5</x:v>
      </x:c>
      <x:c r="F78" s="16" t="str">
        <x:v>MOD-ACT-12</x:v>
      </x:c>
      <x:c r="G78" s="16" t="str">
        <x:v>MOD-ACT-11</x:v>
      </x:c>
      <x:c r="H78" s="36"/>
      <x:c r="I78" s="36"/>
      <x:c r="J78" s="43"/>
      <x:c r="K78" s="36"/>
      <x:c r="L78" s="36"/>
      <x:c r="M78" s="16" t="str">
        <x:f>IF(COUNTA(H78:L78)&lt;5,"OPEN",IF(AND(H78="PASS",I78="PASS",J78&gt;=0,J78&lt;='Assumptions'!$B$45,K78="PASS",L78="PASS"),"PASS","VALID-ADVERSE"))</x:f>
        <x:v>OPEN</x:v>
      </x:c>
    </x:row>
    <x:row r="79">
      <x:c r="A79" s="16" t="str">
        <x:v>MXT-072</x:v>
      </x:c>
      <x:c r="B79" s="16" t="str">
        <x:v>S5</x:v>
      </x:c>
      <x:c r="C79" s="16" t="str">
        <x:v>C-3</x:v>
      </x:c>
      <x:c r="D79" s="16" t="str">
        <x:v>B-to-A</x:v>
      </x:c>
      <x:c r="E79" s="16" t="str">
        <x:v>MX-6</x:v>
      </x:c>
      <x:c r="F79" s="16" t="str">
        <x:v>MOD-ACT-12</x:v>
      </x:c>
      <x:c r="G79" s="16" t="str">
        <x:v>MOD-ACT-11</x:v>
      </x:c>
      <x:c r="H79" s="36"/>
      <x:c r="I79" s="36"/>
      <x:c r="J79" s="43"/>
      <x:c r="K79" s="36"/>
      <x:c r="L79" s="36"/>
      <x:c r="M79" s="16" t="str">
        <x:f>IF(COUNTA(H79:L79)&lt;5,"OPEN",IF(AND(H79="PASS",I79="PASS",J79&gt;=0,J79&lt;='Assumptions'!$B$45,K79="PASS",L79="PASS"),"PASS","VALID-ADVERSE"))</x:f>
        <x:v>OPEN</x:v>
      </x:c>
    </x:row>
  </x:sheetData>
  <x:mergeCells>
    <x:mergeCell ref="A2:M2"/>
  </x:mergeCells>
  <x:conditionalFormatting sqref="M8:M79">
    <x:cfRule type="containsText" dxfId="15" priority="1" operator="containsText" text="DENY"/>
    <x:cfRule type="containsText" dxfId="16" priority="2" operator="containsText" text="ADVERSE"/>
    <x:cfRule type="containsText" dxfId="17" priority="3" operator="containsText" text="FAIL"/>
    <x:cfRule type="containsText" dxfId="18" priority="4" operator="containsText" text="REQUIRED"/>
    <x:cfRule type="containsText" dxfId="19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ed62420b2e63493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5" hidden="0" customWidth="1"/>
    <x:col min="4" max="4" width="16" hidden="0" customWidth="1"/>
    <x:col min="5" max="5" width="11" hidden="0" customWidth="1"/>
    <x:col min="6" max="6" width="12" hidden="0" customWidth="1"/>
    <x:col min="7" max="7" width="11" hidden="0" customWidth="1"/>
    <x:col min="8" max="8" width="22" hidden="0" customWidth="1"/>
    <x:col min="9" max="9" width="15" hidden="0" customWidth="1"/>
  </x:cols>
  <x:sheetData>
    <x:row r="2" ht="26" customHeight="1">
      <x:c r="A2" s="2" t="str">
        <x:v>Rig, direction and national exchange decisions</x:v>
      </x:c>
      <x:c r="B2" s="2" t="str">
        <x:v>Rig, direction and national exchange decisions</x:v>
      </x:c>
      <x:c r="C2" s="2" t="str">
        <x:v>Rig, direction and national exchange decisions</x:v>
      </x:c>
      <x:c r="D2" s="2" t="str">
        <x:v>Rig, direction and national exchange decisions</x:v>
      </x:c>
      <x:c r="E2" s="2" t="str">
        <x:v>Rig, direction and national exchange decisions</x:v>
      </x:c>
      <x:c r="F2" s="2" t="str">
        <x:v>Rig, direction and national exchange decisions</x:v>
      </x:c>
      <x:c r="G2" s="2" t="str">
        <x:v>Rig, direction and national exchange decisions</x:v>
      </x:c>
      <x:c r="H2" s="2" t="str">
        <x:v>Rig, direction and national exchange decisions</x:v>
      </x:c>
      <x:c r="I2" s="2" t="str">
        <x:v>Rig, direction and national exchange decisions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</x:row>
    <x:row r="5">
      <x:c r="A5" s="16" t="str">
        <x:v>Required exchange trials</x:v>
      </x:c>
      <x:c r="B5" s="16" t="n">
        <x:v>72</x:v>
      </x:c>
      <x:c r="C5" s="16"/>
      <x:c r="D5" s="16"/>
      <x:c r="E5" s="16"/>
      <x:c r="F5" s="16"/>
      <x:c r="G5" s="16"/>
      <x:c r="H5" s="16"/>
      <x:c r="I5" s="16"/>
    </x:row>
    <x:row r="6">
      <x:c r="A6" s="16" t="str">
        <x:v>National exchange state</x:v>
      </x:c>
      <x:c r="B6" s="16" t="str">
        <x:f>IF(COUNTIFS('Exchange Trials'!$M$8:$M$79,"VALID-ADVERSE")&gt;0,"DENIED",IF(COUNTIFS('Exchange Trials'!$M$8:$M$79,"PASS")=72,"QUALIFIED","OPEN"))</x:f>
        <x:v>OPEN</x:v>
      </x:c>
      <x:c r="C6" s="16"/>
      <x:c r="D6" s="16"/>
      <x:c r="E6" s="16"/>
      <x:c r="F6" s="16"/>
      <x:c r="G6" s="16"/>
      <x:c r="H6" s="16"/>
      <x:c r="I6" s="16"/>
    </x:row>
    <x:row r="7">
      <x:c r="A7" s="16"/>
      <x:c r="B7" s="16"/>
      <x:c r="C7" s="16"/>
      <x:c r="D7" s="16"/>
      <x:c r="E7" s="16"/>
      <x:c r="F7" s="16"/>
      <x:c r="G7" s="16"/>
      <x:c r="H7" s="16"/>
      <x:c r="I7" s="16"/>
    </x:row>
    <x:row r="8">
      <x:c r="A8" s="39" t="str">
        <x:v>Decision ID</x:v>
      </x:c>
      <x:c r="B8" s="40" t="str">
        <x:v>Rig</x:v>
      </x:c>
      <x:c r="C8" s="40" t="str">
        <x:v>Direction</x:v>
      </x:c>
      <x:c r="D8" s="40" t="str">
        <x:v>Required trials</x:v>
      </x:c>
      <x:c r="E8" s="40" t="str">
        <x:v>Pass</x:v>
      </x:c>
      <x:c r="F8" s="40" t="str">
        <x:v>Adverse</x:v>
      </x:c>
      <x:c r="G8" s="40" t="str">
        <x:v>Open</x:v>
      </x:c>
      <x:c r="H8" s="40" t="str">
        <x:v>Independent authority</x:v>
      </x:c>
      <x:c r="I8" s="41" t="str">
        <x:v>State</x:v>
      </x:c>
    </x:row>
    <x:row r="9">
      <x:c r="A9" s="16" t="str">
        <x:v>MXD-01</x:v>
      </x:c>
      <x:c r="B9" s="16" t="str">
        <x:v>S0</x:v>
      </x:c>
      <x:c r="C9" s="16" t="str">
        <x:v>A-to-B</x:v>
      </x:c>
      <x:c r="D9" s="16" t="n">
        <x:v>6</x:v>
      </x:c>
      <x:c r="E9" s="16" t="n">
        <x:f>COUNTIFS('Exchange Trials'!$B$8:$B$79,B9,'Exchange Trials'!$D$8:$D$79,C9,'Exchange Trials'!$M$8:$M$79,"PASS")</x:f>
        <x:v>0</x:v>
      </x:c>
      <x:c r="F9" s="16" t="n">
        <x:f>COUNTIFS('Exchange Trials'!$B$8:$B$79,B9,'Exchange Trials'!$D$8:$D$79,C9,'Exchange Trials'!$M$8:$M$79,"VALID-ADVERSE")</x:f>
        <x:v>0</x:v>
      </x:c>
      <x:c r="G9" s="16" t="n">
        <x:f>D9-E9-F9</x:f>
        <x:v>6</x:v>
      </x:c>
      <x:c r="H9" s="36"/>
      <x:c r="I9" s="16" t="str">
        <x:f>IF(F9&gt;0,"DENY",IF(AND(E9=D9,H9="ACCEPTED"),"ACCEPTED","OPEN"))</x:f>
        <x:v>OPEN</x:v>
      </x:c>
    </x:row>
    <x:row r="10">
      <x:c r="A10" s="16" t="str">
        <x:v>MXD-02</x:v>
      </x:c>
      <x:c r="B10" s="16" t="str">
        <x:v>S0</x:v>
      </x:c>
      <x:c r="C10" s="16" t="str">
        <x:v>B-to-A</x:v>
      </x:c>
      <x:c r="D10" s="16" t="n">
        <x:v>6</x:v>
      </x:c>
      <x:c r="E10" s="16" t="n">
        <x:f>COUNTIFS('Exchange Trials'!$B$8:$B$79,B10,'Exchange Trials'!$D$8:$D$79,C10,'Exchange Trials'!$M$8:$M$79,"PASS")</x:f>
        <x:v>0</x:v>
      </x:c>
      <x:c r="F10" s="16" t="n">
        <x:f>COUNTIFS('Exchange Trials'!$B$8:$B$79,B10,'Exchange Trials'!$D$8:$D$79,C10,'Exchange Trials'!$M$8:$M$79,"VALID-ADVERSE")</x:f>
        <x:v>0</x:v>
      </x:c>
      <x:c r="G10" s="16" t="n">
        <x:f>D10-E10-F10</x:f>
        <x:v>6</x:v>
      </x:c>
      <x:c r="H10" s="36"/>
      <x:c r="I10" s="16" t="str">
        <x:f>IF(F10&gt;0,"DENY",IF(AND(E10=D10,H10="ACCEPTED"),"ACCEPTED","OPEN"))</x:f>
        <x:v>OPEN</x:v>
      </x:c>
    </x:row>
    <x:row r="11">
      <x:c r="A11" s="16" t="str">
        <x:v>MXD-03</x:v>
      </x:c>
      <x:c r="B11" s="16" t="str">
        <x:v>S1</x:v>
      </x:c>
      <x:c r="C11" s="16" t="str">
        <x:v>A-to-B</x:v>
      </x:c>
      <x:c r="D11" s="16" t="n">
        <x:v>6</x:v>
      </x:c>
      <x:c r="E11" s="16" t="n">
        <x:f>COUNTIFS('Exchange Trials'!$B$8:$B$79,B11,'Exchange Trials'!$D$8:$D$79,C11,'Exchange Trials'!$M$8:$M$79,"PASS")</x:f>
        <x:v>0</x:v>
      </x:c>
      <x:c r="F11" s="16" t="n">
        <x:f>COUNTIFS('Exchange Trials'!$B$8:$B$79,B11,'Exchange Trials'!$D$8:$D$79,C11,'Exchange Trials'!$M$8:$M$79,"VALID-ADVERSE")</x:f>
        <x:v>0</x:v>
      </x:c>
      <x:c r="G11" s="16" t="n">
        <x:f>D11-E11-F11</x:f>
        <x:v>6</x:v>
      </x:c>
      <x:c r="H11" s="36"/>
      <x:c r="I11" s="16" t="str">
        <x:f>IF(F11&gt;0,"DENY",IF(AND(E11=D11,H11="ACCEPTED"),"ACCEPTED","OPEN"))</x:f>
        <x:v>OPEN</x:v>
      </x:c>
    </x:row>
    <x:row r="12">
      <x:c r="A12" s="16" t="str">
        <x:v>MXD-04</x:v>
      </x:c>
      <x:c r="B12" s="16" t="str">
        <x:v>S1</x:v>
      </x:c>
      <x:c r="C12" s="16" t="str">
        <x:v>B-to-A</x:v>
      </x:c>
      <x:c r="D12" s="16" t="n">
        <x:v>6</x:v>
      </x:c>
      <x:c r="E12" s="16" t="n">
        <x:f>COUNTIFS('Exchange Trials'!$B$8:$B$79,B12,'Exchange Trials'!$D$8:$D$79,C12,'Exchange Trials'!$M$8:$M$79,"PASS")</x:f>
        <x:v>0</x:v>
      </x:c>
      <x:c r="F12" s="16" t="n">
        <x:f>COUNTIFS('Exchange Trials'!$B$8:$B$79,B12,'Exchange Trials'!$D$8:$D$79,C12,'Exchange Trials'!$M$8:$M$79,"VALID-ADVERSE")</x:f>
        <x:v>0</x:v>
      </x:c>
      <x:c r="G12" s="16" t="n">
        <x:f>D12-E12-F12</x:f>
        <x:v>6</x:v>
      </x:c>
      <x:c r="H12" s="36"/>
      <x:c r="I12" s="16" t="str">
        <x:f>IF(F12&gt;0,"DENY",IF(AND(E12=D12,H12="ACCEPTED"),"ACCEPTED","OPEN"))</x:f>
        <x:v>OPEN</x:v>
      </x:c>
    </x:row>
    <x:row r="13">
      <x:c r="A13" s="16" t="str">
        <x:v>MXD-05</x:v>
      </x:c>
      <x:c r="B13" s="16" t="str">
        <x:v>S2</x:v>
      </x:c>
      <x:c r="C13" s="16" t="str">
        <x:v>A-to-B</x:v>
      </x:c>
      <x:c r="D13" s="16" t="n">
        <x:v>6</x:v>
      </x:c>
      <x:c r="E13" s="16" t="n">
        <x:f>COUNTIFS('Exchange Trials'!$B$8:$B$79,B13,'Exchange Trials'!$D$8:$D$79,C13,'Exchange Trials'!$M$8:$M$79,"PASS")</x:f>
        <x:v>0</x:v>
      </x:c>
      <x:c r="F13" s="16" t="n">
        <x:f>COUNTIFS('Exchange Trials'!$B$8:$B$79,B13,'Exchange Trials'!$D$8:$D$79,C13,'Exchange Trials'!$M$8:$M$79,"VALID-ADVERSE")</x:f>
        <x:v>0</x:v>
      </x:c>
      <x:c r="G13" s="16" t="n">
        <x:f>D13-E13-F13</x:f>
        <x:v>6</x:v>
      </x:c>
      <x:c r="H13" s="36"/>
      <x:c r="I13" s="16" t="str">
        <x:f>IF(F13&gt;0,"DENY",IF(AND(E13=D13,H13="ACCEPTED"),"ACCEPTED","OPEN"))</x:f>
        <x:v>OPEN</x:v>
      </x:c>
    </x:row>
    <x:row r="14">
      <x:c r="A14" s="16" t="str">
        <x:v>MXD-06</x:v>
      </x:c>
      <x:c r="B14" s="16" t="str">
        <x:v>S2</x:v>
      </x:c>
      <x:c r="C14" s="16" t="str">
        <x:v>B-to-A</x:v>
      </x:c>
      <x:c r="D14" s="16" t="n">
        <x:v>6</x:v>
      </x:c>
      <x:c r="E14" s="16" t="n">
        <x:f>COUNTIFS('Exchange Trials'!$B$8:$B$79,B14,'Exchange Trials'!$D$8:$D$79,C14,'Exchange Trials'!$M$8:$M$79,"PASS")</x:f>
        <x:v>0</x:v>
      </x:c>
      <x:c r="F14" s="16" t="n">
        <x:f>COUNTIFS('Exchange Trials'!$B$8:$B$79,B14,'Exchange Trials'!$D$8:$D$79,C14,'Exchange Trials'!$M$8:$M$79,"VALID-ADVERSE")</x:f>
        <x:v>0</x:v>
      </x:c>
      <x:c r="G14" s="16" t="n">
        <x:f>D14-E14-F14</x:f>
        <x:v>6</x:v>
      </x:c>
      <x:c r="H14" s="36"/>
      <x:c r="I14" s="16" t="str">
        <x:f>IF(F14&gt;0,"DENY",IF(AND(E14=D14,H14="ACCEPTED"),"ACCEPTED","OPEN"))</x:f>
        <x:v>OPEN</x:v>
      </x:c>
    </x:row>
    <x:row r="15">
      <x:c r="A15" s="16" t="str">
        <x:v>MXD-07</x:v>
      </x:c>
      <x:c r="B15" s="16" t="str">
        <x:v>S3</x:v>
      </x:c>
      <x:c r="C15" s="16" t="str">
        <x:v>A-to-B</x:v>
      </x:c>
      <x:c r="D15" s="16" t="n">
        <x:v>6</x:v>
      </x:c>
      <x:c r="E15" s="16" t="n">
        <x:f>COUNTIFS('Exchange Trials'!$B$8:$B$79,B15,'Exchange Trials'!$D$8:$D$79,C15,'Exchange Trials'!$M$8:$M$79,"PASS")</x:f>
        <x:v>0</x:v>
      </x:c>
      <x:c r="F15" s="16" t="n">
        <x:f>COUNTIFS('Exchange Trials'!$B$8:$B$79,B15,'Exchange Trials'!$D$8:$D$79,C15,'Exchange Trials'!$M$8:$M$79,"VALID-ADVERSE")</x:f>
        <x:v>0</x:v>
      </x:c>
      <x:c r="G15" s="16" t="n">
        <x:f>D15-E15-F15</x:f>
        <x:v>6</x:v>
      </x:c>
      <x:c r="H15" s="36"/>
      <x:c r="I15" s="16" t="str">
        <x:f>IF(F15&gt;0,"DENY",IF(AND(E15=D15,H15="ACCEPTED"),"ACCEPTED","OPEN"))</x:f>
        <x:v>OPEN</x:v>
      </x:c>
    </x:row>
    <x:row r="16">
      <x:c r="A16" s="16" t="str">
        <x:v>MXD-08</x:v>
      </x:c>
      <x:c r="B16" s="16" t="str">
        <x:v>S3</x:v>
      </x:c>
      <x:c r="C16" s="16" t="str">
        <x:v>B-to-A</x:v>
      </x:c>
      <x:c r="D16" s="16" t="n">
        <x:v>6</x:v>
      </x:c>
      <x:c r="E16" s="16" t="n">
        <x:f>COUNTIFS('Exchange Trials'!$B$8:$B$79,B16,'Exchange Trials'!$D$8:$D$79,C16,'Exchange Trials'!$M$8:$M$79,"PASS")</x:f>
        <x:v>0</x:v>
      </x:c>
      <x:c r="F16" s="16" t="n">
        <x:f>COUNTIFS('Exchange Trials'!$B$8:$B$79,B16,'Exchange Trials'!$D$8:$D$79,C16,'Exchange Trials'!$M$8:$M$79,"VALID-ADVERSE")</x:f>
        <x:v>0</x:v>
      </x:c>
      <x:c r="G16" s="16" t="n">
        <x:f>D16-E16-F16</x:f>
        <x:v>6</x:v>
      </x:c>
      <x:c r="H16" s="36"/>
      <x:c r="I16" s="16" t="str">
        <x:f>IF(F16&gt;0,"DENY",IF(AND(E16=D16,H16="ACCEPTED"),"ACCEPTED","OPEN"))</x:f>
        <x:v>OPEN</x:v>
      </x:c>
    </x:row>
    <x:row r="17">
      <x:c r="A17" s="16" t="str">
        <x:v>MXD-09</x:v>
      </x:c>
      <x:c r="B17" s="16" t="str">
        <x:v>S4</x:v>
      </x:c>
      <x:c r="C17" s="16" t="str">
        <x:v>A-to-B</x:v>
      </x:c>
      <x:c r="D17" s="16" t="n">
        <x:v>6</x:v>
      </x:c>
      <x:c r="E17" s="16" t="n">
        <x:f>COUNTIFS('Exchange Trials'!$B$8:$B$79,B17,'Exchange Trials'!$D$8:$D$79,C17,'Exchange Trials'!$M$8:$M$79,"PASS")</x:f>
        <x:v>0</x:v>
      </x:c>
      <x:c r="F17" s="16" t="n">
        <x:f>COUNTIFS('Exchange Trials'!$B$8:$B$79,B17,'Exchange Trials'!$D$8:$D$79,C17,'Exchange Trials'!$M$8:$M$79,"VALID-ADVERSE")</x:f>
        <x:v>0</x:v>
      </x:c>
      <x:c r="G17" s="16" t="n">
        <x:f>D17-E17-F17</x:f>
        <x:v>6</x:v>
      </x:c>
      <x:c r="H17" s="36"/>
      <x:c r="I17" s="16" t="str">
        <x:f>IF(F17&gt;0,"DENY",IF(AND(E17=D17,H17="ACCEPTED"),"ACCEPTED","OPEN"))</x:f>
        <x:v>OPEN</x:v>
      </x:c>
    </x:row>
    <x:row r="18">
      <x:c r="A18" s="16" t="str">
        <x:v>MXD-10</x:v>
      </x:c>
      <x:c r="B18" s="16" t="str">
        <x:v>S4</x:v>
      </x:c>
      <x:c r="C18" s="16" t="str">
        <x:v>B-to-A</x:v>
      </x:c>
      <x:c r="D18" s="16" t="n">
        <x:v>6</x:v>
      </x:c>
      <x:c r="E18" s="16" t="n">
        <x:f>COUNTIFS('Exchange Trials'!$B$8:$B$79,B18,'Exchange Trials'!$D$8:$D$79,C18,'Exchange Trials'!$M$8:$M$79,"PASS")</x:f>
        <x:v>0</x:v>
      </x:c>
      <x:c r="F18" s="16" t="n">
        <x:f>COUNTIFS('Exchange Trials'!$B$8:$B$79,B18,'Exchange Trials'!$D$8:$D$79,C18,'Exchange Trials'!$M$8:$M$79,"VALID-ADVERSE")</x:f>
        <x:v>0</x:v>
      </x:c>
      <x:c r="G18" s="16" t="n">
        <x:f>D18-E18-F18</x:f>
        <x:v>6</x:v>
      </x:c>
      <x:c r="H18" s="36"/>
      <x:c r="I18" s="16" t="str">
        <x:f>IF(F18&gt;0,"DENY",IF(AND(E18=D18,H18="ACCEPTED"),"ACCEPTED","OPEN"))</x:f>
        <x:v>OPEN</x:v>
      </x:c>
    </x:row>
    <x:row r="19">
      <x:c r="A19" s="16" t="str">
        <x:v>MXD-11</x:v>
      </x:c>
      <x:c r="B19" s="16" t="str">
        <x:v>S5</x:v>
      </x:c>
      <x:c r="C19" s="16" t="str">
        <x:v>A-to-B</x:v>
      </x:c>
      <x:c r="D19" s="16" t="n">
        <x:v>6</x:v>
      </x:c>
      <x:c r="E19" s="16" t="n">
        <x:f>COUNTIFS('Exchange Trials'!$B$8:$B$79,B19,'Exchange Trials'!$D$8:$D$79,C19,'Exchange Trials'!$M$8:$M$79,"PASS")</x:f>
        <x:v>0</x:v>
      </x:c>
      <x:c r="F19" s="16" t="n">
        <x:f>COUNTIFS('Exchange Trials'!$B$8:$B$79,B19,'Exchange Trials'!$D$8:$D$79,C19,'Exchange Trials'!$M$8:$M$79,"VALID-ADVERSE")</x:f>
        <x:v>0</x:v>
      </x:c>
      <x:c r="G19" s="16" t="n">
        <x:f>D19-E19-F19</x:f>
        <x:v>6</x:v>
      </x:c>
      <x:c r="H19" s="36"/>
      <x:c r="I19" s="16" t="str">
        <x:f>IF(F19&gt;0,"DENY",IF(AND(E19=D19,H19="ACCEPTED"),"ACCEPTED","OPEN"))</x:f>
        <x:v>OPEN</x:v>
      </x:c>
    </x:row>
    <x:row r="20">
      <x:c r="A20" s="16" t="str">
        <x:v>MXD-12</x:v>
      </x:c>
      <x:c r="B20" s="16" t="str">
        <x:v>S5</x:v>
      </x:c>
      <x:c r="C20" s="16" t="str">
        <x:v>B-to-A</x:v>
      </x:c>
      <x:c r="D20" s="16" t="n">
        <x:v>6</x:v>
      </x:c>
      <x:c r="E20" s="16" t="n">
        <x:f>COUNTIFS('Exchange Trials'!$B$8:$B$79,B20,'Exchange Trials'!$D$8:$D$79,C20,'Exchange Trials'!$M$8:$M$79,"PASS")</x:f>
        <x:v>0</x:v>
      </x:c>
      <x:c r="F20" s="16" t="n">
        <x:f>COUNTIFS('Exchange Trials'!$B$8:$B$79,B20,'Exchange Trials'!$D$8:$D$79,C20,'Exchange Trials'!$M$8:$M$79,"VALID-ADVERSE")</x:f>
        <x:v>0</x:v>
      </x:c>
      <x:c r="G20" s="16" t="n">
        <x:f>D20-E20-F20</x:f>
        <x:v>6</x:v>
      </x:c>
      <x:c r="H20" s="36"/>
      <x:c r="I20" s="16" t="str">
        <x:f>IF(F20&gt;0,"DENY",IF(AND(E20=D20,H20="ACCEPTED"),"ACCEPTED","OPEN"))</x:f>
        <x:v>OPEN</x:v>
      </x:c>
    </x:row>
  </x:sheetData>
  <x:mergeCells>
    <x:mergeCell ref="A2:I2"/>
  </x:mergeCells>
  <x:conditionalFormatting sqref="B6:I20">
    <x:cfRule type="containsText" dxfId="20" priority="1" operator="containsText" text="DENY"/>
    <x:cfRule type="containsText" dxfId="21" priority="2" operator="containsText" text="ADVERSE"/>
    <x:cfRule type="containsText" dxfId="22" priority="3" operator="containsText" text="FAIL"/>
    <x:cfRule type="containsText" dxfId="23" priority="4" operator="containsText" text="REQUIRED"/>
    <x:cfRule type="containsText" dxfId="24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ee2c0eff28d54d9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  <x:col min="3" max="3" width="12" hidden="0" customWidth="1"/>
    <x:col min="4" max="4" width="19" hidden="0" customWidth="1"/>
    <x:col min="5" max="5" width="17" hidden="0" customWidth="1"/>
    <x:col min="6" max="6" width="28" hidden="0" customWidth="1"/>
  </x:cols>
  <x:sheetData>
    <x:row r="2" ht="26" customHeight="1">
      <x:c r="A2" s="2" t="str">
        <x:v>Qualified and denied-exchange capacity</x:v>
      </x:c>
      <x:c r="B2" s="2" t="str">
        <x:v>Qualified and denied-exchange capacity</x:v>
      </x:c>
      <x:c r="C2" s="2" t="str">
        <x:v>Qualified and denied-exchange capacity</x:v>
      </x:c>
      <x:c r="D2" s="2" t="str">
        <x:v>Qualified and denied-exchange capacity</x:v>
      </x:c>
      <x:c r="E2" s="2" t="str">
        <x:v>Qualified and denied-exchange capacity</x:v>
      </x:c>
      <x:c r="F2" s="2" t="str">
        <x:v>Qualified and denied-exchange capacity</x:v>
      </x:c>
      <x:c r="G2" s="2" t="str">
        <x:v>Qualified and denied-exchange capacity</x:v>
      </x:c>
      <x:c r="H2" s="2" t="str">
        <x:v>Qualified and denied-exchange capacity</x:v>
      </x:c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51"/>
      <x:c r="B4" s="51"/>
      <x:c r="C4" s="51"/>
      <x:c r="D4" s="51"/>
      <x:c r="E4" s="51"/>
      <x:c r="F4" s="51"/>
      <x:c r="G4" s="51"/>
      <x:c r="H4" s="51"/>
    </x:row>
    <x:row r="5">
      <x:c r="A5" s="16" t="str">
        <x:v>Qualified capacity starts/week</x:v>
      </x:c>
      <x:c r="B5" s="16" t="n">
        <x:f>MIN(E9:E14)</x:f>
        <x:v>3</x:v>
      </x:c>
      <x:c r="C5" s="16"/>
      <x:c r="D5" s="16"/>
      <x:c r="E5" s="16"/>
      <x:c r="F5" s="16"/>
      <x:c r="G5" s="51"/>
      <x:c r="H5" s="51"/>
    </x:row>
    <x:row r="6">
      <x:c r="A6" s="16" t="str">
        <x:v>Denied-exchange capacity starts/week</x:v>
      </x:c>
      <x:c r="B6" s="16" t="n">
        <x:f>MIN(E15:E20)</x:f>
        <x:v>1.5</x:v>
      </x:c>
      <x:c r="C6" s="16"/>
      <x:c r="D6" s="16"/>
      <x:c r="E6" s="16"/>
      <x:c r="F6" s="16"/>
      <x:c r="G6" s="51"/>
      <x:c r="H6" s="51"/>
    </x:row>
    <x:row r="7">
      <x:c r="A7" s="16"/>
      <x:c r="B7" s="16"/>
      <x:c r="C7" s="16"/>
      <x:c r="D7" s="16"/>
      <x:c r="E7" s="16"/>
      <x:c r="F7" s="16"/>
      <x:c r="G7" s="51"/>
      <x:c r="H7" s="51"/>
    </x:row>
    <x:row r="8">
      <x:c r="A8" s="39" t="str">
        <x:v>Scenario</x:v>
      </x:c>
      <x:c r="B8" s="40" t="str">
        <x:v>Resource</x:v>
      </x:c>
      <x:c r="C8" s="40" t="str">
        <x:v>Units</x:v>
      </x:c>
      <x:c r="D8" s="40" t="str">
        <x:v>Service interval h</x:v>
      </x:c>
      <x:c r="E8" s="40" t="str">
        <x:v>Starts/week</x:v>
      </x:c>
      <x:c r="F8" s="41" t="str">
        <x:v>Constraint source</x:v>
      </x:c>
      <x:c r="G8" s="51"/>
      <x:c r="H8" s="51"/>
    </x:row>
    <x:row r="9">
      <x:c r="A9" s="16" t="str">
        <x:v>MEX-QUALIFIED</x:v>
      </x:c>
      <x:c r="B9" s="16" t="str">
        <x:v>Campus event units</x:v>
      </x:c>
      <x:c r="C9" s="44" t="n">
        <x:f>'Assumptions'!B18</x:f>
        <x:v>3</x:v>
      </x:c>
      <x:c r="D9" s="44" t="n">
        <x:v>168</x:v>
      </x:c>
      <x:c r="E9" s="44" t="n">
        <x:f>C9*168/D9</x:f>
        <x:v>3</x:v>
      </x:c>
      <x:c r="F9" s="16" t="str">
        <x:v>one start per unit-week</x:v>
      </x:c>
      <x:c r="G9" s="51"/>
      <x:c r="H9" s="51"/>
    </x:row>
    <x:row r="10">
      <x:c r="A10" s="16" t="str">
        <x:v>MEX-QUALIFIED</x:v>
      </x:c>
      <x:c r="B10" s="16" t="str">
        <x:v>Host rigs</x:v>
      </x:c>
      <x:c r="C10" s="44" t="n">
        <x:f>'Assumptions'!B19</x:f>
        <x:v>6</x:v>
      </x:c>
      <x:c r="D10" s="44" t="n">
        <x:v>336</x:v>
      </x:c>
      <x:c r="E10" s="44" t="n">
        <x:f>C10*168/D10</x:f>
        <x:v>3</x:v>
      </x:c>
      <x:c r="F10" s="16" t="str">
        <x:v>alternate root module</x:v>
      </x:c>
      <x:c r="G10" s="51"/>
      <x:c r="H10" s="51"/>
    </x:row>
    <x:row r="11">
      <x:c r="A11" s="16" t="str">
        <x:v>MEX-QUALIFIED</x:v>
      </x:c>
      <x:c r="B11" s="16" t="str">
        <x:v>Active modules</x:v>
      </x:c>
      <x:c r="C11" s="44" t="n">
        <x:f>'Assumptions'!B20</x:f>
        <x:v>12</x:v>
      </x:c>
      <x:c r="D11" s="44" t="n">
        <x:v>672</x:v>
      </x:c>
      <x:c r="E11" s="44" t="n">
        <x:f>C11*168/D11</x:f>
        <x:v>3</x:v>
      </x:c>
      <x:c r="F11" s="16" t="str">
        <x:v>same-module return</x:v>
      </x:c>
      <x:c r="G11" s="51"/>
      <x:c r="H11" s="51"/>
    </x:row>
    <x:row r="12">
      <x:c r="A12" s="16" t="str">
        <x:v>MEX-QUALIFIED</x:v>
      </x:c>
      <x:c r="B12" s="16" t="str">
        <x:v>Return lanes</x:v>
      </x:c>
      <x:c r="C12" s="44" t="n">
        <x:f>'Assumptions'!B21</x:f>
        <x:v>12</x:v>
      </x:c>
      <x:c r="D12" s="44" t="n">
        <x:v>672</x:v>
      </x:c>
      <x:c r="E12" s="44" t="n">
        <x:f>C12*168/D12</x:f>
        <x:v>3</x:v>
      </x:c>
      <x:c r="F12" s="16" t="str">
        <x:v>source-exposed return</x:v>
      </x:c>
      <x:c r="G12" s="51"/>
      <x:c r="H12" s="51"/>
    </x:row>
    <x:row r="13">
      <x:c r="A13" s="16" t="str">
        <x:v>MEX-QUALIFIED</x:v>
      </x:c>
      <x:c r="B13" s="16" t="str">
        <x:v>Package paths</x:v>
      </x:c>
      <x:c r="C13" s="44" t="n">
        <x:f>'Assumptions'!B22</x:f>
        <x:v>3</x:v>
      </x:c>
      <x:c r="D13" s="44" t="n">
        <x:v>168</x:v>
      </x:c>
      <x:c r="E13" s="44" t="n">
        <x:f>C13*168/D13</x:f>
        <x:v>3</x:v>
      </x:c>
      <x:c r="F13" s="16" t="str">
        <x:v>accepted preparation</x:v>
      </x:c>
      <x:c r="G13" s="51"/>
      <x:c r="H13" s="51"/>
    </x:row>
    <x:row r="14">
      <x:c r="A14" s="16" t="str">
        <x:v>MEX-QUALIFIED</x:v>
      </x:c>
      <x:c r="B14" s="16" t="str">
        <x:v>Evidence paths</x:v>
      </x:c>
      <x:c r="C14" s="44" t="n">
        <x:f>'Assumptions'!B23</x:f>
        <x:v>3</x:v>
      </x:c>
      <x:c r="D14" s="44" t="n">
        <x:v>168</x:v>
      </x:c>
      <x:c r="E14" s="44" t="n">
        <x:f>C14*168/D14</x:f>
        <x:v>3</x:v>
      </x:c>
      <x:c r="F14" s="16" t="str">
        <x:v>live ingest</x:v>
      </x:c>
      <x:c r="G14" s="51"/>
      <x:c r="H14" s="51"/>
    </x:row>
    <x:row r="15">
      <x:c r="A15" s="16" t="str">
        <x:v>MEX-DENIED</x:v>
      </x:c>
      <x:c r="B15" s="16" t="str">
        <x:v>Campus event units</x:v>
      </x:c>
      <x:c r="C15" s="44" t="n">
        <x:f>'Assumptions'!B18</x:f>
        <x:v>3</x:v>
      </x:c>
      <x:c r="D15" s="44" t="n">
        <x:v>168</x:v>
      </x:c>
      <x:c r="E15" s="44" t="n">
        <x:f>C15*168/D15</x:f>
        <x:v>3</x:v>
      </x:c>
      <x:c r="F15" s="16" t="str">
        <x:v>one start per unit-week</x:v>
      </x:c>
      <x:c r="G15" s="51"/>
      <x:c r="H15" s="51"/>
    </x:row>
    <x:row r="16">
      <x:c r="A16" s="16" t="str">
        <x:v>MEX-DENIED</x:v>
      </x:c>
      <x:c r="B16" s="16" t="str">
        <x:v>Host rigs</x:v>
      </x:c>
      <x:c r="C16" s="44" t="n">
        <x:f>'Assumptions'!B19</x:f>
        <x:v>6</x:v>
      </x:c>
      <x:c r="D16" s="44" t="n">
        <x:v>672</x:v>
      </x:c>
      <x:c r="E16" s="44" t="n">
        <x:f>C16*168/D16</x:f>
        <x:v>1.5</x:v>
      </x:c>
      <x:c r="F16" s="16" t="str">
        <x:v>fixed host boundary</x:v>
      </x:c>
      <x:c r="G16" s="51"/>
      <x:c r="H16" s="51"/>
    </x:row>
    <x:row r="17">
      <x:c r="A17" s="16" t="str">
        <x:v>MEX-DENIED</x:v>
      </x:c>
      <x:c r="B17" s="16" t="str">
        <x:v>Active modules</x:v>
      </x:c>
      <x:c r="C17" s="44" t="n">
        <x:f>'Assumptions'!B20</x:f>
        <x:v>12</x:v>
      </x:c>
      <x:c r="D17" s="44" t="n">
        <x:v>672</x:v>
      </x:c>
      <x:c r="E17" s="44" t="n">
        <x:f>C17*168/D17</x:f>
        <x:v>3</x:v>
      </x:c>
      <x:c r="F17" s="16" t="str">
        <x:v>same-module return</x:v>
      </x:c>
      <x:c r="G17" s="51"/>
      <x:c r="H17" s="51"/>
    </x:row>
    <x:row r="18">
      <x:c r="A18" s="16" t="str">
        <x:v>MEX-DENIED</x:v>
      </x:c>
      <x:c r="B18" s="16" t="str">
        <x:v>Return lanes</x:v>
      </x:c>
      <x:c r="C18" s="44" t="n">
        <x:f>'Assumptions'!B21</x:f>
        <x:v>12</x:v>
      </x:c>
      <x:c r="D18" s="44" t="n">
        <x:v>672</x:v>
      </x:c>
      <x:c r="E18" s="44" t="n">
        <x:f>C18*168/D18</x:f>
        <x:v>3</x:v>
      </x:c>
      <x:c r="F18" s="16" t="str">
        <x:v>source-exposed return</x:v>
      </x:c>
      <x:c r="G18" s="51"/>
      <x:c r="H18" s="51"/>
    </x:row>
    <x:row r="19">
      <x:c r="A19" s="16" t="str">
        <x:v>MEX-DENIED</x:v>
      </x:c>
      <x:c r="B19" s="16" t="str">
        <x:v>Package paths</x:v>
      </x:c>
      <x:c r="C19" s="44" t="n">
        <x:f>'Assumptions'!B22</x:f>
        <x:v>3</x:v>
      </x:c>
      <x:c r="D19" s="44" t="n">
        <x:v>168</x:v>
      </x:c>
      <x:c r="E19" s="44" t="n">
        <x:f>C19*168/D19</x:f>
        <x:v>3</x:v>
      </x:c>
      <x:c r="F19" s="16" t="str">
        <x:v>accepted preparation</x:v>
      </x:c>
      <x:c r="G19" s="51"/>
      <x:c r="H19" s="51"/>
    </x:row>
    <x:row r="20">
      <x:c r="A20" s="16" t="str">
        <x:v>MEX-DENIED</x:v>
      </x:c>
      <x:c r="B20" s="16" t="str">
        <x:v>Evidence paths</x:v>
      </x:c>
      <x:c r="C20" s="44" t="n">
        <x:f>'Assumptions'!B23</x:f>
        <x:v>3</x:v>
      </x:c>
      <x:c r="D20" s="44" t="n">
        <x:v>168</x:v>
      </x:c>
      <x:c r="E20" s="44" t="n">
        <x:f>C20*168/D20</x:f>
        <x:v>3</x:v>
      </x:c>
      <x:c r="F20" s="16" t="str">
        <x:v>live ingest</x:v>
      </x:c>
      <x:c r="G20" s="51"/>
      <x:c r="H20" s="51"/>
    </x:row>
  </x:sheetData>
  <x:mergeCells>
    <x:mergeCell ref="A2:H2"/>
  </x:mergeCells>
  <x:pageMargins left="0.7" right="0.7" top="0.75" bottom="0.75" header="0.3" footer="0.3"/>
  <x:tableParts count="1">
    <x:tablePart xmlns:r="http://schemas.openxmlformats.org/officeDocument/2006/relationships" r:id="R75552e9a16e8481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12" hidden="0" customWidth="1"/>
    <x:col min="4" max="4" width="16" hidden="0" customWidth="1"/>
    <x:col min="5" max="5" width="16" hidden="0" customWidth="1"/>
    <x:col min="6" max="6" width="18" hidden="0" customWidth="1"/>
    <x:col min="7" max="7" width="13" hidden="0" customWidth="1"/>
    <x:col min="8" max="8" width="18" hidden="0" customWidth="1"/>
    <x:col min="9" max="9" width="16" hidden="0" customWidth="1"/>
    <x:col min="10" max="10" width="13" hidden="0" customWidth="1"/>
    <x:col min="11" max="11" width="18" hidden="0" customWidth="1"/>
  </x:cols>
  <x:sheetData>
    <x:row r="2" ht="26" customHeight="1">
      <x:c r="A2" s="2" t="str">
        <x:v>Eleven post-seed primary events</x:v>
      </x:c>
      <x:c r="B2" s="2" t="str">
        <x:v>Eleven post-seed primary events</x:v>
      </x:c>
      <x:c r="C2" s="2" t="str">
        <x:v>Eleven post-seed primary events</x:v>
      </x:c>
      <x:c r="D2" s="2" t="str">
        <x:v>Eleven post-seed primary events</x:v>
      </x:c>
      <x:c r="E2" s="2" t="str">
        <x:v>Eleven post-seed primary events</x:v>
      </x:c>
      <x:c r="F2" s="2" t="str">
        <x:v>Eleven post-seed primary events</x:v>
      </x:c>
      <x:c r="G2" s="2" t="str">
        <x:v>Eleven post-seed primary events</x:v>
      </x:c>
      <x:c r="H2" s="2" t="str">
        <x:v>Eleven post-seed primary events</x:v>
      </x:c>
      <x:c r="I2" s="2" t="str">
        <x:v>Eleven post-seed primary events</x:v>
      </x:c>
      <x:c r="J2" s="2" t="str">
        <x:v>Eleven post-seed primary events</x:v>
      </x:c>
      <x:c r="K2" s="2" t="str">
        <x:v>Eleven post-seed primary events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</x:row>
    <x:row r="5">
      <x:c r="A5" s="52" t="str">
        <x:v>C0 follows accepted seed return and the applicable exchange decision. The accepted seed already supplies one exact cell credit.</x:v>
      </x:c>
      <x:c r="B5" s="51"/>
      <x:c r="C5" s="51"/>
      <x:c r="D5" s="51"/>
      <x:c r="E5" s="51"/>
      <x:c r="F5" s="51"/>
      <x:c r="G5" s="51"/>
      <x:c r="H5" s="51"/>
      <x:c r="I5" s="51"/>
      <x:c r="J5" s="51"/>
      <x:c r="K5" s="51"/>
    </x:row>
    <x:row r="6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</x:row>
    <x:row r="7">
      <x:c r="A7" s="32" t="str">
        <x:v>Order</x:v>
      </x:c>
      <x:c r="B7" s="33" t="str">
        <x:v>Day from C0</x:v>
      </x:c>
      <x:c r="C7" s="33" t="str">
        <x:v>Campus</x:v>
      </x:c>
      <x:c r="D7" s="33" t="str">
        <x:v>Normalized rig</x:v>
      </x:c>
      <x:c r="E7" s="33" t="str">
        <x:v>Truth root</x:v>
      </x:c>
      <x:c r="F7" s="33" t="str">
        <x:v>Builder lineage</x:v>
      </x:c>
      <x:c r="G7" s="33" t="str">
        <x:v>Cell role</x:v>
      </x:c>
      <x:c r="H7" s="33" t="str">
        <x:v>Module interval h</x:v>
      </x:c>
      <x:c r="I7" s="33" t="str">
        <x:v>Host interval h</x:v>
      </x:c>
      <x:c r="J7" s="33" t="str">
        <x:v>Return day</x:v>
      </x:c>
      <x:c r="K7" s="34" t="str">
        <x:v>Review-ready day</x:v>
      </x:c>
    </x:row>
    <x:row r="8">
      <x:c r="A8" s="16" t="n">
        <x:v>1</x:v>
      </x:c>
      <x:c r="B8" s="16" t="n">
        <x:v>0</x:v>
      </x:c>
      <x:c r="C8" s="16" t="str">
        <x:v>C-1</x:v>
      </x:c>
      <x:c r="D8" s="16" t="str">
        <x:v>S1</x:v>
      </x:c>
      <x:c r="E8" s="16" t="str">
        <x:v>TR-B</x:v>
      </x:c>
      <x:c r="F8" s="16" t="str">
        <x:v>BL-A</x:v>
      </x:c>
      <x:c r="G8" s="16" t="str">
        <x:v>PRIMARY</x:v>
      </x:c>
      <x:c r="H8" s="16" t="n">
        <x:v>672</x:v>
      </x:c>
      <x:c r="I8" s="16" t="n">
        <x:v>336</x:v>
      </x:c>
      <x:c r="J8" s="16" t="n">
        <x:f>B8+28</x:f>
        <x:v>28</x:v>
      </x:c>
      <x:c r="K8" s="16" t="n">
        <x:f>J8+14</x:f>
        <x:v>42</x:v>
      </x:c>
    </x:row>
    <x:row r="9">
      <x:c r="A9" s="16" t="n">
        <x:v>2</x:v>
      </x:c>
      <x:c r="B9" s="16" t="n">
        <x:v>0</x:v>
      </x:c>
      <x:c r="C9" s="16" t="str">
        <x:v>C-2</x:v>
      </x:c>
      <x:c r="D9" s="16" t="str">
        <x:v>S2</x:v>
      </x:c>
      <x:c r="E9" s="16" t="str">
        <x:v>TR-A</x:v>
      </x:c>
      <x:c r="F9" s="16" t="str">
        <x:v>BL-A</x:v>
      </x:c>
      <x:c r="G9" s="16" t="str">
        <x:v>PRIMARY</x:v>
      </x:c>
      <x:c r="H9" s="16" t="n">
        <x:v>672</x:v>
      </x:c>
      <x:c r="I9" s="16" t="n">
        <x:v>336</x:v>
      </x:c>
      <x:c r="J9" s="16" t="n">
        <x:f>B9+28</x:f>
        <x:v>28</x:v>
      </x:c>
      <x:c r="K9" s="16" t="n">
        <x:f>J9+14</x:f>
        <x:v>42</x:v>
      </x:c>
    </x:row>
    <x:row r="10">
      <x:c r="A10" s="16" t="n">
        <x:v>3</x:v>
      </x:c>
      <x:c r="B10" s="16" t="n">
        <x:v>0</x:v>
      </x:c>
      <x:c r="C10" s="16" t="str">
        <x:v>C-3</x:v>
      </x:c>
      <x:c r="D10" s="16" t="str">
        <x:v>S4</x:v>
      </x:c>
      <x:c r="E10" s="16" t="str">
        <x:v>TR-A</x:v>
      </x:c>
      <x:c r="F10" s="16" t="str">
        <x:v>BL-A</x:v>
      </x:c>
      <x:c r="G10" s="16" t="str">
        <x:v>PRIMARY</x:v>
      </x:c>
      <x:c r="H10" s="16" t="n">
        <x:v>672</x:v>
      </x:c>
      <x:c r="I10" s="16" t="n">
        <x:v>336</x:v>
      </x:c>
      <x:c r="J10" s="16" t="n">
        <x:f>B10+28</x:f>
        <x:v>28</x:v>
      </x:c>
      <x:c r="K10" s="16" t="n">
        <x:f>J10+14</x:f>
        <x:v>42</x:v>
      </x:c>
    </x:row>
    <x:row r="11">
      <x:c r="A11" s="16" t="n">
        <x:v>4</x:v>
      </x:c>
      <x:c r="B11" s="16" t="n">
        <x:v>7</x:v>
      </x:c>
      <x:c r="C11" s="16" t="str">
        <x:v>C-1</x:v>
      </x:c>
      <x:c r="D11" s="16" t="str">
        <x:v>S0</x:v>
      </x:c>
      <x:c r="E11" s="16" t="str">
        <x:v>TR-other</x:v>
      </x:c>
      <x:c r="F11" s="16" t="str">
        <x:v>seed-dependent</x:v>
      </x:c>
      <x:c r="G11" s="16" t="str">
        <x:v>PRIMARY</x:v>
      </x:c>
      <x:c r="H11" s="16" t="n">
        <x:v>672</x:v>
      </x:c>
      <x:c r="I11" s="16" t="n">
        <x:v>336</x:v>
      </x:c>
      <x:c r="J11" s="16" t="n">
        <x:f>B11+28</x:f>
        <x:v>35</x:v>
      </x:c>
      <x:c r="K11" s="16" t="n">
        <x:f>J11+14</x:f>
        <x:v>49</x:v>
      </x:c>
    </x:row>
    <x:row r="12">
      <x:c r="A12" s="16" t="n">
        <x:v>5</x:v>
      </x:c>
      <x:c r="B12" s="16" t="n">
        <x:v>7</x:v>
      </x:c>
      <x:c r="C12" s="16" t="str">
        <x:v>C-2</x:v>
      </x:c>
      <x:c r="D12" s="16" t="str">
        <x:v>S3</x:v>
      </x:c>
      <x:c r="E12" s="16" t="str">
        <x:v>TR-B</x:v>
      </x:c>
      <x:c r="F12" s="16" t="str">
        <x:v>BL-A</x:v>
      </x:c>
      <x:c r="G12" s="16" t="str">
        <x:v>PRIMARY</x:v>
      </x:c>
      <x:c r="H12" s="16" t="n">
        <x:v>672</x:v>
      </x:c>
      <x:c r="I12" s="16" t="n">
        <x:v>336</x:v>
      </x:c>
      <x:c r="J12" s="16" t="n">
        <x:f>B12+28</x:f>
        <x:v>35</x:v>
      </x:c>
      <x:c r="K12" s="16" t="n">
        <x:f>J12+14</x:f>
        <x:v>49</x:v>
      </x:c>
    </x:row>
    <x:row r="13">
      <x:c r="A13" s="16" t="n">
        <x:v>6</x:v>
      </x:c>
      <x:c r="B13" s="16" t="n">
        <x:v>7</x:v>
      </x:c>
      <x:c r="C13" s="16" t="str">
        <x:v>C-3</x:v>
      </x:c>
      <x:c r="D13" s="16" t="str">
        <x:v>S5</x:v>
      </x:c>
      <x:c r="E13" s="16" t="str">
        <x:v>TR-B</x:v>
      </x:c>
      <x:c r="F13" s="16" t="str">
        <x:v>BL-A</x:v>
      </x:c>
      <x:c r="G13" s="16" t="str">
        <x:v>PRIMARY</x:v>
      </x:c>
      <x:c r="H13" s="16" t="n">
        <x:v>672</x:v>
      </x:c>
      <x:c r="I13" s="16" t="n">
        <x:v>336</x:v>
      </x:c>
      <x:c r="J13" s="16" t="n">
        <x:f>B13+28</x:f>
        <x:v>35</x:v>
      </x:c>
      <x:c r="K13" s="16" t="n">
        <x:f>J13+14</x:f>
        <x:v>49</x:v>
      </x:c>
    </x:row>
    <x:row r="14">
      <x:c r="A14" s="16" t="n">
        <x:v>7</x:v>
      </x:c>
      <x:c r="B14" s="16" t="n">
        <x:v>14</x:v>
      </x:c>
      <x:c r="C14" s="16" t="str">
        <x:v>C-1</x:v>
      </x:c>
      <x:c r="D14" s="16" t="str">
        <x:v>S1</x:v>
      </x:c>
      <x:c r="E14" s="16" t="str">
        <x:v>TR-A</x:v>
      </x:c>
      <x:c r="F14" s="16" t="str">
        <x:v>BL-B</x:v>
      </x:c>
      <x:c r="G14" s="16" t="str">
        <x:v>PRIMARY</x:v>
      </x:c>
      <x:c r="H14" s="16" t="n">
        <x:v>672</x:v>
      </x:c>
      <x:c r="I14" s="16" t="n">
        <x:v>336</x:v>
      </x:c>
      <x:c r="J14" s="16" t="n">
        <x:f>B14+28</x:f>
        <x:v>42</x:v>
      </x:c>
      <x:c r="K14" s="16" t="n">
        <x:f>J14+14</x:f>
        <x:v>56</x:v>
      </x:c>
    </x:row>
    <x:row r="15">
      <x:c r="A15" s="16" t="n">
        <x:v>8</x:v>
      </x:c>
      <x:c r="B15" s="16" t="n">
        <x:v>14</x:v>
      </x:c>
      <x:c r="C15" s="16" t="str">
        <x:v>C-2</x:v>
      </x:c>
      <x:c r="D15" s="16" t="str">
        <x:v>S2</x:v>
      </x:c>
      <x:c r="E15" s="16" t="str">
        <x:v>TR-B</x:v>
      </x:c>
      <x:c r="F15" s="16" t="str">
        <x:v>BL-B</x:v>
      </x:c>
      <x:c r="G15" s="16" t="str">
        <x:v>PRIMARY</x:v>
      </x:c>
      <x:c r="H15" s="16" t="n">
        <x:v>672</x:v>
      </x:c>
      <x:c r="I15" s="16" t="n">
        <x:v>336</x:v>
      </x:c>
      <x:c r="J15" s="16" t="n">
        <x:f>B15+28</x:f>
        <x:v>42</x:v>
      </x:c>
      <x:c r="K15" s="16" t="n">
        <x:f>J15+14</x:f>
        <x:v>56</x:v>
      </x:c>
    </x:row>
    <x:row r="16">
      <x:c r="A16" s="16" t="n">
        <x:v>9</x:v>
      </x:c>
      <x:c r="B16" s="16" t="n">
        <x:v>14</x:v>
      </x:c>
      <x:c r="C16" s="16" t="str">
        <x:v>C-3</x:v>
      </x:c>
      <x:c r="D16" s="16" t="str">
        <x:v>S4</x:v>
      </x:c>
      <x:c r="E16" s="16" t="str">
        <x:v>TR-B</x:v>
      </x:c>
      <x:c r="F16" s="16" t="str">
        <x:v>BL-B</x:v>
      </x:c>
      <x:c r="G16" s="16" t="str">
        <x:v>PRIMARY</x:v>
      </x:c>
      <x:c r="H16" s="16" t="n">
        <x:v>672</x:v>
      </x:c>
      <x:c r="I16" s="16" t="n">
        <x:v>336</x:v>
      </x:c>
      <x:c r="J16" s="16" t="n">
        <x:f>B16+28</x:f>
        <x:v>42</x:v>
      </x:c>
      <x:c r="K16" s="16" t="n">
        <x:f>J16+14</x:f>
        <x:v>56</x:v>
      </x:c>
    </x:row>
    <x:row r="17">
      <x:c r="A17" s="16" t="n">
        <x:v>10</x:v>
      </x:c>
      <x:c r="B17" s="16" t="n">
        <x:v>21</x:v>
      </x:c>
      <x:c r="C17" s="16" t="str">
        <x:v>C-2</x:v>
      </x:c>
      <x:c r="D17" s="16" t="str">
        <x:v>S3</x:v>
      </x:c>
      <x:c r="E17" s="16" t="str">
        <x:v>TR-A</x:v>
      </x:c>
      <x:c r="F17" s="16" t="str">
        <x:v>BL-B</x:v>
      </x:c>
      <x:c r="G17" s="16" t="str">
        <x:v>PRIMARY</x:v>
      </x:c>
      <x:c r="H17" s="16" t="n">
        <x:v>672</x:v>
      </x:c>
      <x:c r="I17" s="16" t="n">
        <x:v>336</x:v>
      </x:c>
      <x:c r="J17" s="16" t="n">
        <x:f>B17+28</x:f>
        <x:v>49</x:v>
      </x:c>
      <x:c r="K17" s="16" t="n">
        <x:f>J17+14</x:f>
        <x:v>63</x:v>
      </x:c>
    </x:row>
    <x:row r="18">
      <x:c r="A18" s="16" t="n">
        <x:v>11</x:v>
      </x:c>
      <x:c r="B18" s="16" t="n">
        <x:v>21</x:v>
      </x:c>
      <x:c r="C18" s="16" t="str">
        <x:v>C-3</x:v>
      </x:c>
      <x:c r="D18" s="16" t="str">
        <x:v>S5</x:v>
      </x:c>
      <x:c r="E18" s="16" t="str">
        <x:v>TR-A</x:v>
      </x:c>
      <x:c r="F18" s="16" t="str">
        <x:v>BL-B</x:v>
      </x:c>
      <x:c r="G18" s="16" t="str">
        <x:v>PRIMARY</x:v>
      </x:c>
      <x:c r="H18" s="16" t="n">
        <x:v>672</x:v>
      </x:c>
      <x:c r="I18" s="16" t="n">
        <x:v>336</x:v>
      </x:c>
      <x:c r="J18" s="16" t="n">
        <x:f>B18+28</x:f>
        <x:v>49</x:v>
      </x:c>
      <x:c r="K18" s="16" t="n">
        <x:f>J18+14</x:f>
        <x:v>63</x:v>
      </x:c>
    </x:row>
  </x:sheetData>
  <x:mergeCells>
    <x:mergeCell ref="A2:K2"/>
  </x:mergeCells>
  <x:pageMargins left="0.7" right="0.7" top="0.75" bottom="0.75" header="0.3" footer="0.3"/>
  <x:tableParts count="1">
    <x:tablePart xmlns:r="http://schemas.openxmlformats.org/officeDocument/2006/relationships" r:id="Rc6e8c851ba8148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2" hidden="0" customWidth="1"/>
    <x:col min="2" max="2" width="20" hidden="0" customWidth="1"/>
    <x:col min="3" max="3" width="18" hidden="0" customWidth="1"/>
    <x:col min="4" max="4" width="18" hidden="0" customWidth="1"/>
    <x:col min="5" max="5" width="16" hidden="0" customWidth="1"/>
    <x:col min="6" max="6" width="21" hidden="0" customWidth="1"/>
    <x:col min="7" max="7" width="17" hidden="0" customWidth="1"/>
    <x:col min="8" max="8" width="17" hidden="0" customWidth="1"/>
    <x:col min="9" max="9" width="15" hidden="0" customWidth="1"/>
    <x:col min="10" max="10" width="20" hidden="0" customWidth="1"/>
    <x:col min="11" max="11" width="21" hidden="0" customWidth="1"/>
    <x:col min="12" max="12" width="18" hidden="0" customWidth="1"/>
    <x:col min="13" max="13" width="19" hidden="0" customWidth="1"/>
  </x:cols>
  <x:sheetData>
    <x:row r="2" ht="26" customHeight="1">
      <x:c r="A2" s="2" t="str">
        <x:v>Source and total class calendar boundaries</x:v>
      </x:c>
      <x:c r="B2" s="2" t="str">
        <x:v>Source and total class calendar boundaries</x:v>
      </x:c>
      <x:c r="C2" s="2" t="str">
        <x:v>Source and total class calendar boundaries</x:v>
      </x:c>
      <x:c r="D2" s="2" t="str">
        <x:v>Source and total class calendar boundaries</x:v>
      </x:c>
      <x:c r="E2" s="2" t="str">
        <x:v>Source and total class calendar boundaries</x:v>
      </x:c>
      <x:c r="F2" s="2" t="str">
        <x:v>Source and total class calendar boundaries</x:v>
      </x:c>
      <x:c r="G2" s="2" t="str">
        <x:v>Source and total class calendar boundaries</x:v>
      </x:c>
      <x:c r="H2" s="2" t="str">
        <x:v>Source and total class calendar boundaries</x:v>
      </x:c>
      <x:c r="I2" s="2" t="str">
        <x:v>Source and total class calendar boundaries</x:v>
      </x:c>
      <x:c r="J2" s="2" t="str">
        <x:v>Source and total class calendar boundaries</x:v>
      </x:c>
      <x:c r="K2" s="2" t="str">
        <x:v>Source and total class calendar boundaries</x:v>
      </x:c>
      <x:c r="L2" s="2" t="str">
        <x:v>Source and total class calendar boundaries</x:v>
      </x:c>
      <x:c r="M2" s="2" t="str">
        <x:v>Source and total class calendar boundaries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</x:row>
    <x:row r="5">
      <x:c r="A5" s="32" t="str">
        <x:v>Case</x:v>
      </x:c>
      <x:c r="B5" s="33" t="str">
        <x:v>Total attempts incl. seed</x:v>
      </x:c>
      <x:c r="C5" s="33" t="str">
        <x:v>Post-seed attempts</x:v>
      </x:c>
      <x:c r="D5" s="33" t="str">
        <x:v>Local host attempts</x:v>
      </x:c>
      <x:c r="E5" s="33" t="str">
        <x:v>Host interval d</x:v>
      </x:c>
      <x:c r="F5" s="33" t="str">
        <x:v>Last event from C0 d</x:v>
      </x:c>
      <x:c r="G5" s="33" t="str">
        <x:v>Return offset d</x:v>
      </x:c>
      <x:c r="H5" s="33" t="str">
        <x:v>Last return d</x:v>
      </x:c>
      <x:c r="I5" s="33" t="str">
        <x:v>Review lag d</x:v>
      </x:c>
      <x:c r="J5" s="33" t="str">
        <x:v>Review from C0 d</x:v>
      </x:c>
      <x:c r="K5" s="33" t="str">
        <x:v>Exchange campaign d</x:v>
      </x:c>
      <x:c r="L5" s="33" t="str">
        <x:v>Total boundary d</x:v>
      </x:c>
      <x:c r="M5" s="34" t="str">
        <x:v>Inside 24 months</x:v>
      </x:c>
    </x:row>
    <x:row r="6">
      <x:c r="A6" s="16" t="str">
        <x:v>Primary</x:v>
      </x:c>
      <x:c r="B6" s="16" t="n">
        <x:v>12</x:v>
      </x:c>
      <x:c r="C6" s="16" t="n">
        <x:v>11</x:v>
      </x:c>
      <x:c r="D6" s="16" t="n">
        <x:v>2</x:v>
      </x:c>
      <x:c r="E6" s="16" t="n">
        <x:v>14</x:v>
      </x:c>
      <x:c r="F6" s="16" t="n">
        <x:v>21</x:v>
      </x:c>
      <x:c r="G6" s="16" t="n">
        <x:v>28</x:v>
      </x:c>
      <x:c r="H6" s="16" t="n">
        <x:f>F6+G6</x:f>
        <x:v>49</x:v>
      </x:c>
      <x:c r="I6" s="16" t="n">
        <x:v>14</x:v>
      </x:c>
      <x:c r="J6" s="16" t="n">
        <x:f>H6+I6</x:f>
        <x:v>63</x:v>
      </x:c>
      <x:c r="K6" s="16" t="n">
        <x:f>'Assumptions'!B25*7</x:f>
        <x:v>84</x:v>
      </x:c>
      <x:c r="L6" s="16" t="n">
        <x:f>J6+K6</x:f>
        <x:v>147</x:v>
      </x:c>
      <x:c r="M6" s="16" t="str">
        <x:f>IF(L6&lt;='Assumptions'!B29*365/12,"YES","NO")</x:f>
        <x:v>YES</x:v>
      </x:c>
    </x:row>
    <x:row r="7">
      <x:c r="A7" s="16" t="str">
        <x:v>Distributed maximum</x:v>
      </x:c>
      <x:c r="B7" s="16" t="n">
        <x:v>28</x:v>
      </x:c>
      <x:c r="C7" s="16" t="n">
        <x:v>27</x:v>
      </x:c>
      <x:c r="D7" s="16" t="n">
        <x:v>5</x:v>
      </x:c>
      <x:c r="E7" s="16" t="n">
        <x:v>14</x:v>
      </x:c>
      <x:c r="F7" s="16" t="n">
        <x:v>56</x:v>
      </x:c>
      <x:c r="G7" s="16" t="n">
        <x:v>28</x:v>
      </x:c>
      <x:c r="H7" s="16" t="n">
        <x:f>F7+G7</x:f>
        <x:v>84</x:v>
      </x:c>
      <x:c r="I7" s="16" t="n">
        <x:v>14</x:v>
      </x:c>
      <x:c r="J7" s="16" t="n">
        <x:f>H7+I7</x:f>
        <x:v>98</x:v>
      </x:c>
      <x:c r="K7" s="16" t="n">
        <x:f>'Assumptions'!B25*7</x:f>
        <x:v>84</x:v>
      </x:c>
      <x:c r="L7" s="16" t="n">
        <x:f>J7+K7</x:f>
        <x:v>182</x:v>
      </x:c>
      <x:c r="M7" s="16" t="str">
        <x:f>IF(L7&lt;='Assumptions'!B29*365/12,"YES","NO")</x:f>
        <x:v>YES</x:v>
      </x:c>
    </x:row>
    <x:row r="8">
      <x:c r="A8" s="16" t="str">
        <x:v>One-cell concentration</x:v>
      </x:c>
      <x:c r="B8" s="16" t="n">
        <x:v>28</x:v>
      </x:c>
      <x:c r="C8" s="16" t="n">
        <x:v>27</x:v>
      </x:c>
      <x:c r="D8" s="16" t="n">
        <x:v>9</x:v>
      </x:c>
      <x:c r="E8" s="16" t="n">
        <x:v>28</x:v>
      </x:c>
      <x:c r="F8" s="16" t="n">
        <x:v>224</x:v>
      </x:c>
      <x:c r="G8" s="16" t="n">
        <x:v>28</x:v>
      </x:c>
      <x:c r="H8" s="16" t="n">
        <x:f>F8+G8</x:f>
        <x:v>252</x:v>
      </x:c>
      <x:c r="I8" s="16" t="n">
        <x:v>14</x:v>
      </x:c>
      <x:c r="J8" s="16" t="n">
        <x:f>H8+I8</x:f>
        <x:v>266</x:v>
      </x:c>
      <x:c r="K8" s="16" t="n">
        <x:f>'Assumptions'!B25*7</x:f>
        <x:v>84</x:v>
      </x:c>
      <x:c r="L8" s="16" t="n">
        <x:f>J8+K8</x:f>
        <x:v>350</x:v>
      </x:c>
      <x:c r="M8" s="16" t="str">
        <x:f>IF(L8&lt;='Assumptions'!B29*365/12,"YES","NO")</x:f>
        <x:v>YES</x:v>
      </x:c>
    </x:row>
    <x:row r="9">
      <x:c r="A9" s="16" t="str">
        <x:v>Both families, exchange qualified</x:v>
      </x:c>
      <x:c r="B9" s="16" t="n">
        <x:v>28</x:v>
      </x:c>
      <x:c r="C9" s="16" t="n">
        <x:v>27</x:v>
      </x:c>
      <x:c r="D9" s="16" t="n">
        <x:v>18</x:v>
      </x:c>
      <x:c r="E9" s="16" t="n">
        <x:v>14</x:v>
      </x:c>
      <x:c r="F9" s="16" t="n">
        <x:v>238</x:v>
      </x:c>
      <x:c r="G9" s="16" t="n">
        <x:v>28</x:v>
      </x:c>
      <x:c r="H9" s="16" t="n">
        <x:f>F9+G9</x:f>
        <x:v>266</x:v>
      </x:c>
      <x:c r="I9" s="16" t="n">
        <x:v>14</x:v>
      </x:c>
      <x:c r="J9" s="16" t="n">
        <x:f>H9+I9</x:f>
        <x:v>280</x:v>
      </x:c>
      <x:c r="K9" s="16" t="n">
        <x:f>'Assumptions'!B25*7</x:f>
        <x:v>84</x:v>
      </x:c>
      <x:c r="L9" s="16" t="n">
        <x:f>J9+K9</x:f>
        <x:v>364</x:v>
      </x:c>
      <x:c r="M9" s="16" t="str">
        <x:f>IF(L9&lt;='Assumptions'!B29*365/12,"YES","NO")</x:f>
        <x:v>YES</x:v>
      </x:c>
    </x:row>
    <x:row r="10">
      <x:c r="A10" s="16" t="str">
        <x:v>Both families, exchange denied</x:v>
      </x:c>
      <x:c r="B10" s="16" t="n">
        <x:v>28</x:v>
      </x:c>
      <x:c r="C10" s="16" t="n">
        <x:v>27</x:v>
      </x:c>
      <x:c r="D10" s="16" t="n">
        <x:v>18</x:v>
      </x:c>
      <x:c r="E10" s="16" t="n">
        <x:v>28</x:v>
      </x:c>
      <x:c r="F10" s="16" t="n">
        <x:v>476</x:v>
      </x:c>
      <x:c r="G10" s="16" t="n">
        <x:v>28</x:v>
      </x:c>
      <x:c r="H10" s="16" t="n">
        <x:f>F10+G10</x:f>
        <x:v>504</x:v>
      </x:c>
      <x:c r="I10" s="16" t="n">
        <x:v>14</x:v>
      </x:c>
      <x:c r="J10" s="16" t="n">
        <x:f>H10+I10</x:f>
        <x:v>518</x:v>
      </x:c>
      <x:c r="K10" s="16" t="n">
        <x:f>'Assumptions'!B25*7</x:f>
        <x:v>84</x:v>
      </x:c>
      <x:c r="L10" s="16" t="n">
        <x:f>J10+K10</x:f>
        <x:v>602</x:v>
      </x:c>
      <x:c r="M10" s="16" t="str">
        <x:f>IF(L10&lt;='Assumptions'!B29*365/12,"YES","NO")</x:f>
        <x:v>YES</x:v>
      </x:c>
    </x:row>
  </x:sheetData>
  <x:mergeCells>
    <x:mergeCell ref="A2:M2"/>
  </x:mergeCells>
  <x:pageMargins left="0.7" right="0.7" top="0.75" bottom="0.75" header="0.3" footer="0.3"/>
  <x:tableParts count="1">
    <x:tablePart xmlns:r="http://schemas.openxmlformats.org/officeDocument/2006/relationships" r:id="Rea9cb7362da5471b"/>
  </x:tableParts>
</x:worksheet>
</file>

<file path=xl/worksheets/sheet11.xml><?xml version="1.0" encoding="utf-8"?>
<x:worksheet xmlns:x="http://schemas.openxmlformats.org/spreadsheetml/2006/main">
  <x:sheetPr>
    <x:tabColor rgb="FFDDEBF7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5" hidden="0" customWidth="1"/>
    <x:col min="5" max="5" width="17" hidden="0" customWidth="1"/>
    <x:col min="6" max="6" width="18" hidden="0" customWidth="1"/>
    <x:col min="7" max="7" width="14" hidden="0" customWidth="1"/>
    <x:col min="8" max="8" width="14" hidden="0" customWidth="1"/>
    <x:col min="9" max="9" width="19" hidden="0" customWidth="1"/>
    <x:col min="10" max="10" width="18" hidden="0" customWidth="1"/>
    <x:col min="11" max="11" width="13" hidden="0" customWidth="1"/>
    <x:col min="12" max="12" width="16" hidden="0" customWidth="1"/>
    <x:col min="13" max="13" width="15" hidden="0" customWidth="1"/>
    <x:col min="14" max="14" width="16" hidden="0" customWidth="1"/>
    <x:col min="15" max="15" width="16" hidden="0" customWidth="1"/>
    <x:col min="16" max="16" width="20" hidden="0" customWidth="1"/>
  </x:cols>
  <x:sheetData>
    <x:row r="2" ht="26" customHeight="1">
      <x:c r="A2" s="2" t="str">
        <x:v>Twenty-eight source-attempt positions</x:v>
      </x:c>
      <x:c r="B2" s="2" t="str">
        <x:v>Twenty-eight source-attempt positions</x:v>
      </x:c>
      <x:c r="C2" s="2" t="str">
        <x:v>Twenty-eight source-attempt positions</x:v>
      </x:c>
      <x:c r="D2" s="2" t="str">
        <x:v>Twenty-eight source-attempt positions</x:v>
      </x:c>
      <x:c r="E2" s="2" t="str">
        <x:v>Twenty-eight source-attempt positions</x:v>
      </x:c>
      <x:c r="F2" s="2" t="str">
        <x:v>Twenty-eight source-attempt positions</x:v>
      </x:c>
      <x:c r="G2" s="2" t="str">
        <x:v>Twenty-eight source-attempt positions</x:v>
      </x:c>
      <x:c r="H2" s="2" t="str">
        <x:v>Twenty-eight source-attempt positions</x:v>
      </x:c>
      <x:c r="I2" s="2" t="str">
        <x:v>Twenty-eight source-attempt positions</x:v>
      </x:c>
      <x:c r="J2" s="2" t="str">
        <x:v>Twenty-eight source-attempt positions</x:v>
      </x:c>
      <x:c r="K2" s="2" t="str">
        <x:v>Twenty-eight source-attempt positions</x:v>
      </x:c>
      <x:c r="L2" s="2" t="str">
        <x:v>Twenty-eight source-attempt positions</x:v>
      </x:c>
      <x:c r="M2" s="2" t="str">
        <x:v>Twenty-eight source-attempt positions</x:v>
      </x:c>
      <x:c r="N2" s="2" t="str">
        <x:v>Twenty-eight source-attempt positions</x:v>
      </x:c>
      <x:c r="O2" s="2" t="str">
        <x:v>Twenty-eight source-attempt positions</x:v>
      </x:c>
      <x:c r="P2" s="2" t="str">
        <x:v>Twenty-eight source-attempt positions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</x:row>
    <x:row r="5">
      <x:c r="A5" s="52" t="str">
        <x:v>Reserve cell and module assignments remain blank until independent invalidity activates the next truth-root-family token.</x:v>
      </x:c>
      <x:c r="B5" s="51"/>
      <x:c r="C5" s="51"/>
      <x:c r="D5" s="51"/>
      <x:c r="E5" s="51"/>
      <x:c r="F5" s="51"/>
      <x:c r="G5" s="51"/>
      <x:c r="H5" s="51"/>
      <x:c r="I5" s="51"/>
      <x:c r="J5" s="51"/>
      <x:c r="K5" s="51"/>
      <x:c r="L5" s="51"/>
      <x:c r="M5" s="51"/>
      <x:c r="N5" s="51"/>
      <x:c r="O5" s="51"/>
      <x:c r="P5" s="51"/>
    </x:row>
    <x:row r="6">
      <x:c r="A6" s="51"/>
      <x:c r="B6" s="51"/>
      <x:c r="C6" s="51"/>
      <x:c r="D6" s="51"/>
      <x:c r="E6" s="51"/>
      <x:c r="F6" s="51"/>
      <x:c r="G6" s="51"/>
      <x:c r="H6" s="51"/>
      <x:c r="I6" s="51"/>
      <x:c r="J6" s="51"/>
      <x:c r="K6" s="51"/>
      <x:c r="L6" s="51"/>
      <x:c r="M6" s="51"/>
      <x:c r="N6" s="51"/>
      <x:c r="O6" s="51"/>
      <x:c r="P6" s="51"/>
    </x:row>
    <x:row r="7">
      <x:c r="A7" s="32" t="str">
        <x:v>Attempt ID</x:v>
      </x:c>
      <x:c r="B7" s="33" t="str">
        <x:v>Role</x:v>
      </x:c>
      <x:c r="C7" s="33" t="str">
        <x:v>Truth-root family</x:v>
      </x:c>
      <x:c r="D7" s="33" t="str">
        <x:v>Exact cell</x:v>
      </x:c>
      <x:c r="E7" s="33" t="str">
        <x:v>Package ID</x:v>
      </x:c>
      <x:c r="F7" s="33" t="str">
        <x:v>Module ID</x:v>
      </x:c>
      <x:c r="G7" s="33" t="str">
        <x:v>Validity</x:v>
      </x:c>
      <x:c r="H7" s="33" t="str">
        <x:v>Outcome</x:v>
      </x:c>
      <x:c r="I7" s="33" t="str">
        <x:v>Environmental kg</x:v>
      </x:c>
      <x:c r="J7" s="33" t="str">
        <x:v>Unaccounted kg</x:v>
      </x:c>
      <x:c r="K7" s="33" t="str">
        <x:v>Peak MPa</x:v>
      </x:c>
      <x:c r="L7" s="33" t="str">
        <x:v>Receiver state</x:v>
      </x:c>
      <x:c r="M7" s="33" t="str">
        <x:v>Mass U95 kg</x:v>
      </x:c>
      <x:c r="N7" s="33" t="str">
        <x:v>Return state</x:v>
      </x:c>
      <x:c r="O7" s="33" t="str">
        <x:v>Object state</x:v>
      </x:c>
      <x:c r="P7" s="34" t="str">
        <x:v>Disposition</x:v>
      </x:c>
    </x:row>
    <x:row r="8">
      <x:c r="A8" s="16" t="str">
        <x:v>AT-01</x:v>
      </x:c>
      <x:c r="B8" s="16" t="str">
        <x:v>SEED</x:v>
      </x:c>
      <x:c r="C8" s="16" t="str">
        <x:v>TR-A</x:v>
      </x:c>
      <x:c r="D8" s="16" t="str">
        <x:v>CELL-01</x:v>
      </x:c>
      <x:c r="E8" s="16" t="str">
        <x:v>P-ACT-01</x:v>
      </x:c>
      <x:c r="F8" s="16" t="str">
        <x:v>MOD-ACT-01</x:v>
      </x:c>
      <x:c r="G8" s="36"/>
      <x:c r="H8" s="36"/>
      <x:c r="I8" s="45"/>
      <x:c r="J8" s="45"/>
      <x:c r="K8" s="45"/>
      <x:c r="L8" s="36"/>
      <x:c r="M8" s="45"/>
      <x:c r="N8" s="16" t="str">
        <x:f>'Return Cycles'!K6</x:f>
        <x:v>OPEN</x:v>
      </x:c>
      <x:c r="O8" s="16" t="str">
        <x:f>'Attempt Objects'!R6</x:f>
        <x:v>OPEN</x:v>
      </x:c>
      <x:c r="P8" s="16" t="str">
        <x:f>IF(COUNTA(G8:O8)&lt;9,"OPEN",IF(G8="INVALID","INVALID-RETAINED",IF(AND(G8="VALID",H8="PASS",I8&gt;=0,I8&lt;='Assumptions'!$B$14,J8&gt;=0,J8&lt;='Assumptions'!$B$15,K8&gt;=0,K8&lt;='Assumptions'!$B$42,L8="PASS",M8&gt;=0,M8&lt;='Assumptions'!$B$43,N8="ACCEPTED",O8="COMPLETE"),"CREDIT",IF(G8="VALID","VALID-ADVERSE","DENY"))))</x:f>
        <x:v>OPEN</x:v>
      </x:c>
    </x:row>
    <x:row r="9">
      <x:c r="A9" s="16" t="str">
        <x:v>AT-02</x:v>
      </x:c>
      <x:c r="B9" s="16" t="str">
        <x:v>PRIMARY</x:v>
      </x:c>
      <x:c r="C9" s="16" t="str">
        <x:v>TR-B</x:v>
      </x:c>
      <x:c r="D9" s="16" t="str">
        <x:v>CELL-02</x:v>
      </x:c>
      <x:c r="E9" s="16" t="str">
        <x:v>P-ACT-02</x:v>
      </x:c>
      <x:c r="F9" s="16" t="str">
        <x:v>MOD-ACT-02</x:v>
      </x:c>
      <x:c r="G9" s="36"/>
      <x:c r="H9" s="36"/>
      <x:c r="I9" s="45"/>
      <x:c r="J9" s="45"/>
      <x:c r="K9" s="45"/>
      <x:c r="L9" s="36"/>
      <x:c r="M9" s="45"/>
      <x:c r="N9" s="16" t="str">
        <x:f>'Return Cycles'!K7</x:f>
        <x:v>OPEN</x:v>
      </x:c>
      <x:c r="O9" s="16" t="str">
        <x:f>'Attempt Objects'!R7</x:f>
        <x:v>OPEN</x:v>
      </x:c>
      <x:c r="P9" s="16" t="str">
        <x:f>IF(COUNTA(G9:O9)&lt;9,"OPEN",IF(G9="INVALID","INVALID-RETAINED",IF(AND(G9="VALID",H9="PASS",I9&gt;=0,I9&lt;='Assumptions'!$B$14,J9&gt;=0,J9&lt;='Assumptions'!$B$15,K9&gt;=0,K9&lt;='Assumptions'!$B$42,L9="PASS",M9&gt;=0,M9&lt;='Assumptions'!$B$43,N9="ACCEPTED",O9="COMPLETE"),"CREDIT",IF(G9="VALID","VALID-ADVERSE","DENY"))))</x:f>
        <x:v>OPEN</x:v>
      </x:c>
    </x:row>
    <x:row r="10">
      <x:c r="A10" s="16" t="str">
        <x:v>AT-03</x:v>
      </x:c>
      <x:c r="B10" s="16" t="str">
        <x:v>PRIMARY</x:v>
      </x:c>
      <x:c r="C10" s="16" t="str">
        <x:v>TR-A</x:v>
      </x:c>
      <x:c r="D10" s="16" t="str">
        <x:v>CELL-03</x:v>
      </x:c>
      <x:c r="E10" s="16" t="str">
        <x:v>P-ACT-03</x:v>
      </x:c>
      <x:c r="F10" s="16" t="str">
        <x:v>MOD-ACT-03</x:v>
      </x:c>
      <x:c r="G10" s="36"/>
      <x:c r="H10" s="36"/>
      <x:c r="I10" s="45"/>
      <x:c r="J10" s="45"/>
      <x:c r="K10" s="45"/>
      <x:c r="L10" s="36"/>
      <x:c r="M10" s="45"/>
      <x:c r="N10" s="16" t="str">
        <x:f>'Return Cycles'!K8</x:f>
        <x:v>OPEN</x:v>
      </x:c>
      <x:c r="O10" s="16" t="str">
        <x:f>'Attempt Objects'!R8</x:f>
        <x:v>OPEN</x:v>
      </x:c>
      <x:c r="P10" s="16" t="str">
        <x:f>IF(COUNTA(G10:O10)&lt;9,"OPEN",IF(G10="INVALID","INVALID-RETAINED",IF(AND(G10="VALID",H10="PASS",I10&gt;=0,I10&lt;='Assumptions'!$B$14,J10&gt;=0,J10&lt;='Assumptions'!$B$15,K10&gt;=0,K10&lt;='Assumptions'!$B$42,L10="PASS",M10&gt;=0,M10&lt;='Assumptions'!$B$43,N10="ACCEPTED",O10="COMPLETE"),"CREDIT",IF(G10="VALID","VALID-ADVERSE","DENY"))))</x:f>
        <x:v>OPEN</x:v>
      </x:c>
    </x:row>
    <x:row r="11">
      <x:c r="A11" s="16" t="str">
        <x:v>AT-04</x:v>
      </x:c>
      <x:c r="B11" s="16" t="str">
        <x:v>PRIMARY</x:v>
      </x:c>
      <x:c r="C11" s="16" t="str">
        <x:v>TR-B</x:v>
      </x:c>
      <x:c r="D11" s="16" t="str">
        <x:v>CELL-04</x:v>
      </x:c>
      <x:c r="E11" s="16" t="str">
        <x:v>P-ACT-04</x:v>
      </x:c>
      <x:c r="F11" s="16" t="str">
        <x:v>MOD-ACT-04</x:v>
      </x:c>
      <x:c r="G11" s="36"/>
      <x:c r="H11" s="36"/>
      <x:c r="I11" s="45"/>
      <x:c r="J11" s="45"/>
      <x:c r="K11" s="45"/>
      <x:c r="L11" s="36"/>
      <x:c r="M11" s="45"/>
      <x:c r="N11" s="16" t="str">
        <x:f>'Return Cycles'!K9</x:f>
        <x:v>OPEN</x:v>
      </x:c>
      <x:c r="O11" s="16" t="str">
        <x:f>'Attempt Objects'!R9</x:f>
        <x:v>OPEN</x:v>
      </x:c>
      <x:c r="P11" s="16" t="str">
        <x:f>IF(COUNTA(G11:O11)&lt;9,"OPEN",IF(G11="INVALID","INVALID-RETAINED",IF(AND(G11="VALID",H11="PASS",I11&gt;=0,I11&lt;='Assumptions'!$B$14,J11&gt;=0,J11&lt;='Assumptions'!$B$15,K11&gt;=0,K11&lt;='Assumptions'!$B$42,L11="PASS",M11&gt;=0,M11&lt;='Assumptions'!$B$43,N11="ACCEPTED",O11="COMPLETE"),"CREDIT",IF(G11="VALID","VALID-ADVERSE","DENY"))))</x:f>
        <x:v>OPEN</x:v>
      </x:c>
    </x:row>
    <x:row r="12">
      <x:c r="A12" s="16" t="str">
        <x:v>AT-05</x:v>
      </x:c>
      <x:c r="B12" s="16" t="str">
        <x:v>PRIMARY</x:v>
      </x:c>
      <x:c r="C12" s="16" t="str">
        <x:v>TR-A</x:v>
      </x:c>
      <x:c r="D12" s="16" t="str">
        <x:v>CELL-05</x:v>
      </x:c>
      <x:c r="E12" s="16" t="str">
        <x:v>P-ACT-05</x:v>
      </x:c>
      <x:c r="F12" s="16" t="str">
        <x:v>MOD-ACT-05</x:v>
      </x:c>
      <x:c r="G12" s="36"/>
      <x:c r="H12" s="36"/>
      <x:c r="I12" s="45"/>
      <x:c r="J12" s="45"/>
      <x:c r="K12" s="45"/>
      <x:c r="L12" s="36"/>
      <x:c r="M12" s="45"/>
      <x:c r="N12" s="16" t="str">
        <x:f>'Return Cycles'!K10</x:f>
        <x:v>OPEN</x:v>
      </x:c>
      <x:c r="O12" s="16" t="str">
        <x:f>'Attempt Objects'!R10</x:f>
        <x:v>OPEN</x:v>
      </x:c>
      <x:c r="P12" s="16" t="str">
        <x:f>IF(COUNTA(G12:O12)&lt;9,"OPEN",IF(G12="INVALID","INVALID-RETAINED",IF(AND(G12="VALID",H12="PASS",I12&gt;=0,I12&lt;='Assumptions'!$B$14,J12&gt;=0,J12&lt;='Assumptions'!$B$15,K12&gt;=0,K12&lt;='Assumptions'!$B$42,L12="PASS",M12&gt;=0,M12&lt;='Assumptions'!$B$43,N12="ACCEPTED",O12="COMPLETE"),"CREDIT",IF(G12="VALID","VALID-ADVERSE","DENY"))))</x:f>
        <x:v>OPEN</x:v>
      </x:c>
    </x:row>
    <x:row r="13">
      <x:c r="A13" s="16" t="str">
        <x:v>AT-06</x:v>
      </x:c>
      <x:c r="B13" s="16" t="str">
        <x:v>PRIMARY</x:v>
      </x:c>
      <x:c r="C13" s="16" t="str">
        <x:v>TR-B</x:v>
      </x:c>
      <x:c r="D13" s="16" t="str">
        <x:v>CELL-06</x:v>
      </x:c>
      <x:c r="E13" s="16" t="str">
        <x:v>P-ACT-06</x:v>
      </x:c>
      <x:c r="F13" s="16" t="str">
        <x:v>MOD-ACT-06</x:v>
      </x:c>
      <x:c r="G13" s="36"/>
      <x:c r="H13" s="36"/>
      <x:c r="I13" s="45"/>
      <x:c r="J13" s="45"/>
      <x:c r="K13" s="45"/>
      <x:c r="L13" s="36"/>
      <x:c r="M13" s="45"/>
      <x:c r="N13" s="16" t="str">
        <x:f>'Return Cycles'!K11</x:f>
        <x:v>OPEN</x:v>
      </x:c>
      <x:c r="O13" s="16" t="str">
        <x:f>'Attempt Objects'!R11</x:f>
        <x:v>OPEN</x:v>
      </x:c>
      <x:c r="P13" s="16" t="str">
        <x:f>IF(COUNTA(G13:O13)&lt;9,"OPEN",IF(G13="INVALID","INVALID-RETAINED",IF(AND(G13="VALID",H13="PASS",I13&gt;=0,I13&lt;='Assumptions'!$B$14,J13&gt;=0,J13&lt;='Assumptions'!$B$15,K13&gt;=0,K13&lt;='Assumptions'!$B$42,L13="PASS",M13&gt;=0,M13&lt;='Assumptions'!$B$43,N13="ACCEPTED",O13="COMPLETE"),"CREDIT",IF(G13="VALID","VALID-ADVERSE","DENY"))))</x:f>
        <x:v>OPEN</x:v>
      </x:c>
    </x:row>
    <x:row r="14">
      <x:c r="A14" s="16" t="str">
        <x:v>AT-07</x:v>
      </x:c>
      <x:c r="B14" s="16" t="str">
        <x:v>PRIMARY</x:v>
      </x:c>
      <x:c r="C14" s="16" t="str">
        <x:v>TR-A</x:v>
      </x:c>
      <x:c r="D14" s="16" t="str">
        <x:v>CELL-07</x:v>
      </x:c>
      <x:c r="E14" s="16" t="str">
        <x:v>P-ACT-07</x:v>
      </x:c>
      <x:c r="F14" s="16" t="str">
        <x:v>MOD-ACT-07</x:v>
      </x:c>
      <x:c r="G14" s="36"/>
      <x:c r="H14" s="36"/>
      <x:c r="I14" s="45"/>
      <x:c r="J14" s="45"/>
      <x:c r="K14" s="45"/>
      <x:c r="L14" s="36"/>
      <x:c r="M14" s="45"/>
      <x:c r="N14" s="16" t="str">
        <x:f>'Return Cycles'!K12</x:f>
        <x:v>OPEN</x:v>
      </x:c>
      <x:c r="O14" s="16" t="str">
        <x:f>'Attempt Objects'!R12</x:f>
        <x:v>OPEN</x:v>
      </x:c>
      <x:c r="P14" s="16" t="str">
        <x:f>IF(COUNTA(G14:O14)&lt;9,"OPEN",IF(G14="INVALID","INVALID-RETAINED",IF(AND(G14="VALID",H14="PASS",I14&gt;=0,I14&lt;='Assumptions'!$B$14,J14&gt;=0,J14&lt;='Assumptions'!$B$15,K14&gt;=0,K14&lt;='Assumptions'!$B$42,L14="PASS",M14&gt;=0,M14&lt;='Assumptions'!$B$43,N14="ACCEPTED",O14="COMPLETE"),"CREDIT",IF(G14="VALID","VALID-ADVERSE","DENY"))))</x:f>
        <x:v>OPEN</x:v>
      </x:c>
    </x:row>
    <x:row r="15">
      <x:c r="A15" s="16" t="str">
        <x:v>AT-08</x:v>
      </x:c>
      <x:c r="B15" s="16" t="str">
        <x:v>PRIMARY</x:v>
      </x:c>
      <x:c r="C15" s="16" t="str">
        <x:v>TR-B</x:v>
      </x:c>
      <x:c r="D15" s="16" t="str">
        <x:v>CELL-08</x:v>
      </x:c>
      <x:c r="E15" s="16" t="str">
        <x:v>P-ACT-08</x:v>
      </x:c>
      <x:c r="F15" s="16" t="str">
        <x:v>MOD-ACT-08</x:v>
      </x:c>
      <x:c r="G15" s="36"/>
      <x:c r="H15" s="36"/>
      <x:c r="I15" s="45"/>
      <x:c r="J15" s="45"/>
      <x:c r="K15" s="45"/>
      <x:c r="L15" s="36"/>
      <x:c r="M15" s="45"/>
      <x:c r="N15" s="16" t="str">
        <x:f>'Return Cycles'!K13</x:f>
        <x:v>OPEN</x:v>
      </x:c>
      <x:c r="O15" s="16" t="str">
        <x:f>'Attempt Objects'!R13</x:f>
        <x:v>OPEN</x:v>
      </x:c>
      <x:c r="P15" s="16" t="str">
        <x:f>IF(COUNTA(G15:O15)&lt;9,"OPEN",IF(G15="INVALID","INVALID-RETAINED",IF(AND(G15="VALID",H15="PASS",I15&gt;=0,I15&lt;='Assumptions'!$B$14,J15&gt;=0,J15&lt;='Assumptions'!$B$15,K15&gt;=0,K15&lt;='Assumptions'!$B$42,L15="PASS",M15&gt;=0,M15&lt;='Assumptions'!$B$43,N15="ACCEPTED",O15="COMPLETE"),"CREDIT",IF(G15="VALID","VALID-ADVERSE","DENY"))))</x:f>
        <x:v>OPEN</x:v>
      </x:c>
    </x:row>
    <x:row r="16">
      <x:c r="A16" s="16" t="str">
        <x:v>AT-09</x:v>
      </x:c>
      <x:c r="B16" s="16" t="str">
        <x:v>PRIMARY</x:v>
      </x:c>
      <x:c r="C16" s="16" t="str">
        <x:v>TR-A</x:v>
      </x:c>
      <x:c r="D16" s="16" t="str">
        <x:v>CELL-09</x:v>
      </x:c>
      <x:c r="E16" s="16" t="str">
        <x:v>P-ACT-09</x:v>
      </x:c>
      <x:c r="F16" s="16" t="str">
        <x:v>MOD-ACT-09</x:v>
      </x:c>
      <x:c r="G16" s="36"/>
      <x:c r="H16" s="36"/>
      <x:c r="I16" s="45"/>
      <x:c r="J16" s="45"/>
      <x:c r="K16" s="45"/>
      <x:c r="L16" s="36"/>
      <x:c r="M16" s="45"/>
      <x:c r="N16" s="16" t="str">
        <x:f>'Return Cycles'!K14</x:f>
        <x:v>OPEN</x:v>
      </x:c>
      <x:c r="O16" s="16" t="str">
        <x:f>'Attempt Objects'!R14</x:f>
        <x:v>OPEN</x:v>
      </x:c>
      <x:c r="P16" s="16" t="str">
        <x:f>IF(COUNTA(G16:O16)&lt;9,"OPEN",IF(G16="INVALID","INVALID-RETAINED",IF(AND(G16="VALID",H16="PASS",I16&gt;=0,I16&lt;='Assumptions'!$B$14,J16&gt;=0,J16&lt;='Assumptions'!$B$15,K16&gt;=0,K16&lt;='Assumptions'!$B$42,L16="PASS",M16&gt;=0,M16&lt;='Assumptions'!$B$43,N16="ACCEPTED",O16="COMPLETE"),"CREDIT",IF(G16="VALID","VALID-ADVERSE","DENY"))))</x:f>
        <x:v>OPEN</x:v>
      </x:c>
    </x:row>
    <x:row r="17">
      <x:c r="A17" s="16" t="str">
        <x:v>AT-10</x:v>
      </x:c>
      <x:c r="B17" s="16" t="str">
        <x:v>PRIMARY</x:v>
      </x:c>
      <x:c r="C17" s="16" t="str">
        <x:v>TR-B</x:v>
      </x:c>
      <x:c r="D17" s="16" t="str">
        <x:v>CELL-10</x:v>
      </x:c>
      <x:c r="E17" s="16" t="str">
        <x:v>P-ACT-10</x:v>
      </x:c>
      <x:c r="F17" s="16" t="str">
        <x:v>MOD-ACT-10</x:v>
      </x:c>
      <x:c r="G17" s="36"/>
      <x:c r="H17" s="36"/>
      <x:c r="I17" s="45"/>
      <x:c r="J17" s="45"/>
      <x:c r="K17" s="45"/>
      <x:c r="L17" s="36"/>
      <x:c r="M17" s="45"/>
      <x:c r="N17" s="16" t="str">
        <x:f>'Return Cycles'!K15</x:f>
        <x:v>OPEN</x:v>
      </x:c>
      <x:c r="O17" s="16" t="str">
        <x:f>'Attempt Objects'!R15</x:f>
        <x:v>OPEN</x:v>
      </x:c>
      <x:c r="P17" s="16" t="str">
        <x:f>IF(COUNTA(G17:O17)&lt;9,"OPEN",IF(G17="INVALID","INVALID-RETAINED",IF(AND(G17="VALID",H17="PASS",I17&gt;=0,I17&lt;='Assumptions'!$B$14,J17&gt;=0,J17&lt;='Assumptions'!$B$15,K17&gt;=0,K17&lt;='Assumptions'!$B$42,L17="PASS",M17&gt;=0,M17&lt;='Assumptions'!$B$43,N17="ACCEPTED",O17="COMPLETE"),"CREDIT",IF(G17="VALID","VALID-ADVERSE","DENY"))))</x:f>
        <x:v>OPEN</x:v>
      </x:c>
    </x:row>
    <x:row r="18">
      <x:c r="A18" s="16" t="str">
        <x:v>AT-11</x:v>
      </x:c>
      <x:c r="B18" s="16" t="str">
        <x:v>PRIMARY</x:v>
      </x:c>
      <x:c r="C18" s="16" t="str">
        <x:v>TR-A</x:v>
      </x:c>
      <x:c r="D18" s="16" t="str">
        <x:v>CELL-11</x:v>
      </x:c>
      <x:c r="E18" s="16" t="str">
        <x:v>P-ACT-11</x:v>
      </x:c>
      <x:c r="F18" s="16" t="str">
        <x:v>MOD-ACT-11</x:v>
      </x:c>
      <x:c r="G18" s="36"/>
      <x:c r="H18" s="36"/>
      <x:c r="I18" s="45"/>
      <x:c r="J18" s="45"/>
      <x:c r="K18" s="45"/>
      <x:c r="L18" s="36"/>
      <x:c r="M18" s="45"/>
      <x:c r="N18" s="16" t="str">
        <x:f>'Return Cycles'!K16</x:f>
        <x:v>OPEN</x:v>
      </x:c>
      <x:c r="O18" s="16" t="str">
        <x:f>'Attempt Objects'!R16</x:f>
        <x:v>OPEN</x:v>
      </x:c>
      <x:c r="P18" s="16" t="str">
        <x:f>IF(COUNTA(G18:O18)&lt;9,"OPEN",IF(G18="INVALID","INVALID-RETAINED",IF(AND(G18="VALID",H18="PASS",I18&gt;=0,I18&lt;='Assumptions'!$B$14,J18&gt;=0,J18&lt;='Assumptions'!$B$15,K18&gt;=0,K18&lt;='Assumptions'!$B$42,L18="PASS",M18&gt;=0,M18&lt;='Assumptions'!$B$43,N18="ACCEPTED",O18="COMPLETE"),"CREDIT",IF(G18="VALID","VALID-ADVERSE","DENY"))))</x:f>
        <x:v>OPEN</x:v>
      </x:c>
    </x:row>
    <x:row r="19">
      <x:c r="A19" s="16" t="str">
        <x:v>AT-12</x:v>
      </x:c>
      <x:c r="B19" s="16" t="str">
        <x:v>PRIMARY</x:v>
      </x:c>
      <x:c r="C19" s="16" t="str">
        <x:v>TR-B</x:v>
      </x:c>
      <x:c r="D19" s="16" t="str">
        <x:v>CELL-12</x:v>
      </x:c>
      <x:c r="E19" s="16" t="str">
        <x:v>P-ACT-12</x:v>
      </x:c>
      <x:c r="F19" s="16" t="str">
        <x:v>MOD-ACT-12</x:v>
      </x:c>
      <x:c r="G19" s="36"/>
      <x:c r="H19" s="36"/>
      <x:c r="I19" s="45"/>
      <x:c r="J19" s="45"/>
      <x:c r="K19" s="45"/>
      <x:c r="L19" s="36"/>
      <x:c r="M19" s="45"/>
      <x:c r="N19" s="16" t="str">
        <x:f>'Return Cycles'!K17</x:f>
        <x:v>OPEN</x:v>
      </x:c>
      <x:c r="O19" s="16" t="str">
        <x:f>'Attempt Objects'!R17</x:f>
        <x:v>OPEN</x:v>
      </x:c>
      <x:c r="P19" s="16" t="str">
        <x:f>IF(COUNTA(G19:O19)&lt;9,"OPEN",IF(G19="INVALID","INVALID-RETAINED",IF(AND(G19="VALID",H19="PASS",I19&gt;=0,I19&lt;='Assumptions'!$B$14,J19&gt;=0,J19&lt;='Assumptions'!$B$15,K19&gt;=0,K19&lt;='Assumptions'!$B$42,L19="PASS",M19&gt;=0,M19&lt;='Assumptions'!$B$43,N19="ACCEPTED",O19="COMPLETE"),"CREDIT",IF(G19="VALID","VALID-ADVERSE","DENY"))))</x:f>
        <x:v>OPEN</x:v>
      </x:c>
    </x:row>
    <x:row r="20">
      <x:c r="A20" s="16" t="str">
        <x:v>AT-13</x:v>
      </x:c>
      <x:c r="B20" s="16" t="str">
        <x:v>RESERVE</x:v>
      </x:c>
      <x:c r="C20" s="16" t="str">
        <x:v>TR-A</x:v>
      </x:c>
      <x:c r="D20" s="36"/>
      <x:c r="E20" s="16" t="str">
        <x:v>P-RES-01</x:v>
      </x:c>
      <x:c r="F20" s="36"/>
      <x:c r="G20" s="36"/>
      <x:c r="H20" s="36"/>
      <x:c r="I20" s="45"/>
      <x:c r="J20" s="45"/>
      <x:c r="K20" s="45"/>
      <x:c r="L20" s="36"/>
      <x:c r="M20" s="45"/>
      <x:c r="N20" s="16" t="str">
        <x:f>'Return Cycles'!K18</x:f>
        <x:v>OPEN</x:v>
      </x:c>
      <x:c r="O20" s="16" t="str">
        <x:f>'Attempt Objects'!R18</x:f>
        <x:v>OPEN</x:v>
      </x:c>
      <x:c r="P20" s="16" t="str">
        <x:f>IF(COUNTA(G20:O20)&lt;9,"OPEN",IF(G20="INVALID","INVALID-RETAINED",IF(AND(G20="VALID",H20="PASS",I20&gt;=0,I20&lt;='Assumptions'!$B$14,J20&gt;=0,J20&lt;='Assumptions'!$B$15,K20&gt;=0,K20&lt;='Assumptions'!$B$42,L20="PASS",M20&gt;=0,M20&lt;='Assumptions'!$B$43,N20="ACCEPTED",O20="COMPLETE"),"CREDIT",IF(G20="VALID","VALID-ADVERSE","DENY"))))</x:f>
        <x:v>OPEN</x:v>
      </x:c>
    </x:row>
    <x:row r="21">
      <x:c r="A21" s="16" t="str">
        <x:v>AT-14</x:v>
      </x:c>
      <x:c r="B21" s="16" t="str">
        <x:v>RESERVE</x:v>
      </x:c>
      <x:c r="C21" s="16" t="str">
        <x:v>TR-A</x:v>
      </x:c>
      <x:c r="D21" s="36"/>
      <x:c r="E21" s="16" t="str">
        <x:v>P-RES-02</x:v>
      </x:c>
      <x:c r="F21" s="36"/>
      <x:c r="G21" s="36"/>
      <x:c r="H21" s="36"/>
      <x:c r="I21" s="45"/>
      <x:c r="J21" s="45"/>
      <x:c r="K21" s="45"/>
      <x:c r="L21" s="36"/>
      <x:c r="M21" s="45"/>
      <x:c r="N21" s="16" t="str">
        <x:f>'Return Cycles'!K19</x:f>
        <x:v>OPEN</x:v>
      </x:c>
      <x:c r="O21" s="16" t="str">
        <x:f>'Attempt Objects'!R19</x:f>
        <x:v>OPEN</x:v>
      </x:c>
      <x:c r="P21" s="16" t="str">
        <x:f>IF(COUNTA(G21:O21)&lt;9,"OPEN",IF(G21="INVALID","INVALID-RETAINED",IF(AND(G21="VALID",H21="PASS",I21&gt;=0,I21&lt;='Assumptions'!$B$14,J21&gt;=0,J21&lt;='Assumptions'!$B$15,K21&gt;=0,K21&lt;='Assumptions'!$B$42,L21="PASS",M21&gt;=0,M21&lt;='Assumptions'!$B$43,N21="ACCEPTED",O21="COMPLETE"),"CREDIT",IF(G21="VALID","VALID-ADVERSE","DENY"))))</x:f>
        <x:v>OPEN</x:v>
      </x:c>
    </x:row>
    <x:row r="22">
      <x:c r="A22" s="16" t="str">
        <x:v>AT-15</x:v>
      </x:c>
      <x:c r="B22" s="16" t="str">
        <x:v>RESERVE</x:v>
      </x:c>
      <x:c r="C22" s="16" t="str">
        <x:v>TR-A</x:v>
      </x:c>
      <x:c r="D22" s="36"/>
      <x:c r="E22" s="16" t="str">
        <x:v>P-RES-03</x:v>
      </x:c>
      <x:c r="F22" s="36"/>
      <x:c r="G22" s="36"/>
      <x:c r="H22" s="36"/>
      <x:c r="I22" s="45"/>
      <x:c r="J22" s="45"/>
      <x:c r="K22" s="45"/>
      <x:c r="L22" s="36"/>
      <x:c r="M22" s="45"/>
      <x:c r="N22" s="16" t="str">
        <x:f>'Return Cycles'!K20</x:f>
        <x:v>OPEN</x:v>
      </x:c>
      <x:c r="O22" s="16" t="str">
        <x:f>'Attempt Objects'!R20</x:f>
        <x:v>OPEN</x:v>
      </x:c>
      <x:c r="P22" s="16" t="str">
        <x:f>IF(COUNTA(G22:O22)&lt;9,"OPEN",IF(G22="INVALID","INVALID-RETAINED",IF(AND(G22="VALID",H22="PASS",I22&gt;=0,I22&lt;='Assumptions'!$B$14,J22&gt;=0,J22&lt;='Assumptions'!$B$15,K22&gt;=0,K22&lt;='Assumptions'!$B$42,L22="PASS",M22&gt;=0,M22&lt;='Assumptions'!$B$43,N22="ACCEPTED",O22="COMPLETE"),"CREDIT",IF(G22="VALID","VALID-ADVERSE","DENY"))))</x:f>
        <x:v>OPEN</x:v>
      </x:c>
    </x:row>
    <x:row r="23">
      <x:c r="A23" s="16" t="str">
        <x:v>AT-16</x:v>
      </x:c>
      <x:c r="B23" s="16" t="str">
        <x:v>RESERVE</x:v>
      </x:c>
      <x:c r="C23" s="16" t="str">
        <x:v>TR-A</x:v>
      </x:c>
      <x:c r="D23" s="36"/>
      <x:c r="E23" s="16" t="str">
        <x:v>P-RES-04</x:v>
      </x:c>
      <x:c r="F23" s="36"/>
      <x:c r="G23" s="36"/>
      <x:c r="H23" s="36"/>
      <x:c r="I23" s="45"/>
      <x:c r="J23" s="45"/>
      <x:c r="K23" s="45"/>
      <x:c r="L23" s="36"/>
      <x:c r="M23" s="45"/>
      <x:c r="N23" s="16" t="str">
        <x:f>'Return Cycles'!K21</x:f>
        <x:v>OPEN</x:v>
      </x:c>
      <x:c r="O23" s="16" t="str">
        <x:f>'Attempt Objects'!R21</x:f>
        <x:v>OPEN</x:v>
      </x:c>
      <x:c r="P23" s="16" t="str">
        <x:f>IF(COUNTA(G23:O23)&lt;9,"OPEN",IF(G23="INVALID","INVALID-RETAINED",IF(AND(G23="VALID",H23="PASS",I23&gt;=0,I23&lt;='Assumptions'!$B$14,J23&gt;=0,J23&lt;='Assumptions'!$B$15,K23&gt;=0,K23&lt;='Assumptions'!$B$42,L23="PASS",M23&gt;=0,M23&lt;='Assumptions'!$B$43,N23="ACCEPTED",O23="COMPLETE"),"CREDIT",IF(G23="VALID","VALID-ADVERSE","DENY"))))</x:f>
        <x:v>OPEN</x:v>
      </x:c>
    </x:row>
    <x:row r="24">
      <x:c r="A24" s="16" t="str">
        <x:v>AT-17</x:v>
      </x:c>
      <x:c r="B24" s="16" t="str">
        <x:v>RESERVE</x:v>
      </x:c>
      <x:c r="C24" s="16" t="str">
        <x:v>TR-A</x:v>
      </x:c>
      <x:c r="D24" s="36"/>
      <x:c r="E24" s="16" t="str">
        <x:v>P-RES-05</x:v>
      </x:c>
      <x:c r="F24" s="36"/>
      <x:c r="G24" s="36"/>
      <x:c r="H24" s="36"/>
      <x:c r="I24" s="45"/>
      <x:c r="J24" s="45"/>
      <x:c r="K24" s="45"/>
      <x:c r="L24" s="36"/>
      <x:c r="M24" s="45"/>
      <x:c r="N24" s="16" t="str">
        <x:f>'Return Cycles'!K22</x:f>
        <x:v>OPEN</x:v>
      </x:c>
      <x:c r="O24" s="16" t="str">
        <x:f>'Attempt Objects'!R22</x:f>
        <x:v>OPEN</x:v>
      </x:c>
      <x:c r="P24" s="16" t="str">
        <x:f>IF(COUNTA(G24:O24)&lt;9,"OPEN",IF(G24="INVALID","INVALID-RETAINED",IF(AND(G24="VALID",H24="PASS",I24&gt;=0,I24&lt;='Assumptions'!$B$14,J24&gt;=0,J24&lt;='Assumptions'!$B$15,K24&gt;=0,K24&lt;='Assumptions'!$B$42,L24="PASS",M24&gt;=0,M24&lt;='Assumptions'!$B$43,N24="ACCEPTED",O24="COMPLETE"),"CREDIT",IF(G24="VALID","VALID-ADVERSE","DENY"))))</x:f>
        <x:v>OPEN</x:v>
      </x:c>
    </x:row>
    <x:row r="25">
      <x:c r="A25" s="16" t="str">
        <x:v>AT-18</x:v>
      </x:c>
      <x:c r="B25" s="16" t="str">
        <x:v>RESERVE</x:v>
      </x:c>
      <x:c r="C25" s="16" t="str">
        <x:v>TR-A</x:v>
      </x:c>
      <x:c r="D25" s="36"/>
      <x:c r="E25" s="16" t="str">
        <x:v>P-RES-06</x:v>
      </x:c>
      <x:c r="F25" s="36"/>
      <x:c r="G25" s="36"/>
      <x:c r="H25" s="36"/>
      <x:c r="I25" s="45"/>
      <x:c r="J25" s="45"/>
      <x:c r="K25" s="45"/>
      <x:c r="L25" s="36"/>
      <x:c r="M25" s="45"/>
      <x:c r="N25" s="16" t="str">
        <x:f>'Return Cycles'!K23</x:f>
        <x:v>OPEN</x:v>
      </x:c>
      <x:c r="O25" s="16" t="str">
        <x:f>'Attempt Objects'!R23</x:f>
        <x:v>OPEN</x:v>
      </x:c>
      <x:c r="P25" s="16" t="str">
        <x:f>IF(COUNTA(G25:O25)&lt;9,"OPEN",IF(G25="INVALID","INVALID-RETAINED",IF(AND(G25="VALID",H25="PASS",I25&gt;=0,I25&lt;='Assumptions'!$B$14,J25&gt;=0,J25&lt;='Assumptions'!$B$15,K25&gt;=0,K25&lt;='Assumptions'!$B$42,L25="PASS",M25&gt;=0,M25&lt;='Assumptions'!$B$43,N25="ACCEPTED",O25="COMPLETE"),"CREDIT",IF(G25="VALID","VALID-ADVERSE","DENY"))))</x:f>
        <x:v>OPEN</x:v>
      </x:c>
    </x:row>
    <x:row r="26">
      <x:c r="A26" s="16" t="str">
        <x:v>AT-19</x:v>
      </x:c>
      <x:c r="B26" s="16" t="str">
        <x:v>RESERVE</x:v>
      </x:c>
      <x:c r="C26" s="16" t="str">
        <x:v>TR-A</x:v>
      </x:c>
      <x:c r="D26" s="36"/>
      <x:c r="E26" s="16" t="str">
        <x:v>P-RES-07</x:v>
      </x:c>
      <x:c r="F26" s="36"/>
      <x:c r="G26" s="36"/>
      <x:c r="H26" s="36"/>
      <x:c r="I26" s="45"/>
      <x:c r="J26" s="45"/>
      <x:c r="K26" s="45"/>
      <x:c r="L26" s="36"/>
      <x:c r="M26" s="45"/>
      <x:c r="N26" s="16" t="str">
        <x:f>'Return Cycles'!K24</x:f>
        <x:v>OPEN</x:v>
      </x:c>
      <x:c r="O26" s="16" t="str">
        <x:f>'Attempt Objects'!R24</x:f>
        <x:v>OPEN</x:v>
      </x:c>
      <x:c r="P26" s="16" t="str">
        <x:f>IF(COUNTA(G26:O26)&lt;9,"OPEN",IF(G26="INVALID","INVALID-RETAINED",IF(AND(G26="VALID",H26="PASS",I26&gt;=0,I26&lt;='Assumptions'!$B$14,J26&gt;=0,J26&lt;='Assumptions'!$B$15,K26&gt;=0,K26&lt;='Assumptions'!$B$42,L26="PASS",M26&gt;=0,M26&lt;='Assumptions'!$B$43,N26="ACCEPTED",O26="COMPLETE"),"CREDIT",IF(G26="VALID","VALID-ADVERSE","DENY"))))</x:f>
        <x:v>OPEN</x:v>
      </x:c>
    </x:row>
    <x:row r="27">
      <x:c r="A27" s="16" t="str">
        <x:v>AT-20</x:v>
      </x:c>
      <x:c r="B27" s="16" t="str">
        <x:v>RESERVE</x:v>
      </x:c>
      <x:c r="C27" s="16" t="str">
        <x:v>TR-A</x:v>
      </x:c>
      <x:c r="D27" s="36"/>
      <x:c r="E27" s="16" t="str">
        <x:v>P-RES-08</x:v>
      </x:c>
      <x:c r="F27" s="36"/>
      <x:c r="G27" s="36"/>
      <x:c r="H27" s="36"/>
      <x:c r="I27" s="45"/>
      <x:c r="J27" s="45"/>
      <x:c r="K27" s="45"/>
      <x:c r="L27" s="36"/>
      <x:c r="M27" s="45"/>
      <x:c r="N27" s="16" t="str">
        <x:f>'Return Cycles'!K25</x:f>
        <x:v>OPEN</x:v>
      </x:c>
      <x:c r="O27" s="16" t="str">
        <x:f>'Attempt Objects'!R25</x:f>
        <x:v>OPEN</x:v>
      </x:c>
      <x:c r="P27" s="16" t="str">
        <x:f>IF(COUNTA(G27:O27)&lt;9,"OPEN",IF(G27="INVALID","INVALID-RETAINED",IF(AND(G27="VALID",H27="PASS",I27&gt;=0,I27&lt;='Assumptions'!$B$14,J27&gt;=0,J27&lt;='Assumptions'!$B$15,K27&gt;=0,K27&lt;='Assumptions'!$B$42,L27="PASS",M27&gt;=0,M27&lt;='Assumptions'!$B$43,N27="ACCEPTED",O27="COMPLETE"),"CREDIT",IF(G27="VALID","VALID-ADVERSE","DENY"))))</x:f>
        <x:v>OPEN</x:v>
      </x:c>
    </x:row>
    <x:row r="28">
      <x:c r="A28" s="16" t="str">
        <x:v>AT-21</x:v>
      </x:c>
      <x:c r="B28" s="16" t="str">
        <x:v>RESERVE</x:v>
      </x:c>
      <x:c r="C28" s="16" t="str">
        <x:v>TR-B</x:v>
      </x:c>
      <x:c r="D28" s="36"/>
      <x:c r="E28" s="16" t="str">
        <x:v>P-RES-09</x:v>
      </x:c>
      <x:c r="F28" s="36"/>
      <x:c r="G28" s="36"/>
      <x:c r="H28" s="36"/>
      <x:c r="I28" s="45"/>
      <x:c r="J28" s="45"/>
      <x:c r="K28" s="45"/>
      <x:c r="L28" s="36"/>
      <x:c r="M28" s="45"/>
      <x:c r="N28" s="16" t="str">
        <x:f>'Return Cycles'!K26</x:f>
        <x:v>OPEN</x:v>
      </x:c>
      <x:c r="O28" s="16" t="str">
        <x:f>'Attempt Objects'!R26</x:f>
        <x:v>OPEN</x:v>
      </x:c>
      <x:c r="P28" s="16" t="str">
        <x:f>IF(COUNTA(G28:O28)&lt;9,"OPEN",IF(G28="INVALID","INVALID-RETAINED",IF(AND(G28="VALID",H28="PASS",I28&gt;=0,I28&lt;='Assumptions'!$B$14,J28&gt;=0,J28&lt;='Assumptions'!$B$15,K28&gt;=0,K28&lt;='Assumptions'!$B$42,L28="PASS",M28&gt;=0,M28&lt;='Assumptions'!$B$43,N28="ACCEPTED",O28="COMPLETE"),"CREDIT",IF(G28="VALID","VALID-ADVERSE","DENY"))))</x:f>
        <x:v>OPEN</x:v>
      </x:c>
    </x:row>
    <x:row r="29">
      <x:c r="A29" s="16" t="str">
        <x:v>AT-22</x:v>
      </x:c>
      <x:c r="B29" s="16" t="str">
        <x:v>RESERVE</x:v>
      </x:c>
      <x:c r="C29" s="16" t="str">
        <x:v>TR-B</x:v>
      </x:c>
      <x:c r="D29" s="36"/>
      <x:c r="E29" s="16" t="str">
        <x:v>P-RES-10</x:v>
      </x:c>
      <x:c r="F29" s="36"/>
      <x:c r="G29" s="36"/>
      <x:c r="H29" s="36"/>
      <x:c r="I29" s="45"/>
      <x:c r="J29" s="45"/>
      <x:c r="K29" s="45"/>
      <x:c r="L29" s="36"/>
      <x:c r="M29" s="45"/>
      <x:c r="N29" s="16" t="str">
        <x:f>'Return Cycles'!K27</x:f>
        <x:v>OPEN</x:v>
      </x:c>
      <x:c r="O29" s="16" t="str">
        <x:f>'Attempt Objects'!R27</x:f>
        <x:v>OPEN</x:v>
      </x:c>
      <x:c r="P29" s="16" t="str">
        <x:f>IF(COUNTA(G29:O29)&lt;9,"OPEN",IF(G29="INVALID","INVALID-RETAINED",IF(AND(G29="VALID",H29="PASS",I29&gt;=0,I29&lt;='Assumptions'!$B$14,J29&gt;=0,J29&lt;='Assumptions'!$B$15,K29&gt;=0,K29&lt;='Assumptions'!$B$42,L29="PASS",M29&gt;=0,M29&lt;='Assumptions'!$B$43,N29="ACCEPTED",O29="COMPLETE"),"CREDIT",IF(G29="VALID","VALID-ADVERSE","DENY"))))</x:f>
        <x:v>OPEN</x:v>
      </x:c>
    </x:row>
    <x:row r="30">
      <x:c r="A30" s="16" t="str">
        <x:v>AT-23</x:v>
      </x:c>
      <x:c r="B30" s="16" t="str">
        <x:v>RESERVE</x:v>
      </x:c>
      <x:c r="C30" s="16" t="str">
        <x:v>TR-B</x:v>
      </x:c>
      <x:c r="D30" s="36"/>
      <x:c r="E30" s="16" t="str">
        <x:v>P-RES-11</x:v>
      </x:c>
      <x:c r="F30" s="36"/>
      <x:c r="G30" s="36"/>
      <x:c r="H30" s="36"/>
      <x:c r="I30" s="45"/>
      <x:c r="J30" s="45"/>
      <x:c r="K30" s="45"/>
      <x:c r="L30" s="36"/>
      <x:c r="M30" s="45"/>
      <x:c r="N30" s="16" t="str">
        <x:f>'Return Cycles'!K28</x:f>
        <x:v>OPEN</x:v>
      </x:c>
      <x:c r="O30" s="16" t="str">
        <x:f>'Attempt Objects'!R28</x:f>
        <x:v>OPEN</x:v>
      </x:c>
      <x:c r="P30" s="16" t="str">
        <x:f>IF(COUNTA(G30:O30)&lt;9,"OPEN",IF(G30="INVALID","INVALID-RETAINED",IF(AND(G30="VALID",H30="PASS",I30&gt;=0,I30&lt;='Assumptions'!$B$14,J30&gt;=0,J30&lt;='Assumptions'!$B$15,K30&gt;=0,K30&lt;='Assumptions'!$B$42,L30="PASS",M30&gt;=0,M30&lt;='Assumptions'!$B$43,N30="ACCEPTED",O30="COMPLETE"),"CREDIT",IF(G30="VALID","VALID-ADVERSE","DENY"))))</x:f>
        <x:v>OPEN</x:v>
      </x:c>
    </x:row>
    <x:row r="31">
      <x:c r="A31" s="16" t="str">
        <x:v>AT-24</x:v>
      </x:c>
      <x:c r="B31" s="16" t="str">
        <x:v>RESERVE</x:v>
      </x:c>
      <x:c r="C31" s="16" t="str">
        <x:v>TR-B</x:v>
      </x:c>
      <x:c r="D31" s="36"/>
      <x:c r="E31" s="16" t="str">
        <x:v>P-RES-12</x:v>
      </x:c>
      <x:c r="F31" s="36"/>
      <x:c r="G31" s="36"/>
      <x:c r="H31" s="36"/>
      <x:c r="I31" s="45"/>
      <x:c r="J31" s="45"/>
      <x:c r="K31" s="45"/>
      <x:c r="L31" s="36"/>
      <x:c r="M31" s="45"/>
      <x:c r="N31" s="16" t="str">
        <x:f>'Return Cycles'!K29</x:f>
        <x:v>OPEN</x:v>
      </x:c>
      <x:c r="O31" s="16" t="str">
        <x:f>'Attempt Objects'!R29</x:f>
        <x:v>OPEN</x:v>
      </x:c>
      <x:c r="P31" s="16" t="str">
        <x:f>IF(COUNTA(G31:O31)&lt;9,"OPEN",IF(G31="INVALID","INVALID-RETAINED",IF(AND(G31="VALID",H31="PASS",I31&gt;=0,I31&lt;='Assumptions'!$B$14,J31&gt;=0,J31&lt;='Assumptions'!$B$15,K31&gt;=0,K31&lt;='Assumptions'!$B$42,L31="PASS",M31&gt;=0,M31&lt;='Assumptions'!$B$43,N31="ACCEPTED",O31="COMPLETE"),"CREDIT",IF(G31="VALID","VALID-ADVERSE","DENY"))))</x:f>
        <x:v>OPEN</x:v>
      </x:c>
    </x:row>
    <x:row r="32">
      <x:c r="A32" s="16" t="str">
        <x:v>AT-25</x:v>
      </x:c>
      <x:c r="B32" s="16" t="str">
        <x:v>RESERVE</x:v>
      </x:c>
      <x:c r="C32" s="16" t="str">
        <x:v>TR-B</x:v>
      </x:c>
      <x:c r="D32" s="36"/>
      <x:c r="E32" s="16" t="str">
        <x:v>P-RES-13</x:v>
      </x:c>
      <x:c r="F32" s="36"/>
      <x:c r="G32" s="36"/>
      <x:c r="H32" s="36"/>
      <x:c r="I32" s="45"/>
      <x:c r="J32" s="45"/>
      <x:c r="K32" s="45"/>
      <x:c r="L32" s="36"/>
      <x:c r="M32" s="45"/>
      <x:c r="N32" s="16" t="str">
        <x:f>'Return Cycles'!K30</x:f>
        <x:v>OPEN</x:v>
      </x:c>
      <x:c r="O32" s="16" t="str">
        <x:f>'Attempt Objects'!R30</x:f>
        <x:v>OPEN</x:v>
      </x:c>
      <x:c r="P32" s="16" t="str">
        <x:f>IF(COUNTA(G32:O32)&lt;9,"OPEN",IF(G32="INVALID","INVALID-RETAINED",IF(AND(G32="VALID",H32="PASS",I32&gt;=0,I32&lt;='Assumptions'!$B$14,J32&gt;=0,J32&lt;='Assumptions'!$B$15,K32&gt;=0,K32&lt;='Assumptions'!$B$42,L32="PASS",M32&gt;=0,M32&lt;='Assumptions'!$B$43,N32="ACCEPTED",O32="COMPLETE"),"CREDIT",IF(G32="VALID","VALID-ADVERSE","DENY"))))</x:f>
        <x:v>OPEN</x:v>
      </x:c>
    </x:row>
    <x:row r="33">
      <x:c r="A33" s="16" t="str">
        <x:v>AT-26</x:v>
      </x:c>
      <x:c r="B33" s="16" t="str">
        <x:v>RESERVE</x:v>
      </x:c>
      <x:c r="C33" s="16" t="str">
        <x:v>TR-B</x:v>
      </x:c>
      <x:c r="D33" s="36"/>
      <x:c r="E33" s="16" t="str">
        <x:v>P-RES-14</x:v>
      </x:c>
      <x:c r="F33" s="36"/>
      <x:c r="G33" s="36"/>
      <x:c r="H33" s="36"/>
      <x:c r="I33" s="45"/>
      <x:c r="J33" s="45"/>
      <x:c r="K33" s="45"/>
      <x:c r="L33" s="36"/>
      <x:c r="M33" s="45"/>
      <x:c r="N33" s="16" t="str">
        <x:f>'Return Cycles'!K31</x:f>
        <x:v>OPEN</x:v>
      </x:c>
      <x:c r="O33" s="16" t="str">
        <x:f>'Attempt Objects'!R31</x:f>
        <x:v>OPEN</x:v>
      </x:c>
      <x:c r="P33" s="16" t="str">
        <x:f>IF(COUNTA(G33:O33)&lt;9,"OPEN",IF(G33="INVALID","INVALID-RETAINED",IF(AND(G33="VALID",H33="PASS",I33&gt;=0,I33&lt;='Assumptions'!$B$14,J33&gt;=0,J33&lt;='Assumptions'!$B$15,K33&gt;=0,K33&lt;='Assumptions'!$B$42,L33="PASS",M33&gt;=0,M33&lt;='Assumptions'!$B$43,N33="ACCEPTED",O33="COMPLETE"),"CREDIT",IF(G33="VALID","VALID-ADVERSE","DENY"))))</x:f>
        <x:v>OPEN</x:v>
      </x:c>
    </x:row>
    <x:row r="34">
      <x:c r="A34" s="16" t="str">
        <x:v>AT-27</x:v>
      </x:c>
      <x:c r="B34" s="16" t="str">
        <x:v>RESERVE</x:v>
      </x:c>
      <x:c r="C34" s="16" t="str">
        <x:v>TR-B</x:v>
      </x:c>
      <x:c r="D34" s="36"/>
      <x:c r="E34" s="16" t="str">
        <x:v>P-RES-15</x:v>
      </x:c>
      <x:c r="F34" s="36"/>
      <x:c r="G34" s="36"/>
      <x:c r="H34" s="36"/>
      <x:c r="I34" s="45"/>
      <x:c r="J34" s="45"/>
      <x:c r="K34" s="45"/>
      <x:c r="L34" s="36"/>
      <x:c r="M34" s="45"/>
      <x:c r="N34" s="16" t="str">
        <x:f>'Return Cycles'!K32</x:f>
        <x:v>OPEN</x:v>
      </x:c>
      <x:c r="O34" s="16" t="str">
        <x:f>'Attempt Objects'!R32</x:f>
        <x:v>OPEN</x:v>
      </x:c>
      <x:c r="P34" s="16" t="str">
        <x:f>IF(COUNTA(G34:O34)&lt;9,"OPEN",IF(G34="INVALID","INVALID-RETAINED",IF(AND(G34="VALID",H34="PASS",I34&gt;=0,I34&lt;='Assumptions'!$B$14,J34&gt;=0,J34&lt;='Assumptions'!$B$15,K34&gt;=0,K34&lt;='Assumptions'!$B$42,L34="PASS",M34&gt;=0,M34&lt;='Assumptions'!$B$43,N34="ACCEPTED",O34="COMPLETE"),"CREDIT",IF(G34="VALID","VALID-ADVERSE","DENY"))))</x:f>
        <x:v>OPEN</x:v>
      </x:c>
    </x:row>
    <x:row r="35">
      <x:c r="A35" s="16" t="str">
        <x:v>AT-28</x:v>
      </x:c>
      <x:c r="B35" s="16" t="str">
        <x:v>RESERVE</x:v>
      </x:c>
      <x:c r="C35" s="16" t="str">
        <x:v>TR-B</x:v>
      </x:c>
      <x:c r="D35" s="36"/>
      <x:c r="E35" s="16" t="str">
        <x:v>P-RES-16</x:v>
      </x:c>
      <x:c r="F35" s="36"/>
      <x:c r="G35" s="36"/>
      <x:c r="H35" s="36"/>
      <x:c r="I35" s="45"/>
      <x:c r="J35" s="45"/>
      <x:c r="K35" s="45"/>
      <x:c r="L35" s="36"/>
      <x:c r="M35" s="45"/>
      <x:c r="N35" s="16" t="str">
        <x:f>'Return Cycles'!K33</x:f>
        <x:v>OPEN</x:v>
      </x:c>
      <x:c r="O35" s="16" t="str">
        <x:f>'Attempt Objects'!R33</x:f>
        <x:v>OPEN</x:v>
      </x:c>
      <x:c r="P35" s="16" t="str">
        <x:f>IF(COUNTA(G35:O35)&lt;9,"OPEN",IF(G35="INVALID","INVALID-RETAINED",IF(AND(G35="VALID",H35="PASS",I35&gt;=0,I35&lt;='Assumptions'!$B$14,J35&gt;=0,J35&lt;='Assumptions'!$B$15,K35&gt;=0,K35&lt;='Assumptions'!$B$42,L35="PASS",M35&gt;=0,M35&lt;='Assumptions'!$B$43,N35="ACCEPTED",O35="COMPLETE"),"CREDIT",IF(G35="VALID","VALID-ADVERSE","DENY"))))</x:f>
        <x:v>OPEN</x:v>
      </x:c>
    </x:row>
  </x:sheetData>
  <x:mergeCells>
    <x:mergeCell ref="A2:P2"/>
  </x:mergeCells>
  <x:conditionalFormatting sqref="P8:P35">
    <x:cfRule type="containsText" dxfId="25" priority="1" operator="containsText" text="DENY"/>
    <x:cfRule type="containsText" dxfId="26" priority="2" operator="containsText" text="ADVERSE"/>
    <x:cfRule type="containsText" dxfId="27" priority="3" operator="containsText" text="FAIL"/>
    <x:cfRule type="containsText" dxfId="28" priority="4" operator="containsText" text="REQUIRED"/>
    <x:cfRule type="containsText" dxfId="29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c24e548819a545e6"/>
  </x:tableParts>
</x:worksheet>
</file>

<file path=xl/worksheets/sheet12.xml><?xml version="1.0" encoding="utf-8"?>
<x:worksheet xmlns:x="http://schemas.openxmlformats.org/spreadsheetml/2006/main">
  <x:sheetPr>
    <x:tabColor rgb="FFDDEBF7"/>
  </x:sheetPr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3" hidden="0" customWidth="1"/>
    <x:col min="5" max="5" width="13" hidden="0" customWidth="1"/>
    <x:col min="6" max="6" width="13" hidden="0" customWidth="1"/>
    <x:col min="7" max="7" width="18" hidden="0" customWidth="1"/>
    <x:col min="8" max="8" width="18" hidden="0" customWidth="1"/>
    <x:col min="9" max="9" width="17" hidden="0" customWidth="1"/>
  </x:cols>
  <x:sheetData>
    <x:row r="2" ht="26" customHeight="1">
      <x:c r="A2" s="2" t="str">
        <x:v>Thirty-package source bank</x:v>
      </x:c>
      <x:c r="B2" s="2" t="str">
        <x:v>Thirty-package source bank</x:v>
      </x:c>
      <x:c r="C2" s="2" t="str">
        <x:v>Thirty-package source bank</x:v>
      </x:c>
      <x:c r="D2" s="2" t="str">
        <x:v>Thirty-package source bank</x:v>
      </x:c>
      <x:c r="E2" s="2" t="str">
        <x:v>Thirty-package source bank</x:v>
      </x:c>
      <x:c r="F2" s="2" t="str">
        <x:v>Thirty-package source bank</x:v>
      </x:c>
      <x:c r="G2" s="2" t="str">
        <x:v>Thirty-package source bank</x:v>
      </x:c>
      <x:c r="H2" s="2" t="str">
        <x:v>Thirty-package source bank</x:v>
      </x:c>
      <x:c r="I2" s="2" t="str">
        <x:v>Thirty-package source bank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</x:row>
    <x:row r="5">
      <x:c r="A5" s="51" t="str">
        <x:v>Future packages</x:v>
      </x:c>
      <x:c r="B5" s="51" t="n">
        <x:v>30</x:v>
      </x:c>
      <x:c r="C5" s="51"/>
      <x:c r="D5" s="51"/>
      <x:c r="E5" s="51"/>
      <x:c r="F5" s="51"/>
      <x:c r="G5" s="51"/>
      <x:c r="H5" s="51"/>
      <x:c r="I5" s="51"/>
    </x:row>
    <x:row r="6">
      <x:c r="A6" s="51" t="str">
        <x:v>Gross custody kg</x:v>
      </x:c>
      <x:c r="B6" s="51" t="n">
        <x:f>B5*'Assumptions'!B12</x:f>
        <x:v>18000</x:v>
      </x:c>
      <x:c r="C6" s="51"/>
      <x:c r="D6" s="51"/>
      <x:c r="E6" s="51"/>
      <x:c r="F6" s="51"/>
      <x:c r="G6" s="51"/>
      <x:c r="H6" s="51"/>
      <x:c r="I6" s="51"/>
    </x:row>
    <x:row r="7">
      <x:c r="A7" s="51" t="str">
        <x:v>Maximum event issue kg</x:v>
      </x:c>
      <x:c r="B7" s="51" t="n">
        <x:v>14000</x:v>
      </x:c>
      <x:c r="C7" s="51"/>
      <x:c r="D7" s="51"/>
      <x:c r="E7" s="51"/>
      <x:c r="F7" s="51"/>
      <x:c r="G7" s="51"/>
      <x:c r="H7" s="51"/>
      <x:c r="I7" s="51"/>
    </x:row>
    <x:row r="8">
      <x:c r="A8" s="51"/>
      <x:c r="B8" s="51"/>
      <x:c r="C8" s="51"/>
      <x:c r="D8" s="51"/>
      <x:c r="E8" s="51"/>
      <x:c r="F8" s="51"/>
      <x:c r="G8" s="51"/>
      <x:c r="H8" s="51"/>
      <x:c r="I8" s="51"/>
    </x:row>
    <x:row r="9">
      <x:c r="A9" s="32" t="str">
        <x:v>Package ID</x:v>
      </x:c>
      <x:c r="B9" s="33" t="str">
        <x:v>Truth-root family</x:v>
      </x:c>
      <x:c r="C9" s="33" t="str">
        <x:v>Role</x:v>
      </x:c>
      <x:c r="D9" s="33" t="str">
        <x:v>Gross kg</x:v>
      </x:c>
      <x:c r="E9" s="33" t="str">
        <x:v>Event kg</x:v>
      </x:c>
      <x:c r="F9" s="33" t="str">
        <x:v>Assay kg</x:v>
      </x:c>
      <x:c r="G9" s="33" t="str">
        <x:v>Conditioning kg</x:v>
      </x:c>
      <x:c r="H9" s="33" t="str">
        <x:v>Quarantine kg</x:v>
      </x:c>
      <x:c r="I9" s="34" t="str">
        <x:v>Physical state</x:v>
      </x:c>
    </x:row>
    <x:row r="10">
      <x:c r="A10" s="16" t="str">
        <x:v>P-ACT-01</x:v>
      </x:c>
      <x:c r="B10" s="16" t="str">
        <x:v>TR-A</x:v>
      </x:c>
      <x:c r="C10" s="16" t="str">
        <x:v>ACTIVE</x:v>
      </x:c>
      <x:c r="D10" s="16" t="n">
        <x:v>600</x:v>
      </x:c>
      <x:c r="E10" s="16" t="n">
        <x:v>500</x:v>
      </x:c>
      <x:c r="F10" s="16" t="n">
        <x:v>30</x:v>
      </x:c>
      <x:c r="G10" s="16" t="n">
        <x:v>40</x:v>
      </x:c>
      <x:c r="H10" s="16" t="n">
        <x:v>30</x:v>
      </x:c>
      <x:c r="I10" s="36"/>
    </x:row>
    <x:row r="11">
      <x:c r="A11" s="16" t="str">
        <x:v>P-ACT-02</x:v>
      </x:c>
      <x:c r="B11" s="16" t="str">
        <x:v>TR-B</x:v>
      </x:c>
      <x:c r="C11" s="16" t="str">
        <x:v>ACTIVE</x:v>
      </x:c>
      <x:c r="D11" s="16" t="n">
        <x:v>600</x:v>
      </x:c>
      <x:c r="E11" s="16" t="n">
        <x:v>500</x:v>
      </x:c>
      <x:c r="F11" s="16" t="n">
        <x:v>30</x:v>
      </x:c>
      <x:c r="G11" s="16" t="n">
        <x:v>40</x:v>
      </x:c>
      <x:c r="H11" s="16" t="n">
        <x:v>30</x:v>
      </x:c>
      <x:c r="I11" s="36"/>
    </x:row>
    <x:row r="12">
      <x:c r="A12" s="16" t="str">
        <x:v>P-ACT-03</x:v>
      </x:c>
      <x:c r="B12" s="16" t="str">
        <x:v>TR-A</x:v>
      </x:c>
      <x:c r="C12" s="16" t="str">
        <x:v>ACTIVE</x:v>
      </x:c>
      <x:c r="D12" s="16" t="n">
        <x:v>600</x:v>
      </x:c>
      <x:c r="E12" s="16" t="n">
        <x:v>500</x:v>
      </x:c>
      <x:c r="F12" s="16" t="n">
        <x:v>30</x:v>
      </x:c>
      <x:c r="G12" s="16" t="n">
        <x:v>40</x:v>
      </x:c>
      <x:c r="H12" s="16" t="n">
        <x:v>30</x:v>
      </x:c>
      <x:c r="I12" s="36"/>
    </x:row>
    <x:row r="13">
      <x:c r="A13" s="16" t="str">
        <x:v>P-ACT-04</x:v>
      </x:c>
      <x:c r="B13" s="16" t="str">
        <x:v>TR-B</x:v>
      </x:c>
      <x:c r="C13" s="16" t="str">
        <x:v>ACTIVE</x:v>
      </x:c>
      <x:c r="D13" s="16" t="n">
        <x:v>600</x:v>
      </x:c>
      <x:c r="E13" s="16" t="n">
        <x:v>500</x:v>
      </x:c>
      <x:c r="F13" s="16" t="n">
        <x:v>30</x:v>
      </x:c>
      <x:c r="G13" s="16" t="n">
        <x:v>40</x:v>
      </x:c>
      <x:c r="H13" s="16" t="n">
        <x:v>30</x:v>
      </x:c>
      <x:c r="I13" s="36"/>
    </x:row>
    <x:row r="14">
      <x:c r="A14" s="16" t="str">
        <x:v>P-ACT-05</x:v>
      </x:c>
      <x:c r="B14" s="16" t="str">
        <x:v>TR-A</x:v>
      </x:c>
      <x:c r="C14" s="16" t="str">
        <x:v>ACTIVE</x:v>
      </x:c>
      <x:c r="D14" s="16" t="n">
        <x:v>600</x:v>
      </x:c>
      <x:c r="E14" s="16" t="n">
        <x:v>500</x:v>
      </x:c>
      <x:c r="F14" s="16" t="n">
        <x:v>30</x:v>
      </x:c>
      <x:c r="G14" s="16" t="n">
        <x:v>40</x:v>
      </x:c>
      <x:c r="H14" s="16" t="n">
        <x:v>30</x:v>
      </x:c>
      <x:c r="I14" s="36"/>
    </x:row>
    <x:row r="15">
      <x:c r="A15" s="16" t="str">
        <x:v>P-ACT-06</x:v>
      </x:c>
      <x:c r="B15" s="16" t="str">
        <x:v>TR-B</x:v>
      </x:c>
      <x:c r="C15" s="16" t="str">
        <x:v>ACTIVE</x:v>
      </x:c>
      <x:c r="D15" s="16" t="n">
        <x:v>600</x:v>
      </x:c>
      <x:c r="E15" s="16" t="n">
        <x:v>500</x:v>
      </x:c>
      <x:c r="F15" s="16" t="n">
        <x:v>30</x:v>
      </x:c>
      <x:c r="G15" s="16" t="n">
        <x:v>40</x:v>
      </x:c>
      <x:c r="H15" s="16" t="n">
        <x:v>30</x:v>
      </x:c>
      <x:c r="I15" s="36"/>
    </x:row>
    <x:row r="16">
      <x:c r="A16" s="16" t="str">
        <x:v>P-ACT-07</x:v>
      </x:c>
      <x:c r="B16" s="16" t="str">
        <x:v>TR-A</x:v>
      </x:c>
      <x:c r="C16" s="16" t="str">
        <x:v>ACTIVE</x:v>
      </x:c>
      <x:c r="D16" s="16" t="n">
        <x:v>600</x:v>
      </x:c>
      <x:c r="E16" s="16" t="n">
        <x:v>500</x:v>
      </x:c>
      <x:c r="F16" s="16" t="n">
        <x:v>30</x:v>
      </x:c>
      <x:c r="G16" s="16" t="n">
        <x:v>40</x:v>
      </x:c>
      <x:c r="H16" s="16" t="n">
        <x:v>30</x:v>
      </x:c>
      <x:c r="I16" s="36"/>
    </x:row>
    <x:row r="17">
      <x:c r="A17" s="16" t="str">
        <x:v>P-ACT-08</x:v>
      </x:c>
      <x:c r="B17" s="16" t="str">
        <x:v>TR-B</x:v>
      </x:c>
      <x:c r="C17" s="16" t="str">
        <x:v>ACTIVE</x:v>
      </x:c>
      <x:c r="D17" s="16" t="n">
        <x:v>600</x:v>
      </x:c>
      <x:c r="E17" s="16" t="n">
        <x:v>500</x:v>
      </x:c>
      <x:c r="F17" s="16" t="n">
        <x:v>30</x:v>
      </x:c>
      <x:c r="G17" s="16" t="n">
        <x:v>40</x:v>
      </x:c>
      <x:c r="H17" s="16" t="n">
        <x:v>30</x:v>
      </x:c>
      <x:c r="I17" s="36"/>
    </x:row>
    <x:row r="18">
      <x:c r="A18" s="16" t="str">
        <x:v>P-ACT-09</x:v>
      </x:c>
      <x:c r="B18" s="16" t="str">
        <x:v>TR-A</x:v>
      </x:c>
      <x:c r="C18" s="16" t="str">
        <x:v>ACTIVE</x:v>
      </x:c>
      <x:c r="D18" s="16" t="n">
        <x:v>600</x:v>
      </x:c>
      <x:c r="E18" s="16" t="n">
        <x:v>500</x:v>
      </x:c>
      <x:c r="F18" s="16" t="n">
        <x:v>30</x:v>
      </x:c>
      <x:c r="G18" s="16" t="n">
        <x:v>40</x:v>
      </x:c>
      <x:c r="H18" s="16" t="n">
        <x:v>30</x:v>
      </x:c>
      <x:c r="I18" s="36"/>
    </x:row>
    <x:row r="19">
      <x:c r="A19" s="16" t="str">
        <x:v>P-ACT-10</x:v>
      </x:c>
      <x:c r="B19" s="16" t="str">
        <x:v>TR-B</x:v>
      </x:c>
      <x:c r="C19" s="16" t="str">
        <x:v>ACTIVE</x:v>
      </x:c>
      <x:c r="D19" s="16" t="n">
        <x:v>600</x:v>
      </x:c>
      <x:c r="E19" s="16" t="n">
        <x:v>500</x:v>
      </x:c>
      <x:c r="F19" s="16" t="n">
        <x:v>30</x:v>
      </x:c>
      <x:c r="G19" s="16" t="n">
        <x:v>40</x:v>
      </x:c>
      <x:c r="H19" s="16" t="n">
        <x:v>30</x:v>
      </x:c>
      <x:c r="I19" s="36"/>
    </x:row>
    <x:row r="20">
      <x:c r="A20" s="16" t="str">
        <x:v>P-ACT-11</x:v>
      </x:c>
      <x:c r="B20" s="16" t="str">
        <x:v>TR-A</x:v>
      </x:c>
      <x:c r="C20" s="16" t="str">
        <x:v>ACTIVE</x:v>
      </x:c>
      <x:c r="D20" s="16" t="n">
        <x:v>600</x:v>
      </x:c>
      <x:c r="E20" s="16" t="n">
        <x:v>500</x:v>
      </x:c>
      <x:c r="F20" s="16" t="n">
        <x:v>30</x:v>
      </x:c>
      <x:c r="G20" s="16" t="n">
        <x:v>40</x:v>
      </x:c>
      <x:c r="H20" s="16" t="n">
        <x:v>30</x:v>
      </x:c>
      <x:c r="I20" s="36"/>
    </x:row>
    <x:row r="21">
      <x:c r="A21" s="16" t="str">
        <x:v>P-ACT-12</x:v>
      </x:c>
      <x:c r="B21" s="16" t="str">
        <x:v>TR-B</x:v>
      </x:c>
      <x:c r="C21" s="16" t="str">
        <x:v>ACTIVE</x:v>
      </x:c>
      <x:c r="D21" s="16" t="n">
        <x:v>600</x:v>
      </x:c>
      <x:c r="E21" s="16" t="n">
        <x:v>500</x:v>
      </x:c>
      <x:c r="F21" s="16" t="n">
        <x:v>30</x:v>
      </x:c>
      <x:c r="G21" s="16" t="n">
        <x:v>40</x:v>
      </x:c>
      <x:c r="H21" s="16" t="n">
        <x:v>30</x:v>
      </x:c>
      <x:c r="I21" s="36"/>
    </x:row>
    <x:row r="22">
      <x:c r="A22" s="16" t="str">
        <x:v>P-RES-01</x:v>
      </x:c>
      <x:c r="B22" s="16" t="str">
        <x:v>TR-A</x:v>
      </x:c>
      <x:c r="C22" s="16" t="str">
        <x:v>RESERVE</x:v>
      </x:c>
      <x:c r="D22" s="16" t="n">
        <x:v>600</x:v>
      </x:c>
      <x:c r="E22" s="16" t="n">
        <x:v>500</x:v>
      </x:c>
      <x:c r="F22" s="16" t="n">
        <x:v>30</x:v>
      </x:c>
      <x:c r="G22" s="16" t="n">
        <x:v>40</x:v>
      </x:c>
      <x:c r="H22" s="16" t="n">
        <x:v>30</x:v>
      </x:c>
      <x:c r="I22" s="36"/>
    </x:row>
    <x:row r="23">
      <x:c r="A23" s="16" t="str">
        <x:v>P-RES-02</x:v>
      </x:c>
      <x:c r="B23" s="16" t="str">
        <x:v>TR-A</x:v>
      </x:c>
      <x:c r="C23" s="16" t="str">
        <x:v>RESERVE</x:v>
      </x:c>
      <x:c r="D23" s="16" t="n">
        <x:v>600</x:v>
      </x:c>
      <x:c r="E23" s="16" t="n">
        <x:v>500</x:v>
      </x:c>
      <x:c r="F23" s="16" t="n">
        <x:v>30</x:v>
      </x:c>
      <x:c r="G23" s="16" t="n">
        <x:v>40</x:v>
      </x:c>
      <x:c r="H23" s="16" t="n">
        <x:v>30</x:v>
      </x:c>
      <x:c r="I23" s="36"/>
    </x:row>
    <x:row r="24">
      <x:c r="A24" s="16" t="str">
        <x:v>P-RES-03</x:v>
      </x:c>
      <x:c r="B24" s="16" t="str">
        <x:v>TR-A</x:v>
      </x:c>
      <x:c r="C24" s="16" t="str">
        <x:v>RESERVE</x:v>
      </x:c>
      <x:c r="D24" s="16" t="n">
        <x:v>600</x:v>
      </x:c>
      <x:c r="E24" s="16" t="n">
        <x:v>500</x:v>
      </x:c>
      <x:c r="F24" s="16" t="n">
        <x:v>30</x:v>
      </x:c>
      <x:c r="G24" s="16" t="n">
        <x:v>40</x:v>
      </x:c>
      <x:c r="H24" s="16" t="n">
        <x:v>30</x:v>
      </x:c>
      <x:c r="I24" s="36"/>
    </x:row>
    <x:row r="25">
      <x:c r="A25" s="16" t="str">
        <x:v>P-RES-04</x:v>
      </x:c>
      <x:c r="B25" s="16" t="str">
        <x:v>TR-A</x:v>
      </x:c>
      <x:c r="C25" s="16" t="str">
        <x:v>RESERVE</x:v>
      </x:c>
      <x:c r="D25" s="16" t="n">
        <x:v>600</x:v>
      </x:c>
      <x:c r="E25" s="16" t="n">
        <x:v>500</x:v>
      </x:c>
      <x:c r="F25" s="16" t="n">
        <x:v>30</x:v>
      </x:c>
      <x:c r="G25" s="16" t="n">
        <x:v>40</x:v>
      </x:c>
      <x:c r="H25" s="16" t="n">
        <x:v>30</x:v>
      </x:c>
      <x:c r="I25" s="36"/>
    </x:row>
    <x:row r="26">
      <x:c r="A26" s="16" t="str">
        <x:v>P-RES-05</x:v>
      </x:c>
      <x:c r="B26" s="16" t="str">
        <x:v>TR-A</x:v>
      </x:c>
      <x:c r="C26" s="16" t="str">
        <x:v>RESERVE</x:v>
      </x:c>
      <x:c r="D26" s="16" t="n">
        <x:v>600</x:v>
      </x:c>
      <x:c r="E26" s="16" t="n">
        <x:v>500</x:v>
      </x:c>
      <x:c r="F26" s="16" t="n">
        <x:v>30</x:v>
      </x:c>
      <x:c r="G26" s="16" t="n">
        <x:v>40</x:v>
      </x:c>
      <x:c r="H26" s="16" t="n">
        <x:v>30</x:v>
      </x:c>
      <x:c r="I26" s="36"/>
    </x:row>
    <x:row r="27">
      <x:c r="A27" s="16" t="str">
        <x:v>P-RES-06</x:v>
      </x:c>
      <x:c r="B27" s="16" t="str">
        <x:v>TR-A</x:v>
      </x:c>
      <x:c r="C27" s="16" t="str">
        <x:v>RESERVE</x:v>
      </x:c>
      <x:c r="D27" s="16" t="n">
        <x:v>600</x:v>
      </x:c>
      <x:c r="E27" s="16" t="n">
        <x:v>500</x:v>
      </x:c>
      <x:c r="F27" s="16" t="n">
        <x:v>30</x:v>
      </x:c>
      <x:c r="G27" s="16" t="n">
        <x:v>40</x:v>
      </x:c>
      <x:c r="H27" s="16" t="n">
        <x:v>30</x:v>
      </x:c>
      <x:c r="I27" s="36"/>
    </x:row>
    <x:row r="28">
      <x:c r="A28" s="16" t="str">
        <x:v>P-RES-07</x:v>
      </x:c>
      <x:c r="B28" s="16" t="str">
        <x:v>TR-A</x:v>
      </x:c>
      <x:c r="C28" s="16" t="str">
        <x:v>RESERVE</x:v>
      </x:c>
      <x:c r="D28" s="16" t="n">
        <x:v>600</x:v>
      </x:c>
      <x:c r="E28" s="16" t="n">
        <x:v>500</x:v>
      </x:c>
      <x:c r="F28" s="16" t="n">
        <x:v>30</x:v>
      </x:c>
      <x:c r="G28" s="16" t="n">
        <x:v>40</x:v>
      </x:c>
      <x:c r="H28" s="16" t="n">
        <x:v>30</x:v>
      </x:c>
      <x:c r="I28" s="36"/>
    </x:row>
    <x:row r="29">
      <x:c r="A29" s="16" t="str">
        <x:v>P-RES-08</x:v>
      </x:c>
      <x:c r="B29" s="16" t="str">
        <x:v>TR-A</x:v>
      </x:c>
      <x:c r="C29" s="16" t="str">
        <x:v>RESERVE</x:v>
      </x:c>
      <x:c r="D29" s="16" t="n">
        <x:v>600</x:v>
      </x:c>
      <x:c r="E29" s="16" t="n">
        <x:v>500</x:v>
      </x:c>
      <x:c r="F29" s="16" t="n">
        <x:v>30</x:v>
      </x:c>
      <x:c r="G29" s="16" t="n">
        <x:v>40</x:v>
      </x:c>
      <x:c r="H29" s="16" t="n">
        <x:v>30</x:v>
      </x:c>
      <x:c r="I29" s="36"/>
    </x:row>
    <x:row r="30">
      <x:c r="A30" s="16" t="str">
        <x:v>P-RES-09</x:v>
      </x:c>
      <x:c r="B30" s="16" t="str">
        <x:v>TR-B</x:v>
      </x:c>
      <x:c r="C30" s="16" t="str">
        <x:v>RESERVE</x:v>
      </x:c>
      <x:c r="D30" s="16" t="n">
        <x:v>600</x:v>
      </x:c>
      <x:c r="E30" s="16" t="n">
        <x:v>500</x:v>
      </x:c>
      <x:c r="F30" s="16" t="n">
        <x:v>30</x:v>
      </x:c>
      <x:c r="G30" s="16" t="n">
        <x:v>40</x:v>
      </x:c>
      <x:c r="H30" s="16" t="n">
        <x:v>30</x:v>
      </x:c>
      <x:c r="I30" s="36"/>
    </x:row>
    <x:row r="31">
      <x:c r="A31" s="16" t="str">
        <x:v>P-RES-10</x:v>
      </x:c>
      <x:c r="B31" s="16" t="str">
        <x:v>TR-B</x:v>
      </x:c>
      <x:c r="C31" s="16" t="str">
        <x:v>RESERVE</x:v>
      </x:c>
      <x:c r="D31" s="16" t="n">
        <x:v>600</x:v>
      </x:c>
      <x:c r="E31" s="16" t="n">
        <x:v>500</x:v>
      </x:c>
      <x:c r="F31" s="16" t="n">
        <x:v>30</x:v>
      </x:c>
      <x:c r="G31" s="16" t="n">
        <x:v>40</x:v>
      </x:c>
      <x:c r="H31" s="16" t="n">
        <x:v>30</x:v>
      </x:c>
      <x:c r="I31" s="36"/>
    </x:row>
    <x:row r="32">
      <x:c r="A32" s="16" t="str">
        <x:v>P-RES-11</x:v>
      </x:c>
      <x:c r="B32" s="16" t="str">
        <x:v>TR-B</x:v>
      </x:c>
      <x:c r="C32" s="16" t="str">
        <x:v>RESERVE</x:v>
      </x:c>
      <x:c r="D32" s="16" t="n">
        <x:v>600</x:v>
      </x:c>
      <x:c r="E32" s="16" t="n">
        <x:v>500</x:v>
      </x:c>
      <x:c r="F32" s="16" t="n">
        <x:v>30</x:v>
      </x:c>
      <x:c r="G32" s="16" t="n">
        <x:v>40</x:v>
      </x:c>
      <x:c r="H32" s="16" t="n">
        <x:v>30</x:v>
      </x:c>
      <x:c r="I32" s="36"/>
    </x:row>
    <x:row r="33">
      <x:c r="A33" s="16" t="str">
        <x:v>P-RES-12</x:v>
      </x:c>
      <x:c r="B33" s="16" t="str">
        <x:v>TR-B</x:v>
      </x:c>
      <x:c r="C33" s="16" t="str">
        <x:v>RESERVE</x:v>
      </x:c>
      <x:c r="D33" s="16" t="n">
        <x:v>600</x:v>
      </x:c>
      <x:c r="E33" s="16" t="n">
        <x:v>500</x:v>
      </x:c>
      <x:c r="F33" s="16" t="n">
        <x:v>30</x:v>
      </x:c>
      <x:c r="G33" s="16" t="n">
        <x:v>40</x:v>
      </x:c>
      <x:c r="H33" s="16" t="n">
        <x:v>30</x:v>
      </x:c>
      <x:c r="I33" s="36"/>
    </x:row>
    <x:row r="34">
      <x:c r="A34" s="16" t="str">
        <x:v>P-RES-13</x:v>
      </x:c>
      <x:c r="B34" s="16" t="str">
        <x:v>TR-B</x:v>
      </x:c>
      <x:c r="C34" s="16" t="str">
        <x:v>RESERVE</x:v>
      </x:c>
      <x:c r="D34" s="16" t="n">
        <x:v>600</x:v>
      </x:c>
      <x:c r="E34" s="16" t="n">
        <x:v>500</x:v>
      </x:c>
      <x:c r="F34" s="16" t="n">
        <x:v>30</x:v>
      </x:c>
      <x:c r="G34" s="16" t="n">
        <x:v>40</x:v>
      </x:c>
      <x:c r="H34" s="16" t="n">
        <x:v>30</x:v>
      </x:c>
      <x:c r="I34" s="36"/>
    </x:row>
    <x:row r="35">
      <x:c r="A35" s="16" t="str">
        <x:v>P-RES-14</x:v>
      </x:c>
      <x:c r="B35" s="16" t="str">
        <x:v>TR-B</x:v>
      </x:c>
      <x:c r="C35" s="16" t="str">
        <x:v>RESERVE</x:v>
      </x:c>
      <x:c r="D35" s="16" t="n">
        <x:v>600</x:v>
      </x:c>
      <x:c r="E35" s="16" t="n">
        <x:v>500</x:v>
      </x:c>
      <x:c r="F35" s="16" t="n">
        <x:v>30</x:v>
      </x:c>
      <x:c r="G35" s="16" t="n">
        <x:v>40</x:v>
      </x:c>
      <x:c r="H35" s="16" t="n">
        <x:v>30</x:v>
      </x:c>
      <x:c r="I35" s="36"/>
    </x:row>
    <x:row r="36">
      <x:c r="A36" s="16" t="str">
        <x:v>P-RES-15</x:v>
      </x:c>
      <x:c r="B36" s="16" t="str">
        <x:v>TR-B</x:v>
      </x:c>
      <x:c r="C36" s="16" t="str">
        <x:v>RESERVE</x:v>
      </x:c>
      <x:c r="D36" s="16" t="n">
        <x:v>600</x:v>
      </x:c>
      <x:c r="E36" s="16" t="n">
        <x:v>500</x:v>
      </x:c>
      <x:c r="F36" s="16" t="n">
        <x:v>30</x:v>
      </x:c>
      <x:c r="G36" s="16" t="n">
        <x:v>40</x:v>
      </x:c>
      <x:c r="H36" s="16" t="n">
        <x:v>30</x:v>
      </x:c>
      <x:c r="I36" s="36"/>
    </x:row>
    <x:row r="37">
      <x:c r="A37" s="16" t="str">
        <x:v>P-RES-16</x:v>
      </x:c>
      <x:c r="B37" s="16" t="str">
        <x:v>TR-B</x:v>
      </x:c>
      <x:c r="C37" s="16" t="str">
        <x:v>RESERVE</x:v>
      </x:c>
      <x:c r="D37" s="16" t="n">
        <x:v>600</x:v>
      </x:c>
      <x:c r="E37" s="16" t="n">
        <x:v>500</x:v>
      </x:c>
      <x:c r="F37" s="16" t="n">
        <x:v>30</x:v>
      </x:c>
      <x:c r="G37" s="16" t="n">
        <x:v>40</x:v>
      </x:c>
      <x:c r="H37" s="16" t="n">
        <x:v>30</x:v>
      </x:c>
      <x:c r="I37" s="36"/>
    </x:row>
    <x:row r="38">
      <x:c r="A38" s="16" t="str">
        <x:v>P-REF-A</x:v>
      </x:c>
      <x:c r="B38" s="16" t="str">
        <x:v>TR-A</x:v>
      </x:c>
      <x:c r="C38" s="16" t="str">
        <x:v>FORENSIC</x:v>
      </x:c>
      <x:c r="D38" s="16" t="n">
        <x:v>600</x:v>
      </x:c>
      <x:c r="E38" s="16" t="n">
        <x:v>500</x:v>
      </x:c>
      <x:c r="F38" s="16" t="n">
        <x:v>30</x:v>
      </x:c>
      <x:c r="G38" s="16" t="n">
        <x:v>40</x:v>
      </x:c>
      <x:c r="H38" s="16" t="n">
        <x:v>30</x:v>
      </x:c>
      <x:c r="I38" s="36"/>
    </x:row>
    <x:row r="39">
      <x:c r="A39" s="16" t="str">
        <x:v>P-REF-B</x:v>
      </x:c>
      <x:c r="B39" s="16" t="str">
        <x:v>TR-B</x:v>
      </x:c>
      <x:c r="C39" s="16" t="str">
        <x:v>FORENSIC</x:v>
      </x:c>
      <x:c r="D39" s="16" t="n">
        <x:v>600</x:v>
      </x:c>
      <x:c r="E39" s="16" t="n">
        <x:v>500</x:v>
      </x:c>
      <x:c r="F39" s="16" t="n">
        <x:v>30</x:v>
      </x:c>
      <x:c r="G39" s="16" t="n">
        <x:v>40</x:v>
      </x:c>
      <x:c r="H39" s="16" t="n">
        <x:v>30</x:v>
      </x:c>
      <x:c r="I39" s="36"/>
    </x:row>
  </x:sheetData>
  <x:mergeCells>
    <x:mergeCell ref="A2:I2"/>
  </x:mergeCells>
  <x:conditionalFormatting sqref="I10:I39">
    <x:cfRule type="containsText" dxfId="30" priority="1" operator="containsText" text="DENY"/>
    <x:cfRule type="containsText" dxfId="31" priority="2" operator="containsText" text="ADVERSE"/>
    <x:cfRule type="containsText" dxfId="32" priority="3" operator="containsText" text="FAIL"/>
    <x:cfRule type="containsText" dxfId="33" priority="4" operator="containsText" text="REQUIRED"/>
    <x:cfRule type="containsText" dxfId="34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cb53ca5e7005436a"/>
  </x:tableParts>
</x:worksheet>
</file>

<file path=xl/worksheets/sheet1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38" hidden="0" customWidth="1"/>
    <x:col min="4" max="4" width="20" hidden="0" customWidth="1"/>
    <x:col min="5" max="5" width="20" hidden="0" customWidth="1"/>
    <x:col min="6" max="6" width="18" hidden="0" customWidth="1"/>
    <x:col min="7" max="7" width="18" hidden="0" customWidth="1"/>
  </x:cols>
  <x:sheetData>
    <x:row r="2" ht="26" customHeight="1">
      <x:c r="A2" s="2" t="str">
        <x:v>Forty-eight event-gate definitions</x:v>
      </x:c>
      <x:c r="B2" s="2" t="str">
        <x:v>Forty-eight event-gate definitions</x:v>
      </x:c>
      <x:c r="C2" s="2" t="str">
        <x:v>Forty-eight event-gate definitions</x:v>
      </x:c>
      <x:c r="D2" s="2" t="str">
        <x:v>Forty-eight event-gate definitions</x:v>
      </x:c>
      <x:c r="E2" s="2" t="str">
        <x:v>Forty-eight event-gate definitions</x:v>
      </x:c>
      <x:c r="F2" s="2" t="str">
        <x:v>Forty-eight event-gate definitions</x:v>
      </x:c>
      <x:c r="G2" s="2" t="str">
        <x:v>Forty-eight event-gate definitions</x:v>
      </x:c>
    </x:row>
    <x:row r="3">
      <x:c r="A3" s="50"/>
      <x:c r="B3" s="50"/>
      <x:c r="C3" s="50"/>
      <x:c r="D3" s="50"/>
      <x:c r="E3" s="50"/>
      <x:c r="F3" s="50"/>
      <x:c r="G3" s="50"/>
    </x:row>
    <x:row r="4">
      <x:c r="A4" s="51"/>
      <x:c r="B4" s="51"/>
      <x:c r="C4" s="51"/>
      <x:c r="D4" s="51"/>
      <x:c r="E4" s="51"/>
      <x:c r="F4" s="51"/>
      <x:c r="G4" s="51"/>
    </x:row>
    <x:row r="5">
      <x:c r="A5" s="32" t="str">
        <x:v>Gate ID</x:v>
      </x:c>
      <x:c r="B5" s="33" t="str">
        <x:v>Domain</x:v>
      </x:c>
      <x:c r="C5" s="33" t="str">
        <x:v>Required state</x:v>
      </x:c>
      <x:c r="D5" s="33" t="str">
        <x:v>Owner</x:v>
      </x:c>
      <x:c r="E5" s="33" t="str">
        <x:v>Current evidence</x:v>
      </x:c>
      <x:c r="F5" s="33" t="str">
        <x:v>Authority</x:v>
      </x:c>
      <x:c r="G5" s="34" t="str">
        <x:v>Definition state</x:v>
      </x:c>
    </x:row>
    <x:row r="6">
      <x:c r="A6" s="16" t="str">
        <x:v>EG-01</x:v>
      </x:c>
      <x:c r="B6" s="16" t="str">
        <x:v>prior authority</x:v>
      </x:c>
      <x:c r="C6" s="16" t="str">
        <x:v>Required event state 01</x:v>
      </x:c>
      <x:c r="D6" s="16" t="str">
        <x:v>capture</x:v>
      </x:c>
      <x:c r="E6" s="36"/>
      <x:c r="F6" s="36"/>
      <x:c r="G6" s="16" t="str">
        <x:f>IF(COUNTA(E6:F6)&lt;2,"OPEN",IF(AND(E6="PASS",F6="ACCEPTED"),"CURRENT","DENY"))</x:f>
        <x:v>OPEN</x:v>
      </x:c>
    </x:row>
    <x:row r="7">
      <x:c r="A7" s="16" t="str">
        <x:v>EG-02</x:v>
      </x:c>
      <x:c r="B7" s="16" t="str">
        <x:v>architecture</x:v>
      </x:c>
      <x:c r="C7" s="16" t="str">
        <x:v>Required event state 02</x:v>
      </x:c>
      <x:c r="D7" s="16" t="str">
        <x:v>source</x:v>
      </x:c>
      <x:c r="E7" s="36"/>
      <x:c r="F7" s="36"/>
      <x:c r="G7" s="16" t="str">
        <x:f>IF(COUNTA(E7:F7)&lt;2,"OPEN",IF(AND(E7="PASS",F7="ACCEPTED"),"CURRENT","DENY"))</x:f>
        <x:v>OPEN</x:v>
      </x:c>
    </x:row>
    <x:row r="8">
      <x:c r="A8" s="16" t="str">
        <x:v>EG-03</x:v>
      </x:c>
      <x:c r="B8" s="16" t="str">
        <x:v>module</x:v>
      </x:c>
      <x:c r="C8" s="16" t="str">
        <x:v>Required event state 03</x:v>
      </x:c>
      <x:c r="D8" s="16" t="str">
        <x:v>metrology</x:v>
      </x:c>
      <x:c r="E8" s="36"/>
      <x:c r="F8" s="36"/>
      <x:c r="G8" s="16" t="str">
        <x:f>IF(COUNTA(E8:F8)&lt;2,"OPEN",IF(AND(E8="PASS",F8="ACCEPTED"),"CURRENT","DENY"))</x:f>
        <x:v>OPEN</x:v>
      </x:c>
    </x:row>
    <x:row r="9">
      <x:c r="A9" s="16" t="str">
        <x:v>EG-04</x:v>
      </x:c>
      <x:c r="B9" s="16" t="str">
        <x:v>receiver</x:v>
      </x:c>
      <x:c r="C9" s="16" t="str">
        <x:v>Required event state 04</x:v>
      </x:c>
      <x:c r="D9" s="16" t="str">
        <x:v>safeing</x:v>
      </x:c>
      <x:c r="E9" s="36"/>
      <x:c r="F9" s="36"/>
      <x:c r="G9" s="16" t="str">
        <x:f>IF(COUNTA(E9:F9)&lt;2,"OPEN",IF(AND(E9="PASS",F9="ACCEPTED"),"CURRENT","DENY"))</x:f>
        <x:v>OPEN</x:v>
      </x:c>
    </x:row>
    <x:row r="10">
      <x:c r="A10" s="16" t="str">
        <x:v>EG-05</x:v>
      </x:c>
      <x:c r="B10" s="16" t="str">
        <x:v>capture</x:v>
      </x:c>
      <x:c r="C10" s="16" t="str">
        <x:v>Required event state 05</x:v>
      </x:c>
      <x:c r="D10" s="16" t="str">
        <x:v>evidence</x:v>
      </x:c>
      <x:c r="E10" s="36"/>
      <x:c r="F10" s="36"/>
      <x:c r="G10" s="16" t="str">
        <x:f>IF(COUNTA(E10:F10)&lt;2,"OPEN",IF(AND(E10="PASS",F10="ACCEPTED"),"CURRENT","DENY"))</x:f>
        <x:v>OPEN</x:v>
      </x:c>
    </x:row>
    <x:row r="11">
      <x:c r="A11" s="16" t="str">
        <x:v>EG-06</x:v>
      </x:c>
      <x:c r="B11" s="16" t="str">
        <x:v>source</x:v>
      </x:c>
      <x:c r="C11" s="16" t="str">
        <x:v>Required event state 06</x:v>
      </x:c>
      <x:c r="D11" s="16" t="str">
        <x:v>environment</x:v>
      </x:c>
      <x:c r="E11" s="36"/>
      <x:c r="F11" s="36"/>
      <x:c r="G11" s="16" t="str">
        <x:f>IF(COUNTA(E11:F11)&lt;2,"OPEN",IF(AND(E11="PASS",F11="ACCEPTED"),"CURRENT","DENY"))</x:f>
        <x:v>OPEN</x:v>
      </x:c>
    </x:row>
    <x:row r="12">
      <x:c r="A12" s="16" t="str">
        <x:v>EG-07</x:v>
      </x:c>
      <x:c r="B12" s="16" t="str">
        <x:v>metrology</x:v>
      </x:c>
      <x:c r="C12" s="16" t="str">
        <x:v>Required event state 07</x:v>
      </x:c>
      <x:c r="D12" s="16" t="str">
        <x:v>return</x:v>
      </x:c>
      <x:c r="E12" s="36"/>
      <x:c r="F12" s="36"/>
      <x:c r="G12" s="16" t="str">
        <x:f>IF(COUNTA(E12:F12)&lt;2,"OPEN",IF(AND(E12="PASS",F12="ACCEPTED"),"CURRENT","DENY"))</x:f>
        <x:v>OPEN</x:v>
      </x:c>
    </x:row>
    <x:row r="13">
      <x:c r="A13" s="16" t="str">
        <x:v>EG-08</x:v>
      </x:c>
      <x:c r="B13" s="16" t="str">
        <x:v>safeing</x:v>
      </x:c>
      <x:c r="C13" s="16" t="str">
        <x:v>Required event state 08</x:v>
      </x:c>
      <x:c r="D13" s="16" t="str">
        <x:v>review</x:v>
      </x:c>
      <x:c r="E13" s="36"/>
      <x:c r="F13" s="36"/>
      <x:c r="G13" s="16" t="str">
        <x:f>IF(COUNTA(E13:F13)&lt;2,"OPEN",IF(AND(E13="PASS",F13="ACCEPTED"),"CURRENT","DENY"))</x:f>
        <x:v>OPEN</x:v>
      </x:c>
    </x:row>
    <x:row r="14">
      <x:c r="A14" s="16" t="str">
        <x:v>EG-09</x:v>
      </x:c>
      <x:c r="B14" s="16" t="str">
        <x:v>evidence</x:v>
      </x:c>
      <x:c r="C14" s="16" t="str">
        <x:v>Required event state 09</x:v>
      </x:c>
      <x:c r="D14" s="16" t="str">
        <x:v>prior authority</x:v>
      </x:c>
      <x:c r="E14" s="36"/>
      <x:c r="F14" s="36"/>
      <x:c r="G14" s="16" t="str">
        <x:f>IF(COUNTA(E14:F14)&lt;2,"OPEN",IF(AND(E14="PASS",F14="ACCEPTED"),"CURRENT","DENY"))</x:f>
        <x:v>OPEN</x:v>
      </x:c>
    </x:row>
    <x:row r="15">
      <x:c r="A15" s="16" t="str">
        <x:v>EG-10</x:v>
      </x:c>
      <x:c r="B15" s="16" t="str">
        <x:v>environment</x:v>
      </x:c>
      <x:c r="C15" s="16" t="str">
        <x:v>Required event state 10</x:v>
      </x:c>
      <x:c r="D15" s="16" t="str">
        <x:v>architecture</x:v>
      </x:c>
      <x:c r="E15" s="36"/>
      <x:c r="F15" s="36"/>
      <x:c r="G15" s="16" t="str">
        <x:f>IF(COUNTA(E15:F15)&lt;2,"OPEN",IF(AND(E15="PASS",F15="ACCEPTED"),"CURRENT","DENY"))</x:f>
        <x:v>OPEN</x:v>
      </x:c>
    </x:row>
    <x:row r="16">
      <x:c r="A16" s="16" t="str">
        <x:v>EG-11</x:v>
      </x:c>
      <x:c r="B16" s="16" t="str">
        <x:v>return</x:v>
      </x:c>
      <x:c r="C16" s="16" t="str">
        <x:v>Required event state 11</x:v>
      </x:c>
      <x:c r="D16" s="16" t="str">
        <x:v>module</x:v>
      </x:c>
      <x:c r="E16" s="36"/>
      <x:c r="F16" s="36"/>
      <x:c r="G16" s="16" t="str">
        <x:f>IF(COUNTA(E16:F16)&lt;2,"OPEN",IF(AND(E16="PASS",F16="ACCEPTED"),"CURRENT","DENY"))</x:f>
        <x:v>OPEN</x:v>
      </x:c>
    </x:row>
    <x:row r="17">
      <x:c r="A17" s="16" t="str">
        <x:v>EG-12</x:v>
      </x:c>
      <x:c r="B17" s="16" t="str">
        <x:v>review</x:v>
      </x:c>
      <x:c r="C17" s="16" t="str">
        <x:v>Required event state 12</x:v>
      </x:c>
      <x:c r="D17" s="16" t="str">
        <x:v>receiver</x:v>
      </x:c>
      <x:c r="E17" s="36"/>
      <x:c r="F17" s="36"/>
      <x:c r="G17" s="16" t="str">
        <x:f>IF(COUNTA(E17:F17)&lt;2,"OPEN",IF(AND(E17="PASS",F17="ACCEPTED"),"CURRENT","DENY"))</x:f>
        <x:v>OPEN</x:v>
      </x:c>
    </x:row>
    <x:row r="18">
      <x:c r="A18" s="16" t="str">
        <x:v>EG-13</x:v>
      </x:c>
      <x:c r="B18" s="16" t="str">
        <x:v>prior authority</x:v>
      </x:c>
      <x:c r="C18" s="16" t="str">
        <x:v>Required event state 13</x:v>
      </x:c>
      <x:c r="D18" s="16" t="str">
        <x:v>capture</x:v>
      </x:c>
      <x:c r="E18" s="36"/>
      <x:c r="F18" s="36"/>
      <x:c r="G18" s="16" t="str">
        <x:f>IF(COUNTA(E18:F18)&lt;2,"OPEN",IF(AND(E18="PASS",F18="ACCEPTED"),"CURRENT","DENY"))</x:f>
        <x:v>OPEN</x:v>
      </x:c>
    </x:row>
    <x:row r="19">
      <x:c r="A19" s="16" t="str">
        <x:v>EG-14</x:v>
      </x:c>
      <x:c r="B19" s="16" t="str">
        <x:v>architecture</x:v>
      </x:c>
      <x:c r="C19" s="16" t="str">
        <x:v>Required event state 14</x:v>
      </x:c>
      <x:c r="D19" s="16" t="str">
        <x:v>source</x:v>
      </x:c>
      <x:c r="E19" s="36"/>
      <x:c r="F19" s="36"/>
      <x:c r="G19" s="16" t="str">
        <x:f>IF(COUNTA(E19:F19)&lt;2,"OPEN",IF(AND(E19="PASS",F19="ACCEPTED"),"CURRENT","DENY"))</x:f>
        <x:v>OPEN</x:v>
      </x:c>
    </x:row>
    <x:row r="20">
      <x:c r="A20" s="16" t="str">
        <x:v>EG-15</x:v>
      </x:c>
      <x:c r="B20" s="16" t="str">
        <x:v>module</x:v>
      </x:c>
      <x:c r="C20" s="16" t="str">
        <x:v>Required event state 15</x:v>
      </x:c>
      <x:c r="D20" s="16" t="str">
        <x:v>metrology</x:v>
      </x:c>
      <x:c r="E20" s="36"/>
      <x:c r="F20" s="36"/>
      <x:c r="G20" s="16" t="str">
        <x:f>IF(COUNTA(E20:F20)&lt;2,"OPEN",IF(AND(E20="PASS",F20="ACCEPTED"),"CURRENT","DENY"))</x:f>
        <x:v>OPEN</x:v>
      </x:c>
    </x:row>
    <x:row r="21">
      <x:c r="A21" s="16" t="str">
        <x:v>EG-16</x:v>
      </x:c>
      <x:c r="B21" s="16" t="str">
        <x:v>receiver</x:v>
      </x:c>
      <x:c r="C21" s="16" t="str">
        <x:v>Required event state 16</x:v>
      </x:c>
      <x:c r="D21" s="16" t="str">
        <x:v>safeing</x:v>
      </x:c>
      <x:c r="E21" s="36"/>
      <x:c r="F21" s="36"/>
      <x:c r="G21" s="16" t="str">
        <x:f>IF(COUNTA(E21:F21)&lt;2,"OPEN",IF(AND(E21="PASS",F21="ACCEPTED"),"CURRENT","DENY"))</x:f>
        <x:v>OPEN</x:v>
      </x:c>
    </x:row>
    <x:row r="22">
      <x:c r="A22" s="16" t="str">
        <x:v>EG-17</x:v>
      </x:c>
      <x:c r="B22" s="16" t="str">
        <x:v>capture</x:v>
      </x:c>
      <x:c r="C22" s="16" t="str">
        <x:v>Required event state 17</x:v>
      </x:c>
      <x:c r="D22" s="16" t="str">
        <x:v>evidence</x:v>
      </x:c>
      <x:c r="E22" s="36"/>
      <x:c r="F22" s="36"/>
      <x:c r="G22" s="16" t="str">
        <x:f>IF(COUNTA(E22:F22)&lt;2,"OPEN",IF(AND(E22="PASS",F22="ACCEPTED"),"CURRENT","DENY"))</x:f>
        <x:v>OPEN</x:v>
      </x:c>
    </x:row>
    <x:row r="23">
      <x:c r="A23" s="16" t="str">
        <x:v>EG-18</x:v>
      </x:c>
      <x:c r="B23" s="16" t="str">
        <x:v>source</x:v>
      </x:c>
      <x:c r="C23" s="16" t="str">
        <x:v>Required event state 18</x:v>
      </x:c>
      <x:c r="D23" s="16" t="str">
        <x:v>environment</x:v>
      </x:c>
      <x:c r="E23" s="36"/>
      <x:c r="F23" s="36"/>
      <x:c r="G23" s="16" t="str">
        <x:f>IF(COUNTA(E23:F23)&lt;2,"OPEN",IF(AND(E23="PASS",F23="ACCEPTED"),"CURRENT","DENY"))</x:f>
        <x:v>OPEN</x:v>
      </x:c>
    </x:row>
    <x:row r="24">
      <x:c r="A24" s="16" t="str">
        <x:v>EG-19</x:v>
      </x:c>
      <x:c r="B24" s="16" t="str">
        <x:v>metrology</x:v>
      </x:c>
      <x:c r="C24" s="16" t="str">
        <x:v>Required event state 19</x:v>
      </x:c>
      <x:c r="D24" s="16" t="str">
        <x:v>return</x:v>
      </x:c>
      <x:c r="E24" s="36"/>
      <x:c r="F24" s="36"/>
      <x:c r="G24" s="16" t="str">
        <x:f>IF(COUNTA(E24:F24)&lt;2,"OPEN",IF(AND(E24="PASS",F24="ACCEPTED"),"CURRENT","DENY"))</x:f>
        <x:v>OPEN</x:v>
      </x:c>
    </x:row>
    <x:row r="25">
      <x:c r="A25" s="16" t="str">
        <x:v>EG-20</x:v>
      </x:c>
      <x:c r="B25" s="16" t="str">
        <x:v>safeing</x:v>
      </x:c>
      <x:c r="C25" s="16" t="str">
        <x:v>Required event state 20</x:v>
      </x:c>
      <x:c r="D25" s="16" t="str">
        <x:v>review</x:v>
      </x:c>
      <x:c r="E25" s="36"/>
      <x:c r="F25" s="36"/>
      <x:c r="G25" s="16" t="str">
        <x:f>IF(COUNTA(E25:F25)&lt;2,"OPEN",IF(AND(E25="PASS",F25="ACCEPTED"),"CURRENT","DENY"))</x:f>
        <x:v>OPEN</x:v>
      </x:c>
    </x:row>
    <x:row r="26">
      <x:c r="A26" s="16" t="str">
        <x:v>EG-21</x:v>
      </x:c>
      <x:c r="B26" s="16" t="str">
        <x:v>evidence</x:v>
      </x:c>
      <x:c r="C26" s="16" t="str">
        <x:v>Required event state 21</x:v>
      </x:c>
      <x:c r="D26" s="16" t="str">
        <x:v>prior authority</x:v>
      </x:c>
      <x:c r="E26" s="36"/>
      <x:c r="F26" s="36"/>
      <x:c r="G26" s="16" t="str">
        <x:f>IF(COUNTA(E26:F26)&lt;2,"OPEN",IF(AND(E26="PASS",F26="ACCEPTED"),"CURRENT","DENY"))</x:f>
        <x:v>OPEN</x:v>
      </x:c>
    </x:row>
    <x:row r="27">
      <x:c r="A27" s="16" t="str">
        <x:v>EG-22</x:v>
      </x:c>
      <x:c r="B27" s="16" t="str">
        <x:v>environment</x:v>
      </x:c>
      <x:c r="C27" s="16" t="str">
        <x:v>Required event state 22</x:v>
      </x:c>
      <x:c r="D27" s="16" t="str">
        <x:v>architecture</x:v>
      </x:c>
      <x:c r="E27" s="36"/>
      <x:c r="F27" s="36"/>
      <x:c r="G27" s="16" t="str">
        <x:f>IF(COUNTA(E27:F27)&lt;2,"OPEN",IF(AND(E27="PASS",F27="ACCEPTED"),"CURRENT","DENY"))</x:f>
        <x:v>OPEN</x:v>
      </x:c>
    </x:row>
    <x:row r="28">
      <x:c r="A28" s="16" t="str">
        <x:v>EG-23</x:v>
      </x:c>
      <x:c r="B28" s="16" t="str">
        <x:v>return</x:v>
      </x:c>
      <x:c r="C28" s="16" t="str">
        <x:v>Required event state 23</x:v>
      </x:c>
      <x:c r="D28" s="16" t="str">
        <x:v>module</x:v>
      </x:c>
      <x:c r="E28" s="36"/>
      <x:c r="F28" s="36"/>
      <x:c r="G28" s="16" t="str">
        <x:f>IF(COUNTA(E28:F28)&lt;2,"OPEN",IF(AND(E28="PASS",F28="ACCEPTED"),"CURRENT","DENY"))</x:f>
        <x:v>OPEN</x:v>
      </x:c>
    </x:row>
    <x:row r="29">
      <x:c r="A29" s="16" t="str">
        <x:v>EG-24</x:v>
      </x:c>
      <x:c r="B29" s="16" t="str">
        <x:v>review</x:v>
      </x:c>
      <x:c r="C29" s="16" t="str">
        <x:v>Required event state 24</x:v>
      </x:c>
      <x:c r="D29" s="16" t="str">
        <x:v>receiver</x:v>
      </x:c>
      <x:c r="E29" s="36"/>
      <x:c r="F29" s="36"/>
      <x:c r="G29" s="16" t="str">
        <x:f>IF(COUNTA(E29:F29)&lt;2,"OPEN",IF(AND(E29="PASS",F29="ACCEPTED"),"CURRENT","DENY"))</x:f>
        <x:v>OPEN</x:v>
      </x:c>
    </x:row>
    <x:row r="30">
      <x:c r="A30" s="16" t="str">
        <x:v>EG-25</x:v>
      </x:c>
      <x:c r="B30" s="16" t="str">
        <x:v>prior authority</x:v>
      </x:c>
      <x:c r="C30" s="16" t="str">
        <x:v>Required event state 25</x:v>
      </x:c>
      <x:c r="D30" s="16" t="str">
        <x:v>capture</x:v>
      </x:c>
      <x:c r="E30" s="36"/>
      <x:c r="F30" s="36"/>
      <x:c r="G30" s="16" t="str">
        <x:f>IF(COUNTA(E30:F30)&lt;2,"OPEN",IF(AND(E30="PASS",F30="ACCEPTED"),"CURRENT","DENY"))</x:f>
        <x:v>OPEN</x:v>
      </x:c>
    </x:row>
    <x:row r="31">
      <x:c r="A31" s="16" t="str">
        <x:v>EG-26</x:v>
      </x:c>
      <x:c r="B31" s="16" t="str">
        <x:v>architecture</x:v>
      </x:c>
      <x:c r="C31" s="16" t="str">
        <x:v>Required event state 26</x:v>
      </x:c>
      <x:c r="D31" s="16" t="str">
        <x:v>source</x:v>
      </x:c>
      <x:c r="E31" s="36"/>
      <x:c r="F31" s="36"/>
      <x:c r="G31" s="16" t="str">
        <x:f>IF(COUNTA(E31:F31)&lt;2,"OPEN",IF(AND(E31="PASS",F31="ACCEPTED"),"CURRENT","DENY"))</x:f>
        <x:v>OPEN</x:v>
      </x:c>
    </x:row>
    <x:row r="32">
      <x:c r="A32" s="16" t="str">
        <x:v>EG-27</x:v>
      </x:c>
      <x:c r="B32" s="16" t="str">
        <x:v>module</x:v>
      </x:c>
      <x:c r="C32" s="16" t="str">
        <x:v>Required event state 27</x:v>
      </x:c>
      <x:c r="D32" s="16" t="str">
        <x:v>metrology</x:v>
      </x:c>
      <x:c r="E32" s="36"/>
      <x:c r="F32" s="36"/>
      <x:c r="G32" s="16" t="str">
        <x:f>IF(COUNTA(E32:F32)&lt;2,"OPEN",IF(AND(E32="PASS",F32="ACCEPTED"),"CURRENT","DENY"))</x:f>
        <x:v>OPEN</x:v>
      </x:c>
    </x:row>
    <x:row r="33">
      <x:c r="A33" s="16" t="str">
        <x:v>EG-28</x:v>
      </x:c>
      <x:c r="B33" s="16" t="str">
        <x:v>receiver</x:v>
      </x:c>
      <x:c r="C33" s="16" t="str">
        <x:v>Required event state 28</x:v>
      </x:c>
      <x:c r="D33" s="16" t="str">
        <x:v>safeing</x:v>
      </x:c>
      <x:c r="E33" s="36"/>
      <x:c r="F33" s="36"/>
      <x:c r="G33" s="16" t="str">
        <x:f>IF(COUNTA(E33:F33)&lt;2,"OPEN",IF(AND(E33="PASS",F33="ACCEPTED"),"CURRENT","DENY"))</x:f>
        <x:v>OPEN</x:v>
      </x:c>
    </x:row>
    <x:row r="34">
      <x:c r="A34" s="16" t="str">
        <x:v>EG-29</x:v>
      </x:c>
      <x:c r="B34" s="16" t="str">
        <x:v>capture</x:v>
      </x:c>
      <x:c r="C34" s="16" t="str">
        <x:v>Required event state 29</x:v>
      </x:c>
      <x:c r="D34" s="16" t="str">
        <x:v>evidence</x:v>
      </x:c>
      <x:c r="E34" s="36"/>
      <x:c r="F34" s="36"/>
      <x:c r="G34" s="16" t="str">
        <x:f>IF(COUNTA(E34:F34)&lt;2,"OPEN",IF(AND(E34="PASS",F34="ACCEPTED"),"CURRENT","DENY"))</x:f>
        <x:v>OPEN</x:v>
      </x:c>
    </x:row>
    <x:row r="35">
      <x:c r="A35" s="16" t="str">
        <x:v>EG-30</x:v>
      </x:c>
      <x:c r="B35" s="16" t="str">
        <x:v>source</x:v>
      </x:c>
      <x:c r="C35" s="16" t="str">
        <x:v>Required event state 30</x:v>
      </x:c>
      <x:c r="D35" s="16" t="str">
        <x:v>environment</x:v>
      </x:c>
      <x:c r="E35" s="36"/>
      <x:c r="F35" s="36"/>
      <x:c r="G35" s="16" t="str">
        <x:f>IF(COUNTA(E35:F35)&lt;2,"OPEN",IF(AND(E35="PASS",F35="ACCEPTED"),"CURRENT","DENY"))</x:f>
        <x:v>OPEN</x:v>
      </x:c>
    </x:row>
    <x:row r="36">
      <x:c r="A36" s="16" t="str">
        <x:v>EG-31</x:v>
      </x:c>
      <x:c r="B36" s="16" t="str">
        <x:v>metrology</x:v>
      </x:c>
      <x:c r="C36" s="16" t="str">
        <x:v>Required event state 31</x:v>
      </x:c>
      <x:c r="D36" s="16" t="str">
        <x:v>return</x:v>
      </x:c>
      <x:c r="E36" s="36"/>
      <x:c r="F36" s="36"/>
      <x:c r="G36" s="16" t="str">
        <x:f>IF(COUNTA(E36:F36)&lt;2,"OPEN",IF(AND(E36="PASS",F36="ACCEPTED"),"CURRENT","DENY"))</x:f>
        <x:v>OPEN</x:v>
      </x:c>
    </x:row>
    <x:row r="37">
      <x:c r="A37" s="16" t="str">
        <x:v>EG-32</x:v>
      </x:c>
      <x:c r="B37" s="16" t="str">
        <x:v>safeing</x:v>
      </x:c>
      <x:c r="C37" s="16" t="str">
        <x:v>Required event state 32</x:v>
      </x:c>
      <x:c r="D37" s="16" t="str">
        <x:v>review</x:v>
      </x:c>
      <x:c r="E37" s="36"/>
      <x:c r="F37" s="36"/>
      <x:c r="G37" s="16" t="str">
        <x:f>IF(COUNTA(E37:F37)&lt;2,"OPEN",IF(AND(E37="PASS",F37="ACCEPTED"),"CURRENT","DENY"))</x:f>
        <x:v>OPEN</x:v>
      </x:c>
    </x:row>
    <x:row r="38">
      <x:c r="A38" s="16" t="str">
        <x:v>EG-33</x:v>
      </x:c>
      <x:c r="B38" s="16" t="str">
        <x:v>evidence</x:v>
      </x:c>
      <x:c r="C38" s="16" t="str">
        <x:v>Required event state 33</x:v>
      </x:c>
      <x:c r="D38" s="16" t="str">
        <x:v>prior authority</x:v>
      </x:c>
      <x:c r="E38" s="36"/>
      <x:c r="F38" s="36"/>
      <x:c r="G38" s="16" t="str">
        <x:f>IF(COUNTA(E38:F38)&lt;2,"OPEN",IF(AND(E38="PASS",F38="ACCEPTED"),"CURRENT","DENY"))</x:f>
        <x:v>OPEN</x:v>
      </x:c>
    </x:row>
    <x:row r="39">
      <x:c r="A39" s="16" t="str">
        <x:v>EG-34</x:v>
      </x:c>
      <x:c r="B39" s="16" t="str">
        <x:v>environment</x:v>
      </x:c>
      <x:c r="C39" s="16" t="str">
        <x:v>Required event state 34</x:v>
      </x:c>
      <x:c r="D39" s="16" t="str">
        <x:v>architecture</x:v>
      </x:c>
      <x:c r="E39" s="36"/>
      <x:c r="F39" s="36"/>
      <x:c r="G39" s="16" t="str">
        <x:f>IF(COUNTA(E39:F39)&lt;2,"OPEN",IF(AND(E39="PASS",F39="ACCEPTED"),"CURRENT","DENY"))</x:f>
        <x:v>OPEN</x:v>
      </x:c>
    </x:row>
    <x:row r="40">
      <x:c r="A40" s="16" t="str">
        <x:v>EG-35</x:v>
      </x:c>
      <x:c r="B40" s="16" t="str">
        <x:v>return</x:v>
      </x:c>
      <x:c r="C40" s="16" t="str">
        <x:v>Required event state 35</x:v>
      </x:c>
      <x:c r="D40" s="16" t="str">
        <x:v>module</x:v>
      </x:c>
      <x:c r="E40" s="36"/>
      <x:c r="F40" s="36"/>
      <x:c r="G40" s="16" t="str">
        <x:f>IF(COUNTA(E40:F40)&lt;2,"OPEN",IF(AND(E40="PASS",F40="ACCEPTED"),"CURRENT","DENY"))</x:f>
        <x:v>OPEN</x:v>
      </x:c>
    </x:row>
    <x:row r="41">
      <x:c r="A41" s="16" t="str">
        <x:v>EG-36</x:v>
      </x:c>
      <x:c r="B41" s="16" t="str">
        <x:v>review</x:v>
      </x:c>
      <x:c r="C41" s="16" t="str">
        <x:v>Required event state 36</x:v>
      </x:c>
      <x:c r="D41" s="16" t="str">
        <x:v>receiver</x:v>
      </x:c>
      <x:c r="E41" s="36"/>
      <x:c r="F41" s="36"/>
      <x:c r="G41" s="16" t="str">
        <x:f>IF(COUNTA(E41:F41)&lt;2,"OPEN",IF(AND(E41="PASS",F41="ACCEPTED"),"CURRENT","DENY"))</x:f>
        <x:v>OPEN</x:v>
      </x:c>
    </x:row>
    <x:row r="42">
      <x:c r="A42" s="16" t="str">
        <x:v>EG-37</x:v>
      </x:c>
      <x:c r="B42" s="16" t="str">
        <x:v>prior authority</x:v>
      </x:c>
      <x:c r="C42" s="16" t="str">
        <x:v>Required event state 37</x:v>
      </x:c>
      <x:c r="D42" s="16" t="str">
        <x:v>capture</x:v>
      </x:c>
      <x:c r="E42" s="36"/>
      <x:c r="F42" s="36"/>
      <x:c r="G42" s="16" t="str">
        <x:f>IF(COUNTA(E42:F42)&lt;2,"OPEN",IF(AND(E42="PASS",F42="ACCEPTED"),"CURRENT","DENY"))</x:f>
        <x:v>OPEN</x:v>
      </x:c>
    </x:row>
    <x:row r="43">
      <x:c r="A43" s="16" t="str">
        <x:v>EG-38</x:v>
      </x:c>
      <x:c r="B43" s="16" t="str">
        <x:v>architecture</x:v>
      </x:c>
      <x:c r="C43" s="16" t="str">
        <x:v>Required event state 38</x:v>
      </x:c>
      <x:c r="D43" s="16" t="str">
        <x:v>source</x:v>
      </x:c>
      <x:c r="E43" s="36"/>
      <x:c r="F43" s="36"/>
      <x:c r="G43" s="16" t="str">
        <x:f>IF(COUNTA(E43:F43)&lt;2,"OPEN",IF(AND(E43="PASS",F43="ACCEPTED"),"CURRENT","DENY"))</x:f>
        <x:v>OPEN</x:v>
      </x:c>
    </x:row>
    <x:row r="44">
      <x:c r="A44" s="16" t="str">
        <x:v>EG-39</x:v>
      </x:c>
      <x:c r="B44" s="16" t="str">
        <x:v>module</x:v>
      </x:c>
      <x:c r="C44" s="16" t="str">
        <x:v>Required event state 39</x:v>
      </x:c>
      <x:c r="D44" s="16" t="str">
        <x:v>metrology</x:v>
      </x:c>
      <x:c r="E44" s="36"/>
      <x:c r="F44" s="36"/>
      <x:c r="G44" s="16" t="str">
        <x:f>IF(COUNTA(E44:F44)&lt;2,"OPEN",IF(AND(E44="PASS",F44="ACCEPTED"),"CURRENT","DENY"))</x:f>
        <x:v>OPEN</x:v>
      </x:c>
    </x:row>
    <x:row r="45">
      <x:c r="A45" s="16" t="str">
        <x:v>EG-40</x:v>
      </x:c>
      <x:c r="B45" s="16" t="str">
        <x:v>receiver</x:v>
      </x:c>
      <x:c r="C45" s="16" t="str">
        <x:v>Required event state 40</x:v>
      </x:c>
      <x:c r="D45" s="16" t="str">
        <x:v>safeing</x:v>
      </x:c>
      <x:c r="E45" s="36"/>
      <x:c r="F45" s="36"/>
      <x:c r="G45" s="16" t="str">
        <x:f>IF(COUNTA(E45:F45)&lt;2,"OPEN",IF(AND(E45="PASS",F45="ACCEPTED"),"CURRENT","DENY"))</x:f>
        <x:v>OPEN</x:v>
      </x:c>
    </x:row>
    <x:row r="46">
      <x:c r="A46" s="16" t="str">
        <x:v>EG-41</x:v>
      </x:c>
      <x:c r="B46" s="16" t="str">
        <x:v>capture</x:v>
      </x:c>
      <x:c r="C46" s="16" t="str">
        <x:v>Required event state 41</x:v>
      </x:c>
      <x:c r="D46" s="16" t="str">
        <x:v>evidence</x:v>
      </x:c>
      <x:c r="E46" s="36"/>
      <x:c r="F46" s="36"/>
      <x:c r="G46" s="16" t="str">
        <x:f>IF(COUNTA(E46:F46)&lt;2,"OPEN",IF(AND(E46="PASS",F46="ACCEPTED"),"CURRENT","DENY"))</x:f>
        <x:v>OPEN</x:v>
      </x:c>
    </x:row>
    <x:row r="47">
      <x:c r="A47" s="16" t="str">
        <x:v>EG-42</x:v>
      </x:c>
      <x:c r="B47" s="16" t="str">
        <x:v>source</x:v>
      </x:c>
      <x:c r="C47" s="16" t="str">
        <x:v>Required event state 42</x:v>
      </x:c>
      <x:c r="D47" s="16" t="str">
        <x:v>environment</x:v>
      </x:c>
      <x:c r="E47" s="36"/>
      <x:c r="F47" s="36"/>
      <x:c r="G47" s="16" t="str">
        <x:f>IF(COUNTA(E47:F47)&lt;2,"OPEN",IF(AND(E47="PASS",F47="ACCEPTED"),"CURRENT","DENY"))</x:f>
        <x:v>OPEN</x:v>
      </x:c>
    </x:row>
    <x:row r="48">
      <x:c r="A48" s="16" t="str">
        <x:v>EG-43</x:v>
      </x:c>
      <x:c r="B48" s="16" t="str">
        <x:v>metrology</x:v>
      </x:c>
      <x:c r="C48" s="16" t="str">
        <x:v>Required event state 43</x:v>
      </x:c>
      <x:c r="D48" s="16" t="str">
        <x:v>return</x:v>
      </x:c>
      <x:c r="E48" s="36"/>
      <x:c r="F48" s="36"/>
      <x:c r="G48" s="16" t="str">
        <x:f>IF(COUNTA(E48:F48)&lt;2,"OPEN",IF(AND(E48="PASS",F48="ACCEPTED"),"CURRENT","DENY"))</x:f>
        <x:v>OPEN</x:v>
      </x:c>
    </x:row>
    <x:row r="49">
      <x:c r="A49" s="16" t="str">
        <x:v>EG-44</x:v>
      </x:c>
      <x:c r="B49" s="16" t="str">
        <x:v>safeing</x:v>
      </x:c>
      <x:c r="C49" s="16" t="str">
        <x:v>Required event state 44</x:v>
      </x:c>
      <x:c r="D49" s="16" t="str">
        <x:v>review</x:v>
      </x:c>
      <x:c r="E49" s="36"/>
      <x:c r="F49" s="36"/>
      <x:c r="G49" s="16" t="str">
        <x:f>IF(COUNTA(E49:F49)&lt;2,"OPEN",IF(AND(E49="PASS",F49="ACCEPTED"),"CURRENT","DENY"))</x:f>
        <x:v>OPEN</x:v>
      </x:c>
    </x:row>
    <x:row r="50">
      <x:c r="A50" s="16" t="str">
        <x:v>EG-45</x:v>
      </x:c>
      <x:c r="B50" s="16" t="str">
        <x:v>evidence</x:v>
      </x:c>
      <x:c r="C50" s="16" t="str">
        <x:v>Required event state 45</x:v>
      </x:c>
      <x:c r="D50" s="16" t="str">
        <x:v>prior authority</x:v>
      </x:c>
      <x:c r="E50" s="36"/>
      <x:c r="F50" s="36"/>
      <x:c r="G50" s="16" t="str">
        <x:f>IF(COUNTA(E50:F50)&lt;2,"OPEN",IF(AND(E50="PASS",F50="ACCEPTED"),"CURRENT","DENY"))</x:f>
        <x:v>OPEN</x:v>
      </x:c>
    </x:row>
    <x:row r="51">
      <x:c r="A51" s="16" t="str">
        <x:v>EG-46</x:v>
      </x:c>
      <x:c r="B51" s="16" t="str">
        <x:v>environment</x:v>
      </x:c>
      <x:c r="C51" s="16" t="str">
        <x:v>Required event state 46</x:v>
      </x:c>
      <x:c r="D51" s="16" t="str">
        <x:v>architecture</x:v>
      </x:c>
      <x:c r="E51" s="36"/>
      <x:c r="F51" s="36"/>
      <x:c r="G51" s="16" t="str">
        <x:f>IF(COUNTA(E51:F51)&lt;2,"OPEN",IF(AND(E51="PASS",F51="ACCEPTED"),"CURRENT","DENY"))</x:f>
        <x:v>OPEN</x:v>
      </x:c>
    </x:row>
    <x:row r="52">
      <x:c r="A52" s="16" t="str">
        <x:v>EG-47</x:v>
      </x:c>
      <x:c r="B52" s="16" t="str">
        <x:v>return</x:v>
      </x:c>
      <x:c r="C52" s="16" t="str">
        <x:v>Required event state 47</x:v>
      </x:c>
      <x:c r="D52" s="16" t="str">
        <x:v>module</x:v>
      </x:c>
      <x:c r="E52" s="36"/>
      <x:c r="F52" s="36"/>
      <x:c r="G52" s="16" t="str">
        <x:f>IF(COUNTA(E52:F52)&lt;2,"OPEN",IF(AND(E52="PASS",F52="ACCEPTED"),"CURRENT","DENY"))</x:f>
        <x:v>OPEN</x:v>
      </x:c>
    </x:row>
    <x:row r="53">
      <x:c r="A53" s="16" t="str">
        <x:v>EG-48</x:v>
      </x:c>
      <x:c r="B53" s="16" t="str">
        <x:v>review</x:v>
      </x:c>
      <x:c r="C53" s="16" t="str">
        <x:v>Required event state 48</x:v>
      </x:c>
      <x:c r="D53" s="16" t="str">
        <x:v>receiver</x:v>
      </x:c>
      <x:c r="E53" s="36"/>
      <x:c r="F53" s="36"/>
      <x:c r="G53" s="16" t="str">
        <x:f>IF(COUNTA(E53:F53)&lt;2,"OPEN",IF(AND(E53="PASS",F53="ACCEPTED"),"CURRENT","DENY"))</x:f>
        <x:v>OPEN</x:v>
      </x:c>
    </x:row>
  </x:sheetData>
  <x:mergeCells>
    <x:mergeCell ref="A2:G2"/>
  </x:mergeCells>
  <x:conditionalFormatting sqref="G6:G53">
    <x:cfRule type="containsText" dxfId="35" priority="1" operator="containsText" text="DENY"/>
    <x:cfRule type="containsText" dxfId="36" priority="2" operator="containsText" text="ADVERSE"/>
    <x:cfRule type="containsText" dxfId="37" priority="3" operator="containsText" text="FAIL"/>
    <x:cfRule type="containsText" dxfId="38" priority="4" operator="containsText" text="REQUIRED"/>
    <x:cfRule type="containsText" dxfId="39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926feca4297e47de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2" hidden="0" customWidth="1"/>
    <x:col min="3" max="3" width="15" hidden="0" customWidth="1"/>
    <x:col min="4" max="4" width="14" hidden="0" customWidth="1"/>
    <x:col min="5" max="5" width="16" hidden="0" customWidth="1"/>
    <x:col min="6" max="6" width="14" hidden="0" customWidth="1"/>
    <x:col min="7" max="7" width="16" hidden="0" customWidth="1"/>
    <x:col min="8" max="8" width="18" hidden="0" customWidth="1"/>
    <x:col min="9" max="9" width="23" hidden="0" customWidth="1"/>
    <x:col min="10" max="10" width="14" hidden="0" customWidth="1"/>
    <x:col min="11" max="11" width="18" hidden="0" customWidth="1"/>
    <x:col min="12" max="12" width="12" hidden="0" customWidth="1"/>
    <x:col min="13" max="13" width="15" hidden="0" customWidth="1"/>
    <x:col min="14" max="14" width="16" hidden="0" customWidth="1"/>
    <x:col min="15" max="15" width="18" hidden="0" customWidth="1"/>
    <x:col min="16" max="16" width="13" hidden="0" customWidth="1"/>
    <x:col min="17" max="17" width="16" hidden="0" customWidth="1"/>
    <x:col min="18" max="18" width="16" hidden="0" customWidth="1"/>
  </x:cols>
  <x:sheetData>
    <x:row r="2" ht="26" customHeight="1">
      <x:c r="A2" s="2" t="str">
        <x:v>Per-attempt evidence-object closure</x:v>
      </x:c>
      <x:c r="B2" s="2" t="str">
        <x:v>Per-attempt evidence-object closure</x:v>
      </x:c>
      <x:c r="C2" s="2" t="str">
        <x:v>Per-attempt evidence-object closure</x:v>
      </x:c>
      <x:c r="D2" s="2" t="str">
        <x:v>Per-attempt evidence-object closure</x:v>
      </x:c>
      <x:c r="E2" s="2" t="str">
        <x:v>Per-attempt evidence-object closure</x:v>
      </x:c>
      <x:c r="F2" s="2" t="str">
        <x:v>Per-attempt evidence-object closure</x:v>
      </x:c>
      <x:c r="G2" s="2" t="str">
        <x:v>Per-attempt evidence-object closure</x:v>
      </x:c>
      <x:c r="H2" s="2" t="str">
        <x:v>Per-attempt evidence-object closure</x:v>
      </x:c>
      <x:c r="I2" s="2" t="str">
        <x:v>Per-attempt evidence-object closure</x:v>
      </x:c>
      <x:c r="J2" s="2" t="str">
        <x:v>Per-attempt evidence-object closure</x:v>
      </x:c>
      <x:c r="K2" s="2" t="str">
        <x:v>Per-attempt evidence-object closure</x:v>
      </x:c>
      <x:c r="L2" s="2" t="str">
        <x:v>Per-attempt evidence-object closure</x:v>
      </x:c>
      <x:c r="M2" s="2" t="str">
        <x:v>Per-attempt evidence-object closure</x:v>
      </x:c>
      <x:c r="N2" s="2" t="str">
        <x:v>Per-attempt evidence-object closure</x:v>
      </x:c>
      <x:c r="O2" s="2" t="str">
        <x:v>Per-attempt evidence-object closure</x:v>
      </x:c>
      <x:c r="P2" s="2" t="str">
        <x:v>Per-attempt evidence-object closure</x:v>
      </x:c>
      <x:c r="Q2" s="2" t="str">
        <x:v>Per-attempt evidence-object closure</x:v>
      </x:c>
      <x:c r="R2" s="2" t="str">
        <x:v>Per-attempt evidence-object closure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  <x:c r="P3" s="50"/>
      <x:c r="Q3" s="50"/>
      <x:c r="R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</x:row>
    <x:row r="5">
      <x:c r="A5" s="32" t="str">
        <x:v>Attempt</x:v>
      </x:c>
      <x:c r="B5" s="33" t="str">
        <x:v>Gates req.</x:v>
      </x:c>
      <x:c r="C5" s="33" t="str">
        <x:v>Gates closed</x:v>
      </x:c>
      <x:c r="D5" s="33" t="str">
        <x:v>Dossier req.</x:v>
      </x:c>
      <x:c r="E5" s="33" t="str">
        <x:v>Dossier bound</x:v>
      </x:c>
      <x:c r="F5" s="33" t="str">
        <x:v>Safeing req.</x:v>
      </x:c>
      <x:c r="G5" s="33" t="str">
        <x:v>Safeing closed</x:v>
      </x:c>
      <x:c r="H5" s="33" t="str">
        <x:v>Measurements req.</x:v>
      </x:c>
      <x:c r="I5" s="33" t="str">
        <x:v>Measurements accepted</x:v>
      </x:c>
      <x:c r="J5" s="33" t="str">
        <x:v>Samples req.</x:v>
      </x:c>
      <x:c r="K5" s="33" t="str">
        <x:v>Samples accepted</x:v>
      </x:c>
      <x:c r="L5" s="33" t="str">
        <x:v>Work req.</x:v>
      </x:c>
      <x:c r="M5" s="33" t="str">
        <x:v>Work closed</x:v>
      </x:c>
      <x:c r="N5" s="33" t="str">
        <x:v>Decisions req.</x:v>
      </x:c>
      <x:c r="O5" s="33" t="str">
        <x:v>Decisions closed</x:v>
      </x:c>
      <x:c r="P5" s="33" t="str">
        <x:v>Replays req.</x:v>
      </x:c>
      <x:c r="Q5" s="33" t="str">
        <x:v>Replays closed</x:v>
      </x:c>
      <x:c r="R5" s="34" t="str">
        <x:v>Object state</x:v>
      </x:c>
    </x:row>
    <x:row r="6">
      <x:c r="A6" s="16" t="str">
        <x:v>AT-01</x:v>
      </x:c>
      <x:c r="B6" s="16" t="n">
        <x:v>48</x:v>
      </x:c>
      <x:c r="C6" s="36"/>
      <x:c r="D6" s="16" t="n">
        <x:v>236</x:v>
      </x:c>
      <x:c r="E6" s="36"/>
      <x:c r="F6" s="16" t="n">
        <x:v>36</x:v>
      </x:c>
      <x:c r="G6" s="36"/>
      <x:c r="H6" s="16" t="n">
        <x:v>72</x:v>
      </x:c>
      <x:c r="I6" s="36"/>
      <x:c r="J6" s="16" t="n">
        <x:v>12</x:v>
      </x:c>
      <x:c r="K6" s="36"/>
      <x:c r="L6" s="16" t="n">
        <x:v>20</x:v>
      </x:c>
      <x:c r="M6" s="36"/>
      <x:c r="N6" s="16" t="n">
        <x:v>18</x:v>
      </x:c>
      <x:c r="O6" s="36"/>
      <x:c r="P6" s="16" t="n">
        <x:v>24</x:v>
      </x:c>
      <x:c r="Q6" s="36"/>
      <x:c r="R6" s="16" t="str">
        <x:f>IF(COUNT(C6,E6,G6,I6,K6,M6,O6,Q6)&lt;8,"OPEN",IF(AND(C6=B6,E6=D6,G6=F6,I6=H6,K6=J6,M6=L6,O6=N6,Q6=P6),"COMPLETE","DENY"))</x:f>
        <x:v>OPEN</x:v>
      </x:c>
    </x:row>
    <x:row r="7">
      <x:c r="A7" s="16" t="str">
        <x:v>AT-02</x:v>
      </x:c>
      <x:c r="B7" s="16" t="n">
        <x:v>48</x:v>
      </x:c>
      <x:c r="C7" s="36"/>
      <x:c r="D7" s="16" t="n">
        <x:v>236</x:v>
      </x:c>
      <x:c r="E7" s="36"/>
      <x:c r="F7" s="16" t="n">
        <x:v>36</x:v>
      </x:c>
      <x:c r="G7" s="36"/>
      <x:c r="H7" s="16" t="n">
        <x:v>72</x:v>
      </x:c>
      <x:c r="I7" s="36"/>
      <x:c r="J7" s="16" t="n">
        <x:v>12</x:v>
      </x:c>
      <x:c r="K7" s="36"/>
      <x:c r="L7" s="16" t="n">
        <x:v>20</x:v>
      </x:c>
      <x:c r="M7" s="36"/>
      <x:c r="N7" s="16" t="n">
        <x:v>18</x:v>
      </x:c>
      <x:c r="O7" s="36"/>
      <x:c r="P7" s="16" t="n">
        <x:v>24</x:v>
      </x:c>
      <x:c r="Q7" s="36"/>
      <x:c r="R7" s="16" t="str">
        <x:f>IF(COUNT(C7,E7,G7,I7,K7,M7,O7,Q7)&lt;8,"OPEN",IF(AND(C7=B7,E7=D7,G7=F7,I7=H7,K7=J7,M7=L7,O7=N7,Q7=P7),"COMPLETE","DENY"))</x:f>
        <x:v>OPEN</x:v>
      </x:c>
    </x:row>
    <x:row r="8">
      <x:c r="A8" s="16" t="str">
        <x:v>AT-03</x:v>
      </x:c>
      <x:c r="B8" s="16" t="n">
        <x:v>48</x:v>
      </x:c>
      <x:c r="C8" s="36"/>
      <x:c r="D8" s="16" t="n">
        <x:v>236</x:v>
      </x:c>
      <x:c r="E8" s="36"/>
      <x:c r="F8" s="16" t="n">
        <x:v>36</x:v>
      </x:c>
      <x:c r="G8" s="36"/>
      <x:c r="H8" s="16" t="n">
        <x:v>72</x:v>
      </x:c>
      <x:c r="I8" s="36"/>
      <x:c r="J8" s="16" t="n">
        <x:v>12</x:v>
      </x:c>
      <x:c r="K8" s="36"/>
      <x:c r="L8" s="16" t="n">
        <x:v>20</x:v>
      </x:c>
      <x:c r="M8" s="36"/>
      <x:c r="N8" s="16" t="n">
        <x:v>18</x:v>
      </x:c>
      <x:c r="O8" s="36"/>
      <x:c r="P8" s="16" t="n">
        <x:v>24</x:v>
      </x:c>
      <x:c r="Q8" s="36"/>
      <x:c r="R8" s="16" t="str">
        <x:f>IF(COUNT(C8,E8,G8,I8,K8,M8,O8,Q8)&lt;8,"OPEN",IF(AND(C8=B8,E8=D8,G8=F8,I8=H8,K8=J8,M8=L8,O8=N8,Q8=P8),"COMPLETE","DENY"))</x:f>
        <x:v>OPEN</x:v>
      </x:c>
    </x:row>
    <x:row r="9">
      <x:c r="A9" s="16" t="str">
        <x:v>AT-04</x:v>
      </x:c>
      <x:c r="B9" s="16" t="n">
        <x:v>48</x:v>
      </x:c>
      <x:c r="C9" s="36"/>
      <x:c r="D9" s="16" t="n">
        <x:v>236</x:v>
      </x:c>
      <x:c r="E9" s="36"/>
      <x:c r="F9" s="16" t="n">
        <x:v>36</x:v>
      </x:c>
      <x:c r="G9" s="36"/>
      <x:c r="H9" s="16" t="n">
        <x:v>72</x:v>
      </x:c>
      <x:c r="I9" s="36"/>
      <x:c r="J9" s="16" t="n">
        <x:v>12</x:v>
      </x:c>
      <x:c r="K9" s="36"/>
      <x:c r="L9" s="16" t="n">
        <x:v>20</x:v>
      </x:c>
      <x:c r="M9" s="36"/>
      <x:c r="N9" s="16" t="n">
        <x:v>18</x:v>
      </x:c>
      <x:c r="O9" s="36"/>
      <x:c r="P9" s="16" t="n">
        <x:v>24</x:v>
      </x:c>
      <x:c r="Q9" s="36"/>
      <x:c r="R9" s="16" t="str">
        <x:f>IF(COUNT(C9,E9,G9,I9,K9,M9,O9,Q9)&lt;8,"OPEN",IF(AND(C9=B9,E9=D9,G9=F9,I9=H9,K9=J9,M9=L9,O9=N9,Q9=P9),"COMPLETE","DENY"))</x:f>
        <x:v>OPEN</x:v>
      </x:c>
    </x:row>
    <x:row r="10">
      <x:c r="A10" s="16" t="str">
        <x:v>AT-05</x:v>
      </x:c>
      <x:c r="B10" s="16" t="n">
        <x:v>48</x:v>
      </x:c>
      <x:c r="C10" s="36"/>
      <x:c r="D10" s="16" t="n">
        <x:v>236</x:v>
      </x:c>
      <x:c r="E10" s="36"/>
      <x:c r="F10" s="16" t="n">
        <x:v>36</x:v>
      </x:c>
      <x:c r="G10" s="36"/>
      <x:c r="H10" s="16" t="n">
        <x:v>72</x:v>
      </x:c>
      <x:c r="I10" s="36"/>
      <x:c r="J10" s="16" t="n">
        <x:v>12</x:v>
      </x:c>
      <x:c r="K10" s="36"/>
      <x:c r="L10" s="16" t="n">
        <x:v>20</x:v>
      </x:c>
      <x:c r="M10" s="36"/>
      <x:c r="N10" s="16" t="n">
        <x:v>18</x:v>
      </x:c>
      <x:c r="O10" s="36"/>
      <x:c r="P10" s="16" t="n">
        <x:v>24</x:v>
      </x:c>
      <x:c r="Q10" s="36"/>
      <x:c r="R10" s="16" t="str">
        <x:f>IF(COUNT(C10,E10,G10,I10,K10,M10,O10,Q10)&lt;8,"OPEN",IF(AND(C10=B10,E10=D10,G10=F10,I10=H10,K10=J10,M10=L10,O10=N10,Q10=P10),"COMPLETE","DENY"))</x:f>
        <x:v>OPEN</x:v>
      </x:c>
    </x:row>
    <x:row r="11">
      <x:c r="A11" s="16" t="str">
        <x:v>AT-06</x:v>
      </x:c>
      <x:c r="B11" s="16" t="n">
        <x:v>48</x:v>
      </x:c>
      <x:c r="C11" s="36"/>
      <x:c r="D11" s="16" t="n">
        <x:v>236</x:v>
      </x:c>
      <x:c r="E11" s="36"/>
      <x:c r="F11" s="16" t="n">
        <x:v>36</x:v>
      </x:c>
      <x:c r="G11" s="36"/>
      <x:c r="H11" s="16" t="n">
        <x:v>72</x:v>
      </x:c>
      <x:c r="I11" s="36"/>
      <x:c r="J11" s="16" t="n">
        <x:v>12</x:v>
      </x:c>
      <x:c r="K11" s="36"/>
      <x:c r="L11" s="16" t="n">
        <x:v>20</x:v>
      </x:c>
      <x:c r="M11" s="36"/>
      <x:c r="N11" s="16" t="n">
        <x:v>18</x:v>
      </x:c>
      <x:c r="O11" s="36"/>
      <x:c r="P11" s="16" t="n">
        <x:v>24</x:v>
      </x:c>
      <x:c r="Q11" s="36"/>
      <x:c r="R11" s="16" t="str">
        <x:f>IF(COUNT(C11,E11,G11,I11,K11,M11,O11,Q11)&lt;8,"OPEN",IF(AND(C11=B11,E11=D11,G11=F11,I11=H11,K11=J11,M11=L11,O11=N11,Q11=P11),"COMPLETE","DENY"))</x:f>
        <x:v>OPEN</x:v>
      </x:c>
    </x:row>
    <x:row r="12">
      <x:c r="A12" s="16" t="str">
        <x:v>AT-07</x:v>
      </x:c>
      <x:c r="B12" s="16" t="n">
        <x:v>48</x:v>
      </x:c>
      <x:c r="C12" s="36"/>
      <x:c r="D12" s="16" t="n">
        <x:v>236</x:v>
      </x:c>
      <x:c r="E12" s="36"/>
      <x:c r="F12" s="16" t="n">
        <x:v>36</x:v>
      </x:c>
      <x:c r="G12" s="36"/>
      <x:c r="H12" s="16" t="n">
        <x:v>72</x:v>
      </x:c>
      <x:c r="I12" s="36"/>
      <x:c r="J12" s="16" t="n">
        <x:v>12</x:v>
      </x:c>
      <x:c r="K12" s="36"/>
      <x:c r="L12" s="16" t="n">
        <x:v>20</x:v>
      </x:c>
      <x:c r="M12" s="36"/>
      <x:c r="N12" s="16" t="n">
        <x:v>18</x:v>
      </x:c>
      <x:c r="O12" s="36"/>
      <x:c r="P12" s="16" t="n">
        <x:v>24</x:v>
      </x:c>
      <x:c r="Q12" s="36"/>
      <x:c r="R12" s="16" t="str">
        <x:f>IF(COUNT(C12,E12,G12,I12,K12,M12,O12,Q12)&lt;8,"OPEN",IF(AND(C12=B12,E12=D12,G12=F12,I12=H12,K12=J12,M12=L12,O12=N12,Q12=P12),"COMPLETE","DENY"))</x:f>
        <x:v>OPEN</x:v>
      </x:c>
    </x:row>
    <x:row r="13">
      <x:c r="A13" s="16" t="str">
        <x:v>AT-08</x:v>
      </x:c>
      <x:c r="B13" s="16" t="n">
        <x:v>48</x:v>
      </x:c>
      <x:c r="C13" s="36"/>
      <x:c r="D13" s="16" t="n">
        <x:v>236</x:v>
      </x:c>
      <x:c r="E13" s="36"/>
      <x:c r="F13" s="16" t="n">
        <x:v>36</x:v>
      </x:c>
      <x:c r="G13" s="36"/>
      <x:c r="H13" s="16" t="n">
        <x:v>72</x:v>
      </x:c>
      <x:c r="I13" s="36"/>
      <x:c r="J13" s="16" t="n">
        <x:v>12</x:v>
      </x:c>
      <x:c r="K13" s="36"/>
      <x:c r="L13" s="16" t="n">
        <x:v>20</x:v>
      </x:c>
      <x:c r="M13" s="36"/>
      <x:c r="N13" s="16" t="n">
        <x:v>18</x:v>
      </x:c>
      <x:c r="O13" s="36"/>
      <x:c r="P13" s="16" t="n">
        <x:v>24</x:v>
      </x:c>
      <x:c r="Q13" s="36"/>
      <x:c r="R13" s="16" t="str">
        <x:f>IF(COUNT(C13,E13,G13,I13,K13,M13,O13,Q13)&lt;8,"OPEN",IF(AND(C13=B13,E13=D13,G13=F13,I13=H13,K13=J13,M13=L13,O13=N13,Q13=P13),"COMPLETE","DENY"))</x:f>
        <x:v>OPEN</x:v>
      </x:c>
    </x:row>
    <x:row r="14">
      <x:c r="A14" s="16" t="str">
        <x:v>AT-09</x:v>
      </x:c>
      <x:c r="B14" s="16" t="n">
        <x:v>48</x:v>
      </x:c>
      <x:c r="C14" s="36"/>
      <x:c r="D14" s="16" t="n">
        <x:v>236</x:v>
      </x:c>
      <x:c r="E14" s="36"/>
      <x:c r="F14" s="16" t="n">
        <x:v>36</x:v>
      </x:c>
      <x:c r="G14" s="36"/>
      <x:c r="H14" s="16" t="n">
        <x:v>72</x:v>
      </x:c>
      <x:c r="I14" s="36"/>
      <x:c r="J14" s="16" t="n">
        <x:v>12</x:v>
      </x:c>
      <x:c r="K14" s="36"/>
      <x:c r="L14" s="16" t="n">
        <x:v>20</x:v>
      </x:c>
      <x:c r="M14" s="36"/>
      <x:c r="N14" s="16" t="n">
        <x:v>18</x:v>
      </x:c>
      <x:c r="O14" s="36"/>
      <x:c r="P14" s="16" t="n">
        <x:v>24</x:v>
      </x:c>
      <x:c r="Q14" s="36"/>
      <x:c r="R14" s="16" t="str">
        <x:f>IF(COUNT(C14,E14,G14,I14,K14,M14,O14,Q14)&lt;8,"OPEN",IF(AND(C14=B14,E14=D14,G14=F14,I14=H14,K14=J14,M14=L14,O14=N14,Q14=P14),"COMPLETE","DENY"))</x:f>
        <x:v>OPEN</x:v>
      </x:c>
    </x:row>
    <x:row r="15">
      <x:c r="A15" s="16" t="str">
        <x:v>AT-10</x:v>
      </x:c>
      <x:c r="B15" s="16" t="n">
        <x:v>48</x:v>
      </x:c>
      <x:c r="C15" s="36"/>
      <x:c r="D15" s="16" t="n">
        <x:v>236</x:v>
      </x:c>
      <x:c r="E15" s="36"/>
      <x:c r="F15" s="16" t="n">
        <x:v>36</x:v>
      </x:c>
      <x:c r="G15" s="36"/>
      <x:c r="H15" s="16" t="n">
        <x:v>72</x:v>
      </x:c>
      <x:c r="I15" s="36"/>
      <x:c r="J15" s="16" t="n">
        <x:v>12</x:v>
      </x:c>
      <x:c r="K15" s="36"/>
      <x:c r="L15" s="16" t="n">
        <x:v>20</x:v>
      </x:c>
      <x:c r="M15" s="36"/>
      <x:c r="N15" s="16" t="n">
        <x:v>18</x:v>
      </x:c>
      <x:c r="O15" s="36"/>
      <x:c r="P15" s="16" t="n">
        <x:v>24</x:v>
      </x:c>
      <x:c r="Q15" s="36"/>
      <x:c r="R15" s="16" t="str">
        <x:f>IF(COUNT(C15,E15,G15,I15,K15,M15,O15,Q15)&lt;8,"OPEN",IF(AND(C15=B15,E15=D15,G15=F15,I15=H15,K15=J15,M15=L15,O15=N15,Q15=P15),"COMPLETE","DENY"))</x:f>
        <x:v>OPEN</x:v>
      </x:c>
    </x:row>
    <x:row r="16">
      <x:c r="A16" s="16" t="str">
        <x:v>AT-11</x:v>
      </x:c>
      <x:c r="B16" s="16" t="n">
        <x:v>48</x:v>
      </x:c>
      <x:c r="C16" s="36"/>
      <x:c r="D16" s="16" t="n">
        <x:v>236</x:v>
      </x:c>
      <x:c r="E16" s="36"/>
      <x:c r="F16" s="16" t="n">
        <x:v>36</x:v>
      </x:c>
      <x:c r="G16" s="36"/>
      <x:c r="H16" s="16" t="n">
        <x:v>72</x:v>
      </x:c>
      <x:c r="I16" s="36"/>
      <x:c r="J16" s="16" t="n">
        <x:v>12</x:v>
      </x:c>
      <x:c r="K16" s="36"/>
      <x:c r="L16" s="16" t="n">
        <x:v>20</x:v>
      </x:c>
      <x:c r="M16" s="36"/>
      <x:c r="N16" s="16" t="n">
        <x:v>18</x:v>
      </x:c>
      <x:c r="O16" s="36"/>
      <x:c r="P16" s="16" t="n">
        <x:v>24</x:v>
      </x:c>
      <x:c r="Q16" s="36"/>
      <x:c r="R16" s="16" t="str">
        <x:f>IF(COUNT(C16,E16,G16,I16,K16,M16,O16,Q16)&lt;8,"OPEN",IF(AND(C16=B16,E16=D16,G16=F16,I16=H16,K16=J16,M16=L16,O16=N16,Q16=P16),"COMPLETE","DENY"))</x:f>
        <x:v>OPEN</x:v>
      </x:c>
    </x:row>
    <x:row r="17">
      <x:c r="A17" s="16" t="str">
        <x:v>AT-12</x:v>
      </x:c>
      <x:c r="B17" s="16" t="n">
        <x:v>48</x:v>
      </x:c>
      <x:c r="C17" s="36"/>
      <x:c r="D17" s="16" t="n">
        <x:v>236</x:v>
      </x:c>
      <x:c r="E17" s="36"/>
      <x:c r="F17" s="16" t="n">
        <x:v>36</x:v>
      </x:c>
      <x:c r="G17" s="36"/>
      <x:c r="H17" s="16" t="n">
        <x:v>72</x:v>
      </x:c>
      <x:c r="I17" s="36"/>
      <x:c r="J17" s="16" t="n">
        <x:v>12</x:v>
      </x:c>
      <x:c r="K17" s="36"/>
      <x:c r="L17" s="16" t="n">
        <x:v>20</x:v>
      </x:c>
      <x:c r="M17" s="36"/>
      <x:c r="N17" s="16" t="n">
        <x:v>18</x:v>
      </x:c>
      <x:c r="O17" s="36"/>
      <x:c r="P17" s="16" t="n">
        <x:v>24</x:v>
      </x:c>
      <x:c r="Q17" s="36"/>
      <x:c r="R17" s="16" t="str">
        <x:f>IF(COUNT(C17,E17,G17,I17,K17,M17,O17,Q17)&lt;8,"OPEN",IF(AND(C17=B17,E17=D17,G17=F17,I17=H17,K17=J17,M17=L17,O17=N17,Q17=P17),"COMPLETE","DENY"))</x:f>
        <x:v>OPEN</x:v>
      </x:c>
    </x:row>
    <x:row r="18">
      <x:c r="A18" s="16" t="str">
        <x:v>AT-13</x:v>
      </x:c>
      <x:c r="B18" s="16" t="n">
        <x:v>48</x:v>
      </x:c>
      <x:c r="C18" s="36"/>
      <x:c r="D18" s="16" t="n">
        <x:v>236</x:v>
      </x:c>
      <x:c r="E18" s="36"/>
      <x:c r="F18" s="16" t="n">
        <x:v>36</x:v>
      </x:c>
      <x:c r="G18" s="36"/>
      <x:c r="H18" s="16" t="n">
        <x:v>72</x:v>
      </x:c>
      <x:c r="I18" s="36"/>
      <x:c r="J18" s="16" t="n">
        <x:v>12</x:v>
      </x:c>
      <x:c r="K18" s="36"/>
      <x:c r="L18" s="16" t="n">
        <x:v>20</x:v>
      </x:c>
      <x:c r="M18" s="36"/>
      <x:c r="N18" s="16" t="n">
        <x:v>18</x:v>
      </x:c>
      <x:c r="O18" s="36"/>
      <x:c r="P18" s="16" t="n">
        <x:v>24</x:v>
      </x:c>
      <x:c r="Q18" s="36"/>
      <x:c r="R18" s="16" t="str">
        <x:f>IF(COUNT(C18,E18,G18,I18,K18,M18,O18,Q18)&lt;8,"OPEN",IF(AND(C18=B18,E18=D18,G18=F18,I18=H18,K18=J18,M18=L18,O18=N18,Q18=P18),"COMPLETE","DENY"))</x:f>
        <x:v>OPEN</x:v>
      </x:c>
    </x:row>
    <x:row r="19">
      <x:c r="A19" s="16" t="str">
        <x:v>AT-14</x:v>
      </x:c>
      <x:c r="B19" s="16" t="n">
        <x:v>48</x:v>
      </x:c>
      <x:c r="C19" s="36"/>
      <x:c r="D19" s="16" t="n">
        <x:v>236</x:v>
      </x:c>
      <x:c r="E19" s="36"/>
      <x:c r="F19" s="16" t="n">
        <x:v>36</x:v>
      </x:c>
      <x:c r="G19" s="36"/>
      <x:c r="H19" s="16" t="n">
        <x:v>72</x:v>
      </x:c>
      <x:c r="I19" s="36"/>
      <x:c r="J19" s="16" t="n">
        <x:v>12</x:v>
      </x:c>
      <x:c r="K19" s="36"/>
      <x:c r="L19" s="16" t="n">
        <x:v>20</x:v>
      </x:c>
      <x:c r="M19" s="36"/>
      <x:c r="N19" s="16" t="n">
        <x:v>18</x:v>
      </x:c>
      <x:c r="O19" s="36"/>
      <x:c r="P19" s="16" t="n">
        <x:v>24</x:v>
      </x:c>
      <x:c r="Q19" s="36"/>
      <x:c r="R19" s="16" t="str">
        <x:f>IF(COUNT(C19,E19,G19,I19,K19,M19,O19,Q19)&lt;8,"OPEN",IF(AND(C19=B19,E19=D19,G19=F19,I19=H19,K19=J19,M19=L19,O19=N19,Q19=P19),"COMPLETE","DENY"))</x:f>
        <x:v>OPEN</x:v>
      </x:c>
    </x:row>
    <x:row r="20">
      <x:c r="A20" s="16" t="str">
        <x:v>AT-15</x:v>
      </x:c>
      <x:c r="B20" s="16" t="n">
        <x:v>48</x:v>
      </x:c>
      <x:c r="C20" s="36"/>
      <x:c r="D20" s="16" t="n">
        <x:v>236</x:v>
      </x:c>
      <x:c r="E20" s="36"/>
      <x:c r="F20" s="16" t="n">
        <x:v>36</x:v>
      </x:c>
      <x:c r="G20" s="36"/>
      <x:c r="H20" s="16" t="n">
        <x:v>72</x:v>
      </x:c>
      <x:c r="I20" s="36"/>
      <x:c r="J20" s="16" t="n">
        <x:v>12</x:v>
      </x:c>
      <x:c r="K20" s="36"/>
      <x:c r="L20" s="16" t="n">
        <x:v>20</x:v>
      </x:c>
      <x:c r="M20" s="36"/>
      <x:c r="N20" s="16" t="n">
        <x:v>18</x:v>
      </x:c>
      <x:c r="O20" s="36"/>
      <x:c r="P20" s="16" t="n">
        <x:v>24</x:v>
      </x:c>
      <x:c r="Q20" s="36"/>
      <x:c r="R20" s="16" t="str">
        <x:f>IF(COUNT(C20,E20,G20,I20,K20,M20,O20,Q20)&lt;8,"OPEN",IF(AND(C20=B20,E20=D20,G20=F20,I20=H20,K20=J20,M20=L20,O20=N20,Q20=P20),"COMPLETE","DENY"))</x:f>
        <x:v>OPEN</x:v>
      </x:c>
    </x:row>
    <x:row r="21">
      <x:c r="A21" s="16" t="str">
        <x:v>AT-16</x:v>
      </x:c>
      <x:c r="B21" s="16" t="n">
        <x:v>48</x:v>
      </x:c>
      <x:c r="C21" s="36"/>
      <x:c r="D21" s="16" t="n">
        <x:v>236</x:v>
      </x:c>
      <x:c r="E21" s="36"/>
      <x:c r="F21" s="16" t="n">
        <x:v>36</x:v>
      </x:c>
      <x:c r="G21" s="36"/>
      <x:c r="H21" s="16" t="n">
        <x:v>72</x:v>
      </x:c>
      <x:c r="I21" s="36"/>
      <x:c r="J21" s="16" t="n">
        <x:v>12</x:v>
      </x:c>
      <x:c r="K21" s="36"/>
      <x:c r="L21" s="16" t="n">
        <x:v>20</x:v>
      </x:c>
      <x:c r="M21" s="36"/>
      <x:c r="N21" s="16" t="n">
        <x:v>18</x:v>
      </x:c>
      <x:c r="O21" s="36"/>
      <x:c r="P21" s="16" t="n">
        <x:v>24</x:v>
      </x:c>
      <x:c r="Q21" s="36"/>
      <x:c r="R21" s="16" t="str">
        <x:f>IF(COUNT(C21,E21,G21,I21,K21,M21,O21,Q21)&lt;8,"OPEN",IF(AND(C21=B21,E21=D21,G21=F21,I21=H21,K21=J21,M21=L21,O21=N21,Q21=P21),"COMPLETE","DENY"))</x:f>
        <x:v>OPEN</x:v>
      </x:c>
    </x:row>
    <x:row r="22">
      <x:c r="A22" s="16" t="str">
        <x:v>AT-17</x:v>
      </x:c>
      <x:c r="B22" s="16" t="n">
        <x:v>48</x:v>
      </x:c>
      <x:c r="C22" s="36"/>
      <x:c r="D22" s="16" t="n">
        <x:v>236</x:v>
      </x:c>
      <x:c r="E22" s="36"/>
      <x:c r="F22" s="16" t="n">
        <x:v>36</x:v>
      </x:c>
      <x:c r="G22" s="36"/>
      <x:c r="H22" s="16" t="n">
        <x:v>72</x:v>
      </x:c>
      <x:c r="I22" s="36"/>
      <x:c r="J22" s="16" t="n">
        <x:v>12</x:v>
      </x:c>
      <x:c r="K22" s="36"/>
      <x:c r="L22" s="16" t="n">
        <x:v>20</x:v>
      </x:c>
      <x:c r="M22" s="36"/>
      <x:c r="N22" s="16" t="n">
        <x:v>18</x:v>
      </x:c>
      <x:c r="O22" s="36"/>
      <x:c r="P22" s="16" t="n">
        <x:v>24</x:v>
      </x:c>
      <x:c r="Q22" s="36"/>
      <x:c r="R22" s="16" t="str">
        <x:f>IF(COUNT(C22,E22,G22,I22,K22,M22,O22,Q22)&lt;8,"OPEN",IF(AND(C22=B22,E22=D22,G22=F22,I22=H22,K22=J22,M22=L22,O22=N22,Q22=P22),"COMPLETE","DENY"))</x:f>
        <x:v>OPEN</x:v>
      </x:c>
    </x:row>
    <x:row r="23">
      <x:c r="A23" s="16" t="str">
        <x:v>AT-18</x:v>
      </x:c>
      <x:c r="B23" s="16" t="n">
        <x:v>48</x:v>
      </x:c>
      <x:c r="C23" s="36"/>
      <x:c r="D23" s="16" t="n">
        <x:v>236</x:v>
      </x:c>
      <x:c r="E23" s="36"/>
      <x:c r="F23" s="16" t="n">
        <x:v>36</x:v>
      </x:c>
      <x:c r="G23" s="36"/>
      <x:c r="H23" s="16" t="n">
        <x:v>72</x:v>
      </x:c>
      <x:c r="I23" s="36"/>
      <x:c r="J23" s="16" t="n">
        <x:v>12</x:v>
      </x:c>
      <x:c r="K23" s="36"/>
      <x:c r="L23" s="16" t="n">
        <x:v>20</x:v>
      </x:c>
      <x:c r="M23" s="36"/>
      <x:c r="N23" s="16" t="n">
        <x:v>18</x:v>
      </x:c>
      <x:c r="O23" s="36"/>
      <x:c r="P23" s="16" t="n">
        <x:v>24</x:v>
      </x:c>
      <x:c r="Q23" s="36"/>
      <x:c r="R23" s="16" t="str">
        <x:f>IF(COUNT(C23,E23,G23,I23,K23,M23,O23,Q23)&lt;8,"OPEN",IF(AND(C23=B23,E23=D23,G23=F23,I23=H23,K23=J23,M23=L23,O23=N23,Q23=P23),"COMPLETE","DENY"))</x:f>
        <x:v>OPEN</x:v>
      </x:c>
    </x:row>
    <x:row r="24">
      <x:c r="A24" s="16" t="str">
        <x:v>AT-19</x:v>
      </x:c>
      <x:c r="B24" s="16" t="n">
        <x:v>48</x:v>
      </x:c>
      <x:c r="C24" s="36"/>
      <x:c r="D24" s="16" t="n">
        <x:v>236</x:v>
      </x:c>
      <x:c r="E24" s="36"/>
      <x:c r="F24" s="16" t="n">
        <x:v>36</x:v>
      </x:c>
      <x:c r="G24" s="36"/>
      <x:c r="H24" s="16" t="n">
        <x:v>72</x:v>
      </x:c>
      <x:c r="I24" s="36"/>
      <x:c r="J24" s="16" t="n">
        <x:v>12</x:v>
      </x:c>
      <x:c r="K24" s="36"/>
      <x:c r="L24" s="16" t="n">
        <x:v>20</x:v>
      </x:c>
      <x:c r="M24" s="36"/>
      <x:c r="N24" s="16" t="n">
        <x:v>18</x:v>
      </x:c>
      <x:c r="O24" s="36"/>
      <x:c r="P24" s="16" t="n">
        <x:v>24</x:v>
      </x:c>
      <x:c r="Q24" s="36"/>
      <x:c r="R24" s="16" t="str">
        <x:f>IF(COUNT(C24,E24,G24,I24,K24,M24,O24,Q24)&lt;8,"OPEN",IF(AND(C24=B24,E24=D24,G24=F24,I24=H24,K24=J24,M24=L24,O24=N24,Q24=P24),"COMPLETE","DENY"))</x:f>
        <x:v>OPEN</x:v>
      </x:c>
    </x:row>
    <x:row r="25">
      <x:c r="A25" s="16" t="str">
        <x:v>AT-20</x:v>
      </x:c>
      <x:c r="B25" s="16" t="n">
        <x:v>48</x:v>
      </x:c>
      <x:c r="C25" s="36"/>
      <x:c r="D25" s="16" t="n">
        <x:v>236</x:v>
      </x:c>
      <x:c r="E25" s="36"/>
      <x:c r="F25" s="16" t="n">
        <x:v>36</x:v>
      </x:c>
      <x:c r="G25" s="36"/>
      <x:c r="H25" s="16" t="n">
        <x:v>72</x:v>
      </x:c>
      <x:c r="I25" s="36"/>
      <x:c r="J25" s="16" t="n">
        <x:v>12</x:v>
      </x:c>
      <x:c r="K25" s="36"/>
      <x:c r="L25" s="16" t="n">
        <x:v>20</x:v>
      </x:c>
      <x:c r="M25" s="36"/>
      <x:c r="N25" s="16" t="n">
        <x:v>18</x:v>
      </x:c>
      <x:c r="O25" s="36"/>
      <x:c r="P25" s="16" t="n">
        <x:v>24</x:v>
      </x:c>
      <x:c r="Q25" s="36"/>
      <x:c r="R25" s="16" t="str">
        <x:f>IF(COUNT(C25,E25,G25,I25,K25,M25,O25,Q25)&lt;8,"OPEN",IF(AND(C25=B25,E25=D25,G25=F25,I25=H25,K25=J25,M25=L25,O25=N25,Q25=P25),"COMPLETE","DENY"))</x:f>
        <x:v>OPEN</x:v>
      </x:c>
    </x:row>
    <x:row r="26">
      <x:c r="A26" s="16" t="str">
        <x:v>AT-21</x:v>
      </x:c>
      <x:c r="B26" s="16" t="n">
        <x:v>48</x:v>
      </x:c>
      <x:c r="C26" s="36"/>
      <x:c r="D26" s="16" t="n">
        <x:v>236</x:v>
      </x:c>
      <x:c r="E26" s="36"/>
      <x:c r="F26" s="16" t="n">
        <x:v>36</x:v>
      </x:c>
      <x:c r="G26" s="36"/>
      <x:c r="H26" s="16" t="n">
        <x:v>72</x:v>
      </x:c>
      <x:c r="I26" s="36"/>
      <x:c r="J26" s="16" t="n">
        <x:v>12</x:v>
      </x:c>
      <x:c r="K26" s="36"/>
      <x:c r="L26" s="16" t="n">
        <x:v>20</x:v>
      </x:c>
      <x:c r="M26" s="36"/>
      <x:c r="N26" s="16" t="n">
        <x:v>18</x:v>
      </x:c>
      <x:c r="O26" s="36"/>
      <x:c r="P26" s="16" t="n">
        <x:v>24</x:v>
      </x:c>
      <x:c r="Q26" s="36"/>
      <x:c r="R26" s="16" t="str">
        <x:f>IF(COUNT(C26,E26,G26,I26,K26,M26,O26,Q26)&lt;8,"OPEN",IF(AND(C26=B26,E26=D26,G26=F26,I26=H26,K26=J26,M26=L26,O26=N26,Q26=P26),"COMPLETE","DENY"))</x:f>
        <x:v>OPEN</x:v>
      </x:c>
    </x:row>
    <x:row r="27">
      <x:c r="A27" s="16" t="str">
        <x:v>AT-22</x:v>
      </x:c>
      <x:c r="B27" s="16" t="n">
        <x:v>48</x:v>
      </x:c>
      <x:c r="C27" s="36"/>
      <x:c r="D27" s="16" t="n">
        <x:v>236</x:v>
      </x:c>
      <x:c r="E27" s="36"/>
      <x:c r="F27" s="16" t="n">
        <x:v>36</x:v>
      </x:c>
      <x:c r="G27" s="36"/>
      <x:c r="H27" s="16" t="n">
        <x:v>72</x:v>
      </x:c>
      <x:c r="I27" s="36"/>
      <x:c r="J27" s="16" t="n">
        <x:v>12</x:v>
      </x:c>
      <x:c r="K27" s="36"/>
      <x:c r="L27" s="16" t="n">
        <x:v>20</x:v>
      </x:c>
      <x:c r="M27" s="36"/>
      <x:c r="N27" s="16" t="n">
        <x:v>18</x:v>
      </x:c>
      <x:c r="O27" s="36"/>
      <x:c r="P27" s="16" t="n">
        <x:v>24</x:v>
      </x:c>
      <x:c r="Q27" s="36"/>
      <x:c r="R27" s="16" t="str">
        <x:f>IF(COUNT(C27,E27,G27,I27,K27,M27,O27,Q27)&lt;8,"OPEN",IF(AND(C27=B27,E27=D27,G27=F27,I27=H27,K27=J27,M27=L27,O27=N27,Q27=P27),"COMPLETE","DENY"))</x:f>
        <x:v>OPEN</x:v>
      </x:c>
    </x:row>
    <x:row r="28">
      <x:c r="A28" s="16" t="str">
        <x:v>AT-23</x:v>
      </x:c>
      <x:c r="B28" s="16" t="n">
        <x:v>48</x:v>
      </x:c>
      <x:c r="C28" s="36"/>
      <x:c r="D28" s="16" t="n">
        <x:v>236</x:v>
      </x:c>
      <x:c r="E28" s="36"/>
      <x:c r="F28" s="16" t="n">
        <x:v>36</x:v>
      </x:c>
      <x:c r="G28" s="36"/>
      <x:c r="H28" s="16" t="n">
        <x:v>72</x:v>
      </x:c>
      <x:c r="I28" s="36"/>
      <x:c r="J28" s="16" t="n">
        <x:v>12</x:v>
      </x:c>
      <x:c r="K28" s="36"/>
      <x:c r="L28" s="16" t="n">
        <x:v>20</x:v>
      </x:c>
      <x:c r="M28" s="36"/>
      <x:c r="N28" s="16" t="n">
        <x:v>18</x:v>
      </x:c>
      <x:c r="O28" s="36"/>
      <x:c r="P28" s="16" t="n">
        <x:v>24</x:v>
      </x:c>
      <x:c r="Q28" s="36"/>
      <x:c r="R28" s="16" t="str">
        <x:f>IF(COUNT(C28,E28,G28,I28,K28,M28,O28,Q28)&lt;8,"OPEN",IF(AND(C28=B28,E28=D28,G28=F28,I28=H28,K28=J28,M28=L28,O28=N28,Q28=P28),"COMPLETE","DENY"))</x:f>
        <x:v>OPEN</x:v>
      </x:c>
    </x:row>
    <x:row r="29">
      <x:c r="A29" s="16" t="str">
        <x:v>AT-24</x:v>
      </x:c>
      <x:c r="B29" s="16" t="n">
        <x:v>48</x:v>
      </x:c>
      <x:c r="C29" s="36"/>
      <x:c r="D29" s="16" t="n">
        <x:v>236</x:v>
      </x:c>
      <x:c r="E29" s="36"/>
      <x:c r="F29" s="16" t="n">
        <x:v>36</x:v>
      </x:c>
      <x:c r="G29" s="36"/>
      <x:c r="H29" s="16" t="n">
        <x:v>72</x:v>
      </x:c>
      <x:c r="I29" s="36"/>
      <x:c r="J29" s="16" t="n">
        <x:v>12</x:v>
      </x:c>
      <x:c r="K29" s="36"/>
      <x:c r="L29" s="16" t="n">
        <x:v>20</x:v>
      </x:c>
      <x:c r="M29" s="36"/>
      <x:c r="N29" s="16" t="n">
        <x:v>18</x:v>
      </x:c>
      <x:c r="O29" s="36"/>
      <x:c r="P29" s="16" t="n">
        <x:v>24</x:v>
      </x:c>
      <x:c r="Q29" s="36"/>
      <x:c r="R29" s="16" t="str">
        <x:f>IF(COUNT(C29,E29,G29,I29,K29,M29,O29,Q29)&lt;8,"OPEN",IF(AND(C29=B29,E29=D29,G29=F29,I29=H29,K29=J29,M29=L29,O29=N29,Q29=P29),"COMPLETE","DENY"))</x:f>
        <x:v>OPEN</x:v>
      </x:c>
    </x:row>
    <x:row r="30">
      <x:c r="A30" s="16" t="str">
        <x:v>AT-25</x:v>
      </x:c>
      <x:c r="B30" s="16" t="n">
        <x:v>48</x:v>
      </x:c>
      <x:c r="C30" s="36"/>
      <x:c r="D30" s="16" t="n">
        <x:v>236</x:v>
      </x:c>
      <x:c r="E30" s="36"/>
      <x:c r="F30" s="16" t="n">
        <x:v>36</x:v>
      </x:c>
      <x:c r="G30" s="36"/>
      <x:c r="H30" s="16" t="n">
        <x:v>72</x:v>
      </x:c>
      <x:c r="I30" s="36"/>
      <x:c r="J30" s="16" t="n">
        <x:v>12</x:v>
      </x:c>
      <x:c r="K30" s="36"/>
      <x:c r="L30" s="16" t="n">
        <x:v>20</x:v>
      </x:c>
      <x:c r="M30" s="36"/>
      <x:c r="N30" s="16" t="n">
        <x:v>18</x:v>
      </x:c>
      <x:c r="O30" s="36"/>
      <x:c r="P30" s="16" t="n">
        <x:v>24</x:v>
      </x:c>
      <x:c r="Q30" s="36"/>
      <x:c r="R30" s="16" t="str">
        <x:f>IF(COUNT(C30,E30,G30,I30,K30,M30,O30,Q30)&lt;8,"OPEN",IF(AND(C30=B30,E30=D30,G30=F30,I30=H30,K30=J30,M30=L30,O30=N30,Q30=P30),"COMPLETE","DENY"))</x:f>
        <x:v>OPEN</x:v>
      </x:c>
    </x:row>
    <x:row r="31">
      <x:c r="A31" s="16" t="str">
        <x:v>AT-26</x:v>
      </x:c>
      <x:c r="B31" s="16" t="n">
        <x:v>48</x:v>
      </x:c>
      <x:c r="C31" s="36"/>
      <x:c r="D31" s="16" t="n">
        <x:v>236</x:v>
      </x:c>
      <x:c r="E31" s="36"/>
      <x:c r="F31" s="16" t="n">
        <x:v>36</x:v>
      </x:c>
      <x:c r="G31" s="36"/>
      <x:c r="H31" s="16" t="n">
        <x:v>72</x:v>
      </x:c>
      <x:c r="I31" s="36"/>
      <x:c r="J31" s="16" t="n">
        <x:v>12</x:v>
      </x:c>
      <x:c r="K31" s="36"/>
      <x:c r="L31" s="16" t="n">
        <x:v>20</x:v>
      </x:c>
      <x:c r="M31" s="36"/>
      <x:c r="N31" s="16" t="n">
        <x:v>18</x:v>
      </x:c>
      <x:c r="O31" s="36"/>
      <x:c r="P31" s="16" t="n">
        <x:v>24</x:v>
      </x:c>
      <x:c r="Q31" s="36"/>
      <x:c r="R31" s="16" t="str">
        <x:f>IF(COUNT(C31,E31,G31,I31,K31,M31,O31,Q31)&lt;8,"OPEN",IF(AND(C31=B31,E31=D31,G31=F31,I31=H31,K31=J31,M31=L31,O31=N31,Q31=P31),"COMPLETE","DENY"))</x:f>
        <x:v>OPEN</x:v>
      </x:c>
    </x:row>
    <x:row r="32">
      <x:c r="A32" s="16" t="str">
        <x:v>AT-27</x:v>
      </x:c>
      <x:c r="B32" s="16" t="n">
        <x:v>48</x:v>
      </x:c>
      <x:c r="C32" s="36"/>
      <x:c r="D32" s="16" t="n">
        <x:v>236</x:v>
      </x:c>
      <x:c r="E32" s="36"/>
      <x:c r="F32" s="16" t="n">
        <x:v>36</x:v>
      </x:c>
      <x:c r="G32" s="36"/>
      <x:c r="H32" s="16" t="n">
        <x:v>72</x:v>
      </x:c>
      <x:c r="I32" s="36"/>
      <x:c r="J32" s="16" t="n">
        <x:v>12</x:v>
      </x:c>
      <x:c r="K32" s="36"/>
      <x:c r="L32" s="16" t="n">
        <x:v>20</x:v>
      </x:c>
      <x:c r="M32" s="36"/>
      <x:c r="N32" s="16" t="n">
        <x:v>18</x:v>
      </x:c>
      <x:c r="O32" s="36"/>
      <x:c r="P32" s="16" t="n">
        <x:v>24</x:v>
      </x:c>
      <x:c r="Q32" s="36"/>
      <x:c r="R32" s="16" t="str">
        <x:f>IF(COUNT(C32,E32,G32,I32,K32,M32,O32,Q32)&lt;8,"OPEN",IF(AND(C32=B32,E32=D32,G32=F32,I32=H32,K32=J32,M32=L32,O32=N32,Q32=P32),"COMPLETE","DENY"))</x:f>
        <x:v>OPEN</x:v>
      </x:c>
    </x:row>
    <x:row r="33">
      <x:c r="A33" s="16" t="str">
        <x:v>AT-28</x:v>
      </x:c>
      <x:c r="B33" s="16" t="n">
        <x:v>48</x:v>
      </x:c>
      <x:c r="C33" s="36"/>
      <x:c r="D33" s="16" t="n">
        <x:v>236</x:v>
      </x:c>
      <x:c r="E33" s="36"/>
      <x:c r="F33" s="16" t="n">
        <x:v>36</x:v>
      </x:c>
      <x:c r="G33" s="36"/>
      <x:c r="H33" s="16" t="n">
        <x:v>72</x:v>
      </x:c>
      <x:c r="I33" s="36"/>
      <x:c r="J33" s="16" t="n">
        <x:v>12</x:v>
      </x:c>
      <x:c r="K33" s="36"/>
      <x:c r="L33" s="16" t="n">
        <x:v>20</x:v>
      </x:c>
      <x:c r="M33" s="36"/>
      <x:c r="N33" s="16" t="n">
        <x:v>18</x:v>
      </x:c>
      <x:c r="O33" s="36"/>
      <x:c r="P33" s="16" t="n">
        <x:v>24</x:v>
      </x:c>
      <x:c r="Q33" s="36"/>
      <x:c r="R33" s="16" t="str">
        <x:f>IF(COUNT(C33,E33,G33,I33,K33,M33,O33,Q33)&lt;8,"OPEN",IF(AND(C33=B33,E33=D33,G33=F33,I33=H33,K33=J33,M33=L33,O33=N33,Q33=P33),"COMPLETE","DENY"))</x:f>
        <x:v>OPEN</x:v>
      </x:c>
    </x:row>
  </x:sheetData>
  <x:mergeCells>
    <x:mergeCell ref="A2:R2"/>
  </x:mergeCells>
  <x:conditionalFormatting sqref="R6:R33">
    <x:cfRule type="containsText" dxfId="40" priority="1" operator="containsText" text="DENY"/>
    <x:cfRule type="containsText" dxfId="41" priority="2" operator="containsText" text="ADVERSE"/>
    <x:cfRule type="containsText" dxfId="42" priority="3" operator="containsText" text="FAIL"/>
    <x:cfRule type="containsText" dxfId="43" priority="4" operator="containsText" text="REQUIRED"/>
    <x:cfRule type="containsText" dxfId="44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90fb474e7a7a44b3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0" hidden="0" customWidth="1"/>
  </x:cols>
  <x:sheetData>
    <x:row r="2" ht="26" customHeight="1">
      <x:c r="A2" s="2" t="str">
        <x:v>Fixed twelve-credit class source accounts</x:v>
      </x:c>
      <x:c r="B2" s="2" t="str">
        <x:v>Fixed twelve-credit class source accounts</x:v>
      </x:c>
      <x:c r="C2" s="2" t="str">
        <x:v>Fixed twelve-credit class source accounts</x:v>
      </x:c>
      <x:c r="D2" s="2" t="str">
        <x:v>Fixed twelve-credit class source accounts</x:v>
      </x:c>
      <x:c r="E2" s="2" t="str">
        <x:v>Fixed twelve-credit class source accounts</x:v>
      </x:c>
      <x:c r="F2" s="2" t="str">
        <x:v>Fixed twelve-credit class source accounts</x:v>
      </x:c>
    </x:row>
    <x:row r="3">
      <x:c r="A3" s="50"/>
      <x:c r="B3" s="50"/>
      <x:c r="C3" s="50"/>
      <x:c r="D3" s="50"/>
      <x:c r="E3" s="50"/>
      <x:c r="F3" s="50"/>
    </x:row>
    <x:row r="4">
      <x:c r="A4" s="51"/>
      <x:c r="B4" s="51"/>
      <x:c r="C4" s="51"/>
      <x:c r="D4" s="51"/>
      <x:c r="E4" s="51"/>
      <x:c r="F4" s="51"/>
    </x:row>
    <x:row r="5">
      <x:c r="A5" s="32" t="str">
        <x:v>Metric</x:v>
      </x:c>
      <x:c r="B5" s="34" t="str">
        <x:v>Value</x:v>
      </x:c>
      <x:c r="C5" s="51"/>
      <x:c r="D5" s="51"/>
      <x:c r="E5" s="51"/>
      <x:c r="F5" s="51"/>
    </x:row>
    <x:row r="6">
      <x:c r="A6" s="16" t="str">
        <x:v>Environmental entries</x:v>
      </x:c>
      <x:c r="B6" s="16" t="n">
        <x:f>COUNT('Attempt Register'!I8:I35)</x:f>
        <x:v>0</x:v>
      </x:c>
      <x:c r="C6" s="51"/>
      <x:c r="D6" s="51"/>
      <x:c r="E6" s="51"/>
      <x:c r="F6" s="51"/>
    </x:row>
    <x:row r="7">
      <x:c r="A7" s="16" t="str">
        <x:v>Unaccounted entries</x:v>
      </x:c>
      <x:c r="B7" s="16" t="n">
        <x:f>COUNT('Attempt Register'!J8:J35)</x:f>
        <x:v>0</x:v>
      </x:c>
      <x:c r="C7" s="51"/>
      <x:c r="D7" s="51"/>
      <x:c r="E7" s="51"/>
      <x:c r="F7" s="51"/>
    </x:row>
    <x:row r="8">
      <x:c r="A8" s="16" t="str">
        <x:v>Environmental total kg</x:v>
      </x:c>
      <x:c r="B8" s="44" t="n">
        <x:f>SUM('Attempt Register'!I8:I35)</x:f>
        <x:v>0</x:v>
      </x:c>
      <x:c r="C8" s="51"/>
      <x:c r="D8" s="51"/>
      <x:c r="E8" s="51"/>
      <x:c r="F8" s="51"/>
    </x:row>
    <x:row r="9">
      <x:c r="A9" s="16" t="str">
        <x:v>Environmental fixed limit kg</x:v>
      </x:c>
      <x:c r="B9" s="44" t="n">
        <x:f>'Assumptions'!B8*'Assumptions'!B14</x:f>
        <x:v>6</x:v>
      </x:c>
      <x:c r="C9" s="51"/>
      <x:c r="D9" s="51"/>
      <x:c r="E9" s="51"/>
      <x:c r="F9" s="51"/>
    </x:row>
    <x:row r="10">
      <x:c r="A10" s="16" t="str">
        <x:v>Environmental remaining kg</x:v>
      </x:c>
      <x:c r="B10" s="44" t="n">
        <x:f>B9-B8</x:f>
        <x:v>6</x:v>
      </x:c>
      <x:c r="C10" s="51"/>
      <x:c r="D10" s="51"/>
      <x:c r="E10" s="51"/>
      <x:c r="F10" s="51"/>
    </x:row>
    <x:row r="11">
      <x:c r="A11" s="16" t="str">
        <x:v>Unaccounted total kg</x:v>
      </x:c>
      <x:c r="B11" s="44" t="n">
        <x:f>SUM('Attempt Register'!J8:J35)</x:f>
        <x:v>0</x:v>
      </x:c>
      <x:c r="C11" s="51"/>
      <x:c r="D11" s="51"/>
      <x:c r="E11" s="51"/>
      <x:c r="F11" s="51"/>
    </x:row>
    <x:row r="12">
      <x:c r="A12" s="16" t="str">
        <x:v>Unaccounted fixed limit kg</x:v>
      </x:c>
      <x:c r="B12" s="44" t="n">
        <x:f>'Assumptions'!B8*'Assumptions'!B15</x:f>
        <x:v>45</x:v>
      </x:c>
      <x:c r="C12" s="51"/>
      <x:c r="D12" s="51"/>
      <x:c r="E12" s="51"/>
      <x:c r="F12" s="51"/>
    </x:row>
    <x:row r="13">
      <x:c r="A13" s="16" t="str">
        <x:v>Unaccounted remaining kg</x:v>
      </x:c>
      <x:c r="B13" s="44" t="n">
        <x:f>B12-B11</x:f>
        <x:v>45</x:v>
      </x:c>
      <x:c r="C13" s="51"/>
      <x:c r="D13" s="51"/>
      <x:c r="E13" s="51"/>
      <x:c r="F13" s="51"/>
    </x:row>
    <x:row r="14">
      <x:c r="A14" s="16" t="str">
        <x:v>Class account state</x:v>
      </x:c>
      <x:c r="B14" s="16" t="str">
        <x:f>IF(OR(B6=0,B7=0,B6&lt;&gt;B7),"OPEN",IF(AND(B8&gt;=0,B8&lt;=B9,B11&gt;=0,B11&lt;=B12),"ACCEPTED","DENY"))</x:f>
        <x:v>OPEN</x:v>
      </x:c>
      <x:c r="C14" s="51"/>
      <x:c r="D14" s="51"/>
      <x:c r="E14" s="51"/>
      <x:c r="F14" s="51"/>
    </x:row>
  </x:sheetData>
  <x:mergeCells>
    <x:mergeCell ref="A2:F2"/>
  </x:mergeCells>
  <x:conditionalFormatting sqref="B14:B14">
    <x:cfRule type="containsText" dxfId="45" priority="1" operator="containsText" text="DENY"/>
    <x:cfRule type="containsText" dxfId="46" priority="2" operator="containsText" text="ADVERSE"/>
    <x:cfRule type="containsText" dxfId="47" priority="3" operator="containsText" text="FAIL"/>
    <x:cfRule type="containsText" dxfId="48" priority="4" operator="containsText" text="REQUIRED"/>
    <x:cfRule type="containsText" dxfId="49" priority="5" operator="containsText" text="OPEN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DDEBF7"/>
  </x:sheetPr>
  <x:sheetViews>
    <x:sheetView showGridLines="0" workbookViewId="0"/>
  </x:sheetViews>
  <x:sheetFormatPr defaultRowHeight="15"/>
  <x:cols>
    <x:col min="1" max="1" width="13" hidden="0" customWidth="1"/>
    <x:col min="2" max="2" width="19" hidden="0" customWidth="1"/>
    <x:col min="3" max="3" width="17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2" hidden="0" customWidth="1"/>
    <x:col min="10" max="10" width="18" hidden="0" customWidth="1"/>
    <x:col min="11" max="11" width="17" hidden="0" customWidth="1"/>
  </x:cols>
  <x:sheetData>
    <x:row r="2" ht="26" customHeight="1">
      <x:c r="A2" s="2" t="str">
        <x:v>Twenty-eight module-return cycles</x:v>
      </x:c>
      <x:c r="B2" s="2" t="str">
        <x:v>Twenty-eight module-return cycles</x:v>
      </x:c>
      <x:c r="C2" s="2" t="str">
        <x:v>Twenty-eight module-return cycles</x:v>
      </x:c>
      <x:c r="D2" s="2" t="str">
        <x:v>Twenty-eight module-return cycles</x:v>
      </x:c>
      <x:c r="E2" s="2" t="str">
        <x:v>Twenty-eight module-return cycles</x:v>
      </x:c>
      <x:c r="F2" s="2" t="str">
        <x:v>Twenty-eight module-return cycles</x:v>
      </x:c>
      <x:c r="G2" s="2" t="str">
        <x:v>Twenty-eight module-return cycles</x:v>
      </x:c>
      <x:c r="H2" s="2" t="str">
        <x:v>Twenty-eight module-return cycles</x:v>
      </x:c>
      <x:c r="I2" s="2" t="str">
        <x:v>Twenty-eight module-return cycles</x:v>
      </x:c>
      <x:c r="J2" s="2" t="str">
        <x:v>Twenty-eight module-return cycles</x:v>
      </x:c>
      <x:c r="K2" s="2" t="str">
        <x:v>Twenty-eight module-return cycles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</x:row>
    <x:row r="5">
      <x:c r="A5" s="32" t="str">
        <x:v>Attempt</x:v>
      </x:c>
      <x:c r="B5" s="33" t="str">
        <x:v>Module</x:v>
      </x:c>
      <x:c r="C5" s="33" t="str">
        <x:v>Event time</x:v>
      </x:c>
      <x:c r="D5" s="33" t="str">
        <x:v>Elapsed h</x:v>
      </x:c>
      <x:c r="E5" s="33" t="str">
        <x:v>72 h state</x:v>
      </x:c>
      <x:c r="F5" s="33" t="str">
        <x:v>336 h state</x:v>
      </x:c>
      <x:c r="G5" s="33" t="str">
        <x:v>504 h state</x:v>
      </x:c>
      <x:c r="H5" s="33" t="str">
        <x:v>672 h state</x:v>
      </x:c>
      <x:c r="I5" s="33" t="str">
        <x:v>Work packages closed</x:v>
      </x:c>
      <x:c r="J5" s="33" t="str">
        <x:v>Decisions closed</x:v>
      </x:c>
      <x:c r="K5" s="34" t="str">
        <x:v>Return state</x:v>
      </x:c>
    </x:row>
    <x:row r="6">
      <x:c r="A6" s="16" t="str">
        <x:v>AT-01</x:v>
      </x:c>
      <x:c r="B6" s="16" t="str">
        <x:v>MOD-ACT-01</x:v>
      </x:c>
      <x:c r="C6" s="36"/>
      <x:c r="D6" s="36"/>
      <x:c r="E6" s="36"/>
      <x:c r="F6" s="36"/>
      <x:c r="G6" s="36"/>
      <x:c r="H6" s="36"/>
      <x:c r="I6" s="36"/>
      <x:c r="J6" s="36"/>
      <x:c r="K6" s="16" t="str">
        <x:f>IF(OR(COUNT(C6:D6)&lt;2,COUNTA(E6:H6)&lt;4,COUNT(I6:J6)&lt;2),"OPEN",IF(AND(D6&gt;='Assumptions'!$B$16,E6="PASS",F6="PASS",G6="PASS",H6="PASS",I6=20,J6=18),"ACCEPTED","DENY"))</x:f>
        <x:v>OPEN</x:v>
      </x:c>
    </x:row>
    <x:row r="7">
      <x:c r="A7" s="16" t="str">
        <x:v>AT-02</x:v>
      </x:c>
      <x:c r="B7" s="16" t="str">
        <x:v>MOD-ACT-02</x:v>
      </x:c>
      <x:c r="C7" s="36"/>
      <x:c r="D7" s="36"/>
      <x:c r="E7" s="36"/>
      <x:c r="F7" s="36"/>
      <x:c r="G7" s="36"/>
      <x:c r="H7" s="36"/>
      <x:c r="I7" s="36"/>
      <x:c r="J7" s="36"/>
      <x:c r="K7" s="16" t="str">
        <x:f>IF(OR(COUNT(C7:D7)&lt;2,COUNTA(E7:H7)&lt;4,COUNT(I7:J7)&lt;2),"OPEN",IF(AND(D7&gt;='Assumptions'!$B$16,E7="PASS",F7="PASS",G7="PASS",H7="PASS",I7=20,J7=18),"ACCEPTED","DENY"))</x:f>
        <x:v>OPEN</x:v>
      </x:c>
    </x:row>
    <x:row r="8">
      <x:c r="A8" s="16" t="str">
        <x:v>AT-03</x:v>
      </x:c>
      <x:c r="B8" s="16" t="str">
        <x:v>MOD-ACT-03</x:v>
      </x:c>
      <x:c r="C8" s="36"/>
      <x:c r="D8" s="36"/>
      <x:c r="E8" s="36"/>
      <x:c r="F8" s="36"/>
      <x:c r="G8" s="36"/>
      <x:c r="H8" s="36"/>
      <x:c r="I8" s="36"/>
      <x:c r="J8" s="36"/>
      <x:c r="K8" s="16" t="str">
        <x:f>IF(OR(COUNT(C8:D8)&lt;2,COUNTA(E8:H8)&lt;4,COUNT(I8:J8)&lt;2),"OPEN",IF(AND(D8&gt;='Assumptions'!$B$16,E8="PASS",F8="PASS",G8="PASS",H8="PASS",I8=20,J8=18),"ACCEPTED","DENY"))</x:f>
        <x:v>OPEN</x:v>
      </x:c>
    </x:row>
    <x:row r="9">
      <x:c r="A9" s="16" t="str">
        <x:v>AT-04</x:v>
      </x:c>
      <x:c r="B9" s="16" t="str">
        <x:v>MOD-ACT-04</x:v>
      </x:c>
      <x:c r="C9" s="36"/>
      <x:c r="D9" s="36"/>
      <x:c r="E9" s="36"/>
      <x:c r="F9" s="36"/>
      <x:c r="G9" s="36"/>
      <x:c r="H9" s="36"/>
      <x:c r="I9" s="36"/>
      <x:c r="J9" s="36"/>
      <x:c r="K9" s="16" t="str">
        <x:f>IF(OR(COUNT(C9:D9)&lt;2,COUNTA(E9:H9)&lt;4,COUNT(I9:J9)&lt;2),"OPEN",IF(AND(D9&gt;='Assumptions'!$B$16,E9="PASS",F9="PASS",G9="PASS",H9="PASS",I9=20,J9=18),"ACCEPTED","DENY"))</x:f>
        <x:v>OPEN</x:v>
      </x:c>
    </x:row>
    <x:row r="10">
      <x:c r="A10" s="16" t="str">
        <x:v>AT-05</x:v>
      </x:c>
      <x:c r="B10" s="16" t="str">
        <x:v>MOD-ACT-05</x:v>
      </x:c>
      <x:c r="C10" s="36"/>
      <x:c r="D10" s="36"/>
      <x:c r="E10" s="36"/>
      <x:c r="F10" s="36"/>
      <x:c r="G10" s="36"/>
      <x:c r="H10" s="36"/>
      <x:c r="I10" s="36"/>
      <x:c r="J10" s="36"/>
      <x:c r="K10" s="16" t="str">
        <x:f>IF(OR(COUNT(C10:D10)&lt;2,COUNTA(E10:H10)&lt;4,COUNT(I10:J10)&lt;2),"OPEN",IF(AND(D10&gt;='Assumptions'!$B$16,E10="PASS",F10="PASS",G10="PASS",H10="PASS",I10=20,J10=18),"ACCEPTED","DENY"))</x:f>
        <x:v>OPEN</x:v>
      </x:c>
    </x:row>
    <x:row r="11">
      <x:c r="A11" s="16" t="str">
        <x:v>AT-06</x:v>
      </x:c>
      <x:c r="B11" s="16" t="str">
        <x:v>MOD-ACT-06</x:v>
      </x:c>
      <x:c r="C11" s="36"/>
      <x:c r="D11" s="36"/>
      <x:c r="E11" s="36"/>
      <x:c r="F11" s="36"/>
      <x:c r="G11" s="36"/>
      <x:c r="H11" s="36"/>
      <x:c r="I11" s="36"/>
      <x:c r="J11" s="36"/>
      <x:c r="K11" s="16" t="str">
        <x:f>IF(OR(COUNT(C11:D11)&lt;2,COUNTA(E11:H11)&lt;4,COUNT(I11:J11)&lt;2),"OPEN",IF(AND(D11&gt;='Assumptions'!$B$16,E11="PASS",F11="PASS",G11="PASS",H11="PASS",I11=20,J11=18),"ACCEPTED","DENY"))</x:f>
        <x:v>OPEN</x:v>
      </x:c>
    </x:row>
    <x:row r="12">
      <x:c r="A12" s="16" t="str">
        <x:v>AT-07</x:v>
      </x:c>
      <x:c r="B12" s="16" t="str">
        <x:v>MOD-ACT-07</x:v>
      </x:c>
      <x:c r="C12" s="36"/>
      <x:c r="D12" s="36"/>
      <x:c r="E12" s="36"/>
      <x:c r="F12" s="36"/>
      <x:c r="G12" s="36"/>
      <x:c r="H12" s="36"/>
      <x:c r="I12" s="36"/>
      <x:c r="J12" s="36"/>
      <x:c r="K12" s="16" t="str">
        <x:f>IF(OR(COUNT(C12:D12)&lt;2,COUNTA(E12:H12)&lt;4,COUNT(I12:J12)&lt;2),"OPEN",IF(AND(D12&gt;='Assumptions'!$B$16,E12="PASS",F12="PASS",G12="PASS",H12="PASS",I12=20,J12=18),"ACCEPTED","DENY"))</x:f>
        <x:v>OPEN</x:v>
      </x:c>
    </x:row>
    <x:row r="13">
      <x:c r="A13" s="16" t="str">
        <x:v>AT-08</x:v>
      </x:c>
      <x:c r="B13" s="16" t="str">
        <x:v>MOD-ACT-08</x:v>
      </x:c>
      <x:c r="C13" s="36"/>
      <x:c r="D13" s="36"/>
      <x:c r="E13" s="36"/>
      <x:c r="F13" s="36"/>
      <x:c r="G13" s="36"/>
      <x:c r="H13" s="36"/>
      <x:c r="I13" s="36"/>
      <x:c r="J13" s="36"/>
      <x:c r="K13" s="16" t="str">
        <x:f>IF(OR(COUNT(C13:D13)&lt;2,COUNTA(E13:H13)&lt;4,COUNT(I13:J13)&lt;2),"OPEN",IF(AND(D13&gt;='Assumptions'!$B$16,E13="PASS",F13="PASS",G13="PASS",H13="PASS",I13=20,J13=18),"ACCEPTED","DENY"))</x:f>
        <x:v>OPEN</x:v>
      </x:c>
    </x:row>
    <x:row r="14">
      <x:c r="A14" s="16" t="str">
        <x:v>AT-09</x:v>
      </x:c>
      <x:c r="B14" s="16" t="str">
        <x:v>MOD-ACT-09</x:v>
      </x:c>
      <x:c r="C14" s="36"/>
      <x:c r="D14" s="36"/>
      <x:c r="E14" s="36"/>
      <x:c r="F14" s="36"/>
      <x:c r="G14" s="36"/>
      <x:c r="H14" s="36"/>
      <x:c r="I14" s="36"/>
      <x:c r="J14" s="36"/>
      <x:c r="K14" s="16" t="str">
        <x:f>IF(OR(COUNT(C14:D14)&lt;2,COUNTA(E14:H14)&lt;4,COUNT(I14:J14)&lt;2),"OPEN",IF(AND(D14&gt;='Assumptions'!$B$16,E14="PASS",F14="PASS",G14="PASS",H14="PASS",I14=20,J14=18),"ACCEPTED","DENY"))</x:f>
        <x:v>OPEN</x:v>
      </x:c>
    </x:row>
    <x:row r="15">
      <x:c r="A15" s="16" t="str">
        <x:v>AT-10</x:v>
      </x:c>
      <x:c r="B15" s="16" t="str">
        <x:v>MOD-ACT-10</x:v>
      </x:c>
      <x:c r="C15" s="36"/>
      <x:c r="D15" s="36"/>
      <x:c r="E15" s="36"/>
      <x:c r="F15" s="36"/>
      <x:c r="G15" s="36"/>
      <x:c r="H15" s="36"/>
      <x:c r="I15" s="36"/>
      <x:c r="J15" s="36"/>
      <x:c r="K15" s="16" t="str">
        <x:f>IF(OR(COUNT(C15:D15)&lt;2,COUNTA(E15:H15)&lt;4,COUNT(I15:J15)&lt;2),"OPEN",IF(AND(D15&gt;='Assumptions'!$B$16,E15="PASS",F15="PASS",G15="PASS",H15="PASS",I15=20,J15=18),"ACCEPTED","DENY"))</x:f>
        <x:v>OPEN</x:v>
      </x:c>
    </x:row>
    <x:row r="16">
      <x:c r="A16" s="16" t="str">
        <x:v>AT-11</x:v>
      </x:c>
      <x:c r="B16" s="16" t="str">
        <x:v>MOD-ACT-11</x:v>
      </x:c>
      <x:c r="C16" s="36"/>
      <x:c r="D16" s="36"/>
      <x:c r="E16" s="36"/>
      <x:c r="F16" s="36"/>
      <x:c r="G16" s="36"/>
      <x:c r="H16" s="36"/>
      <x:c r="I16" s="36"/>
      <x:c r="J16" s="36"/>
      <x:c r="K16" s="16" t="str">
        <x:f>IF(OR(COUNT(C16:D16)&lt;2,COUNTA(E16:H16)&lt;4,COUNT(I16:J16)&lt;2),"OPEN",IF(AND(D16&gt;='Assumptions'!$B$16,E16="PASS",F16="PASS",G16="PASS",H16="PASS",I16=20,J16=18),"ACCEPTED","DENY"))</x:f>
        <x:v>OPEN</x:v>
      </x:c>
    </x:row>
    <x:row r="17">
      <x:c r="A17" s="16" t="str">
        <x:v>AT-12</x:v>
      </x:c>
      <x:c r="B17" s="16" t="str">
        <x:v>MOD-ACT-12</x:v>
      </x:c>
      <x:c r="C17" s="36"/>
      <x:c r="D17" s="36"/>
      <x:c r="E17" s="36"/>
      <x:c r="F17" s="36"/>
      <x:c r="G17" s="36"/>
      <x:c r="H17" s="36"/>
      <x:c r="I17" s="36"/>
      <x:c r="J17" s="36"/>
      <x:c r="K17" s="16" t="str">
        <x:f>IF(OR(COUNT(C17:D17)&lt;2,COUNTA(E17:H17)&lt;4,COUNT(I17:J17)&lt;2),"OPEN",IF(AND(D17&gt;='Assumptions'!$B$16,E17="PASS",F17="PASS",G17="PASS",H17="PASS",I17=20,J17=18),"ACCEPTED","DENY"))</x:f>
        <x:v>OPEN</x:v>
      </x:c>
    </x:row>
    <x:row r="18">
      <x:c r="A18" s="16" t="str">
        <x:v>AT-13</x:v>
      </x:c>
      <x:c r="B18" s="36"/>
      <x:c r="C18" s="36"/>
      <x:c r="D18" s="36"/>
      <x:c r="E18" s="36"/>
      <x:c r="F18" s="36"/>
      <x:c r="G18" s="36"/>
      <x:c r="H18" s="36"/>
      <x:c r="I18" s="36"/>
      <x:c r="J18" s="36"/>
      <x:c r="K18" s="16" t="str">
        <x:f>IF(OR(COUNT(C18:D18)&lt;2,COUNTA(E18:H18)&lt;4,COUNT(I18:J18)&lt;2),"OPEN",IF(AND(D18&gt;='Assumptions'!$B$16,E18="PASS",F18="PASS",G18="PASS",H18="PASS",I18=20,J18=18),"ACCEPTED","DENY"))</x:f>
        <x:v>OPEN</x:v>
      </x:c>
    </x:row>
    <x:row r="19">
      <x:c r="A19" s="16" t="str">
        <x:v>AT-14</x:v>
      </x:c>
      <x:c r="B19" s="36"/>
      <x:c r="C19" s="36"/>
      <x:c r="D19" s="36"/>
      <x:c r="E19" s="36"/>
      <x:c r="F19" s="36"/>
      <x:c r="G19" s="36"/>
      <x:c r="H19" s="36"/>
      <x:c r="I19" s="36"/>
      <x:c r="J19" s="36"/>
      <x:c r="K19" s="16" t="str">
        <x:f>IF(OR(COUNT(C19:D19)&lt;2,COUNTA(E19:H19)&lt;4,COUNT(I19:J19)&lt;2),"OPEN",IF(AND(D19&gt;='Assumptions'!$B$16,E19="PASS",F19="PASS",G19="PASS",H19="PASS",I19=20,J19=18),"ACCEPTED","DENY"))</x:f>
        <x:v>OPEN</x:v>
      </x:c>
    </x:row>
    <x:row r="20">
      <x:c r="A20" s="16" t="str">
        <x:v>AT-15</x:v>
      </x:c>
      <x:c r="B20" s="36"/>
      <x:c r="C20" s="36"/>
      <x:c r="D20" s="36"/>
      <x:c r="E20" s="36"/>
      <x:c r="F20" s="36"/>
      <x:c r="G20" s="36"/>
      <x:c r="H20" s="36"/>
      <x:c r="I20" s="36"/>
      <x:c r="J20" s="36"/>
      <x:c r="K20" s="16" t="str">
        <x:f>IF(OR(COUNT(C20:D20)&lt;2,COUNTA(E20:H20)&lt;4,COUNT(I20:J20)&lt;2),"OPEN",IF(AND(D20&gt;='Assumptions'!$B$16,E20="PASS",F20="PASS",G20="PASS",H20="PASS",I20=20,J20=18),"ACCEPTED","DENY"))</x:f>
        <x:v>OPEN</x:v>
      </x:c>
    </x:row>
    <x:row r="21">
      <x:c r="A21" s="16" t="str">
        <x:v>AT-16</x:v>
      </x:c>
      <x:c r="B21" s="36"/>
      <x:c r="C21" s="36"/>
      <x:c r="D21" s="36"/>
      <x:c r="E21" s="36"/>
      <x:c r="F21" s="36"/>
      <x:c r="G21" s="36"/>
      <x:c r="H21" s="36"/>
      <x:c r="I21" s="36"/>
      <x:c r="J21" s="36"/>
      <x:c r="K21" s="16" t="str">
        <x:f>IF(OR(COUNT(C21:D21)&lt;2,COUNTA(E21:H21)&lt;4,COUNT(I21:J21)&lt;2),"OPEN",IF(AND(D21&gt;='Assumptions'!$B$16,E21="PASS",F21="PASS",G21="PASS",H21="PASS",I21=20,J21=18),"ACCEPTED","DENY"))</x:f>
        <x:v>OPEN</x:v>
      </x:c>
    </x:row>
    <x:row r="22">
      <x:c r="A22" s="16" t="str">
        <x:v>AT-17</x:v>
      </x:c>
      <x:c r="B22" s="36"/>
      <x:c r="C22" s="36"/>
      <x:c r="D22" s="36"/>
      <x:c r="E22" s="36"/>
      <x:c r="F22" s="36"/>
      <x:c r="G22" s="36"/>
      <x:c r="H22" s="36"/>
      <x:c r="I22" s="36"/>
      <x:c r="J22" s="36"/>
      <x:c r="K22" s="16" t="str">
        <x:f>IF(OR(COUNT(C22:D22)&lt;2,COUNTA(E22:H22)&lt;4,COUNT(I22:J22)&lt;2),"OPEN",IF(AND(D22&gt;='Assumptions'!$B$16,E22="PASS",F22="PASS",G22="PASS",H22="PASS",I22=20,J22=18),"ACCEPTED","DENY"))</x:f>
        <x:v>OPEN</x:v>
      </x:c>
    </x:row>
    <x:row r="23">
      <x:c r="A23" s="16" t="str">
        <x:v>AT-18</x:v>
      </x:c>
      <x:c r="B23" s="36"/>
      <x:c r="C23" s="36"/>
      <x:c r="D23" s="36"/>
      <x:c r="E23" s="36"/>
      <x:c r="F23" s="36"/>
      <x:c r="G23" s="36"/>
      <x:c r="H23" s="36"/>
      <x:c r="I23" s="36"/>
      <x:c r="J23" s="36"/>
      <x:c r="K23" s="16" t="str">
        <x:f>IF(OR(COUNT(C23:D23)&lt;2,COUNTA(E23:H23)&lt;4,COUNT(I23:J23)&lt;2),"OPEN",IF(AND(D23&gt;='Assumptions'!$B$16,E23="PASS",F23="PASS",G23="PASS",H23="PASS",I23=20,J23=18),"ACCEPTED","DENY"))</x:f>
        <x:v>OPEN</x:v>
      </x:c>
    </x:row>
    <x:row r="24">
      <x:c r="A24" s="16" t="str">
        <x:v>AT-19</x:v>
      </x:c>
      <x:c r="B24" s="36"/>
      <x:c r="C24" s="36"/>
      <x:c r="D24" s="36"/>
      <x:c r="E24" s="36"/>
      <x:c r="F24" s="36"/>
      <x:c r="G24" s="36"/>
      <x:c r="H24" s="36"/>
      <x:c r="I24" s="36"/>
      <x:c r="J24" s="36"/>
      <x:c r="K24" s="16" t="str">
        <x:f>IF(OR(COUNT(C24:D24)&lt;2,COUNTA(E24:H24)&lt;4,COUNT(I24:J24)&lt;2),"OPEN",IF(AND(D24&gt;='Assumptions'!$B$16,E24="PASS",F24="PASS",G24="PASS",H24="PASS",I24=20,J24=18),"ACCEPTED","DENY"))</x:f>
        <x:v>OPEN</x:v>
      </x:c>
    </x:row>
    <x:row r="25">
      <x:c r="A25" s="16" t="str">
        <x:v>AT-20</x:v>
      </x:c>
      <x:c r="B25" s="36"/>
      <x:c r="C25" s="36"/>
      <x:c r="D25" s="36"/>
      <x:c r="E25" s="36"/>
      <x:c r="F25" s="36"/>
      <x:c r="G25" s="36"/>
      <x:c r="H25" s="36"/>
      <x:c r="I25" s="36"/>
      <x:c r="J25" s="36"/>
      <x:c r="K25" s="16" t="str">
        <x:f>IF(OR(COUNT(C25:D25)&lt;2,COUNTA(E25:H25)&lt;4,COUNT(I25:J25)&lt;2),"OPEN",IF(AND(D25&gt;='Assumptions'!$B$16,E25="PASS",F25="PASS",G25="PASS",H25="PASS",I25=20,J25=18),"ACCEPTED","DENY"))</x:f>
        <x:v>OPEN</x:v>
      </x:c>
    </x:row>
    <x:row r="26">
      <x:c r="A26" s="16" t="str">
        <x:v>AT-21</x:v>
      </x:c>
      <x:c r="B26" s="36"/>
      <x:c r="C26" s="36"/>
      <x:c r="D26" s="36"/>
      <x:c r="E26" s="36"/>
      <x:c r="F26" s="36"/>
      <x:c r="G26" s="36"/>
      <x:c r="H26" s="36"/>
      <x:c r="I26" s="36"/>
      <x:c r="J26" s="36"/>
      <x:c r="K26" s="16" t="str">
        <x:f>IF(OR(COUNT(C26:D26)&lt;2,COUNTA(E26:H26)&lt;4,COUNT(I26:J26)&lt;2),"OPEN",IF(AND(D26&gt;='Assumptions'!$B$16,E26="PASS",F26="PASS",G26="PASS",H26="PASS",I26=20,J26=18),"ACCEPTED","DENY"))</x:f>
        <x:v>OPEN</x:v>
      </x:c>
    </x:row>
    <x:row r="27">
      <x:c r="A27" s="16" t="str">
        <x:v>AT-22</x:v>
      </x:c>
      <x:c r="B27" s="36"/>
      <x:c r="C27" s="36"/>
      <x:c r="D27" s="36"/>
      <x:c r="E27" s="36"/>
      <x:c r="F27" s="36"/>
      <x:c r="G27" s="36"/>
      <x:c r="H27" s="36"/>
      <x:c r="I27" s="36"/>
      <x:c r="J27" s="36"/>
      <x:c r="K27" s="16" t="str">
        <x:f>IF(OR(COUNT(C27:D27)&lt;2,COUNTA(E27:H27)&lt;4,COUNT(I27:J27)&lt;2),"OPEN",IF(AND(D27&gt;='Assumptions'!$B$16,E27="PASS",F27="PASS",G27="PASS",H27="PASS",I27=20,J27=18),"ACCEPTED","DENY"))</x:f>
        <x:v>OPEN</x:v>
      </x:c>
    </x:row>
    <x:row r="28">
      <x:c r="A28" s="16" t="str">
        <x:v>AT-23</x:v>
      </x:c>
      <x:c r="B28" s="36"/>
      <x:c r="C28" s="36"/>
      <x:c r="D28" s="36"/>
      <x:c r="E28" s="36"/>
      <x:c r="F28" s="36"/>
      <x:c r="G28" s="36"/>
      <x:c r="H28" s="36"/>
      <x:c r="I28" s="36"/>
      <x:c r="J28" s="36"/>
      <x:c r="K28" s="16" t="str">
        <x:f>IF(OR(COUNT(C28:D28)&lt;2,COUNTA(E28:H28)&lt;4,COUNT(I28:J28)&lt;2),"OPEN",IF(AND(D28&gt;='Assumptions'!$B$16,E28="PASS",F28="PASS",G28="PASS",H28="PASS",I28=20,J28=18),"ACCEPTED","DENY"))</x:f>
        <x:v>OPEN</x:v>
      </x:c>
    </x:row>
    <x:row r="29">
      <x:c r="A29" s="16" t="str">
        <x:v>AT-24</x:v>
      </x:c>
      <x:c r="B29" s="36"/>
      <x:c r="C29" s="36"/>
      <x:c r="D29" s="36"/>
      <x:c r="E29" s="36"/>
      <x:c r="F29" s="36"/>
      <x:c r="G29" s="36"/>
      <x:c r="H29" s="36"/>
      <x:c r="I29" s="36"/>
      <x:c r="J29" s="36"/>
      <x:c r="K29" s="16" t="str">
        <x:f>IF(OR(COUNT(C29:D29)&lt;2,COUNTA(E29:H29)&lt;4,COUNT(I29:J29)&lt;2),"OPEN",IF(AND(D29&gt;='Assumptions'!$B$16,E29="PASS",F29="PASS",G29="PASS",H29="PASS",I29=20,J29=18),"ACCEPTED","DENY"))</x:f>
        <x:v>OPEN</x:v>
      </x:c>
    </x:row>
    <x:row r="30">
      <x:c r="A30" s="16" t="str">
        <x:v>AT-25</x:v>
      </x:c>
      <x:c r="B30" s="36"/>
      <x:c r="C30" s="36"/>
      <x:c r="D30" s="36"/>
      <x:c r="E30" s="36"/>
      <x:c r="F30" s="36"/>
      <x:c r="G30" s="36"/>
      <x:c r="H30" s="36"/>
      <x:c r="I30" s="36"/>
      <x:c r="J30" s="36"/>
      <x:c r="K30" s="16" t="str">
        <x:f>IF(OR(COUNT(C30:D30)&lt;2,COUNTA(E30:H30)&lt;4,COUNT(I30:J30)&lt;2),"OPEN",IF(AND(D30&gt;='Assumptions'!$B$16,E30="PASS",F30="PASS",G30="PASS",H30="PASS",I30=20,J30=18),"ACCEPTED","DENY"))</x:f>
        <x:v>OPEN</x:v>
      </x:c>
    </x:row>
    <x:row r="31">
      <x:c r="A31" s="16" t="str">
        <x:v>AT-26</x:v>
      </x:c>
      <x:c r="B31" s="36"/>
      <x:c r="C31" s="36"/>
      <x:c r="D31" s="36"/>
      <x:c r="E31" s="36"/>
      <x:c r="F31" s="36"/>
      <x:c r="G31" s="36"/>
      <x:c r="H31" s="36"/>
      <x:c r="I31" s="36"/>
      <x:c r="J31" s="36"/>
      <x:c r="K31" s="16" t="str">
        <x:f>IF(OR(COUNT(C31:D31)&lt;2,COUNTA(E31:H31)&lt;4,COUNT(I31:J31)&lt;2),"OPEN",IF(AND(D31&gt;='Assumptions'!$B$16,E31="PASS",F31="PASS",G31="PASS",H31="PASS",I31=20,J31=18),"ACCEPTED","DENY"))</x:f>
        <x:v>OPEN</x:v>
      </x:c>
    </x:row>
    <x:row r="32">
      <x:c r="A32" s="16" t="str">
        <x:v>AT-27</x:v>
      </x:c>
      <x:c r="B32" s="36"/>
      <x:c r="C32" s="36"/>
      <x:c r="D32" s="36"/>
      <x:c r="E32" s="36"/>
      <x:c r="F32" s="36"/>
      <x:c r="G32" s="36"/>
      <x:c r="H32" s="36"/>
      <x:c r="I32" s="36"/>
      <x:c r="J32" s="36"/>
      <x:c r="K32" s="16" t="str">
        <x:f>IF(OR(COUNT(C32:D32)&lt;2,COUNTA(E32:H32)&lt;4,COUNT(I32:J32)&lt;2),"OPEN",IF(AND(D32&gt;='Assumptions'!$B$16,E32="PASS",F32="PASS",G32="PASS",H32="PASS",I32=20,J32=18),"ACCEPTED","DENY"))</x:f>
        <x:v>OPEN</x:v>
      </x:c>
    </x:row>
    <x:row r="33">
      <x:c r="A33" s="16" t="str">
        <x:v>AT-28</x:v>
      </x:c>
      <x:c r="B33" s="36"/>
      <x:c r="C33" s="36"/>
      <x:c r="D33" s="36"/>
      <x:c r="E33" s="36"/>
      <x:c r="F33" s="36"/>
      <x:c r="G33" s="36"/>
      <x:c r="H33" s="36"/>
      <x:c r="I33" s="36"/>
      <x:c r="J33" s="36"/>
      <x:c r="K33" s="16" t="str">
        <x:f>IF(OR(COUNT(C33:D33)&lt;2,COUNTA(E33:H33)&lt;4,COUNT(I33:J33)&lt;2),"OPEN",IF(AND(D33&gt;='Assumptions'!$B$16,E33="PASS",F33="PASS",G33="PASS",H33="PASS",I33=20,J33=18),"ACCEPTED","DENY"))</x:f>
        <x:v>OPEN</x:v>
      </x:c>
    </x:row>
  </x:sheetData>
  <x:mergeCells>
    <x:mergeCell ref="A2:K2"/>
  </x:mergeCells>
  <x:conditionalFormatting sqref="K6:K33">
    <x:cfRule type="containsText" dxfId="50" priority="1" operator="containsText" text="DENY"/>
    <x:cfRule type="containsText" dxfId="51" priority="2" operator="containsText" text="ADVERSE"/>
    <x:cfRule type="containsText" dxfId="52" priority="3" operator="containsText" text="FAIL"/>
    <x:cfRule type="containsText" dxfId="53" priority="4" operator="containsText" text="REQUIRED"/>
    <x:cfRule type="containsText" dxfId="54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c529c20bdadf4aa3"/>
  </x:tableParts>
</x:worksheet>
</file>

<file path=xl/worksheets/sheet17.xml><?xml version="1.0" encoding="utf-8"?>
<x:worksheet xmlns:x="http://schemas.openxmlformats.org/spreadsheetml/2006/main">
  <x:sheetPr>
    <x:tabColor rgb="FFDDEBF7"/>
  </x:sheetPr>
  <x:sheetViews>
    <x:sheetView showGridLines="0" workbookViewId="0"/>
  </x:sheetViews>
  <x:sheetFormatPr defaultRowHeight="15"/>
  <x:cols>
    <x:col min="1" max="1" width="16" hidden="0" customWidth="1"/>
    <x:col min="2" max="2" width="21" hidden="0" customWidth="1"/>
    <x:col min="3" max="3" width="15" hidden="0" customWidth="1"/>
    <x:col min="4" max="4" width="15" hidden="0" customWidth="1"/>
    <x:col min="5" max="5" width="24" hidden="0" customWidth="1"/>
    <x:col min="6" max="6" width="19" hidden="0" customWidth="1"/>
    <x:col min="7" max="7" width="19" hidden="0" customWidth="1"/>
    <x:col min="8" max="8" width="18" hidden="0" customWidth="1"/>
    <x:col min="9" max="9" width="18" hidden="0" customWidth="1"/>
    <x:col min="10" max="10" width="17" hidden="0" customWidth="1"/>
    <x:col min="11" max="11" width="19" hidden="0" customWidth="1"/>
    <x:col min="12" max="12" width="16" hidden="0" customWidth="1"/>
    <x:col min="13" max="13" width="16" hidden="0" customWidth="1"/>
  </x:cols>
  <x:sheetData>
    <x:row r="2" ht="26" customHeight="1">
      <x:c r="A2" s="2" t="str">
        <x:v>Maximum host-transition register</x:v>
      </x:c>
      <x:c r="B2" s="2" t="str">
        <x:v>Maximum host-transition register</x:v>
      </x:c>
      <x:c r="C2" s="2" t="str">
        <x:v>Maximum host-transition register</x:v>
      </x:c>
      <x:c r="D2" s="2" t="str">
        <x:v>Maximum host-transition register</x:v>
      </x:c>
      <x:c r="E2" s="2" t="str">
        <x:v>Maximum host-transition register</x:v>
      </x:c>
      <x:c r="F2" s="2" t="str">
        <x:v>Maximum host-transition register</x:v>
      </x:c>
      <x:c r="G2" s="2" t="str">
        <x:v>Maximum host-transition register</x:v>
      </x:c>
      <x:c r="H2" s="2" t="str">
        <x:v>Maximum host-transition register</x:v>
      </x:c>
      <x:c r="I2" s="2" t="str">
        <x:v>Maximum host-transition register</x:v>
      </x:c>
      <x:c r="J2" s="2" t="str">
        <x:v>Maximum host-transition register</x:v>
      </x:c>
      <x:c r="K2" s="2" t="str">
        <x:v>Maximum host-transition register</x:v>
      </x:c>
      <x:c r="L2" s="2" t="str">
        <x:v>Maximum host-transition register</x:v>
      </x:c>
      <x:c r="M2" s="2" t="str">
        <x:v>Maximum host-transition register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  <x:c r="K3" s="50"/>
      <x:c r="L3" s="50"/>
      <x:c r="M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  <x:c r="K4" s="51"/>
      <x:c r="L4" s="51"/>
      <x:c r="M4" s="51"/>
    </x:row>
    <x:row r="5">
      <x:c r="A5" s="32" t="str">
        <x:v>Transition ID</x:v>
      </x:c>
      <x:c r="B5" s="33" t="str">
        <x:v>Host sequence</x:v>
      </x:c>
      <x:c r="C5" s="33" t="str">
        <x:v>Predecessor</x:v>
      </x:c>
      <x:c r="D5" s="33" t="str">
        <x:v>Successor</x:v>
      </x:c>
      <x:c r="E5" s="33" t="str">
        <x:v>Transition class</x:v>
      </x:c>
      <x:c r="F5" s="33" t="str">
        <x:v>Required interval h</x:v>
      </x:c>
      <x:c r="G5" s="33" t="str">
        <x:v>Observed interval h</x:v>
      </x:c>
      <x:c r="H5" s="33" t="str">
        <x:v>Outgoing isolated</x:v>
      </x:c>
      <x:c r="I5" s="33" t="str">
        <x:v>Incoming accepted</x:v>
      </x:c>
      <x:c r="J5" s="33" t="str">
        <x:v>Cross-talk ratio</x:v>
      </x:c>
      <x:c r="K5" s="33" t="str">
        <x:v>Evidence complete</x:v>
      </x:c>
      <x:c r="L5" s="33" t="str">
        <x:v>Authority</x:v>
      </x:c>
      <x:c r="M5" s="34" t="str">
        <x:v>State</x:v>
      </x:c>
    </x:row>
    <x:row r="6">
      <x:c r="A6" s="16" t="str">
        <x:v>HT-01</x:v>
      </x:c>
      <x:c r="B6" s="16" t="str">
        <x:v>concentrated host</x:v>
      </x:c>
      <x:c r="C6" s="16" t="str">
        <x:v>AT-01</x:v>
      </x:c>
      <x:c r="D6" s="16" t="str">
        <x:v>AT-02</x:v>
      </x:c>
      <x:c r="E6" s="16" t="str">
        <x:v>CROSS-ROOT EXCHANGE</x:v>
      </x:c>
      <x:c r="F6" s="16" t="n">
        <x:v>336</x:v>
      </x:c>
      <x:c r="G6" s="36"/>
      <x:c r="H6" s="36"/>
      <x:c r="I6" s="36"/>
      <x:c r="J6" s="43"/>
      <x:c r="K6" s="36"/>
      <x:c r="L6" s="36"/>
      <x:c r="M6" s="16" t="str">
        <x:f>IF(OR(COUNT(G6)&lt;1,COUNTA(H6:L6)&lt;5),"OPEN",IF(AND(G6&gt;=F6,H6="YES",I6="YES",J6&gt;=0,J6&lt;='Assumptions'!$B$45,K6="YES",L6="ACCEPTED"),"ACCEPTED","DENY"))</x:f>
        <x:v>OPEN</x:v>
      </x:c>
    </x:row>
    <x:row r="7">
      <x:c r="A7" s="16" t="str">
        <x:v>HT-02</x:v>
      </x:c>
      <x:c r="B7" s="16" t="str">
        <x:v>concentrated host</x:v>
      </x:c>
      <x:c r="C7" s="16" t="str">
        <x:v>AT-02</x:v>
      </x:c>
      <x:c r="D7" s="16" t="str">
        <x:v>AT-03</x:v>
      </x:c>
      <x:c r="E7" s="16" t="str">
        <x:v>CROSS-ROOT EXCHANGE</x:v>
      </x:c>
      <x:c r="F7" s="16" t="n">
        <x:v>336</x:v>
      </x:c>
      <x:c r="G7" s="36"/>
      <x:c r="H7" s="36"/>
      <x:c r="I7" s="36"/>
      <x:c r="J7" s="43"/>
      <x:c r="K7" s="36"/>
      <x:c r="L7" s="36"/>
      <x:c r="M7" s="16" t="str">
        <x:f>IF(OR(COUNT(G7)&lt;1,COUNTA(H7:L7)&lt;5),"OPEN",IF(AND(G7&gt;=F7,H7="YES",I7="YES",J7&gt;=0,J7&lt;='Assumptions'!$B$45,K7="YES",L7="ACCEPTED"),"ACCEPTED","DENY"))</x:f>
        <x:v>OPEN</x:v>
      </x:c>
    </x:row>
    <x:row r="8">
      <x:c r="A8" s="16" t="str">
        <x:v>HT-03</x:v>
      </x:c>
      <x:c r="B8" s="16" t="str">
        <x:v>concentrated host</x:v>
      </x:c>
      <x:c r="C8" s="16" t="str">
        <x:v>AT-03</x:v>
      </x:c>
      <x:c r="D8" s="16" t="str">
        <x:v>AT-04</x:v>
      </x:c>
      <x:c r="E8" s="16" t="str">
        <x:v>CROSS-ROOT EXCHANGE</x:v>
      </x:c>
      <x:c r="F8" s="16" t="n">
        <x:v>336</x:v>
      </x:c>
      <x:c r="G8" s="36"/>
      <x:c r="H8" s="36"/>
      <x:c r="I8" s="36"/>
      <x:c r="J8" s="43"/>
      <x:c r="K8" s="36"/>
      <x:c r="L8" s="36"/>
      <x:c r="M8" s="16" t="str">
        <x:f>IF(OR(COUNT(G8)&lt;1,COUNTA(H8:L8)&lt;5),"OPEN",IF(AND(G8&gt;=F8,H8="YES",I8="YES",J8&gt;=0,J8&lt;='Assumptions'!$B$45,K8="YES",L8="ACCEPTED"),"ACCEPTED","DENY"))</x:f>
        <x:v>OPEN</x:v>
      </x:c>
    </x:row>
    <x:row r="9">
      <x:c r="A9" s="16" t="str">
        <x:v>HT-04</x:v>
      </x:c>
      <x:c r="B9" s="16" t="str">
        <x:v>concentrated host</x:v>
      </x:c>
      <x:c r="C9" s="16" t="str">
        <x:v>AT-04</x:v>
      </x:c>
      <x:c r="D9" s="16" t="str">
        <x:v>AT-05</x:v>
      </x:c>
      <x:c r="E9" s="16" t="str">
        <x:v>CROSS-ROOT EXCHANGE</x:v>
      </x:c>
      <x:c r="F9" s="16" t="n">
        <x:v>336</x:v>
      </x:c>
      <x:c r="G9" s="36"/>
      <x:c r="H9" s="36"/>
      <x:c r="I9" s="36"/>
      <x:c r="J9" s="43"/>
      <x:c r="K9" s="36"/>
      <x:c r="L9" s="36"/>
      <x:c r="M9" s="16" t="str">
        <x:f>IF(OR(COUNT(G9)&lt;1,COUNTA(H9:L9)&lt;5),"OPEN",IF(AND(G9&gt;=F9,H9="YES",I9="YES",J9&gt;=0,J9&lt;='Assumptions'!$B$45,K9="YES",L9="ACCEPTED"),"ACCEPTED","DENY"))</x:f>
        <x:v>OPEN</x:v>
      </x:c>
    </x:row>
    <x:row r="10">
      <x:c r="A10" s="16" t="str">
        <x:v>HT-05</x:v>
      </x:c>
      <x:c r="B10" s="16" t="str">
        <x:v>concentrated host</x:v>
      </x:c>
      <x:c r="C10" s="16" t="str">
        <x:v>AT-05</x:v>
      </x:c>
      <x:c r="D10" s="16" t="str">
        <x:v>AT-06</x:v>
      </x:c>
      <x:c r="E10" s="16" t="str">
        <x:v>CROSS-ROOT EXCHANGE</x:v>
      </x:c>
      <x:c r="F10" s="16" t="n">
        <x:v>336</x:v>
      </x:c>
      <x:c r="G10" s="36"/>
      <x:c r="H10" s="36"/>
      <x:c r="I10" s="36"/>
      <x:c r="J10" s="43"/>
      <x:c r="K10" s="36"/>
      <x:c r="L10" s="36"/>
      <x:c r="M10" s="16" t="str">
        <x:f>IF(OR(COUNT(G10)&lt;1,COUNTA(H10:L10)&lt;5),"OPEN",IF(AND(G10&gt;=F10,H10="YES",I10="YES",J10&gt;=0,J10&lt;='Assumptions'!$B$45,K10="YES",L10="ACCEPTED"),"ACCEPTED","DENY"))</x:f>
        <x:v>OPEN</x:v>
      </x:c>
    </x:row>
    <x:row r="11">
      <x:c r="A11" s="16" t="str">
        <x:v>HT-06</x:v>
      </x:c>
      <x:c r="B11" s="16" t="str">
        <x:v>concentrated host</x:v>
      </x:c>
      <x:c r="C11" s="16" t="str">
        <x:v>AT-06</x:v>
      </x:c>
      <x:c r="D11" s="16" t="str">
        <x:v>AT-07</x:v>
      </x:c>
      <x:c r="E11" s="16" t="str">
        <x:v>CROSS-ROOT EXCHANGE</x:v>
      </x:c>
      <x:c r="F11" s="16" t="n">
        <x:v>336</x:v>
      </x:c>
      <x:c r="G11" s="36"/>
      <x:c r="H11" s="36"/>
      <x:c r="I11" s="36"/>
      <x:c r="J11" s="43"/>
      <x:c r="K11" s="36"/>
      <x:c r="L11" s="36"/>
      <x:c r="M11" s="16" t="str">
        <x:f>IF(OR(COUNT(G11)&lt;1,COUNTA(H11:L11)&lt;5),"OPEN",IF(AND(G11&gt;=F11,H11="YES",I11="YES",J11&gt;=0,J11&lt;='Assumptions'!$B$45,K11="YES",L11="ACCEPTED"),"ACCEPTED","DENY"))</x:f>
        <x:v>OPEN</x:v>
      </x:c>
    </x:row>
    <x:row r="12">
      <x:c r="A12" s="16" t="str">
        <x:v>HT-07</x:v>
      </x:c>
      <x:c r="B12" s="16" t="str">
        <x:v>concentrated host</x:v>
      </x:c>
      <x:c r="C12" s="16" t="str">
        <x:v>AT-07</x:v>
      </x:c>
      <x:c r="D12" s="16" t="str">
        <x:v>AT-08</x:v>
      </x:c>
      <x:c r="E12" s="16" t="str">
        <x:v>CROSS-ROOT EXCHANGE</x:v>
      </x:c>
      <x:c r="F12" s="16" t="n">
        <x:v>336</x:v>
      </x:c>
      <x:c r="G12" s="36"/>
      <x:c r="H12" s="36"/>
      <x:c r="I12" s="36"/>
      <x:c r="J12" s="43"/>
      <x:c r="K12" s="36"/>
      <x:c r="L12" s="36"/>
      <x:c r="M12" s="16" t="str">
        <x:f>IF(OR(COUNT(G12)&lt;1,COUNTA(H12:L12)&lt;5),"OPEN",IF(AND(G12&gt;=F12,H12="YES",I12="YES",J12&gt;=0,J12&lt;='Assumptions'!$B$45,K12="YES",L12="ACCEPTED"),"ACCEPTED","DENY"))</x:f>
        <x:v>OPEN</x:v>
      </x:c>
    </x:row>
    <x:row r="13">
      <x:c r="A13" s="16" t="str">
        <x:v>HT-08</x:v>
      </x:c>
      <x:c r="B13" s="16" t="str">
        <x:v>concentrated host</x:v>
      </x:c>
      <x:c r="C13" s="16" t="str">
        <x:v>AT-08</x:v>
      </x:c>
      <x:c r="D13" s="16" t="str">
        <x:v>AT-09</x:v>
      </x:c>
      <x:c r="E13" s="16" t="str">
        <x:v>CROSS-ROOT EXCHANGE</x:v>
      </x:c>
      <x:c r="F13" s="16" t="n">
        <x:v>336</x:v>
      </x:c>
      <x:c r="G13" s="36"/>
      <x:c r="H13" s="36"/>
      <x:c r="I13" s="36"/>
      <x:c r="J13" s="43"/>
      <x:c r="K13" s="36"/>
      <x:c r="L13" s="36"/>
      <x:c r="M13" s="16" t="str">
        <x:f>IF(OR(COUNT(G13)&lt;1,COUNTA(H13:L13)&lt;5),"OPEN",IF(AND(G13&gt;=F13,H13="YES",I13="YES",J13&gt;=0,J13&lt;='Assumptions'!$B$45,K13="YES",L13="ACCEPTED"),"ACCEPTED","DENY"))</x:f>
        <x:v>OPEN</x:v>
      </x:c>
    </x:row>
    <x:row r="14">
      <x:c r="A14" s="16" t="str">
        <x:v>HT-09</x:v>
      </x:c>
      <x:c r="B14" s="16" t="str">
        <x:v>concentrated host</x:v>
      </x:c>
      <x:c r="C14" s="16" t="str">
        <x:v>AT-09</x:v>
      </x:c>
      <x:c r="D14" s="16" t="str">
        <x:v>AT-10</x:v>
      </x:c>
      <x:c r="E14" s="16" t="str">
        <x:v>CROSS-ROOT EXCHANGE</x:v>
      </x:c>
      <x:c r="F14" s="16" t="n">
        <x:v>336</x:v>
      </x:c>
      <x:c r="G14" s="36"/>
      <x:c r="H14" s="36"/>
      <x:c r="I14" s="36"/>
      <x:c r="J14" s="43"/>
      <x:c r="K14" s="36"/>
      <x:c r="L14" s="36"/>
      <x:c r="M14" s="16" t="str">
        <x:f>IF(OR(COUNT(G14)&lt;1,COUNTA(H14:L14)&lt;5),"OPEN",IF(AND(G14&gt;=F14,H14="YES",I14="YES",J14&gt;=0,J14&lt;='Assumptions'!$B$45,K14="YES",L14="ACCEPTED"),"ACCEPTED","DENY"))</x:f>
        <x:v>OPEN</x:v>
      </x:c>
    </x:row>
    <x:row r="15">
      <x:c r="A15" s="16" t="str">
        <x:v>HT-10</x:v>
      </x:c>
      <x:c r="B15" s="16" t="str">
        <x:v>concentrated host</x:v>
      </x:c>
      <x:c r="C15" s="16" t="str">
        <x:v>AT-10</x:v>
      </x:c>
      <x:c r="D15" s="16" t="str">
        <x:v>AT-11</x:v>
      </x:c>
      <x:c r="E15" s="16" t="str">
        <x:v>CROSS-ROOT EXCHANGE</x:v>
      </x:c>
      <x:c r="F15" s="16" t="n">
        <x:v>336</x:v>
      </x:c>
      <x:c r="G15" s="36"/>
      <x:c r="H15" s="36"/>
      <x:c r="I15" s="36"/>
      <x:c r="J15" s="43"/>
      <x:c r="K15" s="36"/>
      <x:c r="L15" s="36"/>
      <x:c r="M15" s="16" t="str">
        <x:f>IF(OR(COUNT(G15)&lt;1,COUNTA(H15:L15)&lt;5),"OPEN",IF(AND(G15&gt;=F15,H15="YES",I15="YES",J15&gt;=0,J15&lt;='Assumptions'!$B$45,K15="YES",L15="ACCEPTED"),"ACCEPTED","DENY"))</x:f>
        <x:v>OPEN</x:v>
      </x:c>
    </x:row>
    <x:row r="16">
      <x:c r="A16" s="16" t="str">
        <x:v>HT-11</x:v>
      </x:c>
      <x:c r="B16" s="16" t="str">
        <x:v>concentrated host</x:v>
      </x:c>
      <x:c r="C16" s="16" t="str">
        <x:v>AT-11</x:v>
      </x:c>
      <x:c r="D16" s="16" t="str">
        <x:v>AT-12</x:v>
      </x:c>
      <x:c r="E16" s="16" t="str">
        <x:v>CROSS-ROOT EXCHANGE</x:v>
      </x:c>
      <x:c r="F16" s="16" t="n">
        <x:v>336</x:v>
      </x:c>
      <x:c r="G16" s="36"/>
      <x:c r="H16" s="36"/>
      <x:c r="I16" s="36"/>
      <x:c r="J16" s="43"/>
      <x:c r="K16" s="36"/>
      <x:c r="L16" s="36"/>
      <x:c r="M16" s="16" t="str">
        <x:f>IF(OR(COUNT(G16)&lt;1,COUNTA(H16:L16)&lt;5),"OPEN",IF(AND(G16&gt;=F16,H16="YES",I16="YES",J16&gt;=0,J16&lt;='Assumptions'!$B$45,K16="YES",L16="ACCEPTED"),"ACCEPTED","DENY"))</x:f>
        <x:v>OPEN</x:v>
      </x:c>
    </x:row>
    <x:row r="17">
      <x:c r="A17" s="16" t="str">
        <x:v>HT-12</x:v>
      </x:c>
      <x:c r="B17" s="16" t="str">
        <x:v>concentrated host</x:v>
      </x:c>
      <x:c r="C17" s="16" t="str">
        <x:v>AT-12</x:v>
      </x:c>
      <x:c r="D17" s="16" t="str">
        <x:v>AT-13</x:v>
      </x:c>
      <x:c r="E17" s="16" t="str">
        <x:v>CROSS-ROOT EXCHANGE</x:v>
      </x:c>
      <x:c r="F17" s="16" t="n">
        <x:v>336</x:v>
      </x:c>
      <x:c r="G17" s="36"/>
      <x:c r="H17" s="36"/>
      <x:c r="I17" s="36"/>
      <x:c r="J17" s="43"/>
      <x:c r="K17" s="36"/>
      <x:c r="L17" s="36"/>
      <x:c r="M17" s="16" t="str">
        <x:f>IF(OR(COUNT(G17)&lt;1,COUNTA(H17:L17)&lt;5),"OPEN",IF(AND(G17&gt;=F17,H17="YES",I17="YES",J17&gt;=0,J17&lt;='Assumptions'!$B$45,K17="YES",L17="ACCEPTED"),"ACCEPTED","DENY"))</x:f>
        <x:v>OPEN</x:v>
      </x:c>
    </x:row>
    <x:row r="18">
      <x:c r="A18" s="16" t="str">
        <x:v>HT-13</x:v>
      </x:c>
      <x:c r="B18" s="16" t="str">
        <x:v>concentrated host</x:v>
      </x:c>
      <x:c r="C18" s="16" t="str">
        <x:v>AT-13</x:v>
      </x:c>
      <x:c r="D18" s="16" t="str">
        <x:v>AT-14</x:v>
      </x:c>
      <x:c r="E18" s="16" t="str">
        <x:v>CROSS-ROOT EXCHANGE</x:v>
      </x:c>
      <x:c r="F18" s="16" t="n">
        <x:v>336</x:v>
      </x:c>
      <x:c r="G18" s="36"/>
      <x:c r="H18" s="36"/>
      <x:c r="I18" s="36"/>
      <x:c r="J18" s="43"/>
      <x:c r="K18" s="36"/>
      <x:c r="L18" s="36"/>
      <x:c r="M18" s="16" t="str">
        <x:f>IF(OR(COUNT(G18)&lt;1,COUNTA(H18:L18)&lt;5),"OPEN",IF(AND(G18&gt;=F18,H18="YES",I18="YES",J18&gt;=0,J18&lt;='Assumptions'!$B$45,K18="YES",L18="ACCEPTED"),"ACCEPTED","DENY"))</x:f>
        <x:v>OPEN</x:v>
      </x:c>
    </x:row>
    <x:row r="19">
      <x:c r="A19" s="16" t="str">
        <x:v>HT-14</x:v>
      </x:c>
      <x:c r="B19" s="16" t="str">
        <x:v>concentrated host</x:v>
      </x:c>
      <x:c r="C19" s="16" t="str">
        <x:v>AT-14</x:v>
      </x:c>
      <x:c r="D19" s="16" t="str">
        <x:v>AT-15</x:v>
      </x:c>
      <x:c r="E19" s="16" t="str">
        <x:v>CROSS-ROOT EXCHANGE</x:v>
      </x:c>
      <x:c r="F19" s="16" t="n">
        <x:v>336</x:v>
      </x:c>
      <x:c r="G19" s="36"/>
      <x:c r="H19" s="36"/>
      <x:c r="I19" s="36"/>
      <x:c r="J19" s="43"/>
      <x:c r="K19" s="36"/>
      <x:c r="L19" s="36"/>
      <x:c r="M19" s="16" t="str">
        <x:f>IF(OR(COUNT(G19)&lt;1,COUNTA(H19:L19)&lt;5),"OPEN",IF(AND(G19&gt;=F19,H19="YES",I19="YES",J19&gt;=0,J19&lt;='Assumptions'!$B$45,K19="YES",L19="ACCEPTED"),"ACCEPTED","DENY"))</x:f>
        <x:v>OPEN</x:v>
      </x:c>
    </x:row>
    <x:row r="20">
      <x:c r="A20" s="16" t="str">
        <x:v>HT-15</x:v>
      </x:c>
      <x:c r="B20" s="16" t="str">
        <x:v>concentrated host</x:v>
      </x:c>
      <x:c r="C20" s="16" t="str">
        <x:v>AT-15</x:v>
      </x:c>
      <x:c r="D20" s="16" t="str">
        <x:v>AT-16</x:v>
      </x:c>
      <x:c r="E20" s="16" t="str">
        <x:v>CROSS-ROOT EXCHANGE</x:v>
      </x:c>
      <x:c r="F20" s="16" t="n">
        <x:v>336</x:v>
      </x:c>
      <x:c r="G20" s="36"/>
      <x:c r="H20" s="36"/>
      <x:c r="I20" s="36"/>
      <x:c r="J20" s="43"/>
      <x:c r="K20" s="36"/>
      <x:c r="L20" s="36"/>
      <x:c r="M20" s="16" t="str">
        <x:f>IF(OR(COUNT(G20)&lt;1,COUNTA(H20:L20)&lt;5),"OPEN",IF(AND(G20&gt;=F20,H20="YES",I20="YES",J20&gt;=0,J20&lt;='Assumptions'!$B$45,K20="YES",L20="ACCEPTED"),"ACCEPTED","DENY"))</x:f>
        <x:v>OPEN</x:v>
      </x:c>
    </x:row>
    <x:row r="21">
      <x:c r="A21" s="16" t="str">
        <x:v>HT-16</x:v>
      </x:c>
      <x:c r="B21" s="16" t="str">
        <x:v>concentrated host</x:v>
      </x:c>
      <x:c r="C21" s="16" t="str">
        <x:v>AT-16</x:v>
      </x:c>
      <x:c r="D21" s="16" t="str">
        <x:v>AT-17</x:v>
      </x:c>
      <x:c r="E21" s="16" t="str">
        <x:v>CROSS-ROOT EXCHANGE</x:v>
      </x:c>
      <x:c r="F21" s="16" t="n">
        <x:v>336</x:v>
      </x:c>
      <x:c r="G21" s="36"/>
      <x:c r="H21" s="36"/>
      <x:c r="I21" s="36"/>
      <x:c r="J21" s="43"/>
      <x:c r="K21" s="36"/>
      <x:c r="L21" s="36"/>
      <x:c r="M21" s="16" t="str">
        <x:f>IF(OR(COUNT(G21)&lt;1,COUNTA(H21:L21)&lt;5),"OPEN",IF(AND(G21&gt;=F21,H21="YES",I21="YES",J21&gt;=0,J21&lt;='Assumptions'!$B$45,K21="YES",L21="ACCEPTED"),"ACCEPTED","DENY"))</x:f>
        <x:v>OPEN</x:v>
      </x:c>
    </x:row>
    <x:row r="22">
      <x:c r="A22" s="16" t="str">
        <x:v>HT-17</x:v>
      </x:c>
      <x:c r="B22" s="16" t="str">
        <x:v>concentrated host</x:v>
      </x:c>
      <x:c r="C22" s="16" t="str">
        <x:v>AT-17</x:v>
      </x:c>
      <x:c r="D22" s="16" t="str">
        <x:v>AT-18</x:v>
      </x:c>
      <x:c r="E22" s="16" t="str">
        <x:v>CROSS-ROOT EXCHANGE</x:v>
      </x:c>
      <x:c r="F22" s="16" t="n">
        <x:v>336</x:v>
      </x:c>
      <x:c r="G22" s="36"/>
      <x:c r="H22" s="36"/>
      <x:c r="I22" s="36"/>
      <x:c r="J22" s="43"/>
      <x:c r="K22" s="36"/>
      <x:c r="L22" s="36"/>
      <x:c r="M22" s="16" t="str">
        <x:f>IF(OR(COUNT(G22)&lt;1,COUNTA(H22:L22)&lt;5),"OPEN",IF(AND(G22&gt;=F22,H22="YES",I22="YES",J22&gt;=0,J22&lt;='Assumptions'!$B$45,K22="YES",L22="ACCEPTED"),"ACCEPTED","DENY"))</x:f>
        <x:v>OPEN</x:v>
      </x:c>
    </x:row>
    <x:row r="23">
      <x:c r="A23" s="16" t="str">
        <x:v>HT-18</x:v>
      </x:c>
      <x:c r="B23" s="16" t="str">
        <x:v>other host</x:v>
      </x:c>
      <x:c r="C23" s="16" t="str">
        <x:v>AT-18</x:v>
      </x:c>
      <x:c r="D23" s="16" t="str">
        <x:v>AT-19</x:v>
      </x:c>
      <x:c r="E23" s="16" t="str">
        <x:v>PRIMARY CROSS-ROOT</x:v>
      </x:c>
      <x:c r="F23" s="16" t="n">
        <x:v>336</x:v>
      </x:c>
      <x:c r="G23" s="36"/>
      <x:c r="H23" s="36"/>
      <x:c r="I23" s="36"/>
      <x:c r="J23" s="43"/>
      <x:c r="K23" s="36"/>
      <x:c r="L23" s="36"/>
      <x:c r="M23" s="16" t="str">
        <x:f>IF(OR(COUNT(G23)&lt;1,COUNTA(H23:L23)&lt;5),"OPEN",IF(AND(G23&gt;=F23,H23="YES",I23="YES",J23&gt;=0,J23&lt;='Assumptions'!$B$45,K23="YES",L23="ACCEPTED"),"ACCEPTED","DENY"))</x:f>
        <x:v>OPEN</x:v>
      </x:c>
    </x:row>
    <x:row r="24">
      <x:c r="A24" s="16" t="str">
        <x:v>HT-19</x:v>
      </x:c>
      <x:c r="B24" s="16" t="str">
        <x:v>other host</x:v>
      </x:c>
      <x:c r="C24" s="16" t="str">
        <x:v>AT-19</x:v>
      </x:c>
      <x:c r="D24" s="16" t="str">
        <x:v>AT-20</x:v>
      </x:c>
      <x:c r="E24" s="16" t="str">
        <x:v>PRIMARY CROSS-ROOT</x:v>
      </x:c>
      <x:c r="F24" s="16" t="n">
        <x:v>336</x:v>
      </x:c>
      <x:c r="G24" s="36"/>
      <x:c r="H24" s="36"/>
      <x:c r="I24" s="36"/>
      <x:c r="J24" s="43"/>
      <x:c r="K24" s="36"/>
      <x:c r="L24" s="36"/>
      <x:c r="M24" s="16" t="str">
        <x:f>IF(OR(COUNT(G24)&lt;1,COUNTA(H24:L24)&lt;5),"OPEN",IF(AND(G24&gt;=F24,H24="YES",I24="YES",J24&gt;=0,J24&lt;='Assumptions'!$B$45,K24="YES",L24="ACCEPTED"),"ACCEPTED","DENY"))</x:f>
        <x:v>OPEN</x:v>
      </x:c>
    </x:row>
    <x:row r="25">
      <x:c r="A25" s="16" t="str">
        <x:v>HT-20</x:v>
      </x:c>
      <x:c r="B25" s="16" t="str">
        <x:v>other host</x:v>
      </x:c>
      <x:c r="C25" s="16" t="str">
        <x:v>AT-20</x:v>
      </x:c>
      <x:c r="D25" s="16" t="str">
        <x:v>AT-21</x:v>
      </x:c>
      <x:c r="E25" s="16" t="str">
        <x:v>PRIMARY CROSS-ROOT</x:v>
      </x:c>
      <x:c r="F25" s="16" t="n">
        <x:v>336</x:v>
      </x:c>
      <x:c r="G25" s="36"/>
      <x:c r="H25" s="36"/>
      <x:c r="I25" s="36"/>
      <x:c r="J25" s="43"/>
      <x:c r="K25" s="36"/>
      <x:c r="L25" s="36"/>
      <x:c r="M25" s="16" t="str">
        <x:f>IF(OR(COUNT(G25)&lt;1,COUNTA(H25:L25)&lt;5),"OPEN",IF(AND(G25&gt;=F25,H25="YES",I25="YES",J25&gt;=0,J25&lt;='Assumptions'!$B$45,K25="YES",L25="ACCEPTED"),"ACCEPTED","DENY"))</x:f>
        <x:v>OPEN</x:v>
      </x:c>
    </x:row>
    <x:row r="26">
      <x:c r="A26" s="16" t="str">
        <x:v>HT-21</x:v>
      </x:c>
      <x:c r="B26" s="16" t="str">
        <x:v>other host</x:v>
      </x:c>
      <x:c r="C26" s="16" t="str">
        <x:v>AT-21</x:v>
      </x:c>
      <x:c r="D26" s="16" t="str">
        <x:v>AT-22</x:v>
      </x:c>
      <x:c r="E26" s="16" t="str">
        <x:v>PRIMARY CROSS-ROOT</x:v>
      </x:c>
      <x:c r="F26" s="16" t="n">
        <x:v>336</x:v>
      </x:c>
      <x:c r="G26" s="36"/>
      <x:c r="H26" s="36"/>
      <x:c r="I26" s="36"/>
      <x:c r="J26" s="43"/>
      <x:c r="K26" s="36"/>
      <x:c r="L26" s="36"/>
      <x:c r="M26" s="16" t="str">
        <x:f>IF(OR(COUNT(G26)&lt;1,COUNTA(H26:L26)&lt;5),"OPEN",IF(AND(G26&gt;=F26,H26="YES",I26="YES",J26&gt;=0,J26&lt;='Assumptions'!$B$45,K26="YES",L26="ACCEPTED"),"ACCEPTED","DENY"))</x:f>
        <x:v>OPEN</x:v>
      </x:c>
    </x:row>
    <x:row r="27">
      <x:c r="A27" s="16" t="str">
        <x:v>HT-22</x:v>
      </x:c>
      <x:c r="B27" s="16" t="str">
        <x:v>other host</x:v>
      </x:c>
      <x:c r="C27" s="16" t="str">
        <x:v>AT-22</x:v>
      </x:c>
      <x:c r="D27" s="16" t="str">
        <x:v>AT-23</x:v>
      </x:c>
      <x:c r="E27" s="16" t="str">
        <x:v>PRIMARY CROSS-ROOT</x:v>
      </x:c>
      <x:c r="F27" s="16" t="n">
        <x:v>336</x:v>
      </x:c>
      <x:c r="G27" s="36"/>
      <x:c r="H27" s="36"/>
      <x:c r="I27" s="36"/>
      <x:c r="J27" s="43"/>
      <x:c r="K27" s="36"/>
      <x:c r="L27" s="36"/>
      <x:c r="M27" s="16" t="str">
        <x:f>IF(OR(COUNT(G27)&lt;1,COUNTA(H27:L27)&lt;5),"OPEN",IF(AND(G27&gt;=F27,H27="YES",I27="YES",J27&gt;=0,J27&lt;='Assumptions'!$B$45,K27="YES",L27="ACCEPTED"),"ACCEPTED","DENY"))</x:f>
        <x:v>OPEN</x:v>
      </x:c>
    </x:row>
  </x:sheetData>
  <x:mergeCells>
    <x:mergeCell ref="A2:M2"/>
  </x:mergeCells>
  <x:conditionalFormatting sqref="M6:M27">
    <x:cfRule type="containsText" dxfId="55" priority="1" operator="containsText" text="DENY"/>
    <x:cfRule type="containsText" dxfId="56" priority="2" operator="containsText" text="ADVERSE"/>
    <x:cfRule type="containsText" dxfId="57" priority="3" operator="containsText" text="FAIL"/>
    <x:cfRule type="containsText" dxfId="58" priority="4" operator="containsText" text="REQUIRED"/>
    <x:cfRule type="containsText" dxfId="59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9738425c10b24bca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0" hidden="0" customWidth="1"/>
    <x:col min="3" max="3" width="11" hidden="0" customWidth="1"/>
    <x:col min="4" max="4" width="17" hidden="0" customWidth="1"/>
    <x:col min="5" max="5" width="17" hidden="0" customWidth="1"/>
    <x:col min="6" max="6" width="18" hidden="0" customWidth="1"/>
    <x:col min="7" max="7" width="19" hidden="0" customWidth="1"/>
    <x:col min="8" max="8" width="24" hidden="0" customWidth="1"/>
    <x:col min="9" max="9" width="20" hidden="0" customWidth="1"/>
    <x:col min="10" max="10" width="16" hidden="0" customWidth="1"/>
  </x:cols>
  <x:sheetData>
    <x:row r="2" ht="26" customHeight="1">
      <x:c r="A2" s="2" t="str">
        <x:v>Six rig-level unlike-root contrasts</x:v>
      </x:c>
      <x:c r="B2" s="2" t="str">
        <x:v>Six rig-level unlike-root contrasts</x:v>
      </x:c>
      <x:c r="C2" s="2" t="str">
        <x:v>Six rig-level unlike-root contrasts</x:v>
      </x:c>
      <x:c r="D2" s="2" t="str">
        <x:v>Six rig-level unlike-root contrasts</x:v>
      </x:c>
      <x:c r="E2" s="2" t="str">
        <x:v>Six rig-level unlike-root contrasts</x:v>
      </x:c>
      <x:c r="F2" s="2" t="str">
        <x:v>Six rig-level unlike-root contrasts</x:v>
      </x:c>
      <x:c r="G2" s="2" t="str">
        <x:v>Six rig-level unlike-root contrasts</x:v>
      </x:c>
      <x:c r="H2" s="2" t="str">
        <x:v>Six rig-level unlike-root contrasts</x:v>
      </x:c>
      <x:c r="I2" s="2" t="str">
        <x:v>Six rig-level unlike-root contrasts</x:v>
      </x:c>
      <x:c r="J2" s="2" t="str">
        <x:v>Six rig-level unlike-root contrasts</x:v>
      </x:c>
    </x:row>
    <x:row r="3">
      <x:c r="A3" s="50"/>
      <x:c r="B3" s="50"/>
      <x:c r="C3" s="50"/>
      <x:c r="D3" s="50"/>
      <x:c r="E3" s="50"/>
      <x:c r="F3" s="50"/>
      <x:c r="G3" s="50"/>
      <x:c r="H3" s="50"/>
      <x:c r="I3" s="50"/>
      <x:c r="J3" s="50"/>
    </x:row>
    <x:row r="4">
      <x:c r="A4" s="51"/>
      <x:c r="B4" s="51"/>
      <x:c r="C4" s="51"/>
      <x:c r="D4" s="51"/>
      <x:c r="E4" s="51"/>
      <x:c r="F4" s="51"/>
      <x:c r="G4" s="51"/>
      <x:c r="H4" s="51"/>
      <x:c r="I4" s="51"/>
      <x:c r="J4" s="51"/>
    </x:row>
    <x:row r="5">
      <x:c r="A5" s="32" t="str">
        <x:v>Contrast ID</x:v>
      </x:c>
      <x:c r="B5" s="33" t="str">
        <x:v>Rig</x:v>
      </x:c>
      <x:c r="C5" s="33" t="str">
        <x:v>Campus</x:v>
      </x:c>
      <x:c r="D5" s="33" t="str">
        <x:v>TR-A lineage</x:v>
      </x:c>
      <x:c r="E5" s="33" t="str">
        <x:v>TR-B lineage</x:v>
      </x:c>
      <x:c r="F5" s="33" t="str">
        <x:v>Both cell credits</x:v>
      </x:c>
      <x:c r="G5" s="33" t="str">
        <x:v>Exchange accepted</x:v>
      </x:c>
      <x:c r="H5" s="33" t="str">
        <x:v>Difference reconstructed</x:v>
      </x:c>
      <x:c r="I5" s="33" t="str">
        <x:v>Independent review</x:v>
      </x:c>
      <x:c r="J5" s="34" t="str">
        <x:v>State</x:v>
      </x:c>
    </x:row>
    <x:row r="6">
      <x:c r="A6" s="16" t="str">
        <x:v>RC-1</x:v>
      </x:c>
      <x:c r="B6" s="16" t="str">
        <x:v>S0</x:v>
      </x:c>
      <x:c r="C6" s="16" t="str">
        <x:v>C-1</x:v>
      </x:c>
      <x:c r="D6" s="16" t="str">
        <x:v>BL-A</x:v>
      </x:c>
      <x:c r="E6" s="16" t="str">
        <x:v>BL-B</x:v>
      </x:c>
      <x:c r="F6" s="36"/>
      <x:c r="G6" s="36"/>
      <x:c r="H6" s="36"/>
      <x:c r="I6" s="36"/>
      <x:c r="J6" s="16" t="str">
        <x:f>IF(COUNTA(F6:I6)&lt;4,"OPEN",IF(AND(F6="YES",G6="YES",H6="YES",I6="ACCEPTED"),"ACCEPTED","DENY"))</x:f>
        <x:v>OPEN</x:v>
      </x:c>
    </x:row>
    <x:row r="7">
      <x:c r="A7" s="16" t="str">
        <x:v>RC-2</x:v>
      </x:c>
      <x:c r="B7" s="16" t="str">
        <x:v>S1</x:v>
      </x:c>
      <x:c r="C7" s="16" t="str">
        <x:v>C-1</x:v>
      </x:c>
      <x:c r="D7" s="16" t="str">
        <x:v>BL-B</x:v>
      </x:c>
      <x:c r="E7" s="16" t="str">
        <x:v>BL-A</x:v>
      </x:c>
      <x:c r="F7" s="36"/>
      <x:c r="G7" s="36"/>
      <x:c r="H7" s="36"/>
      <x:c r="I7" s="36"/>
      <x:c r="J7" s="16" t="str">
        <x:f>IF(COUNTA(F7:I7)&lt;4,"OPEN",IF(AND(F7="YES",G7="YES",H7="YES",I7="ACCEPTED"),"ACCEPTED","DENY"))</x:f>
        <x:v>OPEN</x:v>
      </x:c>
    </x:row>
    <x:row r="8">
      <x:c r="A8" s="16" t="str">
        <x:v>RC-3</x:v>
      </x:c>
      <x:c r="B8" s="16" t="str">
        <x:v>S2</x:v>
      </x:c>
      <x:c r="C8" s="16" t="str">
        <x:v>C-2</x:v>
      </x:c>
      <x:c r="D8" s="16" t="str">
        <x:v>BL-A</x:v>
      </x:c>
      <x:c r="E8" s="16" t="str">
        <x:v>BL-B</x:v>
      </x:c>
      <x:c r="F8" s="36"/>
      <x:c r="G8" s="36"/>
      <x:c r="H8" s="36"/>
      <x:c r="I8" s="36"/>
      <x:c r="J8" s="16" t="str">
        <x:f>IF(COUNTA(F8:I8)&lt;4,"OPEN",IF(AND(F8="YES",G8="YES",H8="YES",I8="ACCEPTED"),"ACCEPTED","DENY"))</x:f>
        <x:v>OPEN</x:v>
      </x:c>
    </x:row>
    <x:row r="9">
      <x:c r="A9" s="16" t="str">
        <x:v>RC-4</x:v>
      </x:c>
      <x:c r="B9" s="16" t="str">
        <x:v>S3</x:v>
      </x:c>
      <x:c r="C9" s="16" t="str">
        <x:v>C-2</x:v>
      </x:c>
      <x:c r="D9" s="16" t="str">
        <x:v>BL-B</x:v>
      </x:c>
      <x:c r="E9" s="16" t="str">
        <x:v>BL-A</x:v>
      </x:c>
      <x:c r="F9" s="36"/>
      <x:c r="G9" s="36"/>
      <x:c r="H9" s="36"/>
      <x:c r="I9" s="36"/>
      <x:c r="J9" s="16" t="str">
        <x:f>IF(COUNTA(F9:I9)&lt;4,"OPEN",IF(AND(F9="YES",G9="YES",H9="YES",I9="ACCEPTED"),"ACCEPTED","DENY"))</x:f>
        <x:v>OPEN</x:v>
      </x:c>
    </x:row>
    <x:row r="10">
      <x:c r="A10" s="16" t="str">
        <x:v>RC-5</x:v>
      </x:c>
      <x:c r="B10" s="16" t="str">
        <x:v>S4</x:v>
      </x:c>
      <x:c r="C10" s="16" t="str">
        <x:v>C-3</x:v>
      </x:c>
      <x:c r="D10" s="16" t="str">
        <x:v>BL-A</x:v>
      </x:c>
      <x:c r="E10" s="16" t="str">
        <x:v>BL-B</x:v>
      </x:c>
      <x:c r="F10" s="36"/>
      <x:c r="G10" s="36"/>
      <x:c r="H10" s="36"/>
      <x:c r="I10" s="36"/>
      <x:c r="J10" s="16" t="str">
        <x:f>IF(COUNTA(F10:I10)&lt;4,"OPEN",IF(AND(F10="YES",G10="YES",H10="YES",I10="ACCEPTED"),"ACCEPTED","DENY"))</x:f>
        <x:v>OPEN</x:v>
      </x:c>
    </x:row>
    <x:row r="11">
      <x:c r="A11" s="16" t="str">
        <x:v>RC-6</x:v>
      </x:c>
      <x:c r="B11" s="16" t="str">
        <x:v>S5</x:v>
      </x:c>
      <x:c r="C11" s="16" t="str">
        <x:v>C-3</x:v>
      </x:c>
      <x:c r="D11" s="16" t="str">
        <x:v>BL-B</x:v>
      </x:c>
      <x:c r="E11" s="16" t="str">
        <x:v>BL-A</x:v>
      </x:c>
      <x:c r="F11" s="36"/>
      <x:c r="G11" s="36"/>
      <x:c r="H11" s="36"/>
      <x:c r="I11" s="36"/>
      <x:c r="J11" s="16" t="str">
        <x:f>IF(COUNTA(F11:I11)&lt;4,"OPEN",IF(AND(F11="YES",G11="YES",H11="YES",I11="ACCEPTED"),"ACCEPTED","DENY"))</x:f>
        <x:v>OPEN</x:v>
      </x:c>
    </x:row>
  </x:sheetData>
  <x:mergeCells>
    <x:mergeCell ref="A2:J2"/>
  </x:mergeCells>
  <x:conditionalFormatting sqref="J6:J11">
    <x:cfRule type="containsText" dxfId="60" priority="1" operator="containsText" text="DENY"/>
    <x:cfRule type="containsText" dxfId="61" priority="2" operator="containsText" text="ADVERSE"/>
    <x:cfRule type="containsText" dxfId="62" priority="3" operator="containsText" text="FAIL"/>
    <x:cfRule type="containsText" dxfId="63" priority="4" operator="containsText" text="REQUIRED"/>
    <x:cfRule type="containsText" dxfId="64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0697ca9807d54d9b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38" hidden="0" customWidth="1"/>
    <x:col min="5" max="5" width="20" hidden="0" customWidth="1"/>
    <x:col min="6" max="6" width="18" hidden="0" customWidth="1"/>
    <x:col min="7" max="7" width="16" hidden="0" customWidth="1"/>
  </x:cols>
  <x:sheetData>
    <x:row r="2" ht="26" customHeight="1">
      <x:c r="A2" s="2" t="str">
        <x:v>Class decision hierarchy</x:v>
      </x:c>
      <x:c r="B2" s="2" t="str">
        <x:v>Class decision hierarchy</x:v>
      </x:c>
      <x:c r="C2" s="2" t="str">
        <x:v>Class decision hierarchy</x:v>
      </x:c>
      <x:c r="D2" s="2" t="str">
        <x:v>Class decision hierarchy</x:v>
      </x:c>
      <x:c r="E2" s="2" t="str">
        <x:v>Class decision hierarchy</x:v>
      </x:c>
      <x:c r="F2" s="2" t="str">
        <x:v>Class decision hierarchy</x:v>
      </x:c>
      <x:c r="G2" s="2" t="str">
        <x:v>Class decision hierarchy</x:v>
      </x:c>
      <x:c r="H2" s="2" t="str">
        <x:v>Class decision hierarchy</x:v>
      </x:c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51"/>
      <x:c r="B4" s="51"/>
      <x:c r="C4" s="51"/>
      <x:c r="D4" s="51"/>
      <x:c r="E4" s="51"/>
      <x:c r="F4" s="51"/>
      <x:c r="G4" s="51"/>
      <x:c r="H4" s="51"/>
    </x:row>
    <x:row r="5">
      <x:c r="A5" s="16" t="str">
        <x:v>Exact cell credits</x:v>
      </x:c>
      <x:c r="B5" s="16" t="n">
        <x:f>COUNTIFS('Cell Map'!K6:K17,"CREDIT")</x:f>
        <x:v>0</x:v>
      </x:c>
      <x:c r="C5" s="16"/>
      <x:c r="D5" s="16"/>
      <x:c r="E5" s="16"/>
      <x:c r="F5" s="16"/>
      <x:c r="G5" s="16"/>
      <x:c r="H5" s="51"/>
    </x:row>
    <x:row r="6">
      <x:c r="A6" s="16" t="str">
        <x:v>Source-account state</x:v>
      </x:c>
      <x:c r="B6" s="16" t="str">
        <x:f>'Source Accounts'!B14</x:f>
        <x:v>OPEN</x:v>
      </x:c>
      <x:c r="C6" s="16"/>
      <x:c r="D6" s="16"/>
      <x:c r="E6" s="16"/>
      <x:c r="F6" s="16"/>
      <x:c r="G6" s="16"/>
      <x:c r="H6" s="51"/>
    </x:row>
    <x:row r="7">
      <x:c r="A7" s="16" t="str">
        <x:v>Accepted hierarchy decisions</x:v>
      </x:c>
      <x:c r="B7" s="16" t="n">
        <x:f>COUNTIFS(G11:G24,"ACCEPTED")</x:f>
        <x:v>0</x:v>
      </x:c>
      <x:c r="C7" s="16"/>
      <x:c r="D7" s="16"/>
      <x:c r="E7" s="16"/>
      <x:c r="F7" s="16"/>
      <x:c r="G7" s="16"/>
      <x:c r="H7" s="51"/>
    </x:row>
    <x:row r="8">
      <x:c r="A8" s="16" t="str">
        <x:v>Class state</x:v>
      </x:c>
      <x:c r="B8" s="16" t="str">
        <x:f>IF(OR(COUNTIFS('Cell Map'!K6:K17,"DENY")&gt;0,COUNTIFS(G11:G24,"DENY")&gt;0,'Source Accounts'!B14="DENY"),"NO-CLASS",IF(AND(B5=12,B6="ACCEPTED",B7=14),IF('Exchange Decision'!B6="QUALIFIED","CLASS-MODULAR",IF('Exchange Decision'!B6="DENIED","CLASS-FIXED","OPEN")),"OPEN"))</x:f>
        <x:v>OPEN</x:v>
      </x:c>
      <x:c r="C8" s="16"/>
      <x:c r="D8" s="16"/>
      <x:c r="E8" s="16"/>
      <x:c r="F8" s="16"/>
      <x:c r="G8" s="16"/>
      <x:c r="H8" s="51"/>
    </x:row>
    <x:row r="9">
      <x:c r="A9" s="16"/>
      <x:c r="B9" s="16"/>
      <x:c r="C9" s="16"/>
      <x:c r="D9" s="16"/>
      <x:c r="E9" s="16"/>
      <x:c r="F9" s="16"/>
      <x:c r="G9" s="16"/>
      <x:c r="H9" s="51"/>
    </x:row>
    <x:row r="10">
      <x:c r="A10" s="39" t="str">
        <x:v>Decision ID</x:v>
      </x:c>
      <x:c r="B10" s="40" t="str">
        <x:v>Level</x:v>
      </x:c>
      <x:c r="C10" s="40" t="str">
        <x:v>Scope</x:v>
      </x:c>
      <x:c r="D10" s="40" t="str">
        <x:v>Required records</x:v>
      </x:c>
      <x:c r="E10" s="40" t="str">
        <x:v>Scientific decision</x:v>
      </x:c>
      <x:c r="F10" s="40" t="str">
        <x:v>Authority</x:v>
      </x:c>
      <x:c r="G10" s="41" t="str">
        <x:v>State</x:v>
      </x:c>
      <x:c r="H10" s="51"/>
    </x:row>
    <x:row r="11">
      <x:c r="A11" s="16" t="str">
        <x:v>HD-R1</x:v>
      </x:c>
      <x:c r="B11" s="16" t="str">
        <x:v>RIG</x:v>
      </x:c>
      <x:c r="C11" s="16" t="str">
        <x:v>S0</x:v>
      </x:c>
      <x:c r="D11" s="16" t="str">
        <x:v>two cells, return, contrast</x:v>
      </x:c>
      <x:c r="E11" s="36"/>
      <x:c r="F11" s="36"/>
      <x:c r="G11" s="16" t="str">
        <x:f>IF(COUNTA(E11:F11)&lt;2,"OPEN",IF(AND(E11="PASS",F11="ACCEPTED"),"ACCEPTED","DENY"))</x:f>
        <x:v>OPEN</x:v>
      </x:c>
      <x:c r="H11" s="51"/>
    </x:row>
    <x:row r="12">
      <x:c r="A12" s="16" t="str">
        <x:v>HD-R2</x:v>
      </x:c>
      <x:c r="B12" s="16" t="str">
        <x:v>RIG</x:v>
      </x:c>
      <x:c r="C12" s="16" t="str">
        <x:v>S1</x:v>
      </x:c>
      <x:c r="D12" s="16" t="str">
        <x:v>two cells, return, contrast</x:v>
      </x:c>
      <x:c r="E12" s="36"/>
      <x:c r="F12" s="36"/>
      <x:c r="G12" s="16" t="str">
        <x:f>IF(COUNTA(E12:F12)&lt;2,"OPEN",IF(AND(E12="PASS",F12="ACCEPTED"),"ACCEPTED","DENY"))</x:f>
        <x:v>OPEN</x:v>
      </x:c>
      <x:c r="H12" s="51"/>
    </x:row>
    <x:row r="13">
      <x:c r="A13" s="16" t="str">
        <x:v>HD-R3</x:v>
      </x:c>
      <x:c r="B13" s="16" t="str">
        <x:v>RIG</x:v>
      </x:c>
      <x:c r="C13" s="16" t="str">
        <x:v>S2</x:v>
      </x:c>
      <x:c r="D13" s="16" t="str">
        <x:v>two cells, return, contrast</x:v>
      </x:c>
      <x:c r="E13" s="36"/>
      <x:c r="F13" s="36"/>
      <x:c r="G13" s="16" t="str">
        <x:f>IF(COUNTA(E13:F13)&lt;2,"OPEN",IF(AND(E13="PASS",F13="ACCEPTED"),"ACCEPTED","DENY"))</x:f>
        <x:v>OPEN</x:v>
      </x:c>
      <x:c r="H13" s="51"/>
    </x:row>
    <x:row r="14">
      <x:c r="A14" s="16" t="str">
        <x:v>HD-R4</x:v>
      </x:c>
      <x:c r="B14" s="16" t="str">
        <x:v>RIG</x:v>
      </x:c>
      <x:c r="C14" s="16" t="str">
        <x:v>S3</x:v>
      </x:c>
      <x:c r="D14" s="16" t="str">
        <x:v>two cells, return, contrast</x:v>
      </x:c>
      <x:c r="E14" s="36"/>
      <x:c r="F14" s="36"/>
      <x:c r="G14" s="16" t="str">
        <x:f>IF(COUNTA(E14:F14)&lt;2,"OPEN",IF(AND(E14="PASS",F14="ACCEPTED"),"ACCEPTED","DENY"))</x:f>
        <x:v>OPEN</x:v>
      </x:c>
      <x:c r="H14" s="51"/>
    </x:row>
    <x:row r="15">
      <x:c r="A15" s="16" t="str">
        <x:v>HD-R5</x:v>
      </x:c>
      <x:c r="B15" s="16" t="str">
        <x:v>RIG</x:v>
      </x:c>
      <x:c r="C15" s="16" t="str">
        <x:v>S4</x:v>
      </x:c>
      <x:c r="D15" s="16" t="str">
        <x:v>two cells, return, contrast</x:v>
      </x:c>
      <x:c r="E15" s="36"/>
      <x:c r="F15" s="36"/>
      <x:c r="G15" s="16" t="str">
        <x:f>IF(COUNTA(E15:F15)&lt;2,"OPEN",IF(AND(E15="PASS",F15="ACCEPTED"),"ACCEPTED","DENY"))</x:f>
        <x:v>OPEN</x:v>
      </x:c>
      <x:c r="H15" s="51"/>
    </x:row>
    <x:row r="16">
      <x:c r="A16" s="16" t="str">
        <x:v>HD-R6</x:v>
      </x:c>
      <x:c r="B16" s="16" t="str">
        <x:v>RIG</x:v>
      </x:c>
      <x:c r="C16" s="16" t="str">
        <x:v>S5</x:v>
      </x:c>
      <x:c r="D16" s="16" t="str">
        <x:v>two cells, return, contrast</x:v>
      </x:c>
      <x:c r="E16" s="36"/>
      <x:c r="F16" s="36"/>
      <x:c r="G16" s="16" t="str">
        <x:f>IF(COUNTA(E16:F16)&lt;2,"OPEN",IF(AND(E16="PASS",F16="ACCEPTED"),"ACCEPTED","DENY"))</x:f>
        <x:v>OPEN</x:v>
      </x:c>
      <x:c r="H16" s="51"/>
    </x:row>
    <x:row r="17">
      <x:c r="A17" s="16" t="str">
        <x:v>HD-C1</x:v>
      </x:c>
      <x:c r="B17" s="16" t="str">
        <x:v>CAMPUS</x:v>
      </x:c>
      <x:c r="C17" s="16" t="str">
        <x:v>C-1</x:v>
      </x:c>
      <x:c r="D17" s="16" t="str">
        <x:v>four cells and two rigs</x:v>
      </x:c>
      <x:c r="E17" s="36"/>
      <x:c r="F17" s="36"/>
      <x:c r="G17" s="16" t="str">
        <x:f>IF(COUNTA(E17:F17)&lt;2,"OPEN",IF(AND(E17="PASS",F17="ACCEPTED"),"ACCEPTED","DENY"))</x:f>
        <x:v>OPEN</x:v>
      </x:c>
      <x:c r="H17" s="51"/>
    </x:row>
    <x:row r="18">
      <x:c r="A18" s="16" t="str">
        <x:v>HD-C2</x:v>
      </x:c>
      <x:c r="B18" s="16" t="str">
        <x:v>CAMPUS</x:v>
      </x:c>
      <x:c r="C18" s="16" t="str">
        <x:v>C-2</x:v>
      </x:c>
      <x:c r="D18" s="16" t="str">
        <x:v>four cells and two rigs</x:v>
      </x:c>
      <x:c r="E18" s="36"/>
      <x:c r="F18" s="36"/>
      <x:c r="G18" s="16" t="str">
        <x:f>IF(COUNTA(E18:F18)&lt;2,"OPEN",IF(AND(E18="PASS",F18="ACCEPTED"),"ACCEPTED","DENY"))</x:f>
        <x:v>OPEN</x:v>
      </x:c>
      <x:c r="H18" s="51"/>
    </x:row>
    <x:row r="19">
      <x:c r="A19" s="16" t="str">
        <x:v>HD-C3</x:v>
      </x:c>
      <x:c r="B19" s="16" t="str">
        <x:v>CAMPUS</x:v>
      </x:c>
      <x:c r="C19" s="16" t="str">
        <x:v>C-3</x:v>
      </x:c>
      <x:c r="D19" s="16" t="str">
        <x:v>four cells and two rigs</x:v>
      </x:c>
      <x:c r="E19" s="36"/>
      <x:c r="F19" s="36"/>
      <x:c r="G19" s="16" t="str">
        <x:f>IF(COUNTA(E19:F19)&lt;2,"OPEN",IF(AND(E19="PASS",F19="ACCEPTED"),"ACCEPTED","DENY"))</x:f>
        <x:v>OPEN</x:v>
      </x:c>
      <x:c r="H19" s="51"/>
    </x:row>
    <x:row r="20">
      <x:c r="A20" s="16" t="str">
        <x:v>HD-TA</x:v>
      </x:c>
      <x:c r="B20" s="16" t="str">
        <x:v>TRUTH ROOT</x:v>
      </x:c>
      <x:c r="C20" s="16" t="str">
        <x:v>TR-A</x:v>
      </x:c>
      <x:c r="D20" s="16" t="str">
        <x:v>six exact cells</x:v>
      </x:c>
      <x:c r="E20" s="36"/>
      <x:c r="F20" s="36"/>
      <x:c r="G20" s="16" t="str">
        <x:f>IF(COUNTA(E20:F20)&lt;2,"OPEN",IF(AND(E20="PASS",F20="ACCEPTED"),"ACCEPTED","DENY"))</x:f>
        <x:v>OPEN</x:v>
      </x:c>
      <x:c r="H20" s="51"/>
    </x:row>
    <x:row r="21">
      <x:c r="A21" s="16" t="str">
        <x:v>HD-TB</x:v>
      </x:c>
      <x:c r="B21" s="16" t="str">
        <x:v>TRUTH ROOT</x:v>
      </x:c>
      <x:c r="C21" s="16" t="str">
        <x:v>TR-B</x:v>
      </x:c>
      <x:c r="D21" s="16" t="str">
        <x:v>six exact cells</x:v>
      </x:c>
      <x:c r="E21" s="36"/>
      <x:c r="F21" s="36"/>
      <x:c r="G21" s="16" t="str">
        <x:f>IF(COUNTA(E21:F21)&lt;2,"OPEN",IF(AND(E21="PASS",F21="ACCEPTED"),"ACCEPTED","DENY"))</x:f>
        <x:v>OPEN</x:v>
      </x:c>
      <x:c r="H21" s="51"/>
    </x:row>
    <x:row r="22">
      <x:c r="A22" s="16" t="str">
        <x:v>HD-BA</x:v>
      </x:c>
      <x:c r="B22" s="16" t="str">
        <x:v>BUILDER</x:v>
      </x:c>
      <x:c r="C22" s="16" t="str">
        <x:v>BL-A</x:v>
      </x:c>
      <x:c r="D22" s="16" t="str">
        <x:v>six exact cells</x:v>
      </x:c>
      <x:c r="E22" s="36"/>
      <x:c r="F22" s="36"/>
      <x:c r="G22" s="16" t="str">
        <x:f>IF(COUNTA(E22:F22)&lt;2,"OPEN",IF(AND(E22="PASS",F22="ACCEPTED"),"ACCEPTED","DENY"))</x:f>
        <x:v>OPEN</x:v>
      </x:c>
      <x:c r="H22" s="51"/>
    </x:row>
    <x:row r="23">
      <x:c r="A23" s="16" t="str">
        <x:v>HD-BB</x:v>
      </x:c>
      <x:c r="B23" s="16" t="str">
        <x:v>BUILDER</x:v>
      </x:c>
      <x:c r="C23" s="16" t="str">
        <x:v>BL-B</x:v>
      </x:c>
      <x:c r="D23" s="16" t="str">
        <x:v>six exact cells</x:v>
      </x:c>
      <x:c r="E23" s="36"/>
      <x:c r="F23" s="36"/>
      <x:c r="G23" s="16" t="str">
        <x:f>IF(COUNTA(E23:F23)&lt;2,"OPEN",IF(AND(E23="PASS",F23="ACCEPTED"),"ACCEPTED","DENY"))</x:f>
        <x:v>OPEN</x:v>
      </x:c>
      <x:c r="H23" s="51"/>
    </x:row>
    <x:row r="24">
      <x:c r="A24" s="16" t="str">
        <x:v>HD-AM05</x:v>
      </x:c>
      <x:c r="B24" s="16" t="str">
        <x:v>TREATMENT</x:v>
      </x:c>
      <x:c r="C24" s="16" t="str">
        <x:v>AM-05 QE-04</x:v>
      </x:c>
      <x:c r="D24" s="16" t="str">
        <x:v>twelve cells and fixed accounts</x:v>
      </x:c>
      <x:c r="E24" s="36"/>
      <x:c r="F24" s="36"/>
      <x:c r="G24" s="16" t="str">
        <x:f>IF(COUNTA(E24:F24)&lt;2,"OPEN",IF(AND(E24="PASS",F24="ACCEPTED"),"ACCEPTED","DENY"))</x:f>
        <x:v>OPEN</x:v>
      </x:c>
      <x:c r="H24" s="51"/>
    </x:row>
  </x:sheetData>
  <x:mergeCells>
    <x:mergeCell ref="A2:H2"/>
  </x:mergeCells>
  <x:conditionalFormatting sqref="B8:G24">
    <x:cfRule type="containsText" dxfId="65" priority="1" operator="containsText" text="DENY"/>
    <x:cfRule type="containsText" dxfId="66" priority="2" operator="containsText" text="ADVERSE"/>
    <x:cfRule type="containsText" dxfId="67" priority="3" operator="containsText" text="FAIL"/>
    <x:cfRule type="containsText" dxfId="68" priority="4" operator="containsText" text="REQUIRED"/>
    <x:cfRule type="containsText" dxfId="69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fef8c24100c348ab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2" hidden="0" customWidth="1"/>
  </x:cols>
  <x:sheetData>
    <x:row r="2" ht="26" customHeight="1">
      <x:c r="A2" s="2" t="str">
        <x:v>Class evidence capacity</x:v>
      </x:c>
      <x:c r="B2" s="2" t="str">
        <x:v>Class evidence capacity</x:v>
      </x:c>
      <x:c r="C2" s="2" t="str">
        <x:v>Class evidence capacity</x:v>
      </x:c>
      <x:c r="D2" s="2" t="str">
        <x:v>Class evidence capacity</x:v>
      </x:c>
      <x:c r="E2" s="2" t="str">
        <x:v>Class evidence capacity</x:v>
      </x:c>
      <x:c r="F2" s="2" t="str">
        <x:v>Class evidence capacity</x:v>
      </x:c>
    </x:row>
    <x:row r="3">
      <x:c r="A3" s="50"/>
      <x:c r="B3" s="50"/>
      <x:c r="C3" s="50"/>
      <x:c r="D3" s="50"/>
      <x:c r="E3" s="50"/>
      <x:c r="F3" s="50"/>
    </x:row>
    <x:row r="4">
      <x:c r="A4" s="51"/>
      <x:c r="B4" s="51"/>
      <x:c r="C4" s="51"/>
      <x:c r="D4" s="51"/>
      <x:c r="E4" s="51"/>
      <x:c r="F4" s="51"/>
    </x:row>
    <x:row r="5">
      <x:c r="A5" s="32" t="str">
        <x:v>Metric</x:v>
      </x:c>
      <x:c r="B5" s="34" t="str">
        <x:v>Value</x:v>
      </x:c>
      <x:c r="C5" s="51"/>
      <x:c r="D5" s="51"/>
      <x:c r="E5" s="51"/>
      <x:c r="F5" s="51"/>
    </x:row>
    <x:row r="6">
      <x:c r="A6" s="16" t="str">
        <x:v>Native per attempt GB</x:v>
      </x:c>
      <x:c r="B6" s="18" t="n">
        <x:f>'Assumptions'!B27</x:f>
        <x:v>381.527713728</x:v>
      </x:c>
      <x:c r="C6" s="51"/>
      <x:c r="D6" s="51"/>
      <x:c r="E6" s="51"/>
      <x:c r="F6" s="51"/>
    </x:row>
    <x:row r="7">
      <x:c r="A7" s="16" t="str">
        <x:v>Governed per attempt GB</x:v>
      </x:c>
      <x:c r="B7" s="18" t="n">
        <x:f>'Assumptions'!B28</x:f>
        <x:v>495.9860278464</x:v>
      </x:c>
      <x:c r="C7" s="51"/>
      <x:c r="D7" s="51"/>
      <x:c r="E7" s="51"/>
      <x:c r="F7" s="51"/>
    </x:row>
    <x:row r="8">
      <x:c r="A8" s="16" t="str">
        <x:v>Required attempts</x:v>
      </x:c>
      <x:c r="B8" s="18" t="n">
        <x:f>12</x:f>
        <x:v>12</x:v>
      </x:c>
      <x:c r="C8" s="51"/>
      <x:c r="D8" s="51"/>
      <x:c r="E8" s="51"/>
      <x:c r="F8" s="51"/>
    </x:row>
    <x:row r="9">
      <x:c r="A9" s="16" t="str">
        <x:v>Required native GB</x:v>
      </x:c>
      <x:c r="B9" s="18" t="n">
        <x:f>B6*B8</x:f>
        <x:v>4578.332564736</x:v>
      </x:c>
      <x:c r="C9" s="51"/>
      <x:c r="D9" s="51"/>
      <x:c r="E9" s="51"/>
      <x:c r="F9" s="51"/>
    </x:row>
    <x:row r="10">
      <x:c r="A10" s="16" t="str">
        <x:v>Required governed GB</x:v>
      </x:c>
      <x:c r="B10" s="18" t="n">
        <x:f>B7*B8</x:f>
        <x:v>5951.8323341568</x:v>
      </x:c>
      <x:c r="C10" s="51"/>
      <x:c r="D10" s="51"/>
      <x:c r="E10" s="51"/>
      <x:c r="F10" s="51"/>
    </x:row>
    <x:row r="11">
      <x:c r="A11" s="16" t="str">
        <x:v>Maximum attempts</x:v>
      </x:c>
      <x:c r="B11" s="18" t="n">
        <x:f>28</x:f>
        <x:v>28</x:v>
      </x:c>
      <x:c r="C11" s="51"/>
      <x:c r="D11" s="51"/>
      <x:c r="E11" s="51"/>
      <x:c r="F11" s="51"/>
    </x:row>
    <x:row r="12">
      <x:c r="A12" s="16" t="str">
        <x:v>Maximum native GB</x:v>
      </x:c>
      <x:c r="B12" s="18" t="n">
        <x:f>B6*B11</x:f>
        <x:v>10682.775984384</x:v>
      </x:c>
      <x:c r="C12" s="51"/>
      <x:c r="D12" s="51"/>
      <x:c r="E12" s="51"/>
      <x:c r="F12" s="51"/>
    </x:row>
    <x:row r="13">
      <x:c r="A13" s="16" t="str">
        <x:v>Maximum governed GB</x:v>
      </x:c>
      <x:c r="B13" s="18" t="n">
        <x:f>B7*B11</x:f>
        <x:v>13887.6087796992</x:v>
      </x:c>
      <x:c r="C13" s="51"/>
      <x:c r="D13" s="51"/>
      <x:c r="E13" s="51"/>
      <x:c r="F13" s="51"/>
    </x:row>
    <x:row r="14">
      <x:c r="A14" s="16"/>
      <x:c r="B14" s="18"/>
      <x:c r="C14" s="51"/>
      <x:c r="D14" s="51"/>
      <x:c r="E14" s="51"/>
      <x:c r="F14" s="51"/>
    </x:row>
    <x:row r="15">
      <x:c r="A15" s="16" t="str">
        <x:v>Provisioned capacity GB</x:v>
      </x:c>
      <x:c r="B15" s="18" t="n">
        <x:v>18000</x:v>
      </x:c>
      <x:c r="C15" s="51"/>
      <x:c r="D15" s="51"/>
      <x:c r="E15" s="51"/>
      <x:c r="F15" s="51"/>
    </x:row>
    <x:row r="16">
      <x:c r="A16" s="16" t="str">
        <x:v>Capacity margin GB</x:v>
      </x:c>
      <x:c r="B16" s="18" t="n">
        <x:f>B15-B13</x:f>
        <x:v>4112.3912203008</x:v>
      </x:c>
      <x:c r="C16" s="51"/>
      <x:c r="D16" s="51"/>
      <x:c r="E16" s="51"/>
      <x:c r="F16" s="51"/>
    </x:row>
    <x:row r="17">
      <x:c r="A17" s="16" t="str">
        <x:v>Provision state</x:v>
      </x:c>
      <x:c r="B17" s="18" t="str">
        <x:f>IF(B16&gt;=0,"CLOSES","DENY")</x:f>
        <x:v>CLOSES</x:v>
      </x:c>
      <x:c r="C17" s="51"/>
      <x:c r="D17" s="51"/>
      <x:c r="E17" s="51"/>
      <x:c r="F17" s="51"/>
    </x:row>
  </x:sheetData>
  <x:mergeCells>
    <x:mergeCell ref="A2:F2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8" hidden="0" customWidth="1"/>
    <x:col min="2" max="2" width="15" hidden="0" customWidth="1"/>
    <x:col min="3" max="3" width="34" hidden="0" customWidth="1"/>
    <x:col min="4" max="4" width="18" hidden="0" customWidth="1"/>
    <x:col min="5" max="5" width="15" hidden="0" customWidth="1"/>
  </x:cols>
  <x:sheetData>
    <x:row r="2" ht="26" customHeight="1">
      <x:c r="A2" s="2" t="str">
        <x:v>RBF-1 public formation</x:v>
      </x:c>
      <x:c r="B2" s="2" t="str">
        <x:v>RBF-1 public formation</x:v>
      </x:c>
      <x:c r="C2" s="2" t="str">
        <x:v>RBF-1 public formation</x:v>
      </x:c>
      <x:c r="D2" s="2" t="str">
        <x:v>RBF-1 public formation</x:v>
      </x:c>
      <x:c r="E2" s="2" t="str">
        <x:v>RBF-1 public formation</x:v>
      </x:c>
    </x:row>
    <x:row r="3">
      <x:c r="A3" s="50"/>
      <x:c r="B3" s="50"/>
      <x:c r="C3" s="50"/>
      <x:c r="D3" s="50"/>
      <x:c r="E3" s="50"/>
    </x:row>
    <x:row r="4">
      <x:c r="A4" s="51"/>
      <x:c r="B4" s="51"/>
      <x:c r="C4" s="51"/>
      <x:c r="D4" s="51"/>
      <x:c r="E4" s="51"/>
    </x:row>
    <x:row r="5">
      <x:c r="A5" s="32" t="str">
        <x:v>Function</x:v>
      </x:c>
      <x:c r="B5" s="33" t="str">
        <x:v>Positions</x:v>
      </x:c>
      <x:c r="C5" s="33" t="str">
        <x:v>Owned capacity</x:v>
      </x:c>
      <x:c r="D5" s="33" t="str">
        <x:v>RAS-1 positions</x:v>
      </x:c>
      <x:c r="E5" s="34" t="str">
        <x:v>Increment</x:v>
      </x:c>
    </x:row>
    <x:row r="6">
      <x:c r="A6" s="16" t="str">
        <x:v>Three complete campus event units</x:v>
      </x:c>
      <x:c r="B6" s="16" t="n">
        <x:v>192</x:v>
      </x:c>
      <x:c r="C6" s="16" t="str">
        <x:v>three starts per week</x:v>
      </x:c>
      <x:c r="D6" s="16" t="n">
        <x:v>512</x:v>
      </x:c>
      <x:c r="E6" s="16" t="n">
        <x:f>MAX(0,SUM($B$6:B6)-D6)</x:f>
        <x:v>0</x:v>
      </x:c>
    </x:row>
    <x:row r="7">
      <x:c r="A7" s="16" t="str">
        <x:v>Twelve module-return lanes</x:v>
      </x:c>
      <x:c r="B7" s="16" t="n">
        <x:v>120</x:v>
      </x:c>
      <x:c r="C7" s="16" t="str">
        <x:v>twelve concurrent returns</x:v>
      </x:c>
      <x:c r="D7" s="16" t="n">
        <x:v>512</x:v>
      </x:c>
      <x:c r="E7" s="16" t="n">
        <x:f>MAX(0,SUM($B$6:B7)-D7)</x:f>
        <x:v>0</x:v>
      </x:c>
    </x:row>
    <x:row r="8">
      <x:c r="A8" s="16" t="str">
        <x:v>Module exchange, rebaseline and spare custody</x:v>
      </x:c>
      <x:c r="B8" s="16" t="n">
        <x:v>48</x:v>
      </x:c>
      <x:c r="C8" s="16" t="str">
        <x:v>seventy-two trials</x:v>
      </x:c>
      <x:c r="D8" s="16" t="n">
        <x:v>512</x:v>
      </x:c>
      <x:c r="E8" s="16" t="n">
        <x:f>MAX(0,SUM($B$6:B8)-D8)</x:f>
        <x:v>0</x:v>
      </x:c>
    </x:row>
    <x:row r="9">
      <x:c r="A9" s="16" t="str">
        <x:v>Source bank and three preparation laboratories</x:v>
      </x:c>
      <x:c r="B9" s="16" t="n">
        <x:v>60</x:v>
      </x:c>
      <x:c r="C9" s="16" t="str">
        <x:v>three packages per week</x:v>
      </x:c>
      <x:c r="D9" s="16" t="n">
        <x:v>512</x:v>
      </x:c>
      <x:c r="E9" s="16" t="n">
        <x:f>MAX(0,SUM($B$6:B9)-D9)</x:f>
        <x:v>0</x:v>
      </x:c>
    </x:row>
    <x:row r="10">
      <x:c r="A10" s="16" t="str">
        <x:v>Evidence and outside-origin replay</x:v>
      </x:c>
      <x:c r="B10" s="16" t="n">
        <x:v>48</x:v>
      </x:c>
      <x:c r="C10" s="16" t="str">
        <x:v>three live paths</x:v>
      </x:c>
      <x:c r="D10" s="16" t="n">
        <x:v>512</x:v>
      </x:c>
      <x:c r="E10" s="16" t="n">
        <x:f>MAX(0,SUM($B$6:B10)-D10)</x:f>
        <x:v>0</x:v>
      </x:c>
    </x:row>
    <x:row r="11">
      <x:c r="A11" s="16" t="str">
        <x:v>Environmental, waste and physical archive</x:v>
      </x:c>
      <x:c r="B11" s="16" t="n">
        <x:v>36</x:v>
      </x:c>
      <x:c r="C11" s="16" t="str">
        <x:v>terminal custody</x:v>
      </x:c>
      <x:c r="D11" s="16" t="n">
        <x:v>512</x:v>
      </x:c>
      <x:c r="E11" s="16" t="n">
        <x:f>MAX(0,SUM($B$6:B11)-D11)</x:f>
        <x:v>0</x:v>
      </x:c>
    </x:row>
    <x:row r="12">
      <x:c r="A12" s="16" t="str">
        <x:v>Safety, validity, source, schedule and command</x:v>
      </x:c>
      <x:c r="B12" s="16" t="n">
        <x:v>56</x:v>
      </x:c>
      <x:c r="C12" s="16" t="str">
        <x:v>independent authority</x:v>
      </x:c>
      <x:c r="D12" s="16" t="n">
        <x:v>512</x:v>
      </x:c>
      <x:c r="E12" s="16" t="n">
        <x:f>MAX(0,SUM($B$6:B12)-D12)</x:f>
        <x:v>48</x:v>
      </x:c>
    </x:row>
    <x:row r="13">
      <x:c r="A13" s="16"/>
      <x:c r="B13" s="16"/>
      <x:c r="C13" s="16"/>
      <x:c r="D13" s="16"/>
      <x:c r="E13" s="16"/>
    </x:row>
    <x:row r="14">
      <x:c r="A14" s="16" t="str">
        <x:v>Total positions</x:v>
      </x:c>
      <x:c r="B14" s="16" t="n">
        <x:f>SUM(B6:B12)</x:f>
        <x:v>560</x:v>
      </x:c>
      <x:c r="C14" s="16"/>
      <x:c r="D14" s="16"/>
      <x:c r="E14" s="16"/>
    </x:row>
    <x:row r="15">
      <x:c r="A15" s="16" t="str">
        <x:v>Current RAS-1 positions</x:v>
      </x:c>
      <x:c r="B15" s="16" t="n">
        <x:v>512</x:v>
      </x:c>
      <x:c r="C15" s="16"/>
      <x:c r="D15" s="16"/>
      <x:c r="E15" s="16"/>
    </x:row>
    <x:row r="16">
      <x:c r="A16" s="16" t="str">
        <x:v>Required increment</x:v>
      </x:c>
      <x:c r="B16" s="16" t="n">
        <x:f>B14-B15</x:f>
        <x:v>48</x:v>
      </x:c>
      <x:c r="C16" s="16"/>
      <x:c r="D16" s="16"/>
      <x:c r="E16" s="16"/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a2626772e20742e3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4" hidden="0" customWidth="1"/>
    <x:col min="3" max="3" width="42" hidden="0" customWidth="1"/>
    <x:col min="4" max="4" width="24" hidden="0" customWidth="1"/>
    <x:col min="5" max="5" width="28" hidden="0" customWidth="1"/>
  </x:cols>
  <x:sheetData>
    <x:row r="2" ht="26" customHeight="1">
      <x:c r="A2" s="2" t="str">
        <x:v>Mission-led technology portfolio</x:v>
      </x:c>
      <x:c r="B2" s="2" t="str">
        <x:v>Mission-led technology portfolio</x:v>
      </x:c>
      <x:c r="C2" s="2" t="str">
        <x:v>Mission-led technology portfolio</x:v>
      </x:c>
      <x:c r="D2" s="2" t="str">
        <x:v>Mission-led technology portfolio</x:v>
      </x:c>
      <x:c r="E2" s="2" t="str">
        <x:v>Mission-led technology portfolio</x:v>
      </x:c>
    </x:row>
    <x:row r="3">
      <x:c r="A3" s="50"/>
      <x:c r="B3" s="50"/>
      <x:c r="C3" s="50"/>
      <x:c r="D3" s="50"/>
      <x:c r="E3" s="50"/>
    </x:row>
    <x:row r="4">
      <x:c r="A4" s="51"/>
      <x:c r="B4" s="51"/>
      <x:c r="C4" s="51"/>
      <x:c r="D4" s="51"/>
      <x:c r="E4" s="51"/>
    </x:row>
    <x:row r="5">
      <x:c r="A5" s="32" t="str">
        <x:v>Program</x:v>
      </x:c>
      <x:c r="B5" s="33" t="str">
        <x:v>USD M</x:v>
      </x:c>
      <x:c r="C5" s="33" t="str">
        <x:v>Required advance</x:v>
      </x:c>
      <x:c r="D5" s="33" t="str">
        <x:v>Current-class use</x:v>
      </x:c>
      <x:c r="E5" s="34" t="str">
        <x:v>Credit rule</x:v>
      </x:c>
    </x:row>
    <x:row r="6">
      <x:c r="A6" s="16" t="str">
        <x:v>Robotic source-contact exchange</x:v>
      </x:c>
      <x:c r="B6" s="16" t="n">
        <x:v>24</x:v>
      </x:c>
      <x:c r="C6" s="16" t="str">
        <x:v>complete wet-module handling</x:v>
      </x:c>
      <x:c r="D6" s="16" t="str">
        <x:v>exchange execution</x:v>
      </x:c>
      <x:c r="E6" s="16" t="str">
        <x:v>cannot shorten clocks</x:v>
      </x:c>
    </x:row>
    <x:row r="7">
      <x:c r="A7" s="16" t="str">
        <x:v>Self-verifying rapid connectors</x:v>
      </x:c>
      <x:c r="B7" s="16" t="n">
        <x:v>20</x:v>
      </x:c>
      <x:c r="C7" s="16" t="str">
        <x:v>geometry, seal and isolation truth</x:v>
      </x:c>
      <x:c r="D7" s="16" t="str">
        <x:v>MX-1 through MX-6</x:v>
      </x:c>
      <x:c r="E7" s="16" t="str">
        <x:v>physical evidence required</x:v>
      </x:c>
    </x:row>
    <x:row r="8">
      <x:c r="A8" s="16" t="str">
        <x:v>Receiver de-inventory</x:v>
      </x:c>
      <x:c r="B8" s="16" t="n">
        <x:v>18</x:v>
      </x:c>
      <x:c r="C8" s="16" t="str">
        <x:v>trapped-volume control</x:v>
      </x:c>
      <x:c r="D8" s="16" t="str">
        <x:v>return</x:v>
      </x:c>
      <x:c r="E8" s="16" t="str">
        <x:v>no assumed recovery</x:v>
      </x:c>
    </x:row>
    <x:row r="9">
      <x:c r="A9" s="16" t="str">
        <x:v>Delayed-residue tomography</x:v>
      </x:c>
      <x:c r="B9" s="16" t="n">
        <x:v>18</x:v>
      </x:c>
      <x:c r="C9" s="16" t="str">
        <x:v>day-28 retained-source observation</x:v>
      </x:c>
      <x:c r="D9" s="16" t="str">
        <x:v>return</x:v>
      </x:c>
      <x:c r="E9" s="16" t="str">
        <x:v>measured state only</x:v>
      </x:c>
    </x:row>
    <x:row r="10">
      <x:c r="A10" s="16" t="str">
        <x:v>Distributed transient witness</x:v>
      </x:c>
      <x:c r="B10" s="16" t="n">
        <x:v>16</x:v>
      </x:c>
      <x:c r="C10" s="16" t="str">
        <x:v>local causal state after service loss</x:v>
      </x:c>
      <x:c r="D10" s="16" t="str">
        <x:v>event evidence</x:v>
      </x:c>
      <x:c r="E10" s="16" t="str">
        <x:v>independent originals</x:v>
      </x:c>
    </x:row>
    <x:row r="11">
      <x:c r="A11" s="16" t="str">
        <x:v>Ancestry-preserving surfaces</x:v>
      </x:c>
      <x:c r="B11" s="16" t="n">
        <x:v>14</x:v>
      </x:c>
      <x:c r="C11" s="16" t="str">
        <x:v>low retention with origin truth</x:v>
      </x:c>
      <x:c r="D11" s="16" t="str">
        <x:v>event and exchange</x:v>
      </x:c>
      <x:c r="E11" s="16" t="str">
        <x:v>no prior reduction credit</x:v>
      </x:c>
    </x:row>
    <x:row r="12">
      <x:c r="A12" s="16" t="str">
        <x:v>Local fault-safe exchange control</x:v>
      </x:c>
      <x:c r="B12" s="16" t="n">
        <x:v>14</x:v>
      </x:c>
      <x:c r="C12" s="16" t="str">
        <x:v>interrupted-installation isolation</x:v>
      </x:c>
      <x:c r="D12" s="16" t="str">
        <x:v>rollback</x:v>
      </x:c>
      <x:c r="E12" s="16" t="str">
        <x:v>passive last state</x:v>
      </x:c>
    </x:row>
    <x:row r="13">
      <x:c r="A13" s="16" t="str">
        <x:v>Identity-constrained schedule compiler</x:v>
      </x:c>
      <x:c r="B13" s="16" t="n">
        <x:v>10</x:v>
      </x:c>
      <x:c r="C13" s="16" t="str">
        <x:v>host, module, package and authority join</x:v>
      </x:c>
      <x:c r="D13" s="16" t="str">
        <x:v>actual sequence</x:v>
      </x:c>
      <x:c r="E13" s="16" t="str">
        <x:v>cannot relax identity</x:v>
      </x:c>
    </x:row>
    <x:row r="14">
      <x:c r="A14" s="16" t="str">
        <x:v>Portable outside-origin replay</x:v>
      </x:c>
      <x:c r="B14" s="16" t="n">
        <x:v>8</x:v>
      </x:c>
      <x:c r="C14" s="16" t="str">
        <x:v>service-independent reconstruction</x:v>
      </x:c>
      <x:c r="D14" s="16" t="str">
        <x:v>transfer</x:v>
      </x:c>
      <x:c r="E14" s="16" t="str">
        <x:v>origin answer prohibited</x:v>
      </x:c>
    </x:row>
    <x:row r="15">
      <x:c r="A15" s="16" t="str">
        <x:v>Robotic waste characterization</x:v>
      </x:c>
      <x:c r="B15" s="16" t="n">
        <x:v>8</x:v>
      </x:c>
      <x:c r="C15" s="16" t="str">
        <x:v>source and location assignment</x:v>
      </x:c>
      <x:c r="D15" s="16" t="str">
        <x:v>custody</x:v>
      </x:c>
      <x:c r="E15" s="16" t="str">
        <x:v>physical samples retained</x:v>
      </x:c>
    </x:row>
    <x:row r="16">
      <x:c r="A16" s="16" t="str">
        <x:v>Executable class safety record</x:v>
      </x:c>
      <x:c r="B16" s="16" t="n">
        <x:v>6</x:v>
      </x:c>
      <x:c r="C16" s="16" t="str">
        <x:v>attempt, exchange and limit compiler</x:v>
      </x:c>
      <x:c r="D16" s="16" t="str">
        <x:v>final review</x:v>
      </x:c>
      <x:c r="E16" s="16" t="str">
        <x:v>no opaque scoring</x:v>
      </x:c>
    </x:row>
    <x:row r="17">
      <x:c r="A17" s="16" t="str">
        <x:v>Exchange human factors</x:v>
      </x:c>
      <x:c r="B17" s="16" t="n">
        <x:v>4</x:v>
      </x:c>
      <x:c r="C17" s="16" t="str">
        <x:v>error control in degraded installation</x:v>
      </x:c>
      <x:c r="D17" s="16" t="str">
        <x:v>training</x:v>
      </x:c>
      <x:c r="E17" s="16" t="str">
        <x:v>no substitute for proof</x:v>
      </x:c>
    </x:row>
    <x:row r="18">
      <x:c r="A18" s="16"/>
      <x:c r="B18" s="16"/>
      <x:c r="C18" s="16"/>
      <x:c r="D18" s="16"/>
      <x:c r="E18" s="16"/>
    </x:row>
    <x:row r="19">
      <x:c r="A19" s="16" t="str">
        <x:v>Total technology USD M</x:v>
      </x:c>
      <x:c r="B19" s="16" t="n">
        <x:f>SUM(B6:B17)</x:f>
        <x:v>160</x:v>
      </x:c>
      <x:c r="C19" s="16"/>
      <x:c r="D19" s="16"/>
      <x:c r="E19" s="16"/>
    </x:row>
  </x:sheetData>
  <x:mergeCells>
    <x:mergeCell ref="A2:E2"/>
  </x:mergeCells>
  <x:pageMargins left="0.7" right="0.7" top="0.75" bottom="0.75" header="0.3" footer="0.3"/>
  <x:tableParts count="1">
    <x:tablePart xmlns:r="http://schemas.openxmlformats.org/officeDocument/2006/relationships" r:id="R3ad2bcc093d840c7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20" hidden="0" customWidth="1"/>
    <x:col min="3" max="3" width="3" hidden="0" customWidth="1"/>
    <x:col min="4" max="4" width="34" hidden="0" customWidth="1"/>
    <x:col min="5" max="5" width="15" hidden="0" customWidth="1"/>
    <x:col min="6" max="6" width="3" hidden="0" customWidth="1"/>
    <x:col min="7" max="7" width="31" hidden="0" customWidth="1"/>
    <x:col min="8" max="8" width="15" hidden="0" customWidth="1"/>
  </x:cols>
  <x:sheetData>
    <x:row r="2" ht="26" customHeight="1">
      <x:c r="A2" s="2" t="str">
        <x:v>RAS-2R baseline amendment</x:v>
      </x:c>
      <x:c r="B2" s="2" t="str">
        <x:v>RAS-2R baseline amendment</x:v>
      </x:c>
      <x:c r="C2" s="2" t="str">
        <x:v>RAS-2R baseline amendment</x:v>
      </x:c>
      <x:c r="D2" s="2" t="str">
        <x:v>RAS-2R baseline amendment</x:v>
      </x:c>
      <x:c r="E2" s="2" t="str">
        <x:v>RAS-2R baseline amendment</x:v>
      </x:c>
      <x:c r="F2" s="2" t="str">
        <x:v>RAS-2R baseline amendment</x:v>
      </x:c>
      <x:c r="G2" s="2" t="str">
        <x:v>RAS-2R baseline amendment</x:v>
      </x:c>
      <x:c r="H2" s="2" t="str">
        <x:v>RAS-2R baseline amendment</x:v>
      </x:c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51"/>
      <x:c r="B4" s="51"/>
      <x:c r="C4" s="51"/>
      <x:c r="D4" s="51"/>
      <x:c r="E4" s="51"/>
      <x:c r="F4" s="51"/>
      <x:c r="G4" s="51"/>
      <x:c r="H4" s="51"/>
    </x:row>
    <x:row r="5">
      <x:c r="A5" s="32" t="str">
        <x:v>Metric</x:v>
      </x:c>
      <x:c r="B5" s="34" t="str">
        <x:v>Value</x:v>
      </x:c>
      <x:c r="C5" s="51"/>
      <x:c r="D5" s="12" t="str">
        <x:v>Capital allocation USD M</x:v>
      </x:c>
      <x:c r="E5" s="13" t="str">
        <x:v>Capital allocation USD M</x:v>
      </x:c>
      <x:c r="F5" s="13" t="str">
        <x:v>Capital allocation USD M</x:v>
      </x:c>
      <x:c r="G5" s="12" t="str">
        <x:v>Annual support USD M</x:v>
      </x:c>
      <x:c r="H5" s="14" t="str">
        <x:v>Annual support USD M</x:v>
      </x:c>
    </x:row>
    <x:row r="6">
      <x:c r="A6" s="16" t="str">
        <x:v>Current parent capital USD M</x:v>
      </x:c>
      <x:c r="B6" s="46" t="n">
        <x:f>'Assumptions'!B31</x:f>
        <x:v>620</x:v>
      </x:c>
      <x:c r="C6" s="16"/>
      <x:c r="D6" s="16" t="str">
        <x:v>Source-contact modules</x:v>
      </x:c>
      <x:c r="E6" s="46" t="n">
        <x:v>54</x:v>
      </x:c>
      <x:c r="F6" s="16"/>
      <x:c r="G6" s="16" t="str">
        <x:v>Campus event units</x:v>
      </x:c>
      <x:c r="H6" s="46" t="n">
        <x:v>6</x:v>
      </x:c>
    </x:row>
    <x:row r="7">
      <x:c r="A7" s="16" t="str">
        <x:v>RBF capital increment USD M</x:v>
      </x:c>
      <x:c r="B7" s="46" t="n">
        <x:f>'Assumptions'!B32</x:f>
        <x:v>180</x:v>
      </x:c>
      <x:c r="C7" s="16"/>
      <x:c r="D7" s="16" t="str">
        <x:v>Module-return lanes</x:v>
      </x:c>
      <x:c r="E7" s="46" t="n">
        <x:v>30</x:v>
      </x:c>
      <x:c r="F7" s="16"/>
      <x:c r="G7" s="16" t="str">
        <x:v>Module return and exchange</x:v>
      </x:c>
      <x:c r="H7" s="46" t="n">
        <x:v>8</x:v>
      </x:c>
    </x:row>
    <x:row r="8">
      <x:c r="A8" s="16" t="str">
        <x:v>Current annual support USD M</x:v>
      </x:c>
      <x:c r="B8" s="46" t="n">
        <x:f>'Assumptions'!B33</x:f>
        <x:v>235</x:v>
      </x:c>
      <x:c r="C8" s="16"/>
      <x:c r="D8" s="16" t="str">
        <x:v>Event-unit conversions</x:v>
      </x:c>
      <x:c r="E8" s="46" t="n">
        <x:v>18</x:v>
      </x:c>
      <x:c r="F8" s="16"/>
      <x:c r="G8" s="16" t="str">
        <x:v>Source custody</x:v>
      </x:c>
      <x:c r="H8" s="46" t="n">
        <x:v>4</x:v>
      </x:c>
    </x:row>
    <x:row r="9">
      <x:c r="A9" s="16" t="str">
        <x:v>RBF annual support increment USD M</x:v>
      </x:c>
      <x:c r="B9" s="46" t="n">
        <x:f>'Assumptions'!B34</x:f>
        <x:v>28</x:v>
      </x:c>
      <x:c r="C9" s="16"/>
      <x:c r="D9" s="16" t="str">
        <x:v>Exchange fixtures</x:v>
      </x:c>
      <x:c r="E9" s="46" t="n">
        <x:v>16</x:v>
      </x:c>
      <x:c r="F9" s="16"/>
      <x:c r="G9" s="16" t="str">
        <x:v>Evidence and replay</x:v>
      </x:c>
      <x:c r="H9" s="46" t="n">
        <x:v>3</x:v>
      </x:c>
    </x:row>
    <x:row r="10">
      <x:c r="A10" s="16" t="str">
        <x:v>Current technology USD M</x:v>
      </x:c>
      <x:c r="B10" s="46" t="n">
        <x:f>'Assumptions'!B35</x:f>
        <x:v>1005</x:v>
      </x:c>
      <x:c r="C10" s="16"/>
      <x:c r="D10" s="16" t="str">
        <x:v>Evidence and replay</x:v>
      </x:c>
      <x:c r="E10" s="46" t="n">
        <x:v>12</x:v>
      </x:c>
      <x:c r="F10" s="16"/>
      <x:c r="G10" s="16" t="str">
        <x:v>Metrology</x:v>
      </x:c>
      <x:c r="H10" s="46" t="n">
        <x:v>2</x:v>
      </x:c>
    </x:row>
    <x:row r="11">
      <x:c r="A11" s="16" t="str">
        <x:v>RBF technology increment USD M</x:v>
      </x:c>
      <x:c r="B11" s="46" t="n">
        <x:f>'Assumptions'!B36</x:f>
        <x:v>160</x:v>
      </x:c>
      <x:c r="C11" s="16"/>
      <x:c r="D11" s="16" t="str">
        <x:v>Source laboratories</x:v>
      </x:c>
      <x:c r="E11" s="46" t="n">
        <x:v>12</x:v>
      </x:c>
      <x:c r="F11" s="16"/>
      <x:c r="G11" s="16" t="str">
        <x:v>Environment and waste</x:v>
      </x:c>
      <x:c r="H11" s="46" t="n">
        <x:v>2</x:v>
      </x:c>
    </x:row>
    <x:row r="12">
      <x:c r="A12" s="16" t="str">
        <x:v>Revised parent capital USD M</x:v>
      </x:c>
      <x:c r="B12" s="46" t="n">
        <x:f>B6+B7</x:f>
        <x:v>800</x:v>
      </x:c>
      <x:c r="C12" s="16"/>
      <x:c r="D12" s="16" t="str">
        <x:v>Safeing and metrology</x:v>
      </x:c>
      <x:c r="E12" s="46" t="n">
        <x:v>10</x:v>
      </x:c>
      <x:c r="F12" s="16"/>
      <x:c r="G12" s="16" t="str">
        <x:v>Safety and boards</x:v>
      </x:c>
      <x:c r="H12" s="46" t="n">
        <x:v>1.5</x:v>
      </x:c>
    </x:row>
    <x:row r="13">
      <x:c r="A13" s="16" t="str">
        <x:v>Revised annual support USD M</x:v>
      </x:c>
      <x:c r="B13" s="46" t="n">
        <x:f>B8+B9</x:f>
        <x:v>263</x:v>
      </x:c>
      <x:c r="C13" s="16"/>
      <x:c r="D13" s="16" t="str">
        <x:v>Environment and archive</x:v>
      </x:c>
      <x:c r="E13" s="46" t="n">
        <x:v>10</x:v>
      </x:c>
      <x:c r="F13" s="16"/>
      <x:c r="G13" s="16" t="str">
        <x:v>Training</x:v>
      </x:c>
      <x:c r="H13" s="46" t="n">
        <x:v>1</x:v>
      </x:c>
    </x:row>
    <x:row r="14">
      <x:c r="A14" s="16" t="str">
        <x:v>Revised technology USD M</x:v>
      </x:c>
      <x:c r="B14" s="46" t="n">
        <x:f>B10+B11</x:f>
        <x:v>1165</x:v>
      </x:c>
      <x:c r="C14" s="16"/>
      <x:c r="D14" s="16" t="str">
        <x:v>Boards and facilities</x:v>
      </x:c>
      <x:c r="E14" s="46" t="n">
        <x:v>6</x:v>
      </x:c>
      <x:c r="F14" s="16"/>
      <x:c r="G14" s="16" t="str">
        <x:v>Schedule and records</x:v>
      </x:c>
      <x:c r="H14" s="46" t="n">
        <x:v>0.5</x:v>
      </x:c>
    </x:row>
    <x:row r="15">
      <x:c r="A15" s="16" t="str">
        <x:v>Stage duration months</x:v>
      </x:c>
      <x:c r="B15" s="46" t="n">
        <x:f>'Assumptions'!B29</x:f>
        <x:v>24</x:v>
      </x:c>
      <x:c r="C15" s="16"/>
      <x:c r="D15" s="16" t="str">
        <x:v>Controlled contingency</x:v>
      </x:c>
      <x:c r="E15" s="46" t="n">
        <x:v>12</x:v>
      </x:c>
      <x:c r="F15" s="16"/>
      <x:c r="G15" s="16" t="str">
        <x:v>Total</x:v>
      </x:c>
      <x:c r="H15" s="46" t="n">
        <x:f>SUM(H6:H14)</x:f>
        <x:v>28</x:v>
      </x:c>
    </x:row>
    <x:row r="16">
      <x:c r="A16" s="16" t="str">
        <x:v>Stage exposure USD M</x:v>
      </x:c>
      <x:c r="B16" s="46" t="n">
        <x:f>B7+B9*B15/12</x:f>
        <x:v>236</x:v>
      </x:c>
      <x:c r="C16" s="16"/>
      <x:c r="D16" s="16" t="str">
        <x:v>Total</x:v>
      </x:c>
      <x:c r="E16" s="46" t="n">
        <x:f>SUM(E6:E15)</x:f>
        <x:v>180</x:v>
      </x:c>
      <x:c r="F16" s="16"/>
      <x:c r="G16" s="16"/>
      <x:c r="H16" s="16"/>
    </x:row>
    <x:row r="17">
      <x:c r="A17" s="16" t="str">
        <x:v>Parent basis months</x:v>
      </x:c>
      <x:c r="B17" s="46" t="n">
        <x:f>'Assumptions'!B30</x:f>
        <x:v>30</x:v>
      </x:c>
      <x:c r="C17" s="16"/>
      <x:c r="D17" s="16"/>
      <x:c r="E17" s="16"/>
      <x:c r="F17" s="16"/>
      <x:c r="G17" s="16"/>
      <x:c r="H17" s="16"/>
    </x:row>
    <x:row r="18">
      <x:c r="A18" s="16" t="str">
        <x:v>Revised parent gross exposure USD M</x:v>
      </x:c>
      <x:c r="B18" s="46" t="n">
        <x:f>B12+B13*B17/12</x:f>
        <x:v>1457.5</x:v>
      </x:c>
      <x:c r="C18" s="16"/>
      <x:c r="D18" s="16"/>
      <x:c r="E18" s="16"/>
      <x:c r="F18" s="16"/>
      <x:c r="G18" s="16"/>
      <x:c r="H18" s="16"/>
    </x:row>
    <x:row r="19">
      <x:c r="A19" s="16" t="str">
        <x:v>Prior cumulative child exposure USD M</x:v>
      </x:c>
      <x:c r="B19" s="46" t="n">
        <x:f>'Assumptions'!B37</x:f>
        <x:v>938.25</x:v>
      </x:c>
      <x:c r="C19" s="16"/>
      <x:c r="D19" s="16"/>
      <x:c r="E19" s="16"/>
      <x:c r="F19" s="16"/>
      <x:c r="G19" s="16"/>
      <x:c r="H19" s="16"/>
    </x:row>
    <x:row r="20">
      <x:c r="A20" s="16" t="str">
        <x:v>Cumulative child exposure USD M</x:v>
      </x:c>
      <x:c r="B20" s="46" t="n">
        <x:f>B19+B16</x:f>
        <x:v>1174.25</x:v>
      </x:c>
      <x:c r="C20" s="16"/>
      <x:c r="D20" s="16"/>
      <x:c r="E20" s="16"/>
      <x:c r="F20" s="16"/>
      <x:c r="G20" s="16"/>
      <x:c r="H20" s="16"/>
    </x:row>
    <x:row r="21">
      <x:c r="A21" s="16" t="str">
        <x:v>Parent difference USD M</x:v>
      </x:c>
      <x:c r="B21" s="46" t="n">
        <x:f>B18-B20</x:f>
        <x:v>283.25</x:v>
      </x:c>
      <x:c r="C21" s="16"/>
      <x:c r="D21" s="16"/>
      <x:c r="E21" s="16"/>
      <x:c r="F21" s="16"/>
      <x:c r="G21" s="16"/>
      <x:c r="H21" s="16"/>
    </x:row>
    <x:row r="22">
      <x:c r="A22" s="16" t="str">
        <x:v>Release-aware start month</x:v>
      </x:c>
      <x:c r="B22" s="46" t="n">
        <x:f>126</x:f>
        <x:v>126</x:v>
      </x:c>
      <x:c r="C22" s="16"/>
      <x:c r="D22" s="16"/>
      <x:c r="E22" s="16"/>
      <x:c r="F22" s="16"/>
      <x:c r="G22" s="16"/>
      <x:c r="H22" s="16"/>
    </x:row>
    <x:row r="23">
      <x:c r="A23" s="16" t="str">
        <x:v>Release-aware completion month</x:v>
      </x:c>
      <x:c r="B23" s="46" t="n">
        <x:f>B22+B15</x:f>
        <x:v>150</x:v>
      </x:c>
      <x:c r="C23" s="16"/>
      <x:c r="D23" s="16"/>
      <x:c r="E23" s="16"/>
      <x:c r="F23" s="16"/>
      <x:c r="G23" s="16"/>
      <x:c r="H23" s="16"/>
    </x:row>
    <x:row r="24">
      <x:c r="A24" s="16" t="str">
        <x:v>Full-sequence start month</x:v>
      </x:c>
      <x:c r="B24" s="46" t="n">
        <x:f>150</x:f>
        <x:v>150</x:v>
      </x:c>
      <x:c r="C24" s="16"/>
      <x:c r="D24" s="16"/>
      <x:c r="E24" s="16"/>
      <x:c r="F24" s="16"/>
      <x:c r="G24" s="16"/>
      <x:c r="H24" s="16"/>
    </x:row>
    <x:row r="25">
      <x:c r="A25" s="16" t="str">
        <x:v>Full-sequence completion month</x:v>
      </x:c>
      <x:c r="B25" s="46" t="n">
        <x:f>B24+B15</x:f>
        <x:v>174</x:v>
      </x:c>
      <x:c r="C25" s="16"/>
      <x:c r="D25" s="16"/>
      <x:c r="E25" s="16"/>
      <x:c r="F25" s="16"/>
      <x:c r="G25" s="16"/>
      <x:c r="H25" s="16"/>
    </x:row>
    <x:row r="26">
      <x:c r="A26" s="16" t="str">
        <x:v>Schedule difference months</x:v>
      </x:c>
      <x:c r="B26" s="46" t="n">
        <x:f>B25-B23</x:f>
        <x:v>24</x:v>
      </x:c>
      <x:c r="C26" s="16"/>
      <x:c r="D26" s="16"/>
      <x:c r="E26" s="16"/>
      <x:c r="F26" s="16"/>
      <x:c r="G26" s="16"/>
      <x:c r="H26" s="16"/>
    </x:row>
    <x:row r="27">
      <x:c r="A27" s="16" t="str">
        <x:v>Fiscal amendment accepted</x:v>
      </x:c>
      <x:c r="B27" s="36"/>
      <x:c r="C27" s="16"/>
      <x:c r="D27" s="16"/>
      <x:c r="E27" s="16"/>
      <x:c r="F27" s="16"/>
      <x:c r="G27" s="16"/>
      <x:c r="H27" s="16"/>
    </x:row>
    <x:row r="28">
      <x:c r="A28" s="16" t="str">
        <x:v>Amendment state</x:v>
      </x:c>
      <x:c r="B28" s="16" t="str">
        <x:f>IF(B27="YES","AVAILABLE","AMENDMENT REQUIRED")</x:f>
        <x:v>AMENDMENT REQUIRED</x:v>
      </x:c>
      <x:c r="C28" s="16"/>
      <x:c r="D28" s="16"/>
      <x:c r="E28" s="16"/>
      <x:c r="F28" s="16"/>
      <x:c r="G28" s="16"/>
      <x:c r="H28" s="16"/>
    </x:row>
  </x:sheetData>
  <x:mergeCells>
    <x:mergeCell ref="A2:H2"/>
    <x:mergeCell ref="D5:H5"/>
    <x:mergeCell ref="G5:H5"/>
  </x:mergeCells>
  <x:conditionalFormatting sqref="B28:B28">
    <x:cfRule type="containsText" dxfId="70" priority="1" operator="containsText" text="DENY"/>
    <x:cfRule type="containsText" dxfId="71" priority="2" operator="containsText" text="ADVERSE"/>
    <x:cfRule type="containsText" dxfId="72" priority="3" operator="containsText" text="FAIL"/>
    <x:cfRule type="containsText" dxfId="73" priority="4" operator="containsText" text="REQUIRED"/>
    <x:cfRule type="containsText" dxfId="74" priority="5" operator="containsText" text="OPEN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DDEBF7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31" hidden="0" customWidth="1"/>
    <x:col min="3" max="3" width="18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</x:cols>
  <x:sheetData>
    <x:row r="2" ht="26" customHeight="1">
      <x:c r="A2" s="2" t="str">
        <x:v>One hundred twenty executable boundary cases</x:v>
      </x:c>
      <x:c r="B2" s="2" t="str">
        <x:v>One hundred twenty executable boundary cases</x:v>
      </x:c>
      <x:c r="C2" s="2" t="str">
        <x:v>One hundred twenty executable boundary cases</x:v>
      </x:c>
      <x:c r="D2" s="2" t="str">
        <x:v>One hundred twenty executable boundary cases</x:v>
      </x:c>
      <x:c r="E2" s="2" t="str">
        <x:v>One hundred twenty executable boundary cases</x:v>
      </x:c>
      <x:c r="F2" s="2" t="str">
        <x:v>One hundred twenty executable boundary cases</x:v>
      </x:c>
      <x:c r="G2" s="2" t="str">
        <x:v>One hundred twenty executable boundary cases</x:v>
      </x:c>
      <x:c r="H2" s="2" t="str">
        <x:v>One hundred twenty executable boundary cases</x:v>
      </x:c>
    </x:row>
    <x:row r="3">
      <x:c r="A3" s="50"/>
      <x:c r="B3" s="50"/>
      <x:c r="C3" s="50"/>
      <x:c r="D3" s="50"/>
      <x:c r="E3" s="50"/>
      <x:c r="F3" s="50"/>
      <x:c r="G3" s="50"/>
      <x:c r="H3" s="50"/>
    </x:row>
    <x:row r="4">
      <x:c r="A4" s="51"/>
      <x:c r="B4" s="51"/>
      <x:c r="C4" s="51"/>
      <x:c r="D4" s="51"/>
      <x:c r="E4" s="51"/>
      <x:c r="F4" s="51"/>
      <x:c r="G4" s="51"/>
      <x:c r="H4" s="51"/>
    </x:row>
    <x:row r="5">
      <x:c r="A5" s="52" t="str">
        <x:v>Each case uses inclusive lower and upper bounds. Blank and numeric zero remain distinct inputs.</x:v>
      </x:c>
      <x:c r="B5" s="51"/>
      <x:c r="C5" s="51"/>
      <x:c r="D5" s="51"/>
      <x:c r="E5" s="51"/>
      <x:c r="F5" s="51"/>
      <x:c r="G5" s="51"/>
      <x:c r="H5" s="51"/>
    </x:row>
    <x:row r="6">
      <x:c r="A6" s="51"/>
      <x:c r="B6" s="51"/>
      <x:c r="C6" s="51"/>
      <x:c r="D6" s="51"/>
      <x:c r="E6" s="51"/>
      <x:c r="F6" s="51"/>
      <x:c r="G6" s="51"/>
      <x:c r="H6" s="51"/>
    </x:row>
    <x:row r="7">
      <x:c r="A7" s="32" t="str">
        <x:v>Case ID</x:v>
      </x:c>
      <x:c r="B7" s="33" t="str">
        <x:v>Category</x:v>
      </x:c>
      <x:c r="C7" s="33" t="str">
        <x:v>Input</x:v>
      </x:c>
      <x:c r="D7" s="33" t="str">
        <x:v>Lower bound</x:v>
      </x:c>
      <x:c r="E7" s="33" t="str">
        <x:v>Upper bound</x:v>
      </x:c>
      <x:c r="F7" s="33" t="str">
        <x:v>Expected</x:v>
      </x:c>
      <x:c r="G7" s="33" t="str">
        <x:v>Calculated</x:v>
      </x:c>
      <x:c r="H7" s="34" t="str">
        <x:v>Audit</x:v>
      </x:c>
    </x:row>
    <x:row r="8">
      <x:c r="A8" s="16" t="str">
        <x:v>BC-001</x:v>
      </x:c>
      <x:c r="B8" s="16" t="str">
        <x:v>Same-module interval h</x:v>
      </x:c>
      <x:c r="C8" s="47" t="n">
        <x:v>672</x:v>
      </x:c>
      <x:c r="D8" s="47" t="n">
        <x:v>672</x:v>
      </x:c>
      <x:c r="E8" s="47" t="n">
        <x:v>10000</x:v>
      </x:c>
      <x:c r="F8" s="16" t="str">
        <x:v>ADMIT</x:v>
      </x:c>
      <x:c r="G8" s="16" t="str">
        <x:f>IF(COUNT(C8)=0,"MISSING",IF(AND(C8&gt;=D8,C8&lt;=E8),"ADMIT","DENY"))</x:f>
        <x:v>ADMIT</x:v>
      </x:c>
      <x:c r="H8" s="16" t="str">
        <x:f>IF(F8=G8,"PASS","FAIL")</x:f>
        <x:v>PASS</x:v>
      </x:c>
    </x:row>
    <x:row r="9">
      <x:c r="A9" s="16" t="str">
        <x:v>BC-002</x:v>
      </x:c>
      <x:c r="B9" s="16" t="str">
        <x:v>Same-module interval h</x:v>
      </x:c>
      <x:c r="C9" s="47" t="n">
        <x:v>10000</x:v>
      </x:c>
      <x:c r="D9" s="47" t="n">
        <x:v>672</x:v>
      </x:c>
      <x:c r="E9" s="47" t="n">
        <x:v>10000</x:v>
      </x:c>
      <x:c r="F9" s="16" t="str">
        <x:v>ADMIT</x:v>
      </x:c>
      <x:c r="G9" s="16" t="str">
        <x:f>IF(COUNT(C9)=0,"MISSING",IF(AND(C9&gt;=D9,C9&lt;=E9),"ADMIT","DENY"))</x:f>
        <x:v>ADMIT</x:v>
      </x:c>
      <x:c r="H9" s="16" t="str">
        <x:f>IF(F9=G9,"PASS","FAIL")</x:f>
        <x:v>PASS</x:v>
      </x:c>
    </x:row>
    <x:row r="10">
      <x:c r="A10" s="16" t="str">
        <x:v>BC-003</x:v>
      </x:c>
      <x:c r="B10" s="16" t="str">
        <x:v>Same-module interval h</x:v>
      </x:c>
      <x:c r="C10" s="47" t="n">
        <x:v>5336</x:v>
      </x:c>
      <x:c r="D10" s="47" t="n">
        <x:v>672</x:v>
      </x:c>
      <x:c r="E10" s="47" t="n">
        <x:v>10000</x:v>
      </x:c>
      <x:c r="F10" s="16" t="str">
        <x:v>ADMIT</x:v>
      </x:c>
      <x:c r="G10" s="16" t="str">
        <x:f>IF(COUNT(C10)=0,"MISSING",IF(AND(C10&gt;=D10,C10&lt;=E10),"ADMIT","DENY"))</x:f>
        <x:v>ADMIT</x:v>
      </x:c>
      <x:c r="H10" s="16" t="str">
        <x:f>IF(F10=G10,"PASS","FAIL")</x:f>
        <x:v>PASS</x:v>
      </x:c>
    </x:row>
    <x:row r="11">
      <x:c r="A11" s="16" t="str">
        <x:v>BC-004</x:v>
      </x:c>
      <x:c r="B11" s="16" t="str">
        <x:v>Same-module interval h</x:v>
      </x:c>
      <x:c r="C11" s="47" t="n">
        <x:v>665.28</x:v>
      </x:c>
      <x:c r="D11" s="47" t="n">
        <x:v>672</x:v>
      </x:c>
      <x:c r="E11" s="47" t="n">
        <x:v>10000</x:v>
      </x:c>
      <x:c r="F11" s="16" t="str">
        <x:v>DENY</x:v>
      </x:c>
      <x:c r="G11" s="16" t="str">
        <x:f>IF(COUNT(C11)=0,"MISSING",IF(AND(C11&gt;=D11,C11&lt;=E11),"ADMIT","DENY"))</x:f>
        <x:v>DENY</x:v>
      </x:c>
      <x:c r="H11" s="16" t="str">
        <x:f>IF(F11=G11,"PASS","FAIL")</x:f>
        <x:v>PASS</x:v>
      </x:c>
    </x:row>
    <x:row r="12">
      <x:c r="A12" s="16" t="str">
        <x:v>BC-005</x:v>
      </x:c>
      <x:c r="B12" s="16" t="str">
        <x:v>Same-module interval h</x:v>
      </x:c>
      <x:c r="C12" s="47" t="n">
        <x:v>10100</x:v>
      </x:c>
      <x:c r="D12" s="47" t="n">
        <x:v>672</x:v>
      </x:c>
      <x:c r="E12" s="47" t="n">
        <x:v>10000</x:v>
      </x:c>
      <x:c r="F12" s="16" t="str">
        <x:v>DENY</x:v>
      </x:c>
      <x:c r="G12" s="16" t="str">
        <x:f>IF(COUNT(C12)=0,"MISSING",IF(AND(C12&gt;=D12,C12&lt;=E12),"ADMIT","DENY"))</x:f>
        <x:v>DENY</x:v>
      </x:c>
      <x:c r="H12" s="16" t="str">
        <x:f>IF(F12=G12,"PASS","FAIL")</x:f>
        <x:v>PASS</x:v>
      </x:c>
    </x:row>
    <x:row r="13">
      <x:c r="A13" s="16" t="str">
        <x:v>BC-006</x:v>
      </x:c>
      <x:c r="B13" s="16" t="str">
        <x:v>Same-module interval h</x:v>
      </x:c>
      <x:c r="C13" s="47"/>
      <x:c r="D13" s="47" t="n">
        <x:v>672</x:v>
      </x:c>
      <x:c r="E13" s="47" t="n">
        <x:v>10000</x:v>
      </x:c>
      <x:c r="F13" s="16" t="str">
        <x:v>MISSING</x:v>
      </x:c>
      <x:c r="G13" s="16" t="str">
        <x:f>IF(COUNT(C13)=0,"MISSING",IF(AND(C13&gt;=D13,C13&lt;=E13),"ADMIT","DENY"))</x:f>
        <x:v>MISSING</x:v>
      </x:c>
      <x:c r="H13" s="16" t="str">
        <x:f>IF(F13=G13,"PASS","FAIL")</x:f>
        <x:v>PASS</x:v>
      </x:c>
    </x:row>
    <x:row r="14">
      <x:c r="A14" s="16" t="str">
        <x:v>BC-007</x:v>
      </x:c>
      <x:c r="B14" s="16" t="str">
        <x:v>Same-module interval h</x:v>
      </x:c>
      <x:c r="C14" s="47" t="n">
        <x:v>0</x:v>
      </x:c>
      <x:c r="D14" s="47" t="n">
        <x:v>672</x:v>
      </x:c>
      <x:c r="E14" s="47" t="n">
        <x:v>10000</x:v>
      </x:c>
      <x:c r="F14" s="16" t="str">
        <x:v>DENY</x:v>
      </x:c>
      <x:c r="G14" s="16" t="str">
        <x:f>IF(COUNT(C14)=0,"MISSING",IF(AND(C14&gt;=D14,C14&lt;=E14),"ADMIT","DENY"))</x:f>
        <x:v>DENY</x:v>
      </x:c>
      <x:c r="H14" s="16" t="str">
        <x:f>IF(F14=G14,"PASS","FAIL")</x:f>
        <x:v>PASS</x:v>
      </x:c>
    </x:row>
    <x:row r="15">
      <x:c r="A15" s="16" t="str">
        <x:v>BC-008</x:v>
      </x:c>
      <x:c r="B15" s="16" t="str">
        <x:v>Same-module interval h</x:v>
      </x:c>
      <x:c r="C15" s="47" t="n">
        <x:v>678.72</x:v>
      </x:c>
      <x:c r="D15" s="47" t="n">
        <x:v>672</x:v>
      </x:c>
      <x:c r="E15" s="47" t="n">
        <x:v>10000</x:v>
      </x:c>
      <x:c r="F15" s="16" t="str">
        <x:v>ADMIT</x:v>
      </x:c>
      <x:c r="G15" s="16" t="str">
        <x:f>IF(COUNT(C15)=0,"MISSING",IF(AND(C15&gt;=D15,C15&lt;=E15),"ADMIT","DENY"))</x:f>
        <x:v>ADMIT</x:v>
      </x:c>
      <x:c r="H15" s="16" t="str">
        <x:f>IF(F15=G15,"PASS","FAIL")</x:f>
        <x:v>PASS</x:v>
      </x:c>
    </x:row>
    <x:row r="16">
      <x:c r="A16" s="16" t="str">
        <x:v>BC-009</x:v>
      </x:c>
      <x:c r="B16" s="16" t="str">
        <x:v>Same-module interval h</x:v>
      </x:c>
      <x:c r="C16" s="47" t="n">
        <x:v>665.28</x:v>
      </x:c>
      <x:c r="D16" s="47" t="n">
        <x:v>672</x:v>
      </x:c>
      <x:c r="E16" s="47" t="n">
        <x:v>10000</x:v>
      </x:c>
      <x:c r="F16" s="16" t="str">
        <x:v>DENY</x:v>
      </x:c>
      <x:c r="G16" s="16" t="str">
        <x:f>IF(COUNT(C16)=0,"MISSING",IF(AND(C16&gt;=D16,C16&lt;=E16),"ADMIT","DENY"))</x:f>
        <x:v>DENY</x:v>
      </x:c>
      <x:c r="H16" s="16" t="str">
        <x:f>IF(F16=G16,"PASS","FAIL")</x:f>
        <x:v>PASS</x:v>
      </x:c>
    </x:row>
    <x:row r="17">
      <x:c r="A17" s="16" t="str">
        <x:v>BC-010</x:v>
      </x:c>
      <x:c r="B17" s="16" t="str">
        <x:v>Same-module interval h</x:v>
      </x:c>
      <x:c r="C17" s="47" t="n">
        <x:v>9900</x:v>
      </x:c>
      <x:c r="D17" s="47" t="n">
        <x:v>672</x:v>
      </x:c>
      <x:c r="E17" s="47" t="n">
        <x:v>10000</x:v>
      </x:c>
      <x:c r="F17" s="16" t="str">
        <x:v>ADMIT</x:v>
      </x:c>
      <x:c r="G17" s="16" t="str">
        <x:f>IF(COUNT(C17)=0,"MISSING",IF(AND(C17&gt;=D17,C17&lt;=E17),"ADMIT","DENY"))</x:f>
        <x:v>ADMIT</x:v>
      </x:c>
      <x:c r="H17" s="16" t="str">
        <x:f>IF(F17=G17,"PASS","FAIL")</x:f>
        <x:v>PASS</x:v>
      </x:c>
    </x:row>
    <x:row r="18">
      <x:c r="A18" s="16" t="str">
        <x:v>BC-011</x:v>
      </x:c>
      <x:c r="B18" s="16" t="str">
        <x:v>Qualified host interval h</x:v>
      </x:c>
      <x:c r="C18" s="47" t="n">
        <x:v>336</x:v>
      </x:c>
      <x:c r="D18" s="47" t="n">
        <x:v>336</x:v>
      </x:c>
      <x:c r="E18" s="47" t="n">
        <x:v>10000</x:v>
      </x:c>
      <x:c r="F18" s="16" t="str">
        <x:v>ADMIT</x:v>
      </x:c>
      <x:c r="G18" s="16" t="str">
        <x:f>IF(COUNT(C18)=0,"MISSING",IF(AND(C18&gt;=D18,C18&lt;=E18),"ADMIT","DENY"))</x:f>
        <x:v>ADMIT</x:v>
      </x:c>
      <x:c r="H18" s="16" t="str">
        <x:f>IF(F18=G18,"PASS","FAIL")</x:f>
        <x:v>PASS</x:v>
      </x:c>
    </x:row>
    <x:row r="19">
      <x:c r="A19" s="16" t="str">
        <x:v>BC-012</x:v>
      </x:c>
      <x:c r="B19" s="16" t="str">
        <x:v>Qualified host interval h</x:v>
      </x:c>
      <x:c r="C19" s="47" t="n">
        <x:v>10000</x:v>
      </x:c>
      <x:c r="D19" s="47" t="n">
        <x:v>336</x:v>
      </x:c>
      <x:c r="E19" s="47" t="n">
        <x:v>10000</x:v>
      </x:c>
      <x:c r="F19" s="16" t="str">
        <x:v>ADMIT</x:v>
      </x:c>
      <x:c r="G19" s="16" t="str">
        <x:f>IF(COUNT(C19)=0,"MISSING",IF(AND(C19&gt;=D19,C19&lt;=E19),"ADMIT","DENY"))</x:f>
        <x:v>ADMIT</x:v>
      </x:c>
      <x:c r="H19" s="16" t="str">
        <x:f>IF(F19=G19,"PASS","FAIL")</x:f>
        <x:v>PASS</x:v>
      </x:c>
    </x:row>
    <x:row r="20">
      <x:c r="A20" s="16" t="str">
        <x:v>BC-013</x:v>
      </x:c>
      <x:c r="B20" s="16" t="str">
        <x:v>Qualified host interval h</x:v>
      </x:c>
      <x:c r="C20" s="47" t="n">
        <x:v>5168</x:v>
      </x:c>
      <x:c r="D20" s="47" t="n">
        <x:v>336</x:v>
      </x:c>
      <x:c r="E20" s="47" t="n">
        <x:v>10000</x:v>
      </x:c>
      <x:c r="F20" s="16" t="str">
        <x:v>ADMIT</x:v>
      </x:c>
      <x:c r="G20" s="16" t="str">
        <x:f>IF(COUNT(C20)=0,"MISSING",IF(AND(C20&gt;=D20,C20&lt;=E20),"ADMIT","DENY"))</x:f>
        <x:v>ADMIT</x:v>
      </x:c>
      <x:c r="H20" s="16" t="str">
        <x:f>IF(F20=G20,"PASS","FAIL")</x:f>
        <x:v>PASS</x:v>
      </x:c>
    </x:row>
    <x:row r="21">
      <x:c r="A21" s="16" t="str">
        <x:v>BC-014</x:v>
      </x:c>
      <x:c r="B21" s="16" t="str">
        <x:v>Qualified host interval h</x:v>
      </x:c>
      <x:c r="C21" s="47" t="n">
        <x:v>332.64</x:v>
      </x:c>
      <x:c r="D21" s="47" t="n">
        <x:v>336</x:v>
      </x:c>
      <x:c r="E21" s="47" t="n">
        <x:v>10000</x:v>
      </x:c>
      <x:c r="F21" s="16" t="str">
        <x:v>DENY</x:v>
      </x:c>
      <x:c r="G21" s="16" t="str">
        <x:f>IF(COUNT(C21)=0,"MISSING",IF(AND(C21&gt;=D21,C21&lt;=E21),"ADMIT","DENY"))</x:f>
        <x:v>DENY</x:v>
      </x:c>
      <x:c r="H21" s="16" t="str">
        <x:f>IF(F21=G21,"PASS","FAIL")</x:f>
        <x:v>PASS</x:v>
      </x:c>
    </x:row>
    <x:row r="22">
      <x:c r="A22" s="16" t="str">
        <x:v>BC-015</x:v>
      </x:c>
      <x:c r="B22" s="16" t="str">
        <x:v>Qualified host interval h</x:v>
      </x:c>
      <x:c r="C22" s="47" t="n">
        <x:v>10100</x:v>
      </x:c>
      <x:c r="D22" s="47" t="n">
        <x:v>336</x:v>
      </x:c>
      <x:c r="E22" s="47" t="n">
        <x:v>10000</x:v>
      </x:c>
      <x:c r="F22" s="16" t="str">
        <x:v>DENY</x:v>
      </x:c>
      <x:c r="G22" s="16" t="str">
        <x:f>IF(COUNT(C22)=0,"MISSING",IF(AND(C22&gt;=D22,C22&lt;=E22),"ADMIT","DENY"))</x:f>
        <x:v>DENY</x:v>
      </x:c>
      <x:c r="H22" s="16" t="str">
        <x:f>IF(F22=G22,"PASS","FAIL")</x:f>
        <x:v>PASS</x:v>
      </x:c>
    </x:row>
    <x:row r="23">
      <x:c r="A23" s="16" t="str">
        <x:v>BC-016</x:v>
      </x:c>
      <x:c r="B23" s="16" t="str">
        <x:v>Qualified host interval h</x:v>
      </x:c>
      <x:c r="C23" s="47"/>
      <x:c r="D23" s="47" t="n">
        <x:v>336</x:v>
      </x:c>
      <x:c r="E23" s="47" t="n">
        <x:v>10000</x:v>
      </x:c>
      <x:c r="F23" s="16" t="str">
        <x:v>MISSING</x:v>
      </x:c>
      <x:c r="G23" s="16" t="str">
        <x:f>IF(COUNT(C23)=0,"MISSING",IF(AND(C23&gt;=D23,C23&lt;=E23),"ADMIT","DENY"))</x:f>
        <x:v>MISSING</x:v>
      </x:c>
      <x:c r="H23" s="16" t="str">
        <x:f>IF(F23=G23,"PASS","FAIL")</x:f>
        <x:v>PASS</x:v>
      </x:c>
    </x:row>
    <x:row r="24">
      <x:c r="A24" s="16" t="str">
        <x:v>BC-017</x:v>
      </x:c>
      <x:c r="B24" s="16" t="str">
        <x:v>Qualified host interval h</x:v>
      </x:c>
      <x:c r="C24" s="47" t="n">
        <x:v>0</x:v>
      </x:c>
      <x:c r="D24" s="47" t="n">
        <x:v>336</x:v>
      </x:c>
      <x:c r="E24" s="47" t="n">
        <x:v>10000</x:v>
      </x:c>
      <x:c r="F24" s="16" t="str">
        <x:v>DENY</x:v>
      </x:c>
      <x:c r="G24" s="16" t="str">
        <x:f>IF(COUNT(C24)=0,"MISSING",IF(AND(C24&gt;=D24,C24&lt;=E24),"ADMIT","DENY"))</x:f>
        <x:v>DENY</x:v>
      </x:c>
      <x:c r="H24" s="16" t="str">
        <x:f>IF(F24=G24,"PASS","FAIL")</x:f>
        <x:v>PASS</x:v>
      </x:c>
    </x:row>
    <x:row r="25">
      <x:c r="A25" s="16" t="str">
        <x:v>BC-018</x:v>
      </x:c>
      <x:c r="B25" s="16" t="str">
        <x:v>Qualified host interval h</x:v>
      </x:c>
      <x:c r="C25" s="47" t="n">
        <x:v>339.36</x:v>
      </x:c>
      <x:c r="D25" s="47" t="n">
        <x:v>336</x:v>
      </x:c>
      <x:c r="E25" s="47" t="n">
        <x:v>10000</x:v>
      </x:c>
      <x:c r="F25" s="16" t="str">
        <x:v>ADMIT</x:v>
      </x:c>
      <x:c r="G25" s="16" t="str">
        <x:f>IF(COUNT(C25)=0,"MISSING",IF(AND(C25&gt;=D25,C25&lt;=E25),"ADMIT","DENY"))</x:f>
        <x:v>ADMIT</x:v>
      </x:c>
      <x:c r="H25" s="16" t="str">
        <x:f>IF(F25=G25,"PASS","FAIL")</x:f>
        <x:v>PASS</x:v>
      </x:c>
    </x:row>
    <x:row r="26">
      <x:c r="A26" s="16" t="str">
        <x:v>BC-019</x:v>
      </x:c>
      <x:c r="B26" s="16" t="str">
        <x:v>Qualified host interval h</x:v>
      </x:c>
      <x:c r="C26" s="47" t="n">
        <x:v>332.64</x:v>
      </x:c>
      <x:c r="D26" s="47" t="n">
        <x:v>336</x:v>
      </x:c>
      <x:c r="E26" s="47" t="n">
        <x:v>10000</x:v>
      </x:c>
      <x:c r="F26" s="16" t="str">
        <x:v>DENY</x:v>
      </x:c>
      <x:c r="G26" s="16" t="str">
        <x:f>IF(COUNT(C26)=0,"MISSING",IF(AND(C26&gt;=D26,C26&lt;=E26),"ADMIT","DENY"))</x:f>
        <x:v>DENY</x:v>
      </x:c>
      <x:c r="H26" s="16" t="str">
        <x:f>IF(F26=G26,"PASS","FAIL")</x:f>
        <x:v>PASS</x:v>
      </x:c>
    </x:row>
    <x:row r="27">
      <x:c r="A27" s="16" t="str">
        <x:v>BC-020</x:v>
      </x:c>
      <x:c r="B27" s="16" t="str">
        <x:v>Qualified host interval h</x:v>
      </x:c>
      <x:c r="C27" s="47" t="n">
        <x:v>9900</x:v>
      </x:c>
      <x:c r="D27" s="47" t="n">
        <x:v>336</x:v>
      </x:c>
      <x:c r="E27" s="47" t="n">
        <x:v>10000</x:v>
      </x:c>
      <x:c r="F27" s="16" t="str">
        <x:v>ADMIT</x:v>
      </x:c>
      <x:c r="G27" s="16" t="str">
        <x:f>IF(COUNT(C27)=0,"MISSING",IF(AND(C27&gt;=D27,C27&lt;=E27),"ADMIT","DENY"))</x:f>
        <x:v>ADMIT</x:v>
      </x:c>
      <x:c r="H27" s="16" t="str">
        <x:f>IF(F27=G27,"PASS","FAIL")</x:f>
        <x:v>PASS</x:v>
      </x:c>
    </x:row>
    <x:row r="28">
      <x:c r="A28" s="16" t="str">
        <x:v>BC-021</x:v>
      </x:c>
      <x:c r="B28" s="16" t="str">
        <x:v>Denied host interval h</x:v>
      </x:c>
      <x:c r="C28" s="47" t="n">
        <x:v>672</x:v>
      </x:c>
      <x:c r="D28" s="47" t="n">
        <x:v>672</x:v>
      </x:c>
      <x:c r="E28" s="47" t="n">
        <x:v>10000</x:v>
      </x:c>
      <x:c r="F28" s="16" t="str">
        <x:v>ADMIT</x:v>
      </x:c>
      <x:c r="G28" s="16" t="str">
        <x:f>IF(COUNT(C28)=0,"MISSING",IF(AND(C28&gt;=D28,C28&lt;=E28),"ADMIT","DENY"))</x:f>
        <x:v>ADMIT</x:v>
      </x:c>
      <x:c r="H28" s="16" t="str">
        <x:f>IF(F28=G28,"PASS","FAIL")</x:f>
        <x:v>PASS</x:v>
      </x:c>
    </x:row>
    <x:row r="29">
      <x:c r="A29" s="16" t="str">
        <x:v>BC-022</x:v>
      </x:c>
      <x:c r="B29" s="16" t="str">
        <x:v>Denied host interval h</x:v>
      </x:c>
      <x:c r="C29" s="47" t="n">
        <x:v>10000</x:v>
      </x:c>
      <x:c r="D29" s="47" t="n">
        <x:v>672</x:v>
      </x:c>
      <x:c r="E29" s="47" t="n">
        <x:v>10000</x:v>
      </x:c>
      <x:c r="F29" s="16" t="str">
        <x:v>ADMIT</x:v>
      </x:c>
      <x:c r="G29" s="16" t="str">
        <x:f>IF(COUNT(C29)=0,"MISSING",IF(AND(C29&gt;=D29,C29&lt;=E29),"ADMIT","DENY"))</x:f>
        <x:v>ADMIT</x:v>
      </x:c>
      <x:c r="H29" s="16" t="str">
        <x:f>IF(F29=G29,"PASS","FAIL")</x:f>
        <x:v>PASS</x:v>
      </x:c>
    </x:row>
    <x:row r="30">
      <x:c r="A30" s="16" t="str">
        <x:v>BC-023</x:v>
      </x:c>
      <x:c r="B30" s="16" t="str">
        <x:v>Denied host interval h</x:v>
      </x:c>
      <x:c r="C30" s="47" t="n">
        <x:v>5336</x:v>
      </x:c>
      <x:c r="D30" s="47" t="n">
        <x:v>672</x:v>
      </x:c>
      <x:c r="E30" s="47" t="n">
        <x:v>10000</x:v>
      </x:c>
      <x:c r="F30" s="16" t="str">
        <x:v>ADMIT</x:v>
      </x:c>
      <x:c r="G30" s="16" t="str">
        <x:f>IF(COUNT(C30)=0,"MISSING",IF(AND(C30&gt;=D30,C30&lt;=E30),"ADMIT","DENY"))</x:f>
        <x:v>ADMIT</x:v>
      </x:c>
      <x:c r="H30" s="16" t="str">
        <x:f>IF(F30=G30,"PASS","FAIL")</x:f>
        <x:v>PASS</x:v>
      </x:c>
    </x:row>
    <x:row r="31">
      <x:c r="A31" s="16" t="str">
        <x:v>BC-024</x:v>
      </x:c>
      <x:c r="B31" s="16" t="str">
        <x:v>Denied host interval h</x:v>
      </x:c>
      <x:c r="C31" s="47" t="n">
        <x:v>665.28</x:v>
      </x:c>
      <x:c r="D31" s="47" t="n">
        <x:v>672</x:v>
      </x:c>
      <x:c r="E31" s="47" t="n">
        <x:v>10000</x:v>
      </x:c>
      <x:c r="F31" s="16" t="str">
        <x:v>DENY</x:v>
      </x:c>
      <x:c r="G31" s="16" t="str">
        <x:f>IF(COUNT(C31)=0,"MISSING",IF(AND(C31&gt;=D31,C31&lt;=E31),"ADMIT","DENY"))</x:f>
        <x:v>DENY</x:v>
      </x:c>
      <x:c r="H31" s="16" t="str">
        <x:f>IF(F31=G31,"PASS","FAIL")</x:f>
        <x:v>PASS</x:v>
      </x:c>
    </x:row>
    <x:row r="32">
      <x:c r="A32" s="16" t="str">
        <x:v>BC-025</x:v>
      </x:c>
      <x:c r="B32" s="16" t="str">
        <x:v>Denied host interval h</x:v>
      </x:c>
      <x:c r="C32" s="47" t="n">
        <x:v>10100</x:v>
      </x:c>
      <x:c r="D32" s="47" t="n">
        <x:v>672</x:v>
      </x:c>
      <x:c r="E32" s="47" t="n">
        <x:v>10000</x:v>
      </x:c>
      <x:c r="F32" s="16" t="str">
        <x:v>DENY</x:v>
      </x:c>
      <x:c r="G32" s="16" t="str">
        <x:f>IF(COUNT(C32)=0,"MISSING",IF(AND(C32&gt;=D32,C32&lt;=E32),"ADMIT","DENY"))</x:f>
        <x:v>DENY</x:v>
      </x:c>
      <x:c r="H32" s="16" t="str">
        <x:f>IF(F32=G32,"PASS","FAIL")</x:f>
        <x:v>PASS</x:v>
      </x:c>
    </x:row>
    <x:row r="33">
      <x:c r="A33" s="16" t="str">
        <x:v>BC-026</x:v>
      </x:c>
      <x:c r="B33" s="16" t="str">
        <x:v>Denied host interval h</x:v>
      </x:c>
      <x:c r="C33" s="47"/>
      <x:c r="D33" s="47" t="n">
        <x:v>672</x:v>
      </x:c>
      <x:c r="E33" s="47" t="n">
        <x:v>10000</x:v>
      </x:c>
      <x:c r="F33" s="16" t="str">
        <x:v>MISSING</x:v>
      </x:c>
      <x:c r="G33" s="16" t="str">
        <x:f>IF(COUNT(C33)=0,"MISSING",IF(AND(C33&gt;=D33,C33&lt;=E33),"ADMIT","DENY"))</x:f>
        <x:v>MISSING</x:v>
      </x:c>
      <x:c r="H33" s="16" t="str">
        <x:f>IF(F33=G33,"PASS","FAIL")</x:f>
        <x:v>PASS</x:v>
      </x:c>
    </x:row>
    <x:row r="34">
      <x:c r="A34" s="16" t="str">
        <x:v>BC-027</x:v>
      </x:c>
      <x:c r="B34" s="16" t="str">
        <x:v>Denied host interval h</x:v>
      </x:c>
      <x:c r="C34" s="47" t="n">
        <x:v>0</x:v>
      </x:c>
      <x:c r="D34" s="47" t="n">
        <x:v>672</x:v>
      </x:c>
      <x:c r="E34" s="47" t="n">
        <x:v>10000</x:v>
      </x:c>
      <x:c r="F34" s="16" t="str">
        <x:v>DENY</x:v>
      </x:c>
      <x:c r="G34" s="16" t="str">
        <x:f>IF(COUNT(C34)=0,"MISSING",IF(AND(C34&gt;=D34,C34&lt;=E34),"ADMIT","DENY"))</x:f>
        <x:v>DENY</x:v>
      </x:c>
      <x:c r="H34" s="16" t="str">
        <x:f>IF(F34=G34,"PASS","FAIL")</x:f>
        <x:v>PASS</x:v>
      </x:c>
    </x:row>
    <x:row r="35">
      <x:c r="A35" s="16" t="str">
        <x:v>BC-028</x:v>
      </x:c>
      <x:c r="B35" s="16" t="str">
        <x:v>Denied host interval h</x:v>
      </x:c>
      <x:c r="C35" s="47" t="n">
        <x:v>678.72</x:v>
      </x:c>
      <x:c r="D35" s="47" t="n">
        <x:v>672</x:v>
      </x:c>
      <x:c r="E35" s="47" t="n">
        <x:v>10000</x:v>
      </x:c>
      <x:c r="F35" s="16" t="str">
        <x:v>ADMIT</x:v>
      </x:c>
      <x:c r="G35" s="16" t="str">
        <x:f>IF(COUNT(C35)=0,"MISSING",IF(AND(C35&gt;=D35,C35&lt;=E35),"ADMIT","DENY"))</x:f>
        <x:v>ADMIT</x:v>
      </x:c>
      <x:c r="H35" s="16" t="str">
        <x:f>IF(F35=G35,"PASS","FAIL")</x:f>
        <x:v>PASS</x:v>
      </x:c>
    </x:row>
    <x:row r="36">
      <x:c r="A36" s="16" t="str">
        <x:v>BC-029</x:v>
      </x:c>
      <x:c r="B36" s="16" t="str">
        <x:v>Denied host interval h</x:v>
      </x:c>
      <x:c r="C36" s="47" t="n">
        <x:v>665.28</x:v>
      </x:c>
      <x:c r="D36" s="47" t="n">
        <x:v>672</x:v>
      </x:c>
      <x:c r="E36" s="47" t="n">
        <x:v>10000</x:v>
      </x:c>
      <x:c r="F36" s="16" t="str">
        <x:v>DENY</x:v>
      </x:c>
      <x:c r="G36" s="16" t="str">
        <x:f>IF(COUNT(C36)=0,"MISSING",IF(AND(C36&gt;=D36,C36&lt;=E36),"ADMIT","DENY"))</x:f>
        <x:v>DENY</x:v>
      </x:c>
      <x:c r="H36" s="16" t="str">
        <x:f>IF(F36=G36,"PASS","FAIL")</x:f>
        <x:v>PASS</x:v>
      </x:c>
    </x:row>
    <x:row r="37">
      <x:c r="A37" s="16" t="str">
        <x:v>BC-030</x:v>
      </x:c>
      <x:c r="B37" s="16" t="str">
        <x:v>Denied host interval h</x:v>
      </x:c>
      <x:c r="C37" s="47" t="n">
        <x:v>9900</x:v>
      </x:c>
      <x:c r="D37" s="47" t="n">
        <x:v>672</x:v>
      </x:c>
      <x:c r="E37" s="47" t="n">
        <x:v>10000</x:v>
      </x:c>
      <x:c r="F37" s="16" t="str">
        <x:v>ADMIT</x:v>
      </x:c>
      <x:c r="G37" s="16" t="str">
        <x:f>IF(COUNT(C37)=0,"MISSING",IF(AND(C37&gt;=D37,C37&lt;=E37),"ADMIT","DENY"))</x:f>
        <x:v>ADMIT</x:v>
      </x:c>
      <x:c r="H37" s="16" t="str">
        <x:f>IF(F37=G37,"PASS","FAIL")</x:f>
        <x:v>PASS</x:v>
      </x:c>
    </x:row>
    <x:row r="38">
      <x:c r="A38" s="16" t="str">
        <x:v>BC-031</x:v>
      </x:c>
      <x:c r="B38" s="16" t="str">
        <x:v>Exchange trial credits</x:v>
      </x:c>
      <x:c r="C38" s="47" t="n">
        <x:v>72</x:v>
      </x:c>
      <x:c r="D38" s="47" t="n">
        <x:v>72</x:v>
      </x:c>
      <x:c r="E38" s="47" t="n">
        <x:v>72</x:v>
      </x:c>
      <x:c r="F38" s="16" t="str">
        <x:v>ADMIT</x:v>
      </x:c>
      <x:c r="G38" s="16" t="str">
        <x:f>IF(COUNT(C38)=0,"MISSING",IF(AND(C38&gt;=D38,C38&lt;=E38),"ADMIT","DENY"))</x:f>
        <x:v>ADMIT</x:v>
      </x:c>
      <x:c r="H38" s="16" t="str">
        <x:f>IF(F38=G38,"PASS","FAIL")</x:f>
        <x:v>PASS</x:v>
      </x:c>
    </x:row>
    <x:row r="39">
      <x:c r="A39" s="16" t="str">
        <x:v>BC-032</x:v>
      </x:c>
      <x:c r="B39" s="16" t="str">
        <x:v>Exchange trial credits</x:v>
      </x:c>
      <x:c r="C39" s="47" t="n">
        <x:v>72</x:v>
      </x:c>
      <x:c r="D39" s="47" t="n">
        <x:v>72</x:v>
      </x:c>
      <x:c r="E39" s="47" t="n">
        <x:v>72</x:v>
      </x:c>
      <x:c r="F39" s="16" t="str">
        <x:v>ADMIT</x:v>
      </x:c>
      <x:c r="G39" s="16" t="str">
        <x:f>IF(COUNT(C39)=0,"MISSING",IF(AND(C39&gt;=D39,C39&lt;=E39),"ADMIT","DENY"))</x:f>
        <x:v>ADMIT</x:v>
      </x:c>
      <x:c r="H39" s="16" t="str">
        <x:f>IF(F39=G39,"PASS","FAIL")</x:f>
        <x:v>PASS</x:v>
      </x:c>
    </x:row>
    <x:row r="40">
      <x:c r="A40" s="16" t="str">
        <x:v>BC-033</x:v>
      </x:c>
      <x:c r="B40" s="16" t="str">
        <x:v>Exchange trial credits</x:v>
      </x:c>
      <x:c r="C40" s="47" t="n">
        <x:v>72</x:v>
      </x:c>
      <x:c r="D40" s="47" t="n">
        <x:v>72</x:v>
      </x:c>
      <x:c r="E40" s="47" t="n">
        <x:v>72</x:v>
      </x:c>
      <x:c r="F40" s="16" t="str">
        <x:v>ADMIT</x:v>
      </x:c>
      <x:c r="G40" s="16" t="str">
        <x:f>IF(COUNT(C40)=0,"MISSING",IF(AND(C40&gt;=D40,C40&lt;=E40),"ADMIT","DENY"))</x:f>
        <x:v>ADMIT</x:v>
      </x:c>
      <x:c r="H40" s="16" t="str">
        <x:f>IF(F40=G40,"PASS","FAIL")</x:f>
        <x:v>PASS</x:v>
      </x:c>
    </x:row>
    <x:row r="41">
      <x:c r="A41" s="16" t="str">
        <x:v>BC-034</x:v>
      </x:c>
      <x:c r="B41" s="16" t="str">
        <x:v>Exchange trial credits</x:v>
      </x:c>
      <x:c r="C41" s="47" t="n">
        <x:v>71.28</x:v>
      </x:c>
      <x:c r="D41" s="47" t="n">
        <x:v>72</x:v>
      </x:c>
      <x:c r="E41" s="47" t="n">
        <x:v>72</x:v>
      </x:c>
      <x:c r="F41" s="16" t="str">
        <x:v>DENY</x:v>
      </x:c>
      <x:c r="G41" s="16" t="str">
        <x:f>IF(COUNT(C41)=0,"MISSING",IF(AND(C41&gt;=D41,C41&lt;=E41),"ADMIT","DENY"))</x:f>
        <x:v>DENY</x:v>
      </x:c>
      <x:c r="H41" s="16" t="str">
        <x:f>IF(F41=G41,"PASS","FAIL")</x:f>
        <x:v>PASS</x:v>
      </x:c>
    </x:row>
    <x:row r="42">
      <x:c r="A42" s="16" t="str">
        <x:v>BC-035</x:v>
      </x:c>
      <x:c r="B42" s="16" t="str">
        <x:v>Exchange trial credits</x:v>
      </x:c>
      <x:c r="C42" s="47" t="n">
        <x:v>72.72</x:v>
      </x:c>
      <x:c r="D42" s="47" t="n">
        <x:v>72</x:v>
      </x:c>
      <x:c r="E42" s="47" t="n">
        <x:v>72</x:v>
      </x:c>
      <x:c r="F42" s="16" t="str">
        <x:v>DENY</x:v>
      </x:c>
      <x:c r="G42" s="16" t="str">
        <x:f>IF(COUNT(C42)=0,"MISSING",IF(AND(C42&gt;=D42,C42&lt;=E42),"ADMIT","DENY"))</x:f>
        <x:v>DENY</x:v>
      </x:c>
      <x:c r="H42" s="16" t="str">
        <x:f>IF(F42=G42,"PASS","FAIL")</x:f>
        <x:v>PASS</x:v>
      </x:c>
    </x:row>
    <x:row r="43">
      <x:c r="A43" s="16" t="str">
        <x:v>BC-036</x:v>
      </x:c>
      <x:c r="B43" s="16" t="str">
        <x:v>Exchange trial credits</x:v>
      </x:c>
      <x:c r="C43" s="47"/>
      <x:c r="D43" s="47" t="n">
        <x:v>72</x:v>
      </x:c>
      <x:c r="E43" s="47" t="n">
        <x:v>72</x:v>
      </x:c>
      <x:c r="F43" s="16" t="str">
        <x:v>MISSING</x:v>
      </x:c>
      <x:c r="G43" s="16" t="str">
        <x:f>IF(COUNT(C43)=0,"MISSING",IF(AND(C43&gt;=D43,C43&lt;=E43),"ADMIT","DENY"))</x:f>
        <x:v>MISSING</x:v>
      </x:c>
      <x:c r="H43" s="16" t="str">
        <x:f>IF(F43=G43,"PASS","FAIL")</x:f>
        <x:v>PASS</x:v>
      </x:c>
    </x:row>
    <x:row r="44">
      <x:c r="A44" s="16" t="str">
        <x:v>BC-037</x:v>
      </x:c>
      <x:c r="B44" s="16" t="str">
        <x:v>Exchange trial credits</x:v>
      </x:c>
      <x:c r="C44" s="47" t="n">
        <x:v>0</x:v>
      </x:c>
      <x:c r="D44" s="47" t="n">
        <x:v>72</x:v>
      </x:c>
      <x:c r="E44" s="47" t="n">
        <x:v>72</x:v>
      </x:c>
      <x:c r="F44" s="16" t="str">
        <x:v>DENY</x:v>
      </x:c>
      <x:c r="G44" s="16" t="str">
        <x:f>IF(COUNT(C44)=0,"MISSING",IF(AND(C44&gt;=D44,C44&lt;=E44),"ADMIT","DENY"))</x:f>
        <x:v>DENY</x:v>
      </x:c>
      <x:c r="H44" s="16" t="str">
        <x:f>IF(F44=G44,"PASS","FAIL")</x:f>
        <x:v>PASS</x:v>
      </x:c>
    </x:row>
    <x:row r="45">
      <x:c r="A45" s="16" t="str">
        <x:v>BC-038</x:v>
      </x:c>
      <x:c r="B45" s="16" t="str">
        <x:v>Exchange trial credits</x:v>
      </x:c>
      <x:c r="C45" s="47" t="n">
        <x:v>72.72</x:v>
      </x:c>
      <x:c r="D45" s="47" t="n">
        <x:v>72</x:v>
      </x:c>
      <x:c r="E45" s="47" t="n">
        <x:v>72</x:v>
      </x:c>
      <x:c r="F45" s="16" t="str">
        <x:v>DENY</x:v>
      </x:c>
      <x:c r="G45" s="16" t="str">
        <x:f>IF(COUNT(C45)=0,"MISSING",IF(AND(C45&gt;=D45,C45&lt;=E45),"ADMIT","DENY"))</x:f>
        <x:v>DENY</x:v>
      </x:c>
      <x:c r="H45" s="16" t="str">
        <x:f>IF(F45=G45,"PASS","FAIL")</x:f>
        <x:v>PASS</x:v>
      </x:c>
    </x:row>
    <x:row r="46">
      <x:c r="A46" s="16" t="str">
        <x:v>BC-039</x:v>
      </x:c>
      <x:c r="B46" s="16" t="str">
        <x:v>Exchange trial credits</x:v>
      </x:c>
      <x:c r="C46" s="47" t="n">
        <x:v>71.28</x:v>
      </x:c>
      <x:c r="D46" s="47" t="n">
        <x:v>72</x:v>
      </x:c>
      <x:c r="E46" s="47" t="n">
        <x:v>72</x:v>
      </x:c>
      <x:c r="F46" s="16" t="str">
        <x:v>DENY</x:v>
      </x:c>
      <x:c r="G46" s="16" t="str">
        <x:f>IF(COUNT(C46)=0,"MISSING",IF(AND(C46&gt;=D46,C46&lt;=E46),"ADMIT","DENY"))</x:f>
        <x:v>DENY</x:v>
      </x:c>
      <x:c r="H46" s="16" t="str">
        <x:f>IF(F46=G46,"PASS","FAIL")</x:f>
        <x:v>PASS</x:v>
      </x:c>
    </x:row>
    <x:row r="47">
      <x:c r="A47" s="16" t="str">
        <x:v>BC-040</x:v>
      </x:c>
      <x:c r="B47" s="16" t="str">
        <x:v>Exchange trial credits</x:v>
      </x:c>
      <x:c r="C47" s="47" t="n">
        <x:v>71.28</x:v>
      </x:c>
      <x:c r="D47" s="47" t="n">
        <x:v>72</x:v>
      </x:c>
      <x:c r="E47" s="47" t="n">
        <x:v>72</x:v>
      </x:c>
      <x:c r="F47" s="16" t="str">
        <x:v>DENY</x:v>
      </x:c>
      <x:c r="G47" s="16" t="str">
        <x:f>IF(COUNT(C47)=0,"MISSING",IF(AND(C47&gt;=D47,C47&lt;=E47),"ADMIT","DENY"))</x:f>
        <x:v>DENY</x:v>
      </x:c>
      <x:c r="H47" s="16" t="str">
        <x:f>IF(F47=G47,"PASS","FAIL")</x:f>
        <x:v>PASS</x:v>
      </x:c>
    </x:row>
    <x:row r="48">
      <x:c r="A48" s="16" t="str">
        <x:v>BC-041</x:v>
      </x:c>
      <x:c r="B48" s="16" t="str">
        <x:v>Exact class credits</x:v>
      </x:c>
      <x:c r="C48" s="47" t="n">
        <x:v>12</x:v>
      </x:c>
      <x:c r="D48" s="47" t="n">
        <x:v>12</x:v>
      </x:c>
      <x:c r="E48" s="47" t="n">
        <x:v>12</x:v>
      </x:c>
      <x:c r="F48" s="16" t="str">
        <x:v>ADMIT</x:v>
      </x:c>
      <x:c r="G48" s="16" t="str">
        <x:f>IF(COUNT(C48)=0,"MISSING",IF(AND(C48&gt;=D48,C48&lt;=E48),"ADMIT","DENY"))</x:f>
        <x:v>ADMIT</x:v>
      </x:c>
      <x:c r="H48" s="16" t="str">
        <x:f>IF(F48=G48,"PASS","FAIL")</x:f>
        <x:v>PASS</x:v>
      </x:c>
    </x:row>
    <x:row r="49">
      <x:c r="A49" s="16" t="str">
        <x:v>BC-042</x:v>
      </x:c>
      <x:c r="B49" s="16" t="str">
        <x:v>Exact class credits</x:v>
      </x:c>
      <x:c r="C49" s="47" t="n">
        <x:v>12</x:v>
      </x:c>
      <x:c r="D49" s="47" t="n">
        <x:v>12</x:v>
      </x:c>
      <x:c r="E49" s="47" t="n">
        <x:v>12</x:v>
      </x:c>
      <x:c r="F49" s="16" t="str">
        <x:v>ADMIT</x:v>
      </x:c>
      <x:c r="G49" s="16" t="str">
        <x:f>IF(COUNT(C49)=0,"MISSING",IF(AND(C49&gt;=D49,C49&lt;=E49),"ADMIT","DENY"))</x:f>
        <x:v>ADMIT</x:v>
      </x:c>
      <x:c r="H49" s="16" t="str">
        <x:f>IF(F49=G49,"PASS","FAIL")</x:f>
        <x:v>PASS</x:v>
      </x:c>
    </x:row>
    <x:row r="50">
      <x:c r="A50" s="16" t="str">
        <x:v>BC-043</x:v>
      </x:c>
      <x:c r="B50" s="16" t="str">
        <x:v>Exact class credits</x:v>
      </x:c>
      <x:c r="C50" s="47" t="n">
        <x:v>12</x:v>
      </x:c>
      <x:c r="D50" s="47" t="n">
        <x:v>12</x:v>
      </x:c>
      <x:c r="E50" s="47" t="n">
        <x:v>12</x:v>
      </x:c>
      <x:c r="F50" s="16" t="str">
        <x:v>ADMIT</x:v>
      </x:c>
      <x:c r="G50" s="16" t="str">
        <x:f>IF(COUNT(C50)=0,"MISSING",IF(AND(C50&gt;=D50,C50&lt;=E50),"ADMIT","DENY"))</x:f>
        <x:v>ADMIT</x:v>
      </x:c>
      <x:c r="H50" s="16" t="str">
        <x:f>IF(F50=G50,"PASS","FAIL")</x:f>
        <x:v>PASS</x:v>
      </x:c>
    </x:row>
    <x:row r="51">
      <x:c r="A51" s="16" t="str">
        <x:v>BC-044</x:v>
      </x:c>
      <x:c r="B51" s="16" t="str">
        <x:v>Exact class credits</x:v>
      </x:c>
      <x:c r="C51" s="47" t="n">
        <x:v>11.88</x:v>
      </x:c>
      <x:c r="D51" s="47" t="n">
        <x:v>12</x:v>
      </x:c>
      <x:c r="E51" s="47" t="n">
        <x:v>12</x:v>
      </x:c>
      <x:c r="F51" s="16" t="str">
        <x:v>DENY</x:v>
      </x:c>
      <x:c r="G51" s="16" t="str">
        <x:f>IF(COUNT(C51)=0,"MISSING",IF(AND(C51&gt;=D51,C51&lt;=E51),"ADMIT","DENY"))</x:f>
        <x:v>DENY</x:v>
      </x:c>
      <x:c r="H51" s="16" t="str">
        <x:f>IF(F51=G51,"PASS","FAIL")</x:f>
        <x:v>PASS</x:v>
      </x:c>
    </x:row>
    <x:row r="52">
      <x:c r="A52" s="16" t="str">
        <x:v>BC-045</x:v>
      </x:c>
      <x:c r="B52" s="16" t="str">
        <x:v>Exact class credits</x:v>
      </x:c>
      <x:c r="C52" s="47" t="n">
        <x:v>12.12</x:v>
      </x:c>
      <x:c r="D52" s="47" t="n">
        <x:v>12</x:v>
      </x:c>
      <x:c r="E52" s="47" t="n">
        <x:v>12</x:v>
      </x:c>
      <x:c r="F52" s="16" t="str">
        <x:v>DENY</x:v>
      </x:c>
      <x:c r="G52" s="16" t="str">
        <x:f>IF(COUNT(C52)=0,"MISSING",IF(AND(C52&gt;=D52,C52&lt;=E52),"ADMIT","DENY"))</x:f>
        <x:v>DENY</x:v>
      </x:c>
      <x:c r="H52" s="16" t="str">
        <x:f>IF(F52=G52,"PASS","FAIL")</x:f>
        <x:v>PASS</x:v>
      </x:c>
    </x:row>
    <x:row r="53">
      <x:c r="A53" s="16" t="str">
        <x:v>BC-046</x:v>
      </x:c>
      <x:c r="B53" s="16" t="str">
        <x:v>Exact class credits</x:v>
      </x:c>
      <x:c r="C53" s="47"/>
      <x:c r="D53" s="47" t="n">
        <x:v>12</x:v>
      </x:c>
      <x:c r="E53" s="47" t="n">
        <x:v>12</x:v>
      </x:c>
      <x:c r="F53" s="16" t="str">
        <x:v>MISSING</x:v>
      </x:c>
      <x:c r="G53" s="16" t="str">
        <x:f>IF(COUNT(C53)=0,"MISSING",IF(AND(C53&gt;=D53,C53&lt;=E53),"ADMIT","DENY"))</x:f>
        <x:v>MISSING</x:v>
      </x:c>
      <x:c r="H53" s="16" t="str">
        <x:f>IF(F53=G53,"PASS","FAIL")</x:f>
        <x:v>PASS</x:v>
      </x:c>
    </x:row>
    <x:row r="54">
      <x:c r="A54" s="16" t="str">
        <x:v>BC-047</x:v>
      </x:c>
      <x:c r="B54" s="16" t="str">
        <x:v>Exact class credits</x:v>
      </x:c>
      <x:c r="C54" s="47" t="n">
        <x:v>0</x:v>
      </x:c>
      <x:c r="D54" s="47" t="n">
        <x:v>12</x:v>
      </x:c>
      <x:c r="E54" s="47" t="n">
        <x:v>12</x:v>
      </x:c>
      <x:c r="F54" s="16" t="str">
        <x:v>DENY</x:v>
      </x:c>
      <x:c r="G54" s="16" t="str">
        <x:f>IF(COUNT(C54)=0,"MISSING",IF(AND(C54&gt;=D54,C54&lt;=E54),"ADMIT","DENY"))</x:f>
        <x:v>DENY</x:v>
      </x:c>
      <x:c r="H54" s="16" t="str">
        <x:f>IF(F54=G54,"PASS","FAIL")</x:f>
        <x:v>PASS</x:v>
      </x:c>
    </x:row>
    <x:row r="55">
      <x:c r="A55" s="16" t="str">
        <x:v>BC-048</x:v>
      </x:c>
      <x:c r="B55" s="16" t="str">
        <x:v>Exact class credits</x:v>
      </x:c>
      <x:c r="C55" s="47" t="n">
        <x:v>12.120000000000001</x:v>
      </x:c>
      <x:c r="D55" s="47" t="n">
        <x:v>12</x:v>
      </x:c>
      <x:c r="E55" s="47" t="n">
        <x:v>12</x:v>
      </x:c>
      <x:c r="F55" s="16" t="str">
        <x:v>DENY</x:v>
      </x:c>
      <x:c r="G55" s="16" t="str">
        <x:f>IF(COUNT(C55)=0,"MISSING",IF(AND(C55&gt;=D55,C55&lt;=E55),"ADMIT","DENY"))</x:f>
        <x:v>DENY</x:v>
      </x:c>
      <x:c r="H55" s="16" t="str">
        <x:f>IF(F55=G55,"PASS","FAIL")</x:f>
        <x:v>PASS</x:v>
      </x:c>
    </x:row>
    <x:row r="56">
      <x:c r="A56" s="16" t="str">
        <x:v>BC-049</x:v>
      </x:c>
      <x:c r="B56" s="16" t="str">
        <x:v>Exact class credits</x:v>
      </x:c>
      <x:c r="C56" s="47" t="n">
        <x:v>11.879999999999999</x:v>
      </x:c>
      <x:c r="D56" s="47" t="n">
        <x:v>12</x:v>
      </x:c>
      <x:c r="E56" s="47" t="n">
        <x:v>12</x:v>
      </x:c>
      <x:c r="F56" s="16" t="str">
        <x:v>DENY</x:v>
      </x:c>
      <x:c r="G56" s="16" t="str">
        <x:f>IF(COUNT(C56)=0,"MISSING",IF(AND(C56&gt;=D56,C56&lt;=E56),"ADMIT","DENY"))</x:f>
        <x:v>DENY</x:v>
      </x:c>
      <x:c r="H56" s="16" t="str">
        <x:f>IF(F56=G56,"PASS","FAIL")</x:f>
        <x:v>PASS</x:v>
      </x:c>
    </x:row>
    <x:row r="57">
      <x:c r="A57" s="16" t="str">
        <x:v>BC-050</x:v>
      </x:c>
      <x:c r="B57" s="16" t="str">
        <x:v>Exact class credits</x:v>
      </x:c>
      <x:c r="C57" s="47" t="n">
        <x:v>11.879999999999999</x:v>
      </x:c>
      <x:c r="D57" s="47" t="n">
        <x:v>12</x:v>
      </x:c>
      <x:c r="E57" s="47" t="n">
        <x:v>12</x:v>
      </x:c>
      <x:c r="F57" s="16" t="str">
        <x:v>DENY</x:v>
      </x:c>
      <x:c r="G57" s="16" t="str">
        <x:f>IF(COUNT(C57)=0,"MISSING",IF(AND(C57&gt;=D57,C57&lt;=E57),"ADMIT","DENY"))</x:f>
        <x:v>DENY</x:v>
      </x:c>
      <x:c r="H57" s="16" t="str">
        <x:f>IF(F57=G57,"PASS","FAIL")</x:f>
        <x:v>PASS</x:v>
      </x:c>
    </x:row>
    <x:row r="58">
      <x:c r="A58" s="16" t="str">
        <x:v>BC-051</x:v>
      </x:c>
      <x:c r="B58" s="16" t="str">
        <x:v>Environmental class kg</x:v>
      </x:c>
      <x:c r="C58" s="47" t="n">
        <x:v>0</x:v>
      </x:c>
      <x:c r="D58" s="47" t="n">
        <x:v>0</x:v>
      </x:c>
      <x:c r="E58" s="47" t="n">
        <x:v>6</x:v>
      </x:c>
      <x:c r="F58" s="16" t="str">
        <x:v>ADMIT</x:v>
      </x:c>
      <x:c r="G58" s="16" t="str">
        <x:f>IF(COUNT(C58)=0,"MISSING",IF(AND(C58&gt;=D58,C58&lt;=E58),"ADMIT","DENY"))</x:f>
        <x:v>ADMIT</x:v>
      </x:c>
      <x:c r="H58" s="16" t="str">
        <x:f>IF(F58=G58,"PASS","FAIL")</x:f>
        <x:v>PASS</x:v>
      </x:c>
    </x:row>
    <x:row r="59">
      <x:c r="A59" s="16" t="str">
        <x:v>BC-052</x:v>
      </x:c>
      <x:c r="B59" s="16" t="str">
        <x:v>Environmental class kg</x:v>
      </x:c>
      <x:c r="C59" s="47" t="n">
        <x:v>6</x:v>
      </x:c>
      <x:c r="D59" s="47" t="n">
        <x:v>0</x:v>
      </x:c>
      <x:c r="E59" s="47" t="n">
        <x:v>6</x:v>
      </x:c>
      <x:c r="F59" s="16" t="str">
        <x:v>ADMIT</x:v>
      </x:c>
      <x:c r="G59" s="16" t="str">
        <x:f>IF(COUNT(C59)=0,"MISSING",IF(AND(C59&gt;=D59,C59&lt;=E59),"ADMIT","DENY"))</x:f>
        <x:v>ADMIT</x:v>
      </x:c>
      <x:c r="H59" s="16" t="str">
        <x:f>IF(F59=G59,"PASS","FAIL")</x:f>
        <x:v>PASS</x:v>
      </x:c>
    </x:row>
    <x:row r="60">
      <x:c r="A60" s="16" t="str">
        <x:v>BC-053</x:v>
      </x:c>
      <x:c r="B60" s="16" t="str">
        <x:v>Environmental class kg</x:v>
      </x:c>
      <x:c r="C60" s="47" t="n">
        <x:v>3</x:v>
      </x:c>
      <x:c r="D60" s="47" t="n">
        <x:v>0</x:v>
      </x:c>
      <x:c r="E60" s="47" t="n">
        <x:v>6</x:v>
      </x:c>
      <x:c r="F60" s="16" t="str">
        <x:v>ADMIT</x:v>
      </x:c>
      <x:c r="G60" s="16" t="str">
        <x:f>IF(COUNT(C60)=0,"MISSING",IF(AND(C60&gt;=D60,C60&lt;=E60),"ADMIT","DENY"))</x:f>
        <x:v>ADMIT</x:v>
      </x:c>
      <x:c r="H60" s="16" t="str">
        <x:f>IF(F60=G60,"PASS","FAIL")</x:f>
        <x:v>PASS</x:v>
      </x:c>
    </x:row>
    <x:row r="61">
      <x:c r="A61" s="16" t="str">
        <x:v>BC-054</x:v>
      </x:c>
      <x:c r="B61" s="16" t="str">
        <x:v>Environmental class kg</x:v>
      </x:c>
      <x:c r="C61" s="47" t="n">
        <x:v>-0.01</x:v>
      </x:c>
      <x:c r="D61" s="47" t="n">
        <x:v>0</x:v>
      </x:c>
      <x:c r="E61" s="47" t="n">
        <x:v>6</x:v>
      </x:c>
      <x:c r="F61" s="16" t="str">
        <x:v>DENY</x:v>
      </x:c>
      <x:c r="G61" s="16" t="str">
        <x:f>IF(COUNT(C61)=0,"MISSING",IF(AND(C61&gt;=D61,C61&lt;=E61),"ADMIT","DENY"))</x:f>
        <x:v>DENY</x:v>
      </x:c>
      <x:c r="H61" s="16" t="str">
        <x:f>IF(F61=G61,"PASS","FAIL")</x:f>
        <x:v>PASS</x:v>
      </x:c>
    </x:row>
    <x:row r="62">
      <x:c r="A62" s="16" t="str">
        <x:v>BC-055</x:v>
      </x:c>
      <x:c r="B62" s="16" t="str">
        <x:v>Environmental class kg</x:v>
      </x:c>
      <x:c r="C62" s="47" t="n">
        <x:v>6.06</x:v>
      </x:c>
      <x:c r="D62" s="47" t="n">
        <x:v>0</x:v>
      </x:c>
      <x:c r="E62" s="47" t="n">
        <x:v>6</x:v>
      </x:c>
      <x:c r="F62" s="16" t="str">
        <x:v>DENY</x:v>
      </x:c>
      <x:c r="G62" s="16" t="str">
        <x:f>IF(COUNT(C62)=0,"MISSING",IF(AND(C62&gt;=D62,C62&lt;=E62),"ADMIT","DENY"))</x:f>
        <x:v>DENY</x:v>
      </x:c>
      <x:c r="H62" s="16" t="str">
        <x:f>IF(F62=G62,"PASS","FAIL")</x:f>
        <x:v>PASS</x:v>
      </x:c>
    </x:row>
    <x:row r="63">
      <x:c r="A63" s="16" t="str">
        <x:v>BC-056</x:v>
      </x:c>
      <x:c r="B63" s="16" t="str">
        <x:v>Environmental class kg</x:v>
      </x:c>
      <x:c r="C63" s="47"/>
      <x:c r="D63" s="47" t="n">
        <x:v>0</x:v>
      </x:c>
      <x:c r="E63" s="47" t="n">
        <x:v>6</x:v>
      </x:c>
      <x:c r="F63" s="16" t="str">
        <x:v>MISSING</x:v>
      </x:c>
      <x:c r="G63" s="16" t="str">
        <x:f>IF(COUNT(C63)=0,"MISSING",IF(AND(C63&gt;=D63,C63&lt;=E63),"ADMIT","DENY"))</x:f>
        <x:v>MISSING</x:v>
      </x:c>
      <x:c r="H63" s="16" t="str">
        <x:f>IF(F63=G63,"PASS","FAIL")</x:f>
        <x:v>PASS</x:v>
      </x:c>
    </x:row>
    <x:row r="64">
      <x:c r="A64" s="16" t="str">
        <x:v>BC-057</x:v>
      </x:c>
      <x:c r="B64" s="16" t="str">
        <x:v>Environmental class kg</x:v>
      </x:c>
      <x:c r="C64" s="47" t="n">
        <x:v>0</x:v>
      </x:c>
      <x:c r="D64" s="47" t="n">
        <x:v>0</x:v>
      </x:c>
      <x:c r="E64" s="47" t="n">
        <x:v>6</x:v>
      </x:c>
      <x:c r="F64" s="16" t="str">
        <x:v>ADMIT</x:v>
      </x:c>
      <x:c r="G64" s="16" t="str">
        <x:f>IF(COUNT(C64)=0,"MISSING",IF(AND(C64&gt;=D64,C64&lt;=E64),"ADMIT","DENY"))</x:f>
        <x:v>ADMIT</x:v>
      </x:c>
      <x:c r="H64" s="16" t="str">
        <x:f>IF(F64=G64,"PASS","FAIL")</x:f>
        <x:v>PASS</x:v>
      </x:c>
    </x:row>
    <x:row r="65">
      <x:c r="A65" s="16" t="str">
        <x:v>BC-058</x:v>
      </x:c>
      <x:c r="B65" s="16" t="str">
        <x:v>Environmental class kg</x:v>
      </x:c>
      <x:c r="C65" s="47" t="n">
        <x:v>0.0001</x:v>
      </x:c>
      <x:c r="D65" s="47" t="n">
        <x:v>0</x:v>
      </x:c>
      <x:c r="E65" s="47" t="n">
        <x:v>6</x:v>
      </x:c>
      <x:c r="F65" s="16" t="str">
        <x:v>ADMIT</x:v>
      </x:c>
      <x:c r="G65" s="16" t="str">
        <x:f>IF(COUNT(C65)=0,"MISSING",IF(AND(C65&gt;=D65,C65&lt;=E65),"ADMIT","DENY"))</x:f>
        <x:v>ADMIT</x:v>
      </x:c>
      <x:c r="H65" s="16" t="str">
        <x:f>IF(F65=G65,"PASS","FAIL")</x:f>
        <x:v>PASS</x:v>
      </x:c>
    </x:row>
    <x:row r="66">
      <x:c r="A66" s="16" t="str">
        <x:v>BC-059</x:v>
      </x:c>
      <x:c r="B66" s="16" t="str">
        <x:v>Environmental class kg</x:v>
      </x:c>
      <x:c r="C66" s="47" t="n">
        <x:v>-0.0001</x:v>
      </x:c>
      <x:c r="D66" s="47" t="n">
        <x:v>0</x:v>
      </x:c>
      <x:c r="E66" s="47" t="n">
        <x:v>6</x:v>
      </x:c>
      <x:c r="F66" s="16" t="str">
        <x:v>DENY</x:v>
      </x:c>
      <x:c r="G66" s="16" t="str">
        <x:f>IF(COUNT(C66)=0,"MISSING",IF(AND(C66&gt;=D66,C66&lt;=E66),"ADMIT","DENY"))</x:f>
        <x:v>DENY</x:v>
      </x:c>
      <x:c r="H66" s="16" t="str">
        <x:f>IF(F66=G66,"PASS","FAIL")</x:f>
        <x:v>PASS</x:v>
      </x:c>
    </x:row>
    <x:row r="67">
      <x:c r="A67" s="16" t="str">
        <x:v>BC-060</x:v>
      </x:c>
      <x:c r="B67" s="16" t="str">
        <x:v>Environmental class kg</x:v>
      </x:c>
      <x:c r="C67" s="47" t="n">
        <x:v>5.9399999999999995</x:v>
      </x:c>
      <x:c r="D67" s="47" t="n">
        <x:v>0</x:v>
      </x:c>
      <x:c r="E67" s="47" t="n">
        <x:v>6</x:v>
      </x:c>
      <x:c r="F67" s="16" t="str">
        <x:v>ADMIT</x:v>
      </x:c>
      <x:c r="G67" s="16" t="str">
        <x:f>IF(COUNT(C67)=0,"MISSING",IF(AND(C67&gt;=D67,C67&lt;=E67),"ADMIT","DENY"))</x:f>
        <x:v>ADMIT</x:v>
      </x:c>
      <x:c r="H67" s="16" t="str">
        <x:f>IF(F67=G67,"PASS","FAIL")</x:f>
        <x:v>PASS</x:v>
      </x:c>
    </x:row>
    <x:row r="68">
      <x:c r="A68" s="16" t="str">
        <x:v>BC-061</x:v>
      </x:c>
      <x:c r="B68" s="16" t="str">
        <x:v>Unaccounted class kg</x:v>
      </x:c>
      <x:c r="C68" s="47" t="n">
        <x:v>0</x:v>
      </x:c>
      <x:c r="D68" s="47" t="n">
        <x:v>0</x:v>
      </x:c>
      <x:c r="E68" s="47" t="n">
        <x:v>45</x:v>
      </x:c>
      <x:c r="F68" s="16" t="str">
        <x:v>ADMIT</x:v>
      </x:c>
      <x:c r="G68" s="16" t="str">
        <x:f>IF(COUNT(C68)=0,"MISSING",IF(AND(C68&gt;=D68,C68&lt;=E68),"ADMIT","DENY"))</x:f>
        <x:v>ADMIT</x:v>
      </x:c>
      <x:c r="H68" s="16" t="str">
        <x:f>IF(F68=G68,"PASS","FAIL")</x:f>
        <x:v>PASS</x:v>
      </x:c>
    </x:row>
    <x:row r="69">
      <x:c r="A69" s="16" t="str">
        <x:v>BC-062</x:v>
      </x:c>
      <x:c r="B69" s="16" t="str">
        <x:v>Unaccounted class kg</x:v>
      </x:c>
      <x:c r="C69" s="47" t="n">
        <x:v>45</x:v>
      </x:c>
      <x:c r="D69" s="47" t="n">
        <x:v>0</x:v>
      </x:c>
      <x:c r="E69" s="47" t="n">
        <x:v>45</x:v>
      </x:c>
      <x:c r="F69" s="16" t="str">
        <x:v>ADMIT</x:v>
      </x:c>
      <x:c r="G69" s="16" t="str">
        <x:f>IF(COUNT(C69)=0,"MISSING",IF(AND(C69&gt;=D69,C69&lt;=E69),"ADMIT","DENY"))</x:f>
        <x:v>ADMIT</x:v>
      </x:c>
      <x:c r="H69" s="16" t="str">
        <x:f>IF(F69=G69,"PASS","FAIL")</x:f>
        <x:v>PASS</x:v>
      </x:c>
    </x:row>
    <x:row r="70">
      <x:c r="A70" s="16" t="str">
        <x:v>BC-063</x:v>
      </x:c>
      <x:c r="B70" s="16" t="str">
        <x:v>Unaccounted class kg</x:v>
      </x:c>
      <x:c r="C70" s="47" t="n">
        <x:v>22.5</x:v>
      </x:c>
      <x:c r="D70" s="47" t="n">
        <x:v>0</x:v>
      </x:c>
      <x:c r="E70" s="47" t="n">
        <x:v>45</x:v>
      </x:c>
      <x:c r="F70" s="16" t="str">
        <x:v>ADMIT</x:v>
      </x:c>
      <x:c r="G70" s="16" t="str">
        <x:f>IF(COUNT(C70)=0,"MISSING",IF(AND(C70&gt;=D70,C70&lt;=E70),"ADMIT","DENY"))</x:f>
        <x:v>ADMIT</x:v>
      </x:c>
      <x:c r="H70" s="16" t="str">
        <x:f>IF(F70=G70,"PASS","FAIL")</x:f>
        <x:v>PASS</x:v>
      </x:c>
    </x:row>
    <x:row r="71">
      <x:c r="A71" s="16" t="str">
        <x:v>BC-064</x:v>
      </x:c>
      <x:c r="B71" s="16" t="str">
        <x:v>Unaccounted class kg</x:v>
      </x:c>
      <x:c r="C71" s="47" t="n">
        <x:v>-0.01</x:v>
      </x:c>
      <x:c r="D71" s="47" t="n">
        <x:v>0</x:v>
      </x:c>
      <x:c r="E71" s="47" t="n">
        <x:v>45</x:v>
      </x:c>
      <x:c r="F71" s="16" t="str">
        <x:v>DENY</x:v>
      </x:c>
      <x:c r="G71" s="16" t="str">
        <x:f>IF(COUNT(C71)=0,"MISSING",IF(AND(C71&gt;=D71,C71&lt;=E71),"ADMIT","DENY"))</x:f>
        <x:v>DENY</x:v>
      </x:c>
      <x:c r="H71" s="16" t="str">
        <x:f>IF(F71=G71,"PASS","FAIL")</x:f>
        <x:v>PASS</x:v>
      </x:c>
    </x:row>
    <x:row r="72">
      <x:c r="A72" s="16" t="str">
        <x:v>BC-065</x:v>
      </x:c>
      <x:c r="B72" s="16" t="str">
        <x:v>Unaccounted class kg</x:v>
      </x:c>
      <x:c r="C72" s="47" t="n">
        <x:v>45.45</x:v>
      </x:c>
      <x:c r="D72" s="47" t="n">
        <x:v>0</x:v>
      </x:c>
      <x:c r="E72" s="47" t="n">
        <x:v>45</x:v>
      </x:c>
      <x:c r="F72" s="16" t="str">
        <x:v>DENY</x:v>
      </x:c>
      <x:c r="G72" s="16" t="str">
        <x:f>IF(COUNT(C72)=0,"MISSING",IF(AND(C72&gt;=D72,C72&lt;=E72),"ADMIT","DENY"))</x:f>
        <x:v>DENY</x:v>
      </x:c>
      <x:c r="H72" s="16" t="str">
        <x:f>IF(F72=G72,"PASS","FAIL")</x:f>
        <x:v>PASS</x:v>
      </x:c>
    </x:row>
    <x:row r="73">
      <x:c r="A73" s="16" t="str">
        <x:v>BC-066</x:v>
      </x:c>
      <x:c r="B73" s="16" t="str">
        <x:v>Unaccounted class kg</x:v>
      </x:c>
      <x:c r="C73" s="47"/>
      <x:c r="D73" s="47" t="n">
        <x:v>0</x:v>
      </x:c>
      <x:c r="E73" s="47" t="n">
        <x:v>45</x:v>
      </x:c>
      <x:c r="F73" s="16" t="str">
        <x:v>MISSING</x:v>
      </x:c>
      <x:c r="G73" s="16" t="str">
        <x:f>IF(COUNT(C73)=0,"MISSING",IF(AND(C73&gt;=D73,C73&lt;=E73),"ADMIT","DENY"))</x:f>
        <x:v>MISSING</x:v>
      </x:c>
      <x:c r="H73" s="16" t="str">
        <x:f>IF(F73=G73,"PASS","FAIL")</x:f>
        <x:v>PASS</x:v>
      </x:c>
    </x:row>
    <x:row r="74">
      <x:c r="A74" s="16" t="str">
        <x:v>BC-067</x:v>
      </x:c>
      <x:c r="B74" s="16" t="str">
        <x:v>Unaccounted class kg</x:v>
      </x:c>
      <x:c r="C74" s="47" t="n">
        <x:v>0</x:v>
      </x:c>
      <x:c r="D74" s="47" t="n">
        <x:v>0</x:v>
      </x:c>
      <x:c r="E74" s="47" t="n">
        <x:v>45</x:v>
      </x:c>
      <x:c r="F74" s="16" t="str">
        <x:v>ADMIT</x:v>
      </x:c>
      <x:c r="G74" s="16" t="str">
        <x:f>IF(COUNT(C74)=0,"MISSING",IF(AND(C74&gt;=D74,C74&lt;=E74),"ADMIT","DENY"))</x:f>
        <x:v>ADMIT</x:v>
      </x:c>
      <x:c r="H74" s="16" t="str">
        <x:f>IF(F74=G74,"PASS","FAIL")</x:f>
        <x:v>PASS</x:v>
      </x:c>
    </x:row>
    <x:row r="75">
      <x:c r="A75" s="16" t="str">
        <x:v>BC-068</x:v>
      </x:c>
      <x:c r="B75" s="16" t="str">
        <x:v>Unaccounted class kg</x:v>
      </x:c>
      <x:c r="C75" s="47" t="n">
        <x:v>0.0001</x:v>
      </x:c>
      <x:c r="D75" s="47" t="n">
        <x:v>0</x:v>
      </x:c>
      <x:c r="E75" s="47" t="n">
        <x:v>45</x:v>
      </x:c>
      <x:c r="F75" s="16" t="str">
        <x:v>ADMIT</x:v>
      </x:c>
      <x:c r="G75" s="16" t="str">
        <x:f>IF(COUNT(C75)=0,"MISSING",IF(AND(C75&gt;=D75,C75&lt;=E75),"ADMIT","DENY"))</x:f>
        <x:v>ADMIT</x:v>
      </x:c>
      <x:c r="H75" s="16" t="str">
        <x:f>IF(F75=G75,"PASS","FAIL")</x:f>
        <x:v>PASS</x:v>
      </x:c>
    </x:row>
    <x:row r="76">
      <x:c r="A76" s="16" t="str">
        <x:v>BC-069</x:v>
      </x:c>
      <x:c r="B76" s="16" t="str">
        <x:v>Unaccounted class kg</x:v>
      </x:c>
      <x:c r="C76" s="47" t="n">
        <x:v>-0.0001</x:v>
      </x:c>
      <x:c r="D76" s="47" t="n">
        <x:v>0</x:v>
      </x:c>
      <x:c r="E76" s="47" t="n">
        <x:v>45</x:v>
      </x:c>
      <x:c r="F76" s="16" t="str">
        <x:v>DENY</x:v>
      </x:c>
      <x:c r="G76" s="16" t="str">
        <x:f>IF(COUNT(C76)=0,"MISSING",IF(AND(C76&gt;=D76,C76&lt;=E76),"ADMIT","DENY"))</x:f>
        <x:v>DENY</x:v>
      </x:c>
      <x:c r="H76" s="16" t="str">
        <x:f>IF(F76=G76,"PASS","FAIL")</x:f>
        <x:v>PASS</x:v>
      </x:c>
    </x:row>
    <x:row r="77">
      <x:c r="A77" s="16" t="str">
        <x:v>BC-070</x:v>
      </x:c>
      <x:c r="B77" s="16" t="str">
        <x:v>Unaccounted class kg</x:v>
      </x:c>
      <x:c r="C77" s="47" t="n">
        <x:v>44.55</x:v>
      </x:c>
      <x:c r="D77" s="47" t="n">
        <x:v>0</x:v>
      </x:c>
      <x:c r="E77" s="47" t="n">
        <x:v>45</x:v>
      </x:c>
      <x:c r="F77" s="16" t="str">
        <x:v>ADMIT</x:v>
      </x:c>
      <x:c r="G77" s="16" t="str">
        <x:f>IF(COUNT(C77)=0,"MISSING",IF(AND(C77&gt;=D77,C77&lt;=E77),"ADMIT","DENY"))</x:f>
        <x:v>ADMIT</x:v>
      </x:c>
      <x:c r="H77" s="16" t="str">
        <x:f>IF(F77=G77,"PASS","FAIL")</x:f>
        <x:v>PASS</x:v>
      </x:c>
    </x:row>
    <x:row r="78">
      <x:c r="A78" s="16" t="str">
        <x:v>BC-071</x:v>
      </x:c>
      <x:c r="B78" s="16" t="str">
        <x:v>Measured peak MPa</x:v>
      </x:c>
      <x:c r="C78" s="47" t="n">
        <x:v>0</x:v>
      </x:c>
      <x:c r="D78" s="47" t="n">
        <x:v>0</x:v>
      </x:c>
      <x:c r="E78" s="47" t="n">
        <x:v>1.8</x:v>
      </x:c>
      <x:c r="F78" s="16" t="str">
        <x:v>ADMIT</x:v>
      </x:c>
      <x:c r="G78" s="16" t="str">
        <x:f>IF(COUNT(C78)=0,"MISSING",IF(AND(C78&gt;=D78,C78&lt;=E78),"ADMIT","DENY"))</x:f>
        <x:v>ADMIT</x:v>
      </x:c>
      <x:c r="H78" s="16" t="str">
        <x:f>IF(F78=G78,"PASS","FAIL")</x:f>
        <x:v>PASS</x:v>
      </x:c>
    </x:row>
    <x:row r="79">
      <x:c r="A79" s="16" t="str">
        <x:v>BC-072</x:v>
      </x:c>
      <x:c r="B79" s="16" t="str">
        <x:v>Measured peak MPa</x:v>
      </x:c>
      <x:c r="C79" s="47" t="n">
        <x:v>1.8</x:v>
      </x:c>
      <x:c r="D79" s="47" t="n">
        <x:v>0</x:v>
      </x:c>
      <x:c r="E79" s="47" t="n">
        <x:v>1.8</x:v>
      </x:c>
      <x:c r="F79" s="16" t="str">
        <x:v>ADMIT</x:v>
      </x:c>
      <x:c r="G79" s="16" t="str">
        <x:f>IF(COUNT(C79)=0,"MISSING",IF(AND(C79&gt;=D79,C79&lt;=E79),"ADMIT","DENY"))</x:f>
        <x:v>ADMIT</x:v>
      </x:c>
      <x:c r="H79" s="16" t="str">
        <x:f>IF(F79=G79,"PASS","FAIL")</x:f>
        <x:v>PASS</x:v>
      </x:c>
    </x:row>
    <x:row r="80">
      <x:c r="A80" s="16" t="str">
        <x:v>BC-073</x:v>
      </x:c>
      <x:c r="B80" s="16" t="str">
        <x:v>Measured peak MPa</x:v>
      </x:c>
      <x:c r="C80" s="47" t="n">
        <x:v>0.9</x:v>
      </x:c>
      <x:c r="D80" s="47" t="n">
        <x:v>0</x:v>
      </x:c>
      <x:c r="E80" s="47" t="n">
        <x:v>1.8</x:v>
      </x:c>
      <x:c r="F80" s="16" t="str">
        <x:v>ADMIT</x:v>
      </x:c>
      <x:c r="G80" s="16" t="str">
        <x:f>IF(COUNT(C80)=0,"MISSING",IF(AND(C80&gt;=D80,C80&lt;=E80),"ADMIT","DENY"))</x:f>
        <x:v>ADMIT</x:v>
      </x:c>
      <x:c r="H80" s="16" t="str">
        <x:f>IF(F80=G80,"PASS","FAIL")</x:f>
        <x:v>PASS</x:v>
      </x:c>
    </x:row>
    <x:row r="81">
      <x:c r="A81" s="16" t="str">
        <x:v>BC-074</x:v>
      </x:c>
      <x:c r="B81" s="16" t="str">
        <x:v>Measured peak MPa</x:v>
      </x:c>
      <x:c r="C81" s="47" t="n">
        <x:v>-0.01</x:v>
      </x:c>
      <x:c r="D81" s="47" t="n">
        <x:v>0</x:v>
      </x:c>
      <x:c r="E81" s="47" t="n">
        <x:v>1.8</x:v>
      </x:c>
      <x:c r="F81" s="16" t="str">
        <x:v>DENY</x:v>
      </x:c>
      <x:c r="G81" s="16" t="str">
        <x:f>IF(COUNT(C81)=0,"MISSING",IF(AND(C81&gt;=D81,C81&lt;=E81),"ADMIT","DENY"))</x:f>
        <x:v>DENY</x:v>
      </x:c>
      <x:c r="H81" s="16" t="str">
        <x:f>IF(F81=G81,"PASS","FAIL")</x:f>
        <x:v>PASS</x:v>
      </x:c>
    </x:row>
    <x:row r="82">
      <x:c r="A82" s="16" t="str">
        <x:v>BC-075</x:v>
      </x:c>
      <x:c r="B82" s="16" t="str">
        <x:v>Measured peak MPa</x:v>
      </x:c>
      <x:c r="C82" s="47" t="n">
        <x:v>1.818</x:v>
      </x:c>
      <x:c r="D82" s="47" t="n">
        <x:v>0</x:v>
      </x:c>
      <x:c r="E82" s="47" t="n">
        <x:v>1.8</x:v>
      </x:c>
      <x:c r="F82" s="16" t="str">
        <x:v>DENY</x:v>
      </x:c>
      <x:c r="G82" s="16" t="str">
        <x:f>IF(COUNT(C82)=0,"MISSING",IF(AND(C82&gt;=D82,C82&lt;=E82),"ADMIT","DENY"))</x:f>
        <x:v>DENY</x:v>
      </x:c>
      <x:c r="H82" s="16" t="str">
        <x:f>IF(F82=G82,"PASS","FAIL")</x:f>
        <x:v>PASS</x:v>
      </x:c>
    </x:row>
    <x:row r="83">
      <x:c r="A83" s="16" t="str">
        <x:v>BC-076</x:v>
      </x:c>
      <x:c r="B83" s="16" t="str">
        <x:v>Measured peak MPa</x:v>
      </x:c>
      <x:c r="C83" s="47"/>
      <x:c r="D83" s="47" t="n">
        <x:v>0</x:v>
      </x:c>
      <x:c r="E83" s="47" t="n">
        <x:v>1.8</x:v>
      </x:c>
      <x:c r="F83" s="16" t="str">
        <x:v>MISSING</x:v>
      </x:c>
      <x:c r="G83" s="16" t="str">
        <x:f>IF(COUNT(C83)=0,"MISSING",IF(AND(C83&gt;=D83,C83&lt;=E83),"ADMIT","DENY"))</x:f>
        <x:v>MISSING</x:v>
      </x:c>
      <x:c r="H83" s="16" t="str">
        <x:f>IF(F83=G83,"PASS","FAIL")</x:f>
        <x:v>PASS</x:v>
      </x:c>
    </x:row>
    <x:row r="84">
      <x:c r="A84" s="16" t="str">
        <x:v>BC-077</x:v>
      </x:c>
      <x:c r="B84" s="16" t="str">
        <x:v>Measured peak MPa</x:v>
      </x:c>
      <x:c r="C84" s="47" t="n">
        <x:v>0</x:v>
      </x:c>
      <x:c r="D84" s="47" t="n">
        <x:v>0</x:v>
      </x:c>
      <x:c r="E84" s="47" t="n">
        <x:v>1.8</x:v>
      </x:c>
      <x:c r="F84" s="16" t="str">
        <x:v>ADMIT</x:v>
      </x:c>
      <x:c r="G84" s="16" t="str">
        <x:f>IF(COUNT(C84)=0,"MISSING",IF(AND(C84&gt;=D84,C84&lt;=E84),"ADMIT","DENY"))</x:f>
        <x:v>ADMIT</x:v>
      </x:c>
      <x:c r="H84" s="16" t="str">
        <x:f>IF(F84=G84,"PASS","FAIL")</x:f>
        <x:v>PASS</x:v>
      </x:c>
    </x:row>
    <x:row r="85">
      <x:c r="A85" s="16" t="str">
        <x:v>BC-078</x:v>
      </x:c>
      <x:c r="B85" s="16" t="str">
        <x:v>Measured peak MPa</x:v>
      </x:c>
      <x:c r="C85" s="47" t="n">
        <x:v>0.0001</x:v>
      </x:c>
      <x:c r="D85" s="47" t="n">
        <x:v>0</x:v>
      </x:c>
      <x:c r="E85" s="47" t="n">
        <x:v>1.8</x:v>
      </x:c>
      <x:c r="F85" s="16" t="str">
        <x:v>ADMIT</x:v>
      </x:c>
      <x:c r="G85" s="16" t="str">
        <x:f>IF(COUNT(C85)=0,"MISSING",IF(AND(C85&gt;=D85,C85&lt;=E85),"ADMIT","DENY"))</x:f>
        <x:v>ADMIT</x:v>
      </x:c>
      <x:c r="H85" s="16" t="str">
        <x:f>IF(F85=G85,"PASS","FAIL")</x:f>
        <x:v>PASS</x:v>
      </x:c>
    </x:row>
    <x:row r="86">
      <x:c r="A86" s="16" t="str">
        <x:v>BC-079</x:v>
      </x:c>
      <x:c r="B86" s="16" t="str">
        <x:v>Measured peak MPa</x:v>
      </x:c>
      <x:c r="C86" s="47" t="n">
        <x:v>-0.0001</x:v>
      </x:c>
      <x:c r="D86" s="47" t="n">
        <x:v>0</x:v>
      </x:c>
      <x:c r="E86" s="47" t="n">
        <x:v>1.8</x:v>
      </x:c>
      <x:c r="F86" s="16" t="str">
        <x:v>DENY</x:v>
      </x:c>
      <x:c r="G86" s="16" t="str">
        <x:f>IF(COUNT(C86)=0,"MISSING",IF(AND(C86&gt;=D86,C86&lt;=E86),"ADMIT","DENY"))</x:f>
        <x:v>DENY</x:v>
      </x:c>
      <x:c r="H86" s="16" t="str">
        <x:f>IF(F86=G86,"PASS","FAIL")</x:f>
        <x:v>PASS</x:v>
      </x:c>
    </x:row>
    <x:row r="87">
      <x:c r="A87" s="16" t="str">
        <x:v>BC-080</x:v>
      </x:c>
      <x:c r="B87" s="16" t="str">
        <x:v>Measured peak MPa</x:v>
      </x:c>
      <x:c r="C87" s="47" t="n">
        <x:v>1.782</x:v>
      </x:c>
      <x:c r="D87" s="47" t="n">
        <x:v>0</x:v>
      </x:c>
      <x:c r="E87" s="47" t="n">
        <x:v>1.8</x:v>
      </x:c>
      <x:c r="F87" s="16" t="str">
        <x:v>ADMIT</x:v>
      </x:c>
      <x:c r="G87" s="16" t="str">
        <x:f>IF(COUNT(C87)=0,"MISSING",IF(AND(C87&gt;=D87,C87&lt;=E87),"ADMIT","DENY"))</x:f>
        <x:v>ADMIT</x:v>
      </x:c>
      <x:c r="H87" s="16" t="str">
        <x:f>IF(F87=G87,"PASS","FAIL")</x:f>
        <x:v>PASS</x:v>
      </x:c>
    </x:row>
    <x:row r="88">
      <x:c r="A88" s="16" t="str">
        <x:v>BC-081</x:v>
      </x:c>
      <x:c r="B88" s="16" t="str">
        <x:v>Expanded uncertainty kg</x:v>
      </x:c>
      <x:c r="C88" s="47" t="n">
        <x:v>0</x:v>
      </x:c>
      <x:c r="D88" s="47" t="n">
        <x:v>0</x:v>
      </x:c>
      <x:c r="E88" s="47" t="n">
        <x:v>5</x:v>
      </x:c>
      <x:c r="F88" s="16" t="str">
        <x:v>ADMIT</x:v>
      </x:c>
      <x:c r="G88" s="16" t="str">
        <x:f>IF(COUNT(C88)=0,"MISSING",IF(AND(C88&gt;=D88,C88&lt;=E88),"ADMIT","DENY"))</x:f>
        <x:v>ADMIT</x:v>
      </x:c>
      <x:c r="H88" s="16" t="str">
        <x:f>IF(F88=G88,"PASS","FAIL")</x:f>
        <x:v>PASS</x:v>
      </x:c>
    </x:row>
    <x:row r="89">
      <x:c r="A89" s="16" t="str">
        <x:v>BC-082</x:v>
      </x:c>
      <x:c r="B89" s="16" t="str">
        <x:v>Expanded uncertainty kg</x:v>
      </x:c>
      <x:c r="C89" s="47" t="n">
        <x:v>5</x:v>
      </x:c>
      <x:c r="D89" s="47" t="n">
        <x:v>0</x:v>
      </x:c>
      <x:c r="E89" s="47" t="n">
        <x:v>5</x:v>
      </x:c>
      <x:c r="F89" s="16" t="str">
        <x:v>ADMIT</x:v>
      </x:c>
      <x:c r="G89" s="16" t="str">
        <x:f>IF(COUNT(C89)=0,"MISSING",IF(AND(C89&gt;=D89,C89&lt;=E89),"ADMIT","DENY"))</x:f>
        <x:v>ADMIT</x:v>
      </x:c>
      <x:c r="H89" s="16" t="str">
        <x:f>IF(F89=G89,"PASS","FAIL")</x:f>
        <x:v>PASS</x:v>
      </x:c>
    </x:row>
    <x:row r="90">
      <x:c r="A90" s="16" t="str">
        <x:v>BC-083</x:v>
      </x:c>
      <x:c r="B90" s="16" t="str">
        <x:v>Expanded uncertainty kg</x:v>
      </x:c>
      <x:c r="C90" s="47" t="n">
        <x:v>2.5</x:v>
      </x:c>
      <x:c r="D90" s="47" t="n">
        <x:v>0</x:v>
      </x:c>
      <x:c r="E90" s="47" t="n">
        <x:v>5</x:v>
      </x:c>
      <x:c r="F90" s="16" t="str">
        <x:v>ADMIT</x:v>
      </x:c>
      <x:c r="G90" s="16" t="str">
        <x:f>IF(COUNT(C90)=0,"MISSING",IF(AND(C90&gt;=D90,C90&lt;=E90),"ADMIT","DENY"))</x:f>
        <x:v>ADMIT</x:v>
      </x:c>
      <x:c r="H90" s="16" t="str">
        <x:f>IF(F90=G90,"PASS","FAIL")</x:f>
        <x:v>PASS</x:v>
      </x:c>
    </x:row>
    <x:row r="91">
      <x:c r="A91" s="16" t="str">
        <x:v>BC-084</x:v>
      </x:c>
      <x:c r="B91" s="16" t="str">
        <x:v>Expanded uncertainty kg</x:v>
      </x:c>
      <x:c r="C91" s="47" t="n">
        <x:v>-0.01</x:v>
      </x:c>
      <x:c r="D91" s="47" t="n">
        <x:v>0</x:v>
      </x:c>
      <x:c r="E91" s="47" t="n">
        <x:v>5</x:v>
      </x:c>
      <x:c r="F91" s="16" t="str">
        <x:v>DENY</x:v>
      </x:c>
      <x:c r="G91" s="16" t="str">
        <x:f>IF(COUNT(C91)=0,"MISSING",IF(AND(C91&gt;=D91,C91&lt;=E91),"ADMIT","DENY"))</x:f>
        <x:v>DENY</x:v>
      </x:c>
      <x:c r="H91" s="16" t="str">
        <x:f>IF(F91=G91,"PASS","FAIL")</x:f>
        <x:v>PASS</x:v>
      </x:c>
    </x:row>
    <x:row r="92">
      <x:c r="A92" s="16" t="str">
        <x:v>BC-085</x:v>
      </x:c>
      <x:c r="B92" s="16" t="str">
        <x:v>Expanded uncertainty kg</x:v>
      </x:c>
      <x:c r="C92" s="47" t="n">
        <x:v>5.05</x:v>
      </x:c>
      <x:c r="D92" s="47" t="n">
        <x:v>0</x:v>
      </x:c>
      <x:c r="E92" s="47" t="n">
        <x:v>5</x:v>
      </x:c>
      <x:c r="F92" s="16" t="str">
        <x:v>DENY</x:v>
      </x:c>
      <x:c r="G92" s="16" t="str">
        <x:f>IF(COUNT(C92)=0,"MISSING",IF(AND(C92&gt;=D92,C92&lt;=E92),"ADMIT","DENY"))</x:f>
        <x:v>DENY</x:v>
      </x:c>
      <x:c r="H92" s="16" t="str">
        <x:f>IF(F92=G92,"PASS","FAIL")</x:f>
        <x:v>PASS</x:v>
      </x:c>
    </x:row>
    <x:row r="93">
      <x:c r="A93" s="16" t="str">
        <x:v>BC-086</x:v>
      </x:c>
      <x:c r="B93" s="16" t="str">
        <x:v>Expanded uncertainty kg</x:v>
      </x:c>
      <x:c r="C93" s="47"/>
      <x:c r="D93" s="47" t="n">
        <x:v>0</x:v>
      </x:c>
      <x:c r="E93" s="47" t="n">
        <x:v>5</x:v>
      </x:c>
      <x:c r="F93" s="16" t="str">
        <x:v>MISSING</x:v>
      </x:c>
      <x:c r="G93" s="16" t="str">
        <x:f>IF(COUNT(C93)=0,"MISSING",IF(AND(C93&gt;=D93,C93&lt;=E93),"ADMIT","DENY"))</x:f>
        <x:v>MISSING</x:v>
      </x:c>
      <x:c r="H93" s="16" t="str">
        <x:f>IF(F93=G93,"PASS","FAIL")</x:f>
        <x:v>PASS</x:v>
      </x:c>
    </x:row>
    <x:row r="94">
      <x:c r="A94" s="16" t="str">
        <x:v>BC-087</x:v>
      </x:c>
      <x:c r="B94" s="16" t="str">
        <x:v>Expanded uncertainty kg</x:v>
      </x:c>
      <x:c r="C94" s="47" t="n">
        <x:v>0</x:v>
      </x:c>
      <x:c r="D94" s="47" t="n">
        <x:v>0</x:v>
      </x:c>
      <x:c r="E94" s="47" t="n">
        <x:v>5</x:v>
      </x:c>
      <x:c r="F94" s="16" t="str">
        <x:v>ADMIT</x:v>
      </x:c>
      <x:c r="G94" s="16" t="str">
        <x:f>IF(COUNT(C94)=0,"MISSING",IF(AND(C94&gt;=D94,C94&lt;=E94),"ADMIT","DENY"))</x:f>
        <x:v>ADMIT</x:v>
      </x:c>
      <x:c r="H94" s="16" t="str">
        <x:f>IF(F94=G94,"PASS","FAIL")</x:f>
        <x:v>PASS</x:v>
      </x:c>
    </x:row>
    <x:row r="95">
      <x:c r="A95" s="16" t="str">
        <x:v>BC-088</x:v>
      </x:c>
      <x:c r="B95" s="16" t="str">
        <x:v>Expanded uncertainty kg</x:v>
      </x:c>
      <x:c r="C95" s="47" t="n">
        <x:v>0.0001</x:v>
      </x:c>
      <x:c r="D95" s="47" t="n">
        <x:v>0</x:v>
      </x:c>
      <x:c r="E95" s="47" t="n">
        <x:v>5</x:v>
      </x:c>
      <x:c r="F95" s="16" t="str">
        <x:v>ADMIT</x:v>
      </x:c>
      <x:c r="G95" s="16" t="str">
        <x:f>IF(COUNT(C95)=0,"MISSING",IF(AND(C95&gt;=D95,C95&lt;=E95),"ADMIT","DENY"))</x:f>
        <x:v>ADMIT</x:v>
      </x:c>
      <x:c r="H95" s="16" t="str">
        <x:f>IF(F95=G95,"PASS","FAIL")</x:f>
        <x:v>PASS</x:v>
      </x:c>
    </x:row>
    <x:row r="96">
      <x:c r="A96" s="16" t="str">
        <x:v>BC-089</x:v>
      </x:c>
      <x:c r="B96" s="16" t="str">
        <x:v>Expanded uncertainty kg</x:v>
      </x:c>
      <x:c r="C96" s="47" t="n">
        <x:v>-0.0001</x:v>
      </x:c>
      <x:c r="D96" s="47" t="n">
        <x:v>0</x:v>
      </x:c>
      <x:c r="E96" s="47" t="n">
        <x:v>5</x:v>
      </x:c>
      <x:c r="F96" s="16" t="str">
        <x:v>DENY</x:v>
      </x:c>
      <x:c r="G96" s="16" t="str">
        <x:f>IF(COUNT(C96)=0,"MISSING",IF(AND(C96&gt;=D96,C96&lt;=E96),"ADMIT","DENY"))</x:f>
        <x:v>DENY</x:v>
      </x:c>
      <x:c r="H96" s="16" t="str">
        <x:f>IF(F96=G96,"PASS","FAIL")</x:f>
        <x:v>PASS</x:v>
      </x:c>
    </x:row>
    <x:row r="97">
      <x:c r="A97" s="16" t="str">
        <x:v>BC-090</x:v>
      </x:c>
      <x:c r="B97" s="16" t="str">
        <x:v>Expanded uncertainty kg</x:v>
      </x:c>
      <x:c r="C97" s="47" t="n">
        <x:v>4.95</x:v>
      </x:c>
      <x:c r="D97" s="47" t="n">
        <x:v>0</x:v>
      </x:c>
      <x:c r="E97" s="47" t="n">
        <x:v>5</x:v>
      </x:c>
      <x:c r="F97" s="16" t="str">
        <x:v>ADMIT</x:v>
      </x:c>
      <x:c r="G97" s="16" t="str">
        <x:f>IF(COUNT(C97)=0,"MISSING",IF(AND(C97&gt;=D97,C97&lt;=E97),"ADMIT","DENY"))</x:f>
        <x:v>ADMIT</x:v>
      </x:c>
      <x:c r="H97" s="16" t="str">
        <x:f>IF(F97=G97,"PASS","FAIL")</x:f>
        <x:v>PASS</x:v>
      </x:c>
    </x:row>
    <x:row r="98">
      <x:c r="A98" s="16" t="str">
        <x:v>BC-091</x:v>
      </x:c>
      <x:c r="B98" s="16" t="str">
        <x:v>Available receiver m³</x:v>
      </x:c>
      <x:c r="C98" s="47" t="n">
        <x:v>0.717626262626</x:v>
      </x:c>
      <x:c r="D98" s="47" t="n">
        <x:v>0.717626262626</x:v>
      </x:c>
      <x:c r="E98" s="47" t="n">
        <x:v>10</x:v>
      </x:c>
      <x:c r="F98" s="16" t="str">
        <x:v>ADMIT</x:v>
      </x:c>
      <x:c r="G98" s="16" t="str">
        <x:f>IF(COUNT(C98)=0,"MISSING",IF(AND(C98&gt;=D98,C98&lt;=E98),"ADMIT","DENY"))</x:f>
        <x:v>ADMIT</x:v>
      </x:c>
      <x:c r="H98" s="16" t="str">
        <x:f>IF(F98=G98,"PASS","FAIL")</x:f>
        <x:v>PASS</x:v>
      </x:c>
    </x:row>
    <x:row r="99">
      <x:c r="A99" s="16" t="str">
        <x:v>BC-092</x:v>
      </x:c>
      <x:c r="B99" s="16" t="str">
        <x:v>Available receiver m³</x:v>
      </x:c>
      <x:c r="C99" s="47" t="n">
        <x:v>10</x:v>
      </x:c>
      <x:c r="D99" s="47" t="n">
        <x:v>0.717626262626</x:v>
      </x:c>
      <x:c r="E99" s="47" t="n">
        <x:v>10</x:v>
      </x:c>
      <x:c r="F99" s="16" t="str">
        <x:v>ADMIT</x:v>
      </x:c>
      <x:c r="G99" s="16" t="str">
        <x:f>IF(COUNT(C99)=0,"MISSING",IF(AND(C99&gt;=D99,C99&lt;=E99),"ADMIT","DENY"))</x:f>
        <x:v>ADMIT</x:v>
      </x:c>
      <x:c r="H99" s="16" t="str">
        <x:f>IF(F99=G99,"PASS","FAIL")</x:f>
        <x:v>PASS</x:v>
      </x:c>
    </x:row>
    <x:row r="100">
      <x:c r="A100" s="16" t="str">
        <x:v>BC-093</x:v>
      </x:c>
      <x:c r="B100" s="16" t="str">
        <x:v>Available receiver m³</x:v>
      </x:c>
      <x:c r="C100" s="47" t="n">
        <x:v>5.358813131313</x:v>
      </x:c>
      <x:c r="D100" s="47" t="n">
        <x:v>0.717626262626</x:v>
      </x:c>
      <x:c r="E100" s="47" t="n">
        <x:v>10</x:v>
      </x:c>
      <x:c r="F100" s="16" t="str">
        <x:v>ADMIT</x:v>
      </x:c>
      <x:c r="G100" s="16" t="str">
        <x:f>IF(COUNT(C100)=0,"MISSING",IF(AND(C100&gt;=D100,C100&lt;=E100),"ADMIT","DENY"))</x:f>
        <x:v>ADMIT</x:v>
      </x:c>
      <x:c r="H100" s="16" t="str">
        <x:f>IF(F100=G100,"PASS","FAIL")</x:f>
        <x:v>PASS</x:v>
      </x:c>
    </x:row>
    <x:row r="101">
      <x:c r="A101" s="16" t="str">
        <x:v>BC-094</x:v>
      </x:c>
      <x:c r="B101" s="16" t="str">
        <x:v>Available receiver m³</x:v>
      </x:c>
      <x:c r="C101" s="47" t="n">
        <x:v>0.71044999999974</x:v>
      </x:c>
      <x:c r="D101" s="47" t="n">
        <x:v>0.717626262626</x:v>
      </x:c>
      <x:c r="E101" s="47" t="n">
        <x:v>10</x:v>
      </x:c>
      <x:c r="F101" s="16" t="str">
        <x:v>DENY</x:v>
      </x:c>
      <x:c r="G101" s="16" t="str">
        <x:f>IF(COUNT(C101)=0,"MISSING",IF(AND(C101&gt;=D101,C101&lt;=E101),"ADMIT","DENY"))</x:f>
        <x:v>DENY</x:v>
      </x:c>
      <x:c r="H101" s="16" t="str">
        <x:f>IF(F101=G101,"PASS","FAIL")</x:f>
        <x:v>PASS</x:v>
      </x:c>
    </x:row>
    <x:row r="102">
      <x:c r="A102" s="16" t="str">
        <x:v>BC-095</x:v>
      </x:c>
      <x:c r="B102" s="16" t="str">
        <x:v>Available receiver m³</x:v>
      </x:c>
      <x:c r="C102" s="47" t="n">
        <x:v>10.1</x:v>
      </x:c>
      <x:c r="D102" s="47" t="n">
        <x:v>0.717626262626</x:v>
      </x:c>
      <x:c r="E102" s="47" t="n">
        <x:v>10</x:v>
      </x:c>
      <x:c r="F102" s="16" t="str">
        <x:v>DENY</x:v>
      </x:c>
      <x:c r="G102" s="16" t="str">
        <x:f>IF(COUNT(C102)=0,"MISSING",IF(AND(C102&gt;=D102,C102&lt;=E102),"ADMIT","DENY"))</x:f>
        <x:v>DENY</x:v>
      </x:c>
      <x:c r="H102" s="16" t="str">
        <x:f>IF(F102=G102,"PASS","FAIL")</x:f>
        <x:v>PASS</x:v>
      </x:c>
    </x:row>
    <x:row r="103">
      <x:c r="A103" s="16" t="str">
        <x:v>BC-096</x:v>
      </x:c>
      <x:c r="B103" s="16" t="str">
        <x:v>Available receiver m³</x:v>
      </x:c>
      <x:c r="C103" s="47"/>
      <x:c r="D103" s="47" t="n">
        <x:v>0.717626262626</x:v>
      </x:c>
      <x:c r="E103" s="47" t="n">
        <x:v>10</x:v>
      </x:c>
      <x:c r="F103" s="16" t="str">
        <x:v>MISSING</x:v>
      </x:c>
      <x:c r="G103" s="16" t="str">
        <x:f>IF(COUNT(C103)=0,"MISSING",IF(AND(C103&gt;=D103,C103&lt;=E103),"ADMIT","DENY"))</x:f>
        <x:v>MISSING</x:v>
      </x:c>
      <x:c r="H103" s="16" t="str">
        <x:f>IF(F103=G103,"PASS","FAIL")</x:f>
        <x:v>PASS</x:v>
      </x:c>
    </x:row>
    <x:row r="104">
      <x:c r="A104" s="16" t="str">
        <x:v>BC-097</x:v>
      </x:c>
      <x:c r="B104" s="16" t="str">
        <x:v>Available receiver m³</x:v>
      </x:c>
      <x:c r="C104" s="47" t="n">
        <x:v>0</x:v>
      </x:c>
      <x:c r="D104" s="47" t="n">
        <x:v>0.717626262626</x:v>
      </x:c>
      <x:c r="E104" s="47" t="n">
        <x:v>10</x:v>
      </x:c>
      <x:c r="F104" s="16" t="str">
        <x:v>DENY</x:v>
      </x:c>
      <x:c r="G104" s="16" t="str">
        <x:f>IF(COUNT(C104)=0,"MISSING",IF(AND(C104&gt;=D104,C104&lt;=E104),"ADMIT","DENY"))</x:f>
        <x:v>DENY</x:v>
      </x:c>
      <x:c r="H104" s="16" t="str">
        <x:f>IF(F104=G104,"PASS","FAIL")</x:f>
        <x:v>PASS</x:v>
      </x:c>
    </x:row>
    <x:row r="105">
      <x:c r="A105" s="16" t="str">
        <x:v>BC-098</x:v>
      </x:c>
      <x:c r="B105" s="16" t="str">
        <x:v>Available receiver m³</x:v>
      </x:c>
      <x:c r="C105" s="47" t="n">
        <x:v>0.7248025252522601</x:v>
      </x:c>
      <x:c r="D105" s="47" t="n">
        <x:v>0.717626262626</x:v>
      </x:c>
      <x:c r="E105" s="47" t="n">
        <x:v>10</x:v>
      </x:c>
      <x:c r="F105" s="16" t="str">
        <x:v>ADMIT</x:v>
      </x:c>
      <x:c r="G105" s="16" t="str">
        <x:f>IF(COUNT(C105)=0,"MISSING",IF(AND(C105&gt;=D105,C105&lt;=E105),"ADMIT","DENY"))</x:f>
        <x:v>ADMIT</x:v>
      </x:c>
      <x:c r="H105" s="16" t="str">
        <x:f>IF(F105=G105,"PASS","FAIL")</x:f>
        <x:v>PASS</x:v>
      </x:c>
    </x:row>
    <x:row r="106">
      <x:c r="A106" s="16" t="str">
        <x:v>BC-099</x:v>
      </x:c>
      <x:c r="B106" s="16" t="str">
        <x:v>Available receiver m³</x:v>
      </x:c>
      <x:c r="C106" s="47" t="n">
        <x:v>0.71044999999974</x:v>
      </x:c>
      <x:c r="D106" s="47" t="n">
        <x:v>0.717626262626</x:v>
      </x:c>
      <x:c r="E106" s="47" t="n">
        <x:v>10</x:v>
      </x:c>
      <x:c r="F106" s="16" t="str">
        <x:v>DENY</x:v>
      </x:c>
      <x:c r="G106" s="16" t="str">
        <x:f>IF(COUNT(C106)=0,"MISSING",IF(AND(C106&gt;=D106,C106&lt;=E106),"ADMIT","DENY"))</x:f>
        <x:v>DENY</x:v>
      </x:c>
      <x:c r="H106" s="16" t="str">
        <x:f>IF(F106=G106,"PASS","FAIL")</x:f>
        <x:v>PASS</x:v>
      </x:c>
    </x:row>
    <x:row r="107">
      <x:c r="A107" s="16" t="str">
        <x:v>BC-100</x:v>
      </x:c>
      <x:c r="B107" s="16" t="str">
        <x:v>Available receiver m³</x:v>
      </x:c>
      <x:c r="C107" s="47" t="n">
        <x:v>9.9</x:v>
      </x:c>
      <x:c r="D107" s="47" t="n">
        <x:v>0.717626262626</x:v>
      </x:c>
      <x:c r="E107" s="47" t="n">
        <x:v>10</x:v>
      </x:c>
      <x:c r="F107" s="16" t="str">
        <x:v>ADMIT</x:v>
      </x:c>
      <x:c r="G107" s="16" t="str">
        <x:f>IF(COUNT(C107)=0,"MISSING",IF(AND(C107&gt;=D107,C107&lt;=E107),"ADMIT","DENY"))</x:f>
        <x:v>ADMIT</x:v>
      </x:c>
      <x:c r="H107" s="16" t="str">
        <x:f>IF(F107=G107,"PASS","FAIL")</x:f>
        <x:v>PASS</x:v>
      </x:c>
    </x:row>
    <x:row r="108">
      <x:c r="A108" s="16" t="str">
        <x:v>BC-101</x:v>
      </x:c>
      <x:c r="B108" s="16" t="str">
        <x:v>Parent remaining USD M</x:v>
      </x:c>
      <x:c r="C108" s="47" t="n">
        <x:v>0</x:v>
      </x:c>
      <x:c r="D108" s="47" t="n">
        <x:v>0</x:v>
      </x:c>
      <x:c r="E108" s="47" t="n">
        <x:v>0</x:v>
      </x:c>
      <x:c r="F108" s="16" t="str">
        <x:v>ADMIT</x:v>
      </x:c>
      <x:c r="G108" s="16" t="str">
        <x:f>IF(COUNT(C108)=0,"MISSING",IF(AND(C108&gt;=D108,C108&lt;=E108),"ADMIT","DENY"))</x:f>
        <x:v>ADMIT</x:v>
      </x:c>
      <x:c r="H108" s="16" t="str">
        <x:f>IF(F108=G108,"PASS","FAIL")</x:f>
        <x:v>PASS</x:v>
      </x:c>
    </x:row>
    <x:row r="109">
      <x:c r="A109" s="16" t="str">
        <x:v>BC-102</x:v>
      </x:c>
      <x:c r="B109" s="16" t="str">
        <x:v>Parent remaining USD M</x:v>
      </x:c>
      <x:c r="C109" s="47" t="n">
        <x:v>0</x:v>
      </x:c>
      <x:c r="D109" s="47" t="n">
        <x:v>0</x:v>
      </x:c>
      <x:c r="E109" s="47" t="n">
        <x:v>0</x:v>
      </x:c>
      <x:c r="F109" s="16" t="str">
        <x:v>ADMIT</x:v>
      </x:c>
      <x:c r="G109" s="16" t="str">
        <x:f>IF(COUNT(C109)=0,"MISSING",IF(AND(C109&gt;=D109,C109&lt;=E109),"ADMIT","DENY"))</x:f>
        <x:v>ADMIT</x:v>
      </x:c>
      <x:c r="H109" s="16" t="str">
        <x:f>IF(F109=G109,"PASS","FAIL")</x:f>
        <x:v>PASS</x:v>
      </x:c>
    </x:row>
    <x:row r="110">
      <x:c r="A110" s="16" t="str">
        <x:v>BC-103</x:v>
      </x:c>
      <x:c r="B110" s="16" t="str">
        <x:v>Parent remaining USD M</x:v>
      </x:c>
      <x:c r="C110" s="47" t="n">
        <x:v>0</x:v>
      </x:c>
      <x:c r="D110" s="47" t="n">
        <x:v>0</x:v>
      </x:c>
      <x:c r="E110" s="47" t="n">
        <x:v>0</x:v>
      </x:c>
      <x:c r="F110" s="16" t="str">
        <x:v>ADMIT</x:v>
      </x:c>
      <x:c r="G110" s="16" t="str">
        <x:f>IF(COUNT(C110)=0,"MISSING",IF(AND(C110&gt;=D110,C110&lt;=E110),"ADMIT","DENY"))</x:f>
        <x:v>ADMIT</x:v>
      </x:c>
      <x:c r="H110" s="16" t="str">
        <x:f>IF(F110=G110,"PASS","FAIL")</x:f>
        <x:v>PASS</x:v>
      </x:c>
    </x:row>
    <x:row r="111">
      <x:c r="A111" s="16" t="str">
        <x:v>BC-104</x:v>
      </x:c>
      <x:c r="B111" s="16" t="str">
        <x:v>Parent remaining USD M</x:v>
      </x:c>
      <x:c r="C111" s="47" t="n">
        <x:v>-0.01</x:v>
      </x:c>
      <x:c r="D111" s="47" t="n">
        <x:v>0</x:v>
      </x:c>
      <x:c r="E111" s="47" t="n">
        <x:v>0</x:v>
      </x:c>
      <x:c r="F111" s="16" t="str">
        <x:v>DENY</x:v>
      </x:c>
      <x:c r="G111" s="16" t="str">
        <x:f>IF(COUNT(C111)=0,"MISSING",IF(AND(C111&gt;=D111,C111&lt;=E111),"ADMIT","DENY"))</x:f>
        <x:v>DENY</x:v>
      </x:c>
      <x:c r="H111" s="16" t="str">
        <x:f>IF(F111=G111,"PASS","FAIL")</x:f>
        <x:v>PASS</x:v>
      </x:c>
    </x:row>
    <x:row r="112">
      <x:c r="A112" s="16" t="str">
        <x:v>BC-105</x:v>
      </x:c>
      <x:c r="B112" s="16" t="str">
        <x:v>Parent remaining USD M</x:v>
      </x:c>
      <x:c r="C112" s="47" t="n">
        <x:v>0.01</x:v>
      </x:c>
      <x:c r="D112" s="47" t="n">
        <x:v>0</x:v>
      </x:c>
      <x:c r="E112" s="47" t="n">
        <x:v>0</x:v>
      </x:c>
      <x:c r="F112" s="16" t="str">
        <x:v>DENY</x:v>
      </x:c>
      <x:c r="G112" s="16" t="str">
        <x:f>IF(COUNT(C112)=0,"MISSING",IF(AND(C112&gt;=D112,C112&lt;=E112),"ADMIT","DENY"))</x:f>
        <x:v>DENY</x:v>
      </x:c>
      <x:c r="H112" s="16" t="str">
        <x:f>IF(F112=G112,"PASS","FAIL")</x:f>
        <x:v>PASS</x:v>
      </x:c>
    </x:row>
    <x:row r="113">
      <x:c r="A113" s="16" t="str">
        <x:v>BC-106</x:v>
      </x:c>
      <x:c r="B113" s="16" t="str">
        <x:v>Parent remaining USD M</x:v>
      </x:c>
      <x:c r="C113" s="47"/>
      <x:c r="D113" s="47" t="n">
        <x:v>0</x:v>
      </x:c>
      <x:c r="E113" s="47" t="n">
        <x:v>0</x:v>
      </x:c>
      <x:c r="F113" s="16" t="str">
        <x:v>MISSING</x:v>
      </x:c>
      <x:c r="G113" s="16" t="str">
        <x:f>IF(COUNT(C113)=0,"MISSING",IF(AND(C113&gt;=D113,C113&lt;=E113),"ADMIT","DENY"))</x:f>
        <x:v>MISSING</x:v>
      </x:c>
      <x:c r="H113" s="16" t="str">
        <x:f>IF(F113=G113,"PASS","FAIL")</x:f>
        <x:v>PASS</x:v>
      </x:c>
    </x:row>
    <x:row r="114">
      <x:c r="A114" s="16" t="str">
        <x:v>BC-107</x:v>
      </x:c>
      <x:c r="B114" s="16" t="str">
        <x:v>Parent remaining USD M</x:v>
      </x:c>
      <x:c r="C114" s="47" t="n">
        <x:v>0</x:v>
      </x:c>
      <x:c r="D114" s="47" t="n">
        <x:v>0</x:v>
      </x:c>
      <x:c r="E114" s="47" t="n">
        <x:v>0</x:v>
      </x:c>
      <x:c r="F114" s="16" t="str">
        <x:v>ADMIT</x:v>
      </x:c>
      <x:c r="G114" s="16" t="str">
        <x:f>IF(COUNT(C114)=0,"MISSING",IF(AND(C114&gt;=D114,C114&lt;=E114),"ADMIT","DENY"))</x:f>
        <x:v>ADMIT</x:v>
      </x:c>
      <x:c r="H114" s="16" t="str">
        <x:f>IF(F114=G114,"PASS","FAIL")</x:f>
        <x:v>PASS</x:v>
      </x:c>
    </x:row>
    <x:row r="115">
      <x:c r="A115" s="16" t="str">
        <x:v>BC-108</x:v>
      </x:c>
      <x:c r="B115" s="16" t="str">
        <x:v>Parent remaining USD M</x:v>
      </x:c>
      <x:c r="C115" s="47" t="n">
        <x:v>0.0001</x:v>
      </x:c>
      <x:c r="D115" s="47" t="n">
        <x:v>0</x:v>
      </x:c>
      <x:c r="E115" s="47" t="n">
        <x:v>0</x:v>
      </x:c>
      <x:c r="F115" s="16" t="str">
        <x:v>DENY</x:v>
      </x:c>
      <x:c r="G115" s="16" t="str">
        <x:f>IF(COUNT(C115)=0,"MISSING",IF(AND(C115&gt;=D115,C115&lt;=E115),"ADMIT","DENY"))</x:f>
        <x:v>DENY</x:v>
      </x:c>
      <x:c r="H115" s="16" t="str">
        <x:f>IF(F115=G115,"PASS","FAIL")</x:f>
        <x:v>PASS</x:v>
      </x:c>
    </x:row>
    <x:row r="116">
      <x:c r="A116" s="16" t="str">
        <x:v>BC-109</x:v>
      </x:c>
      <x:c r="B116" s="16" t="str">
        <x:v>Parent remaining USD M</x:v>
      </x:c>
      <x:c r="C116" s="47" t="n">
        <x:v>-0.0001</x:v>
      </x:c>
      <x:c r="D116" s="47" t="n">
        <x:v>0</x:v>
      </x:c>
      <x:c r="E116" s="47" t="n">
        <x:v>0</x:v>
      </x:c>
      <x:c r="F116" s="16" t="str">
        <x:v>DENY</x:v>
      </x:c>
      <x:c r="G116" s="16" t="str">
        <x:f>IF(COUNT(C116)=0,"MISSING",IF(AND(C116&gt;=D116,C116&lt;=E116),"ADMIT","DENY"))</x:f>
        <x:v>DENY</x:v>
      </x:c>
      <x:c r="H116" s="16" t="str">
        <x:f>IF(F116=G116,"PASS","FAIL")</x:f>
        <x:v>PASS</x:v>
      </x:c>
    </x:row>
    <x:row r="117">
      <x:c r="A117" s="16" t="str">
        <x:v>BC-110</x:v>
      </x:c>
      <x:c r="B117" s="16" t="str">
        <x:v>Parent remaining USD M</x:v>
      </x:c>
      <x:c r="C117" s="47" t="n">
        <x:v>0.01</x:v>
      </x:c>
      <x:c r="D117" s="47" t="n">
        <x:v>0</x:v>
      </x:c>
      <x:c r="E117" s="47" t="n">
        <x:v>0</x:v>
      </x:c>
      <x:c r="F117" s="16" t="str">
        <x:v>DENY</x:v>
      </x:c>
      <x:c r="G117" s="16" t="str">
        <x:f>IF(COUNT(C117)=0,"MISSING",IF(AND(C117&gt;=D117,C117&lt;=E117),"ADMIT","DENY"))</x:f>
        <x:v>DENY</x:v>
      </x:c>
      <x:c r="H117" s="16" t="str">
        <x:f>IF(F117=G117,"PASS","FAIL")</x:f>
        <x:v>PASS</x:v>
      </x:c>
    </x:row>
    <x:row r="118">
      <x:c r="A118" s="16" t="str">
        <x:v>BC-111</x:v>
      </x:c>
      <x:c r="B118" s="16" t="str">
        <x:v>Total stage days</x:v>
      </x:c>
      <x:c r="C118" s="47" t="n">
        <x:v>0</x:v>
      </x:c>
      <x:c r="D118" s="47" t="n">
        <x:v>0</x:v>
      </x:c>
      <x:c r="E118" s="47" t="n">
        <x:v>730</x:v>
      </x:c>
      <x:c r="F118" s="16" t="str">
        <x:v>ADMIT</x:v>
      </x:c>
      <x:c r="G118" s="16" t="str">
        <x:f>IF(COUNT(C118)=0,"MISSING",IF(AND(C118&gt;=D118,C118&lt;=E118),"ADMIT","DENY"))</x:f>
        <x:v>ADMIT</x:v>
      </x:c>
      <x:c r="H118" s="16" t="str">
        <x:f>IF(F118=G118,"PASS","FAIL")</x:f>
        <x:v>PASS</x:v>
      </x:c>
    </x:row>
    <x:row r="119">
      <x:c r="A119" s="16" t="str">
        <x:v>BC-112</x:v>
      </x:c>
      <x:c r="B119" s="16" t="str">
        <x:v>Total stage days</x:v>
      </x:c>
      <x:c r="C119" s="47" t="n">
        <x:v>730</x:v>
      </x:c>
      <x:c r="D119" s="47" t="n">
        <x:v>0</x:v>
      </x:c>
      <x:c r="E119" s="47" t="n">
        <x:v>730</x:v>
      </x:c>
      <x:c r="F119" s="16" t="str">
        <x:v>ADMIT</x:v>
      </x:c>
      <x:c r="G119" s="16" t="str">
        <x:f>IF(COUNT(C119)=0,"MISSING",IF(AND(C119&gt;=D119,C119&lt;=E119),"ADMIT","DENY"))</x:f>
        <x:v>ADMIT</x:v>
      </x:c>
      <x:c r="H119" s="16" t="str">
        <x:f>IF(F119=G119,"PASS","FAIL")</x:f>
        <x:v>PASS</x:v>
      </x:c>
    </x:row>
    <x:row r="120">
      <x:c r="A120" s="16" t="str">
        <x:v>BC-113</x:v>
      </x:c>
      <x:c r="B120" s="16" t="str">
        <x:v>Total stage days</x:v>
      </x:c>
      <x:c r="C120" s="47" t="n">
        <x:v>365</x:v>
      </x:c>
      <x:c r="D120" s="47" t="n">
        <x:v>0</x:v>
      </x:c>
      <x:c r="E120" s="47" t="n">
        <x:v>730</x:v>
      </x:c>
      <x:c r="F120" s="16" t="str">
        <x:v>ADMIT</x:v>
      </x:c>
      <x:c r="G120" s="16" t="str">
        <x:f>IF(COUNT(C120)=0,"MISSING",IF(AND(C120&gt;=D120,C120&lt;=E120),"ADMIT","DENY"))</x:f>
        <x:v>ADMIT</x:v>
      </x:c>
      <x:c r="H120" s="16" t="str">
        <x:f>IF(F120=G120,"PASS","FAIL")</x:f>
        <x:v>PASS</x:v>
      </x:c>
    </x:row>
    <x:row r="121">
      <x:c r="A121" s="16" t="str">
        <x:v>BC-114</x:v>
      </x:c>
      <x:c r="B121" s="16" t="str">
        <x:v>Total stage days</x:v>
      </x:c>
      <x:c r="C121" s="47" t="n">
        <x:v>-0.01</x:v>
      </x:c>
      <x:c r="D121" s="47" t="n">
        <x:v>0</x:v>
      </x:c>
      <x:c r="E121" s="47" t="n">
        <x:v>730</x:v>
      </x:c>
      <x:c r="F121" s="16" t="str">
        <x:v>DENY</x:v>
      </x:c>
      <x:c r="G121" s="16" t="str">
        <x:f>IF(COUNT(C121)=0,"MISSING",IF(AND(C121&gt;=D121,C121&lt;=E121),"ADMIT","DENY"))</x:f>
        <x:v>DENY</x:v>
      </x:c>
      <x:c r="H121" s="16" t="str">
        <x:f>IF(F121=G121,"PASS","FAIL")</x:f>
        <x:v>PASS</x:v>
      </x:c>
    </x:row>
    <x:row r="122">
      <x:c r="A122" s="16" t="str">
        <x:v>BC-115</x:v>
      </x:c>
      <x:c r="B122" s="16" t="str">
        <x:v>Total stage days</x:v>
      </x:c>
      <x:c r="C122" s="47" t="n">
        <x:v>737.3</x:v>
      </x:c>
      <x:c r="D122" s="47" t="n">
        <x:v>0</x:v>
      </x:c>
      <x:c r="E122" s="47" t="n">
        <x:v>730</x:v>
      </x:c>
      <x:c r="F122" s="16" t="str">
        <x:v>DENY</x:v>
      </x:c>
      <x:c r="G122" s="16" t="str">
        <x:f>IF(COUNT(C122)=0,"MISSING",IF(AND(C122&gt;=D122,C122&lt;=E122),"ADMIT","DENY"))</x:f>
        <x:v>DENY</x:v>
      </x:c>
      <x:c r="H122" s="16" t="str">
        <x:f>IF(F122=G122,"PASS","FAIL")</x:f>
        <x:v>PASS</x:v>
      </x:c>
    </x:row>
    <x:row r="123">
      <x:c r="A123" s="16" t="str">
        <x:v>BC-116</x:v>
      </x:c>
      <x:c r="B123" s="16" t="str">
        <x:v>Total stage days</x:v>
      </x:c>
      <x:c r="C123" s="47"/>
      <x:c r="D123" s="47" t="n">
        <x:v>0</x:v>
      </x:c>
      <x:c r="E123" s="47" t="n">
        <x:v>730</x:v>
      </x:c>
      <x:c r="F123" s="16" t="str">
        <x:v>MISSING</x:v>
      </x:c>
      <x:c r="G123" s="16" t="str">
        <x:f>IF(COUNT(C123)=0,"MISSING",IF(AND(C123&gt;=D123,C123&lt;=E123),"ADMIT","DENY"))</x:f>
        <x:v>MISSING</x:v>
      </x:c>
      <x:c r="H123" s="16" t="str">
        <x:f>IF(F123=G123,"PASS","FAIL")</x:f>
        <x:v>PASS</x:v>
      </x:c>
    </x:row>
    <x:row r="124">
      <x:c r="A124" s="16" t="str">
        <x:v>BC-117</x:v>
      </x:c>
      <x:c r="B124" s="16" t="str">
        <x:v>Total stage days</x:v>
      </x:c>
      <x:c r="C124" s="47" t="n">
        <x:v>0</x:v>
      </x:c>
      <x:c r="D124" s="47" t="n">
        <x:v>0</x:v>
      </x:c>
      <x:c r="E124" s="47" t="n">
        <x:v>730</x:v>
      </x:c>
      <x:c r="F124" s="16" t="str">
        <x:v>ADMIT</x:v>
      </x:c>
      <x:c r="G124" s="16" t="str">
        <x:f>IF(COUNT(C124)=0,"MISSING",IF(AND(C124&gt;=D124,C124&lt;=E124),"ADMIT","DENY"))</x:f>
        <x:v>ADMIT</x:v>
      </x:c>
      <x:c r="H124" s="16" t="str">
        <x:f>IF(F124=G124,"PASS","FAIL")</x:f>
        <x:v>PASS</x:v>
      </x:c>
    </x:row>
    <x:row r="125">
      <x:c r="A125" s="16" t="str">
        <x:v>BC-118</x:v>
      </x:c>
      <x:c r="B125" s="16" t="str">
        <x:v>Total stage days</x:v>
      </x:c>
      <x:c r="C125" s="47" t="n">
        <x:v>0.0001</x:v>
      </x:c>
      <x:c r="D125" s="47" t="n">
        <x:v>0</x:v>
      </x:c>
      <x:c r="E125" s="47" t="n">
        <x:v>730</x:v>
      </x:c>
      <x:c r="F125" s="16" t="str">
        <x:v>ADMIT</x:v>
      </x:c>
      <x:c r="G125" s="16" t="str">
        <x:f>IF(COUNT(C125)=0,"MISSING",IF(AND(C125&gt;=D125,C125&lt;=E125),"ADMIT","DENY"))</x:f>
        <x:v>ADMIT</x:v>
      </x:c>
      <x:c r="H125" s="16" t="str">
        <x:f>IF(F125=G125,"PASS","FAIL")</x:f>
        <x:v>PASS</x:v>
      </x:c>
    </x:row>
    <x:row r="126">
      <x:c r="A126" s="16" t="str">
        <x:v>BC-119</x:v>
      </x:c>
      <x:c r="B126" s="16" t="str">
        <x:v>Total stage days</x:v>
      </x:c>
      <x:c r="C126" s="47" t="n">
        <x:v>-0.0001</x:v>
      </x:c>
      <x:c r="D126" s="47" t="n">
        <x:v>0</x:v>
      </x:c>
      <x:c r="E126" s="47" t="n">
        <x:v>730</x:v>
      </x:c>
      <x:c r="F126" s="16" t="str">
        <x:v>DENY</x:v>
      </x:c>
      <x:c r="G126" s="16" t="str">
        <x:f>IF(COUNT(C126)=0,"MISSING",IF(AND(C126&gt;=D126,C126&lt;=E126),"ADMIT","DENY"))</x:f>
        <x:v>DENY</x:v>
      </x:c>
      <x:c r="H126" s="16" t="str">
        <x:f>IF(F126=G126,"PASS","FAIL")</x:f>
        <x:v>PASS</x:v>
      </x:c>
    </x:row>
    <x:row r="127">
      <x:c r="A127" s="16" t="str">
        <x:v>BC-120</x:v>
      </x:c>
      <x:c r="B127" s="16" t="str">
        <x:v>Total stage days</x:v>
      </x:c>
      <x:c r="C127" s="47" t="n">
        <x:v>722.7</x:v>
      </x:c>
      <x:c r="D127" s="47" t="n">
        <x:v>0</x:v>
      </x:c>
      <x:c r="E127" s="47" t="n">
        <x:v>730</x:v>
      </x:c>
      <x:c r="F127" s="16" t="str">
        <x:v>ADMIT</x:v>
      </x:c>
      <x:c r="G127" s="16" t="str">
        <x:f>IF(COUNT(C127)=0,"MISSING",IF(AND(C127&gt;=D127,C127&lt;=E127),"ADMIT","DENY"))</x:f>
        <x:v>ADMIT</x:v>
      </x:c>
      <x:c r="H127" s="16" t="str">
        <x:f>IF(F127=G127,"PASS","FAIL")</x:f>
        <x:v>PASS</x:v>
      </x:c>
    </x:row>
  </x:sheetData>
  <x:mergeCells>
    <x:mergeCell ref="A2:H2"/>
  </x:mergeCells>
  <x:conditionalFormatting sqref="G8:H127">
    <x:cfRule type="containsText" dxfId="75" priority="1" operator="containsText" text="DENY"/>
    <x:cfRule type="containsText" dxfId="76" priority="2" operator="containsText" text="ADVERSE"/>
    <x:cfRule type="containsText" dxfId="77" priority="3" operator="containsText" text="FAIL"/>
    <x:cfRule type="containsText" dxfId="78" priority="4" operator="containsText" text="REQUIRED"/>
    <x:cfRule type="containsText" dxfId="79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2b5935909512492e"/>
  </x:tableParts>
</x:worksheet>
</file>

<file path=xl/worksheets/sheet2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20" hidden="0" customWidth="1"/>
    <x:col min="3" max="3" width="38" hidden="0" customWidth="1"/>
    <x:col min="4" max="4" width="23" hidden="0" customWidth="1"/>
    <x:col min="5" max="5" width="23" hidden="0" customWidth="1"/>
    <x:col min="6" max="6" width="14" hidden="0" customWidth="1"/>
  </x:cols>
  <x:sheetData>
    <x:row r="2" ht="26" customHeight="1">
      <x:c r="A2" s="2" t="str">
        <x:v>Two hundred forty planning-coherence audits</x:v>
      </x:c>
      <x:c r="B2" s="2" t="str">
        <x:v>Two hundred forty planning-coherence audits</x:v>
      </x:c>
      <x:c r="C2" s="2" t="str">
        <x:v>Two hundred forty planning-coherence audits</x:v>
      </x:c>
      <x:c r="D2" s="2" t="str">
        <x:v>Two hundred forty planning-coherence audits</x:v>
      </x:c>
      <x:c r="E2" s="2" t="str">
        <x:v>Two hundred forty planning-coherence audits</x:v>
      </x:c>
      <x:c r="F2" s="2" t="str">
        <x:v>Two hundred forty planning-coherence audits</x:v>
      </x:c>
    </x:row>
    <x:row r="3">
      <x:c r="A3" s="50"/>
      <x:c r="B3" s="50"/>
      <x:c r="C3" s="50"/>
      <x:c r="D3" s="50"/>
      <x:c r="E3" s="50"/>
      <x:c r="F3" s="50"/>
    </x:row>
    <x:row r="4">
      <x:c r="A4" s="51"/>
      <x:c r="B4" s="51"/>
      <x:c r="C4" s="51"/>
      <x:c r="D4" s="51"/>
      <x:c r="E4" s="51"/>
      <x:c r="F4" s="51"/>
    </x:row>
    <x:row r="5">
      <x:c r="A5" s="32" t="str">
        <x:v>Audit ID</x:v>
      </x:c>
      <x:c r="B5" s="33" t="str">
        <x:v>Family</x:v>
      </x:c>
      <x:c r="C5" s="33" t="str">
        <x:v>Assertion</x:v>
      </x:c>
      <x:c r="D5" s="33" t="str">
        <x:v>Expected</x:v>
      </x:c>
      <x:c r="E5" s="33" t="str">
        <x:v>Observed</x:v>
      </x:c>
      <x:c r="F5" s="34" t="str">
        <x:v>Disposition</x:v>
      </x:c>
    </x:row>
    <x:row r="6">
      <x:c r="A6" s="16" t="str">
        <x:v>AU-001</x:v>
      </x:c>
      <x:c r="B6" s="16" t="str">
        <x:v>boundary case</x:v>
      </x:c>
      <x:c r="C6" s="16" t="str">
        <x:v>Cases row 8 passes</x:v>
      </x:c>
      <x:c r="D6" s="47" t="str">
        <x:v>PASS</x:v>
      </x:c>
      <x:c r="E6" s="47" t="str">
        <x:f>'Cases'!H8</x:f>
        <x:v>PASS</x:v>
      </x:c>
      <x:c r="F6" s="16" t="str">
        <x:f>IF(D6=E6,"PASS","FAIL")</x:f>
        <x:v>PASS</x:v>
      </x:c>
    </x:row>
    <x:row r="7">
      <x:c r="A7" s="16" t="str">
        <x:v>AU-002</x:v>
      </x:c>
      <x:c r="B7" s="16" t="str">
        <x:v>boundary case</x:v>
      </x:c>
      <x:c r="C7" s="16" t="str">
        <x:v>Cases row 9 passes</x:v>
      </x:c>
      <x:c r="D7" s="47" t="str">
        <x:v>PASS</x:v>
      </x:c>
      <x:c r="E7" s="47" t="str">
        <x:f>'Cases'!H9</x:f>
        <x:v>PASS</x:v>
      </x:c>
      <x:c r="F7" s="16" t="str">
        <x:f>IF(D7=E7,"PASS","FAIL")</x:f>
        <x:v>PASS</x:v>
      </x:c>
    </x:row>
    <x:row r="8">
      <x:c r="A8" s="16" t="str">
        <x:v>AU-003</x:v>
      </x:c>
      <x:c r="B8" s="16" t="str">
        <x:v>boundary case</x:v>
      </x:c>
      <x:c r="C8" s="16" t="str">
        <x:v>Cases row 10 passes</x:v>
      </x:c>
      <x:c r="D8" s="47" t="str">
        <x:v>PASS</x:v>
      </x:c>
      <x:c r="E8" s="47" t="str">
        <x:f>'Cases'!H10</x:f>
        <x:v>PASS</x:v>
      </x:c>
      <x:c r="F8" s="16" t="str">
        <x:f>IF(D8=E8,"PASS","FAIL")</x:f>
        <x:v>PASS</x:v>
      </x:c>
    </x:row>
    <x:row r="9">
      <x:c r="A9" s="16" t="str">
        <x:v>AU-004</x:v>
      </x:c>
      <x:c r="B9" s="16" t="str">
        <x:v>boundary case</x:v>
      </x:c>
      <x:c r="C9" s="16" t="str">
        <x:v>Cases row 11 passes</x:v>
      </x:c>
      <x:c r="D9" s="47" t="str">
        <x:v>PASS</x:v>
      </x:c>
      <x:c r="E9" s="47" t="str">
        <x:f>'Cases'!H11</x:f>
        <x:v>PASS</x:v>
      </x:c>
      <x:c r="F9" s="16" t="str">
        <x:f>IF(D9=E9,"PASS","FAIL")</x:f>
        <x:v>PASS</x:v>
      </x:c>
    </x:row>
    <x:row r="10">
      <x:c r="A10" s="16" t="str">
        <x:v>AU-005</x:v>
      </x:c>
      <x:c r="B10" s="16" t="str">
        <x:v>boundary case</x:v>
      </x:c>
      <x:c r="C10" s="16" t="str">
        <x:v>Cases row 12 passes</x:v>
      </x:c>
      <x:c r="D10" s="47" t="str">
        <x:v>PASS</x:v>
      </x:c>
      <x:c r="E10" s="47" t="str">
        <x:f>'Cases'!H12</x:f>
        <x:v>PASS</x:v>
      </x:c>
      <x:c r="F10" s="16" t="str">
        <x:f>IF(D10=E10,"PASS","FAIL")</x:f>
        <x:v>PASS</x:v>
      </x:c>
    </x:row>
    <x:row r="11">
      <x:c r="A11" s="16" t="str">
        <x:v>AU-006</x:v>
      </x:c>
      <x:c r="B11" s="16" t="str">
        <x:v>boundary case</x:v>
      </x:c>
      <x:c r="C11" s="16" t="str">
        <x:v>Cases row 13 passes</x:v>
      </x:c>
      <x:c r="D11" s="47" t="str">
        <x:v>PASS</x:v>
      </x:c>
      <x:c r="E11" s="47" t="str">
        <x:f>'Cases'!H13</x:f>
        <x:v>PASS</x:v>
      </x:c>
      <x:c r="F11" s="16" t="str">
        <x:f>IF(D11=E11,"PASS","FAIL")</x:f>
        <x:v>PASS</x:v>
      </x:c>
    </x:row>
    <x:row r="12">
      <x:c r="A12" s="16" t="str">
        <x:v>AU-007</x:v>
      </x:c>
      <x:c r="B12" s="16" t="str">
        <x:v>boundary case</x:v>
      </x:c>
      <x:c r="C12" s="16" t="str">
        <x:v>Cases row 14 passes</x:v>
      </x:c>
      <x:c r="D12" s="47" t="str">
        <x:v>PASS</x:v>
      </x:c>
      <x:c r="E12" s="47" t="str">
        <x:f>'Cases'!H14</x:f>
        <x:v>PASS</x:v>
      </x:c>
      <x:c r="F12" s="16" t="str">
        <x:f>IF(D12=E12,"PASS","FAIL")</x:f>
        <x:v>PASS</x:v>
      </x:c>
    </x:row>
    <x:row r="13">
      <x:c r="A13" s="16" t="str">
        <x:v>AU-008</x:v>
      </x:c>
      <x:c r="B13" s="16" t="str">
        <x:v>boundary case</x:v>
      </x:c>
      <x:c r="C13" s="16" t="str">
        <x:v>Cases row 15 passes</x:v>
      </x:c>
      <x:c r="D13" s="47" t="str">
        <x:v>PASS</x:v>
      </x:c>
      <x:c r="E13" s="47" t="str">
        <x:f>'Cases'!H15</x:f>
        <x:v>PASS</x:v>
      </x:c>
      <x:c r="F13" s="16" t="str">
        <x:f>IF(D13=E13,"PASS","FAIL")</x:f>
        <x:v>PASS</x:v>
      </x:c>
    </x:row>
    <x:row r="14">
      <x:c r="A14" s="16" t="str">
        <x:v>AU-009</x:v>
      </x:c>
      <x:c r="B14" s="16" t="str">
        <x:v>boundary case</x:v>
      </x:c>
      <x:c r="C14" s="16" t="str">
        <x:v>Cases row 16 passes</x:v>
      </x:c>
      <x:c r="D14" s="47" t="str">
        <x:v>PASS</x:v>
      </x:c>
      <x:c r="E14" s="47" t="str">
        <x:f>'Cases'!H16</x:f>
        <x:v>PASS</x:v>
      </x:c>
      <x:c r="F14" s="16" t="str">
        <x:f>IF(D14=E14,"PASS","FAIL")</x:f>
        <x:v>PASS</x:v>
      </x:c>
    </x:row>
    <x:row r="15">
      <x:c r="A15" s="16" t="str">
        <x:v>AU-010</x:v>
      </x:c>
      <x:c r="B15" s="16" t="str">
        <x:v>boundary case</x:v>
      </x:c>
      <x:c r="C15" s="16" t="str">
        <x:v>Cases row 17 passes</x:v>
      </x:c>
      <x:c r="D15" s="47" t="str">
        <x:v>PASS</x:v>
      </x:c>
      <x:c r="E15" s="47" t="str">
        <x:f>'Cases'!H17</x:f>
        <x:v>PASS</x:v>
      </x:c>
      <x:c r="F15" s="16" t="str">
        <x:f>IF(D15=E15,"PASS","FAIL")</x:f>
        <x:v>PASS</x:v>
      </x:c>
    </x:row>
    <x:row r="16">
      <x:c r="A16" s="16" t="str">
        <x:v>AU-011</x:v>
      </x:c>
      <x:c r="B16" s="16" t="str">
        <x:v>boundary case</x:v>
      </x:c>
      <x:c r="C16" s="16" t="str">
        <x:v>Cases row 18 passes</x:v>
      </x:c>
      <x:c r="D16" s="47" t="str">
        <x:v>PASS</x:v>
      </x:c>
      <x:c r="E16" s="47" t="str">
        <x:f>'Cases'!H18</x:f>
        <x:v>PASS</x:v>
      </x:c>
      <x:c r="F16" s="16" t="str">
        <x:f>IF(D16=E16,"PASS","FAIL")</x:f>
        <x:v>PASS</x:v>
      </x:c>
    </x:row>
    <x:row r="17">
      <x:c r="A17" s="16" t="str">
        <x:v>AU-012</x:v>
      </x:c>
      <x:c r="B17" s="16" t="str">
        <x:v>boundary case</x:v>
      </x:c>
      <x:c r="C17" s="16" t="str">
        <x:v>Cases row 19 passes</x:v>
      </x:c>
      <x:c r="D17" s="47" t="str">
        <x:v>PASS</x:v>
      </x:c>
      <x:c r="E17" s="47" t="str">
        <x:f>'Cases'!H19</x:f>
        <x:v>PASS</x:v>
      </x:c>
      <x:c r="F17" s="16" t="str">
        <x:f>IF(D17=E17,"PASS","FAIL")</x:f>
        <x:v>PASS</x:v>
      </x:c>
    </x:row>
    <x:row r="18">
      <x:c r="A18" s="16" t="str">
        <x:v>AU-013</x:v>
      </x:c>
      <x:c r="B18" s="16" t="str">
        <x:v>boundary case</x:v>
      </x:c>
      <x:c r="C18" s="16" t="str">
        <x:v>Cases row 20 passes</x:v>
      </x:c>
      <x:c r="D18" s="47" t="str">
        <x:v>PASS</x:v>
      </x:c>
      <x:c r="E18" s="47" t="str">
        <x:f>'Cases'!H20</x:f>
        <x:v>PASS</x:v>
      </x:c>
      <x:c r="F18" s="16" t="str">
        <x:f>IF(D18=E18,"PASS","FAIL")</x:f>
        <x:v>PASS</x:v>
      </x:c>
    </x:row>
    <x:row r="19">
      <x:c r="A19" s="16" t="str">
        <x:v>AU-014</x:v>
      </x:c>
      <x:c r="B19" s="16" t="str">
        <x:v>boundary case</x:v>
      </x:c>
      <x:c r="C19" s="16" t="str">
        <x:v>Cases row 21 passes</x:v>
      </x:c>
      <x:c r="D19" s="47" t="str">
        <x:v>PASS</x:v>
      </x:c>
      <x:c r="E19" s="47" t="str">
        <x:f>'Cases'!H21</x:f>
        <x:v>PASS</x:v>
      </x:c>
      <x:c r="F19" s="16" t="str">
        <x:f>IF(D19=E19,"PASS","FAIL")</x:f>
        <x:v>PASS</x:v>
      </x:c>
    </x:row>
    <x:row r="20">
      <x:c r="A20" s="16" t="str">
        <x:v>AU-015</x:v>
      </x:c>
      <x:c r="B20" s="16" t="str">
        <x:v>boundary case</x:v>
      </x:c>
      <x:c r="C20" s="16" t="str">
        <x:v>Cases row 22 passes</x:v>
      </x:c>
      <x:c r="D20" s="47" t="str">
        <x:v>PASS</x:v>
      </x:c>
      <x:c r="E20" s="47" t="str">
        <x:f>'Cases'!H22</x:f>
        <x:v>PASS</x:v>
      </x:c>
      <x:c r="F20" s="16" t="str">
        <x:f>IF(D20=E20,"PASS","FAIL")</x:f>
        <x:v>PASS</x:v>
      </x:c>
    </x:row>
    <x:row r="21">
      <x:c r="A21" s="16" t="str">
        <x:v>AU-016</x:v>
      </x:c>
      <x:c r="B21" s="16" t="str">
        <x:v>boundary case</x:v>
      </x:c>
      <x:c r="C21" s="16" t="str">
        <x:v>Cases row 23 passes</x:v>
      </x:c>
      <x:c r="D21" s="47" t="str">
        <x:v>PASS</x:v>
      </x:c>
      <x:c r="E21" s="47" t="str">
        <x:f>'Cases'!H23</x:f>
        <x:v>PASS</x:v>
      </x:c>
      <x:c r="F21" s="16" t="str">
        <x:f>IF(D21=E21,"PASS","FAIL")</x:f>
        <x:v>PASS</x:v>
      </x:c>
    </x:row>
    <x:row r="22">
      <x:c r="A22" s="16" t="str">
        <x:v>AU-017</x:v>
      </x:c>
      <x:c r="B22" s="16" t="str">
        <x:v>boundary case</x:v>
      </x:c>
      <x:c r="C22" s="16" t="str">
        <x:v>Cases row 24 passes</x:v>
      </x:c>
      <x:c r="D22" s="47" t="str">
        <x:v>PASS</x:v>
      </x:c>
      <x:c r="E22" s="47" t="str">
        <x:f>'Cases'!H24</x:f>
        <x:v>PASS</x:v>
      </x:c>
      <x:c r="F22" s="16" t="str">
        <x:f>IF(D22=E22,"PASS","FAIL")</x:f>
        <x:v>PASS</x:v>
      </x:c>
    </x:row>
    <x:row r="23">
      <x:c r="A23" s="16" t="str">
        <x:v>AU-018</x:v>
      </x:c>
      <x:c r="B23" s="16" t="str">
        <x:v>boundary case</x:v>
      </x:c>
      <x:c r="C23" s="16" t="str">
        <x:v>Cases row 25 passes</x:v>
      </x:c>
      <x:c r="D23" s="47" t="str">
        <x:v>PASS</x:v>
      </x:c>
      <x:c r="E23" s="47" t="str">
        <x:f>'Cases'!H25</x:f>
        <x:v>PASS</x:v>
      </x:c>
      <x:c r="F23" s="16" t="str">
        <x:f>IF(D23=E23,"PASS","FAIL")</x:f>
        <x:v>PASS</x:v>
      </x:c>
    </x:row>
    <x:row r="24">
      <x:c r="A24" s="16" t="str">
        <x:v>AU-019</x:v>
      </x:c>
      <x:c r="B24" s="16" t="str">
        <x:v>boundary case</x:v>
      </x:c>
      <x:c r="C24" s="16" t="str">
        <x:v>Cases row 26 passes</x:v>
      </x:c>
      <x:c r="D24" s="47" t="str">
        <x:v>PASS</x:v>
      </x:c>
      <x:c r="E24" s="47" t="str">
        <x:f>'Cases'!H26</x:f>
        <x:v>PASS</x:v>
      </x:c>
      <x:c r="F24" s="16" t="str">
        <x:f>IF(D24=E24,"PASS","FAIL")</x:f>
        <x:v>PASS</x:v>
      </x:c>
    </x:row>
    <x:row r="25">
      <x:c r="A25" s="16" t="str">
        <x:v>AU-020</x:v>
      </x:c>
      <x:c r="B25" s="16" t="str">
        <x:v>boundary case</x:v>
      </x:c>
      <x:c r="C25" s="16" t="str">
        <x:v>Cases row 27 passes</x:v>
      </x:c>
      <x:c r="D25" s="47" t="str">
        <x:v>PASS</x:v>
      </x:c>
      <x:c r="E25" s="47" t="str">
        <x:f>'Cases'!H27</x:f>
        <x:v>PASS</x:v>
      </x:c>
      <x:c r="F25" s="16" t="str">
        <x:f>IF(D25=E25,"PASS","FAIL")</x:f>
        <x:v>PASS</x:v>
      </x:c>
    </x:row>
    <x:row r="26">
      <x:c r="A26" s="16" t="str">
        <x:v>AU-021</x:v>
      </x:c>
      <x:c r="B26" s="16" t="str">
        <x:v>boundary case</x:v>
      </x:c>
      <x:c r="C26" s="16" t="str">
        <x:v>Cases row 28 passes</x:v>
      </x:c>
      <x:c r="D26" s="47" t="str">
        <x:v>PASS</x:v>
      </x:c>
      <x:c r="E26" s="47" t="str">
        <x:f>'Cases'!H28</x:f>
        <x:v>PASS</x:v>
      </x:c>
      <x:c r="F26" s="16" t="str">
        <x:f>IF(D26=E26,"PASS","FAIL")</x:f>
        <x:v>PASS</x:v>
      </x:c>
    </x:row>
    <x:row r="27">
      <x:c r="A27" s="16" t="str">
        <x:v>AU-022</x:v>
      </x:c>
      <x:c r="B27" s="16" t="str">
        <x:v>boundary case</x:v>
      </x:c>
      <x:c r="C27" s="16" t="str">
        <x:v>Cases row 29 passes</x:v>
      </x:c>
      <x:c r="D27" s="47" t="str">
        <x:v>PASS</x:v>
      </x:c>
      <x:c r="E27" s="47" t="str">
        <x:f>'Cases'!H29</x:f>
        <x:v>PASS</x:v>
      </x:c>
      <x:c r="F27" s="16" t="str">
        <x:f>IF(D27=E27,"PASS","FAIL")</x:f>
        <x:v>PASS</x:v>
      </x:c>
    </x:row>
    <x:row r="28">
      <x:c r="A28" s="16" t="str">
        <x:v>AU-023</x:v>
      </x:c>
      <x:c r="B28" s="16" t="str">
        <x:v>boundary case</x:v>
      </x:c>
      <x:c r="C28" s="16" t="str">
        <x:v>Cases row 30 passes</x:v>
      </x:c>
      <x:c r="D28" s="47" t="str">
        <x:v>PASS</x:v>
      </x:c>
      <x:c r="E28" s="47" t="str">
        <x:f>'Cases'!H30</x:f>
        <x:v>PASS</x:v>
      </x:c>
      <x:c r="F28" s="16" t="str">
        <x:f>IF(D28=E28,"PASS","FAIL")</x:f>
        <x:v>PASS</x:v>
      </x:c>
    </x:row>
    <x:row r="29">
      <x:c r="A29" s="16" t="str">
        <x:v>AU-024</x:v>
      </x:c>
      <x:c r="B29" s="16" t="str">
        <x:v>boundary case</x:v>
      </x:c>
      <x:c r="C29" s="16" t="str">
        <x:v>Cases row 31 passes</x:v>
      </x:c>
      <x:c r="D29" s="47" t="str">
        <x:v>PASS</x:v>
      </x:c>
      <x:c r="E29" s="47" t="str">
        <x:f>'Cases'!H31</x:f>
        <x:v>PASS</x:v>
      </x:c>
      <x:c r="F29" s="16" t="str">
        <x:f>IF(D29=E29,"PASS","FAIL")</x:f>
        <x:v>PASS</x:v>
      </x:c>
    </x:row>
    <x:row r="30">
      <x:c r="A30" s="16" t="str">
        <x:v>AU-025</x:v>
      </x:c>
      <x:c r="B30" s="16" t="str">
        <x:v>boundary case</x:v>
      </x:c>
      <x:c r="C30" s="16" t="str">
        <x:v>Cases row 32 passes</x:v>
      </x:c>
      <x:c r="D30" s="47" t="str">
        <x:v>PASS</x:v>
      </x:c>
      <x:c r="E30" s="47" t="str">
        <x:f>'Cases'!H32</x:f>
        <x:v>PASS</x:v>
      </x:c>
      <x:c r="F30" s="16" t="str">
        <x:f>IF(D30=E30,"PASS","FAIL")</x:f>
        <x:v>PASS</x:v>
      </x:c>
    </x:row>
    <x:row r="31">
      <x:c r="A31" s="16" t="str">
        <x:v>AU-026</x:v>
      </x:c>
      <x:c r="B31" s="16" t="str">
        <x:v>boundary case</x:v>
      </x:c>
      <x:c r="C31" s="16" t="str">
        <x:v>Cases row 33 passes</x:v>
      </x:c>
      <x:c r="D31" s="47" t="str">
        <x:v>PASS</x:v>
      </x:c>
      <x:c r="E31" s="47" t="str">
        <x:f>'Cases'!H33</x:f>
        <x:v>PASS</x:v>
      </x:c>
      <x:c r="F31" s="16" t="str">
        <x:f>IF(D31=E31,"PASS","FAIL")</x:f>
        <x:v>PASS</x:v>
      </x:c>
    </x:row>
    <x:row r="32">
      <x:c r="A32" s="16" t="str">
        <x:v>AU-027</x:v>
      </x:c>
      <x:c r="B32" s="16" t="str">
        <x:v>boundary case</x:v>
      </x:c>
      <x:c r="C32" s="16" t="str">
        <x:v>Cases row 34 passes</x:v>
      </x:c>
      <x:c r="D32" s="47" t="str">
        <x:v>PASS</x:v>
      </x:c>
      <x:c r="E32" s="47" t="str">
        <x:f>'Cases'!H34</x:f>
        <x:v>PASS</x:v>
      </x:c>
      <x:c r="F32" s="16" t="str">
        <x:f>IF(D32=E32,"PASS","FAIL")</x:f>
        <x:v>PASS</x:v>
      </x:c>
    </x:row>
    <x:row r="33">
      <x:c r="A33" s="16" t="str">
        <x:v>AU-028</x:v>
      </x:c>
      <x:c r="B33" s="16" t="str">
        <x:v>boundary case</x:v>
      </x:c>
      <x:c r="C33" s="16" t="str">
        <x:v>Cases row 35 passes</x:v>
      </x:c>
      <x:c r="D33" s="47" t="str">
        <x:v>PASS</x:v>
      </x:c>
      <x:c r="E33" s="47" t="str">
        <x:f>'Cases'!H35</x:f>
        <x:v>PASS</x:v>
      </x:c>
      <x:c r="F33" s="16" t="str">
        <x:f>IF(D33=E33,"PASS","FAIL")</x:f>
        <x:v>PASS</x:v>
      </x:c>
    </x:row>
    <x:row r="34">
      <x:c r="A34" s="16" t="str">
        <x:v>AU-029</x:v>
      </x:c>
      <x:c r="B34" s="16" t="str">
        <x:v>boundary case</x:v>
      </x:c>
      <x:c r="C34" s="16" t="str">
        <x:v>Cases row 36 passes</x:v>
      </x:c>
      <x:c r="D34" s="47" t="str">
        <x:v>PASS</x:v>
      </x:c>
      <x:c r="E34" s="47" t="str">
        <x:f>'Cases'!H36</x:f>
        <x:v>PASS</x:v>
      </x:c>
      <x:c r="F34" s="16" t="str">
        <x:f>IF(D34=E34,"PASS","FAIL")</x:f>
        <x:v>PASS</x:v>
      </x:c>
    </x:row>
    <x:row r="35">
      <x:c r="A35" s="16" t="str">
        <x:v>AU-030</x:v>
      </x:c>
      <x:c r="B35" s="16" t="str">
        <x:v>boundary case</x:v>
      </x:c>
      <x:c r="C35" s="16" t="str">
        <x:v>Cases row 37 passes</x:v>
      </x:c>
      <x:c r="D35" s="47" t="str">
        <x:v>PASS</x:v>
      </x:c>
      <x:c r="E35" s="47" t="str">
        <x:f>'Cases'!H37</x:f>
        <x:v>PASS</x:v>
      </x:c>
      <x:c r="F35" s="16" t="str">
        <x:f>IF(D35=E35,"PASS","FAIL")</x:f>
        <x:v>PASS</x:v>
      </x:c>
    </x:row>
    <x:row r="36">
      <x:c r="A36" s="16" t="str">
        <x:v>AU-031</x:v>
      </x:c>
      <x:c r="B36" s="16" t="str">
        <x:v>boundary case</x:v>
      </x:c>
      <x:c r="C36" s="16" t="str">
        <x:v>Cases row 38 passes</x:v>
      </x:c>
      <x:c r="D36" s="47" t="str">
        <x:v>PASS</x:v>
      </x:c>
      <x:c r="E36" s="47" t="str">
        <x:f>'Cases'!H38</x:f>
        <x:v>PASS</x:v>
      </x:c>
      <x:c r="F36" s="16" t="str">
        <x:f>IF(D36=E36,"PASS","FAIL")</x:f>
        <x:v>PASS</x:v>
      </x:c>
    </x:row>
    <x:row r="37">
      <x:c r="A37" s="16" t="str">
        <x:v>AU-032</x:v>
      </x:c>
      <x:c r="B37" s="16" t="str">
        <x:v>boundary case</x:v>
      </x:c>
      <x:c r="C37" s="16" t="str">
        <x:v>Cases row 39 passes</x:v>
      </x:c>
      <x:c r="D37" s="47" t="str">
        <x:v>PASS</x:v>
      </x:c>
      <x:c r="E37" s="47" t="str">
        <x:f>'Cases'!H39</x:f>
        <x:v>PASS</x:v>
      </x:c>
      <x:c r="F37" s="16" t="str">
        <x:f>IF(D37=E37,"PASS","FAIL")</x:f>
        <x:v>PASS</x:v>
      </x:c>
    </x:row>
    <x:row r="38">
      <x:c r="A38" s="16" t="str">
        <x:v>AU-033</x:v>
      </x:c>
      <x:c r="B38" s="16" t="str">
        <x:v>boundary case</x:v>
      </x:c>
      <x:c r="C38" s="16" t="str">
        <x:v>Cases row 40 passes</x:v>
      </x:c>
      <x:c r="D38" s="47" t="str">
        <x:v>PASS</x:v>
      </x:c>
      <x:c r="E38" s="47" t="str">
        <x:f>'Cases'!H40</x:f>
        <x:v>PASS</x:v>
      </x:c>
      <x:c r="F38" s="16" t="str">
        <x:f>IF(D38=E38,"PASS","FAIL")</x:f>
        <x:v>PASS</x:v>
      </x:c>
    </x:row>
    <x:row r="39">
      <x:c r="A39" s="16" t="str">
        <x:v>AU-034</x:v>
      </x:c>
      <x:c r="B39" s="16" t="str">
        <x:v>boundary case</x:v>
      </x:c>
      <x:c r="C39" s="16" t="str">
        <x:v>Cases row 41 passes</x:v>
      </x:c>
      <x:c r="D39" s="47" t="str">
        <x:v>PASS</x:v>
      </x:c>
      <x:c r="E39" s="47" t="str">
        <x:f>'Cases'!H41</x:f>
        <x:v>PASS</x:v>
      </x:c>
      <x:c r="F39" s="16" t="str">
        <x:f>IF(D39=E39,"PASS","FAIL")</x:f>
        <x:v>PASS</x:v>
      </x:c>
    </x:row>
    <x:row r="40">
      <x:c r="A40" s="16" t="str">
        <x:v>AU-035</x:v>
      </x:c>
      <x:c r="B40" s="16" t="str">
        <x:v>boundary case</x:v>
      </x:c>
      <x:c r="C40" s="16" t="str">
        <x:v>Cases row 42 passes</x:v>
      </x:c>
      <x:c r="D40" s="47" t="str">
        <x:v>PASS</x:v>
      </x:c>
      <x:c r="E40" s="47" t="str">
        <x:f>'Cases'!H42</x:f>
        <x:v>PASS</x:v>
      </x:c>
      <x:c r="F40" s="16" t="str">
        <x:f>IF(D40=E40,"PASS","FAIL")</x:f>
        <x:v>PASS</x:v>
      </x:c>
    </x:row>
    <x:row r="41">
      <x:c r="A41" s="16" t="str">
        <x:v>AU-036</x:v>
      </x:c>
      <x:c r="B41" s="16" t="str">
        <x:v>boundary case</x:v>
      </x:c>
      <x:c r="C41" s="16" t="str">
        <x:v>Cases row 43 passes</x:v>
      </x:c>
      <x:c r="D41" s="47" t="str">
        <x:v>PASS</x:v>
      </x:c>
      <x:c r="E41" s="47" t="str">
        <x:f>'Cases'!H43</x:f>
        <x:v>PASS</x:v>
      </x:c>
      <x:c r="F41" s="16" t="str">
        <x:f>IF(D41=E41,"PASS","FAIL")</x:f>
        <x:v>PASS</x:v>
      </x:c>
    </x:row>
    <x:row r="42">
      <x:c r="A42" s="16" t="str">
        <x:v>AU-037</x:v>
      </x:c>
      <x:c r="B42" s="16" t="str">
        <x:v>boundary case</x:v>
      </x:c>
      <x:c r="C42" s="16" t="str">
        <x:v>Cases row 44 passes</x:v>
      </x:c>
      <x:c r="D42" s="47" t="str">
        <x:v>PASS</x:v>
      </x:c>
      <x:c r="E42" s="47" t="str">
        <x:f>'Cases'!H44</x:f>
        <x:v>PASS</x:v>
      </x:c>
      <x:c r="F42" s="16" t="str">
        <x:f>IF(D42=E42,"PASS","FAIL")</x:f>
        <x:v>PASS</x:v>
      </x:c>
    </x:row>
    <x:row r="43">
      <x:c r="A43" s="16" t="str">
        <x:v>AU-038</x:v>
      </x:c>
      <x:c r="B43" s="16" t="str">
        <x:v>boundary case</x:v>
      </x:c>
      <x:c r="C43" s="16" t="str">
        <x:v>Cases row 45 passes</x:v>
      </x:c>
      <x:c r="D43" s="47" t="str">
        <x:v>PASS</x:v>
      </x:c>
      <x:c r="E43" s="47" t="str">
        <x:f>'Cases'!H45</x:f>
        <x:v>PASS</x:v>
      </x:c>
      <x:c r="F43" s="16" t="str">
        <x:f>IF(D43=E43,"PASS","FAIL")</x:f>
        <x:v>PASS</x:v>
      </x:c>
    </x:row>
    <x:row r="44">
      <x:c r="A44" s="16" t="str">
        <x:v>AU-039</x:v>
      </x:c>
      <x:c r="B44" s="16" t="str">
        <x:v>boundary case</x:v>
      </x:c>
      <x:c r="C44" s="16" t="str">
        <x:v>Cases row 46 passes</x:v>
      </x:c>
      <x:c r="D44" s="47" t="str">
        <x:v>PASS</x:v>
      </x:c>
      <x:c r="E44" s="47" t="str">
        <x:f>'Cases'!H46</x:f>
        <x:v>PASS</x:v>
      </x:c>
      <x:c r="F44" s="16" t="str">
        <x:f>IF(D44=E44,"PASS","FAIL")</x:f>
        <x:v>PASS</x:v>
      </x:c>
    </x:row>
    <x:row r="45">
      <x:c r="A45" s="16" t="str">
        <x:v>AU-040</x:v>
      </x:c>
      <x:c r="B45" s="16" t="str">
        <x:v>boundary case</x:v>
      </x:c>
      <x:c r="C45" s="16" t="str">
        <x:v>Cases row 47 passes</x:v>
      </x:c>
      <x:c r="D45" s="47" t="str">
        <x:v>PASS</x:v>
      </x:c>
      <x:c r="E45" s="47" t="str">
        <x:f>'Cases'!H47</x:f>
        <x:v>PASS</x:v>
      </x:c>
      <x:c r="F45" s="16" t="str">
        <x:f>IF(D45=E45,"PASS","FAIL")</x:f>
        <x:v>PASS</x:v>
      </x:c>
    </x:row>
    <x:row r="46">
      <x:c r="A46" s="16" t="str">
        <x:v>AU-041</x:v>
      </x:c>
      <x:c r="B46" s="16" t="str">
        <x:v>boundary case</x:v>
      </x:c>
      <x:c r="C46" s="16" t="str">
        <x:v>Cases row 48 passes</x:v>
      </x:c>
      <x:c r="D46" s="47" t="str">
        <x:v>PASS</x:v>
      </x:c>
      <x:c r="E46" s="47" t="str">
        <x:f>'Cases'!H48</x:f>
        <x:v>PASS</x:v>
      </x:c>
      <x:c r="F46" s="16" t="str">
        <x:f>IF(D46=E46,"PASS","FAIL")</x:f>
        <x:v>PASS</x:v>
      </x:c>
    </x:row>
    <x:row r="47">
      <x:c r="A47" s="16" t="str">
        <x:v>AU-042</x:v>
      </x:c>
      <x:c r="B47" s="16" t="str">
        <x:v>boundary case</x:v>
      </x:c>
      <x:c r="C47" s="16" t="str">
        <x:v>Cases row 49 passes</x:v>
      </x:c>
      <x:c r="D47" s="47" t="str">
        <x:v>PASS</x:v>
      </x:c>
      <x:c r="E47" s="47" t="str">
        <x:f>'Cases'!H49</x:f>
        <x:v>PASS</x:v>
      </x:c>
      <x:c r="F47" s="16" t="str">
        <x:f>IF(D47=E47,"PASS","FAIL")</x:f>
        <x:v>PASS</x:v>
      </x:c>
    </x:row>
    <x:row r="48">
      <x:c r="A48" s="16" t="str">
        <x:v>AU-043</x:v>
      </x:c>
      <x:c r="B48" s="16" t="str">
        <x:v>boundary case</x:v>
      </x:c>
      <x:c r="C48" s="16" t="str">
        <x:v>Cases row 50 passes</x:v>
      </x:c>
      <x:c r="D48" s="47" t="str">
        <x:v>PASS</x:v>
      </x:c>
      <x:c r="E48" s="47" t="str">
        <x:f>'Cases'!H50</x:f>
        <x:v>PASS</x:v>
      </x:c>
      <x:c r="F48" s="16" t="str">
        <x:f>IF(D48=E48,"PASS","FAIL")</x:f>
        <x:v>PASS</x:v>
      </x:c>
    </x:row>
    <x:row r="49">
      <x:c r="A49" s="16" t="str">
        <x:v>AU-044</x:v>
      </x:c>
      <x:c r="B49" s="16" t="str">
        <x:v>boundary case</x:v>
      </x:c>
      <x:c r="C49" s="16" t="str">
        <x:v>Cases row 51 passes</x:v>
      </x:c>
      <x:c r="D49" s="47" t="str">
        <x:v>PASS</x:v>
      </x:c>
      <x:c r="E49" s="47" t="str">
        <x:f>'Cases'!H51</x:f>
        <x:v>PASS</x:v>
      </x:c>
      <x:c r="F49" s="16" t="str">
        <x:f>IF(D49=E49,"PASS","FAIL")</x:f>
        <x:v>PASS</x:v>
      </x:c>
    </x:row>
    <x:row r="50">
      <x:c r="A50" s="16" t="str">
        <x:v>AU-045</x:v>
      </x:c>
      <x:c r="B50" s="16" t="str">
        <x:v>boundary case</x:v>
      </x:c>
      <x:c r="C50" s="16" t="str">
        <x:v>Cases row 52 passes</x:v>
      </x:c>
      <x:c r="D50" s="47" t="str">
        <x:v>PASS</x:v>
      </x:c>
      <x:c r="E50" s="47" t="str">
        <x:f>'Cases'!H52</x:f>
        <x:v>PASS</x:v>
      </x:c>
      <x:c r="F50" s="16" t="str">
        <x:f>IF(D50=E50,"PASS","FAIL")</x:f>
        <x:v>PASS</x:v>
      </x:c>
    </x:row>
    <x:row r="51">
      <x:c r="A51" s="16" t="str">
        <x:v>AU-046</x:v>
      </x:c>
      <x:c r="B51" s="16" t="str">
        <x:v>boundary case</x:v>
      </x:c>
      <x:c r="C51" s="16" t="str">
        <x:v>Cases row 53 passes</x:v>
      </x:c>
      <x:c r="D51" s="47" t="str">
        <x:v>PASS</x:v>
      </x:c>
      <x:c r="E51" s="47" t="str">
        <x:f>'Cases'!H53</x:f>
        <x:v>PASS</x:v>
      </x:c>
      <x:c r="F51" s="16" t="str">
        <x:f>IF(D51=E51,"PASS","FAIL")</x:f>
        <x:v>PASS</x:v>
      </x:c>
    </x:row>
    <x:row r="52">
      <x:c r="A52" s="16" t="str">
        <x:v>AU-047</x:v>
      </x:c>
      <x:c r="B52" s="16" t="str">
        <x:v>boundary case</x:v>
      </x:c>
      <x:c r="C52" s="16" t="str">
        <x:v>Cases row 54 passes</x:v>
      </x:c>
      <x:c r="D52" s="47" t="str">
        <x:v>PASS</x:v>
      </x:c>
      <x:c r="E52" s="47" t="str">
        <x:f>'Cases'!H54</x:f>
        <x:v>PASS</x:v>
      </x:c>
      <x:c r="F52" s="16" t="str">
        <x:f>IF(D52=E52,"PASS","FAIL")</x:f>
        <x:v>PASS</x:v>
      </x:c>
    </x:row>
    <x:row r="53">
      <x:c r="A53" s="16" t="str">
        <x:v>AU-048</x:v>
      </x:c>
      <x:c r="B53" s="16" t="str">
        <x:v>boundary case</x:v>
      </x:c>
      <x:c r="C53" s="16" t="str">
        <x:v>Cases row 55 passes</x:v>
      </x:c>
      <x:c r="D53" s="47" t="str">
        <x:v>PASS</x:v>
      </x:c>
      <x:c r="E53" s="47" t="str">
        <x:f>'Cases'!H55</x:f>
        <x:v>PASS</x:v>
      </x:c>
      <x:c r="F53" s="16" t="str">
        <x:f>IF(D53=E53,"PASS","FAIL")</x:f>
        <x:v>PASS</x:v>
      </x:c>
    </x:row>
    <x:row r="54">
      <x:c r="A54" s="16" t="str">
        <x:v>AU-049</x:v>
      </x:c>
      <x:c r="B54" s="16" t="str">
        <x:v>boundary case</x:v>
      </x:c>
      <x:c r="C54" s="16" t="str">
        <x:v>Cases row 56 passes</x:v>
      </x:c>
      <x:c r="D54" s="47" t="str">
        <x:v>PASS</x:v>
      </x:c>
      <x:c r="E54" s="47" t="str">
        <x:f>'Cases'!H56</x:f>
        <x:v>PASS</x:v>
      </x:c>
      <x:c r="F54" s="16" t="str">
        <x:f>IF(D54=E54,"PASS","FAIL")</x:f>
        <x:v>PASS</x:v>
      </x:c>
    </x:row>
    <x:row r="55">
      <x:c r="A55" s="16" t="str">
        <x:v>AU-050</x:v>
      </x:c>
      <x:c r="B55" s="16" t="str">
        <x:v>boundary case</x:v>
      </x:c>
      <x:c r="C55" s="16" t="str">
        <x:v>Cases row 57 passes</x:v>
      </x:c>
      <x:c r="D55" s="47" t="str">
        <x:v>PASS</x:v>
      </x:c>
      <x:c r="E55" s="47" t="str">
        <x:f>'Cases'!H57</x:f>
        <x:v>PASS</x:v>
      </x:c>
      <x:c r="F55" s="16" t="str">
        <x:f>IF(D55=E55,"PASS","FAIL")</x:f>
        <x:v>PASS</x:v>
      </x:c>
    </x:row>
    <x:row r="56">
      <x:c r="A56" s="16" t="str">
        <x:v>AU-051</x:v>
      </x:c>
      <x:c r="B56" s="16" t="str">
        <x:v>boundary case</x:v>
      </x:c>
      <x:c r="C56" s="16" t="str">
        <x:v>Cases row 58 passes</x:v>
      </x:c>
      <x:c r="D56" s="47" t="str">
        <x:v>PASS</x:v>
      </x:c>
      <x:c r="E56" s="47" t="str">
        <x:f>'Cases'!H58</x:f>
        <x:v>PASS</x:v>
      </x:c>
      <x:c r="F56" s="16" t="str">
        <x:f>IF(D56=E56,"PASS","FAIL")</x:f>
        <x:v>PASS</x:v>
      </x:c>
    </x:row>
    <x:row r="57">
      <x:c r="A57" s="16" t="str">
        <x:v>AU-052</x:v>
      </x:c>
      <x:c r="B57" s="16" t="str">
        <x:v>boundary case</x:v>
      </x:c>
      <x:c r="C57" s="16" t="str">
        <x:v>Cases row 59 passes</x:v>
      </x:c>
      <x:c r="D57" s="47" t="str">
        <x:v>PASS</x:v>
      </x:c>
      <x:c r="E57" s="47" t="str">
        <x:f>'Cases'!H59</x:f>
        <x:v>PASS</x:v>
      </x:c>
      <x:c r="F57" s="16" t="str">
        <x:f>IF(D57=E57,"PASS","FAIL")</x:f>
        <x:v>PASS</x:v>
      </x:c>
    </x:row>
    <x:row r="58">
      <x:c r="A58" s="16" t="str">
        <x:v>AU-053</x:v>
      </x:c>
      <x:c r="B58" s="16" t="str">
        <x:v>boundary case</x:v>
      </x:c>
      <x:c r="C58" s="16" t="str">
        <x:v>Cases row 60 passes</x:v>
      </x:c>
      <x:c r="D58" s="47" t="str">
        <x:v>PASS</x:v>
      </x:c>
      <x:c r="E58" s="47" t="str">
        <x:f>'Cases'!H60</x:f>
        <x:v>PASS</x:v>
      </x:c>
      <x:c r="F58" s="16" t="str">
        <x:f>IF(D58=E58,"PASS","FAIL")</x:f>
        <x:v>PASS</x:v>
      </x:c>
    </x:row>
    <x:row r="59">
      <x:c r="A59" s="16" t="str">
        <x:v>AU-054</x:v>
      </x:c>
      <x:c r="B59" s="16" t="str">
        <x:v>boundary case</x:v>
      </x:c>
      <x:c r="C59" s="16" t="str">
        <x:v>Cases row 61 passes</x:v>
      </x:c>
      <x:c r="D59" s="47" t="str">
        <x:v>PASS</x:v>
      </x:c>
      <x:c r="E59" s="47" t="str">
        <x:f>'Cases'!H61</x:f>
        <x:v>PASS</x:v>
      </x:c>
      <x:c r="F59" s="16" t="str">
        <x:f>IF(D59=E59,"PASS","FAIL")</x:f>
        <x:v>PASS</x:v>
      </x:c>
    </x:row>
    <x:row r="60">
      <x:c r="A60" s="16" t="str">
        <x:v>AU-055</x:v>
      </x:c>
      <x:c r="B60" s="16" t="str">
        <x:v>boundary case</x:v>
      </x:c>
      <x:c r="C60" s="16" t="str">
        <x:v>Cases row 62 passes</x:v>
      </x:c>
      <x:c r="D60" s="47" t="str">
        <x:v>PASS</x:v>
      </x:c>
      <x:c r="E60" s="47" t="str">
        <x:f>'Cases'!H62</x:f>
        <x:v>PASS</x:v>
      </x:c>
      <x:c r="F60" s="16" t="str">
        <x:f>IF(D60=E60,"PASS","FAIL")</x:f>
        <x:v>PASS</x:v>
      </x:c>
    </x:row>
    <x:row r="61">
      <x:c r="A61" s="16" t="str">
        <x:v>AU-056</x:v>
      </x:c>
      <x:c r="B61" s="16" t="str">
        <x:v>boundary case</x:v>
      </x:c>
      <x:c r="C61" s="16" t="str">
        <x:v>Cases row 63 passes</x:v>
      </x:c>
      <x:c r="D61" s="47" t="str">
        <x:v>PASS</x:v>
      </x:c>
      <x:c r="E61" s="47" t="str">
        <x:f>'Cases'!H63</x:f>
        <x:v>PASS</x:v>
      </x:c>
      <x:c r="F61" s="16" t="str">
        <x:f>IF(D61=E61,"PASS","FAIL")</x:f>
        <x:v>PASS</x:v>
      </x:c>
    </x:row>
    <x:row r="62">
      <x:c r="A62" s="16" t="str">
        <x:v>AU-057</x:v>
      </x:c>
      <x:c r="B62" s="16" t="str">
        <x:v>boundary case</x:v>
      </x:c>
      <x:c r="C62" s="16" t="str">
        <x:v>Cases row 64 passes</x:v>
      </x:c>
      <x:c r="D62" s="47" t="str">
        <x:v>PASS</x:v>
      </x:c>
      <x:c r="E62" s="47" t="str">
        <x:f>'Cases'!H64</x:f>
        <x:v>PASS</x:v>
      </x:c>
      <x:c r="F62" s="16" t="str">
        <x:f>IF(D62=E62,"PASS","FAIL")</x:f>
        <x:v>PASS</x:v>
      </x:c>
    </x:row>
    <x:row r="63">
      <x:c r="A63" s="16" t="str">
        <x:v>AU-058</x:v>
      </x:c>
      <x:c r="B63" s="16" t="str">
        <x:v>boundary case</x:v>
      </x:c>
      <x:c r="C63" s="16" t="str">
        <x:v>Cases row 65 passes</x:v>
      </x:c>
      <x:c r="D63" s="47" t="str">
        <x:v>PASS</x:v>
      </x:c>
      <x:c r="E63" s="47" t="str">
        <x:f>'Cases'!H65</x:f>
        <x:v>PASS</x:v>
      </x:c>
      <x:c r="F63" s="16" t="str">
        <x:f>IF(D63=E63,"PASS","FAIL")</x:f>
        <x:v>PASS</x:v>
      </x:c>
    </x:row>
    <x:row r="64">
      <x:c r="A64" s="16" t="str">
        <x:v>AU-059</x:v>
      </x:c>
      <x:c r="B64" s="16" t="str">
        <x:v>boundary case</x:v>
      </x:c>
      <x:c r="C64" s="16" t="str">
        <x:v>Cases row 66 passes</x:v>
      </x:c>
      <x:c r="D64" s="47" t="str">
        <x:v>PASS</x:v>
      </x:c>
      <x:c r="E64" s="47" t="str">
        <x:f>'Cases'!H66</x:f>
        <x:v>PASS</x:v>
      </x:c>
      <x:c r="F64" s="16" t="str">
        <x:f>IF(D64=E64,"PASS","FAIL")</x:f>
        <x:v>PASS</x:v>
      </x:c>
    </x:row>
    <x:row r="65">
      <x:c r="A65" s="16" t="str">
        <x:v>AU-060</x:v>
      </x:c>
      <x:c r="B65" s="16" t="str">
        <x:v>boundary case</x:v>
      </x:c>
      <x:c r="C65" s="16" t="str">
        <x:v>Cases row 67 passes</x:v>
      </x:c>
      <x:c r="D65" s="47" t="str">
        <x:v>PASS</x:v>
      </x:c>
      <x:c r="E65" s="47" t="str">
        <x:f>'Cases'!H67</x:f>
        <x:v>PASS</x:v>
      </x:c>
      <x:c r="F65" s="16" t="str">
        <x:f>IF(D65=E65,"PASS","FAIL")</x:f>
        <x:v>PASS</x:v>
      </x:c>
    </x:row>
    <x:row r="66">
      <x:c r="A66" s="16" t="str">
        <x:v>AU-061</x:v>
      </x:c>
      <x:c r="B66" s="16" t="str">
        <x:v>boundary case</x:v>
      </x:c>
      <x:c r="C66" s="16" t="str">
        <x:v>Cases row 68 passes</x:v>
      </x:c>
      <x:c r="D66" s="47" t="str">
        <x:v>PASS</x:v>
      </x:c>
      <x:c r="E66" s="47" t="str">
        <x:f>'Cases'!H68</x:f>
        <x:v>PASS</x:v>
      </x:c>
      <x:c r="F66" s="16" t="str">
        <x:f>IF(D66=E66,"PASS","FAIL")</x:f>
        <x:v>PASS</x:v>
      </x:c>
    </x:row>
    <x:row r="67">
      <x:c r="A67" s="16" t="str">
        <x:v>AU-062</x:v>
      </x:c>
      <x:c r="B67" s="16" t="str">
        <x:v>boundary case</x:v>
      </x:c>
      <x:c r="C67" s="16" t="str">
        <x:v>Cases row 69 passes</x:v>
      </x:c>
      <x:c r="D67" s="47" t="str">
        <x:v>PASS</x:v>
      </x:c>
      <x:c r="E67" s="47" t="str">
        <x:f>'Cases'!H69</x:f>
        <x:v>PASS</x:v>
      </x:c>
      <x:c r="F67" s="16" t="str">
        <x:f>IF(D67=E67,"PASS","FAIL")</x:f>
        <x:v>PASS</x:v>
      </x:c>
    </x:row>
    <x:row r="68">
      <x:c r="A68" s="16" t="str">
        <x:v>AU-063</x:v>
      </x:c>
      <x:c r="B68" s="16" t="str">
        <x:v>boundary case</x:v>
      </x:c>
      <x:c r="C68" s="16" t="str">
        <x:v>Cases row 70 passes</x:v>
      </x:c>
      <x:c r="D68" s="47" t="str">
        <x:v>PASS</x:v>
      </x:c>
      <x:c r="E68" s="47" t="str">
        <x:f>'Cases'!H70</x:f>
        <x:v>PASS</x:v>
      </x:c>
      <x:c r="F68" s="16" t="str">
        <x:f>IF(D68=E68,"PASS","FAIL")</x:f>
        <x:v>PASS</x:v>
      </x:c>
    </x:row>
    <x:row r="69">
      <x:c r="A69" s="16" t="str">
        <x:v>AU-064</x:v>
      </x:c>
      <x:c r="B69" s="16" t="str">
        <x:v>boundary case</x:v>
      </x:c>
      <x:c r="C69" s="16" t="str">
        <x:v>Cases row 71 passes</x:v>
      </x:c>
      <x:c r="D69" s="47" t="str">
        <x:v>PASS</x:v>
      </x:c>
      <x:c r="E69" s="47" t="str">
        <x:f>'Cases'!H71</x:f>
        <x:v>PASS</x:v>
      </x:c>
      <x:c r="F69" s="16" t="str">
        <x:f>IF(D69=E69,"PASS","FAIL")</x:f>
        <x:v>PASS</x:v>
      </x:c>
    </x:row>
    <x:row r="70">
      <x:c r="A70" s="16" t="str">
        <x:v>AU-065</x:v>
      </x:c>
      <x:c r="B70" s="16" t="str">
        <x:v>boundary case</x:v>
      </x:c>
      <x:c r="C70" s="16" t="str">
        <x:v>Cases row 72 passes</x:v>
      </x:c>
      <x:c r="D70" s="47" t="str">
        <x:v>PASS</x:v>
      </x:c>
      <x:c r="E70" s="47" t="str">
        <x:f>'Cases'!H72</x:f>
        <x:v>PASS</x:v>
      </x:c>
      <x:c r="F70" s="16" t="str">
        <x:f>IF(D70=E70,"PASS","FAIL")</x:f>
        <x:v>PASS</x:v>
      </x:c>
    </x:row>
    <x:row r="71">
      <x:c r="A71" s="16" t="str">
        <x:v>AU-066</x:v>
      </x:c>
      <x:c r="B71" s="16" t="str">
        <x:v>boundary case</x:v>
      </x:c>
      <x:c r="C71" s="16" t="str">
        <x:v>Cases row 73 passes</x:v>
      </x:c>
      <x:c r="D71" s="47" t="str">
        <x:v>PASS</x:v>
      </x:c>
      <x:c r="E71" s="47" t="str">
        <x:f>'Cases'!H73</x:f>
        <x:v>PASS</x:v>
      </x:c>
      <x:c r="F71" s="16" t="str">
        <x:f>IF(D71=E71,"PASS","FAIL")</x:f>
        <x:v>PASS</x:v>
      </x:c>
    </x:row>
    <x:row r="72">
      <x:c r="A72" s="16" t="str">
        <x:v>AU-067</x:v>
      </x:c>
      <x:c r="B72" s="16" t="str">
        <x:v>boundary case</x:v>
      </x:c>
      <x:c r="C72" s="16" t="str">
        <x:v>Cases row 74 passes</x:v>
      </x:c>
      <x:c r="D72" s="47" t="str">
        <x:v>PASS</x:v>
      </x:c>
      <x:c r="E72" s="47" t="str">
        <x:f>'Cases'!H74</x:f>
        <x:v>PASS</x:v>
      </x:c>
      <x:c r="F72" s="16" t="str">
        <x:f>IF(D72=E72,"PASS","FAIL")</x:f>
        <x:v>PASS</x:v>
      </x:c>
    </x:row>
    <x:row r="73">
      <x:c r="A73" s="16" t="str">
        <x:v>AU-068</x:v>
      </x:c>
      <x:c r="B73" s="16" t="str">
        <x:v>boundary case</x:v>
      </x:c>
      <x:c r="C73" s="16" t="str">
        <x:v>Cases row 75 passes</x:v>
      </x:c>
      <x:c r="D73" s="47" t="str">
        <x:v>PASS</x:v>
      </x:c>
      <x:c r="E73" s="47" t="str">
        <x:f>'Cases'!H75</x:f>
        <x:v>PASS</x:v>
      </x:c>
      <x:c r="F73" s="16" t="str">
        <x:f>IF(D73=E73,"PASS","FAIL")</x:f>
        <x:v>PASS</x:v>
      </x:c>
    </x:row>
    <x:row r="74">
      <x:c r="A74" s="16" t="str">
        <x:v>AU-069</x:v>
      </x:c>
      <x:c r="B74" s="16" t="str">
        <x:v>boundary case</x:v>
      </x:c>
      <x:c r="C74" s="16" t="str">
        <x:v>Cases row 76 passes</x:v>
      </x:c>
      <x:c r="D74" s="47" t="str">
        <x:v>PASS</x:v>
      </x:c>
      <x:c r="E74" s="47" t="str">
        <x:f>'Cases'!H76</x:f>
        <x:v>PASS</x:v>
      </x:c>
      <x:c r="F74" s="16" t="str">
        <x:f>IF(D74=E74,"PASS","FAIL")</x:f>
        <x:v>PASS</x:v>
      </x:c>
    </x:row>
    <x:row r="75">
      <x:c r="A75" s="16" t="str">
        <x:v>AU-070</x:v>
      </x:c>
      <x:c r="B75" s="16" t="str">
        <x:v>boundary case</x:v>
      </x:c>
      <x:c r="C75" s="16" t="str">
        <x:v>Cases row 77 passes</x:v>
      </x:c>
      <x:c r="D75" s="47" t="str">
        <x:v>PASS</x:v>
      </x:c>
      <x:c r="E75" s="47" t="str">
        <x:f>'Cases'!H77</x:f>
        <x:v>PASS</x:v>
      </x:c>
      <x:c r="F75" s="16" t="str">
        <x:f>IF(D75=E75,"PASS","FAIL")</x:f>
        <x:v>PASS</x:v>
      </x:c>
    </x:row>
    <x:row r="76">
      <x:c r="A76" s="16" t="str">
        <x:v>AU-071</x:v>
      </x:c>
      <x:c r="B76" s="16" t="str">
        <x:v>boundary case</x:v>
      </x:c>
      <x:c r="C76" s="16" t="str">
        <x:v>Cases row 78 passes</x:v>
      </x:c>
      <x:c r="D76" s="47" t="str">
        <x:v>PASS</x:v>
      </x:c>
      <x:c r="E76" s="47" t="str">
        <x:f>'Cases'!H78</x:f>
        <x:v>PASS</x:v>
      </x:c>
      <x:c r="F76" s="16" t="str">
        <x:f>IF(D76=E76,"PASS","FAIL")</x:f>
        <x:v>PASS</x:v>
      </x:c>
    </x:row>
    <x:row r="77">
      <x:c r="A77" s="16" t="str">
        <x:v>AU-072</x:v>
      </x:c>
      <x:c r="B77" s="16" t="str">
        <x:v>boundary case</x:v>
      </x:c>
      <x:c r="C77" s="16" t="str">
        <x:v>Cases row 79 passes</x:v>
      </x:c>
      <x:c r="D77" s="47" t="str">
        <x:v>PASS</x:v>
      </x:c>
      <x:c r="E77" s="47" t="str">
        <x:f>'Cases'!H79</x:f>
        <x:v>PASS</x:v>
      </x:c>
      <x:c r="F77" s="16" t="str">
        <x:f>IF(D77=E77,"PASS","FAIL")</x:f>
        <x:v>PASS</x:v>
      </x:c>
    </x:row>
    <x:row r="78">
      <x:c r="A78" s="16" t="str">
        <x:v>AU-073</x:v>
      </x:c>
      <x:c r="B78" s="16" t="str">
        <x:v>boundary case</x:v>
      </x:c>
      <x:c r="C78" s="16" t="str">
        <x:v>Cases row 80 passes</x:v>
      </x:c>
      <x:c r="D78" s="47" t="str">
        <x:v>PASS</x:v>
      </x:c>
      <x:c r="E78" s="47" t="str">
        <x:f>'Cases'!H80</x:f>
        <x:v>PASS</x:v>
      </x:c>
      <x:c r="F78" s="16" t="str">
        <x:f>IF(D78=E78,"PASS","FAIL")</x:f>
        <x:v>PASS</x:v>
      </x:c>
    </x:row>
    <x:row r="79">
      <x:c r="A79" s="16" t="str">
        <x:v>AU-074</x:v>
      </x:c>
      <x:c r="B79" s="16" t="str">
        <x:v>boundary case</x:v>
      </x:c>
      <x:c r="C79" s="16" t="str">
        <x:v>Cases row 81 passes</x:v>
      </x:c>
      <x:c r="D79" s="47" t="str">
        <x:v>PASS</x:v>
      </x:c>
      <x:c r="E79" s="47" t="str">
        <x:f>'Cases'!H81</x:f>
        <x:v>PASS</x:v>
      </x:c>
      <x:c r="F79" s="16" t="str">
        <x:f>IF(D79=E79,"PASS","FAIL")</x:f>
        <x:v>PASS</x:v>
      </x:c>
    </x:row>
    <x:row r="80">
      <x:c r="A80" s="16" t="str">
        <x:v>AU-075</x:v>
      </x:c>
      <x:c r="B80" s="16" t="str">
        <x:v>boundary case</x:v>
      </x:c>
      <x:c r="C80" s="16" t="str">
        <x:v>Cases row 82 passes</x:v>
      </x:c>
      <x:c r="D80" s="47" t="str">
        <x:v>PASS</x:v>
      </x:c>
      <x:c r="E80" s="47" t="str">
        <x:f>'Cases'!H82</x:f>
        <x:v>PASS</x:v>
      </x:c>
      <x:c r="F80" s="16" t="str">
        <x:f>IF(D80=E80,"PASS","FAIL")</x:f>
        <x:v>PASS</x:v>
      </x:c>
    </x:row>
    <x:row r="81">
      <x:c r="A81" s="16" t="str">
        <x:v>AU-076</x:v>
      </x:c>
      <x:c r="B81" s="16" t="str">
        <x:v>boundary case</x:v>
      </x:c>
      <x:c r="C81" s="16" t="str">
        <x:v>Cases row 83 passes</x:v>
      </x:c>
      <x:c r="D81" s="47" t="str">
        <x:v>PASS</x:v>
      </x:c>
      <x:c r="E81" s="47" t="str">
        <x:f>'Cases'!H83</x:f>
        <x:v>PASS</x:v>
      </x:c>
      <x:c r="F81" s="16" t="str">
        <x:f>IF(D81=E81,"PASS","FAIL")</x:f>
        <x:v>PASS</x:v>
      </x:c>
    </x:row>
    <x:row r="82">
      <x:c r="A82" s="16" t="str">
        <x:v>AU-077</x:v>
      </x:c>
      <x:c r="B82" s="16" t="str">
        <x:v>boundary case</x:v>
      </x:c>
      <x:c r="C82" s="16" t="str">
        <x:v>Cases row 84 passes</x:v>
      </x:c>
      <x:c r="D82" s="47" t="str">
        <x:v>PASS</x:v>
      </x:c>
      <x:c r="E82" s="47" t="str">
        <x:f>'Cases'!H84</x:f>
        <x:v>PASS</x:v>
      </x:c>
      <x:c r="F82" s="16" t="str">
        <x:f>IF(D82=E82,"PASS","FAIL")</x:f>
        <x:v>PASS</x:v>
      </x:c>
    </x:row>
    <x:row r="83">
      <x:c r="A83" s="16" t="str">
        <x:v>AU-078</x:v>
      </x:c>
      <x:c r="B83" s="16" t="str">
        <x:v>boundary case</x:v>
      </x:c>
      <x:c r="C83" s="16" t="str">
        <x:v>Cases row 85 passes</x:v>
      </x:c>
      <x:c r="D83" s="47" t="str">
        <x:v>PASS</x:v>
      </x:c>
      <x:c r="E83" s="47" t="str">
        <x:f>'Cases'!H85</x:f>
        <x:v>PASS</x:v>
      </x:c>
      <x:c r="F83" s="16" t="str">
        <x:f>IF(D83=E83,"PASS","FAIL")</x:f>
        <x:v>PASS</x:v>
      </x:c>
    </x:row>
    <x:row r="84">
      <x:c r="A84" s="16" t="str">
        <x:v>AU-079</x:v>
      </x:c>
      <x:c r="B84" s="16" t="str">
        <x:v>boundary case</x:v>
      </x:c>
      <x:c r="C84" s="16" t="str">
        <x:v>Cases row 86 passes</x:v>
      </x:c>
      <x:c r="D84" s="47" t="str">
        <x:v>PASS</x:v>
      </x:c>
      <x:c r="E84" s="47" t="str">
        <x:f>'Cases'!H86</x:f>
        <x:v>PASS</x:v>
      </x:c>
      <x:c r="F84" s="16" t="str">
        <x:f>IF(D84=E84,"PASS","FAIL")</x:f>
        <x:v>PASS</x:v>
      </x:c>
    </x:row>
    <x:row r="85">
      <x:c r="A85" s="16" t="str">
        <x:v>AU-080</x:v>
      </x:c>
      <x:c r="B85" s="16" t="str">
        <x:v>boundary case</x:v>
      </x:c>
      <x:c r="C85" s="16" t="str">
        <x:v>Cases row 87 passes</x:v>
      </x:c>
      <x:c r="D85" s="47" t="str">
        <x:v>PASS</x:v>
      </x:c>
      <x:c r="E85" s="47" t="str">
        <x:f>'Cases'!H87</x:f>
        <x:v>PASS</x:v>
      </x:c>
      <x:c r="F85" s="16" t="str">
        <x:f>IF(D85=E85,"PASS","FAIL")</x:f>
        <x:v>PASS</x:v>
      </x:c>
    </x:row>
    <x:row r="86">
      <x:c r="A86" s="16" t="str">
        <x:v>AU-081</x:v>
      </x:c>
      <x:c r="B86" s="16" t="str">
        <x:v>boundary case</x:v>
      </x:c>
      <x:c r="C86" s="16" t="str">
        <x:v>Cases row 88 passes</x:v>
      </x:c>
      <x:c r="D86" s="47" t="str">
        <x:v>PASS</x:v>
      </x:c>
      <x:c r="E86" s="47" t="str">
        <x:f>'Cases'!H88</x:f>
        <x:v>PASS</x:v>
      </x:c>
      <x:c r="F86" s="16" t="str">
        <x:f>IF(D86=E86,"PASS","FAIL")</x:f>
        <x:v>PASS</x:v>
      </x:c>
    </x:row>
    <x:row r="87">
      <x:c r="A87" s="16" t="str">
        <x:v>AU-082</x:v>
      </x:c>
      <x:c r="B87" s="16" t="str">
        <x:v>boundary case</x:v>
      </x:c>
      <x:c r="C87" s="16" t="str">
        <x:v>Cases row 89 passes</x:v>
      </x:c>
      <x:c r="D87" s="47" t="str">
        <x:v>PASS</x:v>
      </x:c>
      <x:c r="E87" s="47" t="str">
        <x:f>'Cases'!H89</x:f>
        <x:v>PASS</x:v>
      </x:c>
      <x:c r="F87" s="16" t="str">
        <x:f>IF(D87=E87,"PASS","FAIL")</x:f>
        <x:v>PASS</x:v>
      </x:c>
    </x:row>
    <x:row r="88">
      <x:c r="A88" s="16" t="str">
        <x:v>AU-083</x:v>
      </x:c>
      <x:c r="B88" s="16" t="str">
        <x:v>boundary case</x:v>
      </x:c>
      <x:c r="C88" s="16" t="str">
        <x:v>Cases row 90 passes</x:v>
      </x:c>
      <x:c r="D88" s="47" t="str">
        <x:v>PASS</x:v>
      </x:c>
      <x:c r="E88" s="47" t="str">
        <x:f>'Cases'!H90</x:f>
        <x:v>PASS</x:v>
      </x:c>
      <x:c r="F88" s="16" t="str">
        <x:f>IF(D88=E88,"PASS","FAIL")</x:f>
        <x:v>PASS</x:v>
      </x:c>
    </x:row>
    <x:row r="89">
      <x:c r="A89" s="16" t="str">
        <x:v>AU-084</x:v>
      </x:c>
      <x:c r="B89" s="16" t="str">
        <x:v>boundary case</x:v>
      </x:c>
      <x:c r="C89" s="16" t="str">
        <x:v>Cases row 91 passes</x:v>
      </x:c>
      <x:c r="D89" s="47" t="str">
        <x:v>PASS</x:v>
      </x:c>
      <x:c r="E89" s="47" t="str">
        <x:f>'Cases'!H91</x:f>
        <x:v>PASS</x:v>
      </x:c>
      <x:c r="F89" s="16" t="str">
        <x:f>IF(D89=E89,"PASS","FAIL")</x:f>
        <x:v>PASS</x:v>
      </x:c>
    </x:row>
    <x:row r="90">
      <x:c r="A90" s="16" t="str">
        <x:v>AU-085</x:v>
      </x:c>
      <x:c r="B90" s="16" t="str">
        <x:v>boundary case</x:v>
      </x:c>
      <x:c r="C90" s="16" t="str">
        <x:v>Cases row 92 passes</x:v>
      </x:c>
      <x:c r="D90" s="47" t="str">
        <x:v>PASS</x:v>
      </x:c>
      <x:c r="E90" s="47" t="str">
        <x:f>'Cases'!H92</x:f>
        <x:v>PASS</x:v>
      </x:c>
      <x:c r="F90" s="16" t="str">
        <x:f>IF(D90=E90,"PASS","FAIL")</x:f>
        <x:v>PASS</x:v>
      </x:c>
    </x:row>
    <x:row r="91">
      <x:c r="A91" s="16" t="str">
        <x:v>AU-086</x:v>
      </x:c>
      <x:c r="B91" s="16" t="str">
        <x:v>boundary case</x:v>
      </x:c>
      <x:c r="C91" s="16" t="str">
        <x:v>Cases row 93 passes</x:v>
      </x:c>
      <x:c r="D91" s="47" t="str">
        <x:v>PASS</x:v>
      </x:c>
      <x:c r="E91" s="47" t="str">
        <x:f>'Cases'!H93</x:f>
        <x:v>PASS</x:v>
      </x:c>
      <x:c r="F91" s="16" t="str">
        <x:f>IF(D91=E91,"PASS","FAIL")</x:f>
        <x:v>PASS</x:v>
      </x:c>
    </x:row>
    <x:row r="92">
      <x:c r="A92" s="16" t="str">
        <x:v>AU-087</x:v>
      </x:c>
      <x:c r="B92" s="16" t="str">
        <x:v>boundary case</x:v>
      </x:c>
      <x:c r="C92" s="16" t="str">
        <x:v>Cases row 94 passes</x:v>
      </x:c>
      <x:c r="D92" s="47" t="str">
        <x:v>PASS</x:v>
      </x:c>
      <x:c r="E92" s="47" t="str">
        <x:f>'Cases'!H94</x:f>
        <x:v>PASS</x:v>
      </x:c>
      <x:c r="F92" s="16" t="str">
        <x:f>IF(D92=E92,"PASS","FAIL")</x:f>
        <x:v>PASS</x:v>
      </x:c>
    </x:row>
    <x:row r="93">
      <x:c r="A93" s="16" t="str">
        <x:v>AU-088</x:v>
      </x:c>
      <x:c r="B93" s="16" t="str">
        <x:v>boundary case</x:v>
      </x:c>
      <x:c r="C93" s="16" t="str">
        <x:v>Cases row 95 passes</x:v>
      </x:c>
      <x:c r="D93" s="47" t="str">
        <x:v>PASS</x:v>
      </x:c>
      <x:c r="E93" s="47" t="str">
        <x:f>'Cases'!H95</x:f>
        <x:v>PASS</x:v>
      </x:c>
      <x:c r="F93" s="16" t="str">
        <x:f>IF(D93=E93,"PASS","FAIL")</x:f>
        <x:v>PASS</x:v>
      </x:c>
    </x:row>
    <x:row r="94">
      <x:c r="A94" s="16" t="str">
        <x:v>AU-089</x:v>
      </x:c>
      <x:c r="B94" s="16" t="str">
        <x:v>boundary case</x:v>
      </x:c>
      <x:c r="C94" s="16" t="str">
        <x:v>Cases row 96 passes</x:v>
      </x:c>
      <x:c r="D94" s="47" t="str">
        <x:v>PASS</x:v>
      </x:c>
      <x:c r="E94" s="47" t="str">
        <x:f>'Cases'!H96</x:f>
        <x:v>PASS</x:v>
      </x:c>
      <x:c r="F94" s="16" t="str">
        <x:f>IF(D94=E94,"PASS","FAIL")</x:f>
        <x:v>PASS</x:v>
      </x:c>
    </x:row>
    <x:row r="95">
      <x:c r="A95" s="16" t="str">
        <x:v>AU-090</x:v>
      </x:c>
      <x:c r="B95" s="16" t="str">
        <x:v>boundary case</x:v>
      </x:c>
      <x:c r="C95" s="16" t="str">
        <x:v>Cases row 97 passes</x:v>
      </x:c>
      <x:c r="D95" s="47" t="str">
        <x:v>PASS</x:v>
      </x:c>
      <x:c r="E95" s="47" t="str">
        <x:f>'Cases'!H97</x:f>
        <x:v>PASS</x:v>
      </x:c>
      <x:c r="F95" s="16" t="str">
        <x:f>IF(D95=E95,"PASS","FAIL")</x:f>
        <x:v>PASS</x:v>
      </x:c>
    </x:row>
    <x:row r="96">
      <x:c r="A96" s="16" t="str">
        <x:v>AU-091</x:v>
      </x:c>
      <x:c r="B96" s="16" t="str">
        <x:v>boundary case</x:v>
      </x:c>
      <x:c r="C96" s="16" t="str">
        <x:v>Cases row 98 passes</x:v>
      </x:c>
      <x:c r="D96" s="47" t="str">
        <x:v>PASS</x:v>
      </x:c>
      <x:c r="E96" s="47" t="str">
        <x:f>'Cases'!H98</x:f>
        <x:v>PASS</x:v>
      </x:c>
      <x:c r="F96" s="16" t="str">
        <x:f>IF(D96=E96,"PASS","FAIL")</x:f>
        <x:v>PASS</x:v>
      </x:c>
    </x:row>
    <x:row r="97">
      <x:c r="A97" s="16" t="str">
        <x:v>AU-092</x:v>
      </x:c>
      <x:c r="B97" s="16" t="str">
        <x:v>boundary case</x:v>
      </x:c>
      <x:c r="C97" s="16" t="str">
        <x:v>Cases row 99 passes</x:v>
      </x:c>
      <x:c r="D97" s="47" t="str">
        <x:v>PASS</x:v>
      </x:c>
      <x:c r="E97" s="47" t="str">
        <x:f>'Cases'!H99</x:f>
        <x:v>PASS</x:v>
      </x:c>
      <x:c r="F97" s="16" t="str">
        <x:f>IF(D97=E97,"PASS","FAIL")</x:f>
        <x:v>PASS</x:v>
      </x:c>
    </x:row>
    <x:row r="98">
      <x:c r="A98" s="16" t="str">
        <x:v>AU-093</x:v>
      </x:c>
      <x:c r="B98" s="16" t="str">
        <x:v>boundary case</x:v>
      </x:c>
      <x:c r="C98" s="16" t="str">
        <x:v>Cases row 100 passes</x:v>
      </x:c>
      <x:c r="D98" s="47" t="str">
        <x:v>PASS</x:v>
      </x:c>
      <x:c r="E98" s="47" t="str">
        <x:f>'Cases'!H100</x:f>
        <x:v>PASS</x:v>
      </x:c>
      <x:c r="F98" s="16" t="str">
        <x:f>IF(D98=E98,"PASS","FAIL")</x:f>
        <x:v>PASS</x:v>
      </x:c>
    </x:row>
    <x:row r="99">
      <x:c r="A99" s="16" t="str">
        <x:v>AU-094</x:v>
      </x:c>
      <x:c r="B99" s="16" t="str">
        <x:v>boundary case</x:v>
      </x:c>
      <x:c r="C99" s="16" t="str">
        <x:v>Cases row 101 passes</x:v>
      </x:c>
      <x:c r="D99" s="47" t="str">
        <x:v>PASS</x:v>
      </x:c>
      <x:c r="E99" s="47" t="str">
        <x:f>'Cases'!H101</x:f>
        <x:v>PASS</x:v>
      </x:c>
      <x:c r="F99" s="16" t="str">
        <x:f>IF(D99=E99,"PASS","FAIL")</x:f>
        <x:v>PASS</x:v>
      </x:c>
    </x:row>
    <x:row r="100">
      <x:c r="A100" s="16" t="str">
        <x:v>AU-095</x:v>
      </x:c>
      <x:c r="B100" s="16" t="str">
        <x:v>boundary case</x:v>
      </x:c>
      <x:c r="C100" s="16" t="str">
        <x:v>Cases row 102 passes</x:v>
      </x:c>
      <x:c r="D100" s="47" t="str">
        <x:v>PASS</x:v>
      </x:c>
      <x:c r="E100" s="47" t="str">
        <x:f>'Cases'!H102</x:f>
        <x:v>PASS</x:v>
      </x:c>
      <x:c r="F100" s="16" t="str">
        <x:f>IF(D100=E100,"PASS","FAIL")</x:f>
        <x:v>PASS</x:v>
      </x:c>
    </x:row>
    <x:row r="101">
      <x:c r="A101" s="16" t="str">
        <x:v>AU-096</x:v>
      </x:c>
      <x:c r="B101" s="16" t="str">
        <x:v>boundary case</x:v>
      </x:c>
      <x:c r="C101" s="16" t="str">
        <x:v>Cases row 103 passes</x:v>
      </x:c>
      <x:c r="D101" s="47" t="str">
        <x:v>PASS</x:v>
      </x:c>
      <x:c r="E101" s="47" t="str">
        <x:f>'Cases'!H103</x:f>
        <x:v>PASS</x:v>
      </x:c>
      <x:c r="F101" s="16" t="str">
        <x:f>IF(D101=E101,"PASS","FAIL")</x:f>
        <x:v>PASS</x:v>
      </x:c>
    </x:row>
    <x:row r="102">
      <x:c r="A102" s="16" t="str">
        <x:v>AU-097</x:v>
      </x:c>
      <x:c r="B102" s="16" t="str">
        <x:v>boundary case</x:v>
      </x:c>
      <x:c r="C102" s="16" t="str">
        <x:v>Cases row 104 passes</x:v>
      </x:c>
      <x:c r="D102" s="47" t="str">
        <x:v>PASS</x:v>
      </x:c>
      <x:c r="E102" s="47" t="str">
        <x:f>'Cases'!H104</x:f>
        <x:v>PASS</x:v>
      </x:c>
      <x:c r="F102" s="16" t="str">
        <x:f>IF(D102=E102,"PASS","FAIL")</x:f>
        <x:v>PASS</x:v>
      </x:c>
    </x:row>
    <x:row r="103">
      <x:c r="A103" s="16" t="str">
        <x:v>AU-098</x:v>
      </x:c>
      <x:c r="B103" s="16" t="str">
        <x:v>boundary case</x:v>
      </x:c>
      <x:c r="C103" s="16" t="str">
        <x:v>Cases row 105 passes</x:v>
      </x:c>
      <x:c r="D103" s="47" t="str">
        <x:v>PASS</x:v>
      </x:c>
      <x:c r="E103" s="47" t="str">
        <x:f>'Cases'!H105</x:f>
        <x:v>PASS</x:v>
      </x:c>
      <x:c r="F103" s="16" t="str">
        <x:f>IF(D103=E103,"PASS","FAIL")</x:f>
        <x:v>PASS</x:v>
      </x:c>
    </x:row>
    <x:row r="104">
      <x:c r="A104" s="16" t="str">
        <x:v>AU-099</x:v>
      </x:c>
      <x:c r="B104" s="16" t="str">
        <x:v>boundary case</x:v>
      </x:c>
      <x:c r="C104" s="16" t="str">
        <x:v>Cases row 106 passes</x:v>
      </x:c>
      <x:c r="D104" s="47" t="str">
        <x:v>PASS</x:v>
      </x:c>
      <x:c r="E104" s="47" t="str">
        <x:f>'Cases'!H106</x:f>
        <x:v>PASS</x:v>
      </x:c>
      <x:c r="F104" s="16" t="str">
        <x:f>IF(D104=E104,"PASS","FAIL")</x:f>
        <x:v>PASS</x:v>
      </x:c>
    </x:row>
    <x:row r="105">
      <x:c r="A105" s="16" t="str">
        <x:v>AU-100</x:v>
      </x:c>
      <x:c r="B105" s="16" t="str">
        <x:v>boundary case</x:v>
      </x:c>
      <x:c r="C105" s="16" t="str">
        <x:v>Cases row 107 passes</x:v>
      </x:c>
      <x:c r="D105" s="47" t="str">
        <x:v>PASS</x:v>
      </x:c>
      <x:c r="E105" s="47" t="str">
        <x:f>'Cases'!H107</x:f>
        <x:v>PASS</x:v>
      </x:c>
      <x:c r="F105" s="16" t="str">
        <x:f>IF(D105=E105,"PASS","FAIL")</x:f>
        <x:v>PASS</x:v>
      </x:c>
    </x:row>
    <x:row r="106">
      <x:c r="A106" s="16" t="str">
        <x:v>AU-101</x:v>
      </x:c>
      <x:c r="B106" s="16" t="str">
        <x:v>boundary case</x:v>
      </x:c>
      <x:c r="C106" s="16" t="str">
        <x:v>Cases row 108 passes</x:v>
      </x:c>
      <x:c r="D106" s="47" t="str">
        <x:v>PASS</x:v>
      </x:c>
      <x:c r="E106" s="47" t="str">
        <x:f>'Cases'!H108</x:f>
        <x:v>PASS</x:v>
      </x:c>
      <x:c r="F106" s="16" t="str">
        <x:f>IF(D106=E106,"PASS","FAIL")</x:f>
        <x:v>PASS</x:v>
      </x:c>
    </x:row>
    <x:row r="107">
      <x:c r="A107" s="16" t="str">
        <x:v>AU-102</x:v>
      </x:c>
      <x:c r="B107" s="16" t="str">
        <x:v>boundary case</x:v>
      </x:c>
      <x:c r="C107" s="16" t="str">
        <x:v>Cases row 109 passes</x:v>
      </x:c>
      <x:c r="D107" s="47" t="str">
        <x:v>PASS</x:v>
      </x:c>
      <x:c r="E107" s="47" t="str">
        <x:f>'Cases'!H109</x:f>
        <x:v>PASS</x:v>
      </x:c>
      <x:c r="F107" s="16" t="str">
        <x:f>IF(D107=E107,"PASS","FAIL")</x:f>
        <x:v>PASS</x:v>
      </x:c>
    </x:row>
    <x:row r="108">
      <x:c r="A108" s="16" t="str">
        <x:v>AU-103</x:v>
      </x:c>
      <x:c r="B108" s="16" t="str">
        <x:v>boundary case</x:v>
      </x:c>
      <x:c r="C108" s="16" t="str">
        <x:v>Cases row 110 passes</x:v>
      </x:c>
      <x:c r="D108" s="47" t="str">
        <x:v>PASS</x:v>
      </x:c>
      <x:c r="E108" s="47" t="str">
        <x:f>'Cases'!H110</x:f>
        <x:v>PASS</x:v>
      </x:c>
      <x:c r="F108" s="16" t="str">
        <x:f>IF(D108=E108,"PASS","FAIL")</x:f>
        <x:v>PASS</x:v>
      </x:c>
    </x:row>
    <x:row r="109">
      <x:c r="A109" s="16" t="str">
        <x:v>AU-104</x:v>
      </x:c>
      <x:c r="B109" s="16" t="str">
        <x:v>boundary case</x:v>
      </x:c>
      <x:c r="C109" s="16" t="str">
        <x:v>Cases row 111 passes</x:v>
      </x:c>
      <x:c r="D109" s="47" t="str">
        <x:v>PASS</x:v>
      </x:c>
      <x:c r="E109" s="47" t="str">
        <x:f>'Cases'!H111</x:f>
        <x:v>PASS</x:v>
      </x:c>
      <x:c r="F109" s="16" t="str">
        <x:f>IF(D109=E109,"PASS","FAIL")</x:f>
        <x:v>PASS</x:v>
      </x:c>
    </x:row>
    <x:row r="110">
      <x:c r="A110" s="16" t="str">
        <x:v>AU-105</x:v>
      </x:c>
      <x:c r="B110" s="16" t="str">
        <x:v>boundary case</x:v>
      </x:c>
      <x:c r="C110" s="16" t="str">
        <x:v>Cases row 112 passes</x:v>
      </x:c>
      <x:c r="D110" s="47" t="str">
        <x:v>PASS</x:v>
      </x:c>
      <x:c r="E110" s="47" t="str">
        <x:f>'Cases'!H112</x:f>
        <x:v>PASS</x:v>
      </x:c>
      <x:c r="F110" s="16" t="str">
        <x:f>IF(D110=E110,"PASS","FAIL")</x:f>
        <x:v>PASS</x:v>
      </x:c>
    </x:row>
    <x:row r="111">
      <x:c r="A111" s="16" t="str">
        <x:v>AU-106</x:v>
      </x:c>
      <x:c r="B111" s="16" t="str">
        <x:v>boundary case</x:v>
      </x:c>
      <x:c r="C111" s="16" t="str">
        <x:v>Cases row 113 passes</x:v>
      </x:c>
      <x:c r="D111" s="47" t="str">
        <x:v>PASS</x:v>
      </x:c>
      <x:c r="E111" s="47" t="str">
        <x:f>'Cases'!H113</x:f>
        <x:v>PASS</x:v>
      </x:c>
      <x:c r="F111" s="16" t="str">
        <x:f>IF(D111=E111,"PASS","FAIL")</x:f>
        <x:v>PASS</x:v>
      </x:c>
    </x:row>
    <x:row r="112">
      <x:c r="A112" s="16" t="str">
        <x:v>AU-107</x:v>
      </x:c>
      <x:c r="B112" s="16" t="str">
        <x:v>boundary case</x:v>
      </x:c>
      <x:c r="C112" s="16" t="str">
        <x:v>Cases row 114 passes</x:v>
      </x:c>
      <x:c r="D112" s="47" t="str">
        <x:v>PASS</x:v>
      </x:c>
      <x:c r="E112" s="47" t="str">
        <x:f>'Cases'!H114</x:f>
        <x:v>PASS</x:v>
      </x:c>
      <x:c r="F112" s="16" t="str">
        <x:f>IF(D112=E112,"PASS","FAIL")</x:f>
        <x:v>PASS</x:v>
      </x:c>
    </x:row>
    <x:row r="113">
      <x:c r="A113" s="16" t="str">
        <x:v>AU-108</x:v>
      </x:c>
      <x:c r="B113" s="16" t="str">
        <x:v>boundary case</x:v>
      </x:c>
      <x:c r="C113" s="16" t="str">
        <x:v>Cases row 115 passes</x:v>
      </x:c>
      <x:c r="D113" s="47" t="str">
        <x:v>PASS</x:v>
      </x:c>
      <x:c r="E113" s="47" t="str">
        <x:f>'Cases'!H115</x:f>
        <x:v>PASS</x:v>
      </x:c>
      <x:c r="F113" s="16" t="str">
        <x:f>IF(D113=E113,"PASS","FAIL")</x:f>
        <x:v>PASS</x:v>
      </x:c>
    </x:row>
    <x:row r="114">
      <x:c r="A114" s="16" t="str">
        <x:v>AU-109</x:v>
      </x:c>
      <x:c r="B114" s="16" t="str">
        <x:v>boundary case</x:v>
      </x:c>
      <x:c r="C114" s="16" t="str">
        <x:v>Cases row 116 passes</x:v>
      </x:c>
      <x:c r="D114" s="47" t="str">
        <x:v>PASS</x:v>
      </x:c>
      <x:c r="E114" s="47" t="str">
        <x:f>'Cases'!H116</x:f>
        <x:v>PASS</x:v>
      </x:c>
      <x:c r="F114" s="16" t="str">
        <x:f>IF(D114=E114,"PASS","FAIL")</x:f>
        <x:v>PASS</x:v>
      </x:c>
    </x:row>
    <x:row r="115">
      <x:c r="A115" s="16" t="str">
        <x:v>AU-110</x:v>
      </x:c>
      <x:c r="B115" s="16" t="str">
        <x:v>boundary case</x:v>
      </x:c>
      <x:c r="C115" s="16" t="str">
        <x:v>Cases row 117 passes</x:v>
      </x:c>
      <x:c r="D115" s="47" t="str">
        <x:v>PASS</x:v>
      </x:c>
      <x:c r="E115" s="47" t="str">
        <x:f>'Cases'!H117</x:f>
        <x:v>PASS</x:v>
      </x:c>
      <x:c r="F115" s="16" t="str">
        <x:f>IF(D115=E115,"PASS","FAIL")</x:f>
        <x:v>PASS</x:v>
      </x:c>
    </x:row>
    <x:row r="116">
      <x:c r="A116" s="16" t="str">
        <x:v>AU-111</x:v>
      </x:c>
      <x:c r="B116" s="16" t="str">
        <x:v>boundary case</x:v>
      </x:c>
      <x:c r="C116" s="16" t="str">
        <x:v>Cases row 118 passes</x:v>
      </x:c>
      <x:c r="D116" s="47" t="str">
        <x:v>PASS</x:v>
      </x:c>
      <x:c r="E116" s="47" t="str">
        <x:f>'Cases'!H118</x:f>
        <x:v>PASS</x:v>
      </x:c>
      <x:c r="F116" s="16" t="str">
        <x:f>IF(D116=E116,"PASS","FAIL")</x:f>
        <x:v>PASS</x:v>
      </x:c>
    </x:row>
    <x:row r="117">
      <x:c r="A117" s="16" t="str">
        <x:v>AU-112</x:v>
      </x:c>
      <x:c r="B117" s="16" t="str">
        <x:v>boundary case</x:v>
      </x:c>
      <x:c r="C117" s="16" t="str">
        <x:v>Cases row 119 passes</x:v>
      </x:c>
      <x:c r="D117" s="47" t="str">
        <x:v>PASS</x:v>
      </x:c>
      <x:c r="E117" s="47" t="str">
        <x:f>'Cases'!H119</x:f>
        <x:v>PASS</x:v>
      </x:c>
      <x:c r="F117" s="16" t="str">
        <x:f>IF(D117=E117,"PASS","FAIL")</x:f>
        <x:v>PASS</x:v>
      </x:c>
    </x:row>
    <x:row r="118">
      <x:c r="A118" s="16" t="str">
        <x:v>AU-113</x:v>
      </x:c>
      <x:c r="B118" s="16" t="str">
        <x:v>boundary case</x:v>
      </x:c>
      <x:c r="C118" s="16" t="str">
        <x:v>Cases row 120 passes</x:v>
      </x:c>
      <x:c r="D118" s="47" t="str">
        <x:v>PASS</x:v>
      </x:c>
      <x:c r="E118" s="47" t="str">
        <x:f>'Cases'!H120</x:f>
        <x:v>PASS</x:v>
      </x:c>
      <x:c r="F118" s="16" t="str">
        <x:f>IF(D118=E118,"PASS","FAIL")</x:f>
        <x:v>PASS</x:v>
      </x:c>
    </x:row>
    <x:row r="119">
      <x:c r="A119" s="16" t="str">
        <x:v>AU-114</x:v>
      </x:c>
      <x:c r="B119" s="16" t="str">
        <x:v>boundary case</x:v>
      </x:c>
      <x:c r="C119" s="16" t="str">
        <x:v>Cases row 121 passes</x:v>
      </x:c>
      <x:c r="D119" s="47" t="str">
        <x:v>PASS</x:v>
      </x:c>
      <x:c r="E119" s="47" t="str">
        <x:f>'Cases'!H121</x:f>
        <x:v>PASS</x:v>
      </x:c>
      <x:c r="F119" s="16" t="str">
        <x:f>IF(D119=E119,"PASS","FAIL")</x:f>
        <x:v>PASS</x:v>
      </x:c>
    </x:row>
    <x:row r="120">
      <x:c r="A120" s="16" t="str">
        <x:v>AU-115</x:v>
      </x:c>
      <x:c r="B120" s="16" t="str">
        <x:v>boundary case</x:v>
      </x:c>
      <x:c r="C120" s="16" t="str">
        <x:v>Cases row 122 passes</x:v>
      </x:c>
      <x:c r="D120" s="47" t="str">
        <x:v>PASS</x:v>
      </x:c>
      <x:c r="E120" s="47" t="str">
        <x:f>'Cases'!H122</x:f>
        <x:v>PASS</x:v>
      </x:c>
      <x:c r="F120" s="16" t="str">
        <x:f>IF(D120=E120,"PASS","FAIL")</x:f>
        <x:v>PASS</x:v>
      </x:c>
    </x:row>
    <x:row r="121">
      <x:c r="A121" s="16" t="str">
        <x:v>AU-116</x:v>
      </x:c>
      <x:c r="B121" s="16" t="str">
        <x:v>boundary case</x:v>
      </x:c>
      <x:c r="C121" s="16" t="str">
        <x:v>Cases row 123 passes</x:v>
      </x:c>
      <x:c r="D121" s="47" t="str">
        <x:v>PASS</x:v>
      </x:c>
      <x:c r="E121" s="47" t="str">
        <x:f>'Cases'!H123</x:f>
        <x:v>PASS</x:v>
      </x:c>
      <x:c r="F121" s="16" t="str">
        <x:f>IF(D121=E121,"PASS","FAIL")</x:f>
        <x:v>PASS</x:v>
      </x:c>
    </x:row>
    <x:row r="122">
      <x:c r="A122" s="16" t="str">
        <x:v>AU-117</x:v>
      </x:c>
      <x:c r="B122" s="16" t="str">
        <x:v>boundary case</x:v>
      </x:c>
      <x:c r="C122" s="16" t="str">
        <x:v>Cases row 124 passes</x:v>
      </x:c>
      <x:c r="D122" s="47" t="str">
        <x:v>PASS</x:v>
      </x:c>
      <x:c r="E122" s="47" t="str">
        <x:f>'Cases'!H124</x:f>
        <x:v>PASS</x:v>
      </x:c>
      <x:c r="F122" s="16" t="str">
        <x:f>IF(D122=E122,"PASS","FAIL")</x:f>
        <x:v>PASS</x:v>
      </x:c>
    </x:row>
    <x:row r="123">
      <x:c r="A123" s="16" t="str">
        <x:v>AU-118</x:v>
      </x:c>
      <x:c r="B123" s="16" t="str">
        <x:v>boundary case</x:v>
      </x:c>
      <x:c r="C123" s="16" t="str">
        <x:v>Cases row 125 passes</x:v>
      </x:c>
      <x:c r="D123" s="47" t="str">
        <x:v>PASS</x:v>
      </x:c>
      <x:c r="E123" s="47" t="str">
        <x:f>'Cases'!H125</x:f>
        <x:v>PASS</x:v>
      </x:c>
      <x:c r="F123" s="16" t="str">
        <x:f>IF(D123=E123,"PASS","FAIL")</x:f>
        <x:v>PASS</x:v>
      </x:c>
    </x:row>
    <x:row r="124">
      <x:c r="A124" s="16" t="str">
        <x:v>AU-119</x:v>
      </x:c>
      <x:c r="B124" s="16" t="str">
        <x:v>boundary case</x:v>
      </x:c>
      <x:c r="C124" s="16" t="str">
        <x:v>Cases row 126 passes</x:v>
      </x:c>
      <x:c r="D124" s="47" t="str">
        <x:v>PASS</x:v>
      </x:c>
      <x:c r="E124" s="47" t="str">
        <x:f>'Cases'!H126</x:f>
        <x:v>PASS</x:v>
      </x:c>
      <x:c r="F124" s="16" t="str">
        <x:f>IF(D124=E124,"PASS","FAIL")</x:f>
        <x:v>PASS</x:v>
      </x:c>
    </x:row>
    <x:row r="125">
      <x:c r="A125" s="16" t="str">
        <x:v>AU-120</x:v>
      </x:c>
      <x:c r="B125" s="16" t="str">
        <x:v>boundary case</x:v>
      </x:c>
      <x:c r="C125" s="16" t="str">
        <x:v>Cases row 127 passes</x:v>
      </x:c>
      <x:c r="D125" s="47" t="str">
        <x:v>PASS</x:v>
      </x:c>
      <x:c r="E125" s="47" t="str">
        <x:f>'Cases'!H127</x:f>
        <x:v>PASS</x:v>
      </x:c>
      <x:c r="F125" s="16" t="str">
        <x:f>IF(D125=E125,"PASS","FAIL")</x:f>
        <x:v>PASS</x:v>
      </x:c>
    </x:row>
    <x:row r="126">
      <x:c r="A126" s="16" t="str">
        <x:v>AU-121</x:v>
      </x:c>
      <x:c r="B126" s="16" t="str">
        <x:v>structure</x:v>
      </x:c>
      <x:c r="C126" s="16" t="str">
        <x:v>exchange trials</x:v>
      </x:c>
      <x:c r="D126" s="47" t="n">
        <x:v>72</x:v>
      </x:c>
      <x:c r="E126" s="47" t="n">
        <x:f>ROWS('Exchange Trials'!A8:A79)</x:f>
        <x:v>72</x:v>
      </x:c>
      <x:c r="F126" s="16" t="str">
        <x:f>IF(ABS(D126-E126)&lt;0.000001,"PASS","FAIL")</x:f>
        <x:v>PASS</x:v>
      </x:c>
    </x:row>
    <x:row r="127">
      <x:c r="A127" s="16" t="str">
        <x:v>AU-122</x:v>
      </x:c>
      <x:c r="B127" s="16" t="str">
        <x:v>structure</x:v>
      </x:c>
      <x:c r="C127" s="16" t="str">
        <x:v>module records</x:v>
      </x:c>
      <x:c r="D127" s="47" t="n">
        <x:v>18</x:v>
      </x:c>
      <x:c r="E127" s="47" t="n">
        <x:f>ROWS('Module Bank'!A8:A25)</x:f>
        <x:v>18</x:v>
      </x:c>
      <x:c r="F127" s="16" t="str">
        <x:f>IF(ABS(D127-E127)&lt;0.000001,"PASS","FAIL")</x:f>
        <x:v>PASS</x:v>
      </x:c>
    </x:row>
    <x:row r="128">
      <x:c r="A128" s="16" t="str">
        <x:v>AU-123</x:v>
      </x:c>
      <x:c r="B128" s="16" t="str">
        <x:v>structure</x:v>
      </x:c>
      <x:c r="C128" s="16" t="str">
        <x:v>exact cells</x:v>
      </x:c>
      <x:c r="D128" s="47" t="n">
        <x:v>12</x:v>
      </x:c>
      <x:c r="E128" s="47" t="n">
        <x:f>ROWS('Cell Map'!A6:A17)</x:f>
        <x:v>12</x:v>
      </x:c>
      <x:c r="F128" s="16" t="str">
        <x:f>IF(ABS(D128-E128)&lt;0.000001,"PASS","FAIL")</x:f>
        <x:v>PASS</x:v>
      </x:c>
    </x:row>
    <x:row r="129">
      <x:c r="A129" s="16" t="str">
        <x:v>AU-124</x:v>
      </x:c>
      <x:c r="B129" s="16" t="str">
        <x:v>structure</x:v>
      </x:c>
      <x:c r="C129" s="16" t="str">
        <x:v>source packages</x:v>
      </x:c>
      <x:c r="D129" s="47" t="n">
        <x:v>30</x:v>
      </x:c>
      <x:c r="E129" s="47" t="n">
        <x:f>ROWS('Package Bank'!A10:A39)</x:f>
        <x:v>30</x:v>
      </x:c>
      <x:c r="F129" s="16" t="str">
        <x:f>IF(ABS(D129-E129)&lt;0.000001,"PASS","FAIL")</x:f>
        <x:v>PASS</x:v>
      </x:c>
    </x:row>
    <x:row r="130">
      <x:c r="A130" s="16" t="str">
        <x:v>AU-125</x:v>
      </x:c>
      <x:c r="B130" s="16" t="str">
        <x:v>structure</x:v>
      </x:c>
      <x:c r="C130" s="16" t="str">
        <x:v>attempt positions</x:v>
      </x:c>
      <x:c r="D130" s="47" t="n">
        <x:v>28</x:v>
      </x:c>
      <x:c r="E130" s="47" t="n">
        <x:f>ROWS('Attempt Register'!A8:A35)</x:f>
        <x:v>28</x:v>
      </x:c>
      <x:c r="F130" s="16" t="str">
        <x:f>IF(ABS(D130-E130)&lt;0.000001,"PASS","FAIL")</x:f>
        <x:v>PASS</x:v>
      </x:c>
    </x:row>
    <x:row r="131">
      <x:c r="A131" s="16" t="str">
        <x:v>AU-126</x:v>
      </x:c>
      <x:c r="B131" s="16" t="str">
        <x:v>structure</x:v>
      </x:c>
      <x:c r="C131" s="16" t="str">
        <x:v>event gates</x:v>
      </x:c>
      <x:c r="D131" s="47" t="n">
        <x:v>48</x:v>
      </x:c>
      <x:c r="E131" s="47" t="n">
        <x:f>ROWS('Event Gates'!A6:A53)</x:f>
        <x:v>48</x:v>
      </x:c>
      <x:c r="F131" s="16" t="str">
        <x:f>IF(ABS(D131-E131)&lt;0.000001,"PASS","FAIL")</x:f>
        <x:v>PASS</x:v>
      </x:c>
    </x:row>
    <x:row r="132">
      <x:c r="A132" s="16" t="str">
        <x:v>AU-127</x:v>
      </x:c>
      <x:c r="B132" s="16" t="str">
        <x:v>structure</x:v>
      </x:c>
      <x:c r="C132" s="16" t="str">
        <x:v>return cycles</x:v>
      </x:c>
      <x:c r="D132" s="47" t="n">
        <x:v>28</x:v>
      </x:c>
      <x:c r="E132" s="47" t="n">
        <x:f>ROWS('Return Cycles'!A6:A33)</x:f>
        <x:v>28</x:v>
      </x:c>
      <x:c r="F132" s="16" t="str">
        <x:f>IF(ABS(D132-E132)&lt;0.000001,"PASS","FAIL")</x:f>
        <x:v>PASS</x:v>
      </x:c>
    </x:row>
    <x:row r="133">
      <x:c r="A133" s="16" t="str">
        <x:v>AU-128</x:v>
      </x:c>
      <x:c r="B133" s="16" t="str">
        <x:v>structure</x:v>
      </x:c>
      <x:c r="C133" s="16" t="str">
        <x:v>host transitions</x:v>
      </x:c>
      <x:c r="D133" s="47" t="n">
        <x:v>22</x:v>
      </x:c>
      <x:c r="E133" s="47" t="n">
        <x:f>ROWS('Transitions'!A6:A27)</x:f>
        <x:v>22</x:v>
      </x:c>
      <x:c r="F133" s="16" t="str">
        <x:f>IF(ABS(D133-E133)&lt;0.000001,"PASS","FAIL")</x:f>
        <x:v>PASS</x:v>
      </x:c>
    </x:row>
    <x:row r="134">
      <x:c r="A134" s="16" t="str">
        <x:v>AU-129</x:v>
      </x:c>
      <x:c r="B134" s="16" t="str">
        <x:v>structure</x:v>
      </x:c>
      <x:c r="C134" s="16" t="str">
        <x:v>rig contrasts</x:v>
      </x:c>
      <x:c r="D134" s="47" t="n">
        <x:v>6</x:v>
      </x:c>
      <x:c r="E134" s="47" t="n">
        <x:f>ROWS('Contrasts'!A6:A11)</x:f>
        <x:v>6</x:v>
      </x:c>
      <x:c r="F134" s="16" t="str">
        <x:f>IF(ABS(D134-E134)&lt;0.000001,"PASS","FAIL")</x:f>
        <x:v>PASS</x:v>
      </x:c>
    </x:row>
    <x:row r="135">
      <x:c r="A135" s="16" t="str">
        <x:v>AU-130</x:v>
      </x:c>
      <x:c r="B135" s="16" t="str">
        <x:v>structure</x:v>
      </x:c>
      <x:c r="C135" s="16" t="str">
        <x:v>technology total</x:v>
      </x:c>
      <x:c r="D135" s="47" t="n">
        <x:v>160</x:v>
      </x:c>
      <x:c r="E135" s="47" t="n">
        <x:f>'Technology'!B19</x:f>
        <x:v>160</x:v>
      </x:c>
      <x:c r="F135" s="16" t="str">
        <x:f>IF(ABS(D135-E135)&lt;0.000001,"PASS","FAIL")</x:f>
        <x:v>PASS</x:v>
      </x:c>
    </x:row>
    <x:row r="136">
      <x:c r="A136" s="16" t="str">
        <x:v>AU-131</x:v>
      </x:c>
      <x:c r="B136" s="16" t="str">
        <x:v>structure</x:v>
      </x:c>
      <x:c r="C136" s="16" t="str">
        <x:v>exchange trials</x:v>
      </x:c>
      <x:c r="D136" s="47" t="n">
        <x:v>72</x:v>
      </x:c>
      <x:c r="E136" s="47" t="n">
        <x:f>ROWS('Exchange Trials'!A8:A79)</x:f>
        <x:v>72</x:v>
      </x:c>
      <x:c r="F136" s="16" t="str">
        <x:f>IF(ABS(D136-E136)&lt;0.000001,"PASS","FAIL")</x:f>
        <x:v>PASS</x:v>
      </x:c>
    </x:row>
    <x:row r="137">
      <x:c r="A137" s="16" t="str">
        <x:v>AU-132</x:v>
      </x:c>
      <x:c r="B137" s="16" t="str">
        <x:v>structure</x:v>
      </x:c>
      <x:c r="C137" s="16" t="str">
        <x:v>module records</x:v>
      </x:c>
      <x:c r="D137" s="47" t="n">
        <x:v>18</x:v>
      </x:c>
      <x:c r="E137" s="47" t="n">
        <x:f>ROWS('Module Bank'!A8:A25)</x:f>
        <x:v>18</x:v>
      </x:c>
      <x:c r="F137" s="16" t="str">
        <x:f>IF(ABS(D137-E137)&lt;0.000001,"PASS","FAIL")</x:f>
        <x:v>PASS</x:v>
      </x:c>
    </x:row>
    <x:row r="138">
      <x:c r="A138" s="16" t="str">
        <x:v>AU-133</x:v>
      </x:c>
      <x:c r="B138" s="16" t="str">
        <x:v>structure</x:v>
      </x:c>
      <x:c r="C138" s="16" t="str">
        <x:v>exact cells</x:v>
      </x:c>
      <x:c r="D138" s="47" t="n">
        <x:v>12</x:v>
      </x:c>
      <x:c r="E138" s="47" t="n">
        <x:f>ROWS('Cell Map'!A6:A17)</x:f>
        <x:v>12</x:v>
      </x:c>
      <x:c r="F138" s="16" t="str">
        <x:f>IF(ABS(D138-E138)&lt;0.000001,"PASS","FAIL")</x:f>
        <x:v>PASS</x:v>
      </x:c>
    </x:row>
    <x:row r="139">
      <x:c r="A139" s="16" t="str">
        <x:v>AU-134</x:v>
      </x:c>
      <x:c r="B139" s="16" t="str">
        <x:v>structure</x:v>
      </x:c>
      <x:c r="C139" s="16" t="str">
        <x:v>source packages</x:v>
      </x:c>
      <x:c r="D139" s="47" t="n">
        <x:v>30</x:v>
      </x:c>
      <x:c r="E139" s="47" t="n">
        <x:f>ROWS('Package Bank'!A10:A39)</x:f>
        <x:v>30</x:v>
      </x:c>
      <x:c r="F139" s="16" t="str">
        <x:f>IF(ABS(D139-E139)&lt;0.000001,"PASS","FAIL")</x:f>
        <x:v>PASS</x:v>
      </x:c>
    </x:row>
    <x:row r="140">
      <x:c r="A140" s="16" t="str">
        <x:v>AU-135</x:v>
      </x:c>
      <x:c r="B140" s="16" t="str">
        <x:v>structure</x:v>
      </x:c>
      <x:c r="C140" s="16" t="str">
        <x:v>attempt positions</x:v>
      </x:c>
      <x:c r="D140" s="47" t="n">
        <x:v>28</x:v>
      </x:c>
      <x:c r="E140" s="47" t="n">
        <x:f>ROWS('Attempt Register'!A8:A35)</x:f>
        <x:v>28</x:v>
      </x:c>
      <x:c r="F140" s="16" t="str">
        <x:f>IF(ABS(D140-E140)&lt;0.000001,"PASS","FAIL")</x:f>
        <x:v>PASS</x:v>
      </x:c>
    </x:row>
    <x:row r="141">
      <x:c r="A141" s="16" t="str">
        <x:v>AU-136</x:v>
      </x:c>
      <x:c r="B141" s="16" t="str">
        <x:v>structure</x:v>
      </x:c>
      <x:c r="C141" s="16" t="str">
        <x:v>event gates</x:v>
      </x:c>
      <x:c r="D141" s="47" t="n">
        <x:v>48</x:v>
      </x:c>
      <x:c r="E141" s="47" t="n">
        <x:f>ROWS('Event Gates'!A6:A53)</x:f>
        <x:v>48</x:v>
      </x:c>
      <x:c r="F141" s="16" t="str">
        <x:f>IF(ABS(D141-E141)&lt;0.000001,"PASS","FAIL")</x:f>
        <x:v>PASS</x:v>
      </x:c>
    </x:row>
    <x:row r="142">
      <x:c r="A142" s="16" t="str">
        <x:v>AU-137</x:v>
      </x:c>
      <x:c r="B142" s="16" t="str">
        <x:v>structure</x:v>
      </x:c>
      <x:c r="C142" s="16" t="str">
        <x:v>return cycles</x:v>
      </x:c>
      <x:c r="D142" s="47" t="n">
        <x:v>28</x:v>
      </x:c>
      <x:c r="E142" s="47" t="n">
        <x:f>ROWS('Return Cycles'!A6:A33)</x:f>
        <x:v>28</x:v>
      </x:c>
      <x:c r="F142" s="16" t="str">
        <x:f>IF(ABS(D142-E142)&lt;0.000001,"PASS","FAIL")</x:f>
        <x:v>PASS</x:v>
      </x:c>
    </x:row>
    <x:row r="143">
      <x:c r="A143" s="16" t="str">
        <x:v>AU-138</x:v>
      </x:c>
      <x:c r="B143" s="16" t="str">
        <x:v>structure</x:v>
      </x:c>
      <x:c r="C143" s="16" t="str">
        <x:v>host transitions</x:v>
      </x:c>
      <x:c r="D143" s="47" t="n">
        <x:v>22</x:v>
      </x:c>
      <x:c r="E143" s="47" t="n">
        <x:f>ROWS('Transitions'!A6:A27)</x:f>
        <x:v>22</x:v>
      </x:c>
      <x:c r="F143" s="16" t="str">
        <x:f>IF(ABS(D143-E143)&lt;0.000001,"PASS","FAIL")</x:f>
        <x:v>PASS</x:v>
      </x:c>
    </x:row>
    <x:row r="144">
      <x:c r="A144" s="16" t="str">
        <x:v>AU-139</x:v>
      </x:c>
      <x:c r="B144" s="16" t="str">
        <x:v>structure</x:v>
      </x:c>
      <x:c r="C144" s="16" t="str">
        <x:v>rig contrasts</x:v>
      </x:c>
      <x:c r="D144" s="47" t="n">
        <x:v>6</x:v>
      </x:c>
      <x:c r="E144" s="47" t="n">
        <x:f>ROWS('Contrasts'!A6:A11)</x:f>
        <x:v>6</x:v>
      </x:c>
      <x:c r="F144" s="16" t="str">
        <x:f>IF(ABS(D144-E144)&lt;0.000001,"PASS","FAIL")</x:f>
        <x:v>PASS</x:v>
      </x:c>
    </x:row>
    <x:row r="145">
      <x:c r="A145" s="16" t="str">
        <x:v>AU-140</x:v>
      </x:c>
      <x:c r="B145" s="16" t="str">
        <x:v>structure</x:v>
      </x:c>
      <x:c r="C145" s="16" t="str">
        <x:v>technology total</x:v>
      </x:c>
      <x:c r="D145" s="47" t="n">
        <x:v>160</x:v>
      </x:c>
      <x:c r="E145" s="47" t="n">
        <x:f>'Technology'!B19</x:f>
        <x:v>160</x:v>
      </x:c>
      <x:c r="F145" s="16" t="str">
        <x:f>IF(ABS(D145-E145)&lt;0.000001,"PASS","FAIL")</x:f>
        <x:v>PASS</x:v>
      </x:c>
    </x:row>
    <x:row r="146">
      <x:c r="A146" s="16" t="str">
        <x:v>AU-141</x:v>
      </x:c>
      <x:c r="B146" s="16" t="str">
        <x:v>structure</x:v>
      </x:c>
      <x:c r="C146" s="16" t="str">
        <x:v>exchange trials</x:v>
      </x:c>
      <x:c r="D146" s="47" t="n">
        <x:v>72</x:v>
      </x:c>
      <x:c r="E146" s="47" t="n">
        <x:f>ROWS('Exchange Trials'!A8:A79)</x:f>
        <x:v>72</x:v>
      </x:c>
      <x:c r="F146" s="16" t="str">
        <x:f>IF(ABS(D146-E146)&lt;0.000001,"PASS","FAIL")</x:f>
        <x:v>PASS</x:v>
      </x:c>
    </x:row>
    <x:row r="147">
      <x:c r="A147" s="16" t="str">
        <x:v>AU-142</x:v>
      </x:c>
      <x:c r="B147" s="16" t="str">
        <x:v>structure</x:v>
      </x:c>
      <x:c r="C147" s="16" t="str">
        <x:v>module records</x:v>
      </x:c>
      <x:c r="D147" s="47" t="n">
        <x:v>18</x:v>
      </x:c>
      <x:c r="E147" s="47" t="n">
        <x:f>ROWS('Module Bank'!A8:A25)</x:f>
        <x:v>18</x:v>
      </x:c>
      <x:c r="F147" s="16" t="str">
        <x:f>IF(ABS(D147-E147)&lt;0.000001,"PASS","FAIL")</x:f>
        <x:v>PASS</x:v>
      </x:c>
    </x:row>
    <x:row r="148">
      <x:c r="A148" s="16" t="str">
        <x:v>AU-143</x:v>
      </x:c>
      <x:c r="B148" s="16" t="str">
        <x:v>structure</x:v>
      </x:c>
      <x:c r="C148" s="16" t="str">
        <x:v>exact cells</x:v>
      </x:c>
      <x:c r="D148" s="47" t="n">
        <x:v>12</x:v>
      </x:c>
      <x:c r="E148" s="47" t="n">
        <x:f>ROWS('Cell Map'!A6:A17)</x:f>
        <x:v>12</x:v>
      </x:c>
      <x:c r="F148" s="16" t="str">
        <x:f>IF(ABS(D148-E148)&lt;0.000001,"PASS","FAIL")</x:f>
        <x:v>PASS</x:v>
      </x:c>
    </x:row>
    <x:row r="149">
      <x:c r="A149" s="16" t="str">
        <x:v>AU-144</x:v>
      </x:c>
      <x:c r="B149" s="16" t="str">
        <x:v>structure</x:v>
      </x:c>
      <x:c r="C149" s="16" t="str">
        <x:v>source packages</x:v>
      </x:c>
      <x:c r="D149" s="47" t="n">
        <x:v>30</x:v>
      </x:c>
      <x:c r="E149" s="47" t="n">
        <x:f>ROWS('Package Bank'!A10:A39)</x:f>
        <x:v>30</x:v>
      </x:c>
      <x:c r="F149" s="16" t="str">
        <x:f>IF(ABS(D149-E149)&lt;0.000001,"PASS","FAIL")</x:f>
        <x:v>PASS</x:v>
      </x:c>
    </x:row>
    <x:row r="150">
      <x:c r="A150" s="16" t="str">
        <x:v>AU-145</x:v>
      </x:c>
      <x:c r="B150" s="16" t="str">
        <x:v>structure</x:v>
      </x:c>
      <x:c r="C150" s="16" t="str">
        <x:v>attempt positions</x:v>
      </x:c>
      <x:c r="D150" s="47" t="n">
        <x:v>28</x:v>
      </x:c>
      <x:c r="E150" s="47" t="n">
        <x:f>ROWS('Attempt Register'!A8:A35)</x:f>
        <x:v>28</x:v>
      </x:c>
      <x:c r="F150" s="16" t="str">
        <x:f>IF(ABS(D150-E150)&lt;0.000001,"PASS","FAIL")</x:f>
        <x:v>PASS</x:v>
      </x:c>
    </x:row>
    <x:row r="151">
      <x:c r="A151" s="16" t="str">
        <x:v>AU-146</x:v>
      </x:c>
      <x:c r="B151" s="16" t="str">
        <x:v>structure</x:v>
      </x:c>
      <x:c r="C151" s="16" t="str">
        <x:v>event gates</x:v>
      </x:c>
      <x:c r="D151" s="47" t="n">
        <x:v>48</x:v>
      </x:c>
      <x:c r="E151" s="47" t="n">
        <x:f>ROWS('Event Gates'!A6:A53)</x:f>
        <x:v>48</x:v>
      </x:c>
      <x:c r="F151" s="16" t="str">
        <x:f>IF(ABS(D151-E151)&lt;0.000001,"PASS","FAIL")</x:f>
        <x:v>PASS</x:v>
      </x:c>
    </x:row>
    <x:row r="152">
      <x:c r="A152" s="16" t="str">
        <x:v>AU-147</x:v>
      </x:c>
      <x:c r="B152" s="16" t="str">
        <x:v>structure</x:v>
      </x:c>
      <x:c r="C152" s="16" t="str">
        <x:v>return cycles</x:v>
      </x:c>
      <x:c r="D152" s="47" t="n">
        <x:v>28</x:v>
      </x:c>
      <x:c r="E152" s="47" t="n">
        <x:f>ROWS('Return Cycles'!A6:A33)</x:f>
        <x:v>28</x:v>
      </x:c>
      <x:c r="F152" s="16" t="str">
        <x:f>IF(ABS(D152-E152)&lt;0.000001,"PASS","FAIL")</x:f>
        <x:v>PASS</x:v>
      </x:c>
    </x:row>
    <x:row r="153">
      <x:c r="A153" s="16" t="str">
        <x:v>AU-148</x:v>
      </x:c>
      <x:c r="B153" s="16" t="str">
        <x:v>structure</x:v>
      </x:c>
      <x:c r="C153" s="16" t="str">
        <x:v>host transitions</x:v>
      </x:c>
      <x:c r="D153" s="47" t="n">
        <x:v>22</x:v>
      </x:c>
      <x:c r="E153" s="47" t="n">
        <x:f>ROWS('Transitions'!A6:A27)</x:f>
        <x:v>22</x:v>
      </x:c>
      <x:c r="F153" s="16" t="str">
        <x:f>IF(ABS(D153-E153)&lt;0.000001,"PASS","FAIL")</x:f>
        <x:v>PASS</x:v>
      </x:c>
    </x:row>
    <x:row r="154">
      <x:c r="A154" s="16" t="str">
        <x:v>AU-149</x:v>
      </x:c>
      <x:c r="B154" s="16" t="str">
        <x:v>structure</x:v>
      </x:c>
      <x:c r="C154" s="16" t="str">
        <x:v>rig contrasts</x:v>
      </x:c>
      <x:c r="D154" s="47" t="n">
        <x:v>6</x:v>
      </x:c>
      <x:c r="E154" s="47" t="n">
        <x:f>ROWS('Contrasts'!A6:A11)</x:f>
        <x:v>6</x:v>
      </x:c>
      <x:c r="F154" s="16" t="str">
        <x:f>IF(ABS(D154-E154)&lt;0.000001,"PASS","FAIL")</x:f>
        <x:v>PASS</x:v>
      </x:c>
    </x:row>
    <x:row r="155">
      <x:c r="A155" s="16" t="str">
        <x:v>AU-150</x:v>
      </x:c>
      <x:c r="B155" s="16" t="str">
        <x:v>structure</x:v>
      </x:c>
      <x:c r="C155" s="16" t="str">
        <x:v>technology total</x:v>
      </x:c>
      <x:c r="D155" s="47" t="n">
        <x:v>160</x:v>
      </x:c>
      <x:c r="E155" s="47" t="n">
        <x:f>'Technology'!B19</x:f>
        <x:v>160</x:v>
      </x:c>
      <x:c r="F155" s="16" t="str">
        <x:f>IF(ABS(D155-E155)&lt;0.000001,"PASS","FAIL")</x:f>
        <x:v>PASS</x:v>
      </x:c>
    </x:row>
    <x:row r="156">
      <x:c r="A156" s="16" t="str">
        <x:v>AU-151</x:v>
      </x:c>
      <x:c r="B156" s="16" t="str">
        <x:v>structure</x:v>
      </x:c>
      <x:c r="C156" s="16" t="str">
        <x:v>exchange trials</x:v>
      </x:c>
      <x:c r="D156" s="47" t="n">
        <x:v>72</x:v>
      </x:c>
      <x:c r="E156" s="47" t="n">
        <x:f>ROWS('Exchange Trials'!A8:A79)</x:f>
        <x:v>72</x:v>
      </x:c>
      <x:c r="F156" s="16" t="str">
        <x:f>IF(ABS(D156-E156)&lt;0.000001,"PASS","FAIL")</x:f>
        <x:v>PASS</x:v>
      </x:c>
    </x:row>
    <x:row r="157">
      <x:c r="A157" s="16" t="str">
        <x:v>AU-152</x:v>
      </x:c>
      <x:c r="B157" s="16" t="str">
        <x:v>structure</x:v>
      </x:c>
      <x:c r="C157" s="16" t="str">
        <x:v>module records</x:v>
      </x:c>
      <x:c r="D157" s="47" t="n">
        <x:v>18</x:v>
      </x:c>
      <x:c r="E157" s="47" t="n">
        <x:f>ROWS('Module Bank'!A8:A25)</x:f>
        <x:v>18</x:v>
      </x:c>
      <x:c r="F157" s="16" t="str">
        <x:f>IF(ABS(D157-E157)&lt;0.000001,"PASS","FAIL")</x:f>
        <x:v>PASS</x:v>
      </x:c>
    </x:row>
    <x:row r="158">
      <x:c r="A158" s="16" t="str">
        <x:v>AU-153</x:v>
      </x:c>
      <x:c r="B158" s="16" t="str">
        <x:v>structure</x:v>
      </x:c>
      <x:c r="C158" s="16" t="str">
        <x:v>exact cells</x:v>
      </x:c>
      <x:c r="D158" s="47" t="n">
        <x:v>12</x:v>
      </x:c>
      <x:c r="E158" s="47" t="n">
        <x:f>ROWS('Cell Map'!A6:A17)</x:f>
        <x:v>12</x:v>
      </x:c>
      <x:c r="F158" s="16" t="str">
        <x:f>IF(ABS(D158-E158)&lt;0.000001,"PASS","FAIL")</x:f>
        <x:v>PASS</x:v>
      </x:c>
    </x:row>
    <x:row r="159">
      <x:c r="A159" s="16" t="str">
        <x:v>AU-154</x:v>
      </x:c>
      <x:c r="B159" s="16" t="str">
        <x:v>structure</x:v>
      </x:c>
      <x:c r="C159" s="16" t="str">
        <x:v>source packages</x:v>
      </x:c>
      <x:c r="D159" s="47" t="n">
        <x:v>30</x:v>
      </x:c>
      <x:c r="E159" s="47" t="n">
        <x:f>ROWS('Package Bank'!A10:A39)</x:f>
        <x:v>30</x:v>
      </x:c>
      <x:c r="F159" s="16" t="str">
        <x:f>IF(ABS(D159-E159)&lt;0.000001,"PASS","FAIL")</x:f>
        <x:v>PASS</x:v>
      </x:c>
    </x:row>
    <x:row r="160">
      <x:c r="A160" s="16" t="str">
        <x:v>AU-155</x:v>
      </x:c>
      <x:c r="B160" s="16" t="str">
        <x:v>structure</x:v>
      </x:c>
      <x:c r="C160" s="16" t="str">
        <x:v>attempt positions</x:v>
      </x:c>
      <x:c r="D160" s="47" t="n">
        <x:v>28</x:v>
      </x:c>
      <x:c r="E160" s="47" t="n">
        <x:f>ROWS('Attempt Register'!A8:A35)</x:f>
        <x:v>28</x:v>
      </x:c>
      <x:c r="F160" s="16" t="str">
        <x:f>IF(ABS(D160-E160)&lt;0.000001,"PASS","FAIL")</x:f>
        <x:v>PASS</x:v>
      </x:c>
    </x:row>
    <x:row r="161">
      <x:c r="A161" s="16" t="str">
        <x:v>AU-156</x:v>
      </x:c>
      <x:c r="B161" s="16" t="str">
        <x:v>structure</x:v>
      </x:c>
      <x:c r="C161" s="16" t="str">
        <x:v>event gates</x:v>
      </x:c>
      <x:c r="D161" s="47" t="n">
        <x:v>48</x:v>
      </x:c>
      <x:c r="E161" s="47" t="n">
        <x:f>ROWS('Event Gates'!A6:A53)</x:f>
        <x:v>48</x:v>
      </x:c>
      <x:c r="F161" s="16" t="str">
        <x:f>IF(ABS(D161-E161)&lt;0.000001,"PASS","FAIL")</x:f>
        <x:v>PASS</x:v>
      </x:c>
    </x:row>
    <x:row r="162">
      <x:c r="A162" s="16" t="str">
        <x:v>AU-157</x:v>
      </x:c>
      <x:c r="B162" s="16" t="str">
        <x:v>structure</x:v>
      </x:c>
      <x:c r="C162" s="16" t="str">
        <x:v>return cycles</x:v>
      </x:c>
      <x:c r="D162" s="47" t="n">
        <x:v>28</x:v>
      </x:c>
      <x:c r="E162" s="47" t="n">
        <x:f>ROWS('Return Cycles'!A6:A33)</x:f>
        <x:v>28</x:v>
      </x:c>
      <x:c r="F162" s="16" t="str">
        <x:f>IF(ABS(D162-E162)&lt;0.000001,"PASS","FAIL")</x:f>
        <x:v>PASS</x:v>
      </x:c>
    </x:row>
    <x:row r="163">
      <x:c r="A163" s="16" t="str">
        <x:v>AU-158</x:v>
      </x:c>
      <x:c r="B163" s="16" t="str">
        <x:v>structure</x:v>
      </x:c>
      <x:c r="C163" s="16" t="str">
        <x:v>host transitions</x:v>
      </x:c>
      <x:c r="D163" s="47" t="n">
        <x:v>22</x:v>
      </x:c>
      <x:c r="E163" s="47" t="n">
        <x:f>ROWS('Transitions'!A6:A27)</x:f>
        <x:v>22</x:v>
      </x:c>
      <x:c r="F163" s="16" t="str">
        <x:f>IF(ABS(D163-E163)&lt;0.000001,"PASS","FAIL")</x:f>
        <x:v>PASS</x:v>
      </x:c>
    </x:row>
    <x:row r="164">
      <x:c r="A164" s="16" t="str">
        <x:v>AU-159</x:v>
      </x:c>
      <x:c r="B164" s="16" t="str">
        <x:v>structure</x:v>
      </x:c>
      <x:c r="C164" s="16" t="str">
        <x:v>rig contrasts</x:v>
      </x:c>
      <x:c r="D164" s="47" t="n">
        <x:v>6</x:v>
      </x:c>
      <x:c r="E164" s="47" t="n">
        <x:f>ROWS('Contrasts'!A6:A11)</x:f>
        <x:v>6</x:v>
      </x:c>
      <x:c r="F164" s="16" t="str">
        <x:f>IF(ABS(D164-E164)&lt;0.000001,"PASS","FAIL")</x:f>
        <x:v>PASS</x:v>
      </x:c>
    </x:row>
    <x:row r="165">
      <x:c r="A165" s="16" t="str">
        <x:v>AU-160</x:v>
      </x:c>
      <x:c r="B165" s="16" t="str">
        <x:v>structure</x:v>
      </x:c>
      <x:c r="C165" s="16" t="str">
        <x:v>technology total</x:v>
      </x:c>
      <x:c r="D165" s="47" t="n">
        <x:v>160</x:v>
      </x:c>
      <x:c r="E165" s="47" t="n">
        <x:f>'Technology'!B19</x:f>
        <x:v>160</x:v>
      </x:c>
      <x:c r="F165" s="16" t="str">
        <x:f>IF(ABS(D165-E165)&lt;0.000001,"PASS","FAIL")</x:f>
        <x:v>PASS</x:v>
      </x:c>
    </x:row>
    <x:row r="166">
      <x:c r="A166" s="16" t="str">
        <x:v>AU-161</x:v>
      </x:c>
      <x:c r="B166" s="16" t="str">
        <x:v>reconciliation</x:v>
      </x:c>
      <x:c r="C166" s="16" t="str">
        <x:v>qualified capacity</x:v>
      </x:c>
      <x:c r="D166" s="47" t="n">
        <x:v>3</x:v>
      </x:c>
      <x:c r="E166" s="47" t="n">
        <x:f>'Capacity'!B5</x:f>
        <x:v>3</x:v>
      </x:c>
      <x:c r="F166" s="16" t="str">
        <x:f>IF(ABS(D166-E166)&lt;0.000001,"PASS","FAIL")</x:f>
        <x:v>PASS</x:v>
      </x:c>
    </x:row>
    <x:row r="167">
      <x:c r="A167" s="16" t="str">
        <x:v>AU-162</x:v>
      </x:c>
      <x:c r="B167" s="16" t="str">
        <x:v>reconciliation</x:v>
      </x:c>
      <x:c r="C167" s="16" t="str">
        <x:v>denied capacity</x:v>
      </x:c>
      <x:c r="D167" s="47" t="n">
        <x:v>1.5</x:v>
      </x:c>
      <x:c r="E167" s="47" t="n">
        <x:f>'Capacity'!B6</x:f>
        <x:v>1.5</x:v>
      </x:c>
      <x:c r="F167" s="16" t="str">
        <x:f>IF(ABS(D167-E167)&lt;0.000001,"PASS","FAIL")</x:f>
        <x:v>PASS</x:v>
      </x:c>
    </x:row>
    <x:row r="168">
      <x:c r="A168" s="16" t="str">
        <x:v>AU-163</x:v>
      </x:c>
      <x:c r="B168" s="16" t="str">
        <x:v>reconciliation</x:v>
      </x:c>
      <x:c r="C168" s="16" t="str">
        <x:v>primary total boundary</x:v>
      </x:c>
      <x:c r="D168" s="47" t="n">
        <x:v>147</x:v>
      </x:c>
      <x:c r="E168" s="47" t="n">
        <x:f>'Calendar Cases'!L6</x:f>
        <x:v>147</x:v>
      </x:c>
      <x:c r="F168" s="16" t="str">
        <x:f>IF(ABS(D168-E168)&lt;0.000001,"PASS","FAIL")</x:f>
        <x:v>PASS</x:v>
      </x:c>
    </x:row>
    <x:row r="169">
      <x:c r="A169" s="16" t="str">
        <x:v>AU-164</x:v>
      </x:c>
      <x:c r="B169" s="16" t="str">
        <x:v>reconciliation</x:v>
      </x:c>
      <x:c r="C169" s="16" t="str">
        <x:v>distributed total boundary</x:v>
      </x:c>
      <x:c r="D169" s="47" t="n">
        <x:v>182</x:v>
      </x:c>
      <x:c r="E169" s="47" t="n">
        <x:f>'Calendar Cases'!L7</x:f>
        <x:v>182</x:v>
      </x:c>
      <x:c r="F169" s="16" t="str">
        <x:f>IF(ABS(D169-E169)&lt;0.000001,"PASS","FAIL")</x:f>
        <x:v>PASS</x:v>
      </x:c>
    </x:row>
    <x:row r="170">
      <x:c r="A170" s="16" t="str">
        <x:v>AU-165</x:v>
      </x:c>
      <x:c r="B170" s="16" t="str">
        <x:v>reconciliation</x:v>
      </x:c>
      <x:c r="C170" s="16" t="str">
        <x:v>one-cell total boundary</x:v>
      </x:c>
      <x:c r="D170" s="47" t="n">
        <x:v>350</x:v>
      </x:c>
      <x:c r="E170" s="47" t="n">
        <x:f>'Calendar Cases'!L8</x:f>
        <x:v>350</x:v>
      </x:c>
      <x:c r="F170" s="16" t="str">
        <x:f>IF(ABS(D170-E170)&lt;0.000001,"PASS","FAIL")</x:f>
        <x:v>PASS</x:v>
      </x:c>
    </x:row>
    <x:row r="171">
      <x:c r="A171" s="16" t="str">
        <x:v>AU-166</x:v>
      </x:c>
      <x:c r="B171" s="16" t="str">
        <x:v>reconciliation</x:v>
      </x:c>
      <x:c r="C171" s="16" t="str">
        <x:v>qualified concentration boundary</x:v>
      </x:c>
      <x:c r="D171" s="47" t="n">
        <x:v>364</x:v>
      </x:c>
      <x:c r="E171" s="47" t="n">
        <x:f>'Calendar Cases'!L9</x:f>
        <x:v>364</x:v>
      </x:c>
      <x:c r="F171" s="16" t="str">
        <x:f>IF(ABS(D171-E171)&lt;0.000001,"PASS","FAIL")</x:f>
        <x:v>PASS</x:v>
      </x:c>
    </x:row>
    <x:row r="172">
      <x:c r="A172" s="16" t="str">
        <x:v>AU-167</x:v>
      </x:c>
      <x:c r="B172" s="16" t="str">
        <x:v>reconciliation</x:v>
      </x:c>
      <x:c r="C172" s="16" t="str">
        <x:v>denied concentration boundary</x:v>
      </x:c>
      <x:c r="D172" s="47" t="n">
        <x:v>602</x:v>
      </x:c>
      <x:c r="E172" s="47" t="n">
        <x:f>'Calendar Cases'!L10</x:f>
        <x:v>602</x:v>
      </x:c>
      <x:c r="F172" s="16" t="str">
        <x:f>IF(ABS(D172-E172)&lt;0.000001,"PASS","FAIL")</x:f>
        <x:v>PASS</x:v>
      </x:c>
    </x:row>
    <x:row r="173">
      <x:c r="A173" s="16" t="str">
        <x:v>AU-168</x:v>
      </x:c>
      <x:c r="B173" s="16" t="str">
        <x:v>reconciliation</x:v>
      </x:c>
      <x:c r="C173" s="16" t="str">
        <x:v>stage exposure</x:v>
      </x:c>
      <x:c r="D173" s="47" t="n">
        <x:v>236</x:v>
      </x:c>
      <x:c r="E173" s="47" t="n">
        <x:f>'Finance'!B16</x:f>
        <x:v>236</x:v>
      </x:c>
      <x:c r="F173" s="16" t="str">
        <x:f>IF(ABS(D173-E173)&lt;0.000001,"PASS","FAIL")</x:f>
        <x:v>PASS</x:v>
      </x:c>
    </x:row>
    <x:row r="174">
      <x:c r="A174" s="16" t="str">
        <x:v>AU-169</x:v>
      </x:c>
      <x:c r="B174" s="16" t="str">
        <x:v>reconciliation</x:v>
      </x:c>
      <x:c r="C174" s="16" t="str">
        <x:v>cumulative child exposure</x:v>
      </x:c>
      <x:c r="D174" s="47" t="n">
        <x:v>1174.25</x:v>
      </x:c>
      <x:c r="E174" s="47" t="n">
        <x:f>'Finance'!B20</x:f>
        <x:v>1174.25</x:v>
      </x:c>
      <x:c r="F174" s="16" t="str">
        <x:f>IF(ABS(D174-E174)&lt;0.000001,"PASS","FAIL")</x:f>
        <x:v>PASS</x:v>
      </x:c>
    </x:row>
    <x:row r="175">
      <x:c r="A175" s="16" t="str">
        <x:v>AU-170</x:v>
      </x:c>
      <x:c r="B175" s="16" t="str">
        <x:v>reconciliation</x:v>
      </x:c>
      <x:c r="C175" s="16" t="str">
        <x:v>revised parent gross exposure</x:v>
      </x:c>
      <x:c r="D175" s="47" t="n">
        <x:v>1457.5</x:v>
      </x:c>
      <x:c r="E175" s="47" t="n">
        <x:f>'Finance'!B18</x:f>
        <x:v>1457.5</x:v>
      </x:c>
      <x:c r="F175" s="16" t="str">
        <x:f>IF(ABS(D175-E175)&lt;0.000001,"PASS","FAIL")</x:f>
        <x:v>PASS</x:v>
      </x:c>
    </x:row>
    <x:row r="176">
      <x:c r="A176" s="16" t="str">
        <x:v>AU-171</x:v>
      </x:c>
      <x:c r="B176" s="16" t="str">
        <x:v>reconciliation</x:v>
      </x:c>
      <x:c r="C176" s="16" t="str">
        <x:v>qualified capacity</x:v>
      </x:c>
      <x:c r="D176" s="47" t="n">
        <x:v>3</x:v>
      </x:c>
      <x:c r="E176" s="47" t="n">
        <x:f>'Capacity'!B5</x:f>
        <x:v>3</x:v>
      </x:c>
      <x:c r="F176" s="16" t="str">
        <x:f>IF(ABS(D176-E176)&lt;0.000001,"PASS","FAIL")</x:f>
        <x:v>PASS</x:v>
      </x:c>
    </x:row>
    <x:row r="177">
      <x:c r="A177" s="16" t="str">
        <x:v>AU-172</x:v>
      </x:c>
      <x:c r="B177" s="16" t="str">
        <x:v>reconciliation</x:v>
      </x:c>
      <x:c r="C177" s="16" t="str">
        <x:v>denied capacity</x:v>
      </x:c>
      <x:c r="D177" s="47" t="n">
        <x:v>1.5</x:v>
      </x:c>
      <x:c r="E177" s="47" t="n">
        <x:f>'Capacity'!B6</x:f>
        <x:v>1.5</x:v>
      </x:c>
      <x:c r="F177" s="16" t="str">
        <x:f>IF(ABS(D177-E177)&lt;0.000001,"PASS","FAIL")</x:f>
        <x:v>PASS</x:v>
      </x:c>
    </x:row>
    <x:row r="178">
      <x:c r="A178" s="16" t="str">
        <x:v>AU-173</x:v>
      </x:c>
      <x:c r="B178" s="16" t="str">
        <x:v>reconciliation</x:v>
      </x:c>
      <x:c r="C178" s="16" t="str">
        <x:v>primary total boundary</x:v>
      </x:c>
      <x:c r="D178" s="47" t="n">
        <x:v>147</x:v>
      </x:c>
      <x:c r="E178" s="47" t="n">
        <x:f>'Calendar Cases'!L6</x:f>
        <x:v>147</x:v>
      </x:c>
      <x:c r="F178" s="16" t="str">
        <x:f>IF(ABS(D178-E178)&lt;0.000001,"PASS","FAIL")</x:f>
        <x:v>PASS</x:v>
      </x:c>
    </x:row>
    <x:row r="179">
      <x:c r="A179" s="16" t="str">
        <x:v>AU-174</x:v>
      </x:c>
      <x:c r="B179" s="16" t="str">
        <x:v>reconciliation</x:v>
      </x:c>
      <x:c r="C179" s="16" t="str">
        <x:v>distributed total boundary</x:v>
      </x:c>
      <x:c r="D179" s="47" t="n">
        <x:v>182</x:v>
      </x:c>
      <x:c r="E179" s="47" t="n">
        <x:f>'Calendar Cases'!L7</x:f>
        <x:v>182</x:v>
      </x:c>
      <x:c r="F179" s="16" t="str">
        <x:f>IF(ABS(D179-E179)&lt;0.000001,"PASS","FAIL")</x:f>
        <x:v>PASS</x:v>
      </x:c>
    </x:row>
    <x:row r="180">
      <x:c r="A180" s="16" t="str">
        <x:v>AU-175</x:v>
      </x:c>
      <x:c r="B180" s="16" t="str">
        <x:v>reconciliation</x:v>
      </x:c>
      <x:c r="C180" s="16" t="str">
        <x:v>one-cell total boundary</x:v>
      </x:c>
      <x:c r="D180" s="47" t="n">
        <x:v>350</x:v>
      </x:c>
      <x:c r="E180" s="47" t="n">
        <x:f>'Calendar Cases'!L8</x:f>
        <x:v>350</x:v>
      </x:c>
      <x:c r="F180" s="16" t="str">
        <x:f>IF(ABS(D180-E180)&lt;0.000001,"PASS","FAIL")</x:f>
        <x:v>PASS</x:v>
      </x:c>
    </x:row>
    <x:row r="181">
      <x:c r="A181" s="16" t="str">
        <x:v>AU-176</x:v>
      </x:c>
      <x:c r="B181" s="16" t="str">
        <x:v>reconciliation</x:v>
      </x:c>
      <x:c r="C181" s="16" t="str">
        <x:v>qualified concentration boundary</x:v>
      </x:c>
      <x:c r="D181" s="47" t="n">
        <x:v>364</x:v>
      </x:c>
      <x:c r="E181" s="47" t="n">
        <x:f>'Calendar Cases'!L9</x:f>
        <x:v>364</x:v>
      </x:c>
      <x:c r="F181" s="16" t="str">
        <x:f>IF(ABS(D181-E181)&lt;0.000001,"PASS","FAIL")</x:f>
        <x:v>PASS</x:v>
      </x:c>
    </x:row>
    <x:row r="182">
      <x:c r="A182" s="16" t="str">
        <x:v>AU-177</x:v>
      </x:c>
      <x:c r="B182" s="16" t="str">
        <x:v>reconciliation</x:v>
      </x:c>
      <x:c r="C182" s="16" t="str">
        <x:v>denied concentration boundary</x:v>
      </x:c>
      <x:c r="D182" s="47" t="n">
        <x:v>602</x:v>
      </x:c>
      <x:c r="E182" s="47" t="n">
        <x:f>'Calendar Cases'!L10</x:f>
        <x:v>602</x:v>
      </x:c>
      <x:c r="F182" s="16" t="str">
        <x:f>IF(ABS(D182-E182)&lt;0.000001,"PASS","FAIL")</x:f>
        <x:v>PASS</x:v>
      </x:c>
    </x:row>
    <x:row r="183">
      <x:c r="A183" s="16" t="str">
        <x:v>AU-178</x:v>
      </x:c>
      <x:c r="B183" s="16" t="str">
        <x:v>reconciliation</x:v>
      </x:c>
      <x:c r="C183" s="16" t="str">
        <x:v>stage exposure</x:v>
      </x:c>
      <x:c r="D183" s="47" t="n">
        <x:v>236</x:v>
      </x:c>
      <x:c r="E183" s="47" t="n">
        <x:f>'Finance'!B16</x:f>
        <x:v>236</x:v>
      </x:c>
      <x:c r="F183" s="16" t="str">
        <x:f>IF(ABS(D183-E183)&lt;0.000001,"PASS","FAIL")</x:f>
        <x:v>PASS</x:v>
      </x:c>
    </x:row>
    <x:row r="184">
      <x:c r="A184" s="16" t="str">
        <x:v>AU-179</x:v>
      </x:c>
      <x:c r="B184" s="16" t="str">
        <x:v>reconciliation</x:v>
      </x:c>
      <x:c r="C184" s="16" t="str">
        <x:v>cumulative child exposure</x:v>
      </x:c>
      <x:c r="D184" s="47" t="n">
        <x:v>1174.25</x:v>
      </x:c>
      <x:c r="E184" s="47" t="n">
        <x:f>'Finance'!B20</x:f>
        <x:v>1174.25</x:v>
      </x:c>
      <x:c r="F184" s="16" t="str">
        <x:f>IF(ABS(D184-E184)&lt;0.000001,"PASS","FAIL")</x:f>
        <x:v>PASS</x:v>
      </x:c>
    </x:row>
    <x:row r="185">
      <x:c r="A185" s="16" t="str">
        <x:v>AU-180</x:v>
      </x:c>
      <x:c r="B185" s="16" t="str">
        <x:v>reconciliation</x:v>
      </x:c>
      <x:c r="C185" s="16" t="str">
        <x:v>revised parent gross exposure</x:v>
      </x:c>
      <x:c r="D185" s="47" t="n">
        <x:v>1457.5</x:v>
      </x:c>
      <x:c r="E185" s="47" t="n">
        <x:f>'Finance'!B18</x:f>
        <x:v>1457.5</x:v>
      </x:c>
      <x:c r="F185" s="16" t="str">
        <x:f>IF(ABS(D185-E185)&lt;0.000001,"PASS","FAIL")</x:f>
        <x:v>PASS</x:v>
      </x:c>
    </x:row>
    <x:row r="186">
      <x:c r="A186" s="16" t="str">
        <x:v>AU-181</x:v>
      </x:c>
      <x:c r="B186" s="16" t="str">
        <x:v>reconciliation</x:v>
      </x:c>
      <x:c r="C186" s="16" t="str">
        <x:v>qualified capacity</x:v>
      </x:c>
      <x:c r="D186" s="47" t="n">
        <x:v>3</x:v>
      </x:c>
      <x:c r="E186" s="47" t="n">
        <x:f>'Capacity'!B5</x:f>
        <x:v>3</x:v>
      </x:c>
      <x:c r="F186" s="16" t="str">
        <x:f>IF(ABS(D186-E186)&lt;0.000001,"PASS","FAIL")</x:f>
        <x:v>PASS</x:v>
      </x:c>
    </x:row>
    <x:row r="187">
      <x:c r="A187" s="16" t="str">
        <x:v>AU-182</x:v>
      </x:c>
      <x:c r="B187" s="16" t="str">
        <x:v>reconciliation</x:v>
      </x:c>
      <x:c r="C187" s="16" t="str">
        <x:v>denied capacity</x:v>
      </x:c>
      <x:c r="D187" s="47" t="n">
        <x:v>1.5</x:v>
      </x:c>
      <x:c r="E187" s="47" t="n">
        <x:f>'Capacity'!B6</x:f>
        <x:v>1.5</x:v>
      </x:c>
      <x:c r="F187" s="16" t="str">
        <x:f>IF(ABS(D187-E187)&lt;0.000001,"PASS","FAIL")</x:f>
        <x:v>PASS</x:v>
      </x:c>
    </x:row>
    <x:row r="188">
      <x:c r="A188" s="16" t="str">
        <x:v>AU-183</x:v>
      </x:c>
      <x:c r="B188" s="16" t="str">
        <x:v>reconciliation</x:v>
      </x:c>
      <x:c r="C188" s="16" t="str">
        <x:v>primary total boundary</x:v>
      </x:c>
      <x:c r="D188" s="47" t="n">
        <x:v>147</x:v>
      </x:c>
      <x:c r="E188" s="47" t="n">
        <x:f>'Calendar Cases'!L6</x:f>
        <x:v>147</x:v>
      </x:c>
      <x:c r="F188" s="16" t="str">
        <x:f>IF(ABS(D188-E188)&lt;0.000001,"PASS","FAIL")</x:f>
        <x:v>PASS</x:v>
      </x:c>
    </x:row>
    <x:row r="189">
      <x:c r="A189" s="16" t="str">
        <x:v>AU-184</x:v>
      </x:c>
      <x:c r="B189" s="16" t="str">
        <x:v>reconciliation</x:v>
      </x:c>
      <x:c r="C189" s="16" t="str">
        <x:v>distributed total boundary</x:v>
      </x:c>
      <x:c r="D189" s="47" t="n">
        <x:v>182</x:v>
      </x:c>
      <x:c r="E189" s="47" t="n">
        <x:f>'Calendar Cases'!L7</x:f>
        <x:v>182</x:v>
      </x:c>
      <x:c r="F189" s="16" t="str">
        <x:f>IF(ABS(D189-E189)&lt;0.000001,"PASS","FAIL")</x:f>
        <x:v>PASS</x:v>
      </x:c>
    </x:row>
    <x:row r="190">
      <x:c r="A190" s="16" t="str">
        <x:v>AU-185</x:v>
      </x:c>
      <x:c r="B190" s="16" t="str">
        <x:v>reconciliation</x:v>
      </x:c>
      <x:c r="C190" s="16" t="str">
        <x:v>one-cell total boundary</x:v>
      </x:c>
      <x:c r="D190" s="47" t="n">
        <x:v>350</x:v>
      </x:c>
      <x:c r="E190" s="47" t="n">
        <x:f>'Calendar Cases'!L8</x:f>
        <x:v>350</x:v>
      </x:c>
      <x:c r="F190" s="16" t="str">
        <x:f>IF(ABS(D190-E190)&lt;0.000001,"PASS","FAIL")</x:f>
        <x:v>PASS</x:v>
      </x:c>
    </x:row>
    <x:row r="191">
      <x:c r="A191" s="16" t="str">
        <x:v>AU-186</x:v>
      </x:c>
      <x:c r="B191" s="16" t="str">
        <x:v>reconciliation</x:v>
      </x:c>
      <x:c r="C191" s="16" t="str">
        <x:v>qualified concentration boundary</x:v>
      </x:c>
      <x:c r="D191" s="47" t="n">
        <x:v>364</x:v>
      </x:c>
      <x:c r="E191" s="47" t="n">
        <x:f>'Calendar Cases'!L9</x:f>
        <x:v>364</x:v>
      </x:c>
      <x:c r="F191" s="16" t="str">
        <x:f>IF(ABS(D191-E191)&lt;0.000001,"PASS","FAIL")</x:f>
        <x:v>PASS</x:v>
      </x:c>
    </x:row>
    <x:row r="192">
      <x:c r="A192" s="16" t="str">
        <x:v>AU-187</x:v>
      </x:c>
      <x:c r="B192" s="16" t="str">
        <x:v>reconciliation</x:v>
      </x:c>
      <x:c r="C192" s="16" t="str">
        <x:v>denied concentration boundary</x:v>
      </x:c>
      <x:c r="D192" s="47" t="n">
        <x:v>602</x:v>
      </x:c>
      <x:c r="E192" s="47" t="n">
        <x:f>'Calendar Cases'!L10</x:f>
        <x:v>602</x:v>
      </x:c>
      <x:c r="F192" s="16" t="str">
        <x:f>IF(ABS(D192-E192)&lt;0.000001,"PASS","FAIL")</x:f>
        <x:v>PASS</x:v>
      </x:c>
    </x:row>
    <x:row r="193">
      <x:c r="A193" s="16" t="str">
        <x:v>AU-188</x:v>
      </x:c>
      <x:c r="B193" s="16" t="str">
        <x:v>reconciliation</x:v>
      </x:c>
      <x:c r="C193" s="16" t="str">
        <x:v>stage exposure</x:v>
      </x:c>
      <x:c r="D193" s="47" t="n">
        <x:v>236</x:v>
      </x:c>
      <x:c r="E193" s="47" t="n">
        <x:f>'Finance'!B16</x:f>
        <x:v>236</x:v>
      </x:c>
      <x:c r="F193" s="16" t="str">
        <x:f>IF(ABS(D193-E193)&lt;0.000001,"PASS","FAIL")</x:f>
        <x:v>PASS</x:v>
      </x:c>
    </x:row>
    <x:row r="194">
      <x:c r="A194" s="16" t="str">
        <x:v>AU-189</x:v>
      </x:c>
      <x:c r="B194" s="16" t="str">
        <x:v>reconciliation</x:v>
      </x:c>
      <x:c r="C194" s="16" t="str">
        <x:v>cumulative child exposure</x:v>
      </x:c>
      <x:c r="D194" s="47" t="n">
        <x:v>1174.25</x:v>
      </x:c>
      <x:c r="E194" s="47" t="n">
        <x:f>'Finance'!B20</x:f>
        <x:v>1174.25</x:v>
      </x:c>
      <x:c r="F194" s="16" t="str">
        <x:f>IF(ABS(D194-E194)&lt;0.000001,"PASS","FAIL")</x:f>
        <x:v>PASS</x:v>
      </x:c>
    </x:row>
    <x:row r="195">
      <x:c r="A195" s="16" t="str">
        <x:v>AU-190</x:v>
      </x:c>
      <x:c r="B195" s="16" t="str">
        <x:v>reconciliation</x:v>
      </x:c>
      <x:c r="C195" s="16" t="str">
        <x:v>revised parent gross exposure</x:v>
      </x:c>
      <x:c r="D195" s="47" t="n">
        <x:v>1457.5</x:v>
      </x:c>
      <x:c r="E195" s="47" t="n">
        <x:f>'Finance'!B18</x:f>
        <x:v>1457.5</x:v>
      </x:c>
      <x:c r="F195" s="16" t="str">
        <x:f>IF(ABS(D195-E195)&lt;0.000001,"PASS","FAIL")</x:f>
        <x:v>PASS</x:v>
      </x:c>
    </x:row>
    <x:row r="196">
      <x:c r="A196" s="16" t="str">
        <x:v>AU-191</x:v>
      </x:c>
      <x:c r="B196" s="16" t="str">
        <x:v>reconciliation</x:v>
      </x:c>
      <x:c r="C196" s="16" t="str">
        <x:v>qualified capacity</x:v>
      </x:c>
      <x:c r="D196" s="47" t="n">
        <x:v>3</x:v>
      </x:c>
      <x:c r="E196" s="47" t="n">
        <x:f>'Capacity'!B5</x:f>
        <x:v>3</x:v>
      </x:c>
      <x:c r="F196" s="16" t="str">
        <x:f>IF(ABS(D196-E196)&lt;0.000001,"PASS","FAIL")</x:f>
        <x:v>PASS</x:v>
      </x:c>
    </x:row>
    <x:row r="197">
      <x:c r="A197" s="16" t="str">
        <x:v>AU-192</x:v>
      </x:c>
      <x:c r="B197" s="16" t="str">
        <x:v>reconciliation</x:v>
      </x:c>
      <x:c r="C197" s="16" t="str">
        <x:v>denied capacity</x:v>
      </x:c>
      <x:c r="D197" s="47" t="n">
        <x:v>1.5</x:v>
      </x:c>
      <x:c r="E197" s="47" t="n">
        <x:f>'Capacity'!B6</x:f>
        <x:v>1.5</x:v>
      </x:c>
      <x:c r="F197" s="16" t="str">
        <x:f>IF(ABS(D197-E197)&lt;0.000001,"PASS","FAIL")</x:f>
        <x:v>PASS</x:v>
      </x:c>
    </x:row>
    <x:row r="198">
      <x:c r="A198" s="16" t="str">
        <x:v>AU-193</x:v>
      </x:c>
      <x:c r="B198" s="16" t="str">
        <x:v>reconciliation</x:v>
      </x:c>
      <x:c r="C198" s="16" t="str">
        <x:v>primary total boundary</x:v>
      </x:c>
      <x:c r="D198" s="47" t="n">
        <x:v>147</x:v>
      </x:c>
      <x:c r="E198" s="47" t="n">
        <x:f>'Calendar Cases'!L6</x:f>
        <x:v>147</x:v>
      </x:c>
      <x:c r="F198" s="16" t="str">
        <x:f>IF(ABS(D198-E198)&lt;0.000001,"PASS","FAIL")</x:f>
        <x:v>PASS</x:v>
      </x:c>
    </x:row>
    <x:row r="199">
      <x:c r="A199" s="16" t="str">
        <x:v>AU-194</x:v>
      </x:c>
      <x:c r="B199" s="16" t="str">
        <x:v>reconciliation</x:v>
      </x:c>
      <x:c r="C199" s="16" t="str">
        <x:v>distributed total boundary</x:v>
      </x:c>
      <x:c r="D199" s="47" t="n">
        <x:v>182</x:v>
      </x:c>
      <x:c r="E199" s="47" t="n">
        <x:f>'Calendar Cases'!L7</x:f>
        <x:v>182</x:v>
      </x:c>
      <x:c r="F199" s="16" t="str">
        <x:f>IF(ABS(D199-E199)&lt;0.000001,"PASS","FAIL")</x:f>
        <x:v>PASS</x:v>
      </x:c>
    </x:row>
    <x:row r="200">
      <x:c r="A200" s="16" t="str">
        <x:v>AU-195</x:v>
      </x:c>
      <x:c r="B200" s="16" t="str">
        <x:v>reconciliation</x:v>
      </x:c>
      <x:c r="C200" s="16" t="str">
        <x:v>one-cell total boundary</x:v>
      </x:c>
      <x:c r="D200" s="47" t="n">
        <x:v>350</x:v>
      </x:c>
      <x:c r="E200" s="47" t="n">
        <x:f>'Calendar Cases'!L8</x:f>
        <x:v>350</x:v>
      </x:c>
      <x:c r="F200" s="16" t="str">
        <x:f>IF(ABS(D200-E200)&lt;0.000001,"PASS","FAIL")</x:f>
        <x:v>PASS</x:v>
      </x:c>
    </x:row>
    <x:row r="201">
      <x:c r="A201" s="16" t="str">
        <x:v>AU-196</x:v>
      </x:c>
      <x:c r="B201" s="16" t="str">
        <x:v>reconciliation</x:v>
      </x:c>
      <x:c r="C201" s="16" t="str">
        <x:v>qualified concentration boundary</x:v>
      </x:c>
      <x:c r="D201" s="47" t="n">
        <x:v>364</x:v>
      </x:c>
      <x:c r="E201" s="47" t="n">
        <x:f>'Calendar Cases'!L9</x:f>
        <x:v>364</x:v>
      </x:c>
      <x:c r="F201" s="16" t="str">
        <x:f>IF(ABS(D201-E201)&lt;0.000001,"PASS","FAIL")</x:f>
        <x:v>PASS</x:v>
      </x:c>
    </x:row>
    <x:row r="202">
      <x:c r="A202" s="16" t="str">
        <x:v>AU-197</x:v>
      </x:c>
      <x:c r="B202" s="16" t="str">
        <x:v>reconciliation</x:v>
      </x:c>
      <x:c r="C202" s="16" t="str">
        <x:v>denied concentration boundary</x:v>
      </x:c>
      <x:c r="D202" s="47" t="n">
        <x:v>602</x:v>
      </x:c>
      <x:c r="E202" s="47" t="n">
        <x:f>'Calendar Cases'!L10</x:f>
        <x:v>602</x:v>
      </x:c>
      <x:c r="F202" s="16" t="str">
        <x:f>IF(ABS(D202-E202)&lt;0.000001,"PASS","FAIL")</x:f>
        <x:v>PASS</x:v>
      </x:c>
    </x:row>
    <x:row r="203">
      <x:c r="A203" s="16" t="str">
        <x:v>AU-198</x:v>
      </x:c>
      <x:c r="B203" s="16" t="str">
        <x:v>reconciliation</x:v>
      </x:c>
      <x:c r="C203" s="16" t="str">
        <x:v>stage exposure</x:v>
      </x:c>
      <x:c r="D203" s="47" t="n">
        <x:v>236</x:v>
      </x:c>
      <x:c r="E203" s="47" t="n">
        <x:f>'Finance'!B16</x:f>
        <x:v>236</x:v>
      </x:c>
      <x:c r="F203" s="16" t="str">
        <x:f>IF(ABS(D203-E203)&lt;0.000001,"PASS","FAIL")</x:f>
        <x:v>PASS</x:v>
      </x:c>
    </x:row>
    <x:row r="204">
      <x:c r="A204" s="16" t="str">
        <x:v>AU-199</x:v>
      </x:c>
      <x:c r="B204" s="16" t="str">
        <x:v>reconciliation</x:v>
      </x:c>
      <x:c r="C204" s="16" t="str">
        <x:v>cumulative child exposure</x:v>
      </x:c>
      <x:c r="D204" s="47" t="n">
        <x:v>1174.25</x:v>
      </x:c>
      <x:c r="E204" s="47" t="n">
        <x:f>'Finance'!B20</x:f>
        <x:v>1174.25</x:v>
      </x:c>
      <x:c r="F204" s="16" t="str">
        <x:f>IF(ABS(D204-E204)&lt;0.000001,"PASS","FAIL")</x:f>
        <x:v>PASS</x:v>
      </x:c>
    </x:row>
    <x:row r="205">
      <x:c r="A205" s="16" t="str">
        <x:v>AU-200</x:v>
      </x:c>
      <x:c r="B205" s="16" t="str">
        <x:v>reconciliation</x:v>
      </x:c>
      <x:c r="C205" s="16" t="str">
        <x:v>revised parent gross exposure</x:v>
      </x:c>
      <x:c r="D205" s="47" t="n">
        <x:v>1457.5</x:v>
      </x:c>
      <x:c r="E205" s="47" t="n">
        <x:f>'Finance'!B18</x:f>
        <x:v>1457.5</x:v>
      </x:c>
      <x:c r="F205" s="16" t="str">
        <x:f>IF(ABS(D205-E205)&lt;0.000001,"PASS","FAIL")</x:f>
        <x:v>PASS</x:v>
      </x:c>
    </x:row>
    <x:row r="206">
      <x:c r="A206" s="16" t="str">
        <x:v>AU-201</x:v>
      </x:c>
      <x:c r="B206" s="16" t="str">
        <x:v>initial state</x:v>
      </x:c>
      <x:c r="C206" s="16" t="str">
        <x:v>architecture freeze</x:v>
      </x:c>
      <x:c r="D206" s="47" t="str">
        <x:v>OPEN</x:v>
      </x:c>
      <x:c r="E206" s="47" t="str">
        <x:f>'Architecture Freeze'!B5</x:f>
        <x:v>OPEN</x:v>
      </x:c>
      <x:c r="F206" s="16" t="str">
        <x:f>IF(D206=E206,"PASS","FAIL")</x:f>
        <x:v>PASS</x:v>
      </x:c>
    </x:row>
    <x:row r="207">
      <x:c r="A207" s="16" t="str">
        <x:v>AU-202</x:v>
      </x:c>
      <x:c r="B207" s="16" t="str">
        <x:v>initial state</x:v>
      </x:c>
      <x:c r="C207" s="16" t="str">
        <x:v>first exchange trial</x:v>
      </x:c>
      <x:c r="D207" s="47" t="str">
        <x:v>OPEN</x:v>
      </x:c>
      <x:c r="E207" s="47" t="str">
        <x:f>'Exchange Trials'!M8</x:f>
        <x:v>OPEN</x:v>
      </x:c>
      <x:c r="F207" s="16" t="str">
        <x:f>IF(D207=E207,"PASS","FAIL")</x:f>
        <x:v>PASS</x:v>
      </x:c>
    </x:row>
    <x:row r="208">
      <x:c r="A208" s="16" t="str">
        <x:v>AU-203</x:v>
      </x:c>
      <x:c r="B208" s="16" t="str">
        <x:v>initial state</x:v>
      </x:c>
      <x:c r="C208" s="16" t="str">
        <x:v>national exchange</x:v>
      </x:c>
      <x:c r="D208" s="47" t="str">
        <x:v>OPEN</x:v>
      </x:c>
      <x:c r="E208" s="47" t="str">
        <x:f>'Exchange Decision'!B6</x:f>
        <x:v>OPEN</x:v>
      </x:c>
      <x:c r="F208" s="16" t="str">
        <x:f>IF(D208=E208,"PASS","FAIL")</x:f>
        <x:v>PASS</x:v>
      </x:c>
    </x:row>
    <x:row r="209">
      <x:c r="A209" s="16" t="str">
        <x:v>AU-204</x:v>
      </x:c>
      <x:c r="B209" s="16" t="str">
        <x:v>initial state</x:v>
      </x:c>
      <x:c r="C209" s="16" t="str">
        <x:v>first exact cell</x:v>
      </x:c>
      <x:c r="D209" s="47" t="str">
        <x:v>OPEN</x:v>
      </x:c>
      <x:c r="E209" s="47" t="str">
        <x:f>'Cell Map'!K6</x:f>
        <x:v>OPEN</x:v>
      </x:c>
      <x:c r="F209" s="16" t="str">
        <x:f>IF(D209=E209,"PASS","FAIL")</x:f>
        <x:v>PASS</x:v>
      </x:c>
    </x:row>
    <x:row r="210">
      <x:c r="A210" s="16" t="str">
        <x:v>AU-205</x:v>
      </x:c>
      <x:c r="B210" s="16" t="str">
        <x:v>initial state</x:v>
      </x:c>
      <x:c r="C210" s="16" t="str">
        <x:v>first attempt</x:v>
      </x:c>
      <x:c r="D210" s="47" t="str">
        <x:v>OPEN</x:v>
      </x:c>
      <x:c r="E210" s="47" t="str">
        <x:f>'Attempt Register'!P8</x:f>
        <x:v>OPEN</x:v>
      </x:c>
      <x:c r="F210" s="16" t="str">
        <x:f>IF(D210=E210,"PASS","FAIL")</x:f>
        <x:v>PASS</x:v>
      </x:c>
    </x:row>
    <x:row r="211">
      <x:c r="A211" s="16" t="str">
        <x:v>AU-206</x:v>
      </x:c>
      <x:c r="B211" s="16" t="str">
        <x:v>initial state</x:v>
      </x:c>
      <x:c r="C211" s="16" t="str">
        <x:v>first return</x:v>
      </x:c>
      <x:c r="D211" s="47" t="str">
        <x:v>OPEN</x:v>
      </x:c>
      <x:c r="E211" s="47" t="str">
        <x:f>'Return Cycles'!K6</x:f>
        <x:v>OPEN</x:v>
      </x:c>
      <x:c r="F211" s="16" t="str">
        <x:f>IF(D211=E211,"PASS","FAIL")</x:f>
        <x:v>PASS</x:v>
      </x:c>
    </x:row>
    <x:row r="212">
      <x:c r="A212" s="16" t="str">
        <x:v>AU-207</x:v>
      </x:c>
      <x:c r="B212" s="16" t="str">
        <x:v>initial state</x:v>
      </x:c>
      <x:c r="C212" s="16" t="str">
        <x:v>first transition</x:v>
      </x:c>
      <x:c r="D212" s="47" t="str">
        <x:v>OPEN</x:v>
      </x:c>
      <x:c r="E212" s="47" t="str">
        <x:f>'Transitions'!M6</x:f>
        <x:v>OPEN</x:v>
      </x:c>
      <x:c r="F212" s="16" t="str">
        <x:f>IF(D212=E212,"PASS","FAIL")</x:f>
        <x:v>PASS</x:v>
      </x:c>
    </x:row>
    <x:row r="213">
      <x:c r="A213" s="16" t="str">
        <x:v>AU-208</x:v>
      </x:c>
      <x:c r="B213" s="16" t="str">
        <x:v>initial state</x:v>
      </x:c>
      <x:c r="C213" s="16" t="str">
        <x:v>first contrast</x:v>
      </x:c>
      <x:c r="D213" s="47" t="str">
        <x:v>OPEN</x:v>
      </x:c>
      <x:c r="E213" s="47" t="str">
        <x:f>'Contrasts'!J6</x:f>
        <x:v>OPEN</x:v>
      </x:c>
      <x:c r="F213" s="16" t="str">
        <x:f>IF(D213=E213,"PASS","FAIL")</x:f>
        <x:v>PASS</x:v>
      </x:c>
    </x:row>
    <x:row r="214">
      <x:c r="A214" s="16" t="str">
        <x:v>AU-209</x:v>
      </x:c>
      <x:c r="B214" s="16" t="str">
        <x:v>initial state</x:v>
      </x:c>
      <x:c r="C214" s="16" t="str">
        <x:v>class decision</x:v>
      </x:c>
      <x:c r="D214" s="47" t="str">
        <x:v>OPEN</x:v>
      </x:c>
      <x:c r="E214" s="47" t="str">
        <x:f>'Hierarchy'!B8</x:f>
        <x:v>OPEN</x:v>
      </x:c>
      <x:c r="F214" s="16" t="str">
        <x:f>IF(D214=E214,"PASS","FAIL")</x:f>
        <x:v>PASS</x:v>
      </x:c>
    </x:row>
    <x:row r="215">
      <x:c r="A215" s="16" t="str">
        <x:v>AU-210</x:v>
      </x:c>
      <x:c r="B215" s="16" t="str">
        <x:v>initial state</x:v>
      </x:c>
      <x:c r="C215" s="16" t="str">
        <x:v>fiscal state</x:v>
      </x:c>
      <x:c r="D215" s="47" t="str">
        <x:v>AMENDMENT REQUIRED</x:v>
      </x:c>
      <x:c r="E215" s="47" t="str">
        <x:f>'Finance'!B28</x:f>
        <x:v>AMENDMENT REQUIRED</x:v>
      </x:c>
      <x:c r="F215" s="16" t="str">
        <x:f>IF(D215=E215,"PASS","FAIL")</x:f>
        <x:v>PASS</x:v>
      </x:c>
    </x:row>
    <x:row r="216">
      <x:c r="A216" s="16" t="str">
        <x:v>AU-211</x:v>
      </x:c>
      <x:c r="B216" s="16" t="str">
        <x:v>initial state</x:v>
      </x:c>
      <x:c r="C216" s="16" t="str">
        <x:v>architecture freeze</x:v>
      </x:c>
      <x:c r="D216" s="47" t="str">
        <x:v>OPEN</x:v>
      </x:c>
      <x:c r="E216" s="47" t="str">
        <x:f>'Architecture Freeze'!B5</x:f>
        <x:v>OPEN</x:v>
      </x:c>
      <x:c r="F216" s="16" t="str">
        <x:f>IF(D216=E216,"PASS","FAIL")</x:f>
        <x:v>PASS</x:v>
      </x:c>
    </x:row>
    <x:row r="217">
      <x:c r="A217" s="16" t="str">
        <x:v>AU-212</x:v>
      </x:c>
      <x:c r="B217" s="16" t="str">
        <x:v>initial state</x:v>
      </x:c>
      <x:c r="C217" s="16" t="str">
        <x:v>first exchange trial</x:v>
      </x:c>
      <x:c r="D217" s="47" t="str">
        <x:v>OPEN</x:v>
      </x:c>
      <x:c r="E217" s="47" t="str">
        <x:f>'Exchange Trials'!M8</x:f>
        <x:v>OPEN</x:v>
      </x:c>
      <x:c r="F217" s="16" t="str">
        <x:f>IF(D217=E217,"PASS","FAIL")</x:f>
        <x:v>PASS</x:v>
      </x:c>
    </x:row>
    <x:row r="218">
      <x:c r="A218" s="16" t="str">
        <x:v>AU-213</x:v>
      </x:c>
      <x:c r="B218" s="16" t="str">
        <x:v>initial state</x:v>
      </x:c>
      <x:c r="C218" s="16" t="str">
        <x:v>national exchange</x:v>
      </x:c>
      <x:c r="D218" s="47" t="str">
        <x:v>OPEN</x:v>
      </x:c>
      <x:c r="E218" s="47" t="str">
        <x:f>'Exchange Decision'!B6</x:f>
        <x:v>OPEN</x:v>
      </x:c>
      <x:c r="F218" s="16" t="str">
        <x:f>IF(D218=E218,"PASS","FAIL")</x:f>
        <x:v>PASS</x:v>
      </x:c>
    </x:row>
    <x:row r="219">
      <x:c r="A219" s="16" t="str">
        <x:v>AU-214</x:v>
      </x:c>
      <x:c r="B219" s="16" t="str">
        <x:v>initial state</x:v>
      </x:c>
      <x:c r="C219" s="16" t="str">
        <x:v>first exact cell</x:v>
      </x:c>
      <x:c r="D219" s="47" t="str">
        <x:v>OPEN</x:v>
      </x:c>
      <x:c r="E219" s="47" t="str">
        <x:f>'Cell Map'!K6</x:f>
        <x:v>OPEN</x:v>
      </x:c>
      <x:c r="F219" s="16" t="str">
        <x:f>IF(D219=E219,"PASS","FAIL")</x:f>
        <x:v>PASS</x:v>
      </x:c>
    </x:row>
    <x:row r="220">
      <x:c r="A220" s="16" t="str">
        <x:v>AU-215</x:v>
      </x:c>
      <x:c r="B220" s="16" t="str">
        <x:v>initial state</x:v>
      </x:c>
      <x:c r="C220" s="16" t="str">
        <x:v>first attempt</x:v>
      </x:c>
      <x:c r="D220" s="47" t="str">
        <x:v>OPEN</x:v>
      </x:c>
      <x:c r="E220" s="47" t="str">
        <x:f>'Attempt Register'!P8</x:f>
        <x:v>OPEN</x:v>
      </x:c>
      <x:c r="F220" s="16" t="str">
        <x:f>IF(D220=E220,"PASS","FAIL")</x:f>
        <x:v>PASS</x:v>
      </x:c>
    </x:row>
    <x:row r="221">
      <x:c r="A221" s="16" t="str">
        <x:v>AU-216</x:v>
      </x:c>
      <x:c r="B221" s="16" t="str">
        <x:v>initial state</x:v>
      </x:c>
      <x:c r="C221" s="16" t="str">
        <x:v>first return</x:v>
      </x:c>
      <x:c r="D221" s="47" t="str">
        <x:v>OPEN</x:v>
      </x:c>
      <x:c r="E221" s="47" t="str">
        <x:f>'Return Cycles'!K6</x:f>
        <x:v>OPEN</x:v>
      </x:c>
      <x:c r="F221" s="16" t="str">
        <x:f>IF(D221=E221,"PASS","FAIL")</x:f>
        <x:v>PASS</x:v>
      </x:c>
    </x:row>
    <x:row r="222">
      <x:c r="A222" s="16" t="str">
        <x:v>AU-217</x:v>
      </x:c>
      <x:c r="B222" s="16" t="str">
        <x:v>initial state</x:v>
      </x:c>
      <x:c r="C222" s="16" t="str">
        <x:v>first transition</x:v>
      </x:c>
      <x:c r="D222" s="47" t="str">
        <x:v>OPEN</x:v>
      </x:c>
      <x:c r="E222" s="47" t="str">
        <x:f>'Transitions'!M6</x:f>
        <x:v>OPEN</x:v>
      </x:c>
      <x:c r="F222" s="16" t="str">
        <x:f>IF(D222=E222,"PASS","FAIL")</x:f>
        <x:v>PASS</x:v>
      </x:c>
    </x:row>
    <x:row r="223">
      <x:c r="A223" s="16" t="str">
        <x:v>AU-218</x:v>
      </x:c>
      <x:c r="B223" s="16" t="str">
        <x:v>initial state</x:v>
      </x:c>
      <x:c r="C223" s="16" t="str">
        <x:v>first contrast</x:v>
      </x:c>
      <x:c r="D223" s="47" t="str">
        <x:v>OPEN</x:v>
      </x:c>
      <x:c r="E223" s="47" t="str">
        <x:f>'Contrasts'!J6</x:f>
        <x:v>OPEN</x:v>
      </x:c>
      <x:c r="F223" s="16" t="str">
        <x:f>IF(D223=E223,"PASS","FAIL")</x:f>
        <x:v>PASS</x:v>
      </x:c>
    </x:row>
    <x:row r="224">
      <x:c r="A224" s="16" t="str">
        <x:v>AU-219</x:v>
      </x:c>
      <x:c r="B224" s="16" t="str">
        <x:v>initial state</x:v>
      </x:c>
      <x:c r="C224" s="16" t="str">
        <x:v>class decision</x:v>
      </x:c>
      <x:c r="D224" s="47" t="str">
        <x:v>OPEN</x:v>
      </x:c>
      <x:c r="E224" s="47" t="str">
        <x:f>'Hierarchy'!B8</x:f>
        <x:v>OPEN</x:v>
      </x:c>
      <x:c r="F224" s="16" t="str">
        <x:f>IF(D224=E224,"PASS","FAIL")</x:f>
        <x:v>PASS</x:v>
      </x:c>
    </x:row>
    <x:row r="225">
      <x:c r="A225" s="16" t="str">
        <x:v>AU-220</x:v>
      </x:c>
      <x:c r="B225" s="16" t="str">
        <x:v>initial state</x:v>
      </x:c>
      <x:c r="C225" s="16" t="str">
        <x:v>fiscal state</x:v>
      </x:c>
      <x:c r="D225" s="47" t="str">
        <x:v>AMENDMENT REQUIRED</x:v>
      </x:c>
      <x:c r="E225" s="47" t="str">
        <x:f>'Finance'!B28</x:f>
        <x:v>AMENDMENT REQUIRED</x:v>
      </x:c>
      <x:c r="F225" s="16" t="str">
        <x:f>IF(D225=E225,"PASS","FAIL")</x:f>
        <x:v>PASS</x:v>
      </x:c>
    </x:row>
    <x:row r="226">
      <x:c r="A226" s="16" t="str">
        <x:v>AU-221</x:v>
      </x:c>
      <x:c r="B226" s="16" t="str">
        <x:v>initial state</x:v>
      </x:c>
      <x:c r="C226" s="16" t="str">
        <x:v>architecture freeze</x:v>
      </x:c>
      <x:c r="D226" s="47" t="str">
        <x:v>OPEN</x:v>
      </x:c>
      <x:c r="E226" s="47" t="str">
        <x:f>'Architecture Freeze'!B5</x:f>
        <x:v>OPEN</x:v>
      </x:c>
      <x:c r="F226" s="16" t="str">
        <x:f>IF(D226=E226,"PASS","FAIL")</x:f>
        <x:v>PASS</x:v>
      </x:c>
    </x:row>
    <x:row r="227">
      <x:c r="A227" s="16" t="str">
        <x:v>AU-222</x:v>
      </x:c>
      <x:c r="B227" s="16" t="str">
        <x:v>initial state</x:v>
      </x:c>
      <x:c r="C227" s="16" t="str">
        <x:v>first exchange trial</x:v>
      </x:c>
      <x:c r="D227" s="47" t="str">
        <x:v>OPEN</x:v>
      </x:c>
      <x:c r="E227" s="47" t="str">
        <x:f>'Exchange Trials'!M8</x:f>
        <x:v>OPEN</x:v>
      </x:c>
      <x:c r="F227" s="16" t="str">
        <x:f>IF(D227=E227,"PASS","FAIL")</x:f>
        <x:v>PASS</x:v>
      </x:c>
    </x:row>
    <x:row r="228">
      <x:c r="A228" s="16" t="str">
        <x:v>AU-223</x:v>
      </x:c>
      <x:c r="B228" s="16" t="str">
        <x:v>initial state</x:v>
      </x:c>
      <x:c r="C228" s="16" t="str">
        <x:v>national exchange</x:v>
      </x:c>
      <x:c r="D228" s="47" t="str">
        <x:v>OPEN</x:v>
      </x:c>
      <x:c r="E228" s="47" t="str">
        <x:f>'Exchange Decision'!B6</x:f>
        <x:v>OPEN</x:v>
      </x:c>
      <x:c r="F228" s="16" t="str">
        <x:f>IF(D228=E228,"PASS","FAIL")</x:f>
        <x:v>PASS</x:v>
      </x:c>
    </x:row>
    <x:row r="229">
      <x:c r="A229" s="16" t="str">
        <x:v>AU-224</x:v>
      </x:c>
      <x:c r="B229" s="16" t="str">
        <x:v>initial state</x:v>
      </x:c>
      <x:c r="C229" s="16" t="str">
        <x:v>first exact cell</x:v>
      </x:c>
      <x:c r="D229" s="47" t="str">
        <x:v>OPEN</x:v>
      </x:c>
      <x:c r="E229" s="47" t="str">
        <x:f>'Cell Map'!K6</x:f>
        <x:v>OPEN</x:v>
      </x:c>
      <x:c r="F229" s="16" t="str">
        <x:f>IF(D229=E229,"PASS","FAIL")</x:f>
        <x:v>PASS</x:v>
      </x:c>
    </x:row>
    <x:row r="230">
      <x:c r="A230" s="16" t="str">
        <x:v>AU-225</x:v>
      </x:c>
      <x:c r="B230" s="16" t="str">
        <x:v>initial state</x:v>
      </x:c>
      <x:c r="C230" s="16" t="str">
        <x:v>first attempt</x:v>
      </x:c>
      <x:c r="D230" s="47" t="str">
        <x:v>OPEN</x:v>
      </x:c>
      <x:c r="E230" s="47" t="str">
        <x:f>'Attempt Register'!P8</x:f>
        <x:v>OPEN</x:v>
      </x:c>
      <x:c r="F230" s="16" t="str">
        <x:f>IF(D230=E230,"PASS","FAIL")</x:f>
        <x:v>PASS</x:v>
      </x:c>
    </x:row>
    <x:row r="231">
      <x:c r="A231" s="16" t="str">
        <x:v>AU-226</x:v>
      </x:c>
      <x:c r="B231" s="16" t="str">
        <x:v>initial state</x:v>
      </x:c>
      <x:c r="C231" s="16" t="str">
        <x:v>first return</x:v>
      </x:c>
      <x:c r="D231" s="47" t="str">
        <x:v>OPEN</x:v>
      </x:c>
      <x:c r="E231" s="47" t="str">
        <x:f>'Return Cycles'!K6</x:f>
        <x:v>OPEN</x:v>
      </x:c>
      <x:c r="F231" s="16" t="str">
        <x:f>IF(D231=E231,"PASS","FAIL")</x:f>
        <x:v>PASS</x:v>
      </x:c>
    </x:row>
    <x:row r="232">
      <x:c r="A232" s="16" t="str">
        <x:v>AU-227</x:v>
      </x:c>
      <x:c r="B232" s="16" t="str">
        <x:v>initial state</x:v>
      </x:c>
      <x:c r="C232" s="16" t="str">
        <x:v>first transition</x:v>
      </x:c>
      <x:c r="D232" s="47" t="str">
        <x:v>OPEN</x:v>
      </x:c>
      <x:c r="E232" s="47" t="str">
        <x:f>'Transitions'!M6</x:f>
        <x:v>OPEN</x:v>
      </x:c>
      <x:c r="F232" s="16" t="str">
        <x:f>IF(D232=E232,"PASS","FAIL")</x:f>
        <x:v>PASS</x:v>
      </x:c>
    </x:row>
    <x:row r="233">
      <x:c r="A233" s="16" t="str">
        <x:v>AU-228</x:v>
      </x:c>
      <x:c r="B233" s="16" t="str">
        <x:v>initial state</x:v>
      </x:c>
      <x:c r="C233" s="16" t="str">
        <x:v>first contrast</x:v>
      </x:c>
      <x:c r="D233" s="47" t="str">
        <x:v>OPEN</x:v>
      </x:c>
      <x:c r="E233" s="47" t="str">
        <x:f>'Contrasts'!J6</x:f>
        <x:v>OPEN</x:v>
      </x:c>
      <x:c r="F233" s="16" t="str">
        <x:f>IF(D233=E233,"PASS","FAIL")</x:f>
        <x:v>PASS</x:v>
      </x:c>
    </x:row>
    <x:row r="234">
      <x:c r="A234" s="16" t="str">
        <x:v>AU-229</x:v>
      </x:c>
      <x:c r="B234" s="16" t="str">
        <x:v>initial state</x:v>
      </x:c>
      <x:c r="C234" s="16" t="str">
        <x:v>class decision</x:v>
      </x:c>
      <x:c r="D234" s="47" t="str">
        <x:v>OPEN</x:v>
      </x:c>
      <x:c r="E234" s="47" t="str">
        <x:f>'Hierarchy'!B8</x:f>
        <x:v>OPEN</x:v>
      </x:c>
      <x:c r="F234" s="16" t="str">
        <x:f>IF(D234=E234,"PASS","FAIL")</x:f>
        <x:v>PASS</x:v>
      </x:c>
    </x:row>
    <x:row r="235">
      <x:c r="A235" s="16" t="str">
        <x:v>AU-230</x:v>
      </x:c>
      <x:c r="B235" s="16" t="str">
        <x:v>initial state</x:v>
      </x:c>
      <x:c r="C235" s="16" t="str">
        <x:v>fiscal state</x:v>
      </x:c>
      <x:c r="D235" s="47" t="str">
        <x:v>AMENDMENT REQUIRED</x:v>
      </x:c>
      <x:c r="E235" s="47" t="str">
        <x:f>'Finance'!B28</x:f>
        <x:v>AMENDMENT REQUIRED</x:v>
      </x:c>
      <x:c r="F235" s="16" t="str">
        <x:f>IF(D235=E235,"PASS","FAIL")</x:f>
        <x:v>PASS</x:v>
      </x:c>
    </x:row>
    <x:row r="236">
      <x:c r="A236" s="16" t="str">
        <x:v>AU-231</x:v>
      </x:c>
      <x:c r="B236" s="16" t="str">
        <x:v>initial state</x:v>
      </x:c>
      <x:c r="C236" s="16" t="str">
        <x:v>architecture freeze</x:v>
      </x:c>
      <x:c r="D236" s="47" t="str">
        <x:v>OPEN</x:v>
      </x:c>
      <x:c r="E236" s="47" t="str">
        <x:f>'Architecture Freeze'!B5</x:f>
        <x:v>OPEN</x:v>
      </x:c>
      <x:c r="F236" s="16" t="str">
        <x:f>IF(D236=E236,"PASS","FAIL")</x:f>
        <x:v>PASS</x:v>
      </x:c>
    </x:row>
    <x:row r="237">
      <x:c r="A237" s="16" t="str">
        <x:v>AU-232</x:v>
      </x:c>
      <x:c r="B237" s="16" t="str">
        <x:v>initial state</x:v>
      </x:c>
      <x:c r="C237" s="16" t="str">
        <x:v>first exchange trial</x:v>
      </x:c>
      <x:c r="D237" s="47" t="str">
        <x:v>OPEN</x:v>
      </x:c>
      <x:c r="E237" s="47" t="str">
        <x:f>'Exchange Trials'!M8</x:f>
        <x:v>OPEN</x:v>
      </x:c>
      <x:c r="F237" s="16" t="str">
        <x:f>IF(D237=E237,"PASS","FAIL")</x:f>
        <x:v>PASS</x:v>
      </x:c>
    </x:row>
    <x:row r="238">
      <x:c r="A238" s="16" t="str">
        <x:v>AU-233</x:v>
      </x:c>
      <x:c r="B238" s="16" t="str">
        <x:v>initial state</x:v>
      </x:c>
      <x:c r="C238" s="16" t="str">
        <x:v>national exchange</x:v>
      </x:c>
      <x:c r="D238" s="47" t="str">
        <x:v>OPEN</x:v>
      </x:c>
      <x:c r="E238" s="47" t="str">
        <x:f>'Exchange Decision'!B6</x:f>
        <x:v>OPEN</x:v>
      </x:c>
      <x:c r="F238" s="16" t="str">
        <x:f>IF(D238=E238,"PASS","FAIL")</x:f>
        <x:v>PASS</x:v>
      </x:c>
    </x:row>
    <x:row r="239">
      <x:c r="A239" s="16" t="str">
        <x:v>AU-234</x:v>
      </x:c>
      <x:c r="B239" s="16" t="str">
        <x:v>initial state</x:v>
      </x:c>
      <x:c r="C239" s="16" t="str">
        <x:v>first exact cell</x:v>
      </x:c>
      <x:c r="D239" s="47" t="str">
        <x:v>OPEN</x:v>
      </x:c>
      <x:c r="E239" s="47" t="str">
        <x:f>'Cell Map'!K6</x:f>
        <x:v>OPEN</x:v>
      </x:c>
      <x:c r="F239" s="16" t="str">
        <x:f>IF(D239=E239,"PASS","FAIL")</x:f>
        <x:v>PASS</x:v>
      </x:c>
    </x:row>
    <x:row r="240">
      <x:c r="A240" s="16" t="str">
        <x:v>AU-235</x:v>
      </x:c>
      <x:c r="B240" s="16" t="str">
        <x:v>initial state</x:v>
      </x:c>
      <x:c r="C240" s="16" t="str">
        <x:v>first attempt</x:v>
      </x:c>
      <x:c r="D240" s="47" t="str">
        <x:v>OPEN</x:v>
      </x:c>
      <x:c r="E240" s="47" t="str">
        <x:f>'Attempt Register'!P8</x:f>
        <x:v>OPEN</x:v>
      </x:c>
      <x:c r="F240" s="16" t="str">
        <x:f>IF(D240=E240,"PASS","FAIL")</x:f>
        <x:v>PASS</x:v>
      </x:c>
    </x:row>
    <x:row r="241">
      <x:c r="A241" s="16" t="str">
        <x:v>AU-236</x:v>
      </x:c>
      <x:c r="B241" s="16" t="str">
        <x:v>initial state</x:v>
      </x:c>
      <x:c r="C241" s="16" t="str">
        <x:v>first return</x:v>
      </x:c>
      <x:c r="D241" s="47" t="str">
        <x:v>OPEN</x:v>
      </x:c>
      <x:c r="E241" s="47" t="str">
        <x:f>'Return Cycles'!K6</x:f>
        <x:v>OPEN</x:v>
      </x:c>
      <x:c r="F241" s="16" t="str">
        <x:f>IF(D241=E241,"PASS","FAIL")</x:f>
        <x:v>PASS</x:v>
      </x:c>
    </x:row>
    <x:row r="242">
      <x:c r="A242" s="16" t="str">
        <x:v>AU-237</x:v>
      </x:c>
      <x:c r="B242" s="16" t="str">
        <x:v>initial state</x:v>
      </x:c>
      <x:c r="C242" s="16" t="str">
        <x:v>first transition</x:v>
      </x:c>
      <x:c r="D242" s="47" t="str">
        <x:v>OPEN</x:v>
      </x:c>
      <x:c r="E242" s="47" t="str">
        <x:f>'Transitions'!M6</x:f>
        <x:v>OPEN</x:v>
      </x:c>
      <x:c r="F242" s="16" t="str">
        <x:f>IF(D242=E242,"PASS","FAIL")</x:f>
        <x:v>PASS</x:v>
      </x:c>
    </x:row>
    <x:row r="243">
      <x:c r="A243" s="16" t="str">
        <x:v>AU-238</x:v>
      </x:c>
      <x:c r="B243" s="16" t="str">
        <x:v>initial state</x:v>
      </x:c>
      <x:c r="C243" s="16" t="str">
        <x:v>first contrast</x:v>
      </x:c>
      <x:c r="D243" s="47" t="str">
        <x:v>OPEN</x:v>
      </x:c>
      <x:c r="E243" s="47" t="str">
        <x:f>'Contrasts'!J6</x:f>
        <x:v>OPEN</x:v>
      </x:c>
      <x:c r="F243" s="16" t="str">
        <x:f>IF(D243=E243,"PASS","FAIL")</x:f>
        <x:v>PASS</x:v>
      </x:c>
    </x:row>
    <x:row r="244">
      <x:c r="A244" s="16" t="str">
        <x:v>AU-239</x:v>
      </x:c>
      <x:c r="B244" s="16" t="str">
        <x:v>initial state</x:v>
      </x:c>
      <x:c r="C244" s="16" t="str">
        <x:v>class decision</x:v>
      </x:c>
      <x:c r="D244" s="47" t="str">
        <x:v>OPEN</x:v>
      </x:c>
      <x:c r="E244" s="47" t="str">
        <x:f>'Hierarchy'!B8</x:f>
        <x:v>OPEN</x:v>
      </x:c>
      <x:c r="F244" s="16" t="str">
        <x:f>IF(D244=E244,"PASS","FAIL")</x:f>
        <x:v>PASS</x:v>
      </x:c>
    </x:row>
    <x:row r="245">
      <x:c r="A245" s="16" t="str">
        <x:v>AU-240</x:v>
      </x:c>
      <x:c r="B245" s="16" t="str">
        <x:v>initial state</x:v>
      </x:c>
      <x:c r="C245" s="16" t="str">
        <x:v>fiscal state</x:v>
      </x:c>
      <x:c r="D245" s="47" t="str">
        <x:v>AMENDMENT REQUIRED</x:v>
      </x:c>
      <x:c r="E245" s="47" t="str">
        <x:f>'Finance'!B28</x:f>
        <x:v>AMENDMENT REQUIRED</x:v>
      </x:c>
      <x:c r="F245" s="16" t="str">
        <x:f>IF(D245=E245,"PASS","FAIL")</x:f>
        <x:v>PASS</x:v>
      </x:c>
    </x:row>
  </x:sheetData>
  <x:mergeCells>
    <x:mergeCell ref="A2:F2"/>
  </x:mergeCells>
  <x:conditionalFormatting sqref="F6:F245">
    <x:cfRule type="containsText" dxfId="80" priority="1" operator="containsText" text="DENY"/>
    <x:cfRule type="containsText" dxfId="81" priority="2" operator="containsText" text="ADVERSE"/>
    <x:cfRule type="containsText" dxfId="82" priority="3" operator="containsText" text="FAIL"/>
    <x:cfRule type="containsText" dxfId="83" priority="4" operator="containsText" text="REQUIRED"/>
    <x:cfRule type="containsText" dxfId="84" priority="5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3aee516e74c1456d"/>
  </x:tableParts>
</x:worksheet>
</file>