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6fbae8c7e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e72b526cead14e41"/>
    <x:sheet xmlns:r="http://schemas.openxmlformats.org/officeDocument/2006/relationships" name="Controls" sheetId="2" r:id="Ra727cb052743417e"/>
    <x:sheet xmlns:r="http://schemas.openxmlformats.org/officeDocument/2006/relationships" name="Disposition Matrix" sheetId="3" r:id="R42117449de0c437b"/>
    <x:sheet xmlns:r="http://schemas.openxmlformats.org/officeDocument/2006/relationships" name="Case Tests" sheetId="4" r:id="R2912f7cfb8644027"/>
    <x:sheet xmlns:r="http://schemas.openxmlformats.org/officeDocument/2006/relationships" name="Root Ledger" sheetId="5" r:id="R96cb5d2b78e64796"/>
    <x:sheet xmlns:r="http://schemas.openxmlformats.org/officeDocument/2006/relationships" name="Event Axes" sheetId="6" r:id="R2699783e1004466d"/>
    <x:sheet xmlns:r="http://schemas.openxmlformats.org/officeDocument/2006/relationships" name="Failure Classes" sheetId="7" r:id="R8fef69a191a84878"/>
    <x:sheet xmlns:r="http://schemas.openxmlformats.org/officeDocument/2006/relationships" name="Successor Rules" sheetId="8" r:id="R22bc7e2eebbf4cf3"/>
    <x:sheet xmlns:r="http://schemas.openxmlformats.org/officeDocument/2006/relationships" name="Authority Firewall" sheetId="9" r:id="R30787725b2734ca1"/>
    <x:sheet xmlns:r="http://schemas.openxmlformats.org/officeDocument/2006/relationships" name="Decision Counts" sheetId="10" r:id="Rc5ff6834b6be4a6a"/>
    <x:sheet xmlns:r="http://schemas.openxmlformats.org/officeDocument/2006/relationships" name="Budget Matrix" sheetId="11" r:id="R172529964a3f4b4d"/>
    <x:sheet xmlns:r="http://schemas.openxmlformats.org/officeDocument/2006/relationships" name="Stage Exposure" sheetId="12" r:id="R1a805202c8474257"/>
    <x:sheet xmlns:r="http://schemas.openxmlformats.org/officeDocument/2006/relationships" name="Failure Reserve" sheetId="13" r:id="R4d9615d6c9dc4891"/>
    <x:sheet xmlns:r="http://schemas.openxmlformats.org/officeDocument/2006/relationships" name="Disposition Clock" sheetId="14" r:id="Rfb7c1a375fb74336"/>
    <x:sheet xmlns:r="http://schemas.openxmlformats.org/officeDocument/2006/relationships" name="G3 Release" sheetId="15" r:id="R9857477115794bd3"/>
    <x:sheet xmlns:r="http://schemas.openxmlformats.org/officeDocument/2006/relationships" name="Audits" sheetId="16" r:id="R76b92e001d78475d"/>
    <x:sheet xmlns:r="http://schemas.openxmlformats.org/officeDocument/2006/relationships" name="Sources" sheetId="17" r:id="Rfbaa1b8f57f44392"/>
    <x:sheet xmlns:r="http://schemas.openxmlformats.org/officeDocument/2006/relationships" name="Read Me" sheetId="18" r:id="R10f0f3d6d335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%"/>
    <x:numFmt numFmtId="202" formatCode="$0.000"/>
    <x:numFmt numFmtId="203" formatCode="$0.0000"/>
    <x:numFmt numFmtId="204" formatCode="0"/>
    <x:numFmt numFmtId="205" formatCode="$0.00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63238"/>
      <x:name val="Carlito"/>
    </x:font>
    <x:font>
      <x:b/>
      <x:sz val="11"/>
      <x:color rgb="FF142B45"/>
      <x:name val="Carlito"/>
    </x:font>
    <x:font>
      <x:sz val="10"/>
      <x:color rgb="FF263238"/>
      <x:name val="Carlito"/>
    </x:font>
    <x:font>
      <x:b/>
      <x:sz val="11"/>
      <x:color rgb="FFFFFFFF"/>
      <x:name val="Carlito"/>
    </x:font>
    <x:font>
      <x:b/>
      <x:sz val="10"/>
      <x:color rgb="FF142B45"/>
      <x:name val="Carlito"/>
    </x:font>
    <x:font>
      <x:b/>
      <x:sz val="10"/>
      <x:color rgb="FF2632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B45"/>
      </x:patternFill>
    </x:fill>
    <x:fill>
      <x:patternFill patternType="solid">
        <x:fgColor rgb="FFEDF4F8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3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3" fontId="4" fillId="6" borderId="1" xfId="0" applyNumberFormat="1" applyFont="1" applyFill="1" applyBorder="1" applyAlignment="1">
      <x:alignment vertical="top" wrapText="1"/>
    </x:xf>
    <x:xf numFmtId="201" fontId="4" fillId="6" borderId="1" xfId="0" applyNumberFormat="1" applyFont="1" applyFill="1" applyBorder="1" applyAlignment="1">
      <x:alignment vertical="top" wrapText="1"/>
    </x:xf>
    <x:xf numFmtId="204" fontId="4" fillId="6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center" wrapText="1"/>
    </x:xf>
    <x:xf numFmtId="201" fontId="6" fillId="4" borderId="1" xfId="0" applyNumberFormat="1" applyFont="1" applyFill="1" applyBorder="1" applyAlignment="1">
      <x:alignment vertical="center" wrapText="1"/>
    </x:xf>
    <x:xf numFmtId="203" fontId="6" fillId="4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4" fillId="0" borderId="0" xfId="0" applyNumberFormat="1" applyFont="1" applyFill="1" applyBorder="1"/>
    <x:xf numFmtId="205" fontId="4" fillId="0" borderId="0" xfId="0" applyNumberFormat="1" applyFont="1" applyFill="1" applyBorder="1"/>
    <x:xf numFmtId="203" fontId="4" fillId="0" borderId="1" xfId="0" applyNumberFormat="1" applyFont="1" applyFill="1" applyBorder="1"/>
    <x:xf numFmtId="205" fontId="4" fillId="0" borderId="1" xfId="0" applyNumberFormat="1" applyFont="1" applyFill="1" applyBorder="1"/>
    <x:xf numFmtId="203" fontId="4" fillId="0" borderId="1" xfId="0" applyNumberFormat="1" applyFont="1" applyFill="1" applyBorder="1" applyAlignment="1">
      <x:alignment wrapText="1"/>
    </x:xf>
    <x:xf numFmtId="205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bf67613934c40" /><Relationship Type="http://schemas.openxmlformats.org/officeDocument/2006/relationships/theme" Target="/xl/theme/theme1.xml" Id="R938c4fd5f8a04b74" /><Relationship Type="http://schemas.openxmlformats.org/officeDocument/2006/relationships/sharedStrings" Target="/xl/sharedStrings.xml" Id="R59d3a6f0dcb84973" /><Relationship Type="http://schemas.openxmlformats.org/officeDocument/2006/relationships/worksheet" Target="/xl/worksheets/sheet1.xml" Id="Re72b526cead14e41" /><Relationship Type="http://schemas.openxmlformats.org/officeDocument/2006/relationships/worksheet" Target="/xl/worksheets/sheet2.xml" Id="Ra727cb052743417e" /><Relationship Type="http://schemas.openxmlformats.org/officeDocument/2006/relationships/worksheet" Target="/xl/worksheets/sheet3.xml" Id="R42117449de0c437b" /><Relationship Type="http://schemas.openxmlformats.org/officeDocument/2006/relationships/worksheet" Target="/xl/worksheets/sheet4.xml" Id="R2912f7cfb8644027" /><Relationship Type="http://schemas.openxmlformats.org/officeDocument/2006/relationships/worksheet" Target="/xl/worksheets/sheet5.xml" Id="R96cb5d2b78e64796" /><Relationship Type="http://schemas.openxmlformats.org/officeDocument/2006/relationships/worksheet" Target="/xl/worksheets/sheet6.xml" Id="R2699783e1004466d" /><Relationship Type="http://schemas.openxmlformats.org/officeDocument/2006/relationships/worksheet" Target="/xl/worksheets/sheet7.xml" Id="R8fef69a191a84878" /><Relationship Type="http://schemas.openxmlformats.org/officeDocument/2006/relationships/worksheet" Target="/xl/worksheets/sheet8.xml" Id="R22bc7e2eebbf4cf3" /><Relationship Type="http://schemas.openxmlformats.org/officeDocument/2006/relationships/worksheet" Target="/xl/worksheets/sheet9.xml" Id="R30787725b2734ca1" /><Relationship Type="http://schemas.openxmlformats.org/officeDocument/2006/relationships/worksheet" Target="/xl/worksheets/sheet10.xml" Id="Rc5ff6834b6be4a6a" /><Relationship Type="http://schemas.openxmlformats.org/officeDocument/2006/relationships/worksheet" Target="/xl/worksheets/sheet11.xml" Id="R172529964a3f4b4d" /><Relationship Type="http://schemas.openxmlformats.org/officeDocument/2006/relationships/worksheet" Target="/xl/worksheets/sheet12.xml" Id="R1a805202c8474257" /><Relationship Type="http://schemas.openxmlformats.org/officeDocument/2006/relationships/worksheet" Target="/xl/worksheets/sheet13.xml" Id="R4d9615d6c9dc4891" /><Relationship Type="http://schemas.openxmlformats.org/officeDocument/2006/relationships/worksheet" Target="/xl/worksheets/sheet14.xml" Id="Rfb7c1a375fb74336" /><Relationship Type="http://schemas.openxmlformats.org/officeDocument/2006/relationships/worksheet" Target="/xl/worksheets/sheet15.xml" Id="R9857477115794bd3" /><Relationship Type="http://schemas.openxmlformats.org/officeDocument/2006/relationships/worksheet" Target="/xl/worksheets/sheet16.xml" Id="R76b92e001d78475d" /><Relationship Type="http://schemas.openxmlformats.org/officeDocument/2006/relationships/worksheet" Target="/xl/worksheets/sheet17.xml" Id="Rfbaa1b8f57f44392" /><Relationship Type="http://schemas.openxmlformats.org/officeDocument/2006/relationships/worksheet" Target="/xl/worksheets/sheet18.xml" Id="R10f0f3d6d33543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c4ccdb33b14c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root exposure by release stage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Root exposure USD B</c:v>
          </c:tx>
          <c:marker>
            <c:symbol val="none"/>
          </c:marker>
          <c:cat>
            <c:strRef>
              <c:f>'Stage Exposure'!$A$5:$A$9</c:f>
              <c:strCache>
                <c:ptCount val="0"/>
              </c:strCache>
            </c:strRef>
          </c:cat>
          <c:val>
            <c:numRef>
              <c:f>'Stage Exposure'!$D$5:$D$9</c:f>
              <c:numCache>
                <c:formatCode>$0.000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c4ccdb33b14cf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20c29a69e37f4208" /></Relationships>
</file>

<file path=xl/worksheets/sheet1.xml><?xml version="1.0" encoding="utf-8"?>
<x:worksheet xmlns:x="http://schemas.openxmlformats.org/spreadsheetml/2006/main">
  <x:sheetPr>
    <x:tabColor rgb="FFC9A22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64" hidden="0" customWidth="1"/>
    <x:col min="3" max="3" width="3" hidden="0" customWidth="1"/>
    <x:col min="4" max="4" width="25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19.200000762939453" hidden="0" customHeight="1">
      <x:c r="A1" s="3" t="str">
        <x:v>Lifeline four-root G3 disposition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6" t="str">
        <x:v>Pass 178 · C3-LFG3-3 · empty evidence state · USD billions unless noted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/>
    <x:row r="4" ht="24" hidden="0" customHeight="1">
      <x:c r="A4" s="10" t="str">
        <x:v>Decision</x:v>
      </x:c>
      <x:c r="B4" s="14" t="str">
        <x:v>Constitute one non-compensatory grammar from event record to root release, successor, stop or kill.</x:v>
      </x:c>
      <x:c r="D4" s="19" t="str">
        <x:v>Governed count</x:v>
      </x:c>
      <x:c r="E4" s="19" t="str">
        <x:v>Value</x:v>
      </x:c>
    </x:row>
    <x:row r="5" ht="24" hidden="0" customHeight="1">
      <x:c r="A5" s="10" t="str">
        <x:v>Current campaign</x:v>
      </x:c>
      <x:c r="B5" s="14" t="str">
        <x:v>All four roots remain HOLD. No event result, package, ancestry identity or gate has been invented.</x:v>
      </x:c>
      <x:c r="D5" s="14" t="str">
        <x:v>Event-axis judgments</x:v>
      </x:c>
      <x:c r="E5" s="20" t="n">
        <x:f>'Decision Counts'!B5</x:f>
        <x:v>1008</x:v>
      </x:c>
    </x:row>
    <x:row r="6" ht="24" hidden="0" customHeight="1">
      <x:c r="A6" s="10" t="str">
        <x:v>Release rule</x:v>
      </x:c>
      <x:c r="B6" s="14" t="str">
        <x:v>42 passing valid events + 159 accepted packages + 12 unique ancestry decisions + 14 passed gates + zero replay conflict + zero terminal breach.</x:v>
      </x:c>
      <x:c r="D6" s="14" t="str">
        <x:v>Package acceptances</x:v>
      </x:c>
      <x:c r="E6" s="20" t="n">
        <x:f>'Decision Counts'!B6</x:f>
        <x:v>636</x:v>
      </x:c>
    </x:row>
    <x:row r="7" ht="24" hidden="0" customHeight="1">
      <x:c r="A7" s="10" t="str">
        <x:v>Invalidity</x:v>
      </x:c>
      <x:c r="B7" s="14" t="str">
        <x:v>Six integrity failures only. Exact-event repeat. Nine reserve attempts per root. Tenth invalid stops the campaign.</x:v>
      </x:c>
      <x:c r="D7" s="14" t="str">
        <x:v>Ancestry decisions</x:v>
      </x:c>
      <x:c r="E7" s="20" t="n">
        <x:f>'Decision Counts'!B7</x:f>
        <x:v>48</x:v>
      </x:c>
    </x:row>
    <x:row r="8" ht="24" hidden="0" customHeight="1">
      <x:c r="A8" s="10" t="str">
        <x:v>Valid adverse</x:v>
      </x:c>
      <x:c r="B8" s="14" t="str">
        <x:v>Permanent failure of CF1; at most one fully re-earned CF2 successor if the mechanism is registered and decisive ancestry is unchanged.</x:v>
      </x:c>
      <x:c r="D8" s="14" t="str">
        <x:v>Gate decisions</x:v>
      </x:c>
      <x:c r="E8" s="20" t="n">
        <x:f>'Decision Counts'!B8</x:f>
        <x:v>56</x:v>
      </x:c>
    </x:row>
    <x:row r="9" ht="24" hidden="0" customHeight="1">
      <x:c r="A9" s="10" t="str">
        <x:v>Terminal</x:v>
      </x:c>
      <x:c r="B9" s="14" t="str">
        <x:v>Unsafe issue, unbounded state, rights breach, evidence misconduct, ancestry convergence, or any valid adverse on CF2 kills the lineage.</x:v>
      </x:c>
      <x:c r="D9" s="14" t="str">
        <x:v>Root dispositions</x:v>
      </x:c>
      <x:c r="E9" s="20" t="n">
        <x:f>'Decision Counts'!B9</x:f>
        <x:v>4</x:v>
      </x:c>
    </x:row>
    <x:row r="10" ht="24" hidden="0" customHeight="1">
      <x:c r="A10" s="10" t="str">
        <x:v>Financial boundary</x:v>
      </x:c>
      <x:c r="B10" s="14" t="str">
        <x:v>USD 35.9765B; stage-gated exposure; unspent authority returns to the mission account; no transfer to surviving roots.</x:v>
      </x:c>
      <x:c r="D10" s="14" t="str">
        <x:v>Total</x:v>
      </x:c>
      <x:c r="E10" s="20" t="n">
        <x:f>'Decision Counts'!B10</x:f>
        <x:v>1752</x:v>
      </x:c>
    </x:row>
    <x:row r="11" ht="15" hidden="0" customHeight="1">
      <x:c r="A11" s="10" t="str">
        <x:v>G3 consequence</x:v>
      </x:c>
      <x:c r="B11" s="14" t="str">
        <x:v>Four RELEASE decisions are conjunctive. Three of four cannot enter Cascadia G4.</x:v>
      </x:c>
    </x:row>
    <x:row r="12" ht="15" hidden="0" customHeight="1">
      <x:c r="D12" s="19" t="str">
        <x:v>Stage</x:v>
      </x:c>
      <x:c r="E12" s="19" t="str">
        <x:v>Share</x:v>
      </x:c>
      <x:c r="F12" s="19" t="str">
        <x:v>Cumulative</x:v>
      </x:c>
      <x:c r="G12" s="19" t="str">
        <x:v>Root exposure</x:v>
      </x:c>
      <x:c r="H12" s="19" t="str">
        <x:v>Returned if stopped</x:v>
      </x:c>
      <x:c r="I12" s="19" t="str">
        <x:v>Release event</x:v>
      </x:c>
      <x:c r="J12" s="19" t="str">
        <x:v>Control</x:v>
      </x:c>
    </x:row>
    <x:row r="13" ht="24" hidden="0" customHeight="1">
      <x:c r="D13" s="14" t="str">
        <x:f>'Stage Exposure'!A5</x:f>
        <x:v>Baseline constitution</x:v>
      </x:c>
      <x:c r="E13" s="21" t="n">
        <x:f>'Stage Exposure'!B5</x:f>
        <x:v>0.09</x:v>
      </x:c>
      <x:c r="F13" s="21" t="n">
        <x:f>'Stage Exposure'!C5</x:f>
        <x:v>0.09</x:v>
      </x:c>
      <x:c r="G13" s="22" t="n">
        <x:f>'Stage Exposure'!D5</x:f>
        <x:v>0.80947125</x:v>
      </x:c>
      <x:c r="H13" s="22" t="n">
        <x:f>'Stage Exposure'!E5</x:f>
        <x:v>8.18465375</x:v>
      </x:c>
      <x:c r="I13" s="14" t="str">
        <x:f>'Stage Exposure'!F5</x:f>
        <x:v>Frozen baseline accepted</x:v>
      </x:c>
      <x:c r="J13" s="14" t="str">
        <x:f>'Stage Exposure'!G5</x:f>
        <x:v>No construction before baseline</x:v>
      </x:c>
    </x:row>
    <x:row r="14" ht="24" hidden="0" customHeight="1">
      <x:c r="D14" s="14" t="str">
        <x:f>'Stage Exposure'!A6</x:f>
        <x:v>Ranges and tooling</x:v>
      </x:c>
      <x:c r="E14" s="21" t="n">
        <x:f>'Stage Exposure'!B6</x:f>
        <x:v>0.27</x:v>
      </x:c>
      <x:c r="F14" s="21" t="n">
        <x:f>'Stage Exposure'!C6</x:f>
        <x:v>0.36</x:v>
      </x:c>
      <x:c r="G14" s="22" t="n">
        <x:f>'Stage Exposure'!D6</x:f>
        <x:v>3.237885</x:v>
      </x:c>
      <x:c r="H14" s="22" t="n">
        <x:f>'Stage Exposure'!E6</x:f>
        <x:v>5.75624</x:v>
      </x:c>
      <x:c r="I14" s="14" t="str">
        <x:f>'Stage Exposure'!F6</x:f>
        <x:v>Range and source tooling qualified</x:v>
      </x:c>
      <x:c r="J14" s="14" t="str">
        <x:f>'Stage Exposure'!G6</x:f>
        <x:v>Independent range custody</x:v>
      </x:c>
    </x:row>
    <x:row r="15" ht="24" hidden="0" customHeight="1">
      <x:c r="D15" s="14" t="str">
        <x:f>'Stage Exposure'!A7</x:f>
        <x:v>P1/P2 construction</x:v>
      </x:c>
      <x:c r="E15" s="21" t="n">
        <x:f>'Stage Exposure'!B7</x:f>
        <x:v>0.31</x:v>
      </x:c>
      <x:c r="F15" s="21" t="n">
        <x:f>'Stage Exposure'!C7</x:f>
        <x:v>0.6699999999999999</x:v>
      </x:c>
      <x:c r="G15" s="22" t="n">
        <x:f>'Stage Exposure'!D7</x:f>
        <x:v>6.02606375</x:v>
      </x:c>
      <x:c r="H15" s="22" t="n">
        <x:f>'Stage Exposure'!E7</x:f>
        <x:v>2.9680612500000008</x:v>
      </x:c>
      <x:c r="I15" s="14" t="str">
        <x:f>'Stage Exposure'!F7</x:f>
        <x:v>Paired articles accepted</x:v>
      </x:c>
      <x:c r="J15" s="14" t="str">
        <x:f>'Stage Exposure'!G7</x:f>
        <x:v>Challenge and control built together</x:v>
      </x:c>
    </x:row>
    <x:row r="16" ht="24" hidden="0" customHeight="1">
      <x:c r="D16" s="14" t="str">
        <x:f>'Stage Exposure'!A8</x:f>
        <x:v>Cold R1 construction</x:v>
      </x:c>
      <x:c r="E16" s="21" t="n">
        <x:f>'Stage Exposure'!B8</x:f>
        <x:v>0.13</x:v>
      </x:c>
      <x:c r="F16" s="21" t="n">
        <x:f>'Stage Exposure'!C8</x:f>
        <x:v>0.7999999999999999</x:v>
      </x:c>
      <x:c r="G16" s="22" t="n">
        <x:f>'Stage Exposure'!D8</x:f>
        <x:v>7.1953</x:v>
      </x:c>
      <x:c r="H16" s="22" t="n">
        <x:f>'Stage Exposure'!E8</x:f>
        <x:v>1.7988250000000008</x:v>
      </x:c>
      <x:c r="I16" s="14" t="str">
        <x:f>'Stage Exposure'!F8</x:f>
        <x:v>Second-team article accepted</x:v>
      </x:c>
      <x:c r="J16" s="14" t="str">
        <x:f>'Stage Exposure'!G8</x:f>
        <x:v>No inherited workmanship</x:v>
      </x:c>
    </x:row>
    <x:row r="17" ht="24" hidden="0" customHeight="1">
      <x:c r="D17" s="14" t="str">
        <x:f>'Stage Exposure'!A9</x:f>
        <x:v>Trials and disposition</x:v>
      </x:c>
      <x:c r="E17" s="21" t="n">
        <x:f>'Stage Exposure'!B9</x:f>
        <x:v>0.2</x:v>
      </x:c>
      <x:c r="F17" s="21" t="n">
        <x:f>'Stage Exposure'!C9</x:f>
        <x:v>1</x:v>
      </x:c>
      <x:c r="G17" s="22" t="n">
        <x:f>'Stage Exposure'!D9</x:f>
        <x:v>8.994125</x:v>
      </x:c>
      <x:c r="H17" s="22" t="n">
        <x:f>'Stage Exposure'!E9</x:f>
        <x:v>0</x:v>
      </x:c>
      <x:c r="I17" s="14" t="str">
        <x:f>'Stage Exposure'!F9</x:f>
        <x:v>Complete packet accepted</x:v>
      </x:c>
      <x:c r="J17" s="14" t="str">
        <x:f>'Stage Exposure'!G9</x:f>
        <x:v>Outcome cannot change payment rule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24" hidden="0" customWidth="1"/>
    <x:col min="3" max="3" width="20" hidden="0" customWidth="1"/>
    <x:col min="4" max="4" width="55" hidden="0" customWidth="1"/>
    <x:col min="5" max="5" width="3" hidden="0" customWidth="1"/>
    <x:col min="6" max="6" width="3" hidden="0" customWidth="1"/>
  </x:cols>
  <x:sheetData>
    <x:row r="1" ht="19.200000762939453" hidden="0" customHeight="1">
      <x:c r="A1" s="3" t="str">
        <x:v>Program controls</x:v>
      </x:c>
      <x:c r="B1" s="3"/>
      <x:c r="C1" s="3"/>
      <x:c r="D1" s="3"/>
      <x:c r="E1" s="3"/>
      <x:c r="F1" s="3"/>
    </x:row>
    <x:row r="2" ht="15" hidden="0" customHeight="1">
      <x:c r="A2" s="6" t="str">
        <x:v>Yellow cells are authoritative design inputs; outputs and audits link to them.</x:v>
      </x:c>
      <x:c r="B2" s="6"/>
      <x:c r="C2" s="6"/>
      <x:c r="D2" s="6"/>
      <x:c r="E2" s="6"/>
      <x:c r="F2" s="6"/>
    </x:row>
    <x:row r="3"/>
    <x:row r="4" ht="15" hidden="0" customHeight="1">
      <x:c r="A4" s="19" t="str">
        <x:v>Control</x:v>
      </x:c>
      <x:c r="B4" s="19" t="str">
        <x:v>Value</x:v>
      </x:c>
      <x:c r="C4" s="19" t="str">
        <x:v>Unit</x:v>
      </x:c>
      <x:c r="D4" s="19" t="str">
        <x:v>Meaning</x:v>
      </x:c>
    </x:row>
    <x:row r="5" ht="15" hidden="0" customHeight="1">
      <x:c r="A5" s="14" t="str">
        <x:v>Roots</x:v>
      </x:c>
      <x:c r="B5" s="23" t="n">
        <x:v>4</x:v>
      </x:c>
      <x:c r="C5" s="14" t="str">
        <x:v>count</x:v>
      </x:c>
      <x:c r="D5" s="14" t="str">
        <x:v>Frozen independent lineages</x:v>
      </x:c>
    </x:row>
    <x:row r="6" ht="15" hidden="0" customHeight="1">
      <x:c r="A6" s="14" t="str">
        <x:v>Required valid events per root</x:v>
      </x:c>
      <x:c r="B6" s="23" t="n">
        <x:v>42</x:v>
      </x:c>
      <x:c r="C6" s="14" t="str">
        <x:v>events</x:v>
      </x:c>
      <x:c r="D6" s="14" t="str">
        <x:v>14 scenarios × P1/P2/R1</x:v>
      </x:c>
    </x:row>
    <x:row r="7" ht="15" hidden="0" customHeight="1">
      <x:c r="A7" s="14" t="str">
        <x:v>Event judgments</x:v>
      </x:c>
      <x:c r="B7" s="23" t="n">
        <x:v>6</x:v>
      </x:c>
      <x:c r="C7" s="14" t="str">
        <x:v>axes</x:v>
      </x:c>
      <x:c r="D7" s="14" t="str">
        <x:v>Validity, safety/rights, service, causal, replay, reset</x:v>
      </x:c>
    </x:row>
    <x:row r="8" ht="15" hidden="0" customHeight="1">
      <x:c r="A8" s="14" t="str">
        <x:v>Packages per root</x:v>
      </x:c>
      <x:c r="B8" s="23" t="n">
        <x:v>159</x:v>
      </x:c>
      <x:c r="C8" s="14" t="str">
        <x:v>packages</x:v>
      </x:c>
      <x:c r="D8" s="14" t="str">
        <x:v>Accepted evidence package denominator</x:v>
      </x:c>
    </x:row>
    <x:row r="9" ht="15" hidden="0" customHeight="1">
      <x:c r="A9" s="14" t="str">
        <x:v>Ancestry domains per root</x:v>
      </x:c>
      <x:c r="B9" s="23" t="n">
        <x:v>12</x:v>
      </x:c>
      <x:c r="C9" s="14" t="str">
        <x:v>domains</x:v>
      </x:c>
      <x:c r="D9" s="14" t="str">
        <x:v>Decisive identities; collision is terminal</x:v>
      </x:c>
    </x:row>
    <x:row r="10" ht="15" hidden="0" customHeight="1">
      <x:c r="A10" s="14" t="str">
        <x:v>G3 gates per root</x:v>
      </x:c>
      <x:c r="B10" s="23" t="n">
        <x:v>14</x:v>
      </x:c>
      <x:c r="C10" s="14" t="str">
        <x:v>gates</x:v>
      </x:c>
      <x:c r="D10" s="14" t="str">
        <x:v>All pass; no average</x:v>
      </x:c>
    </x:row>
    <x:row r="11" ht="15" hidden="0" customHeight="1">
      <x:c r="A11" s="14" t="str">
        <x:v>Invalid reserve attempts per root</x:v>
      </x:c>
      <x:c r="B11" s="23" t="n">
        <x:v>9</x:v>
      </x:c>
      <x:c r="C11" s="14" t="str">
        <x:v>attempts</x:v>
      </x:c>
      <x:c r="D11" s="14" t="str">
        <x:v>Tenth invalid stops campaign</x:v>
      </x:c>
    </x:row>
    <x:row r="12" ht="15" hidden="0" customHeight="1">
      <x:c r="A12" s="14" t="str">
        <x:v>Successor baselines per root</x:v>
      </x:c>
      <x:c r="B12" s="23" t="n">
        <x:v>1</x:v>
      </x:c>
      <x:c r="C12" s="14" t="str">
        <x:v>baseline</x:v>
      </x:c>
      <x:c r="D12" s="14" t="str">
        <x:v>CF2 maximum after contained CF1 adverse</x:v>
      </x:c>
    </x:row>
    <x:row r="13" ht="15" hidden="0" customHeight="1">
      <x:c r="A13" s="14" t="str">
        <x:v>Reset ceiling</x:v>
      </x:c>
      <x:c r="B13" s="23" t="n">
        <x:v>720</x:v>
      </x:c>
      <x:c r="C13" s="14" t="str">
        <x:v>hours</x:v>
      </x:c>
      <x:c r="D13" s="14" t="str">
        <x:v>When reset judgment is due</x:v>
      </x:c>
    </x:row>
    <x:row r="14" ht="15" hidden="0" customHeight="1">
      <x:c r="A14" s="14" t="str">
        <x:v>Program boundary</x:v>
      </x:c>
      <x:c r="B14" s="24" t="n">
        <x:v>35.9765</x:v>
      </x:c>
      <x:c r="C14" s="14" t="str">
        <x:v>USD B</x:v>
      </x:c>
      <x:c r="D14" s="14" t="str">
        <x:v>Conserved four-root campaign authority</x:v>
      </x:c>
    </x:row>
    <x:row r="15" ht="15" hidden="0" customHeight="1">
      <x:c r="A15" s="14" t="str">
        <x:v>Failure reserve share</x:v>
      </x:c>
      <x:c r="B15" s="25" t="n">
        <x:v>0.05</x:v>
      </x:c>
      <x:c r="C15" s="14" t="str">
        <x:v>share</x:v>
      </x:c>
      <x:c r="D15" s="14" t="str">
        <x:v>Program class; not a winner subsidy</x:v>
      </x:c>
    </x:row>
    <x:row r="16" ht="15" hidden="0" customHeight="1">
      <x:c r="A16" s="14" t="str">
        <x:v>Disposition clock</x:v>
      </x:c>
      <x:c r="B16" s="26" t="n">
        <x:v>90</x:v>
      </x:c>
      <x:c r="C16" s="14" t="str">
        <x:v>days</x:v>
      </x:c>
      <x:c r="D16" s="14" t="str">
        <x:v>After a complete packet</x:v>
      </x:c>
    </x:row>
    <x:row r="17"/>
    <x:row r="18" ht="15" hidden="0" customHeight="1">
      <x:c r="A18" s="19" t="str">
        <x:v>Control law</x:v>
      </x:c>
      <x:c r="B18" s="19" t="str">
        <x:v>Expression</x:v>
      </x:c>
      <x:c r="C18" s="19" t="str">
        <x:v>Result</x:v>
      </x:c>
      <x:c r="D18" s="19" t="str">
        <x:v>Status</x:v>
      </x:c>
    </x:row>
    <x:row r="19" ht="15" hidden="0" customHeight="1">
      <x:c r="A19" s="14" t="str">
        <x:v>Program / root</x:v>
      </x:c>
      <x:c r="B19" s="14" t="str">
        <x:v>Program boundary ÷ roots</x:v>
      </x:c>
      <x:c r="C19" s="27" t="n">
        <x:f>B14/B5</x:f>
        <x:v>8.994125</x:v>
      </x:c>
      <x:c r="D19" s="14" t="str">
        <x:v>Derived</x:v>
      </x:c>
    </x:row>
    <x:row r="20" ht="15" hidden="0" customHeight="1">
      <x:c r="A20" s="14" t="str">
        <x:v>Failure reserve</x:v>
      </x:c>
      <x:c r="B20" s="14" t="str">
        <x:v>Program boundary × reserve share</x:v>
      </x:c>
      <x:c r="C20" s="27" t="n">
        <x:f>B14*B15</x:f>
        <x:v>1.7988250000000001</x:v>
      </x:c>
      <x:c r="D20" s="14" t="str">
        <x:v>Derived</x:v>
      </x:c>
    </x:row>
    <x:row r="21" ht="15" hidden="0" customHeight="1">
      <x:c r="A21" s="14" t="str">
        <x:v>Reserve / root / invalid ceiling</x:v>
      </x:c>
      <x:c r="B21" s="14" t="str">
        <x:v>Reserve ÷ roots ÷ reserve attempts</x:v>
      </x:c>
      <x:c r="C21" s="28" t="n">
        <x:f>C20/B5/B11</x:f>
        <x:v>0.049967361111111115</x:v>
      </x:c>
      <x:c r="D21" s="14" t="str">
        <x:v>Arithmetic ceiling; not price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9" hidden="0" customWidth="1"/>
    <x:col min="8" max="8" width="46" hidden="0" customWidth="1"/>
  </x:cols>
  <x:sheetData>
    <x:row r="1" ht="19.200000762939453" hidden="0" customHeight="1">
      <x:c r="A1" s="3" t="str">
        <x:v>Disposition matrix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Rule order is terminal → invalid reserve → valid adverse → conjunctive release → hold.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9" t="str">
        <x:v>Observed state</x:v>
      </x:c>
      <x:c r="B4" s="19" t="str">
        <x:v>Validity</x:v>
      </x:c>
      <x:c r="C4" s="19" t="str">
        <x:v>Safety / rights</x:v>
      </x:c>
      <x:c r="D4" s="19" t="str">
        <x:v>Service / reset</x:v>
      </x:c>
      <x:c r="E4" s="19" t="str">
        <x:v>Replay / ancestry</x:v>
      </x:c>
      <x:c r="F4" s="19" t="str">
        <x:v>Baseline</x:v>
      </x:c>
      <x:c r="G4" s="19" t="str">
        <x:v>Disposition</x:v>
      </x:c>
      <x:c r="H4" s="19" t="str">
        <x:v>Money and evidence</x:v>
      </x:c>
    </x:row>
    <x:row r="5" ht="15" hidden="0" customHeight="1">
      <x:c r="A5" s="14" t="str">
        <x:v>Complete clean packet</x:v>
      </x:c>
      <x:c r="B5" s="14" t="str">
        <x:v>Valid</x:v>
      </x:c>
      <x:c r="C5" s="14" t="str">
        <x:v>Pass</x:v>
      </x:c>
      <x:c r="D5" s="14" t="str">
        <x:v>Pass</x:v>
      </x:c>
      <x:c r="E5" s="14" t="str">
        <x:v>Agree / unique</x:v>
      </x:c>
      <x:c r="F5" s="14" t="str">
        <x:v>CF1 or CF2</x:v>
      </x:c>
      <x:c r="G5" s="29" t="str">
        <x:v>RELEASE</x:v>
      </x:c>
      <x:c r="H5" s="14" t="str">
        <x:v>Pay accepted work; release next authority</x:v>
      </x:c>
    </x:row>
    <x:row r="6" ht="15" hidden="0" customHeight="1">
      <x:c r="A6" s="14" t="str">
        <x:v>Missing judgment or conflict</x:v>
      </x:c>
      <x:c r="B6" s="14" t="str">
        <x:v>Valid or pending</x:v>
      </x:c>
      <x:c r="C6" s="14" t="str">
        <x:v>No terminal breach</x:v>
      </x:c>
      <x:c r="D6" s="14" t="str">
        <x:v>No valid adverse</x:v>
      </x:c>
      <x:c r="E6" s="14" t="str">
        <x:v>Missing or conflict</x:v>
      </x:c>
      <x:c r="F6" s="14" t="str">
        <x:v>Either</x:v>
      </x:c>
      <x:c r="G6" s="29" t="str">
        <x:v>HOLD</x:v>
      </x:c>
      <x:c r="H6" s="14" t="str">
        <x:v>No time-based cure; unspent authority remains</x:v>
      </x:c>
    </x:row>
    <x:row r="7" ht="15" hidden="0" customHeight="1">
      <x:c r="A7" s="14" t="str">
        <x:v>Integrity defect, attempts ≤ 9</x:v>
      </x:c>
      <x:c r="B7" s="14" t="str">
        <x:v>INVALID</x:v>
      </x:c>
      <x:c r="C7" s="14" t="str">
        <x:v>Not adjudicated</x:v>
      </x:c>
      <x:c r="D7" s="14" t="str">
        <x:v>No denominator</x:v>
      </x:c>
      <x:c r="E7" s="14" t="str">
        <x:v>Custody defect</x:v>
      </x:c>
      <x:c r="F7" s="14" t="str">
        <x:v>Same</x:v>
      </x:c>
      <x:c r="G7" s="29" t="str">
        <x:v>REPEAT EXACT EVENT</x:v>
      </x:c>
      <x:c r="H7" s="14" t="str">
        <x:v>Use bounded failure reserve only</x:v>
      </x:c>
    </x:row>
    <x:row r="8" ht="15" hidden="0" customHeight="1">
      <x:c r="A8" s="14" t="str">
        <x:v>Integrity defect, attempt 10</x:v>
      </x:c>
      <x:c r="B8" s="14" t="str">
        <x:v>INVALID</x:v>
      </x:c>
      <x:c r="C8" s="14" t="str">
        <x:v>Not adjudicated</x:v>
      </x:c>
      <x:c r="D8" s="14" t="str">
        <x:v>No denominator</x:v>
      </x:c>
      <x:c r="E8" s="14" t="str">
        <x:v>Custody defect</x:v>
      </x:c>
      <x:c r="F8" s="14" t="str">
        <x:v>Same</x:v>
      </x:c>
      <x:c r="G8" s="29" t="str">
        <x:v>CAMPAIGN STOP</x:v>
      </x:c>
      <x:c r="H8" s="14" t="str">
        <x:v>Root stays HOLD; parent must act</x:v>
      </x:c>
    </x:row>
    <x:row r="9" ht="15" hidden="0" customHeight="1">
      <x:c r="A9" s="14" t="str">
        <x:v>Contained technical adverse</x:v>
      </x:c>
      <x:c r="B9" s="14" t="str">
        <x:v>Valid</x:v>
      </x:c>
      <x:c r="C9" s="14" t="str">
        <x:v>Pass envelope</x:v>
      </x:c>
      <x:c r="D9" s="14" t="str">
        <x:v>Fail</x:v>
      </x:c>
      <x:c r="E9" s="14" t="str">
        <x:v>Mechanism registered</x:v>
      </x:c>
      <x:c r="F9" s="14" t="str">
        <x:v>CF1</x:v>
      </x:c>
      <x:c r="G9" s="29" t="str">
        <x:v>FAIL—SUCCESSOR ELIGIBLE</x:v>
      </x:c>
      <x:c r="H9" s="14" t="str">
        <x:v>CF1 result permanent; CF2 starts at zero</x:v>
      </x:c>
    </x:row>
    <x:row r="10" ht="15" hidden="0" customHeight="1">
      <x:c r="A10" s="14" t="str">
        <x:v>Contained technical adverse</x:v>
      </x:c>
      <x:c r="B10" s="14" t="str">
        <x:v>Valid</x:v>
      </x:c>
      <x:c r="C10" s="14" t="str">
        <x:v>Pass envelope</x:v>
      </x:c>
      <x:c r="D10" s="14" t="str">
        <x:v>Fail</x:v>
      </x:c>
      <x:c r="E10" s="14" t="str">
        <x:v>Any</x:v>
      </x:c>
      <x:c r="F10" s="14" t="str">
        <x:v>CF2</x:v>
      </x:c>
      <x:c r="G10" s="29" t="str">
        <x:v>KILL</x:v>
      </x:c>
      <x:c r="H10" s="14" t="str">
        <x:v>No third baseline</x:v>
      </x:c>
    </x:row>
    <x:row r="11" ht="15" hidden="0" customHeight="1">
      <x:c r="A11" s="14" t="str">
        <x:v>Terminal breach</x:v>
      </x:c>
      <x:c r="B11" s="14" t="str">
        <x:v>Valid or misconduct</x:v>
      </x:c>
      <x:c r="C11" s="14" t="str">
        <x:v>Fail</x:v>
      </x:c>
      <x:c r="D11" s="14" t="str">
        <x:v>Any</x:v>
      </x:c>
      <x:c r="E11" s="14" t="str">
        <x:v>Any</x:v>
      </x:c>
      <x:c r="F11" s="14" t="str">
        <x:v>Any</x:v>
      </x:c>
      <x:c r="G11" s="29" t="str">
        <x:v>KILL</x:v>
      </x:c>
      <x:c r="H11" s="14" t="str">
        <x:v>Evidence remains public; unspent money returns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29" hidden="0" customWidth="1"/>
    <x:col min="15" max="15" width="29" hidden="0" customWidth="1"/>
    <x:col min="16" max="16" width="11" hidden="0" customWidth="1"/>
  </x:cols>
  <x:sheetData>
    <x:row r="1" ht="19.200000762939453" hidden="0" customHeight="1">
      <x:c r="A1" s="3" t="str">
        <x:v>Disposition case tests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15" hidden="0" customHeight="1">
      <x:c r="A2" s="6" t="str">
        <x:v>Independent cases exercise rule precedence and boundary conditions.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/>
    <x:row r="4" ht="39.599998474121094" hidden="0" customHeight="1">
      <x:c r="A4" s="19" t="str">
        <x:v>Case</x:v>
      </x:c>
      <x:c r="B4" s="19" t="str">
        <x:v>Baseline</x:v>
      </x:c>
      <x:c r="C4" s="19" t="str">
        <x:v>Valid</x:v>
      </x:c>
      <x:c r="D4" s="19" t="str">
        <x:v>Pass</x:v>
      </x:c>
      <x:c r="E4" s="19" t="str">
        <x:v>Invalid</x:v>
      </x:c>
      <x:c r="F4" s="19" t="str">
        <x:v>Packages</x:v>
      </x:c>
      <x:c r="G4" s="19" t="str">
        <x:v>Ancestry</x:v>
      </x:c>
      <x:c r="H4" s="19" t="str">
        <x:v>Gates</x:v>
      </x:c>
      <x:c r="I4" s="19" t="str">
        <x:v>Replay conflicts</x:v>
      </x:c>
      <x:c r="J4" s="19" t="str">
        <x:v>Terminal</x:v>
      </x:c>
      <x:c r="K4" s="19" t="str">
        <x:v>Valid adverse</x:v>
      </x:c>
      <x:c r="L4" s="19" t="str">
        <x:v>Revision</x:v>
      </x:c>
      <x:c r="M4" s="19" t="str">
        <x:v>Source / ancestry change</x:v>
      </x:c>
      <x:c r="N4" s="19" t="str">
        <x:v>Expected</x:v>
      </x:c>
      <x:c r="O4" s="19" t="str">
        <x:v>Actual</x:v>
      </x:c>
      <x:c r="P4" s="19" t="str">
        <x:v>Audit</x:v>
      </x:c>
    </x:row>
    <x:row r="5" ht="15" hidden="0" customHeight="1">
      <x:c r="A5" s="14" t="str">
        <x:v>Complete CF1</x:v>
      </x:c>
      <x:c r="B5" s="14" t="str">
        <x:v>CF1</x:v>
      </x:c>
      <x:c r="C5" s="14" t="n">
        <x:v>42</x:v>
      </x:c>
      <x:c r="D5" s="14" t="n">
        <x:v>42</x:v>
      </x:c>
      <x:c r="E5" s="14" t="n">
        <x:v>0</x:v>
      </x:c>
      <x:c r="F5" s="14" t="n">
        <x:v>159</x:v>
      </x:c>
      <x:c r="G5" s="14" t="n">
        <x:v>12</x:v>
      </x:c>
      <x:c r="H5" s="14" t="n">
        <x:v>14</x:v>
      </x:c>
      <x:c r="I5" s="14" t="n">
        <x:v>0</x:v>
      </x:c>
      <x:c r="J5" s="14" t="n">
        <x:v>0</x:v>
      </x:c>
      <x:c r="K5" s="14" t="n">
        <x:v>0</x:v>
      </x:c>
      <x:c r="L5" s="14" t="n">
        <x:v>0</x:v>
      </x:c>
      <x:c r="M5" s="14" t="n">
        <x:v>0</x:v>
      </x:c>
      <x:c r="N5" s="30" t="str">
        <x:v>RELEASE</x:v>
      </x:c>
      <x:c r="O5" s="30" t="str">
        <x:f>IF(OR(J5&gt;0,M5&gt;0),"KILL",IF(E5&gt;9,"CAMPAIGN STOP",IF(K5&gt;0,IF(L5&gt;=1,"KILL","FAIL—SUCCESSOR ELIGIBLE"),IF(AND(C5=42,D5=42,F5=159,G5=12,H5=14,I5=0),"RELEASE","HOLD"))))</x:f>
        <x:v>RELEASE</x:v>
      </x:c>
      <x:c r="P5" s="30" t="str">
        <x:f>IF(N5=O5,"PASS","FAIL")</x:f>
        <x:v>PASS</x:v>
      </x:c>
    </x:row>
    <x:row r="6" ht="15" hidden="0" customHeight="1">
      <x:c r="A6" s="14" t="str">
        <x:v>One valid service miss</x:v>
      </x:c>
      <x:c r="B6" s="14" t="str">
        <x:v>CF1</x:v>
      </x:c>
      <x:c r="C6" s="14" t="n">
        <x:v>42</x:v>
      </x:c>
      <x:c r="D6" s="14" t="n">
        <x:v>41</x:v>
      </x:c>
      <x:c r="E6" s="14" t="n">
        <x:v>0</x:v>
      </x:c>
      <x:c r="F6" s="14" t="n">
        <x:v>159</x:v>
      </x:c>
      <x:c r="G6" s="14" t="n">
        <x:v>12</x:v>
      </x:c>
      <x:c r="H6" s="14" t="n">
        <x:v>14</x:v>
      </x:c>
      <x:c r="I6" s="14" t="n">
        <x:v>0</x:v>
      </x:c>
      <x:c r="J6" s="14" t="n">
        <x:v>0</x:v>
      </x:c>
      <x:c r="K6" s="14" t="n">
        <x:v>1</x:v>
      </x:c>
      <x:c r="L6" s="14" t="n">
        <x:v>0</x:v>
      </x:c>
      <x:c r="M6" s="14" t="n">
        <x:v>0</x:v>
      </x:c>
      <x:c r="N6" s="30" t="str">
        <x:v>FAIL—SUCCESSOR ELIGIBLE</x:v>
      </x:c>
      <x:c r="O6" s="30" t="str">
        <x:f>IF(OR(J6&gt;0,M6&gt;0),"KILL",IF(E6&gt;9,"CAMPAIGN STOP",IF(K6&gt;0,IF(L6&gt;=1,"KILL","FAIL—SUCCESSOR ELIGIBLE"),IF(AND(C6=42,D6=42,F6=159,G6=12,H6=14,I6=0),"RELEASE","HOLD"))))</x:f>
        <x:v>FAIL—SUCCESSOR ELIGIBLE</x:v>
      </x:c>
      <x:c r="P6" s="30" t="str">
        <x:f>IF(N6=O6,"PASS","FAIL")</x:f>
        <x:v>PASS</x:v>
      </x:c>
    </x:row>
    <x:row r="7" ht="15" hidden="0" customHeight="1">
      <x:c r="A7" s="14" t="str">
        <x:v>Unsafe public issue</x:v>
      </x:c>
      <x:c r="B7" s="14" t="str">
        <x:v>CF1</x:v>
      </x:c>
      <x:c r="C7" s="14" t="n">
        <x:v>7</x:v>
      </x:c>
      <x:c r="D7" s="14" t="n">
        <x:v>6</x:v>
      </x:c>
      <x:c r="E7" s="14" t="n">
        <x:v>0</x:v>
      </x:c>
      <x:c r="F7" s="14" t="n">
        <x:v>25</x:v>
      </x:c>
      <x:c r="G7" s="14" t="n">
        <x:v>12</x:v>
      </x:c>
      <x:c r="H7" s="14" t="n">
        <x:v>2</x:v>
      </x:c>
      <x:c r="I7" s="14" t="n">
        <x:v>0</x:v>
      </x:c>
      <x:c r="J7" s="14" t="n">
        <x:v>1</x:v>
      </x:c>
      <x:c r="K7" s="14" t="n">
        <x:v>1</x:v>
      </x:c>
      <x:c r="L7" s="14" t="n">
        <x:v>0</x:v>
      </x:c>
      <x:c r="M7" s="14" t="n">
        <x:v>0</x:v>
      </x:c>
      <x:c r="N7" s="30" t="str">
        <x:v>KILL</x:v>
      </x:c>
      <x:c r="O7" s="30" t="str">
        <x:f>IF(OR(J7&gt;0,M7&gt;0),"KILL",IF(E7&gt;9,"CAMPAIGN STOP",IF(K7&gt;0,IF(L7&gt;=1,"KILL","FAIL—SUCCESSOR ELIGIBLE"),IF(AND(C7=42,D7=42,F7=159,G7=12,H7=14,I7=0),"RELEASE","HOLD"))))</x:f>
        <x:v>KILL</x:v>
      </x:c>
      <x:c r="P7" s="30" t="str">
        <x:f>IF(N7=O7,"PASS","FAIL")</x:f>
        <x:v>PASS</x:v>
      </x:c>
    </x:row>
    <x:row r="8" ht="15" hidden="0" customHeight="1">
      <x:c r="A8" s="14" t="str">
        <x:v>Ancestry convergence</x:v>
      </x:c>
      <x:c r="B8" s="14" t="str">
        <x:v>CF1</x:v>
      </x:c>
      <x:c r="C8" s="14" t="n">
        <x:v>0</x:v>
      </x:c>
      <x:c r="D8" s="14" t="n">
        <x:v>0</x:v>
      </x:c>
      <x:c r="E8" s="14" t="n">
        <x:v>0</x:v>
      </x:c>
      <x:c r="F8" s="14" t="n">
        <x:v>0</x:v>
      </x:c>
      <x:c r="G8" s="14" t="n">
        <x:v>11</x:v>
      </x:c>
      <x:c r="H8" s="14" t="n">
        <x:v>0</x:v>
      </x:c>
      <x:c r="I8" s="14" t="n">
        <x:v>0</x:v>
      </x:c>
      <x:c r="J8" s="14" t="n">
        <x:v>0</x:v>
      </x:c>
      <x:c r="K8" s="14" t="n">
        <x:v>0</x:v>
      </x:c>
      <x:c r="L8" s="14" t="n">
        <x:v>0</x:v>
      </x:c>
      <x:c r="M8" s="14" t="n">
        <x:v>1</x:v>
      </x:c>
      <x:c r="N8" s="30" t="str">
        <x:v>KILL</x:v>
      </x:c>
      <x:c r="O8" s="30" t="str">
        <x:f>IF(OR(J8&gt;0,M8&gt;0),"KILL",IF(E8&gt;9,"CAMPAIGN STOP",IF(K8&gt;0,IF(L8&gt;=1,"KILL","FAIL—SUCCESSOR ELIGIBLE"),IF(AND(C8=42,D8=42,F8=159,G8=12,H8=14,I8=0),"RELEASE","HOLD"))))</x:f>
        <x:v>KILL</x:v>
      </x:c>
      <x:c r="P8" s="30" t="str">
        <x:f>IF(N8=O8,"PASS","FAIL")</x:f>
        <x:v>PASS</x:v>
      </x:c>
    </x:row>
    <x:row r="9" ht="15" hidden="0" customHeight="1">
      <x:c r="A9" s="14" t="str">
        <x:v>CF2 adverse</x:v>
      </x:c>
      <x:c r="B9" s="14" t="str">
        <x:v>CF2</x:v>
      </x:c>
      <x:c r="C9" s="14" t="n">
        <x:v>42</x:v>
      </x:c>
      <x:c r="D9" s="14" t="n">
        <x:v>41</x:v>
      </x:c>
      <x:c r="E9" s="14" t="n">
        <x:v>0</x:v>
      </x:c>
      <x:c r="F9" s="14" t="n">
        <x:v>159</x:v>
      </x:c>
      <x:c r="G9" s="14" t="n">
        <x:v>12</x:v>
      </x:c>
      <x:c r="H9" s="14" t="n">
        <x:v>14</x:v>
      </x:c>
      <x:c r="I9" s="14" t="n">
        <x:v>0</x:v>
      </x:c>
      <x:c r="J9" s="14" t="n">
        <x:v>0</x:v>
      </x:c>
      <x:c r="K9" s="14" t="n">
        <x:v>1</x:v>
      </x:c>
      <x:c r="L9" s="14" t="n">
        <x:v>1</x:v>
      </x:c>
      <x:c r="M9" s="14" t="n">
        <x:v>0</x:v>
      </x:c>
      <x:c r="N9" s="30" t="str">
        <x:v>KILL</x:v>
      </x:c>
      <x:c r="O9" s="30" t="str">
        <x:f>IF(OR(J9&gt;0,M9&gt;0),"KILL",IF(E9&gt;9,"CAMPAIGN STOP",IF(K9&gt;0,IF(L9&gt;=1,"KILL","FAIL—SUCCESSOR ELIGIBLE"),IF(AND(C9=42,D9=42,F9=159,G9=12,H9=14,I9=0),"RELEASE","HOLD"))))</x:f>
        <x:v>KILL</x:v>
      </x:c>
      <x:c r="P9" s="30" t="str">
        <x:f>IF(N9=O9,"PASS","FAIL")</x:f>
        <x:v>PASS</x:v>
      </x:c>
    </x:row>
    <x:row r="10" ht="15" hidden="0" customHeight="1">
      <x:c r="A10" s="14" t="str">
        <x:v>Tenth invalid</x:v>
      </x:c>
      <x:c r="B10" s="14" t="str">
        <x:v>CF1</x:v>
      </x:c>
      <x:c r="C10" s="14" t="n">
        <x:v>35</x:v>
      </x:c>
      <x:c r="D10" s="14" t="n">
        <x:v>35</x:v>
      </x:c>
      <x:c r="E10" s="14" t="n">
        <x:v>10</x:v>
      </x:c>
      <x:c r="F10" s="14" t="n">
        <x:v>120</x:v>
      </x:c>
      <x:c r="G10" s="14" t="n">
        <x:v>12</x:v>
      </x:c>
      <x:c r="H10" s="14" t="n">
        <x:v>10</x:v>
      </x:c>
      <x:c r="I10" s="14" t="n">
        <x:v>0</x:v>
      </x:c>
      <x:c r="J10" s="14" t="n">
        <x:v>0</x:v>
      </x:c>
      <x:c r="K10" s="14" t="n">
        <x:v>0</x:v>
      </x:c>
      <x:c r="L10" s="14" t="n">
        <x:v>0</x:v>
      </x:c>
      <x:c r="M10" s="14" t="n">
        <x:v>0</x:v>
      </x:c>
      <x:c r="N10" s="30" t="str">
        <x:v>CAMPAIGN STOP</x:v>
      </x:c>
      <x:c r="O10" s="30" t="str">
        <x:f>IF(OR(J10&gt;0,M10&gt;0),"KILL",IF(E10&gt;9,"CAMPAIGN STOP",IF(K10&gt;0,IF(L10&gt;=1,"KILL","FAIL—SUCCESSOR ELIGIBLE"),IF(AND(C10=42,D10=42,F10=159,G10=12,H10=14,I10=0),"RELEASE","HOLD"))))</x:f>
        <x:v>CAMPAIGN STOP</x:v>
      </x:c>
      <x:c r="P10" s="30" t="str">
        <x:f>IF(N10=O10,"PASS","FAIL")</x:f>
        <x:v>PASS</x:v>
      </x:c>
    </x:row>
    <x:row r="11" ht="15" hidden="0" customHeight="1">
      <x:c r="A11" s="14" t="str">
        <x:v>One gate missing</x:v>
      </x:c>
      <x:c r="B11" s="14" t="str">
        <x:v>CF1</x:v>
      </x:c>
      <x:c r="C11" s="14" t="n">
        <x:v>42</x:v>
      </x:c>
      <x:c r="D11" s="14" t="n">
        <x:v>42</x:v>
      </x:c>
      <x:c r="E11" s="14" t="n">
        <x:v>0</x:v>
      </x:c>
      <x:c r="F11" s="14" t="n">
        <x:v>159</x:v>
      </x:c>
      <x:c r="G11" s="14" t="n">
        <x:v>12</x:v>
      </x:c>
      <x:c r="H11" s="14" t="n">
        <x:v>13</x:v>
      </x:c>
      <x:c r="I11" s="14" t="n">
        <x:v>0</x:v>
      </x:c>
      <x:c r="J11" s="14" t="n">
        <x:v>0</x:v>
      </x:c>
      <x:c r="K11" s="14" t="n">
        <x:v>0</x:v>
      </x:c>
      <x:c r="L11" s="14" t="n">
        <x:v>0</x:v>
      </x:c>
      <x:c r="M11" s="14" t="n">
        <x:v>0</x:v>
      </x:c>
      <x:c r="N11" s="30" t="str">
        <x:v>HOLD</x:v>
      </x:c>
      <x:c r="O11" s="30" t="str">
        <x:f>IF(OR(J11&gt;0,M11&gt;0),"KILL",IF(E11&gt;9,"CAMPAIGN STOP",IF(K11&gt;0,IF(L11&gt;=1,"KILL","FAIL—SUCCESSOR ELIGIBLE"),IF(AND(C11=42,D11=42,F11=159,G11=12,H11=14,I11=0),"RELEASE","HOLD"))))</x:f>
        <x:v>HOLD</x:v>
      </x:c>
      <x:c r="P11" s="30" t="str">
        <x:f>IF(N11=O11,"PASS","FAIL")</x:f>
        <x:v>PASS</x:v>
      </x:c>
    </x:row>
    <x:row r="12" ht="15" hidden="0" customHeight="1">
      <x:c r="A12" s="14" t="str">
        <x:v>Replay conflict</x:v>
      </x:c>
      <x:c r="B12" s="14" t="str">
        <x:v>CF1</x:v>
      </x:c>
      <x:c r="C12" s="14" t="n">
        <x:v>42</x:v>
      </x:c>
      <x:c r="D12" s="14" t="n">
        <x:v>42</x:v>
      </x:c>
      <x:c r="E12" s="14" t="n">
        <x:v>0</x:v>
      </x:c>
      <x:c r="F12" s="14" t="n">
        <x:v>159</x:v>
      </x:c>
      <x:c r="G12" s="14" t="n">
        <x:v>12</x:v>
      </x:c>
      <x:c r="H12" s="14" t="n">
        <x:v>14</x:v>
      </x:c>
      <x:c r="I12" s="14" t="n">
        <x:v>1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30" t="str">
        <x:v>HOLD</x:v>
      </x:c>
      <x:c r="O12" s="30" t="str">
        <x:f>IF(OR(J12&gt;0,M12&gt;0),"KILL",IF(E12&gt;9,"CAMPAIGN STOP",IF(K12&gt;0,IF(L12&gt;=1,"KILL","FAIL—SUCCESSOR ELIGIBLE"),IF(AND(C12=42,D12=42,F12=159,G12=12,H12=14,I12=0),"RELEASE","HOLD"))))</x:f>
        <x:v>HOLD</x:v>
      </x:c>
      <x:c r="P12" s="30" t="str">
        <x:f>IF(N12=O12,"PASS","FAIL")</x:f>
        <x:v>PASS</x:v>
      </x:c>
    </x:row>
    <x:row r="13" ht="15" hidden="0" customHeight="1">
      <x:c r="A13" s="14" t="str">
        <x:v>One event missing</x:v>
      </x:c>
      <x:c r="B13" s="14" t="str">
        <x:v>CF1</x:v>
      </x:c>
      <x:c r="C13" s="14" t="n">
        <x:v>41</x:v>
      </x:c>
      <x:c r="D13" s="14" t="n">
        <x:v>41</x:v>
      </x:c>
      <x:c r="E13" s="14" t="n">
        <x:v>0</x:v>
      </x:c>
      <x:c r="F13" s="14" t="n">
        <x:v>159</x:v>
      </x:c>
      <x:c r="G13" s="14" t="n">
        <x:v>12</x:v>
      </x:c>
      <x:c r="H13" s="14" t="n">
        <x:v>14</x:v>
      </x:c>
      <x:c r="I13" s="14" t="n">
        <x:v>0</x:v>
      </x:c>
      <x:c r="J13" s="14" t="n">
        <x:v>0</x:v>
      </x:c>
      <x:c r="K13" s="14" t="n">
        <x:v>0</x:v>
      </x:c>
      <x:c r="L13" s="14" t="n">
        <x:v>0</x:v>
      </x:c>
      <x:c r="M13" s="14" t="n">
        <x:v>0</x:v>
      </x:c>
      <x:c r="N13" s="30" t="str">
        <x:v>HOLD</x:v>
      </x:c>
      <x:c r="O13" s="30" t="str">
        <x:f>IF(OR(J13&gt;0,M13&gt;0),"KILL",IF(E13&gt;9,"CAMPAIGN STOP",IF(K13&gt;0,IF(L13&gt;=1,"KILL","FAIL—SUCCESSOR ELIGIBLE"),IF(AND(C13=42,D13=42,F13=159,G13=12,H13=14,I13=0),"RELEASE","HOLD"))))</x:f>
        <x:v>HOLD</x:v>
      </x:c>
      <x:c r="P13" s="30" t="str">
        <x:f>IF(N13=O13,"PASS","FAIL")</x:f>
        <x:v>PASS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9" hidden="0" customWidth="1"/>
  </x:cols>
  <x:sheetData>
    <x:row r="1" ht="19.200000762939453" hidden="0" customHeight="1">
      <x:c r="A1" s="3" t="str">
        <x:v>Live root disposition ledger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6" t="str">
        <x:v>Editable yellow fields are intentionally zero. The formula cannot manufacture evidence.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/>
    <x:row r="4" ht="26.399999618530273" hidden="0" customHeight="1">
      <x:c r="A4" s="19" t="str">
        <x:v>Root</x:v>
      </x:c>
      <x:c r="B4" s="19" t="str">
        <x:v>Baseline</x:v>
      </x:c>
      <x:c r="C4" s="19" t="str">
        <x:v>Valid</x:v>
      </x:c>
      <x:c r="D4" s="19" t="str">
        <x:v>Pass</x:v>
      </x:c>
      <x:c r="E4" s="19" t="str">
        <x:v>Invalid</x:v>
      </x:c>
      <x:c r="F4" s="19" t="str">
        <x:v>Packages</x:v>
      </x:c>
      <x:c r="G4" s="19" t="str">
        <x:v>Ancestry</x:v>
      </x:c>
      <x:c r="H4" s="19" t="str">
        <x:v>Gates</x:v>
      </x:c>
      <x:c r="I4" s="19" t="str">
        <x:v>Replay conflicts</x:v>
      </x:c>
      <x:c r="J4" s="19" t="str">
        <x:v>Terminal</x:v>
      </x:c>
      <x:c r="K4" s="19" t="str">
        <x:v>Valid adverse</x:v>
      </x:c>
      <x:c r="L4" s="19" t="str">
        <x:v>Revision</x:v>
      </x:c>
      <x:c r="M4" s="19" t="str">
        <x:v>Source / ancestry change</x:v>
      </x:c>
      <x:c r="N4" s="19" t="str">
        <x:v>Disposition</x:v>
      </x:c>
    </x:row>
    <x:row r="5" ht="15" hidden="0" customHeight="1">
      <x:c r="A5" s="14" t="str">
        <x:v>A</x:v>
      </x:c>
      <x:c r="B5" s="23" t="str">
        <x:v>CF1</x:v>
      </x:c>
      <x:c r="C5" s="23" t="n">
        <x:v>0</x:v>
      </x:c>
      <x:c r="D5" s="23" t="n">
        <x:v>0</x:v>
      </x:c>
      <x:c r="E5" s="23" t="n">
        <x:v>0</x:v>
      </x:c>
      <x:c r="F5" s="23" t="n">
        <x:v>0</x:v>
      </x:c>
      <x:c r="G5" s="23" t="n">
        <x:v>0</x:v>
      </x:c>
      <x:c r="H5" s="23" t="n">
        <x:v>0</x:v>
      </x:c>
      <x:c r="I5" s="23" t="n">
        <x:v>0</x:v>
      </x:c>
      <x:c r="J5" s="23" t="n">
        <x:v>0</x:v>
      </x:c>
      <x:c r="K5" s="23" t="n">
        <x:v>0</x:v>
      </x:c>
      <x:c r="L5" s="23" t="n">
        <x:v>0</x:v>
      </x:c>
      <x:c r="M5" s="23" t="n">
        <x:v>0</x:v>
      </x:c>
      <x:c r="N5" s="33" t="str">
        <x:f>IF(OR(J5&gt;0,M5&gt;0),"KILL",IF(E5&gt;9,"CAMPAIGN STOP",IF(K5&gt;0,IF(L5&gt;=1,"KILL","FAIL—SUCCESSOR ELIGIBLE"),IF(AND(C5=42,D5=42,F5=159,G5=12,H5=14,I5=0),"RELEASE","HOLD"))))</x:f>
        <x:v>HOLD</x:v>
      </x:c>
    </x:row>
    <x:row r="6" ht="15" hidden="0" customHeight="1">
      <x:c r="A6" s="14" t="str">
        <x:v>B</x:v>
      </x:c>
      <x:c r="B6" s="23" t="str">
        <x:v>CF1</x:v>
      </x:c>
      <x:c r="C6" s="23" t="n">
        <x:v>0</x:v>
      </x:c>
      <x:c r="D6" s="23" t="n">
        <x:v>0</x:v>
      </x:c>
      <x:c r="E6" s="23" t="n">
        <x:v>0</x:v>
      </x:c>
      <x:c r="F6" s="23" t="n">
        <x:v>0</x:v>
      </x:c>
      <x:c r="G6" s="23" t="n">
        <x:v>0</x:v>
      </x:c>
      <x:c r="H6" s="23" t="n">
        <x:v>0</x:v>
      </x:c>
      <x:c r="I6" s="23" t="n">
        <x:v>0</x:v>
      </x:c>
      <x:c r="J6" s="23" t="n">
        <x:v>0</x:v>
      </x:c>
      <x:c r="K6" s="23" t="n">
        <x:v>0</x:v>
      </x:c>
      <x:c r="L6" s="23" t="n">
        <x:v>0</x:v>
      </x:c>
      <x:c r="M6" s="23" t="n">
        <x:v>0</x:v>
      </x:c>
      <x:c r="N6" s="33" t="str">
        <x:f>IF(OR(J6&gt;0,M6&gt;0),"KILL",IF(E6&gt;9,"CAMPAIGN STOP",IF(K6&gt;0,IF(L6&gt;=1,"KILL","FAIL—SUCCESSOR ELIGIBLE"),IF(AND(C6=42,D6=42,F6=159,G6=12,H6=14,I6=0),"RELEASE","HOLD"))))</x:f>
        <x:v>HOLD</x:v>
      </x:c>
    </x:row>
    <x:row r="7" ht="15" hidden="0" customHeight="1">
      <x:c r="A7" s="14" t="str">
        <x:v>C</x:v>
      </x:c>
      <x:c r="B7" s="23" t="str">
        <x:v>CF1</x:v>
      </x:c>
      <x:c r="C7" s="23" t="n">
        <x:v>0</x:v>
      </x:c>
      <x:c r="D7" s="23" t="n">
        <x:v>0</x:v>
      </x:c>
      <x:c r="E7" s="23" t="n">
        <x:v>0</x:v>
      </x:c>
      <x:c r="F7" s="23" t="n">
        <x:v>0</x:v>
      </x:c>
      <x:c r="G7" s="23" t="n">
        <x:v>0</x:v>
      </x:c>
      <x:c r="H7" s="23" t="n">
        <x:v>0</x:v>
      </x:c>
      <x:c r="I7" s="23" t="n">
        <x:v>0</x:v>
      </x:c>
      <x:c r="J7" s="23" t="n">
        <x:v>0</x:v>
      </x:c>
      <x:c r="K7" s="23" t="n">
        <x:v>0</x:v>
      </x:c>
      <x:c r="L7" s="23" t="n">
        <x:v>0</x:v>
      </x:c>
      <x:c r="M7" s="23" t="n">
        <x:v>0</x:v>
      </x:c>
      <x:c r="N7" s="33" t="str">
        <x:f>IF(OR(J7&gt;0,M7&gt;0),"KILL",IF(E7&gt;9,"CAMPAIGN STOP",IF(K7&gt;0,IF(L7&gt;=1,"KILL","FAIL—SUCCESSOR ELIGIBLE"),IF(AND(C7=42,D7=42,F7=159,G7=12,H7=14,I7=0),"RELEASE","HOLD"))))</x:f>
        <x:v>HOLD</x:v>
      </x:c>
    </x:row>
    <x:row r="8" ht="15" hidden="0" customHeight="1">
      <x:c r="A8" s="14" t="str">
        <x:v>D</x:v>
      </x:c>
      <x:c r="B8" s="23" t="str">
        <x:v>CF1</x:v>
      </x:c>
      <x:c r="C8" s="23" t="n">
        <x:v>0</x:v>
      </x:c>
      <x:c r="D8" s="23" t="n">
        <x:v>0</x:v>
      </x:c>
      <x:c r="E8" s="23" t="n">
        <x:v>0</x:v>
      </x:c>
      <x:c r="F8" s="23" t="n">
        <x:v>0</x:v>
      </x:c>
      <x:c r="G8" s="23" t="n">
        <x:v>0</x:v>
      </x:c>
      <x:c r="H8" s="23" t="n">
        <x:v>0</x:v>
      </x:c>
      <x:c r="I8" s="23" t="n">
        <x:v>0</x:v>
      </x:c>
      <x:c r="J8" s="23" t="n">
        <x:v>0</x:v>
      </x:c>
      <x:c r="K8" s="23" t="n">
        <x:v>0</x:v>
      </x:c>
      <x:c r="L8" s="23" t="n">
        <x:v>0</x:v>
      </x:c>
      <x:c r="M8" s="23" t="n">
        <x:v>0</x:v>
      </x:c>
      <x:c r="N8" s="33" t="str">
        <x:f>IF(OR(J8&gt;0,M8&gt;0),"KILL",IF(E8&gt;9,"CAMPAIGN STOP",IF(K8&gt;0,IF(L8&gt;=1,"KILL","FAIL—SUCCESSOR ELIGIBLE"),IF(AND(C8=42,D8=42,F8=159,G8=12,H8=14,I8=0),"RELEASE","HOLD"))))</x:f>
        <x:v>HOLD</x:v>
      </x:c>
    </x:row>
    <x:row r="9"/>
    <x:row r="10"/>
    <x:row r="11" ht="15" hidden="0" customHeight="1">
      <x:c r="A11" s="10" t="str">
        <x:v>Entry rule</x:v>
      </x:c>
      <x:c r="B11" s="14" t="str">
        <x:v>Requirement</x:v>
      </x:c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</x:row>
    <x:row r="12" ht="36" hidden="0" customHeight="1">
      <x:c r="A12" s="10" t="str">
        <x:v>Zero is not failure</x:v>
      </x:c>
      <x:c r="B12" s="14" t="str">
        <x:v>Unobserved fields remain zero and produce HOLD.</x:v>
      </x:c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</x:row>
    <x:row r="13" ht="60" hidden="0" customHeight="1">
      <x:c r="A13" s="10" t="str">
        <x:v>CF2</x:v>
      </x:c>
      <x:c r="B13" s="14" t="str">
        <x:v>Set Revision to 1 only after a lawful CF1 adverse and registered correction.</x:v>
      </x:c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</x:row>
    <x:row r="14" ht="60" hidden="0" customHeight="1">
      <x:c r="A14" s="10" t="str">
        <x:v>Source / ancestry change</x:v>
      </x:c>
      <x:c r="B14" s="14" t="str">
        <x:v>Any value above zero kills the lineage; return new root identity to Pass 175.</x:v>
      </x:c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</x:row>
    <x:row r="15" ht="48" hidden="0" customHeight="1">
      <x:c r="A15" s="10" t="str">
        <x:v>Terminal</x:v>
      </x:c>
      <x:c r="B15" s="14" t="str">
        <x:v>Count any of six terminal classes; one is sufficient for KILL.</x:v>
      </x:c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</x:row>
  </x:sheetData>
  <x:mergeCells>
    <x:mergeCell ref="A1:N1"/>
    <x:mergeCell ref="A2:N2"/>
  </x:mergeCells>
  <x:dataValidations count="1">
    <x:dataValidation type="list" sqref="B5:B8">
      <x:formula1>"CF1,CF2"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5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  <x:col min="7" max="7" width="14" hidden="0" customWidth="1"/>
  </x:cols>
  <x:sheetData>
    <x:row r="1" ht="19.200000762939453" hidden="0" customHeight="1">
      <x:c r="A1" s="3" t="str">
        <x:v>Six independent event judgments</x:v>
      </x:c>
      <x:c r="B1" s="3"/>
      <x:c r="C1" s="3"/>
      <x:c r="D1" s="3"/>
      <x:c r="E1" s="3"/>
      <x:c r="F1" s="3"/>
      <x:c r="G1" s="3"/>
    </x:row>
    <x:row r="2" ht="15" hidden="0" customHeight="1">
      <x:c r="A2" s="6" t="str">
        <x:v>Every valid event requires all six signatures. Counts are not averaged.</x:v>
      </x:c>
      <x:c r="B2" s="6"/>
      <x:c r="C2" s="6"/>
      <x:c r="D2" s="6"/>
      <x:c r="E2" s="6"/>
      <x:c r="F2" s="6"/>
      <x:c r="G2" s="6"/>
    </x:row>
    <x:row r="3"/>
    <x:row r="4" ht="15" hidden="0" customHeight="1">
      <x:c r="A4" s="19" t="str">
        <x:v>Axis</x:v>
      </x:c>
      <x:c r="B4" s="19" t="str">
        <x:v>Question</x:v>
      </x:c>
      <x:c r="C4" s="19" t="str">
        <x:v>Authority</x:v>
      </x:c>
      <x:c r="D4" s="19" t="str">
        <x:v>Allowed result</x:v>
      </x:c>
      <x:c r="E4" s="19" t="str">
        <x:v>Adverse consequence</x:v>
      </x:c>
      <x:c r="F4" s="19" t="str">
        <x:v>Self-sign allowed</x:v>
      </x:c>
      <x:c r="G4" s="19" t="str">
        <x:v>Deadline</x:v>
      </x:c>
    </x:row>
    <x:row r="5" ht="15" hidden="0" customHeight="1">
      <x:c r="A5" s="14" t="str">
        <x:v>Validity</x:v>
      </x:c>
      <x:c r="B5" s="14" t="str">
        <x:v>Did frozen protocol and custody hold?</x:v>
      </x:c>
      <x:c r="C5" s="14" t="str">
        <x:v>Test Integrity Authority</x:v>
      </x:c>
      <x:c r="D5" s="14" t="str">
        <x:v>VALID / INVALID</x:v>
      </x:c>
      <x:c r="E5" s="14" t="str">
        <x:v>Invalid repeat or stop</x:v>
      </x:c>
      <x:c r="F5" s="14" t="str">
        <x:v>No</x:v>
      </x:c>
      <x:c r="G5" s="14" t="str">
        <x:v>Day 7</x:v>
      </x:c>
    </x:row>
    <x:row r="6" ht="15" hidden="0" customHeight="1">
      <x:c r="A6" s="14" t="str">
        <x:v>Safety and rights</x:v>
      </x:c>
      <x:c r="B6" s="14" t="str">
        <x:v>Was issue authorized and inside envelope?</x:v>
      </x:c>
      <x:c r="C6" s="14" t="str">
        <x:v>Civil Safety and Rights Authority</x:v>
      </x:c>
      <x:c r="D6" s="14" t="str">
        <x:v>PASS / TERMINAL</x:v>
      </x:c>
      <x:c r="E6" s="14" t="str">
        <x:v>KILL</x:v>
      </x:c>
      <x:c r="F6" s="14" t="str">
        <x:v>No</x:v>
      </x:c>
      <x:c r="G6" s="14" t="str">
        <x:v>Event close</x:v>
      </x:c>
    </x:row>
    <x:row r="7" ht="15" hidden="0" customHeight="1">
      <x:c r="A7" s="14" t="str">
        <x:v>Public service</x:v>
      </x:c>
      <x:c r="B7" s="14" t="str">
        <x:v>Were event thresholds met?</x:v>
      </x:c>
      <x:c r="C7" s="14" t="str">
        <x:v>Route public-effect authority</x:v>
      </x:c>
      <x:c r="D7" s="14" t="str">
        <x:v>PASS / VALID ADVERSE</x:v>
      </x:c>
      <x:c r="E7" s="14" t="str">
        <x:v>Successor or kill</x:v>
      </x:c>
      <x:c r="F7" s="14" t="str">
        <x:v>Claim only</x:v>
      </x:c>
      <x:c r="G7" s="14" t="str">
        <x:v>Day 21</x:v>
      </x:c>
    </x:row>
    <x:row r="8" ht="15" hidden="0" customHeight="1">
      <x:c r="A8" s="14" t="str">
        <x:v>Causal reliance</x:v>
      </x:c>
      <x:c r="B8" s="14" t="str">
        <x:v>Does evidence isolate root behavior?</x:v>
      </x:c>
      <x:c r="C8" s="14" t="str">
        <x:v>Sovereign Evidence Authority</x:v>
      </x:c>
      <x:c r="D8" s="14" t="str">
        <x:v>ACCEPT / HOLD</x:v>
      </x:c>
      <x:c r="E8" s="14" t="str">
        <x:v>HOLD</x:v>
      </x:c>
      <x:c r="F8" s="14" t="str">
        <x:v>No</x:v>
      </x:c>
      <x:c r="G8" s="14" t="str">
        <x:v>Day 45</x:v>
      </x:c>
    </x:row>
    <x:row r="9" ht="15" hidden="0" customHeight="1">
      <x:c r="A9" s="14" t="str">
        <x:v>Outside replay</x:v>
      </x:c>
      <x:c r="B9" s="14" t="str">
        <x:v>Can an independent team reconstruct it?</x:v>
      </x:c>
      <x:c r="C9" s="14" t="str">
        <x:v>Sovereign Evidence Authority</x:v>
      </x:c>
      <x:c r="D9" s="14" t="str">
        <x:v>AGREE / CONFLICT</x:v>
      </x:c>
      <x:c r="E9" s="14" t="str">
        <x:v>HOLD</x:v>
      </x:c>
      <x:c r="F9" s="14" t="str">
        <x:v>No</x:v>
      </x:c>
      <x:c r="G9" s="14" t="str">
        <x:v>Day 45</x:v>
      </x:c>
    </x:row>
    <x:row r="10" ht="15" hidden="0" customHeight="1">
      <x:c r="A10" s="14" t="str">
        <x:v>Reset</x:v>
      </x:c>
      <x:c r="B10" s="14" t="str">
        <x:v>Did article regain frozen state ≤ 720 h?</x:v>
      </x:c>
      <x:c r="C10" s="14" t="str">
        <x:v>Regeneration Authority</x:v>
      </x:c>
      <x:c r="D10" s="14" t="str">
        <x:v>PASS / VALID ADVERSE</x:v>
      </x:c>
      <x:c r="E10" s="14" t="str">
        <x:v>Successor or kill</x:v>
      </x:c>
      <x:c r="F10" s="14" t="str">
        <x:v>No</x:v>
      </x:c>
      <x:c r="G10" s="14" t="str">
        <x:v>When due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45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19.200000762939453" hidden="0" customHeight="1">
      <x:c r="A1" s="3" t="str">
        <x:v>Failure classes</x:v>
      </x:c>
      <x:c r="B1" s="3"/>
      <x:c r="C1" s="3"/>
      <x:c r="D1" s="3"/>
      <x:c r="E1" s="3"/>
      <x:c r="F1" s="3"/>
    </x:row>
    <x:row r="2" ht="15" hidden="0" customHeight="1">
      <x:c r="A2" s="6" t="str">
        <x:v>The classification determines whether a record is repeated, retained as adverse evidence, held, stopped or killed.</x:v>
      </x:c>
      <x:c r="B2" s="6"/>
      <x:c r="C2" s="6"/>
      <x:c r="D2" s="6"/>
      <x:c r="E2" s="6"/>
      <x:c r="F2" s="6"/>
    </x:row>
    <x:row r="3"/>
    <x:row r="4" ht="15" hidden="0" customHeight="1">
      <x:c r="A4" s="19" t="str">
        <x:v>Class</x:v>
      </x:c>
      <x:c r="B4" s="19" t="str">
        <x:v>Trigger</x:v>
      </x:c>
      <x:c r="C4" s="19" t="str">
        <x:v>Record status</x:v>
      </x:c>
      <x:c r="D4" s="19" t="str">
        <x:v>Disposition</x:v>
      </x:c>
      <x:c r="E4" s="19" t="str">
        <x:v>Repeat?</x:v>
      </x:c>
      <x:c r="F4" s="19" t="str">
        <x:v>Reserve eligible?</x:v>
      </x:c>
    </x:row>
    <x:row r="5" ht="15" hidden="0" customHeight="1">
      <x:c r="A5" s="14" t="str">
        <x:v>Invalid</x:v>
      </x:c>
      <x:c r="B5" s="14" t="str">
        <x:v>Breached blind</x:v>
      </x:c>
      <x:c r="C5" s="14" t="str">
        <x:v>No denominator</x:v>
      </x:c>
      <x:c r="D5" s="14" t="str">
        <x:v>Exact-event repeat</x:v>
      </x:c>
      <x:c r="E5" s="14" t="str">
        <x:v>Yes, ≤ 9</x:v>
      </x:c>
      <x:c r="F5" s="14" t="str">
        <x:v>Yes</x:v>
      </x:c>
    </x:row>
    <x:row r="6" ht="15" hidden="0" customHeight="1">
      <x:c r="A6" s="14" t="str">
        <x:v>Invalid</x:v>
      </x:c>
      <x:c r="B6" s="14" t="str">
        <x:v>Wrong frozen configuration</x:v>
      </x:c>
      <x:c r="C6" s="14" t="str">
        <x:v>No denominator</x:v>
      </x:c>
      <x:c r="D6" s="14" t="str">
        <x:v>Exact-event repeat</x:v>
      </x:c>
      <x:c r="E6" s="14" t="str">
        <x:v>Yes, ≤ 9</x:v>
      </x:c>
      <x:c r="F6" s="14" t="str">
        <x:v>Yes</x:v>
      </x:c>
    </x:row>
    <x:row r="7" ht="15" hidden="0" customHeight="1">
      <x:c r="A7" s="14" t="str">
        <x:v>Invalid</x:v>
      </x:c>
      <x:c r="B7" s="14" t="str">
        <x:v>Out-of-tolerance inject</x:v>
      </x:c>
      <x:c r="C7" s="14" t="str">
        <x:v>No denominator</x:v>
      </x:c>
      <x:c r="D7" s="14" t="str">
        <x:v>Exact-event repeat</x:v>
      </x:c>
      <x:c r="E7" s="14" t="str">
        <x:v>Yes, ≤ 9</x:v>
      </x:c>
      <x:c r="F7" s="14" t="str">
        <x:v>Yes</x:v>
      </x:c>
    </x:row>
    <x:row r="8" ht="15" hidden="0" customHeight="1">
      <x:c r="A8" s="14" t="str">
        <x:v>Invalid</x:v>
      </x:c>
      <x:c r="B8" s="14" t="str">
        <x:v>Lost independent evidence plane</x:v>
      </x:c>
      <x:c r="C8" s="14" t="str">
        <x:v>No denominator</x:v>
      </x:c>
      <x:c r="D8" s="14" t="str">
        <x:v>Exact-event repeat</x:v>
      </x:c>
      <x:c r="E8" s="14" t="str">
        <x:v>Yes, ≤ 9</x:v>
      </x:c>
      <x:c r="F8" s="14" t="str">
        <x:v>Yes</x:v>
      </x:c>
    </x:row>
    <x:row r="9" ht="15" hidden="0" customHeight="1">
      <x:c r="A9" s="14" t="str">
        <x:v>Invalid</x:v>
      </x:c>
      <x:c r="B9" s="14" t="str">
        <x:v>Unreconstructable clock</x:v>
      </x:c>
      <x:c r="C9" s="14" t="str">
        <x:v>No denominator</x:v>
      </x:c>
      <x:c r="D9" s="14" t="str">
        <x:v>Exact-event repeat</x:v>
      </x:c>
      <x:c r="E9" s="14" t="str">
        <x:v>Yes, ≤ 9</x:v>
      </x:c>
      <x:c r="F9" s="14" t="str">
        <x:v>Yes</x:v>
      </x:c>
    </x:row>
    <x:row r="10" ht="15" hidden="0" customHeight="1">
      <x:c r="A10" s="14" t="str">
        <x:v>Invalid</x:v>
      </x:c>
      <x:c r="B10" s="14" t="str">
        <x:v>Broken raw custody</x:v>
      </x:c>
      <x:c r="C10" s="14" t="str">
        <x:v>No denominator</x:v>
      </x:c>
      <x:c r="D10" s="14" t="str">
        <x:v>Exact-event repeat</x:v>
      </x:c>
      <x:c r="E10" s="14" t="str">
        <x:v>Yes, ≤ 9</x:v>
      </x:c>
      <x:c r="F10" s="14" t="str">
        <x:v>Yes</x:v>
      </x:c>
    </x:row>
    <x:row r="11" ht="15" hidden="0" customHeight="1">
      <x:c r="A11" s="14" t="str">
        <x:v>Valid adverse</x:v>
      </x:c>
      <x:c r="B11" s="14" t="str">
        <x:v>Contained service miss</x:v>
      </x:c>
      <x:c r="C11" s="14" t="str">
        <x:v>Permanent in denominator</x:v>
      </x:c>
      <x:c r="D11" s="14" t="str">
        <x:v>CF1 successor eligible</x:v>
      </x:c>
      <x:c r="E11" s="14" t="str">
        <x:v>No</x:v>
      </x:c>
      <x:c r="F11" s="14" t="str">
        <x:v>No</x:v>
      </x:c>
    </x:row>
    <x:row r="12" ht="15" hidden="0" customHeight="1">
      <x:c r="A12" s="14" t="str">
        <x:v>Valid adverse</x:v>
      </x:c>
      <x:c r="B12" s="14" t="str">
        <x:v>Repair / reset failure</x:v>
      </x:c>
      <x:c r="C12" s="14" t="str">
        <x:v>Permanent in denominator</x:v>
      </x:c>
      <x:c r="D12" s="14" t="str">
        <x:v>CF1 successor eligible</x:v>
      </x:c>
      <x:c r="E12" s="14" t="str">
        <x:v>No</x:v>
      </x:c>
      <x:c r="F12" s="14" t="str">
        <x:v>No</x:v>
      </x:c>
    </x:row>
    <x:row r="13" ht="15" hidden="0" customHeight="1">
      <x:c r="A13" s="14" t="str">
        <x:v>Valid adverse</x:v>
      </x:c>
      <x:c r="B13" s="14" t="str">
        <x:v>R1 reproduction mismatch</x:v>
      </x:c>
      <x:c r="C13" s="14" t="str">
        <x:v>Permanent in denominator</x:v>
      </x:c>
      <x:c r="D13" s="14" t="str">
        <x:v>CF1 successor eligible</x:v>
      </x:c>
      <x:c r="E13" s="14" t="str">
        <x:v>No</x:v>
      </x:c>
      <x:c r="F13" s="14" t="str">
        <x:v>No</x:v>
      </x:c>
    </x:row>
    <x:row r="14" ht="15" hidden="0" customHeight="1">
      <x:c r="A14" s="14" t="str">
        <x:v>Terminal</x:v>
      </x:c>
      <x:c r="B14" s="14" t="str">
        <x:v>Unsafe / unauthorized issue or unbounded state</x:v>
      </x:c>
      <x:c r="C14" s="14" t="str">
        <x:v>Permanent</x:v>
      </x:c>
      <x:c r="D14" s="14" t="str">
        <x:v>KILL</x:v>
      </x:c>
      <x:c r="E14" s="14" t="str">
        <x:v>No</x:v>
      </x:c>
      <x:c r="F14" s="14" t="str">
        <x:v>No</x:v>
      </x:c>
    </x:row>
    <x:row r="15" ht="15" hidden="0" customHeight="1">
      <x:c r="A15" s="14" t="str">
        <x:v>Terminal</x:v>
      </x:c>
      <x:c r="B15" s="14" t="str">
        <x:v>Rights breach or evidence misconduct</x:v>
      </x:c>
      <x:c r="C15" s="14" t="str">
        <x:v>Permanent</x:v>
      </x:c>
      <x:c r="D15" s="14" t="str">
        <x:v>KILL</x:v>
      </x:c>
      <x:c r="E15" s="14" t="str">
        <x:v>No</x:v>
      </x:c>
      <x:c r="F15" s="14" t="str">
        <x:v>No</x:v>
      </x:c>
    </x:row>
    <x:row r="16" ht="15" hidden="0" customHeight="1">
      <x:c r="A16" s="14" t="str">
        <x:v>Terminal</x:v>
      </x:c>
      <x:c r="B16" s="14" t="str">
        <x:v>Ancestry convergence or any CF2 adverse</x:v>
      </x:c>
      <x:c r="C16" s="14" t="str">
        <x:v>Permanent</x:v>
      </x:c>
      <x:c r="D16" s="14" t="str">
        <x:v>KILL</x:v>
      </x:c>
      <x:c r="E16" s="14" t="str">
        <x:v>No</x:v>
      </x:c>
      <x:c r="F16" s="14" t="str">
        <x:v>No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</x:cols>
  <x:sheetData>
    <x:row r="1" ht="19.200000762939453" hidden="0" customHeight="1">
      <x:c r="A1" s="3" t="str">
        <x:v>One-successor constitution</x:v>
      </x:c>
      <x:c r="B1" s="3"/>
      <x:c r="C1" s="3"/>
      <x:c r="D1" s="3"/>
      <x:c r="E1" s="3"/>
    </x:row>
    <x:row r="2" ht="15" hidden="0" customHeight="1">
      <x:c r="A2" s="6" t="str">
        <x:v>CF2 is a fresh evidentiary baseline, not a repair credit.</x:v>
      </x:c>
      <x:c r="B2" s="6"/>
      <x:c r="C2" s="6"/>
      <x:c r="D2" s="6"/>
      <x:c r="E2" s="6"/>
    </x:row>
    <x:row r="3"/>
    <x:row r="4" ht="15" hidden="0" customHeight="1">
      <x:c r="A4" s="19" t="str">
        <x:v>Rule</x:v>
      </x:c>
      <x:c r="B4" s="19" t="str">
        <x:v>CF1</x:v>
      </x:c>
      <x:c r="C4" s="19" t="str">
        <x:v>CF2</x:v>
      </x:c>
      <x:c r="D4" s="19" t="str">
        <x:v>Forbidden substitution</x:v>
      </x:c>
      <x:c r="E4" s="19" t="str">
        <x:v>Parent consequence</x:v>
      </x:c>
    </x:row>
    <x:row r="5" ht="15" hidden="0" customHeight="1">
      <x:c r="A5" s="14" t="str">
        <x:v>Entry</x:v>
      </x:c>
      <x:c r="B5" s="14" t="str">
        <x:v>Contained valid adverse</x:v>
      </x:c>
      <x:c r="C5" s="14" t="str">
        <x:v>Registered mechanism and correction before build</x:v>
      </x:c>
      <x:c r="D5" s="14" t="str">
        <x:v>Managerial waiver</x:v>
      </x:c>
      <x:c r="E5" s="14" t="str">
        <x:v>None</x:v>
      </x:c>
    </x:row>
    <x:row r="6" ht="15" hidden="0" customHeight="1">
      <x:c r="A6" s="14" t="str">
        <x:v>Success inheritance</x:v>
      </x:c>
      <x:c r="B6" s="14" t="str">
        <x:v>All results permanent</x:v>
      </x:c>
      <x:c r="C6" s="14" t="str">
        <x:v>Zero inherited release credit</x:v>
      </x:c>
      <x:c r="D6" s="14" t="str">
        <x:v>Carry forward passing events</x:v>
      </x:c>
      <x:c r="E6" s="14" t="str">
        <x:v>None</x:v>
      </x:c>
    </x:row>
    <x:row r="7" ht="15" hidden="0" customHeight="1">
      <x:c r="A7" s="14" t="str">
        <x:v>Events</x:v>
      </x:c>
      <x:c r="B7" s="14" t="str">
        <x:v>42 required</x:v>
      </x:c>
      <x:c r="C7" s="14" t="str">
        <x:v>42 newly valid and passing</x:v>
      </x:c>
      <x:c r="D7" s="14" t="str">
        <x:v>Test only changed event</x:v>
      </x:c>
      <x:c r="E7" s="14" t="str">
        <x:v>None</x:v>
      </x:c>
    </x:row>
    <x:row r="8" ht="15" hidden="0" customHeight="1">
      <x:c r="A8" s="14" t="str">
        <x:v>Packages</x:v>
      </x:c>
      <x:c r="B8" s="14" t="str">
        <x:v>159 required</x:v>
      </x:c>
      <x:c r="C8" s="14" t="str">
        <x:v>159 newly accepted</x:v>
      </x:c>
      <x:c r="D8" s="14" t="str">
        <x:v>Reuse package acceptance</x:v>
      </x:c>
      <x:c r="E8" s="14" t="str">
        <x:v>None</x:v>
      </x:c>
    </x:row>
    <x:row r="9" ht="15" hidden="0" customHeight="1">
      <x:c r="A9" s="14" t="str">
        <x:v>Ancestry</x:v>
      </x:c>
      <x:c r="B9" s="14" t="str">
        <x:v>12 unique</x:v>
      </x:c>
      <x:c r="C9" s="14" t="str">
        <x:v>Same decisive ancestry</x:v>
      </x:c>
      <x:c r="D9" s="14" t="str">
        <x:v>Borrow rival decisive chain</x:v>
      </x:c>
      <x:c r="E9" s="14" t="str">
        <x:v>Change returns as new root</x:v>
      </x:c>
    </x:row>
    <x:row r="10" ht="15" hidden="0" customHeight="1">
      <x:c r="A10" s="14" t="str">
        <x:v>Gates</x:v>
      </x:c>
      <x:c r="B10" s="14" t="str">
        <x:v>14 required</x:v>
      </x:c>
      <x:c r="C10" s="14" t="str">
        <x:v>14 newly passed</x:v>
      </x:c>
      <x:c r="D10" s="14" t="str">
        <x:v>Waive failed gate</x:v>
      </x:c>
      <x:c r="E10" s="14" t="str">
        <x:v>None</x:v>
      </x:c>
    </x:row>
    <x:row r="11" ht="15" hidden="0" customHeight="1">
      <x:c r="A11" s="14" t="str">
        <x:v>Money</x:v>
      </x:c>
      <x:c r="B11" s="14" t="str">
        <x:v>Unspent root authority</x:v>
      </x:c>
      <x:c r="C11" s="14" t="str">
        <x:v>Unspent root + separately released common reserve</x:v>
      </x:c>
      <x:c r="D11" s="14" t="str">
        <x:v>Borrow another live root</x:v>
      </x:c>
      <x:c r="E11" s="14" t="str">
        <x:v>Parent reallocates or root stays failed</x:v>
      </x:c>
    </x:row>
    <x:row r="12" ht="15" hidden="0" customHeight="1">
      <x:c r="A12" s="14" t="str">
        <x:v>Second adverse</x:v>
      </x:c>
      <x:c r="B12" s="14" t="str">
        <x:v>Successor may be constituted</x:v>
      </x:c>
      <x:c r="C12" s="14" t="str">
        <x:v>KILL</x:v>
      </x:c>
      <x:c r="D12" s="14" t="str">
        <x:v>Create CF3</x:v>
      </x:c>
      <x:c r="E12" s="14" t="str">
        <x:v>Root slot returns to Pass 175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39" hidden="0" customWidth="1"/>
    <x:col min="3" max="3" width="42" hidden="0" customWidth="1"/>
    <x:col min="4" max="4" width="42" hidden="0" customWidth="1"/>
    <x:col min="5" max="5" width="42" hidden="0" customWidth="1"/>
  </x:cols>
  <x:sheetData>
    <x:row r="1" ht="19.200000762939453" hidden="0" customHeight="1">
      <x:c r="A1" s="3" t="str">
        <x:v>Authority firewall</x:v>
      </x:c>
      <x:c r="B1" s="3"/>
      <x:c r="C1" s="3"/>
      <x:c r="D1" s="3"/>
      <x:c r="E1" s="3"/>
    </x:row>
    <x:row r="2" ht="15" hidden="0" customHeight="1">
      <x:c r="A2" s="6" t="str">
        <x:v>No person or subordinate organization signs more than one of validity, claim and reliance.</x:v>
      </x:c>
      <x:c r="B2" s="6"/>
      <x:c r="C2" s="6"/>
      <x:c r="D2" s="6"/>
      <x:c r="E2" s="6"/>
    </x:row>
    <x:row r="3"/>
    <x:row r="4" ht="15" hidden="0" customHeight="1">
      <x:c r="A4" s="19" t="str">
        <x:v>Decision</x:v>
      </x:c>
      <x:c r="B4" s="19" t="str">
        <x:v>Signing authority</x:v>
      </x:c>
      <x:c r="C4" s="19" t="str">
        <x:v>Operating root role</x:v>
      </x:c>
      <x:c r="D4" s="19" t="str">
        <x:v>May cure record?</x:v>
      </x:c>
      <x:c r="E4" s="19" t="str">
        <x:v>Escalation</x:v>
      </x:c>
    </x:row>
    <x:row r="5" ht="15" hidden="0" customHeight="1">
      <x:c r="A5" s="14" t="str">
        <x:v>Validity</x:v>
      </x:c>
      <x:c r="B5" s="14" t="str">
        <x:v>Test Integrity Authority</x:v>
      </x:c>
      <x:c r="C5" s="14" t="str">
        <x:v>Supplies frozen article and records</x:v>
      </x:c>
      <x:c r="D5" s="14" t="str">
        <x:v>No</x:v>
      </x:c>
      <x:c r="E5" s="14" t="str">
        <x:v>G3 Root Release Board</x:v>
      </x:c>
    </x:row>
    <x:row r="6" ht="15" hidden="0" customHeight="1">
      <x:c r="A6" s="14" t="str">
        <x:v>Safety and rights</x:v>
      </x:c>
      <x:c r="B6" s="14" t="str">
        <x:v>Civil Safety and Rights Authority</x:v>
      </x:c>
      <x:c r="C6" s="14" t="str">
        <x:v>Operates within envelope</x:v>
      </x:c>
      <x:c r="D6" s="14" t="str">
        <x:v>No</x:v>
      </x:c>
      <x:c r="E6" s="14" t="str">
        <x:v>Immediate terminal referral</x:v>
      </x:c>
    </x:row>
    <x:row r="7" ht="15" hidden="0" customHeight="1">
      <x:c r="A7" s="14" t="str">
        <x:v>Public service claim</x:v>
      </x:c>
      <x:c r="B7" s="14" t="str">
        <x:v>Route public-effect authority</x:v>
      </x:c>
      <x:c r="C7" s="14" t="str">
        <x:v>May submit claim</x:v>
      </x:c>
      <x:c r="D7" s="14" t="str">
        <x:v>No</x:v>
      </x:c>
      <x:c r="E7" s="14" t="str">
        <x:v>G3 Root Release Board</x:v>
      </x:c>
    </x:row>
    <x:row r="8" ht="15" hidden="0" customHeight="1">
      <x:c r="A8" s="14" t="str">
        <x:v>Causal reliance</x:v>
      </x:c>
      <x:c r="B8" s="14" t="str">
        <x:v>Sovereign Evidence Authority</x:v>
      </x:c>
      <x:c r="C8" s="14" t="str">
        <x:v>May challenge with public record</x:v>
      </x:c>
      <x:c r="D8" s="14" t="str">
        <x:v>No</x:v>
      </x:c>
      <x:c r="E8" s="14" t="str">
        <x:v>G3 Root Release Board</x:v>
      </x:c>
    </x:row>
    <x:row r="9" ht="15" hidden="0" customHeight="1">
      <x:c r="A9" s="14" t="str">
        <x:v>Outside replay</x:v>
      </x:c>
      <x:c r="B9" s="14" t="str">
        <x:v>Sovereign Evidence Authority</x:v>
      </x:c>
      <x:c r="C9" s="14" t="str">
        <x:v>No role in replay</x:v>
      </x:c>
      <x:c r="D9" s="14" t="str">
        <x:v>No</x:v>
      </x:c>
      <x:c r="E9" s="14" t="str">
        <x:v>G3 Root Release Board</x:v>
      </x:c>
    </x:row>
    <x:row r="10" ht="15" hidden="0" customHeight="1">
      <x:c r="A10" s="14" t="str">
        <x:v>Ancestry</x:v>
      </x:c>
      <x:c r="B10" s="14" t="str">
        <x:v>Manufacturing Independence Authority</x:v>
      </x:c>
      <x:c r="C10" s="14" t="str">
        <x:v>Declares suppliers and interfaces</x:v>
      </x:c>
      <x:c r="D10" s="14" t="str">
        <x:v>No</x:v>
      </x:c>
      <x:c r="E10" s="14" t="str">
        <x:v>Immediate terminal referral</x:v>
      </x:c>
    </x:row>
    <x:row r="11" ht="15" hidden="0" customHeight="1">
      <x:c r="A11" s="14" t="str">
        <x:v>Reset</x:v>
      </x:c>
      <x:c r="B11" s="14" t="str">
        <x:v>Regeneration Authority</x:v>
      </x:c>
      <x:c r="C11" s="14" t="str">
        <x:v>Executes reset</x:v>
      </x:c>
      <x:c r="D11" s="14" t="str">
        <x:v>No</x:v>
      </x:c>
      <x:c r="E11" s="14" t="str">
        <x:v>G3 Root Release Board</x:v>
      </x:c>
    </x:row>
    <x:row r="12" ht="15" hidden="0" customHeight="1">
      <x:c r="A12" s="14" t="str">
        <x:v>Fiscal acceptance</x:v>
      </x:c>
      <x:c r="B12" s="14" t="str">
        <x:v>Program Comptroller</x:v>
      </x:c>
      <x:c r="C12" s="14" t="str">
        <x:v>Invoices accepted work</x:v>
      </x:c>
      <x:c r="D12" s="14" t="str">
        <x:v>No</x:v>
      </x:c>
      <x:c r="E12" s="14" t="str">
        <x:v>Mission-account parent</x:v>
      </x:c>
    </x:row>
    <x:row r="13" ht="15" hidden="0" customHeight="1">
      <x:c r="A13" s="14" t="str">
        <x:v>Final disposition</x:v>
      </x:c>
      <x:c r="B13" s="14" t="str">
        <x:v>G3 Root Release Board</x:v>
      </x:c>
      <x:c r="C13" s="14" t="str">
        <x:v>No vote</x:v>
      </x:c>
      <x:c r="D13" s="14" t="str">
        <x:v>No</x:v>
      </x:c>
      <x:c r="E13" s="14" t="str">
        <x:v>Cascadia G4 only after 4 releases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35" hidden="0" customWidth="1"/>
    <x:col min="4" max="4" width="35" hidden="0" customWidth="1"/>
  </x:cols>
  <x:sheetData>
    <x:row r="1" ht="19.200000762939453" hidden="0" customHeight="1">
      <x:c r="A1" s="3" t="str">
        <x:v>Governed decision denominator</x:v>
      </x:c>
      <x:c r="B1" s="3"/>
      <x:c r="C1" s="3"/>
      <x:c r="D1" s="3"/>
    </x:row>
    <x:row r="2" ht="15" hidden="0" customHeight="1">
      <x:c r="A2" s="6" t="str">
        <x:v>Every count has a distinct legal effect; none is converted to a composite score.</x:v>
      </x:c>
      <x:c r="B2" s="6"/>
      <x:c r="C2" s="6"/>
      <x:c r="D2" s="6"/>
    </x:row>
    <x:row r="3"/>
    <x:row r="4" ht="15" hidden="0" customHeight="1">
      <x:c r="A4" s="19" t="str">
        <x:v>Decision class</x:v>
      </x:c>
      <x:c r="B4" s="19" t="str">
        <x:v>Count</x:v>
      </x:c>
      <x:c r="C4" s="19" t="str">
        <x:v>Calculation</x:v>
      </x:c>
      <x:c r="D4" s="19" t="str">
        <x:v>Consequence if missing</x:v>
      </x:c>
    </x:row>
    <x:row r="5" ht="15" hidden="0" customHeight="1">
      <x:c r="A5" s="14" t="str">
        <x:v>Event-axis judgments</x:v>
      </x:c>
      <x:c r="B5" s="20" t="n">
        <x:f>'Controls'!B5*'Controls'!B6*'Controls'!B7</x:f>
        <x:v>1008</x:v>
      </x:c>
      <x:c r="C5" s="14" t="str">
        <x:v>4 roots × 42 events × 6 axes</x:v>
      </x:c>
      <x:c r="D5" s="14" t="str">
        <x:v>HOLD</x:v>
      </x:c>
    </x:row>
    <x:row r="6" ht="15" hidden="0" customHeight="1">
      <x:c r="A6" s="14" t="str">
        <x:v>Package acceptances</x:v>
      </x:c>
      <x:c r="B6" s="20" t="n">
        <x:f>'Controls'!B5*'Controls'!B8</x:f>
        <x:v>636</x:v>
      </x:c>
      <x:c r="C6" s="14" t="str">
        <x:v>4 × 159</x:v>
      </x:c>
      <x:c r="D6" s="14" t="str">
        <x:v>HOLD</x:v>
      </x:c>
    </x:row>
    <x:row r="7" ht="15" hidden="0" customHeight="1">
      <x:c r="A7" s="14" t="str">
        <x:v>Ancestry decisions</x:v>
      </x:c>
      <x:c r="B7" s="20" t="n">
        <x:f>'Controls'!B5*'Controls'!B9</x:f>
        <x:v>48</x:v>
      </x:c>
      <x:c r="C7" s="14" t="str">
        <x:v>4 × 12</x:v>
      </x:c>
      <x:c r="D7" s="14" t="str">
        <x:v>HOLD or KILL if collision</x:v>
      </x:c>
    </x:row>
    <x:row r="8" ht="15" hidden="0" customHeight="1">
      <x:c r="A8" s="14" t="str">
        <x:v>Gate decisions</x:v>
      </x:c>
      <x:c r="B8" s="20" t="n">
        <x:f>'Controls'!B5*'Controls'!B10</x:f>
        <x:v>56</x:v>
      </x:c>
      <x:c r="C8" s="14" t="str">
        <x:v>4 × 14</x:v>
      </x:c>
      <x:c r="D8" s="14" t="str">
        <x:v>HOLD</x:v>
      </x:c>
    </x:row>
    <x:row r="9" ht="15" hidden="0" customHeight="1">
      <x:c r="A9" s="14" t="str">
        <x:v>Root dispositions</x:v>
      </x:c>
      <x:c r="B9" s="20" t="n">
        <x:f>'Controls'!B5</x:f>
        <x:v>4</x:v>
      </x:c>
      <x:c r="C9" s="14" t="str">
        <x:v>4</x:v>
      </x:c>
      <x:c r="D9" s="14" t="str">
        <x:v>No G3 release</x:v>
      </x:c>
    </x:row>
    <x:row r="10" ht="15" hidden="0" customHeight="1">
      <x:c r="A10" s="14" t="str">
        <x:v>Total governed decisions</x:v>
      </x:c>
      <x:c r="B10" s="20" t="n">
        <x:f>SUM(B5:B9)</x:f>
        <x:v>1752</x:v>
      </x:c>
      <x:c r="C10" s="14" t="str">
        <x:v>Sum above</x:v>
      </x:c>
      <x:c r="D10" s="14" t="str">
        <x:v>No G3 release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  <x:col min="10" max="10" width="18" hidden="0" customWidth="1"/>
    <x:col min="11" max="11" width="34" hidden="0" customWidth="1"/>
    <x:col min="12" max="12" width="34" hidden="0" customWidth="1"/>
  </x:cols>
  <x:sheetData>
    <x:row r="1" ht="19.200000762939453" hidden="0" customHeight="1">
      <x:c r="A1" s="3" t="str">
        <x:v>Program-class × release-stage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6" t="str">
        <x:v>Shares allocate the conserved USD 35.9765B boundary. They do not forecast actual outturn.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/>
    <x:row r="4" ht="15" hidden="0" customHeight="1">
      <x:c r="A4" s="19" t="str">
        <x:v>Program class</x:v>
      </x:c>
      <x:c r="B4" s="19" t="str">
        <x:v>Class share</x:v>
      </x:c>
      <x:c r="C4" s="19" t="str">
        <x:v>Baseline</x:v>
      </x:c>
      <x:c r="D4" s="19" t="str">
        <x:v>Ranges / tooling</x:v>
      </x:c>
      <x:c r="E4" s="19" t="str">
        <x:v>P1 / P2 build</x:v>
      </x:c>
      <x:c r="F4" s="19" t="str">
        <x:v>Cold R1 build</x:v>
      </x:c>
      <x:c r="G4" s="19" t="str">
        <x:v>Trials / replay</x:v>
      </x:c>
      <x:c r="H4" s="19" t="str">
        <x:v>Row share</x:v>
      </x:c>
      <x:c r="I4" s="19" t="str">
        <x:v>Program USD B</x:v>
      </x:c>
      <x:c r="J4" s="19" t="str">
        <x:v>Per-root USD B</x:v>
      </x:c>
      <x:c r="K4" s="19" t="str">
        <x:v>Evidence condition</x:v>
      </x:c>
      <x:c r="L4" s="19" t="str">
        <x:v>Failure disposition</x:v>
      </x:c>
    </x:row>
    <x:row r="5" ht="15" hidden="0" customHeight="1">
      <x:c r="A5" s="14" t="str">
        <x:v>Mechanisms</x:v>
      </x:c>
      <x:c r="B5" s="21" t="n">
        <x:v>0.4</x:v>
      </x:c>
      <x:c r="C5" s="21" t="n">
        <x:v>0.04</x:v>
      </x:c>
      <x:c r="D5" s="21" t="n">
        <x:v>0.08</x:v>
      </x:c>
      <x:c r="E5" s="21" t="n">
        <x:v>0.2</x:v>
      </x:c>
      <x:c r="F5" s="21" t="n">
        <x:v>0.05</x:v>
      </x:c>
      <x:c r="G5" s="21" t="n">
        <x:v>0.03</x:v>
      </x:c>
      <x:c r="H5" s="21" t="n">
        <x:f>SUM(C5:G5)</x:f>
        <x:v>0.4</x:v>
      </x:c>
      <x:c r="I5" s="27" t="n">
        <x:f>H5*'Controls'!B14</x:f>
        <x:v>14.390600000000001</x:v>
      </x:c>
      <x:c r="J5" s="27" t="n">
        <x:f>I5/'Controls'!B5</x:f>
        <x:v>3.5976500000000002</x:v>
      </x:c>
      <x:c r="K5" s="14" t="str">
        <x:v>Frozen mechanism families</x:v>
      </x:c>
      <x:c r="L5" s="14" t="str">
        <x:v>Unreleased return</x:v>
      </x:c>
    </x:row>
    <x:row r="6" ht="15" hidden="0" customHeight="1">
      <x:c r="A6" s="14" t="str">
        <x:v>Public ranges</x:v>
      </x:c>
      <x:c r="B6" s="21" t="n">
        <x:v>0.2</x:v>
      </x:c>
      <x:c r="C6" s="21" t="n">
        <x:v>0.01</x:v>
      </x:c>
      <x:c r="D6" s="21" t="n">
        <x:v>0.08</x:v>
      </x:c>
      <x:c r="E6" s="21" t="n">
        <x:v>0.04</x:v>
      </x:c>
      <x:c r="F6" s="21" t="n">
        <x:v>0.02</x:v>
      </x:c>
      <x:c r="G6" s="21" t="n">
        <x:v>0.05</x:v>
      </x:c>
      <x:c r="H6" s="21" t="n">
        <x:f>SUM(C6:G6)</x:f>
        <x:v>0.2</x:v>
      </x:c>
      <x:c r="I6" s="27" t="n">
        <x:f>H6*'Controls'!B14</x:f>
        <x:v>7.1953000000000005</x:v>
      </x:c>
      <x:c r="J6" s="27" t="n">
        <x:f>I6/'Controls'!B5</x:f>
        <x:v>1.7988250000000001</x:v>
      </x:c>
      <x:c r="K6" s="14" t="str">
        <x:v>Qualified route-specific range</x:v>
      </x:c>
      <x:c r="L6" s="14" t="str">
        <x:v>Restore only if range-caused</x:v>
      </x:c>
    </x:row>
    <x:row r="7" ht="15" hidden="0" customHeight="1">
      <x:c r="A7" s="14" t="str">
        <x:v>Root tooling</x:v>
      </x:c>
      <x:c r="B7" s="21" t="n">
        <x:v>0.2</x:v>
      </x:c>
      <x:c r="C7" s="21" t="n">
        <x:v>0.02</x:v>
      </x:c>
      <x:c r="D7" s="21" t="n">
        <x:v>0.08</x:v>
      </x:c>
      <x:c r="E7" s="21" t="n">
        <x:v>0.05</x:v>
      </x:c>
      <x:c r="F7" s="21" t="n">
        <x:v>0.04</x:v>
      </x:c>
      <x:c r="G7" s="21" t="n">
        <x:v>0.01</x:v>
      </x:c>
      <x:c r="H7" s="21" t="n">
        <x:f>SUM(C7:G7)</x:f>
        <x:v>0.20000000000000004</x:v>
      </x:c>
      <x:c r="I7" s="27" t="n">
        <x:f>H7*'Controls'!B14</x:f>
        <x:v>7.195300000000001</x:v>
      </x:c>
      <x:c r="J7" s="27" t="n">
        <x:f>I7/'Controls'!B5</x:f>
        <x:v>1.7988250000000003</x:v>
      </x:c>
      <x:c r="K7" s="14" t="str">
        <x:v>Source-bound tooling</x:v>
      </x:c>
      <x:c r="L7" s="14" t="str">
        <x:v>No winner transfer</x:v>
      </x:c>
    </x:row>
    <x:row r="8" ht="15" hidden="0" customHeight="1">
      <x:c r="A8" s="14" t="str">
        <x:v>Evidence estate</x:v>
      </x:c>
      <x:c r="B8" s="21" t="n">
        <x:v>0.15</x:v>
      </x:c>
      <x:c r="C8" s="21" t="n">
        <x:v>0.02</x:v>
      </x:c>
      <x:c r="D8" s="21" t="n">
        <x:v>0.03</x:v>
      </x:c>
      <x:c r="E8" s="21" t="n">
        <x:v>0.02</x:v>
      </x:c>
      <x:c r="F8" s="21" t="n">
        <x:v>0.02</x:v>
      </x:c>
      <x:c r="G8" s="21" t="n">
        <x:v>0.06</x:v>
      </x:c>
      <x:c r="H8" s="21" t="n">
        <x:f>SUM(C8:G8)</x:f>
        <x:v>0.15000000000000002</x:v>
      </x:c>
      <x:c r="I8" s="27" t="n">
        <x:f>H8*'Controls'!B14</x:f>
        <x:v>5.396475000000001</x:v>
      </x:c>
      <x:c r="J8" s="27" t="n">
        <x:f>I8/'Controls'!B5</x:f>
        <x:v>1.3491187500000001</x:v>
      </x:c>
      <x:c r="K8" s="14" t="str">
        <x:v>Independent planes and replay</x:v>
      </x:c>
      <x:c r="L8" s="14" t="str">
        <x:v>Pay accepted adverse evidence</x:v>
      </x:c>
    </x:row>
    <x:row r="9" ht="15" hidden="0" customHeight="1">
      <x:c r="A9" s="14" t="str">
        <x:v>Failure reserve</x:v>
      </x:c>
      <x:c r="B9" s="21" t="n">
        <x:v>0.05</x:v>
      </x:c>
      <x:c r="C9" s="21" t="n">
        <x:v>0</x:v>
      </x:c>
      <x:c r="D9" s="21" t="n">
        <x:v>0</x:v>
      </x:c>
      <x:c r="E9" s="21" t="n">
        <x:v>0</x:v>
      </x:c>
      <x:c r="F9" s="21" t="n">
        <x:v>0</x:v>
      </x:c>
      <x:c r="G9" s="21" t="n">
        <x:v>0.05</x:v>
      </x:c>
      <x:c r="H9" s="21" t="n">
        <x:f>SUM(C9:G9)</x:f>
        <x:v>0.05</x:v>
      </x:c>
      <x:c r="I9" s="27" t="n">
        <x:f>H9*'Controls'!B14</x:f>
        <x:v>1.7988250000000001</x:v>
      </x:c>
      <x:c r="J9" s="27" t="n">
        <x:f>I9/'Controls'!B5</x:f>
        <x:v>0.44970625000000003</x:v>
      </x:c>
      <x:c r="K9" s="14" t="str">
        <x:v>Exact invalid retry / teardown</x:v>
      </x:c>
      <x:c r="L9" s="14" t="str">
        <x:v>No valid-adverse retry</x:v>
      </x:c>
    </x:row>
    <x:row r="10" ht="15" hidden="0" customHeight="1">
      <x:c r="A10" s="14"/>
      <x:c r="B10" s="21"/>
      <x:c r="C10" s="21"/>
      <x:c r="D10" s="21"/>
      <x:c r="E10" s="21"/>
      <x:c r="F10" s="21"/>
      <x:c r="G10" s="21"/>
      <x:c r="H10" s="21"/>
      <x:c r="I10" s="27"/>
      <x:c r="J10" s="27"/>
      <x:c r="K10" s="14"/>
      <x:c r="L10" s="14"/>
    </x:row>
    <x:row r="11" ht="15" hidden="0" customHeight="1">
      <x:c r="A11" s="36" t="str">
        <x:v>Column total</x:v>
      </x:c>
      <x:c r="B11" s="37" t="n">
        <x:f>SUM(B5:B9)</x:f>
        <x:v>1</x:v>
      </x:c>
      <x:c r="C11" s="37" t="n">
        <x:f>SUM(C5:C9)</x:f>
        <x:v>0.09000000000000001</x:v>
      </x:c>
      <x:c r="D11" s="37" t="n">
        <x:f>SUM(D5:D9)</x:f>
        <x:v>0.27</x:v>
      </x:c>
      <x:c r="E11" s="37" t="n">
        <x:f>SUM(E5:E9)</x:f>
        <x:v>0.31000000000000005</x:v>
      </x:c>
      <x:c r="F11" s="37" t="n">
        <x:f>SUM(F5:F9)</x:f>
        <x:v>0.13</x:v>
      </x:c>
      <x:c r="G11" s="37" t="n">
        <x:f>SUM(G5:G9)</x:f>
        <x:v>0.2</x:v>
      </x:c>
      <x:c r="H11" s="37" t="n">
        <x:f>SUM(H5:H9)</x:f>
        <x:v>1.0000000000000002</x:v>
      </x:c>
      <x:c r="I11" s="38" t="n">
        <x:f>SUM(I5:I9)</x:f>
        <x:v>35.97650000000001</x:v>
      </x:c>
      <x:c r="J11" s="38" t="n">
        <x:f>SUM(J5:J9)</x:f>
        <x:v>8.994125000000002</x:v>
      </x:c>
      <x:c r="K11" s="36" t="str"/>
      <x:c r="L11" s="36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  <x:col min="7" max="7" width="42" hidden="0" customWidth="1"/>
    <x:col min="8" max="8" width="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19.200000762939453" hidden="0" customHeight="1">
      <x:c r="A1" s="3" t="str">
        <x:v>Stage-gated root exposure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6" t="str">
        <x:v>A stopped root returns all unexposed authority to the lifeline mission account.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/>
    <x:row r="4" ht="15" hidden="0" customHeight="1">
      <x:c r="A4" s="19" t="str">
        <x:v>Stage</x:v>
      </x:c>
      <x:c r="B4" s="19" t="str">
        <x:v>Stage share</x:v>
      </x:c>
      <x:c r="C4" s="19" t="str">
        <x:v>Cumulative share</x:v>
      </x:c>
      <x:c r="D4" s="19" t="str">
        <x:v>Root exposure USD B</x:v>
      </x:c>
      <x:c r="E4" s="19" t="str">
        <x:v>Returned USD B</x:v>
      </x:c>
      <x:c r="F4" s="19" t="str">
        <x:v>Release event</x:v>
      </x:c>
      <x:c r="G4" s="19" t="str">
        <x:v>Control</x:v>
      </x:c>
    </x:row>
    <x:row r="5" ht="15" hidden="0" customHeight="1">
      <x:c r="A5" s="14" t="str">
        <x:v>Baseline constitution</x:v>
      </x:c>
      <x:c r="B5" s="21" t="n">
        <x:v>0.09</x:v>
      </x:c>
      <x:c r="C5" s="21" t="n">
        <x:f>B5</x:f>
        <x:v>0.09</x:v>
      </x:c>
      <x:c r="D5" s="22" t="n">
        <x:f>C5*'Controls'!C19</x:f>
        <x:v>0.80947125</x:v>
      </x:c>
      <x:c r="E5" s="22" t="n">
        <x:f>'Controls'!C19-D5</x:f>
        <x:v>8.18465375</x:v>
      </x:c>
      <x:c r="F5" s="14" t="str">
        <x:v>Frozen baseline accepted</x:v>
      </x:c>
      <x:c r="G5" s="14" t="str">
        <x:v>No construction before baseline</x:v>
      </x:c>
    </x:row>
    <x:row r="6" ht="15" hidden="0" customHeight="1">
      <x:c r="A6" s="14" t="str">
        <x:v>Ranges and tooling</x:v>
      </x:c>
      <x:c r="B6" s="21" t="n">
        <x:v>0.27</x:v>
      </x:c>
      <x:c r="C6" s="21" t="n">
        <x:f>C5+B6</x:f>
        <x:v>0.36</x:v>
      </x:c>
      <x:c r="D6" s="22" t="n">
        <x:f>C6*'Controls'!C19</x:f>
        <x:v>3.237885</x:v>
      </x:c>
      <x:c r="E6" s="22" t="n">
        <x:f>'Controls'!C19-D6</x:f>
        <x:v>5.75624</x:v>
      </x:c>
      <x:c r="F6" s="14" t="str">
        <x:v>Range and source tooling qualified</x:v>
      </x:c>
      <x:c r="G6" s="14" t="str">
        <x:v>Independent range custody</x:v>
      </x:c>
    </x:row>
    <x:row r="7" ht="15" hidden="0" customHeight="1">
      <x:c r="A7" s="14" t="str">
        <x:v>P1/P2 construction</x:v>
      </x:c>
      <x:c r="B7" s="21" t="n">
        <x:v>0.31</x:v>
      </x:c>
      <x:c r="C7" s="21" t="n">
        <x:f>C6+B7</x:f>
        <x:v>0.6699999999999999</x:v>
      </x:c>
      <x:c r="D7" s="22" t="n">
        <x:f>C7*'Controls'!C19</x:f>
        <x:v>6.02606375</x:v>
      </x:c>
      <x:c r="E7" s="22" t="n">
        <x:f>'Controls'!C19-D7</x:f>
        <x:v>2.9680612500000008</x:v>
      </x:c>
      <x:c r="F7" s="14" t="str">
        <x:v>Paired articles accepted</x:v>
      </x:c>
      <x:c r="G7" s="14" t="str">
        <x:v>Challenge and control built together</x:v>
      </x:c>
    </x:row>
    <x:row r="8" ht="15" hidden="0" customHeight="1">
      <x:c r="A8" s="14" t="str">
        <x:v>Cold R1 construction</x:v>
      </x:c>
      <x:c r="B8" s="21" t="n">
        <x:v>0.13</x:v>
      </x:c>
      <x:c r="C8" s="21" t="n">
        <x:f>C7+B8</x:f>
        <x:v>0.7999999999999999</x:v>
      </x:c>
      <x:c r="D8" s="22" t="n">
        <x:f>C8*'Controls'!C19</x:f>
        <x:v>7.1953</x:v>
      </x:c>
      <x:c r="E8" s="22" t="n">
        <x:f>'Controls'!C19-D8</x:f>
        <x:v>1.7988250000000008</x:v>
      </x:c>
      <x:c r="F8" s="14" t="str">
        <x:v>Second-team article accepted</x:v>
      </x:c>
      <x:c r="G8" s="14" t="str">
        <x:v>No inherited workmanship</x:v>
      </x:c>
    </x:row>
    <x:row r="9" ht="15" hidden="0" customHeight="1">
      <x:c r="A9" s="14" t="str">
        <x:v>Trials and disposition</x:v>
      </x:c>
      <x:c r="B9" s="21" t="n">
        <x:v>0.2</x:v>
      </x:c>
      <x:c r="C9" s="21" t="n">
        <x:f>C8+B9</x:f>
        <x:v>1</x:v>
      </x:c>
      <x:c r="D9" s="22" t="n">
        <x:f>C9*'Controls'!C19</x:f>
        <x:v>8.994125</x:v>
      </x:c>
      <x:c r="E9" s="22" t="n">
        <x:f>'Controls'!C19-D9</x:f>
        <x:v>0</x:v>
      </x:c>
      <x:c r="F9" s="14" t="str">
        <x:v>Complete packet accepted</x:v>
      </x:c>
      <x:c r="G9" s="14" t="str">
        <x:v>Outcome cannot change payment rule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20c29a69e37f4208"/>
</x:worksheet>
</file>

<file path=xl/worksheets/sheet1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3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19.200000762939453" hidden="0" customHeight="1">
      <x:c r="A1" s="3" t="str">
        <x:v>Failure reserve control</x:v>
      </x:c>
      <x:c r="B1" s="3"/>
      <x:c r="C1" s="3"/>
      <x:c r="D1" s="3"/>
      <x:c r="E1" s="3"/>
      <x:c r="F1" s="3"/>
    </x:row>
    <x:row r="2" ht="15" hidden="0" customHeight="1">
      <x:c r="A2" s="6" t="str">
        <x:v>Reserve use preserves evidentiary integrity. It does not purchase a favorable result.</x:v>
      </x:c>
      <x:c r="B2" s="6"/>
      <x:c r="C2" s="6"/>
      <x:c r="D2" s="6"/>
      <x:c r="E2" s="6"/>
      <x:c r="F2" s="6"/>
    </x:row>
    <x:row r="3"/>
    <x:row r="4" ht="15" hidden="0" customHeight="1">
      <x:c r="A4" s="19" t="str">
        <x:v>Metric</x:v>
      </x:c>
      <x:c r="B4" s="19" t="str">
        <x:v>Value</x:v>
      </x:c>
      <x:c r="C4" s="19" t="str">
        <x:v>Interpretation</x:v>
      </x:c>
    </x:row>
    <x:row r="5" ht="15" hidden="0" customHeight="1">
      <x:c r="A5" s="14" t="str">
        <x:v>Program reserve</x:v>
      </x:c>
      <x:c r="B5" s="27" t="n">
        <x:f>'Controls'!C20</x:f>
        <x:v>1.7988250000000001</x:v>
      </x:c>
      <x:c r="C5" s="14" t="str">
        <x:v>5% of program boundary</x:v>
      </x:c>
    </x:row>
    <x:row r="6" ht="15" hidden="0" customHeight="1">
      <x:c r="A6" s="14" t="str">
        <x:v>Reserve per root</x:v>
      </x:c>
      <x:c r="B6" s="27" t="n">
        <x:f>'Controls'!C20/'Controls'!B5</x:f>
        <x:v>0.44970625000000003</x:v>
      </x:c>
      <x:c r="C6" s="14" t="str">
        <x:v>Equal ceiling; not entitlement</x:v>
      </x:c>
    </x:row>
    <x:row r="7" ht="15" hidden="0" customHeight="1">
      <x:c r="A7" s="14" t="str">
        <x:v>Reserve attempts per root</x:v>
      </x:c>
      <x:c r="B7" s="14" t="n">
        <x:f>'Controls'!B11</x:f>
        <x:v>9</x:v>
      </x:c>
      <x:c r="C7" s="14" t="str">
        <x:v>Nine exact invalid repetitions</x:v>
      </x:c>
    </x:row>
    <x:row r="8" ht="15" hidden="0" customHeight="1">
      <x:c r="A8" s="14" t="str">
        <x:v>Arithmetic ceiling per attempt</x:v>
      </x:c>
      <x:c r="B8" s="28" t="n">
        <x:f>'Controls'!C21</x:f>
        <x:v>0.049967361111111115</x:v>
      </x:c>
      <x:c r="C8" s="14" t="str">
        <x:v>Not a price; unused authority remains conserved</x:v>
      </x:c>
    </x:row>
    <x:row r="9"/>
    <x:row r="10"/>
    <x:row r="11" ht="15" hidden="0" customHeight="1">
      <x:c r="A11" s="19" t="str">
        <x:v>Use</x:v>
      </x:c>
      <x:c r="B11" s="19" t="str">
        <x:v>Allowed?</x:v>
      </x:c>
      <x:c r="C11" s="19" t="str">
        <x:v>Validity finding</x:v>
      </x:c>
      <x:c r="D11" s="19" t="str">
        <x:v>Evidence treatment</x:v>
      </x:c>
      <x:c r="E11" s="19" t="str">
        <x:v>Payment rule</x:v>
      </x:c>
      <x:c r="F11" s="19" t="str">
        <x:v>Disposition effect</x:v>
      </x:c>
    </x:row>
    <x:row r="12" ht="15" hidden="0" customHeight="1">
      <x:c r="A12" s="14" t="str">
        <x:v>Exact-event repeat</x:v>
      </x:c>
      <x:c r="B12" s="14" t="str">
        <x:v>YES</x:v>
      </x:c>
      <x:c r="C12" s="14" t="str">
        <x:v>Outside INVALID</x:v>
      </x:c>
      <x:c r="D12" s="14" t="str">
        <x:v>No denominator until valid</x:v>
      </x:c>
      <x:c r="E12" s="14" t="str">
        <x:v>Accepted repeat work</x:v>
      </x:c>
      <x:c r="F12" s="14" t="str">
        <x:v>None unless attempt 10</x:v>
      </x:c>
    </x:row>
    <x:row r="13" ht="15" hidden="0" customHeight="1">
      <x:c r="A13" s="14" t="str">
        <x:v>Safety teardown</x:v>
      </x:c>
      <x:c r="B13" s="14" t="str">
        <x:v>YES</x:v>
      </x:c>
      <x:c r="C13" s="14" t="str">
        <x:v>Safety authority directs</x:v>
      </x:c>
      <x:c r="D13" s="14" t="str">
        <x:v>Preserve originals</x:v>
      </x:c>
      <x:c r="E13" s="14" t="str">
        <x:v>Accepted teardown work</x:v>
      </x:c>
      <x:c r="F13" s="14" t="str">
        <x:v>May expose terminal cause</x:v>
      </x:c>
    </x:row>
    <x:row r="14" ht="15" hidden="0" customHeight="1">
      <x:c r="A14" s="14" t="str">
        <x:v>Range-caused restoration</x:v>
      </x:c>
      <x:c r="B14" s="14" t="str">
        <x:v>YES</x:v>
      </x:c>
      <x:c r="C14" s="14" t="str">
        <x:v>Outside INVALID</x:v>
      </x:c>
      <x:c r="D14" s="14" t="str">
        <x:v>Repeat exact event</x:v>
      </x:c>
      <x:c r="E14" s="14" t="str">
        <x:v>Accepted restoration</x:v>
      </x:c>
      <x:c r="F14" s="14" t="str">
        <x:v>None</x:v>
      </x:c>
    </x:row>
    <x:row r="15" ht="15" hidden="0" customHeight="1">
      <x:c r="A15" s="14" t="str">
        <x:v>Valid-adverse retry</x:v>
      </x:c>
      <x:c r="B15" s="14" t="str">
        <x:v>NO</x:v>
      </x:c>
      <x:c r="C15" s="14" t="str">
        <x:v>Valid</x:v>
      </x:c>
      <x:c r="D15" s="14" t="str">
        <x:v>Adverse remains</x:v>
      </x:c>
      <x:c r="E15" s="14" t="str">
        <x:v>Evidence tranche may be paid</x:v>
      </x:c>
      <x:c r="F15" s="14" t="str">
        <x:v>Successor or kill</x:v>
      </x:c>
    </x:row>
    <x:row r="16" ht="15" hidden="0" customHeight="1">
      <x:c r="A16" s="14" t="str">
        <x:v>Ordinary overrun</x:v>
      </x:c>
      <x:c r="B16" s="14" t="str">
        <x:v>NO</x:v>
      </x:c>
      <x:c r="C16" s="14" t="str">
        <x:v>Not applicable</x:v>
      </x:c>
      <x:c r="D16" s="14" t="str">
        <x:v>No effect</x:v>
      </x:c>
      <x:c r="E16" s="14" t="str">
        <x:v>Root authority only</x:v>
      </x:c>
      <x:c r="F16" s="14" t="str">
        <x:v>HOLD if incomplete</x:v>
      </x:c>
    </x:row>
    <x:row r="17" ht="15" hidden="0" customHeight="1">
      <x:c r="A17" s="14" t="str">
        <x:v>Winner subsidy / convergence</x:v>
      </x:c>
      <x:c r="B17" s="14" t="str">
        <x:v>NO</x:v>
      </x:c>
      <x:c r="C17" s="14" t="str">
        <x:v>Not applicable</x:v>
      </x:c>
      <x:c r="D17" s="14" t="str">
        <x:v>Independence threatened</x:v>
      </x:c>
      <x:c r="E17" s="14" t="str">
        <x:v>Unreleased return</x:v>
      </x:c>
      <x:c r="F17" s="14" t="str">
        <x:v>Convergence kills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5" hidden="0" customWidth="1"/>
    <x:col min="2" max="2" width="14" hidden="0" customWidth="1"/>
    <x:col min="3" max="3" width="39" hidden="0" customWidth="1"/>
    <x:col min="4" max="4" width="39" hidden="0" customWidth="1"/>
    <x:col min="5" max="5" width="39" hidden="0" customWidth="1"/>
  </x:cols>
  <x:sheetData>
    <x:row r="1" ht="19.200000762939453" hidden="0" customHeight="1">
      <x:c r="A1" s="3" t="str">
        <x:v>Evidence and disposition clock</x:v>
      </x:c>
      <x:c r="B1" s="3"/>
      <x:c r="C1" s="3"/>
      <x:c r="D1" s="3"/>
      <x:c r="E1" s="3"/>
    </x:row>
    <x:row r="2" ht="15" hidden="0" customHeight="1">
      <x:c r="A2" s="6" t="str">
        <x:v>The 90-day board clock begins only when the packet is complete.</x:v>
      </x:c>
      <x:c r="B2" s="6"/>
      <x:c r="C2" s="6"/>
      <x:c r="D2" s="6"/>
      <x:c r="E2" s="6"/>
    </x:row>
    <x:row r="3"/>
    <x:row r="4" ht="15" hidden="0" customHeight="1">
      <x:c r="A4" s="19" t="str">
        <x:v>Milestone</x:v>
      </x:c>
      <x:c r="B4" s="19" t="str">
        <x:v>Deadline</x:v>
      </x:c>
      <x:c r="C4" s="19" t="str">
        <x:v>Clock origin</x:v>
      </x:c>
      <x:c r="D4" s="19" t="str">
        <x:v>Signer</x:v>
      </x:c>
      <x:c r="E4" s="19" t="str">
        <x:v>Missed deadline</x:v>
      </x:c>
    </x:row>
    <x:row r="5" ht="15" hidden="0" customHeight="1">
      <x:c r="A5" s="14" t="str">
        <x:v>Originals in independent custody</x:v>
      </x:c>
      <x:c r="B5" s="14" t="n">
        <x:v>72</x:v>
      </x:c>
      <x:c r="C5" s="14" t="str">
        <x:v>Event close (hours)</x:v>
      </x:c>
      <x:c r="D5" s="14" t="str">
        <x:v>Test Integrity Authority</x:v>
      </x:c>
      <x:c r="E5" s="14" t="str">
        <x:v>Validity may become INVALID</x:v>
      </x:c>
    </x:row>
    <x:row r="6" ht="15" hidden="0" customHeight="1">
      <x:c r="A6" s="14" t="str">
        <x:v>Validity closes</x:v>
      </x:c>
      <x:c r="B6" s="14" t="n">
        <x:v>7</x:v>
      </x:c>
      <x:c r="C6" s="14" t="str">
        <x:v>Event close (days)</x:v>
      </x:c>
      <x:c r="D6" s="14" t="str">
        <x:v>Test Integrity Authority</x:v>
      </x:c>
      <x:c r="E6" s="14" t="str">
        <x:v>HOLD; investigate integrity</x:v>
      </x:c>
    </x:row>
    <x:row r="7" ht="15" hidden="0" customHeight="1">
      <x:c r="A7" s="14" t="str">
        <x:v>Service claim closes</x:v>
      </x:c>
      <x:c r="B7" s="14" t="n">
        <x:v>21</x:v>
      </x:c>
      <x:c r="C7" s="14" t="str">
        <x:v>Event close (days)</x:v>
      </x:c>
      <x:c r="D7" s="14" t="str">
        <x:v>Public-effect authority</x:v>
      </x:c>
      <x:c r="E7" s="14" t="str">
        <x:v>HOLD</x:v>
      </x:c>
    </x:row>
    <x:row r="8" ht="15" hidden="0" customHeight="1">
      <x:c r="A8" s="14" t="str">
        <x:v>Causal reliance / replay closes</x:v>
      </x:c>
      <x:c r="B8" s="14" t="n">
        <x:v>45</x:v>
      </x:c>
      <x:c r="C8" s="14" t="str">
        <x:v>Event close (days)</x:v>
      </x:c>
      <x:c r="D8" s="14" t="str">
        <x:v>Sovereign Evidence Authority</x:v>
      </x:c>
      <x:c r="E8" s="14" t="str">
        <x:v>HOLD</x:v>
      </x:c>
    </x:row>
    <x:row r="9" ht="15" hidden="0" customHeight="1">
      <x:c r="A9" s="14" t="str">
        <x:v>Draft disposition</x:v>
      </x:c>
      <x:c r="B9" s="14" t="n">
        <x:v>60</x:v>
      </x:c>
      <x:c r="C9" s="14" t="str">
        <x:v>Complete evidence sequence (days)</x:v>
      </x:c>
      <x:c r="D9" s="14" t="str">
        <x:v>G3 staff</x:v>
      </x:c>
      <x:c r="E9" s="14" t="str">
        <x:v>HOLD</x:v>
      </x:c>
    </x:row>
    <x:row r="10" ht="15" hidden="0" customHeight="1">
      <x:c r="A10" s="14" t="str">
        <x:v>Final disposition</x:v>
      </x:c>
      <x:c r="B10" s="14" t="n">
        <x:v>90</x:v>
      </x:c>
      <x:c r="C10" s="14" t="str">
        <x:v>Complete packet (days)</x:v>
      </x:c>
      <x:c r="D10" s="14" t="str">
        <x:v>G3 Root Release Board</x:v>
      </x:c>
      <x:c r="E10" s="14" t="str">
        <x:v>HOLD; no deemed approval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C9A22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19.200000762939453" hidden="0" customHeight="1">
      <x:c r="A1" s="3" t="str">
        <x:v>Four-root G3 release</x:v>
      </x:c>
      <x:c r="B1" s="3"/>
      <x:c r="C1" s="3"/>
      <x:c r="D1" s="3"/>
      <x:c r="E1" s="3"/>
      <x:c r="F1" s="3"/>
    </x:row>
    <x:row r="2" ht="15" hidden="0" customHeight="1">
      <x:c r="A2" s="6" t="str">
        <x:v>Cascadia G4 remains blocked until every frozen root has an affirmative RELEASE disposition.</x:v>
      </x:c>
      <x:c r="B2" s="6"/>
      <x:c r="C2" s="6"/>
      <x:c r="D2" s="6"/>
      <x:c r="E2" s="6"/>
      <x:c r="F2" s="6"/>
    </x:row>
    <x:row r="3"/>
    <x:row r="4" ht="15" hidden="0" customHeight="1">
      <x:c r="A4" s="19" t="str">
        <x:v>Root</x:v>
      </x:c>
      <x:c r="B4" s="19" t="str">
        <x:v>Disposition</x:v>
      </x:c>
      <x:c r="C4" s="19" t="str">
        <x:v>Released?</x:v>
      </x:c>
      <x:c r="D4" s="19" t="str">
        <x:v>Successor used?</x:v>
      </x:c>
      <x:c r="E4" s="19" t="str">
        <x:v>Terminal?</x:v>
      </x:c>
      <x:c r="F4" s="19" t="str">
        <x:v>G4 contribution</x:v>
      </x:c>
    </x:row>
    <x:row r="5" ht="15" hidden="0" customHeight="1">
      <x:c r="A5" s="14" t="str">
        <x:v>A</x:v>
      </x:c>
      <x:c r="B5" s="14" t="str">
        <x:f>'Root Ledger'!N5</x:f>
        <x:v>HOLD</x:v>
      </x:c>
      <x:c r="C5" s="14" t="str">
        <x:f>IF(B5="RELEASE","YES","NO")</x:f>
        <x:v>NO</x:v>
      </x:c>
      <x:c r="D5" s="14" t="str">
        <x:f>IF('Root Ledger'!L5=1,"YES","NO")</x:f>
        <x:v>NO</x:v>
      </x:c>
      <x:c r="E5" s="14" t="str">
        <x:f>IF(OR('Root Ledger'!J5&gt;0,'Root Ledger'!M5&gt;0),"YES","NO")</x:f>
        <x:v>NO</x:v>
      </x:c>
      <x:c r="F5" s="14" t="str">
        <x:f>IF(B5="RELEASE","1 of 4","BLOCKED")</x:f>
        <x:v>BLOCKED</x:v>
      </x:c>
    </x:row>
    <x:row r="6" ht="15" hidden="0" customHeight="1">
      <x:c r="A6" s="14" t="str">
        <x:v>B</x:v>
      </x:c>
      <x:c r="B6" s="14" t="str">
        <x:f>'Root Ledger'!N6</x:f>
        <x:v>HOLD</x:v>
      </x:c>
      <x:c r="C6" s="14" t="str">
        <x:f>IF(B6="RELEASE","YES","NO")</x:f>
        <x:v>NO</x:v>
      </x:c>
      <x:c r="D6" s="14" t="str">
        <x:f>IF('Root Ledger'!L6=1,"YES","NO")</x:f>
        <x:v>NO</x:v>
      </x:c>
      <x:c r="E6" s="14" t="str">
        <x:f>IF(OR('Root Ledger'!J6&gt;0,'Root Ledger'!M6&gt;0),"YES","NO")</x:f>
        <x:v>NO</x:v>
      </x:c>
      <x:c r="F6" s="14" t="str">
        <x:f>IF(B6="RELEASE","1 of 4","BLOCKED")</x:f>
        <x:v>BLOCKED</x:v>
      </x:c>
    </x:row>
    <x:row r="7" ht="15" hidden="0" customHeight="1">
      <x:c r="A7" s="14" t="str">
        <x:v>C</x:v>
      </x:c>
      <x:c r="B7" s="14" t="str">
        <x:f>'Root Ledger'!N7</x:f>
        <x:v>HOLD</x:v>
      </x:c>
      <x:c r="C7" s="14" t="str">
        <x:f>IF(B7="RELEASE","YES","NO")</x:f>
        <x:v>NO</x:v>
      </x:c>
      <x:c r="D7" s="14" t="str">
        <x:f>IF('Root Ledger'!L7=1,"YES","NO")</x:f>
        <x:v>NO</x:v>
      </x:c>
      <x:c r="E7" s="14" t="str">
        <x:f>IF(OR('Root Ledger'!J7&gt;0,'Root Ledger'!M7&gt;0),"YES","NO")</x:f>
        <x:v>NO</x:v>
      </x:c>
      <x:c r="F7" s="14" t="str">
        <x:f>IF(B7="RELEASE","1 of 4","BLOCKED")</x:f>
        <x:v>BLOCKED</x:v>
      </x:c>
    </x:row>
    <x:row r="8" ht="15" hidden="0" customHeight="1">
      <x:c r="A8" s="14" t="str">
        <x:v>D</x:v>
      </x:c>
      <x:c r="B8" s="14" t="str">
        <x:f>'Root Ledger'!N8</x:f>
        <x:v>HOLD</x:v>
      </x:c>
      <x:c r="C8" s="14" t="str">
        <x:f>IF(B8="RELEASE","YES","NO")</x:f>
        <x:v>NO</x:v>
      </x:c>
      <x:c r="D8" s="14" t="str">
        <x:f>IF('Root Ledger'!L8=1,"YES","NO")</x:f>
        <x:v>NO</x:v>
      </x:c>
      <x:c r="E8" s="14" t="str">
        <x:f>IF(OR('Root Ledger'!J8&gt;0,'Root Ledger'!M8&gt;0),"YES","NO")</x:f>
        <x:v>NO</x:v>
      </x:c>
      <x:c r="F8" s="14" t="str">
        <x:f>IF(B8="RELEASE","1 of 4","BLOCKED")</x:f>
        <x:v>BLOCKED</x:v>
      </x:c>
    </x:row>
    <x:row r="9" ht="15" hidden="0" customHeight="1">
      <x:c r="A9" s="36" t="str">
        <x:v>Program</x:v>
      </x:c>
      <x:c r="B9" s="36" t="str">
        <x:f>IF(COUNTIFS(B5:B8,"RELEASE")=4,"ELIGIBLE FOR CASCADIA G4","G3 NOT RELEASED")</x:f>
        <x:v>G3 NOT RELEASED</x:v>
      </x:c>
      <x:c r="C9" s="36" t="n">
        <x:f>COUNTIFS(B5:B8,"RELEASE")</x:f>
        <x:v>0</x:v>
      </x:c>
      <x:c r="D9" s="36" t="str">
        <x:v>4 required</x:v>
      </x:c>
      <x:c r="E9" s="36" t="str">
        <x:v>No 3-of-4 rule</x:v>
      </x:c>
      <x:c r="F9" s="36" t="str">
        <x:v>No force credit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7" hidden="0" customWidth="1"/>
    <x:col min="3" max="3" width="27" hidden="0" customWidth="1"/>
    <x:col min="4" max="4" width="13" hidden="0" customWidth="1"/>
  </x:cols>
  <x:sheetData>
    <x:row r="1" ht="19.200000762939453" hidden="0" customHeight="1">
      <x:c r="A1" s="3" t="str">
        <x:v>Terminal model audits</x:v>
      </x:c>
      <x:c r="B1" s="3"/>
      <x:c r="C1" s="3"/>
      <x:c r="D1" s="3"/>
    </x:row>
    <x:row r="2" ht="15" hidden="0" customHeight="1">
      <x:c r="A2" s="6" t="str">
        <x:v>These checks observe the model. No decision or output depends on this sheet.</x:v>
      </x:c>
      <x:c r="B2" s="6"/>
      <x:c r="C2" s="6"/>
      <x:c r="D2" s="6"/>
    </x:row>
    <x:row r="3"/>
    <x:row r="4" ht="15" hidden="0" customHeight="1">
      <x:c r="A4" s="19" t="str">
        <x:v>Audit</x:v>
      </x:c>
      <x:c r="B4" s="19" t="str">
        <x:v>Observed</x:v>
      </x:c>
      <x:c r="C4" s="19" t="str">
        <x:v>Expected</x:v>
      </x:c>
      <x:c r="D4" s="19" t="str">
        <x:v>Result</x:v>
      </x:c>
    </x:row>
    <x:row r="5" ht="15" hidden="0" customHeight="1">
      <x:c r="A5" s="14" t="str">
        <x:v>Case tests pass</x:v>
      </x:c>
      <x:c r="B5" s="14" t="n">
        <x:f>COUNTIFS('Case Tests'!P5:P13,"PASS")</x:f>
        <x:v>9</x:v>
      </x:c>
      <x:c r="C5" s="14" t="n">
        <x:v>9</x:v>
      </x:c>
      <x:c r="D5" s="30" t="str">
        <x:f>IF(B5=C5,"PASS","FAIL")</x:f>
        <x:v>PASS</x:v>
      </x:c>
    </x:row>
    <x:row r="6" ht="15" hidden="0" customHeight="1">
      <x:c r="A6" s="14" t="str">
        <x:v>All roots begin HOLD</x:v>
      </x:c>
      <x:c r="B6" s="14" t="n">
        <x:f>COUNTIFS('Root Ledger'!N5:N8,"HOLD")</x:f>
        <x:v>4</x:v>
      </x:c>
      <x:c r="C6" s="14" t="n">
        <x:v>4</x:v>
      </x:c>
      <x:c r="D6" s="30" t="str">
        <x:f>IF(B6=C6,"PASS","FAIL")</x:f>
        <x:v>PASS</x:v>
      </x:c>
    </x:row>
    <x:row r="7" ht="15" hidden="0" customHeight="1">
      <x:c r="A7" s="14" t="str">
        <x:v>G4 initially blocked</x:v>
      </x:c>
      <x:c r="B7" s="14" t="str">
        <x:f>'G3 Release'!B9</x:f>
        <x:v>G3 NOT RELEASED</x:v>
      </x:c>
      <x:c r="C7" s="14" t="str">
        <x:v>G3 NOT RELEASED</x:v>
      </x:c>
      <x:c r="D7" s="30" t="str">
        <x:f>IF(B7=C7,"PASS","FAIL")</x:f>
        <x:v>PASS</x:v>
      </x:c>
    </x:row>
    <x:row r="8" ht="15" hidden="0" customHeight="1">
      <x:c r="A8" s="14" t="str">
        <x:v>Root count</x:v>
      </x:c>
      <x:c r="B8" s="14" t="n">
        <x:f>'Controls'!B5</x:f>
        <x:v>4</x:v>
      </x:c>
      <x:c r="C8" s="14" t="n">
        <x:v>4</x:v>
      </x:c>
      <x:c r="D8" s="30" t="str">
        <x:f>IF(B8=C8,"PASS","FAIL")</x:f>
        <x:v>PASS</x:v>
      </x:c>
    </x:row>
    <x:row r="9" ht="15" hidden="0" customHeight="1">
      <x:c r="A9" s="14" t="str">
        <x:v>Event count / root</x:v>
      </x:c>
      <x:c r="B9" s="14" t="n">
        <x:f>'Controls'!B6</x:f>
        <x:v>42</x:v>
      </x:c>
      <x:c r="C9" s="14" t="n">
        <x:v>42</x:v>
      </x:c>
      <x:c r="D9" s="30" t="str">
        <x:f>IF(B9=C9,"PASS","FAIL")</x:f>
        <x:v>PASS</x:v>
      </x:c>
    </x:row>
    <x:row r="10" ht="15" hidden="0" customHeight="1">
      <x:c r="A10" s="14" t="str">
        <x:v>Axes / event</x:v>
      </x:c>
      <x:c r="B10" s="14" t="n">
        <x:f>'Controls'!B7</x:f>
        <x:v>6</x:v>
      </x:c>
      <x:c r="C10" s="14" t="n">
        <x:v>6</x:v>
      </x:c>
      <x:c r="D10" s="30" t="str">
        <x:f>IF(B10=C10,"PASS","FAIL")</x:f>
        <x:v>PASS</x:v>
      </x:c>
    </x:row>
    <x:row r="11" ht="15" hidden="0" customHeight="1">
      <x:c r="A11" s="14" t="str">
        <x:v>Packages / root</x:v>
      </x:c>
      <x:c r="B11" s="14" t="n">
        <x:f>'Controls'!B8</x:f>
        <x:v>159</x:v>
      </x:c>
      <x:c r="C11" s="14" t="n">
        <x:v>159</x:v>
      </x:c>
      <x:c r="D11" s="30" t="str">
        <x:f>IF(B11=C11,"PASS","FAIL")</x:f>
        <x:v>PASS</x:v>
      </x:c>
    </x:row>
    <x:row r="12" ht="15" hidden="0" customHeight="1">
      <x:c r="A12" s="14" t="str">
        <x:v>Ancestry / root</x:v>
      </x:c>
      <x:c r="B12" s="14" t="n">
        <x:f>'Controls'!B9</x:f>
        <x:v>12</x:v>
      </x:c>
      <x:c r="C12" s="14" t="n">
        <x:v>12</x:v>
      </x:c>
      <x:c r="D12" s="30" t="str">
        <x:f>IF(B12=C12,"PASS","FAIL")</x:f>
        <x:v>PASS</x:v>
      </x:c>
    </x:row>
    <x:row r="13" ht="15" hidden="0" customHeight="1">
      <x:c r="A13" s="14" t="str">
        <x:v>Gates / root</x:v>
      </x:c>
      <x:c r="B13" s="14" t="n">
        <x:f>'Controls'!B10</x:f>
        <x:v>14</x:v>
      </x:c>
      <x:c r="C13" s="14" t="n">
        <x:v>14</x:v>
      </x:c>
      <x:c r="D13" s="30" t="str">
        <x:f>IF(B13=C13,"PASS","FAIL")</x:f>
        <x:v>PASS</x:v>
      </x:c>
    </x:row>
    <x:row r="14" ht="15" hidden="0" customHeight="1">
      <x:c r="A14" s="14" t="str">
        <x:v>Invalid reserve / root</x:v>
      </x:c>
      <x:c r="B14" s="14" t="n">
        <x:f>'Controls'!B11</x:f>
        <x:v>9</x:v>
      </x:c>
      <x:c r="C14" s="14" t="n">
        <x:v>9</x:v>
      </x:c>
      <x:c r="D14" s="30" t="str">
        <x:f>IF(B14=C14,"PASS","FAIL")</x:f>
        <x:v>PASS</x:v>
      </x:c>
    </x:row>
    <x:row r="15" ht="15" hidden="0" customHeight="1">
      <x:c r="A15" s="14" t="str">
        <x:v>Successor ceiling / root</x:v>
      </x:c>
      <x:c r="B15" s="14" t="n">
        <x:f>'Controls'!B12</x:f>
        <x:v>1</x:v>
      </x:c>
      <x:c r="C15" s="14" t="n">
        <x:v>1</x:v>
      </x:c>
      <x:c r="D15" s="30" t="str">
        <x:f>IF(B15=C15,"PASS","FAIL")</x:f>
        <x:v>PASS</x:v>
      </x:c>
    </x:row>
    <x:row r="16" ht="15" hidden="0" customHeight="1">
      <x:c r="A16" s="14" t="str">
        <x:v>Reset ceiling</x:v>
      </x:c>
      <x:c r="B16" s="14" t="n">
        <x:f>'Controls'!B13</x:f>
        <x:v>720</x:v>
      </x:c>
      <x:c r="C16" s="14" t="n">
        <x:v>720</x:v>
      </x:c>
      <x:c r="D16" s="30" t="str">
        <x:f>IF(B16=C16,"PASS","FAIL")</x:f>
        <x:v>PASS</x:v>
      </x:c>
    </x:row>
    <x:row r="17" ht="15" hidden="0" customHeight="1">
      <x:c r="A17" s="14" t="str">
        <x:v>Event judgments</x:v>
      </x:c>
      <x:c r="B17" s="14" t="n">
        <x:f>'Decision Counts'!B5</x:f>
        <x:v>1008</x:v>
      </x:c>
      <x:c r="C17" s="14" t="n">
        <x:v>1008</x:v>
      </x:c>
      <x:c r="D17" s="30" t="str">
        <x:f>IF(B17=C17,"PASS","FAIL")</x:f>
        <x:v>PASS</x:v>
      </x:c>
    </x:row>
    <x:row r="18" ht="15" hidden="0" customHeight="1">
      <x:c r="A18" s="14" t="str">
        <x:v>Package decisions</x:v>
      </x:c>
      <x:c r="B18" s="14" t="n">
        <x:f>'Decision Counts'!B6</x:f>
        <x:v>636</x:v>
      </x:c>
      <x:c r="C18" s="14" t="n">
        <x:v>636</x:v>
      </x:c>
      <x:c r="D18" s="30" t="str">
        <x:f>IF(B18=C18,"PASS","FAIL")</x:f>
        <x:v>PASS</x:v>
      </x:c>
    </x:row>
    <x:row r="19" ht="15" hidden="0" customHeight="1">
      <x:c r="A19" s="14" t="str">
        <x:v>Ancestry decisions</x:v>
      </x:c>
      <x:c r="B19" s="14" t="n">
        <x:f>'Decision Counts'!B7</x:f>
        <x:v>48</x:v>
      </x:c>
      <x:c r="C19" s="14" t="n">
        <x:v>48</x:v>
      </x:c>
      <x:c r="D19" s="30" t="str">
        <x:f>IF(B19=C19,"PASS","FAIL")</x:f>
        <x:v>PASS</x:v>
      </x:c>
    </x:row>
    <x:row r="20" ht="15" hidden="0" customHeight="1">
      <x:c r="A20" s="14" t="str">
        <x:v>Gate decisions</x:v>
      </x:c>
      <x:c r="B20" s="14" t="n">
        <x:f>'Decision Counts'!B8</x:f>
        <x:v>56</x:v>
      </x:c>
      <x:c r="C20" s="14" t="n">
        <x:v>56</x:v>
      </x:c>
      <x:c r="D20" s="30" t="str">
        <x:f>IF(B20=C20,"PASS","FAIL")</x:f>
        <x:v>PASS</x:v>
      </x:c>
    </x:row>
    <x:row r="21" ht="15" hidden="0" customHeight="1">
      <x:c r="A21" s="14" t="str">
        <x:v>Root dispositions</x:v>
      </x:c>
      <x:c r="B21" s="14" t="n">
        <x:f>'Decision Counts'!B9</x:f>
        <x:v>4</x:v>
      </x:c>
      <x:c r="C21" s="14" t="n">
        <x:v>4</x:v>
      </x:c>
      <x:c r="D21" s="30" t="str">
        <x:f>IF(B21=C21,"PASS","FAIL")</x:f>
        <x:v>PASS</x:v>
      </x:c>
    </x:row>
    <x:row r="22" ht="15" hidden="0" customHeight="1">
      <x:c r="A22" s="14" t="str">
        <x:v>Governed decisions</x:v>
      </x:c>
      <x:c r="B22" s="14" t="n">
        <x:f>'Decision Counts'!B10</x:f>
        <x:v>1752</x:v>
      </x:c>
      <x:c r="C22" s="14" t="n">
        <x:v>1752</x:v>
      </x:c>
      <x:c r="D22" s="30" t="str">
        <x:f>IF(B22=C22,"PASS","FAIL")</x:f>
        <x:v>PASS</x:v>
      </x:c>
    </x:row>
    <x:row r="23" ht="15" hidden="0" customHeight="1">
      <x:c r="A23" s="14" t="str">
        <x:v>Program share total</x:v>
      </x:c>
      <x:c r="B23" s="14" t="n">
        <x:f>'Budget Matrix'!B11</x:f>
        <x:v>1</x:v>
      </x:c>
      <x:c r="C23" s="14" t="n">
        <x:v>1</x:v>
      </x:c>
      <x:c r="D23" s="30" t="str">
        <x:f>IF(B23=C23,"PASS","FAIL")</x:f>
        <x:v>PASS</x:v>
      </x:c>
    </x:row>
    <x:row r="24" ht="15" hidden="0" customHeight="1">
      <x:c r="A24" s="14" t="str">
        <x:v>Matrix row total</x:v>
      </x:c>
      <x:c r="B24" s="14" t="n">
        <x:f>'Budget Matrix'!H11</x:f>
        <x:v>1.0000000000000002</x:v>
      </x:c>
      <x:c r="C24" s="14" t="n">
        <x:v>1</x:v>
      </x:c>
      <x:c r="D24" s="30" t="str">
        <x:f>IF(B24=C24,"PASS","FAIL")</x:f>
        <x:v>PASS</x:v>
      </x:c>
    </x:row>
    <x:row r="25" ht="15" hidden="0" customHeight="1">
      <x:c r="A25" s="14" t="str">
        <x:v>Baseline stage share</x:v>
      </x:c>
      <x:c r="B25" s="14" t="n">
        <x:f>'Stage Exposure'!B5</x:f>
        <x:v>0.09</x:v>
      </x:c>
      <x:c r="C25" s="14" t="n">
        <x:v>0.09</x:v>
      </x:c>
      <x:c r="D25" s="30" t="str">
        <x:f>IF(B25=C25,"PASS","FAIL")</x:f>
        <x:v>PASS</x:v>
      </x:c>
    </x:row>
    <x:row r="26" ht="15" hidden="0" customHeight="1">
      <x:c r="A26" s="14" t="str">
        <x:v>Ranges stage share</x:v>
      </x:c>
      <x:c r="B26" s="14" t="n">
        <x:f>'Stage Exposure'!B6</x:f>
        <x:v>0.27</x:v>
      </x:c>
      <x:c r="C26" s="14" t="n">
        <x:v>0.27</x:v>
      </x:c>
      <x:c r="D26" s="30" t="str">
        <x:f>IF(B26=C26,"PASS","FAIL")</x:f>
        <x:v>PASS</x:v>
      </x:c>
    </x:row>
    <x:row r="27" ht="15" hidden="0" customHeight="1">
      <x:c r="A27" s="14" t="str">
        <x:v>P1/P2 stage share</x:v>
      </x:c>
      <x:c r="B27" s="14" t="n">
        <x:f>'Stage Exposure'!B7</x:f>
        <x:v>0.31</x:v>
      </x:c>
      <x:c r="C27" s="14" t="n">
        <x:v>0.31</x:v>
      </x:c>
      <x:c r="D27" s="30" t="str">
        <x:f>IF(B27=C27,"PASS","FAIL")</x:f>
        <x:v>PASS</x:v>
      </x:c>
    </x:row>
    <x:row r="28" ht="15" hidden="0" customHeight="1">
      <x:c r="A28" s="14" t="str">
        <x:v>R1 stage share</x:v>
      </x:c>
      <x:c r="B28" s="14" t="n">
        <x:f>'Stage Exposure'!B8</x:f>
        <x:v>0.13</x:v>
      </x:c>
      <x:c r="C28" s="14" t="n">
        <x:v>0.13</x:v>
      </x:c>
      <x:c r="D28" s="30" t="str">
        <x:f>IF(B28=C28,"PASS","FAIL")</x:f>
        <x:v>PASS</x:v>
      </x:c>
    </x:row>
    <x:row r="29" ht="15" hidden="0" customHeight="1">
      <x:c r="A29" s="14" t="str">
        <x:v>Trials stage share</x:v>
      </x:c>
      <x:c r="B29" s="14" t="n">
        <x:f>'Stage Exposure'!B9</x:f>
        <x:v>0.2</x:v>
      </x:c>
      <x:c r="C29" s="14" t="n">
        <x:v>0.2</x:v>
      </x:c>
      <x:c r="D29" s="30" t="str">
        <x:f>IF(B29=C29,"PASS","FAIL")</x:f>
        <x:v>PASS</x:v>
      </x:c>
    </x:row>
    <x:row r="30" ht="15" hidden="0" customHeight="1">
      <x:c r="A30" s="14" t="str">
        <x:v>Cumulative exposure</x:v>
      </x:c>
      <x:c r="B30" s="14" t="n">
        <x:f>'Stage Exposure'!C9</x:f>
        <x:v>1</x:v>
      </x:c>
      <x:c r="C30" s="14" t="n">
        <x:v>1</x:v>
      </x:c>
      <x:c r="D30" s="30" t="str">
        <x:f>IF(B30=C30,"PASS","FAIL")</x:f>
        <x:v>PASS</x:v>
      </x:c>
    </x:row>
    <x:row r="31" ht="15" hidden="0" customHeight="1">
      <x:c r="A31" s="14" t="str">
        <x:v>Program boundary</x:v>
      </x:c>
      <x:c r="B31" s="14" t="n">
        <x:f>'Controls'!B14</x:f>
        <x:v>35.9765</x:v>
      </x:c>
      <x:c r="C31" s="14" t="n">
        <x:v>35.9765</x:v>
      </x:c>
      <x:c r="D31" s="30" t="str">
        <x:f>IF(B31=C31,"PASS","FAIL")</x:f>
        <x:v>PASS</x:v>
      </x:c>
    </x:row>
    <x:row r="32" ht="15" hidden="0" customHeight="1">
      <x:c r="A32" s="14" t="str">
        <x:v>Root boundary</x:v>
      </x:c>
      <x:c r="B32" s="14" t="n">
        <x:f>'Controls'!C19</x:f>
        <x:v>8.994125</x:v>
      </x:c>
      <x:c r="C32" s="14" t="n">
        <x:v>8.994125</x:v>
      </x:c>
      <x:c r="D32" s="30" t="str">
        <x:f>IF(B32=C32,"PASS","FAIL")</x:f>
        <x:v>PASS</x:v>
      </x:c>
    </x:row>
    <x:row r="33" ht="15" hidden="0" customHeight="1">
      <x:c r="A33" s="14" t="str">
        <x:v>Program reserve</x:v>
      </x:c>
      <x:c r="B33" s="14" t="n">
        <x:f>'Controls'!C20</x:f>
        <x:v>1.7988250000000001</x:v>
      </x:c>
      <x:c r="C33" s="14" t="n">
        <x:v>1.798825</x:v>
      </x:c>
      <x:c r="D33" s="30" t="str">
        <x:f>IF(B33=C33,"PASS","FAIL")</x:f>
        <x:v>PASS</x:v>
      </x:c>
    </x:row>
    <x:row r="34" ht="15" hidden="0" customHeight="1">
      <x:c r="A34" s="14" t="str">
        <x:v>Root reserve</x:v>
      </x:c>
      <x:c r="B34" s="14" t="n">
        <x:f>'Failure Reserve'!B6</x:f>
        <x:v>0.44970625000000003</x:v>
      </x:c>
      <x:c r="C34" s="14" t="n">
        <x:v>0.44970625</x:v>
      </x:c>
      <x:c r="D34" s="30" t="str">
        <x:f>IF(B34=C34,"PASS","FAIL")</x:f>
        <x:v>PASS</x:v>
      </x:c>
    </x:row>
    <x:row r="35" ht="15" hidden="0" customHeight="1">
      <x:c r="A35" s="14" t="str">
        <x:v>Attempt ceiling</x:v>
      </x:c>
      <x:c r="B35" s="14" t="n">
        <x:f>'Failure Reserve'!B8</x:f>
        <x:v>0.049967361111111115</x:v>
      </x:c>
      <x:c r="C35" s="14" t="n">
        <x:v>0.0499673611111111</x:v>
      </x:c>
      <x:c r="D35" s="30" t="str">
        <x:f>IF(B35=C35,"PASS","FAIL")</x:f>
        <x:v>PASS</x:v>
      </x:c>
    </x:row>
    <x:row r="36" ht="15" hidden="0" customHeight="1">
      <x:c r="A36" s="14" t="str">
        <x:v>Baseline cumulative</x:v>
      </x:c>
      <x:c r="B36" s="14" t="n">
        <x:f>'Stage Exposure'!C5</x:f>
        <x:v>0.09</x:v>
      </x:c>
      <x:c r="C36" s="14" t="n">
        <x:v>0.09</x:v>
      </x:c>
      <x:c r="D36" s="30" t="str">
        <x:f>IF(B36=C36,"PASS","FAIL")</x:f>
        <x:v>PASS</x:v>
      </x:c>
    </x:row>
    <x:row r="37" ht="15" hidden="0" customHeight="1">
      <x:c r="A37" s="14" t="str">
        <x:v>Ranges cumulative</x:v>
      </x:c>
      <x:c r="B37" s="14" t="n">
        <x:f>'Stage Exposure'!C6</x:f>
        <x:v>0.36</x:v>
      </x:c>
      <x:c r="C37" s="14" t="n">
        <x:v>0.36</x:v>
      </x:c>
      <x:c r="D37" s="30" t="str">
        <x:f>IF(B37=C37,"PASS","FAIL")</x:f>
        <x:v>PASS</x:v>
      </x:c>
    </x:row>
    <x:row r="38" ht="15" hidden="0" customHeight="1">
      <x:c r="A38" s="14" t="str">
        <x:v>P1/P2 cumulative</x:v>
      </x:c>
      <x:c r="B38" s="14" t="n">
        <x:f>'Stage Exposure'!C7</x:f>
        <x:v>0.6699999999999999</x:v>
      </x:c>
      <x:c r="C38" s="14" t="n">
        <x:v>0.67</x:v>
      </x:c>
      <x:c r="D38" s="30" t="str">
        <x:f>IF(B38=C38,"PASS","FAIL")</x:f>
        <x:v>PASS</x:v>
      </x:c>
    </x:row>
    <x:row r="39" ht="15" hidden="0" customHeight="1">
      <x:c r="A39" s="14" t="str">
        <x:v>R1 cumulative</x:v>
      </x:c>
      <x:c r="B39" s="14" t="n">
        <x:f>'Stage Exposure'!C8</x:f>
        <x:v>0.7999999999999999</x:v>
      </x:c>
      <x:c r="C39" s="14" t="n">
        <x:v>0.8</x:v>
      </x:c>
      <x:c r="D39" s="30" t="str">
        <x:f>IF(B39=C39,"PASS","FAIL")</x:f>
        <x:v>PASS</x:v>
      </x:c>
    </x:row>
    <x:row r="40" ht="15" hidden="0" customHeight="1">
      <x:c r="A40" s="14" t="str">
        <x:v>Trials cumulative</x:v>
      </x:c>
      <x:c r="B40" s="14" t="n">
        <x:f>'Stage Exposure'!C9</x:f>
        <x:v>1</x:v>
      </x:c>
      <x:c r="C40" s="14" t="n">
        <x:v>1</x:v>
      </x:c>
      <x:c r="D40" s="30" t="str">
        <x:f>IF(B40=C40,"PASS","FAIL")</x:f>
        <x:v>PASS</x:v>
      </x:c>
    </x:row>
    <x:row r="41" ht="15" hidden="0" customHeight="1">
      <x:c r="A41" s="14" t="str">
        <x:v>Mechanism row share</x:v>
      </x:c>
      <x:c r="B41" s="14" t="n">
        <x:f>'Budget Matrix'!H5</x:f>
        <x:v>0.4</x:v>
      </x:c>
      <x:c r="C41" s="14" t="n">
        <x:v>0.4</x:v>
      </x:c>
      <x:c r="D41" s="30" t="str">
        <x:f>IF(B41=C41,"PASS","FAIL")</x:f>
        <x:v>PASS</x:v>
      </x:c>
    </x:row>
    <x:row r="42" ht="15" hidden="0" customHeight="1">
      <x:c r="A42" s="14" t="str">
        <x:v>Range row share</x:v>
      </x:c>
      <x:c r="B42" s="14" t="n">
        <x:f>'Budget Matrix'!H6</x:f>
        <x:v>0.2</x:v>
      </x:c>
      <x:c r="C42" s="14" t="n">
        <x:v>0.2</x:v>
      </x:c>
      <x:c r="D42" s="30" t="str">
        <x:f>IF(B42=C42,"PASS","FAIL")</x:f>
        <x:v>PASS</x:v>
      </x:c>
    </x:row>
    <x:row r="43" ht="15" hidden="0" customHeight="1">
      <x:c r="A43" s="14" t="str">
        <x:v>Tooling row share</x:v>
      </x:c>
      <x:c r="B43" s="14" t="n">
        <x:f>'Budget Matrix'!H7</x:f>
        <x:v>0.20000000000000004</x:v>
      </x:c>
      <x:c r="C43" s="14" t="n">
        <x:v>0.2</x:v>
      </x:c>
      <x:c r="D43" s="30" t="str">
        <x:f>IF(B43=C43,"PASS","FAIL")</x:f>
        <x:v>PASS</x:v>
      </x:c>
    </x:row>
    <x:row r="44" ht="15" hidden="0" customHeight="1">
      <x:c r="A44" s="14" t="str">
        <x:v>Evidence row share</x:v>
      </x:c>
      <x:c r="B44" s="14" t="n">
        <x:f>'Budget Matrix'!H8</x:f>
        <x:v>0.15000000000000002</x:v>
      </x:c>
      <x:c r="C44" s="14" t="n">
        <x:v>0.15</x:v>
      </x:c>
      <x:c r="D44" s="30" t="str">
        <x:f>IF(B44=C44,"PASS","FAIL")</x:f>
        <x:v>PASS</x:v>
      </x:c>
    </x:row>
    <x:row r="45" ht="15" hidden="0" customHeight="1">
      <x:c r="A45" s="14" t="str">
        <x:v>Reserve row share</x:v>
      </x:c>
      <x:c r="B45" s="14" t="n">
        <x:f>'Budget Matrix'!H9</x:f>
        <x:v>0.05</x:v>
      </x:c>
      <x:c r="C45" s="14" t="n">
        <x:v>0.05</x:v>
      </x:c>
      <x:c r="D45" s="30" t="str">
        <x:f>IF(B45=C45,"PASS","FAIL")</x:f>
        <x:v>PASS</x:v>
      </x:c>
    </x:row>
    <x:row r="46" ht="15" hidden="0" customHeight="1">
      <x:c r="A46" s="14" t="str">
        <x:v>Case 1 release</x:v>
      </x:c>
      <x:c r="B46" s="14" t="str">
        <x:f>'Case Tests'!O5</x:f>
        <x:v>RELEASE</x:v>
      </x:c>
      <x:c r="C46" s="14" t="str">
        <x:v>RELEASE</x:v>
      </x:c>
      <x:c r="D46" s="30" t="str">
        <x:f>IF(B46=C46,"PASS","FAIL")</x:f>
        <x:v>PASS</x:v>
      </x:c>
    </x:row>
    <x:row r="47" ht="15" hidden="0" customHeight="1">
      <x:c r="A47" s="14" t="str">
        <x:v>Case 2 successor</x:v>
      </x:c>
      <x:c r="B47" s="14" t="str">
        <x:f>'Case Tests'!O6</x:f>
        <x:v>FAIL—SUCCESSOR ELIGIBLE</x:v>
      </x:c>
      <x:c r="C47" s="14" t="str">
        <x:v>FAIL—SUCCESSOR ELIGIBLE</x:v>
      </x:c>
      <x:c r="D47" s="30" t="str">
        <x:f>IF(B47=C47,"PASS","FAIL")</x:f>
        <x:v>PASS</x:v>
      </x:c>
    </x:row>
    <x:row r="48" ht="15" hidden="0" customHeight="1">
      <x:c r="A48" s="14" t="str">
        <x:v>Case 3 kill</x:v>
      </x:c>
      <x:c r="B48" s="14" t="str">
        <x:f>'Case Tests'!O7</x:f>
        <x:v>KILL</x:v>
      </x:c>
      <x:c r="C48" s="14" t="str">
        <x:v>KILL</x:v>
      </x:c>
      <x:c r="D48" s="30" t="str">
        <x:f>IF(B48=C48,"PASS","FAIL")</x:f>
        <x:v>PASS</x:v>
      </x:c>
    </x:row>
    <x:row r="49" ht="15" hidden="0" customHeight="1">
      <x:c r="A49" s="14" t="str">
        <x:v>Case 4 kill</x:v>
      </x:c>
      <x:c r="B49" s="14" t="str">
        <x:f>'Case Tests'!O8</x:f>
        <x:v>KILL</x:v>
      </x:c>
      <x:c r="C49" s="14" t="str">
        <x:v>KILL</x:v>
      </x:c>
      <x:c r="D49" s="30" t="str">
        <x:f>IF(B49=C49,"PASS","FAIL")</x:f>
        <x:v>PASS</x:v>
      </x:c>
    </x:row>
    <x:row r="50" ht="15" hidden="0" customHeight="1">
      <x:c r="A50" s="14" t="str">
        <x:v>Case 5 kill</x:v>
      </x:c>
      <x:c r="B50" s="14" t="str">
        <x:f>'Case Tests'!O9</x:f>
        <x:v>KILL</x:v>
      </x:c>
      <x:c r="C50" s="14" t="str">
        <x:v>KILL</x:v>
      </x:c>
      <x:c r="D50" s="30" t="str">
        <x:f>IF(B50=C50,"PASS","FAIL")</x:f>
        <x:v>PASS</x:v>
      </x:c>
    </x:row>
    <x:row r="51" ht="15" hidden="0" customHeight="1">
      <x:c r="A51" s="14" t="str">
        <x:v>Case 6 stop</x:v>
      </x:c>
      <x:c r="B51" s="14" t="str">
        <x:f>'Case Tests'!O10</x:f>
        <x:v>CAMPAIGN STOP</x:v>
      </x:c>
      <x:c r="C51" s="14" t="str">
        <x:v>CAMPAIGN STOP</x:v>
      </x:c>
      <x:c r="D51" s="30" t="str">
        <x:f>IF(B51=C51,"PASS","FAIL")</x:f>
        <x:v>PASS</x:v>
      </x:c>
    </x:row>
    <x:row r="52" ht="15" hidden="0" customHeight="1">
      <x:c r="A52" s="14" t="str">
        <x:v>Case 7 hold</x:v>
      </x:c>
      <x:c r="B52" s="14" t="str">
        <x:f>'Case Tests'!O11</x:f>
        <x:v>HOLD</x:v>
      </x:c>
      <x:c r="C52" s="14" t="str">
        <x:v>HOLD</x:v>
      </x:c>
      <x:c r="D52" s="30" t="str">
        <x:f>IF(B52=C52,"PASS","FAIL")</x:f>
        <x:v>PASS</x:v>
      </x:c>
    </x:row>
    <x:row r="53" ht="15" hidden="0" customHeight="1">
      <x:c r="A53" s="14" t="str">
        <x:v>Case 8 hold</x:v>
      </x:c>
      <x:c r="B53" s="14" t="str">
        <x:f>'Case Tests'!O12</x:f>
        <x:v>HOLD</x:v>
      </x:c>
      <x:c r="C53" s="14" t="str">
        <x:v>HOLD</x:v>
      </x:c>
      <x:c r="D53" s="30" t="str">
        <x:f>IF(B53=C53,"PASS","FAIL")</x:f>
        <x:v>PASS</x:v>
      </x:c>
    </x:row>
    <x:row r="54" ht="15" hidden="0" customHeight="1">
      <x:c r="A54" s="14" t="str">
        <x:v>Case 9 hold</x:v>
      </x:c>
      <x:c r="B54" s="14" t="str">
        <x:f>'Case Tests'!O13</x:f>
        <x:v>HOLD</x:v>
      </x:c>
      <x:c r="C54" s="14" t="str">
        <x:v>HOLD</x:v>
      </x:c>
      <x:c r="D54" s="30" t="str">
        <x:f>IF(B54=C54,"PASS","FAIL")</x:f>
        <x:v>PASS</x:v>
      </x:c>
    </x:row>
    <x:row r="55" ht="15" hidden="0" customHeight="1">
      <x:c r="A55" s="14" t="str">
        <x:v>Final root exposure</x:v>
      </x:c>
      <x:c r="B55" s="14" t="n">
        <x:f>'Stage Exposure'!D9</x:f>
        <x:v>8.994125</x:v>
      </x:c>
      <x:c r="C55" s="14" t="n">
        <x:v>8.994125</x:v>
      </x:c>
      <x:c r="D55" s="30" t="str">
        <x:f>IF(B55=C55,"PASS","FAIL")</x:f>
        <x:v>PASS</x:v>
      </x:c>
    </x:row>
    <x:row r="56" ht="15" hidden="0" customHeight="1">
      <x:c r="A56" s="14" t="str">
        <x:v>Final returned authority</x:v>
      </x:c>
      <x:c r="B56" s="14" t="n">
        <x:f>'Stage Exposure'!E9</x:f>
        <x:v>0</x:v>
      </x:c>
      <x:c r="C56" s="14" t="n">
        <x:v>0</x:v>
      </x:c>
      <x:c r="D56" s="30" t="str">
        <x:f>IF(B56=C56,"PASS","FAIL")</x:f>
        <x:v>PASS</x:v>
      </x:c>
    </x:row>
    <x:row r="57" ht="15" hidden="0" customHeight="1">
      <x:c r="A57" s="14" t="str">
        <x:v>Disposition clock</x:v>
      </x:c>
      <x:c r="B57" s="14" t="n">
        <x:f>'Controls'!B16</x:f>
        <x:v>90</x:v>
      </x:c>
      <x:c r="C57" s="14" t="n">
        <x:v>90</x:v>
      </x:c>
      <x:c r="D57" s="30" t="str">
        <x:f>IF(B57=C57,"PASS","FAIL")</x:f>
        <x:v>PASS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4" hidden="0" customWidth="1"/>
    <x:col min="3" max="3" width="58" hidden="0" customWidth="1"/>
    <x:col min="4" max="4" width="58" hidden="0" customWidth="1"/>
  </x:cols>
  <x:sheetData>
    <x:row r="1" ht="19.200000762939453" hidden="0" customHeight="1">
      <x:c r="A1" s="3" t="str">
        <x:v>Internal source register</x:v>
      </x:c>
      <x:c r="B1" s="3"/>
      <x:c r="C1" s="3"/>
      <x:c r="D1" s="3"/>
    </x:row>
    <x:row r="2" ht="15" hidden="0" customHeight="1">
      <x:c r="A2" s="6" t="str">
        <x:v>No external sites were used. These repository decisions define the inherited campaign.</x:v>
      </x:c>
      <x:c r="B2" s="6"/>
      <x:c r="C2" s="6"/>
      <x:c r="D2" s="6"/>
    </x:row>
    <x:row r="3"/>
    <x:row r="4" ht="15" hidden="0" customHeight="1">
      <x:c r="A4" s="19" t="str">
        <x:v>Source</x:v>
      </x:c>
      <x:c r="B4" s="19" t="str">
        <x:v>Pass</x:v>
      </x:c>
      <x:c r="C4" s="19" t="str">
        <x:v>Inherited control</x:v>
      </x:c>
      <x:c r="D4" s="19" t="str">
        <x:v>Use in this model</x:v>
      </x:c>
    </x:row>
    <x:row r="5" ht="15" hidden="0" customHeight="1">
      <x:c r="A5" s="14" t="str">
        <x:v>Four-root serial experiment protocol</x:v>
      </x:c>
      <x:c r="B5" s="14" t="n">
        <x:v>174</x:v>
      </x:c>
      <x:c r="C5" s="14" t="str">
        <x:v>Claim / validity / reliance separation; valid adverse permanence</x:v>
      </x:c>
      <x:c r="D5" s="14" t="str">
        <x:v>Invalid and adverse classes</x:v>
      </x:c>
    </x:row>
    <x:row r="6" ht="15" hidden="0" customHeight="1">
      <x:c r="A6" s="14" t="str">
        <x:v>Root-diversity and G3 constitution</x:v>
      </x:c>
      <x:c r="B6" s="14" t="n">
        <x:v>175</x:v>
      </x:c>
      <x:c r="C6" s="14" t="str">
        <x:v>Four conjunctive roots; twelve ancestry domains</x:v>
      </x:c>
      <x:c r="D6" s="14" t="str">
        <x:v>Release and kill grammar</x:v>
      </x:c>
    </x:row>
    <x:row r="7" ht="15" hidden="0" customHeight="1">
      <x:c r="A7" s="14" t="str">
        <x:v>Campaign accountability and integrity</x:v>
      </x:c>
      <x:c r="B7" s="14" t="n">
        <x:v>176</x:v>
      </x:c>
      <x:c r="C7" s="14" t="str">
        <x:v>Independent custody and source-bound evidence</x:v>
      </x:c>
      <x:c r="D7" s="14" t="str">
        <x:v>Authority firewall</x:v>
      </x:c>
    </x:row>
    <x:row r="8" ht="15" hidden="0" customHeight="1">
      <x:c r="A8" s="14" t="str">
        <x:v>Physical proof campaign constitution</x:v>
      </x:c>
      <x:c r="B8" s="14" t="n">
        <x:v>177</x:v>
      </x:c>
      <x:c r="C8" s="14" t="str">
        <x:v>42 events, 159 packages, 14 gates per root</x:v>
      </x:c>
      <x:c r="D8" s="14" t="str">
        <x:v>Decision denominator</x:v>
      </x:c>
    </x:row>
    <x:row r="9" ht="15" hidden="0" customHeight="1">
      <x:c r="A9" s="14" t="str">
        <x:v>AIMC / production operating system</x:v>
      </x:c>
      <x:c r="B9" s="14" t="str">
        <x:v>Inherited</x:v>
      </x:c>
      <x:c r="C9" s="14" t="str">
        <x:v>Source identity and non-convergence</x:v>
      </x:c>
      <x:c r="D9" s="14" t="str">
        <x:v>Successor identity rule</x:v>
      </x:c>
    </x:row>
    <x:row r="10" ht="15" hidden="0" customHeight="1">
      <x:c r="A10" s="14" t="str">
        <x:v>NIMEX institutional design</x:v>
      </x:c>
      <x:c r="B10" s="14" t="str">
        <x:v>Inherited</x:v>
      </x:c>
      <x:c r="C10" s="14" t="str">
        <x:v>Mission-account conservation</x:v>
      </x:c>
      <x:c r="D10" s="14" t="str">
        <x:v>Financial disposition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34" hidden="0" customWidth="1"/>
    <x:col min="3" max="3" width="58" hidden="0" customWidth="1"/>
    <x:col min="4" max="4" width="58" hidden="0" customWidth="1"/>
  </x:cols>
  <x:sheetData>
    <x:row r="1" ht="19.200000762939453" hidden="0" customHeight="1">
      <x:c r="A1" s="3" t="str">
        <x:v>How to use this workbook</x:v>
      </x:c>
      <x:c r="B1" s="3"/>
      <x:c r="C1" s="3"/>
      <x:c r="D1" s="3"/>
    </x:row>
    <x:row r="2" ht="15" hidden="0" customHeight="1">
      <x:c r="A2" s="6" t="str">
        <x:v>This is a constitutional decision model, not a forecast of favorable technical results.</x:v>
      </x:c>
      <x:c r="B2" s="6"/>
      <x:c r="C2" s="6"/>
      <x:c r="D2" s="6"/>
    </x:row>
    <x:row r="3"/>
    <x:row r="4" ht="15" hidden="0" customHeight="1">
      <x:c r="A4" s="19" t="str">
        <x:v>Task</x:v>
      </x:c>
      <x:c r="B4" s="19" t="str">
        <x:v>Where</x:v>
      </x:c>
      <x:c r="C4" s="19" t="str">
        <x:v>Action</x:v>
      </x:c>
      <x:c r="D4" s="19" t="str">
        <x:v>Interpretation</x:v>
      </x:c>
    </x:row>
    <x:row r="5" ht="15" hidden="0" customHeight="1">
      <x:c r="A5" s="14" t="str">
        <x:v>Read the decision</x:v>
      </x:c>
      <x:c r="B5" s="14" t="str">
        <x:v>Decision</x:v>
      </x:c>
      <x:c r="C5" s="14" t="str">
        <x:v>Start with the current HOLD state and release rule</x:v>
      </x:c>
      <x:c r="D5" s="14" t="str">
        <x:v>No evidence credit exists yet</x:v>
      </x:c>
    </x:row>
    <x:row r="6" ht="15" hidden="0" customHeight="1">
      <x:c r="A6" s="14" t="str">
        <x:v>Change program controls</x:v>
      </x:c>
      <x:c r="B6" s="14" t="str">
        <x:v>Controls</x:v>
      </x:c>
      <x:c r="C6" s="14" t="str">
        <x:v>Edit yellow cells only if the parent constitution changes</x:v>
      </x:c>
      <x:c r="D6" s="14" t="str">
        <x:v>Audits will expose broken reconciliation</x:v>
      </x:c>
    </x:row>
    <x:row r="7" ht="15" hidden="0" customHeight="1">
      <x:c r="A7" s="14" t="str">
        <x:v>Enter root evidence</x:v>
      </x:c>
      <x:c r="B7" s="14" t="str">
        <x:v>Root Ledger</x:v>
      </x:c>
      <x:c r="C7" s="14" t="str">
        <x:v>Populate accepted counts and breach fields</x:v>
      </x:c>
      <x:c r="D7" s="14" t="str">
        <x:v>Disposition recalculates from rule precedence</x:v>
      </x:c>
    </x:row>
    <x:row r="8" ht="15" hidden="0" customHeight="1">
      <x:c r="A8" s="14" t="str">
        <x:v>Test boundary cases</x:v>
      </x:c>
      <x:c r="B8" s="14" t="str">
        <x:v>Case Tests</x:v>
      </x:c>
      <x:c r="C8" s="14" t="str">
        <x:v>Review the nine fixed examples</x:v>
      </x:c>
      <x:c r="D8" s="14" t="str">
        <x:v>Every test must return PASS</x:v>
      </x:c>
    </x:row>
    <x:row r="9" ht="15" hidden="0" customHeight="1">
      <x:c r="A9" s="14" t="str">
        <x:v>Inspect failure handling</x:v>
      </x:c>
      <x:c r="B9" s="14" t="str">
        <x:v>Failure Classes / Successor Rules</x:v>
      </x:c>
      <x:c r="C9" s="14" t="str">
        <x:v>Classify before authorizing repeat or CF2</x:v>
      </x:c>
      <x:c r="D9" s="14" t="str">
        <x:v>Invalid is not failure; adverse is not erased</x:v>
      </x:c>
    </x:row>
    <x:row r="10" ht="15" hidden="0" customHeight="1">
      <x:c r="A10" s="14" t="str">
        <x:v>Trace money</x:v>
      </x:c>
      <x:c r="B10" s="14" t="str">
        <x:v>Budget Matrix / Stage Exposure</x:v>
      </x:c>
      <x:c r="C10" s="14" t="str">
        <x:v>Follow class shares into release stages</x:v>
      </x:c>
      <x:c r="D10" s="14" t="str">
        <x:v>Unreleased authority returns to mission account</x:v>
      </x:c>
    </x:row>
    <x:row r="11" ht="15" hidden="0" customHeight="1">
      <x:c r="A11" s="14" t="str">
        <x:v>Release G3</x:v>
      </x:c>
      <x:c r="B11" s="14" t="str">
        <x:v>G3 Release</x:v>
      </x:c>
      <x:c r="C11" s="14" t="str">
        <x:v>Require four RELEASE dispositions</x:v>
      </x:c>
      <x:c r="D11" s="14" t="str">
        <x:v>Three roots remain insufficient</x:v>
      </x:c>
    </x:row>
    <x:row r="12" ht="15" hidden="0" customHeight="1">
      <x:c r="A12" s="14" t="str">
        <x:v>Verify model</x:v>
      </x:c>
      <x:c r="B12" s="14" t="str">
        <x:v>Audits</x:v>
      </x:c>
      <x:c r="C12" s="14" t="str">
        <x:v>Confirm every terminal check is PASS</x:v>
      </x:c>
      <x:c r="D12" s="14" t="str">
        <x:v>Audits observe; they do not drive outputs</x:v>
      </x:c>
    </x:row>
  </x:sheetData>
  <x:mergeCells>
    <x:mergeCell ref="A1:D1"/>
    <x:mergeCell ref="A2:D2"/>
  </x:mergeCells>
  <x:pageMargins left="0.7" right="0.7" top="0.75" bottom="0.75" header="0.3" footer="0.3"/>
</x:worksheet>
</file>