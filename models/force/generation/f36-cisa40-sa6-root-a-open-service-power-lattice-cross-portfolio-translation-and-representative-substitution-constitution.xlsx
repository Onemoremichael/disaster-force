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72dd755b54f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3560b877d6374f3d"/>
    <x:sheet xmlns:r="http://schemas.openxmlformats.org/officeDocument/2006/relationships" name="01 Controls" sheetId="2" r:id="R72ea535756a64482"/>
    <x:sheet xmlns:r="http://schemas.openxmlformats.org/officeDocument/2006/relationships" name="02 Source comparison" sheetId="3" r:id="R7c478fd7cdbe4eb9"/>
    <x:sheet xmlns:r="http://schemas.openxmlformats.org/officeDocument/2006/relationships" name="03 Common core" sheetId="4" r:id="R9b28e6ce6dd044c9"/>
    <x:sheet xmlns:r="http://schemas.openxmlformats.org/officeDocument/2006/relationships" name="04 Duty profiles" sheetId="5" r:id="R209ef823a6334706"/>
    <x:sheet xmlns:r="http://schemas.openxmlformats.org/officeDocument/2006/relationships" name="05 Source classes" sheetId="6" r:id="R1d576d004cb24d4a"/>
    <x:sheet xmlns:r="http://schemas.openxmlformats.org/officeDocument/2006/relationships" name="06 Source sizing" sheetId="7" r:id="Rfa76fc827ab6439d"/>
    <x:sheet xmlns:r="http://schemas.openxmlformats.org/officeDocument/2006/relationships" name="07 Storage" sheetId="8" r:id="R83d02a0fe3164dc5"/>
    <x:sheet xmlns:r="http://schemas.openxmlformats.org/officeDocument/2006/relationships" name="08 Protection" sheetId="9" r:id="Rb3175977396a4e3d"/>
    <x:sheet xmlns:r="http://schemas.openxmlformats.org/officeDocument/2006/relationships" name="09 Local control" sheetId="10" r:id="Rb84e003686604a3c"/>
    <x:sheet xmlns:r="http://schemas.openxmlformats.org/officeDocument/2006/relationships" name="10 Variant chains" sheetId="11" r:id="R7bfa7eb8e2f543ee"/>
    <x:sheet xmlns:r="http://schemas.openxmlformats.org/officeDocument/2006/relationships" name="11 Failure worlds" sheetId="12" r:id="R5d1fc2cd636d4980"/>
    <x:sheet xmlns:r="http://schemas.openxmlformats.org/officeDocument/2006/relationships" name="12 Translation" sheetId="13" r:id="R19988faf6e434f15"/>
    <x:sheet xmlns:r="http://schemas.openxmlformats.org/officeDocument/2006/relationships" name="13 Capital" sheetId="14" r:id="R18ba9960ba784462"/>
    <x:sheet xmlns:r="http://schemas.openxmlformats.org/officeDocument/2006/relationships" name="14 Technology" sheetId="15" r:id="R908df7986d95444a"/>
    <x:sheet xmlns:r="http://schemas.openxmlformats.org/officeDocument/2006/relationships" name="15 Campaign" sheetId="16" r:id="R3e56dfc57b084f19"/>
    <x:sheet xmlns:r="http://schemas.openxmlformats.org/officeDocument/2006/relationships" name="16 Schedule workforce" sheetId="17" r:id="Recbf998274664052"/>
    <x:sheet xmlns:r="http://schemas.openxmlformats.org/officeDocument/2006/relationships" name="17 Sensitivity" sheetId="18" r:id="Ra91c24ff956d428e"/>
    <x:sheet xmlns:r="http://schemas.openxmlformats.org/officeDocument/2006/relationships" name="18 Admissions" sheetId="19" r:id="R112ff4c7e7ed4bdc"/>
    <x:sheet xmlns:r="http://schemas.openxmlformats.org/officeDocument/2006/relationships" name="19 Audits" sheetId="20" r:id="R501870c36a2943ee"/>
    <x:sheet xmlns:r="http://schemas.openxmlformats.org/officeDocument/2006/relationships" name="20 Sources" sheetId="21" r:id="R79a75e24ae99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.00"/>
    <x:numFmt numFmtId="202" formatCode="#,##0.00"/>
    <x:numFmt numFmtId="203" formatCode="0.0"/>
    <x:numFmt numFmtId="204" formatCode="#,##0.000"/>
    <x:numFmt numFmtId="205" formatCode="0.00x"/>
    <x:numFmt numFmtId="206" formatCode="0"/>
    <x:numFmt numFmtId="207" formatCode="#,##0"/>
  </x:numFmts>
  <x:fonts count="9">
    <x:font>
      <x:sz val="11"/>
      <x:name val="Carlito"/>
    </x:font>
    <x:font>
      <x:b/>
      <x:sz val="15"/>
      <x:color rgb="FF153247"/>
      <x:name val="Arial"/>
    </x:font>
    <x:font>
      <x:i/>
      <x:sz val="10"/>
      <x:color rgb="FF66737D"/>
      <x:name val="Arial"/>
    </x:font>
    <x:font>
      <x:b/>
      <x:sz val="10"/>
      <x:color rgb="FFFFFFFF"/>
      <x:name val="Arial"/>
    </x:font>
    <x:font>
      <x:sz val="10"/>
      <x:color rgb="FF17242D"/>
      <x:name val="Arial"/>
    </x:font>
    <x:font>
      <x:sz val="10"/>
      <x:color rgb="FF1F4E79"/>
      <x:name val="Arial"/>
    </x:font>
    <x:font>
      <x:b/>
      <x:sz val="10"/>
      <x:color rgb="FFA33B3B"/>
      <x:name val="Arial"/>
    </x:font>
    <x:font>
      <x:b/>
      <x:sz val="10"/>
      <x:color rgb="FF17242D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16582"/>
      </x:patternFill>
    </x:fill>
    <x:fill>
      <x:patternFill patternType="solid">
        <x:fgColor rgb="FFFFF2CC"/>
      </x:patternFill>
    </x:fill>
    <x:fill>
      <x:patternFill patternType="solid">
        <x:fgColor rgb="FFF7E5E5"/>
      </x:patternFill>
    </x:fill>
    <x:fill>
      <x:patternFill patternType="solid">
        <x:fgColor rgb="FFF3E2B8"/>
      </x:patternFill>
    </x:fill>
  </x:fills>
  <x:borders count="10">
    <x:border/>
    <x:border>
      <x:bottom style="thin">
        <x:color rgb="FF216582"/>
      </x:bottom>
    </x:border>
    <x:border>
      <x:right style="thin">
        <x:color rgb="FFFFFFFF"/>
      </x:right>
      <x:bottom style="thin">
        <x:color rgb="FF153247"/>
      </x:bottom>
    </x:border>
    <x:border>
      <x:left style="thin">
        <x:color rgb="FFFFFFFF"/>
      </x:left>
      <x:right style="thin">
        <x:color rgb="FFFFFFFF"/>
      </x:right>
      <x:bottom style="thin">
        <x:color rgb="FF153247"/>
      </x:bottom>
    </x:border>
    <x:border>
      <x:left style="thin">
        <x:color rgb="FFFFFFFF"/>
      </x:left>
      <x:bottom style="thin">
        <x:color rgb="FF153247"/>
      </x:bottom>
    </x:border>
    <x:border>
      <x:bottom style="thin">
        <x:color rgb="FFCBD6DC"/>
      </x:bottom>
    </x:border>
    <x:border>
      <x:left style="thin">
        <x:color rgb="FFE5B8B8"/>
      </x:left>
      <x:top style="thin">
        <x:color rgb="FFE5B8B8"/>
      </x:top>
      <x:bottom style="thin">
        <x:color rgb="FFE5B8B8"/>
      </x:bottom>
    </x:border>
    <x:border>
      <x:top style="thin">
        <x:color rgb="FFE5B8B8"/>
      </x:top>
      <x:bottom style="thin">
        <x:color rgb="FFE5B8B8"/>
      </x:bottom>
    </x:border>
    <x:border>
      <x:right style="thin">
        <x:color rgb="FFE5B8B8"/>
      </x:right>
      <x:top style="thin">
        <x:color rgb="FFE5B8B8"/>
      </x:top>
      <x:bottom style="thin">
        <x:color rgb="FFE5B8B8"/>
      </x:bottom>
    </x:border>
    <x:border>
      <x:top style="medium">
        <x:color rgb="FFD9A93B"/>
      </x:top>
      <x:bottom style="double">
        <x:color rgb="FFD9A93B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9" xfId="0" applyNumberFormat="1" applyFont="1" applyFill="1" applyBorder="1"/>
    <x:xf numFmtId="201" fontId="4" fillId="0" borderId="0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7" fillId="5" borderId="9" xfId="0" applyNumberFormat="1" applyFont="1" applyFill="1" applyBorder="1"/>
    <x:xf numFmtId="200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5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4" fontId="4" fillId="5" borderId="0" xfId="0" applyNumberFormat="1" applyFont="1" applyFill="1" applyBorder="1" applyAlignment="1">
      <x:alignment vertical="center" wrapText="1"/>
    </x:xf>
    <x:xf numFmtId="205" fontId="4" fillId="5" borderId="0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 wrapText="1"/>
    </x:xf>
    <x:xf numFmtId="206" fontId="4" fillId="0" borderId="5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02" fontId="0" fillId="0" borderId="0" xfId="0" applyNumberFormat="1" applyFont="1" applyFill="1" applyBorder="1"/>
    <x:xf numFmtId="206" fontId="0" fillId="5" borderId="0" xfId="0" applyNumberFormat="1" applyFont="1" applyFill="1" applyBorder="1"/>
    <x:xf numFmtId="202" fontId="0" fillId="5" borderId="0" xfId="0" applyNumberFormat="1" applyFont="1" applyFill="1" applyBorder="1"/>
    <x:xf numFmtId="206" fontId="7" fillId="5" borderId="0" xfId="0" applyNumberFormat="1" applyFont="1" applyFill="1" applyBorder="1"/>
    <x:xf numFmtId="202" fontId="7" fillId="5" borderId="0" xfId="0" applyNumberFormat="1" applyFont="1" applyFill="1" applyBorder="1"/>
    <x:xf numFmtId="206" fontId="7" fillId="5" borderId="9" xfId="0" applyNumberFormat="1" applyFont="1" applyFill="1" applyBorder="1"/>
    <x:xf numFmtId="207" fontId="4" fillId="0" borderId="0" xfId="0" applyNumberFormat="1" applyFont="1" applyFill="1" applyBorder="1" applyAlignment="1">
      <x:alignment vertical="center" wrapText="1"/>
    </x:xf>
    <x:xf numFmtId="207" fontId="4" fillId="0" borderId="5" xfId="0" applyNumberFormat="1" applyFont="1" applyFill="1" applyBorder="1" applyAlignment="1">
      <x:alignment vertical="center" wrapText="1"/>
    </x:xf>
    <x:xf numFmtId="207" fontId="7" fillId="5" borderId="9" xfId="0" applyNumberFormat="1" applyFont="1" applyFill="1" applyBorder="1"/>
    <x:xf numFmtId="204" fontId="4" fillId="0" borderId="5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7" fillId="5" borderId="9" xfId="0" applyNumberFormat="1" applyFont="1" applyFill="1" applyBorder="1"/>
    <x:xf numFmtId="200" fontId="5" fillId="3" borderId="5" xfId="0" applyNumberFormat="1" applyFont="1" applyFill="1" applyBorder="1" applyAlignment="1">
      <x:alignment vertical="center" wrapText="1"/>
    </x:xf>
    <x:xf numFmtId="205" fontId="4" fillId="0" borderId="5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A33B3B"/>
      </x:font>
      <x:fill>
        <x:patternFill patternType="solid">
          <x:bgColor rgb="FFF7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aea1ce9204709" /><Relationship Type="http://schemas.openxmlformats.org/officeDocument/2006/relationships/theme" Target="/xl/theme/theme1.xml" Id="Rd9b8621691aa4672" /><Relationship Type="http://schemas.openxmlformats.org/officeDocument/2006/relationships/sharedStrings" Target="/xl/sharedStrings.xml" Id="R90b6d38fd54f445d" /><Relationship Type="http://schemas.openxmlformats.org/officeDocument/2006/relationships/worksheet" Target="/xl/worksheets/sheet1.xml" Id="R3560b877d6374f3d" /><Relationship Type="http://schemas.openxmlformats.org/officeDocument/2006/relationships/worksheet" Target="/xl/worksheets/sheet2.xml" Id="R72ea535756a64482" /><Relationship Type="http://schemas.openxmlformats.org/officeDocument/2006/relationships/worksheet" Target="/xl/worksheets/sheet3.xml" Id="R7c478fd7cdbe4eb9" /><Relationship Type="http://schemas.openxmlformats.org/officeDocument/2006/relationships/worksheet" Target="/xl/worksheets/sheet4.xml" Id="R9b28e6ce6dd044c9" /><Relationship Type="http://schemas.openxmlformats.org/officeDocument/2006/relationships/worksheet" Target="/xl/worksheets/sheet5.xml" Id="R209ef823a6334706" /><Relationship Type="http://schemas.openxmlformats.org/officeDocument/2006/relationships/worksheet" Target="/xl/worksheets/sheet6.xml" Id="R1d576d004cb24d4a" /><Relationship Type="http://schemas.openxmlformats.org/officeDocument/2006/relationships/worksheet" Target="/xl/worksheets/sheet7.xml" Id="Rfa76fc827ab6439d" /><Relationship Type="http://schemas.openxmlformats.org/officeDocument/2006/relationships/worksheet" Target="/xl/worksheets/sheet8.xml" Id="R83d02a0fe3164dc5" /><Relationship Type="http://schemas.openxmlformats.org/officeDocument/2006/relationships/worksheet" Target="/xl/worksheets/sheet9.xml" Id="Rb3175977396a4e3d" /><Relationship Type="http://schemas.openxmlformats.org/officeDocument/2006/relationships/worksheet" Target="/xl/worksheets/sheet10.xml" Id="Rb84e003686604a3c" /><Relationship Type="http://schemas.openxmlformats.org/officeDocument/2006/relationships/worksheet" Target="/xl/worksheets/sheet11.xml" Id="R7bfa7eb8e2f543ee" /><Relationship Type="http://schemas.openxmlformats.org/officeDocument/2006/relationships/worksheet" Target="/xl/worksheets/sheet12.xml" Id="R5d1fc2cd636d4980" /><Relationship Type="http://schemas.openxmlformats.org/officeDocument/2006/relationships/worksheet" Target="/xl/worksheets/sheet13.xml" Id="R19988faf6e434f15" /><Relationship Type="http://schemas.openxmlformats.org/officeDocument/2006/relationships/worksheet" Target="/xl/worksheets/sheet14.xml" Id="R18ba9960ba784462" /><Relationship Type="http://schemas.openxmlformats.org/officeDocument/2006/relationships/worksheet" Target="/xl/worksheets/sheet15.xml" Id="R908df7986d95444a" /><Relationship Type="http://schemas.openxmlformats.org/officeDocument/2006/relationships/worksheet" Target="/xl/worksheets/sheet16.xml" Id="R3e56dfc57b084f19" /><Relationship Type="http://schemas.openxmlformats.org/officeDocument/2006/relationships/worksheet" Target="/xl/worksheets/sheet17.xml" Id="Recbf998274664052" /><Relationship Type="http://schemas.openxmlformats.org/officeDocument/2006/relationships/worksheet" Target="/xl/worksheets/sheet18.xml" Id="Ra91c24ff956d428e" /><Relationship Type="http://schemas.openxmlformats.org/officeDocument/2006/relationships/worksheet" Target="/xl/worksheets/sheet19.xml" Id="R112ff4c7e7ed4bdc" /><Relationship Type="http://schemas.openxmlformats.org/officeDocument/2006/relationships/worksheet" Target="/xl/worksheets/sheet20.xml" Id="R501870c36a2943ee" /><Relationship Type="http://schemas.openxmlformats.org/officeDocument/2006/relationships/worksheet" Target="/xl/worksheets/sheet21.xml" Id="R79a75e24ae994e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9A93B"/>
  </x:sheetPr>
  <x:sheetViews>
    <x:sheetView showGridLines="0" workbookViewId="0"/>
  </x:sheetViews>
  <x:sheetFormatPr defaultRowHeight="15"/>
  <x:cols>
    <x:col min="2" max="2" width="42" hidden="0" customWidth="1"/>
    <x:col min="3" max="3" width="26" hidden="0" customWidth="1"/>
    <x:col min="4" max="4" width="22" hidden="0" customWidth="1"/>
    <x:col min="5" max="5" width="72" hidden="0" customWidth="1"/>
  </x:cols>
  <x:sheetData>
    <x:row r="2">
      <x:c r="B2" s="1" t="str">
        <x:v>RBY-1 Open-Service Power Lattice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Decision view. The reference advances to representative research but grants no article credit.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Decision measure</x:v>
      </x:c>
      <x:c r="C6" s="17" t="str">
        <x:v>Value</x:v>
      </x:c>
      <x:c r="D6" s="17" t="str">
        <x:v>Unit</x:v>
      </x:c>
      <x:c r="E6" s="18" t="str">
        <x:v>Meaning</x:v>
      </x:c>
      <x:c r="F6" s="78"/>
      <x:c r="G6" s="78"/>
      <x:c r="H6" s="78"/>
    </x:row>
    <x:row r="7">
      <x:c r="B7" s="23" t="str">
        <x:v>Reference duties</x:v>
      </x:c>
      <x:c r="C7" s="23" t="n">
        <x:v>6</x:v>
      </x:c>
      <x:c r="D7" s="23" t="str">
        <x:v>duties</x:v>
      </x:c>
      <x:c r="E7" s="23" t="str">
        <x:v>Five portfolios plus a regenerative water subcase</x:v>
      </x:c>
      <x:c r="F7" s="78"/>
      <x:c r="G7" s="78"/>
      <x:c r="H7" s="78"/>
    </x:row>
    <x:row r="8">
      <x:c r="B8" s="23" t="str">
        <x:v>Source architecture</x:v>
      </x:c>
      <x:c r="C8" s="23" t="str">
        <x:v>Nested SPC-1/5/10</x:v>
      </x:c>
      <x:c r="D8" s="23" t="str">
        <x:v>configuration</x:v>
      </x:c>
      <x:c r="E8" s="23" t="str">
        <x:v>Three loss quanta behind one proposed public interface</x:v>
      </x:c>
      <x:c r="F8" s="78"/>
      <x:c r="G8" s="78"/>
      <x:c r="H8" s="78"/>
    </x:row>
    <x:row r="9">
      <x:c r="B9" s="23" t="str">
        <x:v>Selected source articles</x:v>
      </x:c>
      <x:c r="C9" s="23" t="n">
        <x:f>'06 Source sizing'!O13</x:f>
        <x:v>39</x:v>
      </x:c>
      <x:c r="D9" s="23" t="str">
        <x:v>articles</x:v>
      </x:c>
      <x:c r="E9" s="23" t="str">
        <x:v>One instance of each reference duty</x:v>
      </x:c>
      <x:c r="F9" s="78"/>
      <x:c r="G9" s="78"/>
      <x:c r="H9" s="78"/>
    </x:row>
    <x:row r="10">
      <x:c r="B10" s="23" t="str">
        <x:v>Installed continuous capacity</x:v>
      </x:c>
      <x:c r="C10" s="23" t="n">
        <x:f>'06 Source sizing'!P13</x:f>
        <x:v>242.5</x:v>
      </x:c>
      <x:c r="D10" s="23" t="str">
        <x:v>MW</x:v>
      </x:c>
      <x:c r="E10" s="23" t="str">
        <x:v>One instance of each reference duty</x:v>
      </x:c>
      <x:c r="F10" s="78"/>
      <x:c r="G10" s="78"/>
      <x:c r="H10" s="78"/>
    </x:row>
    <x:row r="11">
      <x:c r="B11" s="23" t="str">
        <x:v>Source dry-mass screen</x:v>
      </x:c>
      <x:c r="C11" s="23" t="n">
        <x:f>'06 Source sizing'!Q13</x:f>
        <x:v>5040</x:v>
      </x:c>
      <x:c r="D11" s="23" t="str">
        <x:v>t</x:v>
      </x:c>
      <x:c r="E11" s="23" t="str">
        <x:v>Mission energy and heat destination excluded</x:v>
      </x:c>
      <x:c r="F11" s="78"/>
      <x:c r="G11" s="78"/>
      <x:c r="H11" s="78"/>
    </x:row>
    <x:row r="12">
      <x:c r="B12" s="23" t="str">
        <x:v>Source capital screen</x:v>
      </x:c>
      <x:c r="C12" s="23" t="n">
        <x:f>'06 Source sizing'!R13/1000</x:f>
        <x:v>8.2</x:v>
      </x:c>
      <x:c r="D12" s="23" t="str">
        <x:v>USD B</x:v>
      </x:c>
      <x:c r="E12" s="23" t="str">
        <x:v>Target ceilings, not supplier prices</x:v>
      </x:c>
      <x:c r="F12" s="78"/>
      <x:c r="G12" s="78"/>
      <x:c r="H12" s="78"/>
    </x:row>
    <x:row r="13">
      <x:c r="B13" s="56" t="str">
        <x:v>Common electrical-core mass</x:v>
      </x:c>
      <x:c r="C13" s="56" t="n">
        <x:f>'03 Common core'!P13</x:f>
        <x:v>10390</x:v>
      </x:c>
      <x:c r="D13" s="56" t="str">
        <x:v>t</x:v>
      </x:c>
      <x:c r="E13" s="56" t="str">
        <x:v>Source, storage, protection and control</x:v>
      </x:c>
      <x:c r="F13" s="78"/>
      <x:c r="G13" s="78"/>
      <x:c r="H13" s="78"/>
    </x:row>
    <x:row r="14">
      <x:c r="B14" s="56" t="str">
        <x:v>Common electrical-core capital</x:v>
      </x:c>
      <x:c r="C14" s="56" t="n">
        <x:f>'03 Common core'!Q13/1000</x:f>
        <x:v>11.194</x:v>
      </x:c>
      <x:c r="D14" s="56" t="str">
        <x:v>USD B</x:v>
      </x:c>
      <x:c r="E14" s="56" t="str">
        <x:v>Incomplete system comparison</x:v>
      </x:c>
      <x:c r="F14" s="78"/>
      <x:c r="G14" s="78"/>
      <x:c r="H14" s="78"/>
    </x:row>
    <x:row r="15">
      <x:c r="B15" s="23" t="str">
        <x:v>G4 mission pairs</x:v>
      </x:c>
      <x:c r="C15" s="23" t="n">
        <x:f>SUM('12 Translation'!E7:E12)</x:f>
        <x:v>0</x:v>
      </x:c>
      <x:c r="D15" s="23" t="str">
        <x:v>pairs</x:v>
      </x:c>
      <x:c r="E15" s="23" t="str">
        <x:v>Representative substitution required</x:v>
      </x:c>
      <x:c r="F15" s="78"/>
      <x:c r="G15" s="78"/>
      <x:c r="H15" s="78"/>
    </x:row>
    <x:row r="16">
      <x:c r="B16" s="23" t="str">
        <x:v>Admitted quantity credit</x:v>
      </x:c>
      <x:c r="C16" s="23" t="n">
        <x:f>SUM('12 Translation'!F7:F12)</x:f>
        <x:v>0</x:v>
      </x:c>
      <x:c r="D16" s="23" t="str">
        <x:v>articles</x:v>
      </x:c>
      <x:c r="E16" s="23" t="str">
        <x:v>C24 predecessor remains conserved</x:v>
      </x:c>
      <x:c r="F16" s="78"/>
      <x:c r="G16" s="78"/>
      <x:c r="H16" s="78"/>
    </x:row>
    <x:row r="17">
      <x:c r="B17" s="23" t="str">
        <x:v>TCP-01 allocation</x:v>
      </x:c>
      <x:c r="C17" s="23" t="n">
        <x:f>'14 Technology'!C16</x:f>
        <x:v>110</x:v>
      </x:c>
      <x:c r="D17" s="23" t="str">
        <x:v>USD B</x:v>
      </x:c>
      <x:c r="E17" s="23" t="str">
        <x:v>Inside the Pass 160 technology envelope</x:v>
      </x:c>
      <x:c r="F17" s="78"/>
      <x:c r="G17" s="78"/>
      <x:c r="H17" s="78"/>
    </x:row>
    <x:row r="18">
      <x:c r="B18" s="23" t="str">
        <x:v>Campaign article bank</x:v>
      </x:c>
      <x:c r="C18" s="23" t="n">
        <x:f>'15 Campaign'!F14</x:f>
        <x:v>132</x:v>
      </x:c>
      <x:c r="D18" s="23" t="str">
        <x:v>articles</x:v>
      </x:c>
      <x:c r="E18" s="23" t="str">
        <x:v>Source, storage, protection and control</x:v>
      </x:c>
      <x:c r="F18" s="78"/>
      <x:c r="G18" s="78"/>
      <x:c r="H18" s="78"/>
    </x:row>
    <x:row r="19">
      <x:c r="B19" s="23" t="str">
        <x:v>Campaign maximum</x:v>
      </x:c>
      <x:c r="C19" s="23" t="n">
        <x:f>'16 Schedule workforce'!D13/12</x:f>
        <x:v>13.5</x:v>
      </x:c>
      <x:c r="D19" s="23" t="str">
        <x:v>years</x:v>
      </x:c>
      <x:c r="E19" s="23" t="str">
        <x:v>Before production-decision review</x:v>
      </x:c>
      <x:c r="F19" s="78"/>
      <x:c r="G19" s="78"/>
      <x:c r="H19" s="78"/>
    </x:row>
    <x:row r="20">
      <x:c r="B20" s="24" t="str">
        <x:v>Next research object</x:v>
      </x:c>
      <x:c r="C20" s="24" t="str">
        <x:v>RBZ-1</x:v>
      </x:c>
      <x:c r="D20" s="24" t="str">
        <x:v>research</x:v>
      </x:c>
      <x:c r="E20" s="24" t="str">
        <x:v>Clinical utility and medical-continuity contract</x:v>
      </x:c>
      <x:c r="F20" s="78"/>
      <x:c r="G20" s="78"/>
      <x:c r="H20" s="78"/>
    </x:row>
    <x:row r="21">
      <x:c r="B21" s="78"/>
      <x:c r="C21" s="78"/>
      <x:c r="D21" s="78"/>
      <x:c r="E21" s="78"/>
      <x:c r="F21" s="78"/>
      <x:c r="G21" s="78"/>
      <x:c r="H21" s="78"/>
    </x:row>
    <x:row r="22">
      <x:c r="B22" s="78"/>
      <x:c r="C22" s="78"/>
      <x:c r="D22" s="78"/>
      <x:c r="E22" s="78"/>
      <x:c r="F22" s="78"/>
      <x:c r="G22" s="78"/>
      <x:c r="H22" s="78"/>
    </x:row>
    <x:row r="23">
      <x:c r="B23" s="78"/>
      <x:c r="C23" s="78"/>
      <x:c r="D23" s="78"/>
      <x:c r="E23" s="78"/>
      <x:c r="F23" s="78"/>
      <x:c r="G23" s="78"/>
      <x:c r="H23" s="78"/>
    </x:row>
    <x:row r="24" ht="34" customHeight="1">
      <x:c r="B24" s="41" t="str">
        <x:v>Decision: advance the nested source lattice to representative research. Preserve every C24 power article. Medical force credit, carried-cell storage credit, procurement, fielding and exterior rendering remain unavailable.</x:v>
      </x:c>
      <x:c r="C24" s="42"/>
      <x:c r="D24" s="42"/>
      <x:c r="E24" s="42"/>
      <x:c r="F24" s="42"/>
      <x:c r="G24" s="42"/>
      <x:c r="H24" s="43"/>
    </x:row>
  </x:sheetData>
  <x:mergeCells>
    <x:mergeCell ref="B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C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2" hidden="0" customWidth="1"/>
    <x:col min="3" max="3" width="16" hidden="0" customWidth="1"/>
    <x:col min="4" max="4" width="20" hidden="0" customWidth="1"/>
    <x:col min="5" max="5" width="18" hidden="0" customWidth="1"/>
    <x:col min="6" max="6" width="62" hidden="0" customWidth="1"/>
  </x:cols>
  <x:sheetData>
    <x:row r="2">
      <x:c r="B2" s="1" t="str">
        <x:v>Controls and policy limits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Editable planning inputs. Yellow cells are declared assumptions or target ceilings.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Control</x:v>
      </x:c>
      <x:c r="C6" s="17" t="str">
        <x:v>Value</x:v>
      </x:c>
      <x:c r="D6" s="17" t="str">
        <x:v>Unit</x:v>
      </x:c>
      <x:c r="E6" s="17" t="str">
        <x:v>Status</x:v>
      </x:c>
      <x:c r="F6" s="18" t="str">
        <x:v>Meaning</x:v>
      </x:c>
      <x:c r="G6" s="78"/>
      <x:c r="H6" s="78"/>
    </x:row>
    <x:row r="7">
      <x:c r="B7" s="23" t="str">
        <x:v>Largest-source loss</x:v>
      </x:c>
      <x:c r="C7" s="27" t="n">
        <x:v>1</x:v>
      </x:c>
      <x:c r="D7" s="23" t="str">
        <x:v>article</x:v>
      </x:c>
      <x:c r="E7" s="23" t="str">
        <x:v>CONSTITUTED</x:v>
      </x:c>
      <x:c r="F7" s="23" t="str">
        <x:v>Applied independently from reserve</x:v>
      </x:c>
      <x:c r="G7" s="78"/>
      <x:c r="H7" s="78"/>
    </x:row>
    <x:row r="8">
      <x:c r="B8" s="23" t="str">
        <x:v>Small-duty excess ceiling</x:v>
      </x:c>
      <x:c r="C8" s="27" t="n">
        <x:v>4</x:v>
      </x:c>
      <x:c r="D8" s="23" t="str">
        <x:v>installed / continuous</x:v>
      </x:c>
      <x:c r="E8" s="23" t="str">
        <x:v>DECLARED</x:v>
      </x:c>
      <x:c r="F8" s="23" t="str">
        <x:v>Rejects a source scale too large for carried cells</x:v>
      </x:c>
      <x:c r="G8" s="78"/>
      <x:c r="H8" s="78"/>
    </x:row>
    <x:row r="9">
      <x:c r="B9" s="23" t="str">
        <x:v>PRG source-article ceiling</x:v>
      </x:c>
      <x:c r="C9" s="27" t="n">
        <x:v>40</x:v>
      </x:c>
      <x:c r="D9" s="23" t="str">
        <x:v>articles</x:v>
      </x:c>
      <x:c r="E9" s="23" t="str">
        <x:v>DECLARED</x:v>
      </x:c>
      <x:c r="F9" s="23" t="str">
        <x:v>Screens inspection and connection complexity</x:v>
      </x:c>
      <x:c r="G9" s="78"/>
      <x:c r="H9" s="78"/>
    </x:row>
    <x:row r="10">
      <x:c r="B10" s="23" t="str">
        <x:v>Storage usable fraction</x:v>
      </x:c>
      <x:c r="C10" s="29" t="n">
        <x:v>0.8</x:v>
      </x:c>
      <x:c r="D10" s="23" t="str">
        <x:v>share</x:v>
      </x:c>
      <x:c r="E10" s="23" t="str">
        <x:v>DECLARED</x:v>
      </x:c>
      <x:c r="F10" s="23" t="str">
        <x:v>Available energy window</x:v>
      </x:c>
      <x:c r="G10" s="78"/>
      <x:c r="H10" s="78"/>
    </x:row>
    <x:row r="11">
      <x:c r="B11" s="23" t="str">
        <x:v>Storage discharge efficiency</x:v>
      </x:c>
      <x:c r="C11" s="29" t="n">
        <x:v>0.92</x:v>
      </x:c>
      <x:c r="D11" s="23" t="str">
        <x:v>share</x:v>
      </x:c>
      <x:c r="E11" s="23" t="str">
        <x:v>DECLARED</x:v>
      </x:c>
      <x:c r="F11" s="23" t="str">
        <x:v>Bus-delivered energy screen</x:v>
      </x:c>
      <x:c r="G11" s="78"/>
      <x:c r="H11" s="78"/>
    </x:row>
    <x:row r="12">
      <x:c r="B12" s="23" t="str">
        <x:v>Storage reserve</x:v>
      </x:c>
      <x:c r="C12" s="29" t="n">
        <x:v>0.2</x:v>
      </x:c>
      <x:c r="D12" s="23" t="str">
        <x:v>share</x:v>
      </x:c>
      <x:c r="E12" s="23" t="str">
        <x:v>DECLARED</x:v>
      </x:c>
      <x:c r="F12" s="23" t="str">
        <x:v>Additional nameplate energy</x:v>
      </x:c>
      <x:c r="G12" s="78"/>
      <x:c r="H12" s="78"/>
    </x:row>
    <x:row r="13">
      <x:c r="B13" s="23" t="str">
        <x:v>PTN-5 rating</x:v>
      </x:c>
      <x:c r="C13" s="27" t="n">
        <x:v>5</x:v>
      </x:c>
      <x:c r="D13" s="23" t="str">
        <x:v>MVA</x:v>
      </x:c>
      <x:c r="E13" s="23" t="str">
        <x:v>TARGET</x:v>
      </x:c>
      <x:c r="F13" s="23" t="str">
        <x:v>Small and middle protection node</x:v>
      </x:c>
      <x:c r="G13" s="78"/>
      <x:c r="H13" s="78"/>
    </x:row>
    <x:row r="14">
      <x:c r="B14" s="23" t="str">
        <x:v>PTN-25 rating</x:v>
      </x:c>
      <x:c r="C14" s="27" t="n">
        <x:v>25</x:v>
      </x:c>
      <x:c r="D14" s="23" t="str">
        <x:v>MVA</x:v>
      </x:c>
      <x:c r="E14" s="23" t="str">
        <x:v>TARGET</x:v>
      </x:c>
      <x:c r="F14" s="23" t="str">
        <x:v>District transformation node</x:v>
      </x:c>
      <x:c r="G14" s="78"/>
      <x:c r="H14" s="78"/>
    </x:row>
    <x:row r="15">
      <x:c r="B15" s="23" t="str">
        <x:v>PTN-5 dry mass</x:v>
      </x:c>
      <x:c r="C15" s="27" t="n">
        <x:v>35</x:v>
      </x:c>
      <x:c r="D15" s="23" t="str">
        <x:v>t</x:v>
      </x:c>
      <x:c r="E15" s="23" t="str">
        <x:v>TARGET</x:v>
      </x:c>
      <x:c r="F15" s="23" t="str">
        <x:v>Excludes route material</x:v>
      </x:c>
      <x:c r="G15" s="78"/>
      <x:c r="H15" s="78"/>
    </x:row>
    <x:row r="16">
      <x:c r="B16" s="23" t="str">
        <x:v>PTN-25 dry mass</x:v>
      </x:c>
      <x:c r="C16" s="27" t="n">
        <x:v>172</x:v>
      </x:c>
      <x:c r="D16" s="23" t="str">
        <x:v>t</x:v>
      </x:c>
      <x:c r="E16" s="23" t="str">
        <x:v>TARGET</x:v>
      </x:c>
      <x:c r="F16" s="23" t="str">
        <x:v>Reproduces PRG transformation average</x:v>
      </x:c>
      <x:c r="G16" s="78"/>
      <x:c r="H16" s="78"/>
    </x:row>
    <x:row r="17">
      <x:c r="B17" s="23" t="str">
        <x:v>PTN-5 capital</x:v>
      </x:c>
      <x:c r="C17" s="27" t="n">
        <x:v>20</x:v>
      </x:c>
      <x:c r="D17" s="23" t="str">
        <x:v>USD M</x:v>
      </x:c>
      <x:c r="E17" s="23" t="str">
        <x:v>TARGET</x:v>
      </x:c>
      <x:c r="F17" s="23" t="str">
        <x:v>Architecture comparison only</x:v>
      </x:c>
      <x:c r="G17" s="78"/>
      <x:c r="H17" s="78"/>
    </x:row>
    <x:row r="18">
      <x:c r="B18" s="23" t="str">
        <x:v>PTN-25 capital</x:v>
      </x:c>
      <x:c r="C18" s="27" t="n">
        <x:v>80</x:v>
      </x:c>
      <x:c r="D18" s="23" t="str">
        <x:v>USD M</x:v>
      </x:c>
      <x:c r="E18" s="23" t="str">
        <x:v>TARGET</x:v>
      </x:c>
      <x:c r="F18" s="23" t="str">
        <x:v>Architecture comparison only</x:v>
      </x:c>
      <x:c r="G18" s="78"/>
      <x:c r="H18" s="78"/>
    </x:row>
    <x:row r="19">
      <x:c r="B19" s="23" t="str">
        <x:v>CLC-1 dry mass</x:v>
      </x:c>
      <x:c r="C19" s="27" t="n">
        <x:v>12</x:v>
      </x:c>
      <x:c r="D19" s="23" t="str">
        <x:v>t</x:v>
      </x:c>
      <x:c r="E19" s="23" t="str">
        <x:v>TARGET</x:v>
      </x:c>
      <x:c r="F19" s="23" t="str">
        <x:v>Local control and evidence</x:v>
      </x:c>
      <x:c r="G19" s="78"/>
      <x:c r="H19" s="78"/>
    </x:row>
    <x:row r="20">
      <x:c r="B20" s="23" t="str">
        <x:v>CLC-1 capital</x:v>
      </x:c>
      <x:c r="C20" s="27" t="n">
        <x:v>12</x:v>
      </x:c>
      <x:c r="D20" s="23" t="str">
        <x:v>USD M</x:v>
      </x:c>
      <x:c r="E20" s="23" t="str">
        <x:v>TARGET</x:v>
      </x:c>
      <x:c r="F20" s="23" t="str">
        <x:v>Architecture comparison only</x:v>
      </x:c>
      <x:c r="G20" s="78"/>
      <x:c r="H20" s="78"/>
    </x:row>
    <x:row r="21">
      <x:c r="B21" s="23" t="str">
        <x:v>TCP-01 envelope</x:v>
      </x:c>
      <x:c r="C21" s="27" t="n">
        <x:v>110</x:v>
      </x:c>
      <x:c r="D21" s="23" t="str">
        <x:v>USD B</x:v>
      </x:c>
      <x:c r="E21" s="23" t="str">
        <x:v>INHERITED</x:v>
      </x:c>
      <x:c r="F21" s="23" t="str">
        <x:v>Part of Pass 160 USD 1T technology envelope</x:v>
      </x:c>
      <x:c r="G21" s="78"/>
      <x:c r="H21" s="78"/>
    </x:row>
    <x:row r="22">
      <x:c r="B22" s="24" t="str">
        <x:v>Admitted cross-credit</x:v>
      </x:c>
      <x:c r="C22" s="28" t="n">
        <x:v>0</x:v>
      </x:c>
      <x:c r="D22" s="24" t="str">
        <x:v>articles</x:v>
      </x:c>
      <x:c r="E22" s="24" t="str">
        <x:v>CONSTITUTED</x:v>
      </x:c>
      <x:c r="F22" s="24" t="str">
        <x:v>Remains zero until G4 and reservation closure</x:v>
      </x:c>
      <x:c r="G22" s="78"/>
      <x:c r="H22" s="7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A93B"/>
  </x:sheetPr>
  <x:sheetViews>
    <x:sheetView showGridLines="0" workbookViewId="0"/>
  </x:sheetViews>
  <x:sheetFormatPr defaultRowHeight="15"/>
  <x:cols>
    <x:col min="2" max="2" width="28" hidden="0" customWidth="1"/>
    <x:col min="3" max="3" width="18" hidden="0" customWidth="1"/>
    <x:col min="4" max="4" width="24" hidden="0" customWidth="1"/>
    <x:col min="5" max="5" width="25" hidden="0" customWidth="1"/>
    <x:col min="6" max="6" width="18" hidden="0" customWidth="1"/>
    <x:col min="7" max="7" width="22" hidden="0" customWidth="1"/>
    <x:col min="8" max="8" width="16" hidden="0" customWidth="1"/>
    <x:col min="9" max="9" width="23" hidden="0" customWidth="1"/>
    <x:col min="10" max="10" width="42" hidden="0" customWidth="1"/>
  </x:cols>
  <x:sheetData>
    <x:row r="2">
      <x:c r="B2" s="1" t="str">
        <x:v>Source-scale architecture comparison</x:v>
      </x:c>
      <x:c r="C2" s="78"/>
      <x:c r="D2" s="78"/>
      <x:c r="E2" s="78"/>
      <x:c r="F2" s="78"/>
      <x:c r="G2" s="78"/>
      <x:c r="H2" s="78"/>
      <x:c r="I2" s="78"/>
      <x:c r="J2" s="78"/>
    </x:row>
    <x:row r="3">
      <x:c r="B3" s="79"/>
      <x:c r="C3" s="79"/>
      <x:c r="D3" s="79"/>
      <x:c r="E3" s="79"/>
      <x:c r="F3" s="79"/>
      <x:c r="G3" s="79"/>
      <x:c r="H3" s="79"/>
      <x:c r="I3" s="78"/>
      <x:c r="J3" s="78"/>
    </x:row>
    <x:row r="4">
      <x:c r="B4" s="4" t="str">
        <x:v>Four calculated architectures are compared across the same six reference duties.</x:v>
      </x:c>
      <x:c r="C4" s="78"/>
      <x:c r="D4" s="78"/>
      <x:c r="E4" s="78"/>
      <x:c r="F4" s="78"/>
      <x:c r="G4" s="78"/>
      <x:c r="H4" s="78"/>
      <x:c r="I4" s="78"/>
      <x:c r="J4" s="78"/>
    </x:row>
    <x:row r="5">
      <x:c r="B5" s="78"/>
      <x:c r="C5" s="78"/>
      <x:c r="D5" s="78"/>
      <x:c r="E5" s="78"/>
      <x:c r="F5" s="78"/>
      <x:c r="G5" s="78"/>
      <x:c r="H5" s="78"/>
      <x:c r="I5" s="78"/>
      <x:c r="J5" s="78"/>
    </x:row>
    <x:row r="6">
      <x:c r="B6" s="16" t="str">
        <x:v>Architecture</x:v>
      </x:c>
      <x:c r="C6" s="17" t="str">
        <x:v>Source articles</x:v>
      </x:c>
      <x:c r="D6" s="17" t="str">
        <x:v>Installed continuous MW</x:v>
      </x:c>
      <x:c r="E6" s="17" t="str">
        <x:v>Excess vs duty continuous</x:v>
      </x:c>
      <x:c r="F6" s="17" t="str">
        <x:v>Source dry t</x:v>
      </x:c>
      <x:c r="G6" s="17" t="str">
        <x:v>Source capital USD B</x:v>
      </x:c>
      <x:c r="H6" s="17" t="str">
        <x:v>PRG articles</x:v>
      </x:c>
      <x:c r="I6" s="17" t="str">
        <x:v>PTS-5 installed / duty</x:v>
      </x:c>
      <x:c r="J6" s="18" t="str">
        <x:v>Planning result</x:v>
      </x:c>
    </x:row>
    <x:row r="7">
      <x:c r="B7" s="23" t="str">
        <x:v>Universal SPC-1</x:v>
      </x:c>
      <x:c r="C7" s="23" t="n">
        <x:f>SUM('06 Source sizing'!H7:H12)</x:f>
        <x:v>186</x:v>
      </x:c>
      <x:c r="D7" s="53" t="n">
        <x:f>SUM('06 Source sizing'!I7:I12)</x:f>
        <x:v>232.5</x:v>
      </x:c>
      <x:c r="E7" s="52" t="n">
        <x:f>D7/SUM('04 Duty profiles'!$D$7:$D$12)-1</x:f>
        <x:v>0.47047727518094296</x:v>
      </x:c>
      <x:c r="F7" s="54" t="n">
        <x:f>C7*'05 Source classes'!E7</x:f>
        <x:v>4650</x:v>
      </x:c>
      <x:c r="G7" s="54" t="n">
        <x:f>C7*'05 Source classes'!F7/1000</x:f>
        <x:v>9.3</x:v>
      </x:c>
      <x:c r="H7" s="23" t="n">
        <x:f>'06 Source sizing'!H9</x:f>
        <x:v>111</x:v>
      </x:c>
      <x:c r="I7" s="55" t="n">
        <x:f>'06 Source sizing'!I11/'04 Duty profiles'!D11</x:f>
        <x:v>2.6368341114923775</x:v>
      </x:c>
      <x:c r="J7" s="23" t="str">
        <x:v>HELD: district article count</x:v>
      </x:c>
    </x:row>
    <x:row r="8">
      <x:c r="B8" s="23" t="str">
        <x:v>Universal SPC-5</x:v>
      </x:c>
      <x:c r="C8" s="23" t="n">
        <x:f>SUM('06 Source sizing'!J7:J12)</x:f>
        <x:v>51</x:v>
      </x:c>
      <x:c r="D8" s="53" t="n">
        <x:f>SUM('06 Source sizing'!K7:K12)</x:f>
        <x:v>255</x:v>
      </x:c>
      <x:c r="E8" s="52" t="n">
        <x:f>D8/SUM('04 Duty profiles'!$D$7:$D$12)-1</x:f>
        <x:v>0.6127815276178084</x:v>
      </x:c>
      <x:c r="F8" s="54" t="n">
        <x:f>C8*'05 Source classes'!E8</x:f>
        <x:v>5610</x:v>
      </x:c>
      <x:c r="G8" s="54" t="n">
        <x:f>C8*'05 Source classes'!F8/1000</x:f>
        <x:v>9.18</x:v>
      </x:c>
      <x:c r="H8" s="23" t="n">
        <x:f>'06 Source sizing'!J9</x:f>
        <x:v>28</x:v>
      </x:c>
      <x:c r="I8" s="55" t="n">
        <x:f>'06 Source sizing'!K11/'04 Duty profiles'!D11</x:f>
        <x:v>7.031557630646341</x:v>
      </x:c>
      <x:c r="J8" s="23" t="str">
        <x:v>HELD: carried-cell granularity</x:v>
      </x:c>
    </x:row>
    <x:row r="9">
      <x:c r="B9" s="23" t="str">
        <x:v>Universal SPC-10</x:v>
      </x:c>
      <x:c r="C9" s="23" t="n">
        <x:f>SUM('06 Source sizing'!L7:L12)</x:f>
        <x:v>30</x:v>
      </x:c>
      <x:c r="D9" s="53" t="n">
        <x:f>SUM('06 Source sizing'!M7:M12)</x:f>
        <x:v>300</x:v>
      </x:c>
      <x:c r="E9" s="52" t="n">
        <x:f>D9/SUM('04 Duty profiles'!$D$7:$D$12)-1</x:f>
        <x:v>0.8973900324915394</x:v>
      </x:c>
      <x:c r="F9" s="54" t="n">
        <x:f>C9*'05 Source classes'!E9</x:f>
        <x:v>6000</x:v>
      </x:c>
      <x:c r="G9" s="54" t="n">
        <x:f>C9*'05 Source classes'!F9/1000</x:f>
        <x:v>9.6</x:v>
      </x:c>
      <x:c r="H9" s="23" t="n">
        <x:f>'06 Source sizing'!L9</x:f>
        <x:v>14</x:v>
      </x:c>
      <x:c r="I9" s="55" t="n">
        <x:f>'06 Source sizing'!M11/'04 Duty profiles'!D11</x:f>
        <x:v>14.063115261292682</x:v>
      </x:c>
      <x:c r="J9" s="23" t="str">
        <x:v>HELD: carried-cell granularity</x:v>
      </x:c>
    </x:row>
    <x:row r="10">
      <x:c r="B10" s="56" t="str">
        <x:v>Nested SPC-1/5/10</x:v>
      </x:c>
      <x:c r="C10" s="56" t="n">
        <x:f>'06 Source sizing'!O13</x:f>
        <x:v>39</x:v>
      </x:c>
      <x:c r="D10" s="57" t="n">
        <x:f>'06 Source sizing'!P13</x:f>
        <x:v>242.5</x:v>
      </x:c>
      <x:c r="E10" s="58" t="n">
        <x:f>D10/SUM('04 Duty profiles'!$D$7:$D$12)-1</x:f>
        <x:v>0.5337236095973277</x:v>
      </x:c>
      <x:c r="F10" s="59" t="n">
        <x:f>'06 Source sizing'!Q13</x:f>
        <x:v>5040</x:v>
      </x:c>
      <x:c r="G10" s="59" t="n">
        <x:f>'06 Source sizing'!R13/1000</x:f>
        <x:v>8.2</x:v>
      </x:c>
      <x:c r="H10" s="56" t="n">
        <x:f>'06 Source sizing'!O9</x:f>
        <x:v>14</x:v>
      </x:c>
      <x:c r="I10" s="60" t="n">
        <x:f>'06 Source sizing'!P11/'04 Duty profiles'!D11</x:f>
        <x:v>2.6368341114923775</x:v>
      </x:c>
      <x:c r="J10" s="56" t="str">
        <x:v>ADVANCE TO TEST</x:v>
      </x:c>
    </x:row>
    <x:row r="11">
      <x:c r="B11" s="24" t="str">
        <x:v>Converter-defined fabric</x:v>
      </x:c>
      <x:c r="C11" s="24"/>
      <x:c r="D11" s="24"/>
      <x:c r="E11" s="24"/>
      <x:c r="F11" s="24"/>
      <x:c r="G11" s="24"/>
      <x:c r="H11" s="24"/>
      <x:c r="I11" s="24"/>
      <x:c r="J11" s="24" t="str">
        <x:v>RESEARCH CHALLENGER; QUANTITY UNAVAILABLE</x:v>
      </x:c>
    </x:row>
    <x:row r="12">
      <x:c r="B12" s="78"/>
      <x:c r="C12" s="78"/>
      <x:c r="D12" s="78"/>
      <x:c r="E12" s="78"/>
      <x:c r="F12" s="78"/>
      <x:c r="G12" s="78"/>
      <x:c r="H12" s="78"/>
      <x:c r="I12" s="78"/>
      <x:c r="J12" s="78"/>
    </x:row>
    <x:row r="13">
      <x:c r="B13" s="78"/>
      <x:c r="C13" s="78"/>
      <x:c r="D13" s="78"/>
      <x:c r="E13" s="78"/>
      <x:c r="F13" s="78"/>
      <x:c r="G13" s="78"/>
      <x:c r="H13" s="78"/>
      <x:c r="I13" s="78"/>
      <x:c r="J13" s="78"/>
    </x:row>
    <x:row r="14" ht="34" customHeight="1">
      <x:c r="B14" s="41" t="str">
        <x:v>The nested architecture advances because it balances loss quantum, carried-cell granularity and district article count. No candidate has physical admission.</x:v>
      </x:c>
      <x:c r="C14" s="42"/>
      <x:c r="D14" s="42"/>
      <x:c r="E14" s="42"/>
      <x:c r="F14" s="42"/>
      <x:c r="G14" s="42"/>
      <x:c r="H14" s="43"/>
      <x:c r="I14" s="78"/>
      <x:c r="J14" s="78"/>
    </x:row>
  </x:sheetData>
  <x:mergeCells>
    <x:mergeCell ref="B14:H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9A93B"/>
  </x:sheetPr>
  <x:sheetViews>
    <x:sheetView showGridLines="0" workbookViewId="0"/>
  </x:sheetViews>
  <x:sheetFormatPr defaultRowHeight="15"/>
  <x:cols>
    <x:col min="2" max="2" width="14" hidden="0" customWidth="1"/>
    <x:col min="3" max="3" width="16" hidden="0" customWidth="1"/>
    <x:col min="4" max="4" width="15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9" hidden="0" customWidth="1"/>
    <x:col min="10" max="10" width="18" hidden="0" customWidth="1"/>
    <x:col min="11" max="11" width="19" hidden="0" customWidth="1"/>
    <x:col min="12" max="12" width="21" hidden="0" customWidth="1"/>
    <x:col min="13" max="13" width="16" hidden="0" customWidth="1"/>
    <x:col min="14" max="14" width="17" hidden="0" customWidth="1"/>
    <x:col min="15" max="15" width="19" hidden="0" customWidth="1"/>
    <x:col min="16" max="16" width="17" hidden="0" customWidth="1"/>
    <x:col min="17" max="17" width="18" hidden="0" customWidth="1"/>
  </x:cols>
  <x:sheetData>
    <x:row r="2">
      <x:c r="B2" s="1" t="str">
        <x:v>Selected common electrical core</x:v>
      </x:c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</x:row>
    <x:row r="3">
      <x:c r="B3" s="79"/>
      <x:c r="C3" s="79"/>
      <x:c r="D3" s="79"/>
      <x:c r="E3" s="79"/>
      <x:c r="F3" s="79"/>
      <x:c r="G3" s="79"/>
      <x:c r="H3" s="79"/>
      <x:c r="I3" s="78"/>
      <x:c r="J3" s="78"/>
      <x:c r="K3" s="78"/>
      <x:c r="L3" s="78"/>
      <x:c r="M3" s="78"/>
      <x:c r="N3" s="78"/>
      <x:c r="O3" s="78"/>
      <x:c r="P3" s="78"/>
      <x:c r="Q3" s="78"/>
    </x:row>
    <x:row r="4">
      <x:c r="B4" s="4" t="str">
        <x:v>Source, storage, protection and local control only. Energy, heat, routes and receivers remain outside.</x:v>
      </x:c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</x:row>
    <x:row r="5"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</x:row>
    <x:row r="6">
      <x:c r="B6" s="16" t="str">
        <x:v>Duty</x:v>
      </x:c>
      <x:c r="C6" s="17" t="str">
        <x:v>Source articles</x:v>
      </x:c>
      <x:c r="D6" s="17" t="str">
        <x:v>Source MW</x:v>
      </x:c>
      <x:c r="E6" s="17" t="str">
        <x:v>Source dry t</x:v>
      </x:c>
      <x:c r="F6" s="17" t="str">
        <x:v>Source USD M</x:v>
      </x:c>
      <x:c r="G6" s="17" t="str">
        <x:v>Storage articles</x:v>
      </x:c>
      <x:c r="H6" s="17" t="str">
        <x:v>Storage dry t</x:v>
      </x:c>
      <x:c r="I6" s="17" t="str">
        <x:v>Storage USD M</x:v>
      </x:c>
      <x:c r="J6" s="17" t="str">
        <x:v>Protection nodes</x:v>
      </x:c>
      <x:c r="K6" s="17" t="str">
        <x:v>Protection dry t</x:v>
      </x:c>
      <x:c r="L6" s="17" t="str">
        <x:v>Protection USD M</x:v>
      </x:c>
      <x:c r="M6" s="17" t="str">
        <x:v>Control cells</x:v>
      </x:c>
      <x:c r="N6" s="17" t="str">
        <x:v>Control dry t</x:v>
      </x:c>
      <x:c r="O6" s="17" t="str">
        <x:v>Control USD M</x:v>
      </x:c>
      <x:c r="P6" s="17" t="str">
        <x:v>Core dry t</x:v>
      </x:c>
      <x:c r="Q6" s="18" t="str">
        <x:v>Core USD M</x:v>
      </x:c>
    </x:row>
    <x:row r="7">
      <x:c r="B7" s="23" t="str">
        <x:v>D-FIRE</x:v>
      </x:c>
      <x:c r="C7" s="23" t="n">
        <x:f>'06 Source sizing'!O7</x:f>
        <x:v>6</x:v>
      </x:c>
      <x:c r="D7" s="23" t="n">
        <x:f>'06 Source sizing'!P7</x:f>
        <x:v>30</x:v>
      </x:c>
      <x:c r="E7" s="23" t="n">
        <x:f>'06 Source sizing'!Q7</x:f>
        <x:v>660</x:v>
      </x:c>
      <x:c r="F7" s="23" t="n">
        <x:f>'06 Source sizing'!R7</x:f>
        <x:v>1080</x:v>
      </x:c>
      <x:c r="G7" s="23" t="n">
        <x:f>'07 Storage'!H7</x:f>
        <x:v>2</x:v>
      </x:c>
      <x:c r="H7" s="23" t="n">
        <x:f>'07 Storage'!K7</x:f>
        <x:v>160</x:v>
      </x:c>
      <x:c r="I7" s="23" t="n">
        <x:f>'07 Storage'!L7</x:f>
        <x:v>110</x:v>
      </x:c>
      <x:c r="J7" s="23" t="n">
        <x:f>'08 Protection'!I7</x:f>
        <x:v>9</x:v>
      </x:c>
      <x:c r="K7" s="23" t="n">
        <x:f>'08 Protection'!K7</x:f>
        <x:v>315</x:v>
      </x:c>
      <x:c r="L7" s="23" t="n">
        <x:f>'08 Protection'!L7</x:f>
        <x:v>180</x:v>
      </x:c>
      <x:c r="M7" s="23" t="n">
        <x:f>'09 Local control'!E7</x:f>
        <x:v>7</x:v>
      </x:c>
      <x:c r="N7" s="23" t="n">
        <x:f>'09 Local control'!F7</x:f>
        <x:v>84</x:v>
      </x:c>
      <x:c r="O7" s="23" t="n">
        <x:f>'09 Local control'!G7</x:f>
        <x:v>84</x:v>
      </x:c>
      <x:c r="P7" s="23" t="n">
        <x:f>E7+H7+K7+N7</x:f>
        <x:v>1219</x:v>
      </x:c>
      <x:c r="Q7" s="70" t="n">
        <x:f>F7+I7+L7+O7</x:f>
        <x:v>1454</x:v>
      </x:c>
    </x:row>
    <x:row r="8">
      <x:c r="B8" s="23" t="str">
        <x:v>D-FLOOD</x:v>
      </x:c>
      <x:c r="C8" s="23" t="n">
        <x:f>'06 Source sizing'!O8</x:f>
        <x:v>7</x:v>
      </x:c>
      <x:c r="D8" s="23" t="n">
        <x:f>'06 Source sizing'!P8</x:f>
        <x:v>35</x:v>
      </x:c>
      <x:c r="E8" s="23" t="n">
        <x:f>'06 Source sizing'!Q8</x:f>
        <x:v>770</x:v>
      </x:c>
      <x:c r="F8" s="23" t="n">
        <x:f>'06 Source sizing'!R8</x:f>
        <x:v>1260</x:v>
      </x:c>
      <x:c r="G8" s="23" t="n">
        <x:f>'07 Storage'!H8</x:f>
        <x:v>3</x:v>
      </x:c>
      <x:c r="H8" s="23" t="n">
        <x:f>'07 Storage'!K8</x:f>
        <x:v>150</x:v>
      </x:c>
      <x:c r="I8" s="23" t="n">
        <x:f>'07 Storage'!L8</x:f>
        <x:v>105</x:v>
      </x:c>
      <x:c r="J8" s="23" t="n">
        <x:f>'08 Protection'!I8</x:f>
        <x:v>9</x:v>
      </x:c>
      <x:c r="K8" s="23" t="n">
        <x:f>'08 Protection'!K8</x:f>
        <x:v>315</x:v>
      </x:c>
      <x:c r="L8" s="23" t="n">
        <x:f>'08 Protection'!L8</x:f>
        <x:v>180</x:v>
      </x:c>
      <x:c r="M8" s="23" t="n">
        <x:f>'09 Local control'!E8</x:f>
        <x:v>4</x:v>
      </x:c>
      <x:c r="N8" s="23" t="n">
        <x:f>'09 Local control'!F8</x:f>
        <x:v>48</x:v>
      </x:c>
      <x:c r="O8" s="23" t="n">
        <x:f>'09 Local control'!G8</x:f>
        <x:v>48</x:v>
      </x:c>
      <x:c r="P8" s="23" t="n">
        <x:f>E8+H8+K8+N8</x:f>
        <x:v>1283</x:v>
      </x:c>
      <x:c r="Q8" s="70" t="n">
        <x:f>F8+I8+L8+O8</x:f>
        <x:v>1593</x:v>
      </x:c>
    </x:row>
    <x:row r="9">
      <x:c r="B9" s="23" t="str">
        <x:v>D-PRG</x:v>
      </x:c>
      <x:c r="C9" s="23" t="n">
        <x:f>'06 Source sizing'!O9</x:f>
        <x:v>14</x:v>
      </x:c>
      <x:c r="D9" s="23" t="n">
        <x:f>'06 Source sizing'!P9</x:f>
        <x:v>140</x:v>
      </x:c>
      <x:c r="E9" s="23" t="n">
        <x:f>'06 Source sizing'!Q9</x:f>
        <x:v>2800</x:v>
      </x:c>
      <x:c r="F9" s="23" t="n">
        <x:f>'06 Source sizing'!R9</x:f>
        <x:v>4480</x:v>
      </x:c>
      <x:c r="G9" s="23" t="n">
        <x:f>'07 Storage'!H9</x:f>
        <x:v>7</x:v>
      </x:c>
      <x:c r="H9" s="23" t="n">
        <x:f>'07 Storage'!K9</x:f>
        <x:v>1750</x:v>
      </x:c>
      <x:c r="I9" s="23" t="n">
        <x:f>'07 Storage'!L9</x:f>
        <x:v>840</x:v>
      </x:c>
      <x:c r="J9" s="23" t="n">
        <x:f>'08 Protection'!I9</x:f>
        <x:v>8</x:v>
      </x:c>
      <x:c r="K9" s="23" t="n">
        <x:f>'08 Protection'!K9</x:f>
        <x:v>1376</x:v>
      </x:c>
      <x:c r="L9" s="23" t="n">
        <x:f>'08 Protection'!L9</x:f>
        <x:v>640</x:v>
      </x:c>
      <x:c r="M9" s="23" t="n">
        <x:f>'09 Local control'!E9</x:f>
        <x:v>6</x:v>
      </x:c>
      <x:c r="N9" s="23" t="n">
        <x:f>'09 Local control'!F9</x:f>
        <x:v>72</x:v>
      </x:c>
      <x:c r="O9" s="23" t="n">
        <x:f>'09 Local control'!G9</x:f>
        <x:v>72</x:v>
      </x:c>
      <x:c r="P9" s="23" t="n">
        <x:f>E9+H9+K9+N9</x:f>
        <x:v>5998</x:v>
      </x:c>
      <x:c r="Q9" s="70" t="n">
        <x:f>F9+I9+L9+O9</x:f>
        <x:v>6032</x:v>
      </x:c>
    </x:row>
    <x:row r="10">
      <x:c r="B10" s="23" t="str">
        <x:v>D-MED22</x:v>
      </x:c>
      <x:c r="C10" s="23" t="n">
        <x:f>'06 Source sizing'!O10</x:f>
        <x:v>6</x:v>
      </x:c>
      <x:c r="D10" s="23" t="n">
        <x:f>'06 Source sizing'!P10</x:f>
        <x:v>30</x:v>
      </x:c>
      <x:c r="E10" s="23" t="n">
        <x:f>'06 Source sizing'!Q10</x:f>
        <x:v>660</x:v>
      </x:c>
      <x:c r="F10" s="23" t="n">
        <x:f>'06 Source sizing'!R10</x:f>
        <x:v>1080</x:v>
      </x:c>
      <x:c r="G10" s="23" t="n">
        <x:f>'07 Storage'!H10</x:f>
        <x:v>3</x:v>
      </x:c>
      <x:c r="H10" s="23" t="n">
        <x:f>'07 Storage'!K10</x:f>
        <x:v>240</x:v>
      </x:c>
      <x:c r="I10" s="23" t="n">
        <x:f>'07 Storage'!L10</x:f>
        <x:v>165</x:v>
      </x:c>
      <x:c r="J10" s="23" t="n">
        <x:f>'08 Protection'!I10</x:f>
        <x:v>8</x:v>
      </x:c>
      <x:c r="K10" s="23" t="n">
        <x:f>'08 Protection'!K10</x:f>
        <x:v>280</x:v>
      </x:c>
      <x:c r="L10" s="23" t="n">
        <x:f>'08 Protection'!L10</x:f>
        <x:v>160</x:v>
      </x:c>
      <x:c r="M10" s="23" t="n">
        <x:f>'09 Local control'!E10</x:f>
        <x:v>4</x:v>
      </x:c>
      <x:c r="N10" s="23" t="n">
        <x:f>'09 Local control'!F10</x:f>
        <x:v>48</x:v>
      </x:c>
      <x:c r="O10" s="23" t="n">
        <x:f>'09 Local control'!G10</x:f>
        <x:v>48</x:v>
      </x:c>
      <x:c r="P10" s="23" t="n">
        <x:f>E10+H10+K10+N10</x:f>
        <x:v>1228</x:v>
      </x:c>
      <x:c r="Q10" s="70" t="n">
        <x:f>F10+I10+L10+O10</x:f>
        <x:v>1453</x:v>
      </x:c>
    </x:row>
    <x:row r="11">
      <x:c r="B11" s="23" t="str">
        <x:v>D-PTS5</x:v>
      </x:c>
      <x:c r="C11" s="23" t="n">
        <x:f>'06 Source sizing'!O11</x:f>
        <x:v>3</x:v>
      </x:c>
      <x:c r="D11" s="23" t="n">
        <x:f>'06 Source sizing'!P11</x:f>
        <x:v>3.75</x:v>
      </x:c>
      <x:c r="E11" s="23" t="n">
        <x:f>'06 Source sizing'!Q11</x:f>
        <x:v>75</x:v>
      </x:c>
      <x:c r="F11" s="23" t="n">
        <x:f>'06 Source sizing'!R11</x:f>
        <x:v>150</x:v>
      </x:c>
      <x:c r="G11" s="23" t="n">
        <x:f>'07 Storage'!H11</x:f>
        <x:v>4</x:v>
      </x:c>
      <x:c r="H11" s="23" t="n">
        <x:f>'07 Storage'!K11</x:f>
        <x:v>200</x:v>
      </x:c>
      <x:c r="I11" s="23" t="n">
        <x:f>'07 Storage'!L11</x:f>
        <x:v>140</x:v>
      </x:c>
      <x:c r="J11" s="23" t="n">
        <x:f>'08 Protection'!I11</x:f>
        <x:v>2</x:v>
      </x:c>
      <x:c r="K11" s="23" t="n">
        <x:f>'08 Protection'!K11</x:f>
        <x:v>70</x:v>
      </x:c>
      <x:c r="L11" s="23" t="n">
        <x:f>'08 Protection'!L11</x:f>
        <x:v>40</x:v>
      </x:c>
      <x:c r="M11" s="23" t="n">
        <x:f>'09 Local control'!E11</x:f>
        <x:v>3</x:v>
      </x:c>
      <x:c r="N11" s="23" t="n">
        <x:f>'09 Local control'!F11</x:f>
        <x:v>36</x:v>
      </x:c>
      <x:c r="O11" s="23" t="n">
        <x:f>'09 Local control'!G11</x:f>
        <x:v>36</x:v>
      </x:c>
      <x:c r="P11" s="23" t="n">
        <x:f>E11+H11+K11+N11</x:f>
        <x:v>381</x:v>
      </x:c>
      <x:c r="Q11" s="70" t="n">
        <x:f>F11+I11+L11+O11</x:f>
        <x:v>366</x:v>
      </x:c>
    </x:row>
    <x:row r="12">
      <x:c r="B12" s="24" t="str">
        <x:v>D-WSC</x:v>
      </x:c>
      <x:c r="C12" s="24" t="n">
        <x:f>'06 Source sizing'!O12</x:f>
        <x:v>3</x:v>
      </x:c>
      <x:c r="D12" s="24" t="n">
        <x:f>'06 Source sizing'!P12</x:f>
        <x:v>3.75</x:v>
      </x:c>
      <x:c r="E12" s="24" t="n">
        <x:f>'06 Source sizing'!Q12</x:f>
        <x:v>75</x:v>
      </x:c>
      <x:c r="F12" s="24" t="n">
        <x:f>'06 Source sizing'!R12</x:f>
        <x:v>150</x:v>
      </x:c>
      <x:c r="G12" s="24" t="n">
        <x:f>'07 Storage'!H12</x:f>
        <x:v>2</x:v>
      </x:c>
      <x:c r="H12" s="24" t="n">
        <x:f>'07 Storage'!K12</x:f>
        <x:v>100</x:v>
      </x:c>
      <x:c r="I12" s="24" t="n">
        <x:f>'07 Storage'!L12</x:f>
        <x:v>70</x:v>
      </x:c>
      <x:c r="J12" s="24" t="n">
        <x:f>'08 Protection'!I12</x:f>
        <x:v>2</x:v>
      </x:c>
      <x:c r="K12" s="24" t="n">
        <x:f>'08 Protection'!K12</x:f>
        <x:v>70</x:v>
      </x:c>
      <x:c r="L12" s="24" t="n">
        <x:f>'08 Protection'!L12</x:f>
        <x:v>40</x:v>
      </x:c>
      <x:c r="M12" s="24" t="n">
        <x:f>'09 Local control'!E12</x:f>
        <x:v>3</x:v>
      </x:c>
      <x:c r="N12" s="24" t="n">
        <x:f>'09 Local control'!F12</x:f>
        <x:v>36</x:v>
      </x:c>
      <x:c r="O12" s="24" t="n">
        <x:f>'09 Local control'!G12</x:f>
        <x:v>36</x:v>
      </x:c>
      <x:c r="P12" s="24" t="n">
        <x:f>E12+H12+K12+N12</x:f>
        <x:v>281</x:v>
      </x:c>
      <x:c r="Q12" s="71" t="n">
        <x:f>F12+I12+L12+O12</x:f>
        <x:v>296</x:v>
      </x:c>
    </x:row>
    <x:row r="13">
      <x:c r="B13" s="46" t="str">
        <x:v>SIX-REFERENCE COMMON ELECTRICAL CORE</x:v>
      </x:c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 t="n">
        <x:f>SUM(P7:P12)</x:f>
        <x:v>10390</x:v>
      </x:c>
      <x:c r="Q13" s="72" t="n">
        <x:f>SUM(Q7:Q12)</x:f>
        <x:v>11194</x:v>
      </x:c>
    </x:row>
    <x:row r="14"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</x:row>
    <x:row r="15"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</x:row>
    <x:row r="16" ht="34" customHeight="1">
      <x:c r="B16" s="41" t="str">
        <x:v>Excluded: mission energy or fuel, final heat destination, route material, receiver connection, installation crews, spares, bases and regeneration. The USD 11.194B total is not a complete formation cost.</x:v>
      </x:c>
      <x:c r="C16" s="42"/>
      <x:c r="D16" s="42"/>
      <x:c r="E16" s="42"/>
      <x:c r="F16" s="42"/>
      <x:c r="G16" s="42"/>
      <x:c r="H16" s="43"/>
      <x:c r="I16" s="78"/>
      <x:c r="J16" s="78"/>
      <x:c r="K16" s="78"/>
      <x:c r="L16" s="78"/>
      <x:c r="M16" s="78"/>
      <x:c r="N16" s="78"/>
      <x:c r="O16" s="78"/>
      <x:c r="P16" s="78"/>
      <x:c r="Q16" s="78"/>
    </x:row>
  </x:sheetData>
  <x:mergeCells>
    <x:mergeCell ref="B13:O13"/>
    <x:mergeCell ref="B16:H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16582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20" hidden="0" customWidth="1"/>
    <x:col min="4" max="4" width="17" hidden="0" customWidth="1"/>
    <x:col min="5" max="5" width="14" hidden="0" customWidth="1"/>
    <x:col min="6" max="6" width="18" hidden="0" customWidth="1"/>
    <x:col min="7" max="7" width="12" hidden="0" customWidth="1"/>
    <x:col min="8" max="8" width="13" hidden="0" customWidth="1"/>
    <x:col min="9" max="9" width="14" hidden="0" customWidth="1"/>
    <x:col min="10" max="10" width="14" hidden="0" customWidth="1"/>
    <x:col min="11" max="11" width="15" hidden="0" customWidth="1"/>
    <x:col min="12" max="12" width="17" hidden="0" customWidth="1"/>
    <x:col min="13" max="13" width="15" hidden="0" customWidth="1"/>
    <x:col min="14" max="14" width="16" hidden="0" customWidth="1"/>
    <x:col min="15" max="15" width="18" hidden="0" customWidth="1"/>
    <x:col min="16" max="16" width="22" hidden="0" customWidth="1"/>
  </x:cols>
  <x:sheetData>
    <x:row r="2">
      <x:c r="B2" s="1" t="str">
        <x:v>Reference electrical duties</x:v>
      </x:c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</x:row>
    <x:row r="3">
      <x:c r="B3" s="79"/>
      <x:c r="C3" s="79"/>
      <x:c r="D3" s="79"/>
      <x:c r="E3" s="79"/>
      <x:c r="F3" s="79"/>
      <x:c r="G3" s="79"/>
      <x:c r="H3" s="79"/>
      <x:c r="I3" s="78"/>
      <x:c r="J3" s="78"/>
      <x:c r="K3" s="78"/>
      <x:c r="L3" s="78"/>
      <x:c r="M3" s="78"/>
      <x:c r="N3" s="78"/>
      <x:c r="O3" s="78"/>
      <x:c r="P3" s="78"/>
    </x:row>
    <x:row r="4">
      <x:c r="B4" s="4" t="str">
        <x:v>Six internal research kernels. The medical row is a diagnostic load, not a force requirement.</x:v>
      </x:c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</x:row>
    <x:row r="5"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</x:row>
    <x:row r="6">
      <x:c r="B6" s="16" t="str">
        <x:v>Duty</x:v>
      </x:c>
      <x:c r="C6" s="17" t="str">
        <x:v>Portfolio</x:v>
      </x:c>
      <x:c r="D6" s="17" t="str">
        <x:v>Continuous MW</x:v>
      </x:c>
      <x:c r="E6" s="17" t="str">
        <x:v>Peak MW</x:v>
      </x:c>
      <x:c r="F6" s="17" t="str">
        <x:v>Available output</x:v>
      </x:c>
      <x:c r="G6" s="17" t="str">
        <x:v>Reserve</x:v>
      </x:c>
      <x:c r="H6" s="17" t="str">
        <x:v>Loss count</x:v>
      </x:c>
      <x:c r="I6" s="17" t="str">
        <x:v>Campaign h</x:v>
      </x:c>
      <x:c r="J6" s="17" t="str">
        <x:v>Power factor</x:v>
      </x:c>
      <x:c r="K6" s="17" t="str">
        <x:v>Storage MW</x:v>
      </x:c>
      <x:c r="L6" s="17" t="str">
        <x:v>Storage MWh</x:v>
      </x:c>
      <x:c r="M6" s="17" t="str">
        <x:v>Source class</x:v>
      </x:c>
      <x:c r="N6" s="17" t="str">
        <x:v>Storage class</x:v>
      </x:c>
      <x:c r="O6" s="17" t="str">
        <x:v>Operating islands</x:v>
      </x:c>
      <x:c r="P6" s="18" t="str">
        <x:v>Internal source</x:v>
      </x:c>
    </x:row>
    <x:row r="7">
      <x:c r="B7" s="23" t="str">
        <x:v>D-FIRE</x:v>
      </x:c>
      <x:c r="C7" s="23" t="str">
        <x:v>Fire</x:v>
      </x:c>
      <x:c r="D7" s="30" t="n">
        <x:v>20</x:v>
      </x:c>
      <x:c r="E7" s="30" t="n">
        <x:v>35</x:v>
      </x:c>
      <x:c r="F7" s="32" t="n">
        <x:v>1</x:v>
      </x:c>
      <x:c r="G7" s="32" t="n">
        <x:v>0</x:v>
      </x:c>
      <x:c r="H7" s="30" t="n">
        <x:v>1</x:v>
      </x:c>
      <x:c r="I7" s="30" t="n">
        <x:v>72</x:v>
      </x:c>
      <x:c r="J7" s="34" t="n">
        <x:v>0.9</x:v>
      </x:c>
      <x:c r="K7" s="30" t="n">
        <x:v>20</x:v>
      </x:c>
      <x:c r="L7" s="30" t="n">
        <x:v>10</x:v>
      </x:c>
      <x:c r="M7" s="30" t="str">
        <x:v>SPC-5</x:v>
      </x:c>
      <x:c r="N7" s="30" t="str">
        <x:v>BSS-10/5</x:v>
      </x:c>
      <x:c r="O7" s="30" t="n">
        <x:v>6</x:v>
      </x:c>
      <x:c r="P7" s="30" t="str">
        <x:v>RBT-1</x:v>
      </x:c>
    </x:row>
    <x:row r="8">
      <x:c r="B8" s="23" t="str">
        <x:v>D-FLOOD</x:v>
      </x:c>
      <x:c r="C8" s="23" t="str">
        <x:v>Flood-water</x:v>
      </x:c>
      <x:c r="D8" s="30" t="n">
        <x:v>9.02</x:v>
      </x:c>
      <x:c r="E8" s="30" t="n">
        <x:v>30</x:v>
      </x:c>
      <x:c r="F8" s="32" t="n">
        <x:v>0.75</x:v>
      </x:c>
      <x:c r="G8" s="32" t="n">
        <x:v>0.25</x:v>
      </x:c>
      <x:c r="H8" s="30" t="n">
        <x:v>1</x:v>
      </x:c>
      <x:c r="I8" s="30" t="n">
        <x:v>720</x:v>
      </x:c>
      <x:c r="J8" s="34" t="n">
        <x:v>0.9</x:v>
      </x:c>
      <x:c r="K8" s="30" t="n">
        <x:v>6</x:v>
      </x:c>
      <x:c r="L8" s="30" t="n">
        <x:v>10</x:v>
      </x:c>
      <x:c r="M8" s="30" t="str">
        <x:v>SPC-5</x:v>
      </x:c>
      <x:c r="N8" s="30" t="str">
        <x:v>BSS-2/4</x:v>
      </x:c>
      <x:c r="O8" s="30" t="n">
        <x:v>3</x:v>
      </x:c>
      <x:c r="P8" s="30" t="str">
        <x:v>HCG-100</x:v>
      </x:c>
    </x:row>
    <x:row r="9">
      <x:c r="B9" s="23" t="str">
        <x:v>D-PRG</x:v>
      </x:c>
      <x:c r="C9" s="23" t="str">
        <x:v>Power-thermal</x:v>
      </x:c>
      <x:c r="D9" s="30" t="n">
        <x:v>103.89477</x:v>
      </x:c>
      <x:c r="E9" s="30" t="n">
        <x:v>120</x:v>
      </x:c>
      <x:c r="F9" s="32" t="n">
        <x:v>0.9</x:v>
      </x:c>
      <x:c r="G9" s="32" t="n">
        <x:v>0.2</x:v>
      </x:c>
      <x:c r="H9" s="30" t="n">
        <x:v>1</x:v>
      </x:c>
      <x:c r="I9" s="30" t="n">
        <x:v>720</x:v>
      </x:c>
      <x:c r="J9" s="34" t="n">
        <x:v>0.9</x:v>
      </x:c>
      <x:c r="K9" s="30" t="n">
        <x:v>120</x:v>
      </x:c>
      <x:c r="L9" s="30" t="n">
        <x:v>130.43</x:v>
      </x:c>
      <x:c r="M9" s="30" t="str">
        <x:v>SPC-10</x:v>
      </x:c>
      <x:c r="N9" s="30" t="str">
        <x:v>BSS-20/20</x:v>
      </x:c>
      <x:c r="O9" s="30" t="n">
        <x:v>5</x:v>
      </x:c>
      <x:c r="P9" s="30" t="str">
        <x:v>PRG-100</x:v>
      </x:c>
    </x:row>
    <x:row r="10">
      <x:c r="B10" s="23" t="str">
        <x:v>D-MED22</x:v>
      </x:c>
      <x:c r="C10" s="23" t="str">
        <x:v>Medical diagnostic</x:v>
      </x:c>
      <x:c r="D10" s="30" t="n">
        <x:v>22</x:v>
      </x:c>
      <x:c r="E10" s="30" t="n">
        <x:v>25.3</x:v>
      </x:c>
      <x:c r="F10" s="32" t="n">
        <x:v>0.9</x:v>
      </x:c>
      <x:c r="G10" s="32" t="n">
        <x:v>0.2</x:v>
      </x:c>
      <x:c r="H10" s="30" t="n">
        <x:v>1</x:v>
      </x:c>
      <x:c r="I10" s="30" t="n">
        <x:v>720</x:v>
      </x:c>
      <x:c r="J10" s="34" t="n">
        <x:v>0.95</x:v>
      </x:c>
      <x:c r="K10" s="30" t="n">
        <x:v>22</x:v>
      </x:c>
      <x:c r="L10" s="30" t="n">
        <x:v>8.97</x:v>
      </x:c>
      <x:c r="M10" s="30" t="str">
        <x:v>SPC-5</x:v>
      </x:c>
      <x:c r="N10" s="30" t="str">
        <x:v>BSS-10/5</x:v>
      </x:c>
      <x:c r="O10" s="30" t="n">
        <x:v>3</x:v>
      </x:c>
      <x:c r="P10" s="30" t="str">
        <x:v>PRG hospital load</x:v>
      </x:c>
    </x:row>
    <x:row r="11">
      <x:c r="B11" s="23" t="str">
        <x:v>D-PTS5</x:v>
      </x:c>
      <x:c r="C11" s="23" t="str">
        <x:v>Hard access</x:v>
      </x:c>
      <x:c r="D11" s="30" t="n">
        <x:v>1.42216</x:v>
      </x:c>
      <x:c r="E11" s="30" t="n">
        <x:v>1.91992</x:v>
      </x:c>
      <x:c r="F11" s="32" t="n">
        <x:v>0.9</x:v>
      </x:c>
      <x:c r="G11" s="32" t="n">
        <x:v>0.2</x:v>
      </x:c>
      <x:c r="H11" s="30" t="n">
        <x:v>1</x:v>
      </x:c>
      <x:c r="I11" s="30" t="n">
        <x:v>168</x:v>
      </x:c>
      <x:c r="J11" s="34" t="n">
        <x:v>0.95</x:v>
      </x:c>
      <x:c r="K11" s="30" t="n">
        <x:v>2</x:v>
      </x:c>
      <x:c r="L11" s="30" t="n">
        <x:v>13.91</x:v>
      </x:c>
      <x:c r="M11" s="30" t="str">
        <x:v>SPC-1</x:v>
      </x:c>
      <x:c r="N11" s="30" t="str">
        <x:v>BSS-2/4</x:v>
      </x:c>
      <x:c r="O11" s="30" t="n">
        <x:v>2</x:v>
      </x:c>
      <x:c r="P11" s="30" t="str">
        <x:v>PTS-5</x:v>
      </x:c>
    </x:row>
    <x:row r="12">
      <x:c r="B12" s="24" t="str">
        <x:v>D-WSC</x:v>
      </x:c>
      <x:c r="C12" s="24" t="str">
        <x:v>Water service</x:v>
      </x:c>
      <x:c r="D12" s="31" t="n">
        <x:v>1.775</x:v>
      </x:c>
      <x:c r="E12" s="31" t="n">
        <x:v>2.396</x:v>
      </x:c>
      <x:c r="F12" s="33" t="n">
        <x:v>0.75</x:v>
      </x:c>
      <x:c r="G12" s="33" t="n">
        <x:v>0</x:v>
      </x:c>
      <x:c r="H12" s="31" t="n">
        <x:v>1</x:v>
      </x:c>
      <x:c r="I12" s="31" t="n">
        <x:v>504</x:v>
      </x:c>
      <x:c r="J12" s="35" t="n">
        <x:v>0.9</x:v>
      </x:c>
      <x:c r="K12" s="31" t="n">
        <x:v>1.5</x:v>
      </x:c>
      <x:c r="L12" s="31" t="n">
        <x:v>6</x:v>
      </x:c>
      <x:c r="M12" s="31" t="str">
        <x:v>SPC-1</x:v>
      </x:c>
      <x:c r="N12" s="31" t="str">
        <x:v>BSS-2/4</x:v>
      </x:c>
      <x:c r="O12" s="31" t="n">
        <x:v>2</x:v>
      </x:c>
      <x:c r="P12" s="31" t="str">
        <x:v>P4 water cell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16582"/>
  </x:sheetPr>
  <x:sheetViews>
    <x:sheetView showGridLines="0" workbookViewId="0"/>
  </x:sheetViews>
  <x:sheetFormatPr defaultRowHeight="15"/>
  <x:cols>
    <x:col min="2" max="2" width="16" hidden="0" customWidth="1"/>
    <x:col min="3" max="3" width="20" hidden="0" customWidth="1"/>
    <x:col min="4" max="4" width="15" hidden="0" customWidth="1"/>
    <x:col min="5" max="5" width="16" hidden="0" customWidth="1"/>
    <x:col min="6" max="6" width="20" hidden="0" customWidth="1"/>
    <x:col min="7" max="7" width="54" hidden="0" customWidth="1"/>
  </x:cols>
  <x:sheetData>
    <x:row r="2">
      <x:c r="B2" s="1" t="str">
        <x:v>Candidate source-power classes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Three loss quanta share one proposed interface and assurance grammar.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Class</x:v>
      </x:c>
      <x:c r="C6" s="17" t="str">
        <x:v>Continuous MW</x:v>
      </x:c>
      <x:c r="D6" s="17" t="str">
        <x:v>Peak MW</x:v>
      </x:c>
      <x:c r="E6" s="17" t="str">
        <x:v>Dry mass t</x:v>
      </x:c>
      <x:c r="F6" s="17" t="str">
        <x:v>Capital USD M</x:v>
      </x:c>
      <x:c r="G6" s="18" t="str">
        <x:v>Intended scale</x:v>
      </x:c>
      <x:c r="H6" s="78"/>
    </x:row>
    <x:row r="7">
      <x:c r="B7" s="23" t="str">
        <x:v>SPC-1</x:v>
      </x:c>
      <x:c r="C7" s="30" t="n">
        <x:v>1.25</x:v>
      </x:c>
      <x:c r="D7" s="30" t="n">
        <x:v>1.75</x:v>
      </x:c>
      <x:c r="E7" s="30" t="n">
        <x:v>25</x:v>
      </x:c>
      <x:c r="F7" s="30" t="n">
        <x:v>50</x:v>
      </x:c>
      <x:c r="G7" s="23" t="str">
        <x:v>Small carried and cell-local source</x:v>
      </x:c>
      <x:c r="H7" s="78"/>
    </x:row>
    <x:row r="8">
      <x:c r="B8" s="23" t="str">
        <x:v>SPC-5</x:v>
      </x:c>
      <x:c r="C8" s="30" t="n">
        <x:v>5</x:v>
      </x:c>
      <x:c r="D8" s="30" t="n">
        <x:v>7</x:v>
      </x:c>
      <x:c r="E8" s="30" t="n">
        <x:v>110</x:v>
      </x:c>
      <x:c r="F8" s="30" t="n">
        <x:v>180</x:v>
      </x:c>
      <x:c r="G8" s="23" t="str">
        <x:v>Middle fire, flood and diagnostic medical scale</x:v>
      </x:c>
      <x:c r="H8" s="78"/>
    </x:row>
    <x:row r="9">
      <x:c r="B9" s="24" t="str">
        <x:v>SPC-10</x:v>
      </x:c>
      <x:c r="C9" s="31" t="n">
        <x:v>10</x:v>
      </x:c>
      <x:c r="D9" s="31" t="n">
        <x:v>14</x:v>
      </x:c>
      <x:c r="E9" s="31" t="n">
        <x:v>200</x:v>
      </x:c>
      <x:c r="F9" s="31" t="n">
        <x:v>320</x:v>
      </x:c>
      <x:c r="G9" s="24" t="str">
        <x:v>District utility scale</x:v>
      </x:c>
      <x:c r="H9" s="78"/>
    </x:row>
    <x:row r="10">
      <x:c r="B10" s="78"/>
      <x:c r="C10" s="78"/>
      <x:c r="D10" s="78"/>
      <x:c r="E10" s="78"/>
      <x:c r="F10" s="78"/>
      <x:c r="G10" s="78"/>
      <x:c r="H10" s="78"/>
    </x:row>
    <x:row r="11">
      <x:c r="B11" s="78"/>
      <x:c r="C11" s="78"/>
      <x:c r="D11" s="78"/>
      <x:c r="E11" s="78"/>
      <x:c r="F11" s="78"/>
      <x:c r="G11" s="78"/>
      <x:c r="H11" s="78"/>
    </x:row>
    <x:row r="12" ht="34" customHeight="1">
      <x:c r="B12" s="41" t="str">
        <x:v>Targets exclude mission energy stock and final heat destination. They compare architecture shape and do not predict supplier price.</x:v>
      </x:c>
      <x:c r="C12" s="42"/>
      <x:c r="D12" s="42"/>
      <x:c r="E12" s="42"/>
      <x:c r="F12" s="42"/>
      <x:c r="G12" s="42"/>
      <x:c r="H12" s="43"/>
    </x:row>
  </x:sheetData>
  <x:mergeCells>
    <x:mergeCell ref="B12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E7C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7" hidden="0" customWidth="1"/>
    <x:col min="4" max="4" width="14" hidden="0" customWidth="1"/>
    <x:col min="5" max="5" width="17" hidden="0" customWidth="1"/>
    <x:col min="6" max="6" width="12" hidden="0" customWidth="1"/>
    <x:col min="7" max="7" width="10" hidden="0" customWidth="1"/>
    <x:col min="8" max="8" width="16" hidden="0" customWidth="1"/>
    <x:col min="9" max="9" width="15" hidden="0" customWidth="1"/>
    <x:col min="10" max="10" width="16" hidden="0" customWidth="1"/>
    <x:col min="11" max="11" width="15" hidden="0" customWidth="1"/>
    <x:col min="12" max="12" width="17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19" hidden="0" customWidth="1"/>
  </x:cols>
  <x:sheetData>
    <x:row r="2">
      <x:c r="B2" s="1" t="str">
        <x:v>Source count calculation</x:v>
      </x:c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</x:row>
    <x:row r="3">
      <x:c r="B3" s="79"/>
      <x:c r="C3" s="79"/>
      <x:c r="D3" s="79"/>
      <x:c r="E3" s="79"/>
      <x:c r="F3" s="79"/>
      <x:c r="G3" s="79"/>
      <x:c r="H3" s="79"/>
      <x:c r="I3" s="78"/>
      <x:c r="J3" s="78"/>
      <x:c r="K3" s="78"/>
      <x:c r="L3" s="78"/>
      <x:c r="M3" s="78"/>
      <x:c r="N3" s="78"/>
      <x:c r="O3" s="78"/>
      <x:c r="P3" s="78"/>
      <x:c r="Q3" s="78"/>
      <x:c r="R3" s="78"/>
    </x:row>
    <x:row r="4">
      <x:c r="B4" s="4" t="str">
        <x:v>Reserve, derating, continuous loss and peak loss remain separate constraints.</x:v>
      </x:c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</x:row>
    <x:row r="5"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</x:row>
    <x:row r="6">
      <x:c r="B6" s="16" t="str">
        <x:v>Duty</x:v>
      </x:c>
      <x:c r="C6" s="17" t="str">
        <x:v>Continuous MW</x:v>
      </x:c>
      <x:c r="D6" s="17" t="str">
        <x:v>Peak MW</x:v>
      </x:c>
      <x:c r="E6" s="17" t="str">
        <x:v>Available output</x:v>
      </x:c>
      <x:c r="F6" s="17" t="str">
        <x:v>Reserve</x:v>
      </x:c>
      <x:c r="G6" s="17" t="str">
        <x:v>Loss</x:v>
      </x:c>
      <x:c r="H6" s="17" t="str">
        <x:v>SPC-1 count</x:v>
      </x:c>
      <x:c r="I6" s="17" t="str">
        <x:v>SPC-1 MW</x:v>
      </x:c>
      <x:c r="J6" s="17" t="str">
        <x:v>SPC-5 count</x:v>
      </x:c>
      <x:c r="K6" s="17" t="str">
        <x:v>SPC-5 MW</x:v>
      </x:c>
      <x:c r="L6" s="17" t="str">
        <x:v>SPC-10 count</x:v>
      </x:c>
      <x:c r="M6" s="17" t="str">
        <x:v>SPC-10 MW</x:v>
      </x:c>
      <x:c r="N6" s="17" t="str">
        <x:v>Selected class</x:v>
      </x:c>
      <x:c r="O6" s="17" t="str">
        <x:v>Selected count</x:v>
      </x:c>
      <x:c r="P6" s="17" t="str">
        <x:v>Selected MW</x:v>
      </x:c>
      <x:c r="Q6" s="17" t="str">
        <x:v>Source dry t</x:v>
      </x:c>
      <x:c r="R6" s="18" t="str">
        <x:v>Capital USD M</x:v>
      </x:c>
    </x:row>
    <x:row r="7">
      <x:c r="B7" s="23" t="str">
        <x:v>D-FIRE</x:v>
      </x:c>
      <x:c r="C7" s="23" t="n">
        <x:v>20</x:v>
      </x:c>
      <x:c r="D7" s="23" t="n">
        <x:v>35</x:v>
      </x:c>
      <x:c r="E7" s="23" t="n">
        <x:v>1</x:v>
      </x:c>
      <x:c r="F7" s="23" t="n">
        <x:v>0</x:v>
      </x:c>
      <x:c r="G7" s="23" t="n">
        <x:v>1</x:v>
      </x:c>
      <x:c r="H7" s="23" t="n">
        <x:f>MAX(ROUNDUP(C7*(1+F7)/(E7*'05 Source classes'!$C$7),0),ROUNDUP(C7/(E7*'05 Source classes'!$C$7),0)+G7,ROUNDUP(D7/(E7*'05 Source classes'!$D$7),0)+G7)</x:f>
        <x:v>21</x:v>
      </x:c>
      <x:c r="I7" s="47" t="n">
        <x:f>H7*'05 Source classes'!$C$7</x:f>
        <x:v>26.25</x:v>
      </x:c>
      <x:c r="J7" s="47" t="n">
        <x:f>MAX(ROUNDUP(C7*(1+F7)/(E7*'05 Source classes'!$C$8),0),ROUNDUP(C7/(E7*'05 Source classes'!$C$8),0)+G7,ROUNDUP(D7/(E7*'05 Source classes'!$D$8),0)+G7)</x:f>
        <x:v>6</x:v>
      </x:c>
      <x:c r="K7" s="47" t="n">
        <x:f>J7*'05 Source classes'!$C$8</x:f>
        <x:v>30</x:v>
      </x:c>
      <x:c r="L7" s="47" t="n">
        <x:f>MAX(ROUNDUP(C7*(1+F7)/(E7*'05 Source classes'!$C$9),0),ROUNDUP(C7/(E7*'05 Source classes'!$C$9),0)+G7,ROUNDUP(D7/(E7*'05 Source classes'!$D$9),0)+G7)</x:f>
        <x:v>4</x:v>
      </x:c>
      <x:c r="M7" s="47" t="n">
        <x:f>L7*'05 Source classes'!$C$9</x:f>
        <x:v>40</x:v>
      </x:c>
      <x:c r="N7" s="23" t="str">
        <x:v>SPC-5</x:v>
      </x:c>
      <x:c r="O7" s="23" t="n">
        <x:f>IF(N7="SPC-1",H7,IF(N7="SPC-5",J7,L7))</x:f>
        <x:v>6</x:v>
      </x:c>
      <x:c r="P7" s="49" t="n">
        <x:f>IF(N7="SPC-1",I7,IF(N7="SPC-5",K7,M7))</x:f>
        <x:v>30</x:v>
      </x:c>
      <x:c r="Q7" s="49" t="n">
        <x:f>O7*IF(N7="SPC-1",'05 Source classes'!$E$7,IF(N7="SPC-5",'05 Source classes'!$E$8,'05 Source classes'!$E$9))</x:f>
        <x:v>660</x:v>
      </x:c>
      <x:c r="R7" s="49" t="n">
        <x:f>O7*IF(N7="SPC-1",'05 Source classes'!$F$7,IF(N7="SPC-5",'05 Source classes'!$F$8,'05 Source classes'!$F$9))</x:f>
        <x:v>1080</x:v>
      </x:c>
    </x:row>
    <x:row r="8">
      <x:c r="B8" s="23" t="str">
        <x:v>D-FLOOD</x:v>
      </x:c>
      <x:c r="C8" s="23" t="n">
        <x:v>9.02</x:v>
      </x:c>
      <x:c r="D8" s="23" t="n">
        <x:v>30</x:v>
      </x:c>
      <x:c r="E8" s="23" t="n">
        <x:v>0.75</x:v>
      </x:c>
      <x:c r="F8" s="23" t="n">
        <x:v>0.25</x:v>
      </x:c>
      <x:c r="G8" s="23" t="n">
        <x:v>1</x:v>
      </x:c>
      <x:c r="H8" s="23" t="n">
        <x:f>MAX(ROUNDUP(C8*(1+F8)/(E8*'05 Source classes'!$C$7),0),ROUNDUP(C8/(E8*'05 Source classes'!$C$7),0)+G8,ROUNDUP(D8/(E8*'05 Source classes'!$D$7),0)+G8)</x:f>
        <x:v>24</x:v>
      </x:c>
      <x:c r="I8" s="47" t="n">
        <x:f>H8*'05 Source classes'!$C$7</x:f>
        <x:v>30</x:v>
      </x:c>
      <x:c r="J8" s="47" t="n">
        <x:f>MAX(ROUNDUP(C8*(1+F8)/(E8*'05 Source classes'!$C$8),0),ROUNDUP(C8/(E8*'05 Source classes'!$C$8),0)+G8,ROUNDUP(D8/(E8*'05 Source classes'!$D$8),0)+G8)</x:f>
        <x:v>7</x:v>
      </x:c>
      <x:c r="K8" s="47" t="n">
        <x:f>J8*'05 Source classes'!$C$8</x:f>
        <x:v>35</x:v>
      </x:c>
      <x:c r="L8" s="47" t="n">
        <x:f>MAX(ROUNDUP(C8*(1+F8)/(E8*'05 Source classes'!$C$9),0),ROUNDUP(C8/(E8*'05 Source classes'!$C$9),0)+G8,ROUNDUP(D8/(E8*'05 Source classes'!$D$9),0)+G8)</x:f>
        <x:v>4</x:v>
      </x:c>
      <x:c r="M8" s="47" t="n">
        <x:f>L8*'05 Source classes'!$C$9</x:f>
        <x:v>40</x:v>
      </x:c>
      <x:c r="N8" s="23" t="str">
        <x:v>SPC-5</x:v>
      </x:c>
      <x:c r="O8" s="23" t="n">
        <x:f>IF(N8="SPC-1",H8,IF(N8="SPC-5",J8,L8))</x:f>
        <x:v>7</x:v>
      </x:c>
      <x:c r="P8" s="49" t="n">
        <x:f>IF(N8="SPC-1",I8,IF(N8="SPC-5",K8,M8))</x:f>
        <x:v>35</x:v>
      </x:c>
      <x:c r="Q8" s="49" t="n">
        <x:f>O8*IF(N8="SPC-1",'05 Source classes'!$E$7,IF(N8="SPC-5",'05 Source classes'!$E$8,'05 Source classes'!$E$9))</x:f>
        <x:v>770</x:v>
      </x:c>
      <x:c r="R8" s="49" t="n">
        <x:f>O8*IF(N8="SPC-1",'05 Source classes'!$F$7,IF(N8="SPC-5",'05 Source classes'!$F$8,'05 Source classes'!$F$9))</x:f>
        <x:v>1260</x:v>
      </x:c>
    </x:row>
    <x:row r="9">
      <x:c r="B9" s="23" t="str">
        <x:v>D-PRG</x:v>
      </x:c>
      <x:c r="C9" s="23" t="n">
        <x:v>103.89477</x:v>
      </x:c>
      <x:c r="D9" s="23" t="n">
        <x:v>120</x:v>
      </x:c>
      <x:c r="E9" s="23" t="n">
        <x:v>0.9</x:v>
      </x:c>
      <x:c r="F9" s="23" t="n">
        <x:v>0.2</x:v>
      </x:c>
      <x:c r="G9" s="23" t="n">
        <x:v>1</x:v>
      </x:c>
      <x:c r="H9" s="23" t="n">
        <x:f>MAX(ROUNDUP(C9*(1+F9)/(E9*'05 Source classes'!$C$7),0),ROUNDUP(C9/(E9*'05 Source classes'!$C$7),0)+G9,ROUNDUP(D9/(E9*'05 Source classes'!$D$7),0)+G9)</x:f>
        <x:v>111</x:v>
      </x:c>
      <x:c r="I9" s="47" t="n">
        <x:f>H9*'05 Source classes'!$C$7</x:f>
        <x:v>138.75</x:v>
      </x:c>
      <x:c r="J9" s="47" t="n">
        <x:f>MAX(ROUNDUP(C9*(1+F9)/(E9*'05 Source classes'!$C$8),0),ROUNDUP(C9/(E9*'05 Source classes'!$C$8),0)+G9,ROUNDUP(D9/(E9*'05 Source classes'!$D$8),0)+G9)</x:f>
        <x:v>28</x:v>
      </x:c>
      <x:c r="K9" s="47" t="n">
        <x:f>J9*'05 Source classes'!$C$8</x:f>
        <x:v>140</x:v>
      </x:c>
      <x:c r="L9" s="47" t="n">
        <x:f>MAX(ROUNDUP(C9*(1+F9)/(E9*'05 Source classes'!$C$9),0),ROUNDUP(C9/(E9*'05 Source classes'!$C$9),0)+G9,ROUNDUP(D9/(E9*'05 Source classes'!$D$9),0)+G9)</x:f>
        <x:v>14</x:v>
      </x:c>
      <x:c r="M9" s="47" t="n">
        <x:f>L9*'05 Source classes'!$C$9</x:f>
        <x:v>140</x:v>
      </x:c>
      <x:c r="N9" s="23" t="str">
        <x:v>SPC-10</x:v>
      </x:c>
      <x:c r="O9" s="23" t="n">
        <x:f>IF(N9="SPC-1",H9,IF(N9="SPC-5",J9,L9))</x:f>
        <x:v>14</x:v>
      </x:c>
      <x:c r="P9" s="49" t="n">
        <x:f>IF(N9="SPC-1",I9,IF(N9="SPC-5",K9,M9))</x:f>
        <x:v>140</x:v>
      </x:c>
      <x:c r="Q9" s="49" t="n">
        <x:f>O9*IF(N9="SPC-1",'05 Source classes'!$E$7,IF(N9="SPC-5",'05 Source classes'!$E$8,'05 Source classes'!$E$9))</x:f>
        <x:v>2800</x:v>
      </x:c>
      <x:c r="R9" s="49" t="n">
        <x:f>O9*IF(N9="SPC-1",'05 Source classes'!$F$7,IF(N9="SPC-5",'05 Source classes'!$F$8,'05 Source classes'!$F$9))</x:f>
        <x:v>4480</x:v>
      </x:c>
    </x:row>
    <x:row r="10">
      <x:c r="B10" s="23" t="str">
        <x:v>D-MED22</x:v>
      </x:c>
      <x:c r="C10" s="23" t="n">
        <x:v>22</x:v>
      </x:c>
      <x:c r="D10" s="23" t="n">
        <x:v>25.3</x:v>
      </x:c>
      <x:c r="E10" s="23" t="n">
        <x:v>0.9</x:v>
      </x:c>
      <x:c r="F10" s="23" t="n">
        <x:v>0.2</x:v>
      </x:c>
      <x:c r="G10" s="23" t="n">
        <x:v>1</x:v>
      </x:c>
      <x:c r="H10" s="23" t="n">
        <x:f>MAX(ROUNDUP(C10*(1+F10)/(E10*'05 Source classes'!$C$7),0),ROUNDUP(C10/(E10*'05 Source classes'!$C$7),0)+G10,ROUNDUP(D10/(E10*'05 Source classes'!$D$7),0)+G10)</x:f>
        <x:v>24</x:v>
      </x:c>
      <x:c r="I10" s="47" t="n">
        <x:f>H10*'05 Source classes'!$C$7</x:f>
        <x:v>30</x:v>
      </x:c>
      <x:c r="J10" s="47" t="n">
        <x:f>MAX(ROUNDUP(C10*(1+F10)/(E10*'05 Source classes'!$C$8),0),ROUNDUP(C10/(E10*'05 Source classes'!$C$8),0)+G10,ROUNDUP(D10/(E10*'05 Source classes'!$D$8),0)+G10)</x:f>
        <x:v>6</x:v>
      </x:c>
      <x:c r="K10" s="47" t="n">
        <x:f>J10*'05 Source classes'!$C$8</x:f>
        <x:v>30</x:v>
      </x:c>
      <x:c r="L10" s="47" t="n">
        <x:f>MAX(ROUNDUP(C10*(1+F10)/(E10*'05 Source classes'!$C$9),0),ROUNDUP(C10/(E10*'05 Source classes'!$C$9),0)+G10,ROUNDUP(D10/(E10*'05 Source classes'!$D$9),0)+G10)</x:f>
        <x:v>4</x:v>
      </x:c>
      <x:c r="M10" s="47" t="n">
        <x:f>L10*'05 Source classes'!$C$9</x:f>
        <x:v>40</x:v>
      </x:c>
      <x:c r="N10" s="23" t="str">
        <x:v>SPC-5</x:v>
      </x:c>
      <x:c r="O10" s="23" t="n">
        <x:f>IF(N10="SPC-1",H10,IF(N10="SPC-5",J10,L10))</x:f>
        <x:v>6</x:v>
      </x:c>
      <x:c r="P10" s="49" t="n">
        <x:f>IF(N10="SPC-1",I10,IF(N10="SPC-5",K10,M10))</x:f>
        <x:v>30</x:v>
      </x:c>
      <x:c r="Q10" s="49" t="n">
        <x:f>O10*IF(N10="SPC-1",'05 Source classes'!$E$7,IF(N10="SPC-5",'05 Source classes'!$E$8,'05 Source classes'!$E$9))</x:f>
        <x:v>660</x:v>
      </x:c>
      <x:c r="R10" s="49" t="n">
        <x:f>O10*IF(N10="SPC-1",'05 Source classes'!$F$7,IF(N10="SPC-5",'05 Source classes'!$F$8,'05 Source classes'!$F$9))</x:f>
        <x:v>1080</x:v>
      </x:c>
    </x:row>
    <x:row r="11">
      <x:c r="B11" s="23" t="str">
        <x:v>D-PTS5</x:v>
      </x:c>
      <x:c r="C11" s="23" t="n">
        <x:v>1.42216</x:v>
      </x:c>
      <x:c r="D11" s="23" t="n">
        <x:v>1.91992</x:v>
      </x:c>
      <x:c r="E11" s="23" t="n">
        <x:v>0.9</x:v>
      </x:c>
      <x:c r="F11" s="23" t="n">
        <x:v>0.2</x:v>
      </x:c>
      <x:c r="G11" s="23" t="n">
        <x:v>1</x:v>
      </x:c>
      <x:c r="H11" s="23" t="n">
        <x:f>MAX(ROUNDUP(C11*(1+F11)/(E11*'05 Source classes'!$C$7),0),ROUNDUP(C11/(E11*'05 Source classes'!$C$7),0)+G11,ROUNDUP(D11/(E11*'05 Source classes'!$D$7),0)+G11)</x:f>
        <x:v>3</x:v>
      </x:c>
      <x:c r="I11" s="47" t="n">
        <x:f>H11*'05 Source classes'!$C$7</x:f>
        <x:v>3.75</x:v>
      </x:c>
      <x:c r="J11" s="47" t="n">
        <x:f>MAX(ROUNDUP(C11*(1+F11)/(E11*'05 Source classes'!$C$8),0),ROUNDUP(C11/(E11*'05 Source classes'!$C$8),0)+G11,ROUNDUP(D11/(E11*'05 Source classes'!$D$8),0)+G11)</x:f>
        <x:v>2</x:v>
      </x:c>
      <x:c r="K11" s="47" t="n">
        <x:f>J11*'05 Source classes'!$C$8</x:f>
        <x:v>10</x:v>
      </x:c>
      <x:c r="L11" s="47" t="n">
        <x:f>MAX(ROUNDUP(C11*(1+F11)/(E11*'05 Source classes'!$C$9),0),ROUNDUP(C11/(E11*'05 Source classes'!$C$9),0)+G11,ROUNDUP(D11/(E11*'05 Source classes'!$D$9),0)+G11)</x:f>
        <x:v>2</x:v>
      </x:c>
      <x:c r="M11" s="47" t="n">
        <x:f>L11*'05 Source classes'!$C$9</x:f>
        <x:v>20</x:v>
      </x:c>
      <x:c r="N11" s="23" t="str">
        <x:v>SPC-1</x:v>
      </x:c>
      <x:c r="O11" s="23" t="n">
        <x:f>IF(N11="SPC-1",H11,IF(N11="SPC-5",J11,L11))</x:f>
        <x:v>3</x:v>
      </x:c>
      <x:c r="P11" s="49" t="n">
        <x:f>IF(N11="SPC-1",I11,IF(N11="SPC-5",K11,M11))</x:f>
        <x:v>3.75</x:v>
      </x:c>
      <x:c r="Q11" s="49" t="n">
        <x:f>O11*IF(N11="SPC-1",'05 Source classes'!$E$7,IF(N11="SPC-5",'05 Source classes'!$E$8,'05 Source classes'!$E$9))</x:f>
        <x:v>75</x:v>
      </x:c>
      <x:c r="R11" s="49" t="n">
        <x:f>O11*IF(N11="SPC-1",'05 Source classes'!$F$7,IF(N11="SPC-5",'05 Source classes'!$F$8,'05 Source classes'!$F$9))</x:f>
        <x:v>150</x:v>
      </x:c>
    </x:row>
    <x:row r="12">
      <x:c r="B12" s="24" t="str">
        <x:v>D-WSC</x:v>
      </x:c>
      <x:c r="C12" s="24" t="n">
        <x:v>1.775</x:v>
      </x:c>
      <x:c r="D12" s="24" t="n">
        <x:v>2.396</x:v>
      </x:c>
      <x:c r="E12" s="24" t="n">
        <x:v>0.75</x:v>
      </x:c>
      <x:c r="F12" s="24" t="n">
        <x:v>0</x:v>
      </x:c>
      <x:c r="G12" s="24" t="n">
        <x:v>1</x:v>
      </x:c>
      <x:c r="H12" s="24" t="n">
        <x:f>MAX(ROUNDUP(C12*(1+F12)/(E12*'05 Source classes'!$C$7),0),ROUNDUP(C12/(E12*'05 Source classes'!$C$7),0)+G12,ROUNDUP(D12/(E12*'05 Source classes'!$D$7),0)+G12)</x:f>
        <x:v>3</x:v>
      </x:c>
      <x:c r="I12" s="48" t="n">
        <x:f>H12*'05 Source classes'!$C$7</x:f>
        <x:v>3.75</x:v>
      </x:c>
      <x:c r="J12" s="48" t="n">
        <x:f>MAX(ROUNDUP(C12*(1+F12)/(E12*'05 Source classes'!$C$8),0),ROUNDUP(C12/(E12*'05 Source classes'!$C$8),0)+G12,ROUNDUP(D12/(E12*'05 Source classes'!$D$8),0)+G12)</x:f>
        <x:v>2</x:v>
      </x:c>
      <x:c r="K12" s="48" t="n">
        <x:f>J12*'05 Source classes'!$C$8</x:f>
        <x:v>10</x:v>
      </x:c>
      <x:c r="L12" s="48" t="n">
        <x:f>MAX(ROUNDUP(C12*(1+F12)/(E12*'05 Source classes'!$C$9),0),ROUNDUP(C12/(E12*'05 Source classes'!$C$9),0)+G12,ROUNDUP(D12/(E12*'05 Source classes'!$D$9),0)+G12)</x:f>
        <x:v>2</x:v>
      </x:c>
      <x:c r="M12" s="48" t="n">
        <x:f>L12*'05 Source classes'!$C$9</x:f>
        <x:v>20</x:v>
      </x:c>
      <x:c r="N12" s="24" t="str">
        <x:v>SPC-1</x:v>
      </x:c>
      <x:c r="O12" s="24" t="n">
        <x:f>IF(N12="SPC-1",H12,IF(N12="SPC-5",J12,L12))</x:f>
        <x:v>3</x:v>
      </x:c>
      <x:c r="P12" s="50" t="n">
        <x:f>IF(N12="SPC-1",I12,IF(N12="SPC-5",K12,M12))</x:f>
        <x:v>3.75</x:v>
      </x:c>
      <x:c r="Q12" s="50" t="n">
        <x:f>O12*IF(N12="SPC-1",'05 Source classes'!$E$7,IF(N12="SPC-5",'05 Source classes'!$E$8,'05 Source classes'!$E$9))</x:f>
        <x:v>75</x:v>
      </x:c>
      <x:c r="R12" s="50" t="n">
        <x:f>O12*IF(N12="SPC-1",'05 Source classes'!$F$7,IF(N12="SPC-5",'05 Source classes'!$F$8,'05 Source classes'!$F$9))</x:f>
        <x:v>150</x:v>
      </x:c>
    </x:row>
    <x:row r="13">
      <x:c r="B13" s="46" t="str">
        <x:v>SELECTED REFERENCE SUITE</x:v>
      </x:c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 t="n">
        <x:f>SUM(O7:O12)</x:f>
        <x:v>39</x:v>
      </x:c>
      <x:c r="P13" s="51" t="n">
        <x:f>SUM(P7:P12)</x:f>
        <x:v>242.5</x:v>
      </x:c>
      <x:c r="Q13" s="51" t="n">
        <x:f>SUM(Q7:Q12)</x:f>
        <x:v>5040</x:v>
      </x:c>
      <x:c r="R13" s="51" t="n">
        <x:f>SUM(R7:R12)</x:f>
        <x:v>8200</x:v>
      </x:c>
    </x:row>
  </x:sheetData>
  <x:mergeCells>
    <x:mergeCell ref="B13:N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E7C78"/>
  </x:sheetPr>
  <x:sheetViews>
    <x:sheetView showGridLines="0" workbookViewId="0"/>
  </x:sheetViews>
  <x:sheetFormatPr defaultRowHeight="15"/>
  <x:cols>
    <x:col min="2" max="2" width="14" hidden="0" customWidth="1"/>
    <x:col min="3" max="3" width="16" hidden="0" customWidth="1"/>
    <x:col min="4" max="4" width="18" hidden="0" customWidth="1"/>
    <x:col min="5" max="5" width="16" hidden="0" customWidth="1"/>
    <x:col min="6" max="6" width="14" hidden="0" customWidth="1"/>
    <x:col min="7" max="7" width="16" hidden="0" customWidth="1"/>
    <x:col min="8" max="8" width="12" hidden="0" customWidth="1"/>
    <x:col min="9" max="9" width="16" hidden="0" customWidth="1"/>
    <x:col min="10" max="10" width="18" hidden="0" customWidth="1"/>
    <x:col min="11" max="11" width="14" hidden="0" customWidth="1"/>
    <x:col min="12" max="12" width="19" hidden="0" customWidth="1"/>
    <x:col min="13" max="13" width="17" hidden="0" customWidth="1"/>
    <x:col min="14" max="14" width="18" hidden="0" customWidth="1"/>
  </x:cols>
  <x:sheetData>
    <x:row r="2">
      <x:c r="B2" s="1" t="str">
        <x:v>Storage power and time classes</x:v>
      </x:c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</x:row>
    <x:row r="3">
      <x:c r="B3" s="79"/>
      <x:c r="C3" s="79"/>
      <x:c r="D3" s="79"/>
      <x:c r="E3" s="79"/>
      <x:c r="F3" s="79"/>
      <x:c r="G3" s="79"/>
      <x:c r="H3" s="79"/>
      <x:c r="I3" s="78"/>
      <x:c r="J3" s="78"/>
      <x:c r="K3" s="78"/>
      <x:c r="L3" s="78"/>
      <x:c r="M3" s="78"/>
      <x:c r="N3" s="78"/>
    </x:row>
    <x:row r="4">
      <x:c r="B4" s="4" t="str">
        <x:v>Power and energy independently determine article count.</x:v>
      </x:c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</x:row>
    <x:row r="5"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</x:row>
    <x:row r="6">
      <x:c r="B6" s="16" t="str">
        <x:v>Duty</x:v>
      </x:c>
      <x:c r="C6" s="17" t="str">
        <x:v>Required MW</x:v>
      </x:c>
      <x:c r="D6" s="17" t="str">
        <x:v>Required MWh</x:v>
      </x:c>
      <x:c r="E6" s="17" t="str">
        <x:v>Selected class</x:v>
      </x:c>
      <x:c r="F6" s="17" t="str">
        <x:v>Class MW</x:v>
      </x:c>
      <x:c r="G6" s="17" t="str">
        <x:v>Class MWh</x:v>
      </x:c>
      <x:c r="H6" s="17" t="str">
        <x:v>Count</x:v>
      </x:c>
      <x:c r="I6" s="17" t="str">
        <x:v>Installed MW</x:v>
      </x:c>
      <x:c r="J6" s="17" t="str">
        <x:v>Installed MWh</x:v>
      </x:c>
      <x:c r="K6" s="17" t="str">
        <x:v>Dry t</x:v>
      </x:c>
      <x:c r="L6" s="17" t="str">
        <x:v>Capital USD M</x:v>
      </x:c>
      <x:c r="M6" s="17" t="str">
        <x:v>Power margin</x:v>
      </x:c>
      <x:c r="N6" s="18" t="str">
        <x:v>Energy margin</x:v>
      </x:c>
    </x:row>
    <x:row r="7">
      <x:c r="B7" s="23" t="str">
        <x:v>D-FIRE</x:v>
      </x:c>
      <x:c r="C7" s="23" t="n">
        <x:v>20</x:v>
      </x:c>
      <x:c r="D7" s="23" t="n">
        <x:v>10</x:v>
      </x:c>
      <x:c r="E7" s="23" t="str">
        <x:v>BSS-10/5</x:v>
      </x:c>
      <x:c r="F7" s="23" t="n">
        <x:f>IF(E7="BSS-2/4",2,IF(E7="BSS-10/5",10,20))</x:f>
        <x:v>10</x:v>
      </x:c>
      <x:c r="G7" s="23" t="n">
        <x:f>IF(E7="BSS-2/4",4,IF(E7="BSS-10/5",5,20))</x:f>
        <x:v>5</x:v>
      </x:c>
      <x:c r="H7" s="23" t="n">
        <x:f>MAX(ROUNDUP(C7/F7,0),ROUNDUP(D7/G7,0))</x:f>
        <x:v>2</x:v>
      </x:c>
      <x:c r="I7" s="23" t="n">
        <x:f>H7*F7</x:f>
        <x:v>20</x:v>
      </x:c>
      <x:c r="J7" s="23" t="n">
        <x:f>H7*G7</x:f>
        <x:v>10</x:v>
      </x:c>
      <x:c r="K7" s="23" t="n">
        <x:f>H7*IF(E7="BSS-2/4",50,IF(E7="BSS-10/5",80,250))</x:f>
        <x:v>160</x:v>
      </x:c>
      <x:c r="L7" s="23" t="n">
        <x:f>H7*IF(E7="BSS-2/4",35,IF(E7="BSS-10/5",55,120))</x:f>
        <x:v>110</x:v>
      </x:c>
      <x:c r="M7" s="23" t="n">
        <x:f>I7-C7</x:f>
        <x:v>0</x:v>
      </x:c>
      <x:c r="N7" s="23" t="n">
        <x:f>J7-D7</x:f>
        <x:v>0</x:v>
      </x:c>
    </x:row>
    <x:row r="8">
      <x:c r="B8" s="23" t="str">
        <x:v>D-FLOOD</x:v>
      </x:c>
      <x:c r="C8" s="23" t="n">
        <x:v>6</x:v>
      </x:c>
      <x:c r="D8" s="23" t="n">
        <x:v>10</x:v>
      </x:c>
      <x:c r="E8" s="23" t="str">
        <x:v>BSS-2/4</x:v>
      </x:c>
      <x:c r="F8" s="23" t="n">
        <x:f>IF(E8="BSS-2/4",2,IF(E8="BSS-10/5",10,20))</x:f>
        <x:v>2</x:v>
      </x:c>
      <x:c r="G8" s="23" t="n">
        <x:f>IF(E8="BSS-2/4",4,IF(E8="BSS-10/5",5,20))</x:f>
        <x:v>4</x:v>
      </x:c>
      <x:c r="H8" s="23" t="n">
        <x:f>MAX(ROUNDUP(C8/F8,0),ROUNDUP(D8/G8,0))</x:f>
        <x:v>3</x:v>
      </x:c>
      <x:c r="I8" s="23" t="n">
        <x:f>H8*F8</x:f>
        <x:v>6</x:v>
      </x:c>
      <x:c r="J8" s="23" t="n">
        <x:f>H8*G8</x:f>
        <x:v>12</x:v>
      </x:c>
      <x:c r="K8" s="23" t="n">
        <x:f>H8*IF(E8="BSS-2/4",50,IF(E8="BSS-10/5",80,250))</x:f>
        <x:v>150</x:v>
      </x:c>
      <x:c r="L8" s="23" t="n">
        <x:f>H8*IF(E8="BSS-2/4",35,IF(E8="BSS-10/5",55,120))</x:f>
        <x:v>105</x:v>
      </x:c>
      <x:c r="M8" s="23" t="n">
        <x:f>I8-C8</x:f>
        <x:v>0</x:v>
      </x:c>
      <x:c r="N8" s="23" t="n">
        <x:f>J8-D8</x:f>
        <x:v>2</x:v>
      </x:c>
    </x:row>
    <x:row r="9">
      <x:c r="B9" s="23" t="str">
        <x:v>D-PRG</x:v>
      </x:c>
      <x:c r="C9" s="23" t="n">
        <x:v>120</x:v>
      </x:c>
      <x:c r="D9" s="23" t="n">
        <x:v>130.43</x:v>
      </x:c>
      <x:c r="E9" s="23" t="str">
        <x:v>BSS-20/20</x:v>
      </x:c>
      <x:c r="F9" s="23" t="n">
        <x:f>IF(E9="BSS-2/4",2,IF(E9="BSS-10/5",10,20))</x:f>
        <x:v>20</x:v>
      </x:c>
      <x:c r="G9" s="23" t="n">
        <x:f>IF(E9="BSS-2/4",4,IF(E9="BSS-10/5",5,20))</x:f>
        <x:v>20</x:v>
      </x:c>
      <x:c r="H9" s="23" t="n">
        <x:f>MAX(ROUNDUP(C9/F9,0),ROUNDUP(D9/G9,0))</x:f>
        <x:v>7</x:v>
      </x:c>
      <x:c r="I9" s="23" t="n">
        <x:f>H9*F9</x:f>
        <x:v>140</x:v>
      </x:c>
      <x:c r="J9" s="23" t="n">
        <x:f>H9*G9</x:f>
        <x:v>140</x:v>
      </x:c>
      <x:c r="K9" s="23" t="n">
        <x:f>H9*IF(E9="BSS-2/4",50,IF(E9="BSS-10/5",80,250))</x:f>
        <x:v>1750</x:v>
      </x:c>
      <x:c r="L9" s="23" t="n">
        <x:f>H9*IF(E9="BSS-2/4",35,IF(E9="BSS-10/5",55,120))</x:f>
        <x:v>840</x:v>
      </x:c>
      <x:c r="M9" s="23" t="n">
        <x:f>I9-C9</x:f>
        <x:v>20</x:v>
      </x:c>
      <x:c r="N9" s="23" t="n">
        <x:f>J9-D9</x:f>
        <x:v>9.569999999999993</x:v>
      </x:c>
    </x:row>
    <x:row r="10">
      <x:c r="B10" s="23" t="str">
        <x:v>D-MED22</x:v>
      </x:c>
      <x:c r="C10" s="23" t="n">
        <x:v>22</x:v>
      </x:c>
      <x:c r="D10" s="23" t="n">
        <x:v>8.97</x:v>
      </x:c>
      <x:c r="E10" s="23" t="str">
        <x:v>BSS-10/5</x:v>
      </x:c>
      <x:c r="F10" s="23" t="n">
        <x:f>IF(E10="BSS-2/4",2,IF(E10="BSS-10/5",10,20))</x:f>
        <x:v>10</x:v>
      </x:c>
      <x:c r="G10" s="23" t="n">
        <x:f>IF(E10="BSS-2/4",4,IF(E10="BSS-10/5",5,20))</x:f>
        <x:v>5</x:v>
      </x:c>
      <x:c r="H10" s="23" t="n">
        <x:f>MAX(ROUNDUP(C10/F10,0),ROUNDUP(D10/G10,0))</x:f>
        <x:v>3</x:v>
      </x:c>
      <x:c r="I10" s="23" t="n">
        <x:f>H10*F10</x:f>
        <x:v>30</x:v>
      </x:c>
      <x:c r="J10" s="23" t="n">
        <x:f>H10*G10</x:f>
        <x:v>15</x:v>
      </x:c>
      <x:c r="K10" s="23" t="n">
        <x:f>H10*IF(E10="BSS-2/4",50,IF(E10="BSS-10/5",80,250))</x:f>
        <x:v>240</x:v>
      </x:c>
      <x:c r="L10" s="23" t="n">
        <x:f>H10*IF(E10="BSS-2/4",35,IF(E10="BSS-10/5",55,120))</x:f>
        <x:v>165</x:v>
      </x:c>
      <x:c r="M10" s="23" t="n">
        <x:f>I10-C10</x:f>
        <x:v>8</x:v>
      </x:c>
      <x:c r="N10" s="23" t="n">
        <x:f>J10-D10</x:f>
        <x:v>6.029999999999999</x:v>
      </x:c>
    </x:row>
    <x:row r="11">
      <x:c r="B11" s="23" t="str">
        <x:v>D-PTS5</x:v>
      </x:c>
      <x:c r="C11" s="23" t="n">
        <x:v>2</x:v>
      </x:c>
      <x:c r="D11" s="23" t="n">
        <x:v>13.91</x:v>
      </x:c>
      <x:c r="E11" s="23" t="str">
        <x:v>BSS-2/4</x:v>
      </x:c>
      <x:c r="F11" s="23" t="n">
        <x:f>IF(E11="BSS-2/4",2,IF(E11="BSS-10/5",10,20))</x:f>
        <x:v>2</x:v>
      </x:c>
      <x:c r="G11" s="23" t="n">
        <x:f>IF(E11="BSS-2/4",4,IF(E11="BSS-10/5",5,20))</x:f>
        <x:v>4</x:v>
      </x:c>
      <x:c r="H11" s="23" t="n">
        <x:f>MAX(ROUNDUP(C11/F11,0),ROUNDUP(D11/G11,0))</x:f>
        <x:v>4</x:v>
      </x:c>
      <x:c r="I11" s="23" t="n">
        <x:f>H11*F11</x:f>
        <x:v>8</x:v>
      </x:c>
      <x:c r="J11" s="23" t="n">
        <x:f>H11*G11</x:f>
        <x:v>16</x:v>
      </x:c>
      <x:c r="K11" s="23" t="n">
        <x:f>H11*IF(E11="BSS-2/4",50,IF(E11="BSS-10/5",80,250))</x:f>
        <x:v>200</x:v>
      </x:c>
      <x:c r="L11" s="23" t="n">
        <x:f>H11*IF(E11="BSS-2/4",35,IF(E11="BSS-10/5",55,120))</x:f>
        <x:v>140</x:v>
      </x:c>
      <x:c r="M11" s="23" t="n">
        <x:f>I11-C11</x:f>
        <x:v>6</x:v>
      </x:c>
      <x:c r="N11" s="23" t="n">
        <x:f>J11-D11</x:f>
        <x:v>2.09</x:v>
      </x:c>
    </x:row>
    <x:row r="12">
      <x:c r="B12" s="24" t="str">
        <x:v>D-WSC</x:v>
      </x:c>
      <x:c r="C12" s="24" t="n">
        <x:v>1.5</x:v>
      </x:c>
      <x:c r="D12" s="24" t="n">
        <x:v>6</x:v>
      </x:c>
      <x:c r="E12" s="24" t="str">
        <x:v>BSS-2/4</x:v>
      </x:c>
      <x:c r="F12" s="24" t="n">
        <x:f>IF(E12="BSS-2/4",2,IF(E12="BSS-10/5",10,20))</x:f>
        <x:v>2</x:v>
      </x:c>
      <x:c r="G12" s="24" t="n">
        <x:f>IF(E12="BSS-2/4",4,IF(E12="BSS-10/5",5,20))</x:f>
        <x:v>4</x:v>
      </x:c>
      <x:c r="H12" s="24" t="n">
        <x:f>MAX(ROUNDUP(C12/F12,0),ROUNDUP(D12/G12,0))</x:f>
        <x:v>2</x:v>
      </x:c>
      <x:c r="I12" s="24" t="n">
        <x:f>H12*F12</x:f>
        <x:v>4</x:v>
      </x:c>
      <x:c r="J12" s="24" t="n">
        <x:f>H12*G12</x:f>
        <x:v>8</x:v>
      </x:c>
      <x:c r="K12" s="24" t="n">
        <x:f>H12*IF(E12="BSS-2/4",50,IF(E12="BSS-10/5",80,250))</x:f>
        <x:v>100</x:v>
      </x:c>
      <x:c r="L12" s="24" t="n">
        <x:f>H12*IF(E12="BSS-2/4",35,IF(E12="BSS-10/5",55,120))</x:f>
        <x:v>70</x:v>
      </x:c>
      <x:c r="M12" s="24" t="n">
        <x:f>I12-C12</x:f>
        <x:v>2.5</x:v>
      </x:c>
      <x:c r="N12" s="24" t="n">
        <x:f>J12-D12</x:f>
        <x:v>2</x:v>
      </x:c>
    </x:row>
    <x:row r="13">
      <x:c r="B13" s="46" t="str">
        <x:v>TOTAL</x:v>
      </x:c>
      <x:c r="C13" s="46"/>
      <x:c r="D13" s="46"/>
      <x:c r="E13" s="46"/>
      <x:c r="F13" s="46"/>
      <x:c r="G13" s="46"/>
      <x:c r="H13" s="46" t="n">
        <x:f>SUM(H7:H12)</x:f>
        <x:v>21</x:v>
      </x:c>
      <x:c r="I13" s="46" t="n">
        <x:f>SUM(I7:I12)</x:f>
        <x:v>208</x:v>
      </x:c>
      <x:c r="J13" s="46" t="n">
        <x:f>SUM(J7:J12)</x:f>
        <x:v>201</x:v>
      </x:c>
      <x:c r="K13" s="46" t="n">
        <x:f>SUM(K7:K12)</x:f>
        <x:v>2600</x:v>
      </x:c>
      <x:c r="L13" s="46" t="n">
        <x:f>SUM(L7:L12)</x:f>
        <x:v>1430</x:v>
      </x:c>
      <x:c r="M13" s="46"/>
      <x:c r="N13" s="46"/>
    </x:row>
  </x:sheetData>
  <x:mergeCells>
    <x:mergeCell ref="B13:G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E7C78"/>
  </x:sheetPr>
  <x:sheetViews>
    <x:sheetView showGridLines="0" workbookViewId="0"/>
  </x:sheetViews>
  <x:sheetFormatPr defaultRowHeight="15"/>
  <x:cols>
    <x:col min="2" max="2" width="14" hidden="0" customWidth="1"/>
    <x:col min="3" max="3" width="20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21" hidden="0" customWidth="1"/>
    <x:col min="9" max="9" width="22" hidden="0" customWidth="1"/>
    <x:col min="10" max="10" width="18" hidden="0" customWidth="1"/>
    <x:col min="11" max="11" width="15" hidden="0" customWidth="1"/>
    <x:col min="12" max="12" width="19" hidden="0" customWidth="1"/>
    <x:col min="13" max="13" width="16" hidden="0" customWidth="1"/>
  </x:cols>
  <x:sheetData>
    <x:row r="2">
      <x:c r="B2" s="1" t="str">
        <x:v>Protection and transformation sizing</x:v>
      </x:c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</x:row>
    <x:row r="3">
      <x:c r="B3" s="79"/>
      <x:c r="C3" s="79"/>
      <x:c r="D3" s="79"/>
      <x:c r="E3" s="79"/>
      <x:c r="F3" s="79"/>
      <x:c r="G3" s="79"/>
      <x:c r="H3" s="79"/>
      <x:c r="I3" s="78"/>
      <x:c r="J3" s="78"/>
      <x:c r="K3" s="78"/>
      <x:c r="L3" s="78"/>
      <x:c r="M3" s="78"/>
    </x:row>
    <x:row r="4">
      <x:c r="B4" s="4" t="str">
        <x:v>Apparent power, scale and one-node loss determine the planning count.</x:v>
      </x:c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</x:row>
    <x:row r="5"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</x:row>
    <x:row r="6">
      <x:c r="B6" s="16" t="str">
        <x:v>Duty</x:v>
      </x:c>
      <x:c r="C6" s="17" t="str">
        <x:v>Selected source MW</x:v>
      </x:c>
      <x:c r="D6" s="17" t="str">
        <x:v>Peak MW</x:v>
      </x:c>
      <x:c r="E6" s="17" t="str">
        <x:v>Power factor</x:v>
      </x:c>
      <x:c r="F6" s="17" t="str">
        <x:v>Node class</x:v>
      </x:c>
      <x:c r="G6" s="17" t="str">
        <x:v>Rating MVA</x:v>
      </x:c>
      <x:c r="H6" s="17" t="str">
        <x:v>Capacity basis MVA</x:v>
      </x:c>
      <x:c r="I6" s="17" t="str">
        <x:v>Count incl. one loss</x:v>
      </x:c>
      <x:c r="J6" s="17" t="str">
        <x:v>Installed MVA</x:v>
      </x:c>
      <x:c r="K6" s="17" t="str">
        <x:v>Dry t</x:v>
      </x:c>
      <x:c r="L6" s="17" t="str">
        <x:v>Capital USD M</x:v>
      </x:c>
      <x:c r="M6" s="18" t="str">
        <x:v>MVA margin</x:v>
      </x:c>
    </x:row>
    <x:row r="7">
      <x:c r="B7" s="23" t="str">
        <x:v>D-FIRE</x:v>
      </x:c>
      <x:c r="C7" s="49" t="n">
        <x:f>'06 Source sizing'!P7</x:f>
        <x:v>30</x:v>
      </x:c>
      <x:c r="D7" s="49" t="n">
        <x:v>35</x:v>
      </x:c>
      <x:c r="E7" s="47" t="n">
        <x:v>0.9</x:v>
      </x:c>
      <x:c r="F7" s="23" t="str">
        <x:v>PTN-5</x:v>
      </x:c>
      <x:c r="G7" s="49" t="n">
        <x:f>IF(F7="PTN-5",'01 Controls'!C13,'01 Controls'!C14)</x:f>
        <x:v>5</x:v>
      </x:c>
      <x:c r="H7" s="49" t="n">
        <x:f>MAX(C7,D7)/E7</x:f>
        <x:v>38.888888888888886</x:v>
      </x:c>
      <x:c r="I7" s="61" t="n">
        <x:f>ROUNDUP(H7/G7,0)+1</x:f>
        <x:v>9</x:v>
      </x:c>
      <x:c r="J7" s="49" t="n">
        <x:f>I7*G7</x:f>
        <x:v>45</x:v>
      </x:c>
      <x:c r="K7" s="49" t="n">
        <x:f>I7*IF(F7="PTN-5",'01 Controls'!C15,'01 Controls'!C16)</x:f>
        <x:v>315</x:v>
      </x:c>
      <x:c r="L7" s="49" t="n">
        <x:f>I7*IF(F7="PTN-5",'01 Controls'!C17,'01 Controls'!C18)</x:f>
        <x:v>180</x:v>
      </x:c>
      <x:c r="M7" s="49" t="n">
        <x:f>J7-H7</x:f>
        <x:v>6.111111111111114</x:v>
      </x:c>
    </x:row>
    <x:row r="8">
      <x:c r="B8" s="23" t="str">
        <x:v>D-FLOOD</x:v>
      </x:c>
      <x:c r="C8" s="49" t="n">
        <x:f>'06 Source sizing'!P8</x:f>
        <x:v>35</x:v>
      </x:c>
      <x:c r="D8" s="49" t="n">
        <x:v>30</x:v>
      </x:c>
      <x:c r="E8" s="47" t="n">
        <x:v>0.9</x:v>
      </x:c>
      <x:c r="F8" s="23" t="str">
        <x:v>PTN-5</x:v>
      </x:c>
      <x:c r="G8" s="49" t="n">
        <x:f>IF(F8="PTN-5",'01 Controls'!C13,'01 Controls'!C14)</x:f>
        <x:v>5</x:v>
      </x:c>
      <x:c r="H8" s="49" t="n">
        <x:f>MAX(C8,D8)/E8</x:f>
        <x:v>38.888888888888886</x:v>
      </x:c>
      <x:c r="I8" s="61" t="n">
        <x:f>ROUNDUP(H8/G8,0)+1</x:f>
        <x:v>9</x:v>
      </x:c>
      <x:c r="J8" s="49" t="n">
        <x:f>I8*G8</x:f>
        <x:v>45</x:v>
      </x:c>
      <x:c r="K8" s="49" t="n">
        <x:f>I8*IF(F8="PTN-5",'01 Controls'!C15,'01 Controls'!C16)</x:f>
        <x:v>315</x:v>
      </x:c>
      <x:c r="L8" s="49" t="n">
        <x:f>I8*IF(F8="PTN-5",'01 Controls'!C17,'01 Controls'!C18)</x:f>
        <x:v>180</x:v>
      </x:c>
      <x:c r="M8" s="49" t="n">
        <x:f>J8-H8</x:f>
        <x:v>6.111111111111114</x:v>
      </x:c>
    </x:row>
    <x:row r="9">
      <x:c r="B9" s="23" t="str">
        <x:v>D-PRG</x:v>
      </x:c>
      <x:c r="C9" s="49" t="n">
        <x:f>'06 Source sizing'!P9</x:f>
        <x:v>140</x:v>
      </x:c>
      <x:c r="D9" s="49" t="n">
        <x:v>120</x:v>
      </x:c>
      <x:c r="E9" s="47" t="n">
        <x:v>0.9</x:v>
      </x:c>
      <x:c r="F9" s="23" t="str">
        <x:v>PTN-25</x:v>
      </x:c>
      <x:c r="G9" s="49" t="n">
        <x:f>IF(F9="PTN-5",'01 Controls'!C13,'01 Controls'!C14)</x:f>
        <x:v>25</x:v>
      </x:c>
      <x:c r="H9" s="49" t="n">
        <x:f>MAX(C9,D9)/E9</x:f>
        <x:v>155.55555555555554</x:v>
      </x:c>
      <x:c r="I9" s="61" t="n">
        <x:f>ROUNDUP(H9/G9,0)+1</x:f>
        <x:v>8</x:v>
      </x:c>
      <x:c r="J9" s="49" t="n">
        <x:f>I9*G9</x:f>
        <x:v>200</x:v>
      </x:c>
      <x:c r="K9" s="49" t="n">
        <x:f>I9*IF(F9="PTN-5",'01 Controls'!C15,'01 Controls'!C16)</x:f>
        <x:v>1376</x:v>
      </x:c>
      <x:c r="L9" s="49" t="n">
        <x:f>I9*IF(F9="PTN-5",'01 Controls'!C17,'01 Controls'!C18)</x:f>
        <x:v>640</x:v>
      </x:c>
      <x:c r="M9" s="49" t="n">
        <x:f>J9-H9</x:f>
        <x:v>44.44444444444446</x:v>
      </x:c>
    </x:row>
    <x:row r="10">
      <x:c r="B10" s="23" t="str">
        <x:v>D-MED22</x:v>
      </x:c>
      <x:c r="C10" s="49" t="n">
        <x:f>'06 Source sizing'!P10</x:f>
        <x:v>30</x:v>
      </x:c>
      <x:c r="D10" s="49" t="n">
        <x:v>25.3</x:v>
      </x:c>
      <x:c r="E10" s="47" t="n">
        <x:v>0.95</x:v>
      </x:c>
      <x:c r="F10" s="23" t="str">
        <x:v>PTN-5</x:v>
      </x:c>
      <x:c r="G10" s="49" t="n">
        <x:f>IF(F10="PTN-5",'01 Controls'!C13,'01 Controls'!C14)</x:f>
        <x:v>5</x:v>
      </x:c>
      <x:c r="H10" s="49" t="n">
        <x:f>MAX(C10,D10)/E10</x:f>
        <x:v>31.578947368421055</x:v>
      </x:c>
      <x:c r="I10" s="61" t="n">
        <x:f>ROUNDUP(H10/G10,0)+1</x:f>
        <x:v>8</x:v>
      </x:c>
      <x:c r="J10" s="49" t="n">
        <x:f>I10*G10</x:f>
        <x:v>40</x:v>
      </x:c>
      <x:c r="K10" s="49" t="n">
        <x:f>I10*IF(F10="PTN-5",'01 Controls'!C15,'01 Controls'!C16)</x:f>
        <x:v>280</x:v>
      </x:c>
      <x:c r="L10" s="49" t="n">
        <x:f>I10*IF(F10="PTN-5",'01 Controls'!C17,'01 Controls'!C18)</x:f>
        <x:v>160</x:v>
      </x:c>
      <x:c r="M10" s="49" t="n">
        <x:f>J10-H10</x:f>
        <x:v>8.421052631578945</x:v>
      </x:c>
    </x:row>
    <x:row r="11">
      <x:c r="B11" s="23" t="str">
        <x:v>D-PTS5</x:v>
      </x:c>
      <x:c r="C11" s="49" t="n">
        <x:f>'06 Source sizing'!P11</x:f>
        <x:v>3.75</x:v>
      </x:c>
      <x:c r="D11" s="49" t="n">
        <x:v>1.91992</x:v>
      </x:c>
      <x:c r="E11" s="47" t="n">
        <x:v>0.95</x:v>
      </x:c>
      <x:c r="F11" s="23" t="str">
        <x:v>PTN-5</x:v>
      </x:c>
      <x:c r="G11" s="49" t="n">
        <x:f>IF(F11="PTN-5",'01 Controls'!C13,'01 Controls'!C14)</x:f>
        <x:v>5</x:v>
      </x:c>
      <x:c r="H11" s="49" t="n">
        <x:f>MAX(C11,D11)/E11</x:f>
        <x:v>3.947368421052632</x:v>
      </x:c>
      <x:c r="I11" s="61" t="n">
        <x:f>ROUNDUP(H11/G11,0)+1</x:f>
        <x:v>2</x:v>
      </x:c>
      <x:c r="J11" s="49" t="n">
        <x:f>I11*G11</x:f>
        <x:v>10</x:v>
      </x:c>
      <x:c r="K11" s="49" t="n">
        <x:f>I11*IF(F11="PTN-5",'01 Controls'!C15,'01 Controls'!C16)</x:f>
        <x:v>70</x:v>
      </x:c>
      <x:c r="L11" s="49" t="n">
        <x:f>I11*IF(F11="PTN-5",'01 Controls'!C17,'01 Controls'!C18)</x:f>
        <x:v>40</x:v>
      </x:c>
      <x:c r="M11" s="49" t="n">
        <x:f>J11-H11</x:f>
        <x:v>6.052631578947368</x:v>
      </x:c>
    </x:row>
    <x:row r="12">
      <x:c r="B12" s="24" t="str">
        <x:v>D-WSC</x:v>
      </x:c>
      <x:c r="C12" s="50" t="n">
        <x:f>'06 Source sizing'!P12</x:f>
        <x:v>3.75</x:v>
      </x:c>
      <x:c r="D12" s="50" t="n">
        <x:v>2.396</x:v>
      </x:c>
      <x:c r="E12" s="48" t="n">
        <x:v>0.9</x:v>
      </x:c>
      <x:c r="F12" s="24" t="str">
        <x:v>PTN-5</x:v>
      </x:c>
      <x:c r="G12" s="50" t="n">
        <x:f>IF(F12="PTN-5",'01 Controls'!C13,'01 Controls'!C14)</x:f>
        <x:v>5</x:v>
      </x:c>
      <x:c r="H12" s="50" t="n">
        <x:f>MAX(C12,D12)/E12</x:f>
        <x:v>4.166666666666667</x:v>
      </x:c>
      <x:c r="I12" s="62" t="n">
        <x:f>ROUNDUP(H12/G12,0)+1</x:f>
        <x:v>2</x:v>
      </x:c>
      <x:c r="J12" s="50" t="n">
        <x:f>I12*G12</x:f>
        <x:v>10</x:v>
      </x:c>
      <x:c r="K12" s="50" t="n">
        <x:f>I12*IF(F12="PTN-5",'01 Controls'!C15,'01 Controls'!C16)</x:f>
        <x:v>70</x:v>
      </x:c>
      <x:c r="L12" s="50" t="n">
        <x:f>I12*IF(F12="PTN-5",'01 Controls'!C17,'01 Controls'!C18)</x:f>
        <x:v>40</x:v>
      </x:c>
      <x:c r="M12" s="50" t="n">
        <x:f>J12-H12</x:f>
        <x:v>5.833333333333333</x:v>
      </x:c>
    </x:row>
    <x:row r="13">
      <x:c r="B13" s="46" t="str">
        <x:v>TOTAL</x:v>
      </x:c>
      <x:c r="C13" s="46"/>
      <x:c r="D13" s="46"/>
      <x:c r="E13" s="46"/>
      <x:c r="F13" s="46"/>
      <x:c r="G13" s="46"/>
      <x:c r="H13" s="46"/>
      <x:c r="I13" s="69" t="n">
        <x:f>SUM(I7:I12)</x:f>
        <x:v>38</x:v>
      </x:c>
      <x:c r="J13" s="51" t="n">
        <x:f>SUM(J7:J12)</x:f>
        <x:v>350</x:v>
      </x:c>
      <x:c r="K13" s="51" t="n">
        <x:f>SUM(K7:K12)</x:f>
        <x:v>2426</x:v>
      </x:c>
      <x:c r="L13" s="51" t="n">
        <x:f>SUM(L7:L12)</x:f>
        <x:v>1240</x:v>
      </x:c>
      <x:c r="M13" s="51"/>
    </x:row>
  </x:sheetData>
  <x:mergeCells>
    <x:mergeCell ref="B13:H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16582"/>
  </x:sheetPr>
  <x:sheetViews>
    <x:sheetView showGridLines="0" workbookViewId="0"/>
  </x:sheetViews>
  <x:sheetFormatPr defaultRowHeight="15"/>
  <x:cols>
    <x:col min="2" max="2" width="14" hidden="0" customWidth="1"/>
    <x:col min="3" max="3" width="20" hidden="0" customWidth="1"/>
    <x:col min="4" max="4" width="16" hidden="0" customWidth="1"/>
    <x:col min="5" max="5" width="16" hidden="0" customWidth="1"/>
    <x:col min="6" max="6" width="15" hidden="0" customWidth="1"/>
    <x:col min="7" max="7" width="19" hidden="0" customWidth="1"/>
    <x:col min="8" max="8" width="42" hidden="0" customWidth="1"/>
  </x:cols>
  <x:sheetData>
    <x:row r="2">
      <x:c r="B2" s="1" t="str">
        <x:v>Disconnected local control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Each operating island plus one reserve controller receives an independent cell.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Duty</x:v>
      </x:c>
      <x:c r="C6" s="17" t="str">
        <x:v>Operating islands</x:v>
      </x:c>
      <x:c r="D6" s="17" t="str">
        <x:v>Reserve cells</x:v>
      </x:c>
      <x:c r="E6" s="17" t="str">
        <x:v>CLC-1 count</x:v>
      </x:c>
      <x:c r="F6" s="17" t="str">
        <x:v>Dry t</x:v>
      </x:c>
      <x:c r="G6" s="17" t="str">
        <x:v>Capital USD M</x:v>
      </x:c>
      <x:c r="H6" s="18" t="str">
        <x:v>Network-independent safe operation</x:v>
      </x:c>
    </x:row>
    <x:row r="7">
      <x:c r="B7" s="23" t="str">
        <x:v>D-FIRE</x:v>
      </x:c>
      <x:c r="C7" s="23" t="n">
        <x:v>6</x:v>
      </x:c>
      <x:c r="D7" s="23" t="n">
        <x:v>1</x:v>
      </x:c>
      <x:c r="E7" s="23" t="n">
        <x:f>C7+D7</x:f>
        <x:v>7</x:v>
      </x:c>
      <x:c r="F7" s="23" t="n">
        <x:f>E7*'01 Controls'!C19</x:f>
        <x:v>84</x:v>
      </x:c>
      <x:c r="G7" s="23" t="n">
        <x:f>E7*'01 Controls'!C20</x:f>
        <x:v>84</x:v>
      </x:c>
      <x:c r="H7" s="23" t="str">
        <x:v>REQUIRED; NOT YET PROVED</x:v>
      </x:c>
    </x:row>
    <x:row r="8">
      <x:c r="B8" s="23" t="str">
        <x:v>D-FLOOD</x:v>
      </x:c>
      <x:c r="C8" s="23" t="n">
        <x:v>3</x:v>
      </x:c>
      <x:c r="D8" s="23" t="n">
        <x:v>1</x:v>
      </x:c>
      <x:c r="E8" s="23" t="n">
        <x:f>C8+D8</x:f>
        <x:v>4</x:v>
      </x:c>
      <x:c r="F8" s="23" t="n">
        <x:f>E8*'01 Controls'!C19</x:f>
        <x:v>48</x:v>
      </x:c>
      <x:c r="G8" s="23" t="n">
        <x:f>E8*'01 Controls'!C20</x:f>
        <x:v>48</x:v>
      </x:c>
      <x:c r="H8" s="23" t="str">
        <x:v>REQUIRED; NOT YET PROVED</x:v>
      </x:c>
    </x:row>
    <x:row r="9">
      <x:c r="B9" s="23" t="str">
        <x:v>D-PRG</x:v>
      </x:c>
      <x:c r="C9" s="23" t="n">
        <x:v>5</x:v>
      </x:c>
      <x:c r="D9" s="23" t="n">
        <x:v>1</x:v>
      </x:c>
      <x:c r="E9" s="23" t="n">
        <x:f>C9+D9</x:f>
        <x:v>6</x:v>
      </x:c>
      <x:c r="F9" s="23" t="n">
        <x:f>E9*'01 Controls'!C19</x:f>
        <x:v>72</x:v>
      </x:c>
      <x:c r="G9" s="23" t="n">
        <x:f>E9*'01 Controls'!C20</x:f>
        <x:v>72</x:v>
      </x:c>
      <x:c r="H9" s="23" t="str">
        <x:v>REQUIRED; NOT YET PROVED</x:v>
      </x:c>
    </x:row>
    <x:row r="10">
      <x:c r="B10" s="23" t="str">
        <x:v>D-MED22</x:v>
      </x:c>
      <x:c r="C10" s="23" t="n">
        <x:v>3</x:v>
      </x:c>
      <x:c r="D10" s="23" t="n">
        <x:v>1</x:v>
      </x:c>
      <x:c r="E10" s="23" t="n">
        <x:f>C10+D10</x:f>
        <x:v>4</x:v>
      </x:c>
      <x:c r="F10" s="23" t="n">
        <x:f>E10*'01 Controls'!C19</x:f>
        <x:v>48</x:v>
      </x:c>
      <x:c r="G10" s="23" t="n">
        <x:f>E10*'01 Controls'!C20</x:f>
        <x:v>48</x:v>
      </x:c>
      <x:c r="H10" s="23" t="str">
        <x:v>REQUIRED; NOT YET PROVED</x:v>
      </x:c>
    </x:row>
    <x:row r="11">
      <x:c r="B11" s="23" t="str">
        <x:v>D-PTS5</x:v>
      </x:c>
      <x:c r="C11" s="23" t="n">
        <x:v>2</x:v>
      </x:c>
      <x:c r="D11" s="23" t="n">
        <x:v>1</x:v>
      </x:c>
      <x:c r="E11" s="23" t="n">
        <x:f>C11+D11</x:f>
        <x:v>3</x:v>
      </x:c>
      <x:c r="F11" s="23" t="n">
        <x:f>E11*'01 Controls'!C19</x:f>
        <x:v>36</x:v>
      </x:c>
      <x:c r="G11" s="23" t="n">
        <x:f>E11*'01 Controls'!C20</x:f>
        <x:v>36</x:v>
      </x:c>
      <x:c r="H11" s="23" t="str">
        <x:v>REQUIRED; NOT YET PROVED</x:v>
      </x:c>
    </x:row>
    <x:row r="12">
      <x:c r="B12" s="24" t="str">
        <x:v>D-WSC</x:v>
      </x:c>
      <x:c r="C12" s="24" t="n">
        <x:v>2</x:v>
      </x:c>
      <x:c r="D12" s="24" t="n">
        <x:v>1</x:v>
      </x:c>
      <x:c r="E12" s="24" t="n">
        <x:f>C12+D12</x:f>
        <x:v>3</x:v>
      </x:c>
      <x:c r="F12" s="24" t="n">
        <x:f>E12*'01 Controls'!C19</x:f>
        <x:v>36</x:v>
      </x:c>
      <x:c r="G12" s="24" t="n">
        <x:f>E12*'01 Controls'!C20</x:f>
        <x:v>36</x:v>
      </x:c>
      <x:c r="H12" s="24" t="str">
        <x:v>REQUIRED; NOT YET PROVED</x:v>
      </x:c>
    </x:row>
    <x:row r="13">
      <x:c r="B13" s="46" t="str">
        <x:v>TOTAL</x:v>
      </x:c>
      <x:c r="C13" s="46"/>
      <x:c r="D13" s="46"/>
      <x:c r="E13" s="46" t="n">
        <x:f>SUM(E7:E12)</x:f>
        <x:v>27</x:v>
      </x:c>
      <x:c r="F13" s="46" t="n">
        <x:f>SUM(F7:F12)</x:f>
        <x:v>324</x:v>
      </x:c>
      <x:c r="G13" s="46" t="n">
        <x:f>SUM(G7:G12)</x:f>
        <x:v>324</x:v>
      </x:c>
      <x:c r="H13" s="46"/>
    </x:row>
  </x:sheetData>
  <x:mergeCells>
    <x:mergeCell ref="B13:D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16582"/>
  </x:sheetPr>
  <x:sheetViews>
    <x:sheetView showGridLines="0" workbookViewId="0"/>
  </x:sheetViews>
  <x:sheetFormatPr defaultRowHeight="15"/>
  <x:cols>
    <x:col min="2" max="2" width="28" hidden="0" customWidth="1"/>
    <x:col min="3" max="3" width="58" hidden="0" customWidth="1"/>
    <x:col min="4" max="4" width="58" hidden="0" customWidth="1"/>
    <x:col min="5" max="5" width="18" hidden="0" customWidth="1"/>
    <x:col min="6" max="6" width="30" hidden="0" customWidth="1"/>
  </x:cols>
  <x:sheetData>
    <x:row r="2">
      <x:c r="B2" s="1" t="str">
        <x:v>Mission-qualified systems outside the common core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Common electrical output does not erase energy, heat, route, receiver or authority differences.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Chain</x:v>
      </x:c>
      <x:c r="C6" s="17" t="str">
        <x:v>Why it cannot be generic</x:v>
      </x:c>
      <x:c r="D6" s="17" t="str">
        <x:v>Required registered quantities</x:v>
      </x:c>
      <x:c r="E6" s="17" t="str">
        <x:v>Current closure</x:v>
      </x:c>
      <x:c r="F6" s="18" t="str">
        <x:v>Quantity effect</x:v>
      </x:c>
      <x:c r="G6" s="78"/>
      <x:c r="H6" s="78"/>
    </x:row>
    <x:row r="7">
      <x:c r="B7" s="23" t="str">
        <x:v>Primary energy and custody</x:v>
      </x:c>
      <x:c r="C7" s="23" t="str">
        <x:v>Fuel, reactor, grid, gas and local inputs have different hazards and upstream roots</x:v>
      </x:c>
      <x:c r="D7" s="23" t="str">
        <x:v>Net bus energy, efficiency, auxiliaries, stock, transfer, emissions, replenishment</x:v>
      </x:c>
      <x:c r="E7" s="23" t="str">
        <x:v>OPEN</x:v>
      </x:c>
      <x:c r="F7" s="23" t="str">
        <x:v>No source article credit</x:v>
      </x:c>
      <x:c r="G7" s="78"/>
      <x:c r="H7" s="78"/>
    </x:row>
    <x:row r="8">
      <x:c r="B8" s="23" t="str">
        <x:v>Final heat destination</x:v>
      </x:c>
      <x:c r="C8" s="23" t="str">
        <x:v>Ambient, smoke, salt, water, plume, noise and temperature lift alter the system</x:v>
      </x:c>
      <x:c r="D8" s="23" t="str">
        <x:v>Source waste heat, useful thermal rejection, storage and enclosure heat</x:v>
      </x:c>
      <x:c r="E8" s="23" t="str">
        <x:v>OPEN</x:v>
      </x:c>
      <x:c r="F8" s="23" t="str">
        <x:v>No complete power-service credit</x:v>
      </x:c>
      <x:c r="G8" s="78"/>
      <x:c r="H8" s="78"/>
    </x:row>
    <x:row r="9">
      <x:c r="B9" s="23" t="str">
        <x:v>Route material</x:v>
      </x:c>
      <x:c r="C9" s="23" t="str">
        <x:v>Voltage, length, damage, installation and occupied terrain differ</x:v>
      </x:c>
      <x:c r="D9" s="23" t="str">
        <x:v>Circuit-km, ampacity, fault zones, joints, crossings, repair</x:v>
      </x:c>
      <x:c r="E9" s="23" t="str">
        <x:v>OPEN</x:v>
      </x:c>
      <x:c r="F9" s="23" t="str">
        <x:v>No distribution article credit</x:v>
      </x:c>
      <x:c r="G9" s="78"/>
      <x:c r="H9" s="78"/>
    </x:row>
    <x:row r="10">
      <x:c r="B10" s="23" t="str">
        <x:v>Receiver connection</x:v>
      </x:c>
      <x:c r="C10" s="23" t="str">
        <x:v>Hospitals, pumps and occupied buildings require different release</x:v>
      </x:c>
      <x:c r="D10" s="23" t="str">
        <x:v>Load, impedance, grounding, protection, authority, transfer</x:v>
      </x:c>
      <x:c r="E10" s="23" t="str">
        <x:v>OPEN</x:v>
      </x:c>
      <x:c r="F10" s="23" t="str">
        <x:v>No public-service credit</x:v>
      </x:c>
      <x:c r="G10" s="78"/>
      <x:c r="H10" s="78"/>
    </x:row>
    <x:row r="11">
      <x:c r="B11" s="23" t="str">
        <x:v>Mission crew</x:v>
      </x:c>
      <x:c r="C11" s="23" t="str">
        <x:v>Qualifications and contamination states differ</x:v>
      </x:c>
      <x:c r="D11" s="23" t="str">
        <x:v>Posts, shifts, licenses, task time, fatigue, relief, return</x:v>
      </x:c>
      <x:c r="E11" s="23" t="str">
        <x:v>OPEN</x:v>
      </x:c>
      <x:c r="F11" s="23" t="str">
        <x:v>No readiness credit</x:v>
      </x:c>
      <x:c r="G11" s="78"/>
      <x:c r="H11" s="78"/>
    </x:row>
    <x:row r="12">
      <x:c r="B12" s="24" t="str">
        <x:v>Regeneration</x:v>
      </x:c>
      <x:c r="C12" s="24" t="str">
        <x:v>Clean, wet, contaminated, clinical and nuclear return paths differ</x:v>
      </x:c>
      <x:c r="D12" s="24" t="str">
        <x:v>Quarantine, inspection, repair, recertification, bay occupancy</x:v>
      </x:c>
      <x:c r="E12" s="24" t="str">
        <x:v>OPEN</x:v>
      </x:c>
      <x:c r="F12" s="24" t="str">
        <x:v>No second reservation</x:v>
      </x:c>
      <x:c r="G12" s="78"/>
      <x:c r="H12" s="7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16582"/>
  </x:sheetPr>
  <x:sheetViews>
    <x:sheetView showGridLines="0" workbookViewId="0"/>
  </x:sheetViews>
  <x:sheetFormatPr defaultRowHeight="15"/>
  <x:cols>
    <x:col min="2" max="2" width="14" hidden="0" customWidth="1"/>
    <x:col min="3" max="3" width="42" hidden="0" customWidth="1"/>
    <x:col min="4" max="4" width="62" hidden="0" customWidth="1"/>
    <x:col min="5" max="5" width="20" hidden="0" customWidth="1"/>
  </x:cols>
  <x:sheetData>
    <x:row r="2">
      <x:c r="B2" s="1" t="str">
        <x:v>Cross-portfolio failure worlds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Capacity arithmetic is one necessary test among sixteen conjunctive worlds.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World</x:v>
      </x:c>
      <x:c r="C6" s="17" t="str">
        <x:v>Challenge</x:v>
      </x:c>
      <x:c r="D6" s="17" t="str">
        <x:v>Required result</x:v>
      </x:c>
      <x:c r="E6" s="18" t="str">
        <x:v>Current state</x:v>
      </x:c>
      <x:c r="F6" s="78"/>
      <x:c r="G6" s="78"/>
      <x:c r="H6" s="78"/>
    </x:row>
    <x:row r="7">
      <x:c r="B7" s="23" t="str">
        <x:v>PW0</x:v>
      </x:c>
      <x:c r="C7" s="23" t="str">
        <x:v>Normal cold start</x:v>
      </x:c>
      <x:c r="D7" s="23" t="str">
        <x:v>Stable local service and complete evidence</x:v>
      </x:c>
      <x:c r="E7" s="23" t="str">
        <x:v>OPEN</x:v>
      </x:c>
      <x:c r="F7" s="78"/>
      <x:c r="G7" s="78"/>
      <x:c r="H7" s="78"/>
    </x:row>
    <x:row r="8">
      <x:c r="B8" s="23" t="str">
        <x:v>PW1</x:v>
      </x:c>
      <x:c r="C8" s="23" t="str">
        <x:v>Largest source cluster removed</x:v>
      </x:c>
      <x:c r="D8" s="23" t="str">
        <x:v>Continuous and peak arithmetic closes</x:v>
      </x:c>
      <x:c r="E8" s="23" t="str">
        <x:v>PLANNING PASS</x:v>
      </x:c>
      <x:c r="F8" s="78"/>
      <x:c r="G8" s="78"/>
      <x:c r="H8" s="78"/>
    </x:row>
    <x:row r="9">
      <x:c r="B9" s="23" t="str">
        <x:v>PW2</x:v>
      </x:c>
      <x:c r="C9" s="23" t="str">
        <x:v>Storage article isolated</x:v>
      </x:c>
      <x:c r="D9" s="23" t="str">
        <x:v>Safe source operation and declared reduced ride-through</x:v>
      </x:c>
      <x:c r="E9" s="23" t="str">
        <x:v>OPEN</x:v>
      </x:c>
      <x:c r="F9" s="78"/>
      <x:c r="G9" s="78"/>
      <x:c r="H9" s="78"/>
    </x:row>
    <x:row r="10">
      <x:c r="B10" s="23" t="str">
        <x:v>PW3</x:v>
      </x:c>
      <x:c r="C10" s="23" t="str">
        <x:v>Protection node unavailable</x:v>
      </x:c>
      <x:c r="D10" s="23" t="str">
        <x:v>Protected loads remain served without unsafe tie</x:v>
      </x:c>
      <x:c r="E10" s="23" t="str">
        <x:v>OPEN</x:v>
      </x:c>
      <x:c r="F10" s="78"/>
      <x:c r="G10" s="78"/>
      <x:c r="H10" s="78"/>
    </x:row>
    <x:row r="11">
      <x:c r="B11" s="23" t="str">
        <x:v>PW4</x:v>
      </x:c>
      <x:c r="C11" s="23" t="str">
        <x:v>Primary energy lot contaminated</x:v>
      </x:c>
      <x:c r="D11" s="23" t="str">
        <x:v>Unlike energy root or lawful reduction</x:v>
      </x:c>
      <x:c r="E11" s="23" t="str">
        <x:v>OPEN</x:v>
      </x:c>
      <x:c r="F11" s="78"/>
      <x:c r="G11" s="78"/>
      <x:c r="H11" s="78"/>
    </x:row>
    <x:row r="12">
      <x:c r="B12" s="23" t="str">
        <x:v>PW5</x:v>
      </x:c>
      <x:c r="C12" s="23" t="str">
        <x:v>Final heat destination blocked</x:v>
      </x:c>
      <x:c r="D12" s="23" t="str">
        <x:v>Protected service or safe stop</x:v>
      </x:c>
      <x:c r="E12" s="23" t="str">
        <x:v>OPEN</x:v>
      </x:c>
      <x:c r="F12" s="78"/>
      <x:c r="G12" s="78"/>
      <x:c r="H12" s="78"/>
    </x:row>
    <x:row r="13">
      <x:c r="B13" s="23" t="str">
        <x:v>PW6</x:v>
      </x:c>
      <x:c r="C13" s="23" t="str">
        <x:v>National network and time source absent</x:v>
      </x:c>
      <x:c r="D13" s="23" t="str">
        <x:v>Local control and records remain valid</x:v>
      </x:c>
      <x:c r="E13" s="23" t="str">
        <x:v>OPEN</x:v>
      </x:c>
      <x:c r="F13" s="78"/>
      <x:c r="G13" s="78"/>
      <x:c r="H13" s="78"/>
    </x:row>
    <x:row r="14">
      <x:c r="B14" s="23" t="str">
        <x:v>PW7</x:v>
      </x:c>
      <x:c r="C14" s="23" t="str">
        <x:v>Wrong scale or version presented</x:v>
      </x:c>
      <x:c r="D14" s="23" t="str">
        <x:v>Reject before energization</x:v>
      </x:c>
      <x:c r="E14" s="23" t="str">
        <x:v>OPEN</x:v>
      </x:c>
      <x:c r="F14" s="78"/>
      <x:c r="G14" s="78"/>
      <x:c r="H14" s="78"/>
    </x:row>
    <x:row r="15">
      <x:c r="B15" s="23" t="str">
        <x:v>PW8</x:v>
      </x:c>
      <x:c r="C15" s="23" t="str">
        <x:v>Fire-contaminated article transferred</x:v>
      </x:c>
      <x:c r="D15" s="23" t="str">
        <x:v>Reject until decontamination and recertification</x:v>
      </x:c>
      <x:c r="E15" s="23" t="str">
        <x:v>OPEN</x:v>
      </x:c>
      <x:c r="F15" s="78"/>
      <x:c r="G15" s="78"/>
      <x:c r="H15" s="78"/>
    </x:row>
    <x:row r="16">
      <x:c r="B16" s="23" t="str">
        <x:v>PW9</x:v>
      </x:c>
      <x:c r="C16" s="23" t="str">
        <x:v>Two portfolios request one serial</x:v>
      </x:c>
      <x:c r="D16" s="23" t="str">
        <x:v>One warrant; uncovered obligation remains visible</x:v>
      </x:c>
      <x:c r="E16" s="23" t="str">
        <x:v>PLANNING PASS</x:v>
      </x:c>
      <x:c r="F16" s="78"/>
      <x:c r="G16" s="78"/>
      <x:c r="H16" s="78"/>
    </x:row>
    <x:row r="17">
      <x:c r="B17" s="23" t="str">
        <x:v>PW10</x:v>
      </x:c>
      <x:c r="C17" s="23" t="str">
        <x:v>One supplier root and one depot unavailable</x:v>
      </x:c>
      <x:c r="D17" s="23" t="str">
        <x:v>Retained obligations close</x:v>
      </x:c>
      <x:c r="E17" s="23" t="str">
        <x:v>OPEN</x:v>
      </x:c>
      <x:c r="F17" s="78"/>
      <x:c r="G17" s="78"/>
      <x:c r="H17" s="78"/>
    </x:row>
    <x:row r="18">
      <x:c r="B18" s="23" t="str">
        <x:v>PW11</x:v>
      </x:c>
      <x:c r="C18" s="23" t="str">
        <x:v>Utility reconnection during island service</x:v>
      </x:c>
      <x:c r="D18" s="23" t="str">
        <x:v>Safe synchronization and transfer</x:v>
      </x:c>
      <x:c r="E18" s="23" t="str">
        <x:v>OPEN</x:v>
      </x:c>
      <x:c r="F18" s="78"/>
      <x:c r="G18" s="78"/>
      <x:c r="H18" s="78"/>
    </x:row>
    <x:row r="19">
      <x:c r="B19" s="23" t="str">
        <x:v>PW12</x:v>
      </x:c>
      <x:c r="C19" s="23" t="str">
        <x:v>Crew exhausted or authority missing</x:v>
      </x:c>
      <x:c r="D19" s="23" t="str">
        <x:v>No energization credit</x:v>
      </x:c>
      <x:c r="E19" s="23" t="str">
        <x:v>OPEN</x:v>
      </x:c>
      <x:c r="F19" s="78"/>
      <x:c r="G19" s="78"/>
      <x:c r="H19" s="78"/>
    </x:row>
    <x:row r="20">
      <x:c r="B20" s="23" t="str">
        <x:v>PW13</x:v>
      </x:c>
      <x:c r="C20" s="23" t="str">
        <x:v>Medical no-break transfer</x:v>
      </x:c>
      <x:c r="D20" s="23" t="str">
        <x:v>Protected clinical subset remains within limits</x:v>
      </x:c>
      <x:c r="E20" s="23" t="str">
        <x:v>OPEN</x:v>
      </x:c>
      <x:c r="F20" s="78"/>
      <x:c r="G20" s="78"/>
      <x:c r="H20" s="78"/>
    </x:row>
    <x:row r="21">
      <x:c r="B21" s="23" t="str">
        <x:v>PW14</x:v>
      </x:c>
      <x:c r="C21" s="23" t="str">
        <x:v>Flood motor start and wet fault</x:v>
      </x:c>
      <x:c r="D21" s="23" t="str">
        <x:v>Peak, protection, isolation and recovery close</x:v>
      </x:c>
      <x:c r="E21" s="23" t="str">
        <x:v>OPEN</x:v>
      </x:c>
      <x:c r="F21" s="78"/>
      <x:c r="G21" s="78"/>
      <x:c r="H21" s="78"/>
    </x:row>
    <x:row r="22">
      <x:c r="B22" s="24" t="str">
        <x:v>PW15</x:v>
      </x:c>
      <x:c r="C22" s="24" t="str">
        <x:v>Carried-cell mass or carrier loss</x:v>
      </x:c>
      <x:c r="D22" s="24" t="str">
        <x:v>Remaining payload still closes public service</x:v>
      </x:c>
      <x:c r="E22" s="24" t="str">
        <x:v>OPEN</x:v>
      </x:c>
      <x:c r="F22" s="78"/>
      <x:c r="G22" s="78"/>
      <x:c r="H22" s="7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D9A93B"/>
  </x:sheetPr>
  <x:sheetViews>
    <x:sheetView showGridLines="0" workbookViewId="0"/>
  </x:sheetViews>
  <x:sheetFormatPr defaultRowHeight="15"/>
  <x:cols>
    <x:col min="2" max="2" width="20" hidden="0" customWidth="1"/>
    <x:col min="3" max="3" width="30" hidden="0" customWidth="1"/>
    <x:col min="4" max="4" width="48" hidden="0" customWidth="1"/>
    <x:col min="5" max="5" width="18" hidden="0" customWidth="1"/>
    <x:col min="6" max="6" width="18" hidden="0" customWidth="1"/>
    <x:col min="7" max="7" width="48" hidden="0" customWidth="1"/>
  </x:cols>
  <x:sheetData>
    <x:row r="2">
      <x:c r="B2" s="1" t="str">
        <x:v>Portfolio translation state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G4 alone permits one bounded cross-portfolio reservation.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Duty</x:v>
      </x:c>
      <x:c r="C6" s="17" t="str">
        <x:v>Prior state</x:v>
      </x:c>
      <x:c r="D6" s="17" t="str">
        <x:v>Current state</x:v>
      </x:c>
      <x:c r="E6" s="17" t="str">
        <x:v>G4 substitution</x:v>
      </x:c>
      <x:c r="F6" s="17" t="str">
        <x:v>Quantity credit</x:v>
      </x:c>
      <x:c r="G6" s="18" t="str">
        <x:v>Main missing object</x:v>
      </x:c>
      <x:c r="H6" s="78"/>
    </x:row>
    <x:row r="7">
      <x:c r="B7" s="23" t="str">
        <x:v>Fire</x:v>
      </x:c>
      <x:c r="C7" s="23" t="str">
        <x:v>Exact current family bill</x:v>
      </x:c>
      <x:c r="D7" s="23" t="str">
        <x:v>G2 candidate successor interface; current bill conserved</x:v>
      </x:c>
      <x:c r="E7" s="61" t="n">
        <x:v>0</x:v>
      </x:c>
      <x:c r="F7" s="61" t="n">
        <x:v>0</x:v>
      </x:c>
      <x:c r="G7" s="23" t="str">
        <x:v>Same-article cross-mission campaign</x:v>
      </x:c>
      <x:c r="H7" s="78"/>
    </x:row>
    <x:row r="8">
      <x:c r="B8" s="23" t="str">
        <x:v>Flood-water</x:v>
      </x:c>
      <x:c r="C8" s="23" t="str">
        <x:v>Comparable power measure</x:v>
      </x:c>
      <x:c r="D8" s="23" t="str">
        <x:v>G2 source, storage, protection and control candidate</x:v>
      </x:c>
      <x:c r="E8" s="61" t="n">
        <x:v>0</x:v>
      </x:c>
      <x:c r="F8" s="61" t="n">
        <x:v>0</x:v>
      </x:c>
      <x:c r="G8" s="23" t="str">
        <x:v>Energy, heat, route, crew and return</x:v>
      </x:c>
      <x:c r="H8" s="78"/>
    </x:row>
    <x:row r="9">
      <x:c r="B9" s="23" t="str">
        <x:v>Power-thermal</x:v>
      </x:c>
      <x:c r="C9" s="23" t="str">
        <x:v>Configured native formation</x:v>
      </x:c>
      <x:c r="D9" s="23" t="str">
        <x:v>G2 nested-family candidate</x:v>
      </x:c>
      <x:c r="E9" s="61" t="n">
        <x:v>0</x:v>
      </x:c>
      <x:c r="F9" s="61" t="n">
        <x:v>0</x:v>
      </x:c>
      <x:c r="G9" s="23" t="str">
        <x:v>Multi-scale and root evidence</x:v>
      </x:c>
      <x:c r="H9" s="78"/>
    </x:row>
    <x:row r="10">
      <x:c r="B10" s="23" t="str">
        <x:v>Medical</x:v>
      </x:c>
      <x:c r="C10" s="23" t="str">
        <x:v>Bounded 22 MW allocation</x:v>
      </x:c>
      <x:c r="D10" s="23" t="str">
        <x:v>G1 diagnostic duty only</x:v>
      </x:c>
      <x:c r="E10" s="61" t="n">
        <x:v>0</x:v>
      </x:c>
      <x:c r="F10" s="61" t="n">
        <x:v>0</x:v>
      </x:c>
      <x:c r="G10" s="23" t="str">
        <x:v>Clinical utility contract</x:v>
      </x:c>
      <x:c r="H10" s="78"/>
    </x:row>
    <x:row r="11">
      <x:c r="B11" s="23" t="str">
        <x:v>Hard access</x:v>
      </x:c>
      <x:c r="C11" s="23" t="str">
        <x:v>Measured PTS-5 duty and payload</x:v>
      </x:c>
      <x:c r="D11" s="23" t="str">
        <x:v>G2 source candidate; storage held</x:v>
      </x:c>
      <x:c r="E11" s="61" t="n">
        <x:v>0</x:v>
      </x:c>
      <x:c r="F11" s="61" t="n">
        <x:v>0</x:v>
      </x:c>
      <x:c r="G11" s="23" t="str">
        <x:v>Storage mass and carrier recompilation</x:v>
      </x:c>
      <x:c r="H11" s="78"/>
    </x:row>
    <x:row r="12">
      <x:c r="B12" s="24" t="str">
        <x:v>Water cell</x:v>
      </x:c>
      <x:c r="C12" s="24" t="str">
        <x:v>Configured P4 cell-local power</x:v>
      </x:c>
      <x:c r="D12" s="24" t="str">
        <x:v>G2 small-scale candidate</x:v>
      </x:c>
      <x:c r="E12" s="62" t="n">
        <x:v>0</x:v>
      </x:c>
      <x:c r="F12" s="62" t="n">
        <x:v>0</x:v>
      </x:c>
      <x:c r="G12" s="24" t="str">
        <x:v>Energy and heat variants</x:v>
      </x:c>
      <x:c r="H12" s="78"/>
    </x:row>
    <x:row r="13">
      <x:c r="B13" s="78"/>
      <x:c r="C13" s="78"/>
      <x:c r="D13" s="78"/>
      <x:c r="E13" s="78"/>
      <x:c r="F13" s="78"/>
      <x:c r="G13" s="78"/>
      <x:c r="H13" s="78"/>
    </x:row>
    <x:row r="14">
      <x:c r="B14" s="78"/>
      <x:c r="C14" s="78"/>
      <x:c r="D14" s="78"/>
      <x:c r="E14" s="78"/>
      <x:c r="F14" s="78"/>
      <x:c r="G14" s="78"/>
      <x:c r="H14" s="78"/>
    </x:row>
    <x:row r="15" ht="34" customHeight="1">
      <x:c r="B15" s="41" t="str">
        <x:v>No G4 row exists. The 1,824 ENG-5/7 islands and 6,080 PWR-20 units remain conserved inside the C24 floor.</x:v>
      </x:c>
      <x:c r="C15" s="42"/>
      <x:c r="D15" s="42"/>
      <x:c r="E15" s="42"/>
      <x:c r="F15" s="42"/>
      <x:c r="G15" s="42"/>
      <x:c r="H15" s="43"/>
    </x:row>
  </x:sheetData>
  <x:mergeCells>
    <x:mergeCell ref="B15:H1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2E7C78"/>
  </x:sheetPr>
  <x:sheetViews>
    <x:sheetView showGridLines="0" workbookViewId="0"/>
  </x:sheetViews>
  <x:sheetFormatPr defaultRowHeight="15"/>
  <x:cols>
    <x:col min="2" max="2" width="38" hidden="0" customWidth="1"/>
    <x:col min="3" max="3" width="16" hidden="0" customWidth="1"/>
    <x:col min="4" max="4" width="36" hidden="0" customWidth="1"/>
    <x:col min="5" max="5" width="42" hidden="0" customWidth="1"/>
    <x:col min="6" max="6" width="48" hidden="0" customWidth="1"/>
    <x:col min="7" max="7" width="28" hidden="0" customWidth="1"/>
  </x:cols>
  <x:sheetData>
    <x:row r="2">
      <x:c r="B2" s="1" t="str">
        <x:v>Financial boundaries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Target ceilings compare architecture shape. They are not supplier prices or national force totals.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Boundary</x:v>
      </x:c>
      <x:c r="C6" s="17" t="str">
        <x:v>USD B</x:v>
      </x:c>
      <x:c r="D6" s="17" t="str">
        <x:v>Basis</x:v>
      </x:c>
      <x:c r="E6" s="17" t="str">
        <x:v>Included</x:v>
      </x:c>
      <x:c r="F6" s="17" t="str">
        <x:v>Excluded</x:v>
      </x:c>
      <x:c r="G6" s="18" t="str">
        <x:v>Can reduce national force?</x:v>
      </x:c>
      <x:c r="H6" s="78"/>
    </x:row>
    <x:row r="7">
      <x:c r="B7" s="23" t="str">
        <x:v>Universal SPC-1 source suite</x:v>
      </x:c>
      <x:c r="C7" s="54" t="n">
        <x:f>'02 Source comparison'!G7</x:f>
        <x:v>9.3</x:v>
      </x:c>
      <x:c r="D7" s="23" t="str">
        <x:v>Six single formation instances</x:v>
      </x:c>
      <x:c r="E7" s="23" t="str">
        <x:v>Source clusters only</x:v>
      </x:c>
      <x:c r="F7" s="23" t="str">
        <x:v>All other power-chain systems</x:v>
      </x:c>
      <x:c r="G7" s="23" t="str">
        <x:v>NO</x:v>
      </x:c>
      <x:c r="H7" s="78"/>
    </x:row>
    <x:row r="8">
      <x:c r="B8" s="23" t="str">
        <x:v>Universal SPC-5 source suite</x:v>
      </x:c>
      <x:c r="C8" s="54" t="n">
        <x:f>'02 Source comparison'!G8</x:f>
        <x:v>9.18</x:v>
      </x:c>
      <x:c r="D8" s="23" t="str">
        <x:v>Six single formation instances</x:v>
      </x:c>
      <x:c r="E8" s="23" t="str">
        <x:v>Source clusters only</x:v>
      </x:c>
      <x:c r="F8" s="23" t="str">
        <x:v>All other power-chain systems</x:v>
      </x:c>
      <x:c r="G8" s="23" t="str">
        <x:v>NO</x:v>
      </x:c>
      <x:c r="H8" s="78"/>
    </x:row>
    <x:row r="9">
      <x:c r="B9" s="23" t="str">
        <x:v>Universal SPC-10 source suite</x:v>
      </x:c>
      <x:c r="C9" s="54" t="n">
        <x:f>'02 Source comparison'!G9</x:f>
        <x:v>9.6</x:v>
      </x:c>
      <x:c r="D9" s="23" t="str">
        <x:v>Six single formation instances</x:v>
      </x:c>
      <x:c r="E9" s="23" t="str">
        <x:v>Source clusters only</x:v>
      </x:c>
      <x:c r="F9" s="23" t="str">
        <x:v>All other power-chain systems</x:v>
      </x:c>
      <x:c r="G9" s="23" t="str">
        <x:v>NO</x:v>
      </x:c>
      <x:c r="H9" s="78"/>
    </x:row>
    <x:row r="10">
      <x:c r="B10" s="23" t="str">
        <x:v>Nested source suite</x:v>
      </x:c>
      <x:c r="C10" s="54" t="n">
        <x:f>'02 Source comparison'!G10</x:f>
        <x:v>8.2</x:v>
      </x:c>
      <x:c r="D10" s="23" t="str">
        <x:v>Six single formation instances</x:v>
      </x:c>
      <x:c r="E10" s="23" t="str">
        <x:v>Source clusters only</x:v>
      </x:c>
      <x:c r="F10" s="23" t="str">
        <x:v>All other power-chain systems</x:v>
      </x:c>
      <x:c r="G10" s="23" t="str">
        <x:v>NO</x:v>
      </x:c>
      <x:c r="H10" s="78"/>
    </x:row>
    <x:row r="11">
      <x:c r="B11" s="23" t="str">
        <x:v>Nested common electrical core</x:v>
      </x:c>
      <x:c r="C11" s="54" t="n">
        <x:f>'03 Common core'!Q13/1000</x:f>
        <x:v>11.194</x:v>
      </x:c>
      <x:c r="D11" s="23" t="str">
        <x:v>Six single formation instances</x:v>
      </x:c>
      <x:c r="E11" s="23" t="str">
        <x:v>Source, storage, protection, control</x:v>
      </x:c>
      <x:c r="F11" s="23" t="str">
        <x:v>Energy, heat, route, receiver, crews, bases</x:v>
      </x:c>
      <x:c r="G11" s="23" t="str">
        <x:v>NO</x:v>
      </x:c>
      <x:c r="H11" s="78"/>
    </x:row>
    <x:row r="12">
      <x:c r="B12" s="23" t="str">
        <x:v>TCP-01</x:v>
      </x:c>
      <x:c r="C12" s="54" t="n">
        <x:v>110</x:v>
      </x:c>
      <x:c r="D12" s="23" t="str">
        <x:v>15-year technology allocation</x:v>
      </x:c>
      <x:c r="E12" s="23" t="str">
        <x:v>Nine research lines</x:v>
      </x:c>
      <x:c r="F12" s="23" t="str">
        <x:v>Force procurement</x:v>
      </x:c>
      <x:c r="G12" s="23" t="str">
        <x:v>NO</x:v>
      </x:c>
      <x:c r="H12" s="78"/>
    </x:row>
    <x:row r="13">
      <x:c r="B13" s="24" t="str">
        <x:v>Admitted capital release</x:v>
      </x:c>
      <x:c r="C13" s="73" t="n">
        <x:v>0</x:v>
      </x:c>
      <x:c r="D13" s="24" t="str">
        <x:v>Current authority</x:v>
      </x:c>
      <x:c r="E13" s="24" t="str">
        <x:v>None</x:v>
      </x:c>
      <x:c r="F13" s="24" t="str">
        <x:v>All predecessor obligations remain</x:v>
      </x:c>
      <x:c r="G13" s="24" t="str">
        <x:v>NO</x:v>
      </x:c>
      <x:c r="H13" s="7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D9A93B"/>
  </x:sheetPr>
  <x:sheetViews>
    <x:sheetView showGridLines="0" workbookViewId="0"/>
  </x:sheetViews>
  <x:sheetFormatPr defaultRowHeight="15"/>
  <x:cols>
    <x:col min="2" max="2" width="24" hidden="0" customWidth="1"/>
    <x:col min="3" max="3" width="16" hidden="0" customWidth="1"/>
    <x:col min="4" max="4" width="22" hidden="0" customWidth="1"/>
    <x:col min="5" max="5" width="68" hidden="0" customWidth="1"/>
    <x:col min="6" max="6" width="24" hidden="0" customWidth="1"/>
  </x:cols>
  <x:sheetData>
    <x:row r="2">
      <x:c r="B2" s="1" t="str">
        <x:v>TCP-01 allocation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The USD 110B line is decomposed inside the Pass 160 envelope and is not added again.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Program line</x:v>
      </x:c>
      <x:c r="C6" s="17" t="str">
        <x:v>USD B</x:v>
      </x:c>
      <x:c r="D6" s="17" t="str">
        <x:v>Share</x:v>
      </x:c>
      <x:c r="E6" s="17" t="str">
        <x:v>Required output</x:v>
      </x:c>
      <x:c r="F6" s="18" t="str">
        <x:v>New Department cost</x:v>
      </x:c>
      <x:c r="G6" s="78"/>
      <x:c r="H6" s="78"/>
    </x:row>
    <x:row r="7">
      <x:c r="B7" s="23" t="str">
        <x:v>Source-cluster physics and rival roots</x:v>
      </x:c>
      <x:c r="C7" s="23" t="n">
        <x:v>22</x:v>
      </x:c>
      <x:c r="D7" s="52" t="n">
        <x:f>C7/$C$16</x:f>
        <x:v>0.2</x:v>
      </x:c>
      <x:c r="E7" s="23" t="str">
        <x:v>Three scale classes with unlike conversion paths</x:v>
      </x:c>
      <x:c r="F7" s="23" t="n">
        <x:v>0</x:v>
      </x:c>
      <x:c r="G7" s="78"/>
      <x:c r="H7" s="78"/>
    </x:row>
    <x:row r="8">
      <x:c r="B8" s="23" t="str">
        <x:v>Storage power-time families</x:v>
      </x:c>
      <x:c r="C8" s="23" t="n">
        <x:v>14</x:v>
      </x:c>
      <x:c r="D8" s="52" t="n">
        <x:f>C8/$C$16</x:f>
        <x:v>0.12727272727272726</x:v>
      </x:c>
      <x:c r="E8" s="23" t="str">
        <x:v>Three time-shapes, safety, aging and reset</x:v>
      </x:c>
      <x:c r="F8" s="23" t="n">
        <x:v>0</x:v>
      </x:c>
      <x:c r="G8" s="78"/>
      <x:c r="H8" s="78"/>
    </x:row>
    <x:row r="9">
      <x:c r="B9" s="23" t="str">
        <x:v>Transformation, protection and weak-grid systems</x:v>
      </x:c>
      <x:c r="C9" s="23" t="n">
        <x:v>12</x:v>
      </x:c>
      <x:c r="D9" s="52" t="n">
        <x:f>C9/$C$16</x:f>
        <x:v>0.10909090909090909</x:v>
      </x:c>
      <x:c r="E9" s="23" t="str">
        <x:v>Multi-vendor fault and connection regime</x:v>
      </x:c>
      <x:c r="F9" s="23" t="n">
        <x:v>0</x:v>
      </x:c>
      <x:c r="G9" s="78"/>
      <x:c r="H9" s="78"/>
    </x:row>
    <x:row r="10">
      <x:c r="B10" s="23" t="str">
        <x:v>High-power connectors and sectional buses</x:v>
      </x:c>
      <x:c r="C10" s="23" t="n">
        <x:v>8</x:v>
      </x:c>
      <x:c r="D10" s="52" t="n">
        <x:f>C10/$C$16</x:f>
        <x:v>0.07272727272727272</x:v>
      </x:c>
      <x:c r="E10" s="23" t="str">
        <x:v>Handled state, contamination and mismatch tolerance</x:v>
      </x:c>
      <x:c r="F10" s="23" t="n">
        <x:v>0</x:v>
      </x:c>
      <x:c r="G10" s="78"/>
      <x:c r="H10" s="78"/>
    </x:row>
    <x:row r="11">
      <x:c r="B11" s="23" t="str">
        <x:v>Heat rejection and thermal destinations</x:v>
      </x:c>
      <x:c r="C11" s="23" t="n">
        <x:v>14</x:v>
      </x:c>
      <x:c r="D11" s="52" t="n">
        <x:f>C11/$C$16</x:f>
        <x:v>0.12727272727272726</x:v>
      </x:c>
      <x:c r="E11" s="23" t="str">
        <x:v>Mission variants under compound ambient conditions</x:v>
      </x:c>
      <x:c r="F11" s="23" t="n">
        <x:v>0</x:v>
      </x:c>
      <x:c r="G11" s="78"/>
      <x:c r="H11" s="78"/>
    </x:row>
    <x:row r="12">
      <x:c r="B12" s="23" t="str">
        <x:v>Energy custody and source assurance</x:v>
      </x:c>
      <x:c r="C12" s="23" t="n">
        <x:v>10</x:v>
      </x:c>
      <x:c r="D12" s="52" t="n">
        <x:f>C12/$C$16</x:f>
        <x:v>0.09090909090909091</x:v>
      </x:c>
      <x:c r="E12" s="23" t="str">
        <x:v>Fuel, feedstock, reactor and local-source interfaces</x:v>
      </x:c>
      <x:c r="F12" s="23" t="n">
        <x:v>0</x:v>
      </x:c>
      <x:c r="G12" s="78"/>
      <x:c r="H12" s="78"/>
    </x:row>
    <x:row r="13">
      <x:c r="B13" s="23" t="str">
        <x:v>Disconnected control, identity and evidence</x:v>
      </x:c>
      <x:c r="C13" s="23" t="n">
        <x:v>8</x:v>
      </x:c>
      <x:c r="D13" s="52" t="n">
        <x:f>C13/$C$16</x:f>
        <x:v>0.07272727272727272</x:v>
      </x:c>
      <x:c r="E13" s="23" t="str">
        <x:v>Local operation and later reconciliation</x:v>
      </x:c>
      <x:c r="F13" s="23" t="n">
        <x:v>0</x:v>
      </x:c>
      <x:c r="G13" s="78"/>
      <x:c r="H13" s="78"/>
    </x:row>
    <x:row r="14">
      <x:c r="B14" s="23" t="str">
        <x:v>Representative mission ranges and campaigns</x:v>
      </x:c>
      <x:c r="C14" s="23" t="n">
        <x:v>14</x:v>
      </x:c>
      <x:c r="D14" s="52" t="n">
        <x:f>C14/$C$16</x:f>
        <x:v>0.12727272727272726</x:v>
      </x:c>
      <x:c r="E14" s="23" t="str">
        <x:v>Six loads, environmental ranges and serial use</x:v>
      </x:c>
      <x:c r="F14" s="23" t="n">
        <x:v>0</x:v>
      </x:c>
      <x:c r="G14" s="78"/>
      <x:c r="H14" s="78"/>
    </x:row>
    <x:row r="15">
      <x:c r="B15" s="24" t="str">
        <x:v>Pilot roots, depots and production-equivalent lots</x:v>
      </x:c>
      <x:c r="C15" s="24" t="n">
        <x:v>8</x:v>
      </x:c>
      <x:c r="D15" s="74" t="n">
        <x:f>C15/$C$16</x:f>
        <x:v>0.07272727272727272</x:v>
      </x:c>
      <x:c r="E15" s="24" t="str">
        <x:v>Two roots and return capacity</x:v>
      </x:c>
      <x:c r="F15" s="24" t="n">
        <x:v>0</x:v>
      </x:c>
      <x:c r="G15" s="78"/>
      <x:c r="H15" s="78"/>
    </x:row>
    <x:row r="16">
      <x:c r="B16" s="46" t="str">
        <x:v>TOTAL TCP-01</x:v>
      </x:c>
      <x:c r="C16" s="46" t="n">
        <x:f>SUM(C7:C15)</x:f>
        <x:v>110</x:v>
      </x:c>
      <x:c r="D16" s="75" t="n">
        <x:f>SUM(D7:D15)</x:f>
        <x:v>1</x:v>
      </x:c>
      <x:c r="E16" s="46"/>
      <x:c r="F16" s="46" t="n">
        <x:f>SUM(F7:F15)</x:f>
        <x:v>0</x:v>
      </x:c>
      <x:c r="G16" s="78"/>
      <x:c r="H16" s="78"/>
    </x:row>
    <x:row r="17">
      <x:c r="B17" s="78"/>
      <x:c r="C17" s="78"/>
      <x:c r="D17" s="78"/>
      <x:c r="E17" s="78"/>
      <x:c r="F17" s="78"/>
      <x:c r="G17" s="78"/>
      <x:c r="H17" s="78"/>
    </x:row>
    <x:row r="18">
      <x:c r="B18" s="78"/>
      <x:c r="C18" s="78"/>
      <x:c r="D18" s="78"/>
      <x:c r="E18" s="78"/>
      <x:c r="F18" s="78"/>
      <x:c r="G18" s="78"/>
      <x:c r="H18" s="78"/>
    </x:row>
    <x:row r="19">
      <x:c r="B19" s="78"/>
      <x:c r="C19" s="78"/>
      <x:c r="D19" s="78"/>
      <x:c r="E19" s="78"/>
      <x:c r="F19" s="78"/>
      <x:c r="G19" s="78"/>
      <x:c r="H19" s="78"/>
    </x:row>
    <x:row r="20">
      <x:c r="B20" s="16" t="str">
        <x:v>Period</x:v>
      </x:c>
      <x:c r="C20" s="17" t="str">
        <x:v>USD B</x:v>
      </x:c>
      <x:c r="D20" s="17" t="str">
        <x:v>Cumulative USD B</x:v>
      </x:c>
      <x:c r="E20" s="18" t="str">
        <x:v>Principal work</x:v>
      </x:c>
      <x:c r="F20" s="78"/>
      <x:c r="G20" s="78"/>
      <x:c r="H20" s="78"/>
    </x:row>
    <x:row r="21">
      <x:c r="B21" s="23" t="str">
        <x:v>Years 1–3</x:v>
      </x:c>
      <x:c r="C21" s="23" t="n">
        <x:v>12</x:v>
      </x:c>
      <x:c r="D21" s="23" t="n">
        <x:f>SUM($C$21:C21)</x:f>
        <x:v>12</x:v>
      </x:c>
      <x:c r="E21" s="23" t="str">
        <x:v>Interfaces, measurement, source and storage subarticles</x:v>
      </x:c>
      <x:c r="F21" s="78"/>
      <x:c r="G21" s="78"/>
      <x:c r="H21" s="78"/>
    </x:row>
    <x:row r="22">
      <x:c r="B22" s="23" t="str">
        <x:v>Years 4–6</x:v>
      </x:c>
      <x:c r="C22" s="23" t="n">
        <x:v>20</x:v>
      </x:c>
      <x:c r="D22" s="23" t="n">
        <x:f>SUM($C$21:C22)</x:f>
        <x:v>32</x:v>
      </x:c>
      <x:c r="E22" s="23" t="str">
        <x:v>Scale clusters, protection, thermal and energy variants</x:v>
      </x:c>
      <x:c r="F22" s="78"/>
      <x:c r="G22" s="78"/>
      <x:c r="H22" s="78"/>
    </x:row>
    <x:row r="23">
      <x:c r="B23" s="23" t="str">
        <x:v>Years 7–9</x:v>
      </x:c>
      <x:c r="C23" s="23" t="n">
        <x:v>28</x:v>
      </x:c>
      <x:c r="D23" s="23" t="n">
        <x:f>SUM($C$21:C23)</x:f>
        <x:v>60</x:v>
      </x:c>
      <x:c r="E23" s="23" t="str">
        <x:v>Complete mission-native systems and destructive trials</x:v>
      </x:c>
      <x:c r="F23" s="78"/>
      <x:c r="G23" s="78"/>
      <x:c r="H23" s="78"/>
    </x:row>
    <x:row r="24">
      <x:c r="B24" s="23" t="str">
        <x:v>Years 10–12</x:v>
      </x:c>
      <x:c r="C24" s="23" t="n">
        <x:v>30</x:v>
      </x:c>
      <x:c r="D24" s="23" t="n">
        <x:f>SUM($C$21:C24)</x:f>
        <x:v>90</x:v>
      </x:c>
      <x:c r="E24" s="23" t="str">
        <x:v>Serial cross-portfolio use, return and root loss</x:v>
      </x:c>
      <x:c r="F24" s="78"/>
      <x:c r="G24" s="78"/>
      <x:c r="H24" s="78"/>
    </x:row>
    <x:row r="25">
      <x:c r="B25" s="24" t="str">
        <x:v>Years 13–15</x:v>
      </x:c>
      <x:c r="C25" s="24" t="n">
        <x:v>20</x:v>
      </x:c>
      <x:c r="D25" s="24" t="n">
        <x:f>SUM($C$21:C25)</x:f>
        <x:v>110</x:v>
      </x:c>
      <x:c r="E25" s="24" t="str">
        <x:v>Pilot production, depot readiness and independent replication</x:v>
      </x:c>
      <x:c r="F25" s="78"/>
      <x:c r="G25" s="78"/>
      <x:c r="H25" s="78"/>
    </x:row>
    <x:row r="26">
      <x:c r="B26" s="46" t="str">
        <x:v>TOTAL</x:v>
      </x:c>
      <x:c r="C26" s="46" t="n">
        <x:f>SUM(C21:C25)</x:f>
        <x:v>110</x:v>
      </x:c>
      <x:c r="D26" s="46" t="n">
        <x:f>D25</x:f>
        <x:v>110</x:v>
      </x:c>
      <x:c r="E26" s="46"/>
      <x:c r="F26" s="78"/>
      <x:c r="G26" s="78"/>
      <x:c r="H26" s="7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216582"/>
  </x:sheetPr>
  <x:sheetViews>
    <x:sheetView showGridLines="0" workbookViewId="0"/>
  </x:sheetViews>
  <x:sheetFormatPr defaultRowHeight="15"/>
  <x:cols>
    <x:col min="2" max="2" width="30" hidden="0" customWidth="1"/>
    <x:col min="3" max="3" width="15" hidden="0" customWidth="1"/>
    <x:col min="4" max="4" width="15" hidden="0" customWidth="1"/>
    <x:col min="5" max="5" width="24" hidden="0" customWidth="1"/>
    <x:col min="6" max="6" width="14" hidden="0" customWidth="1"/>
    <x:col min="7" max="7" width="54" hidden="0" customWidth="1"/>
  </x:cols>
  <x:sheetData>
    <x:row r="2">
      <x:c r="B2" s="1" t="str">
        <x:v>Representative article and test campaign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The same serialized articles must cross missions and return before substitution can be credited.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Article family</x:v>
      </x:c>
      <x:c r="C6" s="17" t="str">
        <x:v>Root A</x:v>
      </x:c>
      <x:c r="D6" s="17" t="str">
        <x:v>Root B</x:v>
      </x:c>
      <x:c r="E6" s="17" t="str">
        <x:v>Reference / destructive</x:v>
      </x:c>
      <x:c r="F6" s="17" t="str">
        <x:v>Total</x:v>
      </x:c>
      <x:c r="G6" s="18" t="str">
        <x:v>Purpose</x:v>
      </x:c>
      <x:c r="H6" s="78"/>
    </x:row>
    <x:row r="7">
      <x:c r="B7" s="23" t="str">
        <x:v>SPC-1</x:v>
      </x:c>
      <x:c r="C7" s="23" t="n">
        <x:v>6</x:v>
      </x:c>
      <x:c r="D7" s="23" t="n">
        <x:v>6</x:v>
      </x:c>
      <x:c r="E7" s="23" t="n">
        <x:v>4</x:v>
      </x:c>
      <x:c r="F7" s="23" t="n">
        <x:f>SUM(C7:E7)</x:f>
        <x:v>16</x:v>
      </x:c>
      <x:c r="G7" s="23" t="str">
        <x:v>Small-scale source and carried-cell trials</x:v>
      </x:c>
      <x:c r="H7" s="78"/>
    </x:row>
    <x:row r="8">
      <x:c r="B8" s="23" t="str">
        <x:v>SPC-5</x:v>
      </x:c>
      <x:c r="C8" s="23" t="n">
        <x:v>6</x:v>
      </x:c>
      <x:c r="D8" s="23" t="n">
        <x:v>6</x:v>
      </x:c>
      <x:c r="E8" s="23" t="n">
        <x:v>4</x:v>
      </x:c>
      <x:c r="F8" s="23" t="n">
        <x:f>SUM(C8:E8)</x:f>
        <x:v>16</x:v>
      </x:c>
      <x:c r="G8" s="23" t="str">
        <x:v>Fire, flood and medical diagnostic sequence</x:v>
      </x:c>
      <x:c r="H8" s="78"/>
    </x:row>
    <x:row r="9">
      <x:c r="B9" s="23" t="str">
        <x:v>SPC-10</x:v>
      </x:c>
      <x:c r="C9" s="23" t="n">
        <x:v>6</x:v>
      </x:c>
      <x:c r="D9" s="23" t="n">
        <x:v>6</x:v>
      </x:c>
      <x:c r="E9" s="23" t="n">
        <x:v>4</x:v>
      </x:c>
      <x:c r="F9" s="23" t="n">
        <x:f>SUM(C9:E9)</x:f>
        <x:v>16</x:v>
      </x:c>
      <x:c r="G9" s="23" t="str">
        <x:v>District utility and scale translation</x:v>
      </x:c>
      <x:c r="H9" s="78"/>
    </x:row>
    <x:row r="10">
      <x:c r="B10" s="23" t="str">
        <x:v>Storage articles</x:v>
      </x:c>
      <x:c r="C10" s="23" t="n">
        <x:v>8</x:v>
      </x:c>
      <x:c r="D10" s="23" t="n">
        <x:v>8</x:v>
      </x:c>
      <x:c r="E10" s="23" t="n">
        <x:v>8</x:v>
      </x:c>
      <x:c r="F10" s="23" t="n">
        <x:f>SUM(C10:E10)</x:f>
        <x:v>24</x:v>
      </x:c>
      <x:c r="G10" s="23" t="str">
        <x:v>Three time-shapes and safety states</x:v>
      </x:c>
      <x:c r="H10" s="78"/>
    </x:row>
    <x:row r="11">
      <x:c r="B11" s="23" t="str">
        <x:v>PTN-5</x:v>
      </x:c>
      <x:c r="C11" s="23" t="n">
        <x:v>8</x:v>
      </x:c>
      <x:c r="D11" s="23" t="n">
        <x:v>8</x:v>
      </x:c>
      <x:c r="E11" s="23" t="n">
        <x:v>8</x:v>
      </x:c>
      <x:c r="F11" s="23" t="n">
        <x:f>SUM(C11:E11)</x:f>
        <x:v>24</x:v>
      </x:c>
      <x:c r="G11" s="23" t="str">
        <x:v>Small and middle protection</x:v>
      </x:c>
      <x:c r="H11" s="78"/>
    </x:row>
    <x:row r="12">
      <x:c r="B12" s="23" t="str">
        <x:v>PTN-25</x:v>
      </x:c>
      <x:c r="C12" s="23" t="n">
        <x:v>4</x:v>
      </x:c>
      <x:c r="D12" s="23" t="n">
        <x:v>4</x:v>
      </x:c>
      <x:c r="E12" s="23" t="n">
        <x:v>4</x:v>
      </x:c>
      <x:c r="F12" s="23" t="n">
        <x:f>SUM(C12:E12)</x:f>
        <x:v>12</x:v>
      </x:c>
      <x:c r="G12" s="23" t="str">
        <x:v>District transformation</x:v>
      </x:c>
      <x:c r="H12" s="78"/>
    </x:row>
    <x:row r="13">
      <x:c r="B13" s="24" t="str">
        <x:v>CLC-1</x:v>
      </x:c>
      <x:c r="C13" s="24" t="n">
        <x:v>8</x:v>
      </x:c>
      <x:c r="D13" s="24" t="n">
        <x:v>8</x:v>
      </x:c>
      <x:c r="E13" s="24" t="n">
        <x:v>8</x:v>
      </x:c>
      <x:c r="F13" s="24" t="n">
        <x:f>SUM(C13:E13)</x:f>
        <x:v>24</x:v>
      </x:c>
      <x:c r="G13" s="24" t="str">
        <x:v>Disconnected local control</x:v>
      </x:c>
      <x:c r="H13" s="78"/>
    </x:row>
    <x:row r="14">
      <x:c r="B14" s="46" t="str">
        <x:v>TOTAL CONTROLLED ARTICLES</x:v>
      </x:c>
      <x:c r="C14" s="46"/>
      <x:c r="D14" s="46"/>
      <x:c r="E14" s="46"/>
      <x:c r="F14" s="46" t="n">
        <x:f>SUM(F7:F13)</x:f>
        <x:v>132</x:v>
      </x:c>
      <x:c r="G14" s="46"/>
      <x:c r="H14" s="78"/>
    </x:row>
    <x:row r="15">
      <x:c r="B15" s="78"/>
      <x:c r="C15" s="78"/>
      <x:c r="D15" s="78"/>
      <x:c r="E15" s="78"/>
      <x:c r="F15" s="78"/>
      <x:c r="G15" s="78"/>
      <x:c r="H15" s="78"/>
    </x:row>
    <x:row r="16">
      <x:c r="B16" s="78"/>
      <x:c r="C16" s="78"/>
      <x:c r="D16" s="78"/>
      <x:c r="E16" s="78"/>
      <x:c r="F16" s="78"/>
      <x:c r="G16" s="78"/>
      <x:c r="H16" s="78"/>
    </x:row>
    <x:row r="17" ht="34" customHeight="1">
      <x:c r="B17" s="41" t="str">
        <x:v>Substitution requires the same serialized source article to complete more than one mission, including transition, contaminated return, repair and re-dispatch.</x:v>
      </x:c>
      <x:c r="C17" s="42"/>
      <x:c r="D17" s="42"/>
      <x:c r="E17" s="42"/>
      <x:c r="F17" s="42"/>
      <x:c r="G17" s="42"/>
      <x:c r="H17" s="43"/>
    </x:row>
  </x:sheetData>
  <x:mergeCells>
    <x:mergeCell ref="B14:E14"/>
    <x:mergeCell ref="B17:H17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216582"/>
  </x:sheetPr>
  <x:sheetViews>
    <x:sheetView showGridLines="0" workbookViewId="0"/>
  </x:sheetViews>
  <x:sheetFormatPr defaultRowHeight="15"/>
  <x:cols>
    <x:col min="2" max="2" width="50" hidden="0" customWidth="1"/>
    <x:col min="3" max="3" width="20" hidden="0" customWidth="1"/>
    <x:col min="4" max="4" width="15" hidden="0" customWidth="1"/>
    <x:col min="5" max="5" width="58" hidden="0" customWidth="1"/>
  </x:cols>
  <x:sheetData>
    <x:row r="2">
      <x:c r="B2" s="1" t="str">
        <x:v>Campaign schedule and workforce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The 13.5-year campaign and 28,000-position peak are planning envelopes.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Stage</x:v>
      </x:c>
      <x:c r="C6" s="17" t="str">
        <x:v>Duration months</x:v>
      </x:c>
      <x:c r="D6" s="17" t="str">
        <x:v>Cumulative months</x:v>
      </x:c>
      <x:c r="E6" s="18" t="str">
        <x:v>Governing question</x:v>
      </x:c>
      <x:c r="F6" s="78"/>
      <x:c r="G6" s="78"/>
      <x:c r="H6" s="78"/>
    </x:row>
    <x:row r="7">
      <x:c r="B7" s="23" t="str">
        <x:v>P0 requirement and interface freeze</x:v>
      </x:c>
      <x:c r="C7" s="23" t="n">
        <x:v>18</x:v>
      </x:c>
      <x:c r="D7" s="23" t="n">
        <x:f>SUM($C$7:C7)</x:f>
        <x:v>18</x:v>
      </x:c>
      <x:c r="E7" s="23" t="str">
        <x:v>Can each mission state its electrical and authority boundary?</x:v>
      </x:c>
      <x:c r="F7" s="78"/>
      <x:c r="G7" s="78"/>
      <x:c r="H7" s="78"/>
    </x:row>
    <x:row r="8">
      <x:c r="B8" s="23" t="str">
        <x:v>P1 component and root qualification</x:v>
      </x:c>
      <x:c r="C8" s="23" t="n">
        <x:v>24</x:v>
      </x:c>
      <x:c r="D8" s="23" t="n">
        <x:f>SUM($C$7:C8)</x:f>
        <x:v>42</x:v>
      </x:c>
      <x:c r="E8" s="23" t="str">
        <x:v>Do source, storage, protection and control roots work separately?</x:v>
      </x:c>
      <x:c r="F8" s="78"/>
      <x:c r="G8" s="78"/>
      <x:c r="H8" s="78"/>
    </x:row>
    <x:row r="9">
      <x:c r="B9" s="23" t="str">
        <x:v>P2 scale-class integration</x:v>
      </x:c>
      <x:c r="C9" s="23" t="n">
        <x:v>30</x:v>
      </x:c>
      <x:c r="D9" s="23" t="n">
        <x:f>SUM($C$7:C9)</x:f>
        <x:v>72</x:v>
      </x:c>
      <x:c r="E9" s="23" t="str">
        <x:v>Do three source scales share a safe transaction grammar?</x:v>
      </x:c>
      <x:c r="F9" s="78"/>
      <x:c r="G9" s="78"/>
      <x:c r="H9" s="78"/>
    </x:row>
    <x:row r="10">
      <x:c r="B10" s="23" t="str">
        <x:v>P3 mission-native trials</x:v>
      </x:c>
      <x:c r="C10" s="23" t="n">
        <x:v>36</x:v>
      </x:c>
      <x:c r="D10" s="23" t="n">
        <x:f>SUM($C$7:C10)</x:f>
        <x:v>108</x:v>
      </x:c>
      <x:c r="E10" s="23" t="str">
        <x:v>Does each complete mission service close under damage?</x:v>
      </x:c>
      <x:c r="F10" s="78"/>
      <x:c r="G10" s="78"/>
      <x:c r="H10" s="78"/>
    </x:row>
    <x:row r="11">
      <x:c r="B11" s="23" t="str">
        <x:v>P4 serial cross-portfolio substitution</x:v>
      </x:c>
      <x:c r="C11" s="23" t="n">
        <x:v>30</x:v>
      </x:c>
      <x:c r="D11" s="23" t="n">
        <x:f>SUM($C$7:C11)</x:f>
        <x:v>138</x:v>
      </x:c>
      <x:c r="E11" s="23" t="str">
        <x:v>Can the same article cross missions and return?</x:v>
      </x:c>
      <x:c r="F11" s="78"/>
      <x:c r="G11" s="78"/>
      <x:c r="H11" s="78"/>
    </x:row>
    <x:row r="12">
      <x:c r="B12" s="24" t="str">
        <x:v>P5 production-equivalent root-loss campaign</x:v>
      </x:c>
      <x:c r="C12" s="24" t="n">
        <x:v>24</x:v>
      </x:c>
      <x:c r="D12" s="24" t="n">
        <x:f>SUM($C$7:C12)</x:f>
        <x:v>162</x:v>
      </x:c>
      <x:c r="E12" s="24" t="str">
        <x:v>Can two roots produce, repair and replace configurations?</x:v>
      </x:c>
      <x:c r="F12" s="78"/>
      <x:c r="G12" s="78"/>
      <x:c r="H12" s="78"/>
    </x:row>
    <x:row r="13">
      <x:c r="B13" s="46" t="str">
        <x:v>MAXIMUM CAMPAIGN</x:v>
      </x:c>
      <x:c r="C13" s="46"/>
      <x:c r="D13" s="46" t="n">
        <x:f>D12</x:f>
        <x:v>162</x:v>
      </x:c>
      <x:c r="E13" s="46"/>
      <x:c r="F13" s="78"/>
      <x:c r="G13" s="78"/>
      <x:c r="H13" s="78"/>
    </x:row>
    <x:row r="14">
      <x:c r="B14" s="78"/>
      <x:c r="C14" s="78"/>
      <x:c r="D14" s="78"/>
      <x:c r="E14" s="78"/>
      <x:c r="F14" s="78"/>
      <x:c r="G14" s="78"/>
      <x:c r="H14" s="78"/>
    </x:row>
    <x:row r="15">
      <x:c r="B15" s="78"/>
      <x:c r="C15" s="78"/>
      <x:c r="D15" s="78"/>
      <x:c r="E15" s="78"/>
      <x:c r="F15" s="78"/>
      <x:c r="G15" s="78"/>
      <x:c r="H15" s="78"/>
    </x:row>
    <x:row r="16">
      <x:c r="B16" s="16" t="str">
        <x:v>Workforce</x:v>
      </x:c>
      <x:c r="C16" s="17" t="str">
        <x:v>Peak positions</x:v>
      </x:c>
      <x:c r="D16" s="17" t="str">
        <x:v>Share</x:v>
      </x:c>
      <x:c r="E16" s="18" t="str">
        <x:v>Function</x:v>
      </x:c>
      <x:c r="F16" s="78"/>
      <x:c r="G16" s="78"/>
      <x:c r="H16" s="78"/>
    </x:row>
    <x:row r="17">
      <x:c r="B17" s="23" t="str">
        <x:v>Public program, standards and configuration</x:v>
      </x:c>
      <x:c r="C17" s="23" t="n">
        <x:v>2200</x:v>
      </x:c>
      <x:c r="D17" s="52" t="n">
        <x:f>C17/$C$25</x:f>
        <x:v>0.07857142857142857</x:v>
      </x:c>
      <x:c r="E17" s="23" t="str">
        <x:v>Requirements, interfaces, custody and rights</x:v>
      </x:c>
      <x:c r="F17" s="78"/>
      <x:c r="G17" s="78"/>
      <x:c r="H17" s="78"/>
    </x:row>
    <x:row r="18">
      <x:c r="B18" s="23" t="str">
        <x:v>Independent test, safety and evidence</x:v>
      </x:c>
      <x:c r="C18" s="23" t="n">
        <x:v>3600</x:v>
      </x:c>
      <x:c r="D18" s="52" t="n">
        <x:f>C18/$C$25</x:f>
        <x:v>0.12857142857142856</x:v>
      </x:c>
      <x:c r="E18" s="23" t="str">
        <x:v>Ranges, blind faults, destructive work and reconstruction</x:v>
      </x:c>
      <x:c r="F18" s="78"/>
      <x:c r="G18" s="78"/>
      <x:c r="H18" s="78"/>
    </x:row>
    <x:row r="19">
      <x:c r="B19" s="23" t="str">
        <x:v>Source and storage engineering</x:v>
      </x:c>
      <x:c r="C19" s="23" t="n">
        <x:v>5400</x:v>
      </x:c>
      <x:c r="D19" s="52" t="n">
        <x:f>C19/$C$25</x:f>
        <x:v>0.19285714285714287</x:v>
      </x:c>
      <x:c r="E19" s="23" t="str">
        <x:v>Three scales and three storage time-shapes</x:v>
      </x:c>
      <x:c r="F19" s="78"/>
      <x:c r="G19" s="78"/>
      <x:c r="H19" s="78"/>
    </x:row>
    <x:row r="20">
      <x:c r="B20" s="23" t="str">
        <x:v>Protection, controls and independent operation</x:v>
      </x:c>
      <x:c r="C20" s="23" t="n">
        <x:v>3200</x:v>
      </x:c>
      <x:c r="D20" s="52" t="n">
        <x:f>C20/$C$25</x:f>
        <x:v>0.11428571428571428</x:v>
      </x:c>
      <x:c r="E20" s="23" t="str">
        <x:v>Grid formation, fault and local control</x:v>
      </x:c>
      <x:c r="F20" s="78"/>
      <x:c r="G20" s="78"/>
      <x:c r="H20" s="78"/>
    </x:row>
    <x:row r="21">
      <x:c r="B21" s="23" t="str">
        <x:v>Thermal and energy-custody variants</x:v>
      </x:c>
      <x:c r="C21" s="23" t="n">
        <x:v>3600</x:v>
      </x:c>
      <x:c r="D21" s="52" t="n">
        <x:f>C21/$C$25</x:f>
        <x:v>0.12857142857142856</x:v>
      </x:c>
      <x:c r="E21" s="23" t="str">
        <x:v>Heat destinations, fuel, feedstock and reactor interfaces</x:v>
      </x:c>
      <x:c r="F21" s="78"/>
      <x:c r="G21" s="78"/>
      <x:c r="H21" s="78"/>
    </x:row>
    <x:row r="22">
      <x:c r="B22" s="23" t="str">
        <x:v>Mission integration and operating crews</x:v>
      </x:c>
      <x:c r="C22" s="23" t="n">
        <x:v>4800</x:v>
      </x:c>
      <x:c r="D22" s="52" t="n">
        <x:f>C22/$C$25</x:f>
        <x:v>0.17142857142857143</x:v>
      </x:c>
      <x:c r="E22" s="23" t="str">
        <x:v>Six mission-native trial systems</x:v>
      </x:c>
      <x:c r="F22" s="78"/>
      <x:c r="G22" s="78"/>
      <x:c r="H22" s="78"/>
    </x:row>
    <x:row r="23">
      <x:c r="B23" s="23" t="str">
        <x:v>Pilot manufacturing and depot engineering</x:v>
      </x:c>
      <x:c r="C23" s="23" t="n">
        <x:v>3800</x:v>
      </x:c>
      <x:c r="D23" s="52" t="n">
        <x:f>C23/$C$25</x:f>
        <x:v>0.1357142857142857</x:v>
      </x:c>
      <x:c r="E23" s="23" t="str">
        <x:v>Plural roots, tooling, repair and replacement</x:v>
      </x:c>
      <x:c r="F23" s="78"/>
      <x:c r="G23" s="78"/>
      <x:c r="H23" s="78"/>
    </x:row>
    <x:row r="24">
      <x:c r="B24" s="24" t="str">
        <x:v>Schools and workforce qualification</x:v>
      </x:c>
      <x:c r="C24" s="24" t="n">
        <x:v>1400</x:v>
      </x:c>
      <x:c r="D24" s="74" t="n">
        <x:f>C24/$C$25</x:f>
        <x:v>0.05</x:v>
      </x:c>
      <x:c r="E24" s="24" t="str">
        <x:v>Licensing, instructors and recurrent qualification</x:v>
      </x:c>
      <x:c r="F24" s="78"/>
      <x:c r="G24" s="78"/>
      <x:c r="H24" s="78"/>
    </x:row>
    <x:row r="25">
      <x:c r="B25" s="46" t="str">
        <x:v>TOTAL</x:v>
      </x:c>
      <x:c r="C25" s="46" t="n">
        <x:f>SUM(C17:C24)</x:f>
        <x:v>28000</x:v>
      </x:c>
      <x:c r="D25" s="75" t="n">
        <x:f>SUM(D17:D24)</x:f>
        <x:v>1</x:v>
      </x:c>
      <x:c r="E25" s="46"/>
      <x:c r="F25" s="78"/>
      <x:c r="G25" s="78"/>
      <x:c r="H25" s="78"/>
    </x:row>
  </x:sheetData>
  <x:mergeCells>
    <x:mergeCell ref="B13:C1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2E7C78"/>
  </x:sheetPr>
  <x:sheetViews>
    <x:sheetView showGridLines="0" workbookViewId="0"/>
  </x:sheetViews>
  <x:sheetFormatPr defaultRowHeight="15"/>
  <x:cols>
    <x:col min="2" max="2" width="26" hidden="0" customWidth="1"/>
    <x:col min="3" max="3" width="20" hidden="0" customWidth="1"/>
    <x:col min="4" max="4" width="16" hidden="0" customWidth="1"/>
    <x:col min="5" max="5" width="20" hidden="0" customWidth="1"/>
    <x:col min="6" max="6" width="21" hidden="0" customWidth="1"/>
    <x:col min="7" max="7" width="21" hidden="0" customWidth="1"/>
    <x:col min="8" max="8" width="20" hidden="0" customWidth="1"/>
    <x:col min="9" max="9" width="20" hidden="0" customWidth="1"/>
    <x:col min="10" max="10" width="48" hidden="0" customWidth="1"/>
  </x:cols>
  <x:sheetData>
    <x:row r="2">
      <x:c r="B2" s="1" t="str">
        <x:v>Selected sizing sensitivities</x:v>
      </x:c>
      <x:c r="C2" s="78"/>
      <x:c r="D2" s="78"/>
      <x:c r="E2" s="78"/>
      <x:c r="F2" s="78"/>
      <x:c r="G2" s="78"/>
      <x:c r="H2" s="78"/>
      <x:c r="I2" s="78"/>
      <x:c r="J2" s="78"/>
    </x:row>
    <x:row r="3">
      <x:c r="B3" s="79"/>
      <x:c r="C3" s="79"/>
      <x:c r="D3" s="79"/>
      <x:c r="E3" s="79"/>
      <x:c r="F3" s="79"/>
      <x:c r="G3" s="79"/>
      <x:c r="H3" s="79"/>
      <x:c r="I3" s="78"/>
      <x:c r="J3" s="78"/>
    </x:row>
    <x:row r="4">
      <x:c r="B4" s="4" t="str">
        <x:v>Changes reveal which assumptions control article count and carried-cell feasibility.</x:v>
      </x:c>
      <x:c r="C4" s="78"/>
      <x:c r="D4" s="78"/>
      <x:c r="E4" s="78"/>
      <x:c r="F4" s="78"/>
      <x:c r="G4" s="78"/>
      <x:c r="H4" s="78"/>
      <x:c r="I4" s="78"/>
      <x:c r="J4" s="78"/>
    </x:row>
    <x:row r="5">
      <x:c r="B5" s="78"/>
      <x:c r="C5" s="78"/>
      <x:c r="D5" s="78"/>
      <x:c r="E5" s="78"/>
      <x:c r="F5" s="78"/>
      <x:c r="G5" s="78"/>
      <x:c r="H5" s="78"/>
      <x:c r="I5" s="78"/>
      <x:c r="J5" s="78"/>
    </x:row>
    <x:row r="6">
      <x:c r="B6" s="16" t="str">
        <x:v>Case</x:v>
      </x:c>
      <x:c r="C6" s="17" t="str">
        <x:v>Flood availability</x:v>
      </x:c>
      <x:c r="D6" s="17" t="str">
        <x:v>PRG reserve</x:v>
      </x:c>
      <x:c r="E6" s="17" t="str">
        <x:v>PTS continuous MW</x:v>
      </x:c>
      <x:c r="F6" s="17" t="str">
        <x:v>SPC-1 count flood</x:v>
      </x:c>
      <x:c r="G6" s="17" t="str">
        <x:v>SPC-10 count PRG</x:v>
      </x:c>
      <x:c r="H6" s="17" t="str">
        <x:v>SPC-1 count PTS</x:v>
      </x:c>
      <x:c r="I6" s="17" t="str">
        <x:v>PTS source ratio</x:v>
      </x:c>
      <x:c r="J6" s="18" t="str">
        <x:v>Interpretation</x:v>
      </x:c>
    </x:row>
    <x:row r="7">
      <x:c r="B7" s="23" t="str">
        <x:v>Lower availability</x:v>
      </x:c>
      <x:c r="C7" s="29" t="n">
        <x:v>0.65</x:v>
      </x:c>
      <x:c r="D7" s="29" t="n">
        <x:v>0.2</x:v>
      </x:c>
      <x:c r="E7" s="27" t="n">
        <x:v>1.42216</x:v>
      </x:c>
      <x:c r="F7" s="23" t="n">
        <x:f>MAX(ROUNDUP('04 Duty profiles'!D8*(1+'04 Duty profiles'!G8)/(C7*'05 Source classes'!C7),0),ROUNDUP('04 Duty profiles'!D8/(C7*'05 Source classes'!C7),0)+1,ROUNDUP('04 Duty profiles'!E8/(C7*'05 Source classes'!D7),0)+1)</x:f>
        <x:v>28</x:v>
      </x:c>
      <x:c r="G7" s="23" t="n">
        <x:f>MAX(ROUNDUP('04 Duty profiles'!D9*(1+D7)/('04 Duty profiles'!F9*'05 Source classes'!C9),0),ROUNDUP('04 Duty profiles'!D9/('04 Duty profiles'!F9*'05 Source classes'!C9),0)+1,ROUNDUP('04 Duty profiles'!E9/('04 Duty profiles'!F9*'05 Source classes'!D9),0)+1)</x:f>
        <x:v>14</x:v>
      </x:c>
      <x:c r="H7" s="23" t="n">
        <x:f>MAX(ROUNDUP(E7*(1+'04 Duty profiles'!G11)/('04 Duty profiles'!F11*'05 Source classes'!C7),0),ROUNDUP(E7/('04 Duty profiles'!F11*'05 Source classes'!C7),0)+1,ROUNDUP('04 Duty profiles'!E11/('04 Duty profiles'!F11*'05 Source classes'!D7),0)+1)</x:f>
        <x:v>3</x:v>
      </x:c>
      <x:c r="I7" s="55" t="n">
        <x:f>H7*'05 Source classes'!C7/E7</x:f>
        <x:v>2.6368341114923775</x:v>
      </x:c>
      <x:c r="J7" s="23" t="str">
        <x:v>More flood source articles</x:v>
      </x:c>
    </x:row>
    <x:row r="8">
      <x:c r="B8" s="23" t="str">
        <x:v>Reference</x:v>
      </x:c>
      <x:c r="C8" s="29" t="n">
        <x:v>0.75</x:v>
      </x:c>
      <x:c r="D8" s="29" t="n">
        <x:v>0.2</x:v>
      </x:c>
      <x:c r="E8" s="27" t="n">
        <x:v>1.42216</x:v>
      </x:c>
      <x:c r="F8" s="23" t="n">
        <x:f>MAX(ROUNDUP('04 Duty profiles'!D8*(1+'04 Duty profiles'!G8)/(C8*'05 Source classes'!C7),0),ROUNDUP('04 Duty profiles'!D8/(C8*'05 Source classes'!C7),0)+1,ROUNDUP('04 Duty profiles'!E8/(C8*'05 Source classes'!D7),0)+1)</x:f>
        <x:v>24</x:v>
      </x:c>
      <x:c r="G8" s="23" t="n">
        <x:f>MAX(ROUNDUP('04 Duty profiles'!D9*(1+D8)/('04 Duty profiles'!F9*'05 Source classes'!C9),0),ROUNDUP('04 Duty profiles'!D9/('04 Duty profiles'!F9*'05 Source classes'!C9),0)+1,ROUNDUP('04 Duty profiles'!E9/('04 Duty profiles'!F9*'05 Source classes'!D9),0)+1)</x:f>
        <x:v>14</x:v>
      </x:c>
      <x:c r="H8" s="23" t="n">
        <x:f>MAX(ROUNDUP(E8*(1+'04 Duty profiles'!G11)/('04 Duty profiles'!F11*'05 Source classes'!C7),0),ROUNDUP(E8/('04 Duty profiles'!F11*'05 Source classes'!C7),0)+1,ROUNDUP('04 Duty profiles'!E11/('04 Duty profiles'!F11*'05 Source classes'!D7),0)+1)</x:f>
        <x:v>3</x:v>
      </x:c>
      <x:c r="I8" s="55" t="n">
        <x:f>H8*'05 Source classes'!C7/E8</x:f>
        <x:v>2.6368341114923775</x:v>
      </x:c>
      <x:c r="J8" s="23" t="str">
        <x:v>Constituted planning case</x:v>
      </x:c>
    </x:row>
    <x:row r="9">
      <x:c r="B9" s="23" t="str">
        <x:v>Higher PRG reserve</x:v>
      </x:c>
      <x:c r="C9" s="29" t="n">
        <x:v>0.75</x:v>
      </x:c>
      <x:c r="D9" s="29" t="n">
        <x:v>0.3</x:v>
      </x:c>
      <x:c r="E9" s="27" t="n">
        <x:v>1.42216</x:v>
      </x:c>
      <x:c r="F9" s="23" t="n">
        <x:f>MAX(ROUNDUP('04 Duty profiles'!D8*(1+'04 Duty profiles'!G8)/(C9*'05 Source classes'!C7),0),ROUNDUP('04 Duty profiles'!D8/(C9*'05 Source classes'!C7),0)+1,ROUNDUP('04 Duty profiles'!E8/(C9*'05 Source classes'!D7),0)+1)</x:f>
        <x:v>24</x:v>
      </x:c>
      <x:c r="G9" s="23" t="n">
        <x:f>MAX(ROUNDUP('04 Duty profiles'!D9*(1+D9)/('04 Duty profiles'!F9*'05 Source classes'!C9),0),ROUNDUP('04 Duty profiles'!D9/('04 Duty profiles'!F9*'05 Source classes'!C9),0)+1,ROUNDUP('04 Duty profiles'!E9/('04 Duty profiles'!F9*'05 Source classes'!D9),0)+1)</x:f>
        <x:v>16</x:v>
      </x:c>
      <x:c r="H9" s="23" t="n">
        <x:f>MAX(ROUNDUP(E9*(1+'04 Duty profiles'!G11)/('04 Duty profiles'!F11*'05 Source classes'!C7),0),ROUNDUP(E9/('04 Duty profiles'!F11*'05 Source classes'!C7),0)+1,ROUNDUP('04 Duty profiles'!E11/('04 Duty profiles'!F11*'05 Source classes'!D7),0)+1)</x:f>
        <x:v>3</x:v>
      </x:c>
      <x:c r="I9" s="55" t="n">
        <x:f>H9*'05 Source classes'!C7/E9</x:f>
        <x:v>2.6368341114923775</x:v>
      </x:c>
      <x:c r="J9" s="23" t="str">
        <x:v>More district source capacity</x:v>
      </x:c>
    </x:row>
    <x:row r="10">
      <x:c r="B10" s="23" t="str">
        <x:v>Higher PTS duty</x:v>
      </x:c>
      <x:c r="C10" s="29" t="n">
        <x:v>0.75</x:v>
      </x:c>
      <x:c r="D10" s="29" t="n">
        <x:v>0.2</x:v>
      </x:c>
      <x:c r="E10" s="27" t="n">
        <x:v>2</x:v>
      </x:c>
      <x:c r="F10" s="23" t="n">
        <x:f>MAX(ROUNDUP('04 Duty profiles'!D8*(1+'04 Duty profiles'!G8)/(C10*'05 Source classes'!C7),0),ROUNDUP('04 Duty profiles'!D8/(C10*'05 Source classes'!C7),0)+1,ROUNDUP('04 Duty profiles'!E8/(C10*'05 Source classes'!D7),0)+1)</x:f>
        <x:v>24</x:v>
      </x:c>
      <x:c r="G10" s="23" t="n">
        <x:f>MAX(ROUNDUP('04 Duty profiles'!D9*(1+D10)/('04 Duty profiles'!F9*'05 Source classes'!C9),0),ROUNDUP('04 Duty profiles'!D9/('04 Duty profiles'!F9*'05 Source classes'!C9),0)+1,ROUNDUP('04 Duty profiles'!E9/('04 Duty profiles'!F9*'05 Source classes'!D9),0)+1)</x:f>
        <x:v>14</x:v>
      </x:c>
      <x:c r="H10" s="23" t="n">
        <x:f>MAX(ROUNDUP(E10*(1+'04 Duty profiles'!G11)/('04 Duty profiles'!F11*'05 Source classes'!C7),0),ROUNDUP(E10/('04 Duty profiles'!F11*'05 Source classes'!C7),0)+1,ROUNDUP('04 Duty profiles'!E11/('04 Duty profiles'!F11*'05 Source classes'!D7),0)+1)</x:f>
        <x:v>3</x:v>
      </x:c>
      <x:c r="I10" s="55" t="n">
        <x:f>H10*'05 Source classes'!C7/E10</x:f>
        <x:v>1.875</x:v>
      </x:c>
      <x:c r="J10" s="23" t="str">
        <x:v>Tests carried-cell source count</x:v>
      </x:c>
    </x:row>
    <x:row r="11">
      <x:c r="B11" s="24" t="str">
        <x:v>Lower PTS duty</x:v>
      </x:c>
      <x:c r="C11" s="76" t="n">
        <x:v>0.75</x:v>
      </x:c>
      <x:c r="D11" s="76" t="n">
        <x:v>0.2</x:v>
      </x:c>
      <x:c r="E11" s="28" t="n">
        <x:v>1</x:v>
      </x:c>
      <x:c r="F11" s="24" t="n">
        <x:f>MAX(ROUNDUP('04 Duty profiles'!D8*(1+'04 Duty profiles'!G8)/(C11*'05 Source classes'!C7),0),ROUNDUP('04 Duty profiles'!D8/(C11*'05 Source classes'!C7),0)+1,ROUNDUP('04 Duty profiles'!E8/(C11*'05 Source classes'!D7),0)+1)</x:f>
        <x:v>24</x:v>
      </x:c>
      <x:c r="G11" s="24" t="n">
        <x:f>MAX(ROUNDUP('04 Duty profiles'!D9*(1+D11)/('04 Duty profiles'!F9*'05 Source classes'!C9),0),ROUNDUP('04 Duty profiles'!D9/('04 Duty profiles'!F9*'05 Source classes'!C9),0)+1,ROUNDUP('04 Duty profiles'!E9/('04 Duty profiles'!F9*'05 Source classes'!D9),0)+1)</x:f>
        <x:v>14</x:v>
      </x:c>
      <x:c r="H11" s="24" t="n">
        <x:f>MAX(ROUNDUP(E11*(1+'04 Duty profiles'!G11)/('04 Duty profiles'!F11*'05 Source classes'!C7),0),ROUNDUP(E11/('04 Duty profiles'!F11*'05 Source classes'!C7),0)+1,ROUNDUP('04 Duty profiles'!E11/('04 Duty profiles'!F11*'05 Source classes'!D7),0)+1)</x:f>
        <x:v>3</x:v>
      </x:c>
      <x:c r="I11" s="77" t="n">
        <x:f>H11*'05 Source classes'!C7/E11</x:f>
        <x:v>3.75</x:v>
      </x:c>
      <x:c r="J11" s="24" t="str">
        <x:v>Loss rule still governs minimum count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216582"/>
  </x:sheetPr>
  <x:sheetViews>
    <x:sheetView showGridLines="0" workbookViewId="0"/>
  </x:sheetViews>
  <x:sheetFormatPr defaultRowHeight="15"/>
  <x:cols>
    <x:col min="2" max="2" width="34" hidden="0" customWidth="1"/>
    <x:col min="3" max="3" width="15" hidden="0" customWidth="1"/>
    <x:col min="4" max="4" width="19" hidden="0" customWidth="1"/>
    <x:col min="5" max="5" width="15" hidden="0" customWidth="1"/>
    <x:col min="6" max="6" width="16" hidden="0" customWidth="1"/>
    <x:col min="7" max="7" width="14" hidden="0" customWidth="1"/>
    <x:col min="8" max="8" width="18" hidden="0" customWidth="1"/>
    <x:col min="9" max="9" width="56" hidden="0" customWidth="1"/>
  </x:cols>
  <x:sheetData>
    <x:row r="2">
      <x:c r="B2" s="1" t="str">
        <x:v>Authority ledger</x:v>
      </x:c>
      <x:c r="C2" s="78"/>
      <x:c r="D2" s="78"/>
      <x:c r="E2" s="78"/>
      <x:c r="F2" s="78"/>
      <x:c r="G2" s="78"/>
      <x:c r="H2" s="78"/>
      <x:c r="I2" s="78"/>
    </x:row>
    <x:row r="3">
      <x:c r="B3" s="79"/>
      <x:c r="C3" s="79"/>
      <x:c r="D3" s="79"/>
      <x:c r="E3" s="79"/>
      <x:c r="F3" s="79"/>
      <x:c r="G3" s="79"/>
      <x:c r="H3" s="79"/>
      <x:c r="I3" s="78"/>
    </x:row>
    <x:row r="4">
      <x:c r="B4" s="4" t="str">
        <x:v>Planning authority remains narrower than physical, procurement or fielding authority.</x:v>
      </x:c>
      <x:c r="C4" s="78"/>
      <x:c r="D4" s="78"/>
      <x:c r="E4" s="78"/>
      <x:c r="F4" s="78"/>
      <x:c r="G4" s="78"/>
      <x:c r="H4" s="78"/>
      <x:c r="I4" s="78"/>
    </x:row>
    <x:row r="5">
      <x:c r="B5" s="78"/>
      <x:c r="C5" s="78"/>
      <x:c r="D5" s="78"/>
      <x:c r="E5" s="78"/>
      <x:c r="F5" s="78"/>
      <x:c r="G5" s="78"/>
      <x:c r="H5" s="78"/>
      <x:c r="I5" s="78"/>
    </x:row>
    <x:row r="6">
      <x:c r="B6" s="16" t="str">
        <x:v>Object</x:v>
      </x:c>
      <x:c r="C6" s="17" t="str">
        <x:v>Planning</x:v>
      </x:c>
      <x:c r="D6" s="17" t="str">
        <x:v>Physical evidence</x:v>
      </x:c>
      <x:c r="E6" s="17" t="str">
        <x:v>G4 credit</x:v>
      </x:c>
      <x:c r="F6" s="17" t="str">
        <x:v>Procurement</x:v>
      </x:c>
      <x:c r="G6" s="17" t="str">
        <x:v>Fielding</x:v>
      </x:c>
      <x:c r="H6" s="17" t="str">
        <x:v>Exterior form</x:v>
      </x:c>
      <x:c r="I6" s="18" t="str">
        <x:v>Reason</x:v>
      </x:c>
    </x:row>
    <x:row r="7">
      <x:c r="B7" s="23" t="str">
        <x:v>Nested source lattice</x:v>
      </x:c>
      <x:c r="C7" s="23" t="str">
        <x:v>YES</x:v>
      </x:c>
      <x:c r="D7" s="23" t="str">
        <x:v>NO</x:v>
      </x:c>
      <x:c r="E7" s="23" t="str">
        <x:v>NO</x:v>
      </x:c>
      <x:c r="F7" s="23" t="str">
        <x:v>NO</x:v>
      </x:c>
      <x:c r="G7" s="23" t="str">
        <x:v>NO</x:v>
      </x:c>
      <x:c r="H7" s="23" t="str">
        <x:v>NO</x:v>
      </x:c>
      <x:c r="I7" s="23" t="str">
        <x:v>Advances to representative research</x:v>
      </x:c>
    </x:row>
    <x:row r="8">
      <x:c r="B8" s="23" t="str">
        <x:v>Storage family</x:v>
      </x:c>
      <x:c r="C8" s="23" t="str">
        <x:v>YES</x:v>
      </x:c>
      <x:c r="D8" s="23" t="str">
        <x:v>NO</x:v>
      </x:c>
      <x:c r="E8" s="23" t="str">
        <x:v>NO</x:v>
      </x:c>
      <x:c r="F8" s="23" t="str">
        <x:v>NO</x:v>
      </x:c>
      <x:c r="G8" s="23" t="str">
        <x:v>NO</x:v>
      </x:c>
      <x:c r="H8" s="23" t="str">
        <x:v>NO</x:v>
      </x:c>
      <x:c r="I8" s="23" t="str">
        <x:v>Power-time classes are target configurations</x:v>
      </x:c>
    </x:row>
    <x:row r="9">
      <x:c r="B9" s="23" t="str">
        <x:v>Protection family</x:v>
      </x:c>
      <x:c r="C9" s="23" t="str">
        <x:v>YES</x:v>
      </x:c>
      <x:c r="D9" s="23" t="str">
        <x:v>NO</x:v>
      </x:c>
      <x:c r="E9" s="23" t="str">
        <x:v>NO</x:v>
      </x:c>
      <x:c r="F9" s="23" t="str">
        <x:v>NO</x:v>
      </x:c>
      <x:c r="G9" s="23" t="str">
        <x:v>NO</x:v>
      </x:c>
      <x:c r="H9" s="23" t="str">
        <x:v>NO</x:v>
      </x:c>
      <x:c r="I9" s="23" t="str">
        <x:v>Fault and receiver evidence absent</x:v>
      </x:c>
    </x:row>
    <x:row r="10">
      <x:c r="B10" s="23" t="str">
        <x:v>Medical translation</x:v>
      </x:c>
      <x:c r="C10" s="23" t="str">
        <x:v>NO</x:v>
      </x:c>
      <x:c r="D10" s="23" t="str">
        <x:v>NO</x:v>
      </x:c>
      <x:c r="E10" s="23" t="str">
        <x:v>NO</x:v>
      </x:c>
      <x:c r="F10" s="23" t="str">
        <x:v>NO</x:v>
      </x:c>
      <x:c r="G10" s="23" t="str">
        <x:v>NO</x:v>
      </x:c>
      <x:c r="H10" s="23" t="str">
        <x:v>NO</x:v>
      </x:c>
      <x:c r="I10" s="23" t="str">
        <x:v>Clinical utility contract absent</x:v>
      </x:c>
    </x:row>
    <x:row r="11">
      <x:c r="B11" s="23" t="str">
        <x:v>Hard-access storage translation</x:v>
      </x:c>
      <x:c r="C11" s="23" t="str">
        <x:v>NO</x:v>
      </x:c>
      <x:c r="D11" s="23" t="str">
        <x:v>NO</x:v>
      </x:c>
      <x:c r="E11" s="23" t="str">
        <x:v>NO</x:v>
      </x:c>
      <x:c r="F11" s="23" t="str">
        <x:v>NO</x:v>
      </x:c>
      <x:c r="G11" s="23" t="str">
        <x:v>NO</x:v>
      </x:c>
      <x:c r="H11" s="23" t="str">
        <x:v>NO</x:v>
      </x:c>
      <x:c r="I11" s="23" t="str">
        <x:v>Exceeds inherited payload allocation</x:v>
      </x:c>
    </x:row>
    <x:row r="12">
      <x:c r="B12" s="23" t="str">
        <x:v>Cross-portfolio quantity credit</x:v>
      </x:c>
      <x:c r="C12" s="23" t="str">
        <x:v>NO</x:v>
      </x:c>
      <x:c r="D12" s="23" t="str">
        <x:v>NO</x:v>
      </x:c>
      <x:c r="E12" s="23" t="str">
        <x:v>NO</x:v>
      </x:c>
      <x:c r="F12" s="23" t="str">
        <x:v>NO</x:v>
      </x:c>
      <x:c r="G12" s="23" t="str">
        <x:v>NO</x:v>
      </x:c>
      <x:c r="H12" s="23" t="str">
        <x:v>NO</x:v>
      </x:c>
      <x:c r="I12" s="23" t="str">
        <x:v>Zero G4 mission pairs</x:v>
      </x:c>
    </x:row>
    <x:row r="13">
      <x:c r="B13" s="23" t="str">
        <x:v>C24 predecessor retirement</x:v>
      </x:c>
      <x:c r="C13" s="23" t="str">
        <x:v>NO</x:v>
      </x:c>
      <x:c r="D13" s="23" t="str">
        <x:v>NO</x:v>
      </x:c>
      <x:c r="E13" s="23" t="str">
        <x:v>NO</x:v>
      </x:c>
      <x:c r="F13" s="23" t="str">
        <x:v>NO</x:v>
      </x:c>
      <x:c r="G13" s="23" t="str">
        <x:v>NO</x:v>
      </x:c>
      <x:c r="H13" s="23" t="str">
        <x:v>NO</x:v>
      </x:c>
      <x:c r="I13" s="23" t="str">
        <x:v>No accepted successor or transition schedule</x:v>
      </x:c>
    </x:row>
    <x:row r="14">
      <x:c r="B14" s="23" t="str">
        <x:v>TCP-01 research campaign</x:v>
      </x:c>
      <x:c r="C14" s="23" t="str">
        <x:v>YES</x:v>
      </x:c>
      <x:c r="D14" s="23" t="str">
        <x:v>NO</x:v>
      </x:c>
      <x:c r="E14" s="23" t="str">
        <x:v>NO</x:v>
      </x:c>
      <x:c r="F14" s="23" t="str">
        <x:v>NO</x:v>
      </x:c>
      <x:c r="G14" s="23" t="str">
        <x:v>NO</x:v>
      </x:c>
      <x:c r="H14" s="23" t="str">
        <x:v>NO</x:v>
      </x:c>
      <x:c r="I14" s="23" t="str">
        <x:v>Authorized inside inherited technology envelope</x:v>
      </x:c>
    </x:row>
    <x:row r="15">
      <x:c r="B15" s="24" t="str">
        <x:v>Exterior rendering</x:v>
      </x:c>
      <x:c r="C15" s="24" t="str">
        <x:v>NO</x:v>
      </x:c>
      <x:c r="D15" s="24" t="str">
        <x:v>NO</x:v>
      </x:c>
      <x:c r="E15" s="24" t="str">
        <x:v>NO</x:v>
      </x:c>
      <x:c r="F15" s="24" t="str">
        <x:v>NO</x:v>
      </x:c>
      <x:c r="G15" s="24" t="str">
        <x:v>NO</x:v>
      </x:c>
      <x:c r="H15" s="24" t="str">
        <x:v>NO</x:v>
      </x:c>
      <x:c r="I15" s="24" t="str">
        <x:v>Physical composition and evidence remain open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D9A93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0" hidden="0" customWidth="1"/>
    <x:col min="3" max="3" width="68" hidden="0" customWidth="1"/>
    <x:col min="4" max="4" width="18" hidden="0" customWidth="1"/>
    <x:col min="5" max="5" width="18" hidden="0" customWidth="1"/>
  </x:cols>
  <x:sheetData>
    <x:row r="2">
      <x:c r="B2" s="1" t="str">
        <x:v>Integrity tests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Checks observe the model and do not feed calculations or decision outputs.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Group</x:v>
      </x:c>
      <x:c r="C6" s="17" t="str">
        <x:v>Test</x:v>
      </x:c>
      <x:c r="D6" s="17" t="str">
        <x:v>Observed</x:v>
      </x:c>
      <x:c r="E6" s="18" t="str">
        <x:v>Expected</x:v>
      </x:c>
      <x:c r="F6" s="78"/>
      <x:c r="G6" s="78"/>
      <x:c r="H6" s="78"/>
    </x:row>
    <x:row r="7">
      <x:c r="B7" s="23" t="str">
        <x:v>Source sizing</x:v>
      </x:c>
      <x:c r="C7" s="23" t="str">
        <x:v>SPC-1 universal article count is 186</x:v>
      </x:c>
      <x:c r="D7" s="23" t="str">
        <x:f>IF(SUM('06 Source sizing'!H7:H12)=186,"PASS","FAIL")</x:f>
        <x:v>PASS</x:v>
      </x:c>
      <x:c r="E7" s="23" t="str">
        <x:v>PASS</x:v>
      </x:c>
      <x:c r="F7" s="78"/>
      <x:c r="G7" s="78"/>
      <x:c r="H7" s="78"/>
    </x:row>
    <x:row r="8">
      <x:c r="B8" s="23" t="str">
        <x:v>Source sizing</x:v>
      </x:c>
      <x:c r="C8" s="23" t="str">
        <x:v>SPC-5 universal article count is 51</x:v>
      </x:c>
      <x:c r="D8" s="23" t="str">
        <x:f>IF(SUM('06 Source sizing'!J7:J12)=51,"PASS","FAIL")</x:f>
        <x:v>PASS</x:v>
      </x:c>
      <x:c r="E8" s="23" t="str">
        <x:v>PASS</x:v>
      </x:c>
      <x:c r="F8" s="78"/>
      <x:c r="G8" s="78"/>
      <x:c r="H8" s="78"/>
    </x:row>
    <x:row r="9">
      <x:c r="B9" s="23" t="str">
        <x:v>Source sizing</x:v>
      </x:c>
      <x:c r="C9" s="23" t="str">
        <x:v>SPC-10 universal article count is 30</x:v>
      </x:c>
      <x:c r="D9" s="23" t="str">
        <x:f>IF(SUM('06 Source sizing'!L7:L12)=30,"PASS","FAIL")</x:f>
        <x:v>PASS</x:v>
      </x:c>
      <x:c r="E9" s="23" t="str">
        <x:v>PASS</x:v>
      </x:c>
      <x:c r="F9" s="78"/>
      <x:c r="G9" s="78"/>
      <x:c r="H9" s="78"/>
    </x:row>
    <x:row r="10">
      <x:c r="B10" s="23" t="str">
        <x:v>Source sizing</x:v>
      </x:c>
      <x:c r="C10" s="23" t="str">
        <x:v>Nested source count is 39</x:v>
      </x:c>
      <x:c r="D10" s="23" t="str">
        <x:f>IF('06 Source sizing'!O13=39,"PASS","FAIL")</x:f>
        <x:v>PASS</x:v>
      </x:c>
      <x:c r="E10" s="23" t="str">
        <x:v>PASS</x:v>
      </x:c>
      <x:c r="F10" s="78"/>
      <x:c r="G10" s="78"/>
      <x:c r="H10" s="78"/>
    </x:row>
    <x:row r="11">
      <x:c r="B11" s="23" t="str">
        <x:v>Source sizing</x:v>
      </x:c>
      <x:c r="C11" s="23" t="str">
        <x:v>Nested installed capacity is 242.5 MW</x:v>
      </x:c>
      <x:c r="D11" s="23" t="str">
        <x:f>IF(ABS('06 Source sizing'!P13-242.5)&lt;0.000001,"PASS","FAIL")</x:f>
        <x:v>PASS</x:v>
      </x:c>
      <x:c r="E11" s="23" t="str">
        <x:v>PASS</x:v>
      </x:c>
      <x:c r="F11" s="78"/>
      <x:c r="G11" s="78"/>
      <x:c r="H11" s="78"/>
    </x:row>
    <x:row r="12">
      <x:c r="B12" s="23" t="str">
        <x:v>Source sizing</x:v>
      </x:c>
      <x:c r="C12" s="23" t="str">
        <x:v>Nested source dry mass is 5,040 t</x:v>
      </x:c>
      <x:c r="D12" s="23" t="str">
        <x:f>IF(ABS('06 Source sizing'!Q13-5040)&lt;0.000001,"PASS","FAIL")</x:f>
        <x:v>PASS</x:v>
      </x:c>
      <x:c r="E12" s="23" t="str">
        <x:v>PASS</x:v>
      </x:c>
      <x:c r="F12" s="78"/>
      <x:c r="G12" s="78"/>
      <x:c r="H12" s="78"/>
    </x:row>
    <x:row r="13">
      <x:c r="B13" s="23" t="str">
        <x:v>Source sizing</x:v>
      </x:c>
      <x:c r="C13" s="23" t="str">
        <x:v>Nested source capital is USD 8,200M</x:v>
      </x:c>
      <x:c r="D13" s="23" t="str">
        <x:f>IF(ABS('06 Source sizing'!R13-8200)&lt;0.000001,"PASS","FAIL")</x:f>
        <x:v>PASS</x:v>
      </x:c>
      <x:c r="E13" s="23" t="str">
        <x:v>PASS</x:v>
      </x:c>
      <x:c r="F13" s="78"/>
      <x:c r="G13" s="78"/>
      <x:c r="H13" s="78"/>
    </x:row>
    <x:row r="14">
      <x:c r="B14" s="23" t="str">
        <x:v>Control reproduction</x:v>
      </x:c>
      <x:c r="C14" s="23" t="str">
        <x:v>Fire selected source count reproduces six</x:v>
      </x:c>
      <x:c r="D14" s="23" t="str">
        <x:f>IF('06 Source sizing'!O7=6,"PASS","FAIL")</x:f>
        <x:v>PASS</x:v>
      </x:c>
      <x:c r="E14" s="23" t="str">
        <x:v>PASS</x:v>
      </x:c>
      <x:c r="F14" s="78"/>
      <x:c r="G14" s="78"/>
      <x:c r="H14" s="78"/>
    </x:row>
    <x:row r="15">
      <x:c r="B15" s="23" t="str">
        <x:v>Control reproduction</x:v>
      </x:c>
      <x:c r="C15" s="23" t="str">
        <x:v>PRG selected source count reproduces fourteen</x:v>
      </x:c>
      <x:c r="D15" s="23" t="str">
        <x:f>IF('06 Source sizing'!O9=14,"PASS","FAIL")</x:f>
        <x:v>PASS</x:v>
      </x:c>
      <x:c r="E15" s="23" t="str">
        <x:v>PASS</x:v>
      </x:c>
      <x:c r="F15" s="78"/>
      <x:c r="G15" s="78"/>
      <x:c r="H15" s="78"/>
    </x:row>
    <x:row r="16">
      <x:c r="B16" s="23" t="str">
        <x:v>Control reproduction</x:v>
      </x:c>
      <x:c r="C16" s="23" t="str">
        <x:v>PTS small source count is three</x:v>
      </x:c>
      <x:c r="D16" s="23" t="str">
        <x:f>IF('06 Source sizing'!O11=3,"PASS","FAIL")</x:f>
        <x:v>PASS</x:v>
      </x:c>
      <x:c r="E16" s="23" t="str">
        <x:v>PASS</x:v>
      </x:c>
      <x:c r="F16" s="78"/>
      <x:c r="G16" s="78"/>
      <x:c r="H16" s="78"/>
    </x:row>
    <x:row r="17">
      <x:c r="B17" s="23" t="str">
        <x:v>Capacity</x:v>
      </x:c>
      <x:c r="C17" s="23" t="str">
        <x:v>D-FIRE selected continuous-loss screen closes</x:v>
      </x:c>
      <x:c r="D17" s="23" t="str">
        <x:f>IF(('06 Source sizing'!O7-1)*'06 Source sizing'!E7*IF('06 Source sizing'!N7="SPC-1",'05 Source classes'!C7,IF('06 Source sizing'!N7="SPC-5",'05 Source classes'!C8,'05 Source classes'!C9))&gt;='06 Source sizing'!C7,"PASS","FAIL")</x:f>
        <x:v>PASS</x:v>
      </x:c>
      <x:c r="E17" s="23" t="str">
        <x:v>PASS</x:v>
      </x:c>
      <x:c r="F17" s="78"/>
      <x:c r="G17" s="78"/>
      <x:c r="H17" s="78"/>
    </x:row>
    <x:row r="18">
      <x:c r="B18" s="23" t="str">
        <x:v>Capacity</x:v>
      </x:c>
      <x:c r="C18" s="23" t="str">
        <x:v>D-FLOOD selected continuous-loss screen closes</x:v>
      </x:c>
      <x:c r="D18" s="23" t="str">
        <x:f>IF(('06 Source sizing'!O8-1)*'06 Source sizing'!E8*IF('06 Source sizing'!N8="SPC-1",'05 Source classes'!C7,IF('06 Source sizing'!N8="SPC-5",'05 Source classes'!C8,'05 Source classes'!C9))&gt;='06 Source sizing'!C8,"PASS","FAIL")</x:f>
        <x:v>PASS</x:v>
      </x:c>
      <x:c r="E18" s="23" t="str">
        <x:v>PASS</x:v>
      </x:c>
      <x:c r="F18" s="78"/>
      <x:c r="G18" s="78"/>
      <x:c r="H18" s="78"/>
    </x:row>
    <x:row r="19">
      <x:c r="B19" s="23" t="str">
        <x:v>Capacity</x:v>
      </x:c>
      <x:c r="C19" s="23" t="str">
        <x:v>D-PRG selected continuous-loss screen closes</x:v>
      </x:c>
      <x:c r="D19" s="23" t="str">
        <x:f>IF(('06 Source sizing'!O9-1)*'06 Source sizing'!E9*IF('06 Source sizing'!N9="SPC-1",'05 Source classes'!C7,IF('06 Source sizing'!N9="SPC-5",'05 Source classes'!C8,'05 Source classes'!C9))&gt;='06 Source sizing'!C9,"PASS","FAIL")</x:f>
        <x:v>PASS</x:v>
      </x:c>
      <x:c r="E19" s="23" t="str">
        <x:v>PASS</x:v>
      </x:c>
      <x:c r="F19" s="78"/>
      <x:c r="G19" s="78"/>
      <x:c r="H19" s="78"/>
    </x:row>
    <x:row r="20">
      <x:c r="B20" s="23" t="str">
        <x:v>Capacity</x:v>
      </x:c>
      <x:c r="C20" s="23" t="str">
        <x:v>D-MED22 selected continuous-loss screen closes</x:v>
      </x:c>
      <x:c r="D20" s="23" t="str">
        <x:f>IF(('06 Source sizing'!O10-1)*'06 Source sizing'!E10*IF('06 Source sizing'!N10="SPC-1",'05 Source classes'!C7,IF('06 Source sizing'!N10="SPC-5",'05 Source classes'!C8,'05 Source classes'!C9))&gt;='06 Source sizing'!C10,"PASS","FAIL")</x:f>
        <x:v>PASS</x:v>
      </x:c>
      <x:c r="E20" s="23" t="str">
        <x:v>PASS</x:v>
      </x:c>
      <x:c r="F20" s="78"/>
      <x:c r="G20" s="78"/>
      <x:c r="H20" s="78"/>
    </x:row>
    <x:row r="21">
      <x:c r="B21" s="23" t="str">
        <x:v>Capacity</x:v>
      </x:c>
      <x:c r="C21" s="23" t="str">
        <x:v>D-PTS5 selected continuous-loss screen closes</x:v>
      </x:c>
      <x:c r="D21" s="23" t="str">
        <x:f>IF(('06 Source sizing'!O11-1)*'06 Source sizing'!E11*IF('06 Source sizing'!N11="SPC-1",'05 Source classes'!C7,IF('06 Source sizing'!N11="SPC-5",'05 Source classes'!C8,'05 Source classes'!C9))&gt;='06 Source sizing'!C11,"PASS","FAIL")</x:f>
        <x:v>PASS</x:v>
      </x:c>
      <x:c r="E21" s="23" t="str">
        <x:v>PASS</x:v>
      </x:c>
      <x:c r="F21" s="78"/>
      <x:c r="G21" s="78"/>
      <x:c r="H21" s="78"/>
    </x:row>
    <x:row r="22">
      <x:c r="B22" s="23" t="str">
        <x:v>Capacity</x:v>
      </x:c>
      <x:c r="C22" s="23" t="str">
        <x:v>D-WSC selected continuous-loss screen closes</x:v>
      </x:c>
      <x:c r="D22" s="23" t="str">
        <x:f>IF(('06 Source sizing'!O12-1)*'06 Source sizing'!E12*IF('06 Source sizing'!N12="SPC-1",'05 Source classes'!C7,IF('06 Source sizing'!N12="SPC-5",'05 Source classes'!C8,'05 Source classes'!C9))&gt;='06 Source sizing'!C12,"PASS","FAIL")</x:f>
        <x:v>PASS</x:v>
      </x:c>
      <x:c r="E22" s="23" t="str">
        <x:v>PASS</x:v>
      </x:c>
      <x:c r="F22" s="78"/>
      <x:c r="G22" s="78"/>
      <x:c r="H22" s="78"/>
    </x:row>
    <x:row r="23">
      <x:c r="B23" s="23" t="str">
        <x:v>Capacity</x:v>
      </x:c>
      <x:c r="C23" s="23" t="str">
        <x:v>D-FIRE selected peak-loss screen closes</x:v>
      </x:c>
      <x:c r="D23" s="23" t="str">
        <x:f>IF(('06 Source sizing'!O7-1)*'06 Source sizing'!E7*IF('06 Source sizing'!N7="SPC-1",'05 Source classes'!D7,IF('06 Source sizing'!N7="SPC-5",'05 Source classes'!D8,'05 Source classes'!D9))&gt;='06 Source sizing'!D7,"PASS","FAIL")</x:f>
        <x:v>PASS</x:v>
      </x:c>
      <x:c r="E23" s="23" t="str">
        <x:v>PASS</x:v>
      </x:c>
      <x:c r="F23" s="78"/>
      <x:c r="G23" s="78"/>
      <x:c r="H23" s="78"/>
    </x:row>
    <x:row r="24">
      <x:c r="B24" s="23" t="str">
        <x:v>Capacity</x:v>
      </x:c>
      <x:c r="C24" s="23" t="str">
        <x:v>D-FLOOD selected peak-loss screen closes</x:v>
      </x:c>
      <x:c r="D24" s="23" t="str">
        <x:f>IF(('06 Source sizing'!O8-1)*'06 Source sizing'!E8*IF('06 Source sizing'!N8="SPC-1",'05 Source classes'!D7,IF('06 Source sizing'!N8="SPC-5",'05 Source classes'!D8,'05 Source classes'!D9))&gt;='06 Source sizing'!D8,"PASS","FAIL")</x:f>
        <x:v>PASS</x:v>
      </x:c>
      <x:c r="E24" s="23" t="str">
        <x:v>PASS</x:v>
      </x:c>
      <x:c r="F24" s="78"/>
      <x:c r="G24" s="78"/>
      <x:c r="H24" s="78"/>
    </x:row>
    <x:row r="25">
      <x:c r="B25" s="23" t="str">
        <x:v>Capacity</x:v>
      </x:c>
      <x:c r="C25" s="23" t="str">
        <x:v>D-PRG selected peak-loss screen closes</x:v>
      </x:c>
      <x:c r="D25" s="23" t="str">
        <x:f>IF(('06 Source sizing'!O9-1)*'06 Source sizing'!E9*IF('06 Source sizing'!N9="SPC-1",'05 Source classes'!D7,IF('06 Source sizing'!N9="SPC-5",'05 Source classes'!D8,'05 Source classes'!D9))&gt;='06 Source sizing'!D9,"PASS","FAIL")</x:f>
        <x:v>PASS</x:v>
      </x:c>
      <x:c r="E25" s="23" t="str">
        <x:v>PASS</x:v>
      </x:c>
      <x:c r="F25" s="78"/>
      <x:c r="G25" s="78"/>
      <x:c r="H25" s="78"/>
    </x:row>
    <x:row r="26">
      <x:c r="B26" s="23" t="str">
        <x:v>Capacity</x:v>
      </x:c>
      <x:c r="C26" s="23" t="str">
        <x:v>D-MED22 selected peak-loss screen closes</x:v>
      </x:c>
      <x:c r="D26" s="23" t="str">
        <x:f>IF(('06 Source sizing'!O10-1)*'06 Source sizing'!E10*IF('06 Source sizing'!N10="SPC-1",'05 Source classes'!D7,IF('06 Source sizing'!N10="SPC-5",'05 Source classes'!D8,'05 Source classes'!D9))&gt;='06 Source sizing'!D10,"PASS","FAIL")</x:f>
        <x:v>PASS</x:v>
      </x:c>
      <x:c r="E26" s="23" t="str">
        <x:v>PASS</x:v>
      </x:c>
      <x:c r="F26" s="78"/>
      <x:c r="G26" s="78"/>
      <x:c r="H26" s="78"/>
    </x:row>
    <x:row r="27">
      <x:c r="B27" s="23" t="str">
        <x:v>Capacity</x:v>
      </x:c>
      <x:c r="C27" s="23" t="str">
        <x:v>D-PTS5 selected peak-loss screen closes</x:v>
      </x:c>
      <x:c r="D27" s="23" t="str">
        <x:f>IF(('06 Source sizing'!O11-1)*'06 Source sizing'!E11*IF('06 Source sizing'!N11="SPC-1",'05 Source classes'!D7,IF('06 Source sizing'!N11="SPC-5",'05 Source classes'!D8,'05 Source classes'!D9))&gt;='06 Source sizing'!D11,"PASS","FAIL")</x:f>
        <x:v>PASS</x:v>
      </x:c>
      <x:c r="E27" s="23" t="str">
        <x:v>PASS</x:v>
      </x:c>
      <x:c r="F27" s="78"/>
      <x:c r="G27" s="78"/>
      <x:c r="H27" s="78"/>
    </x:row>
    <x:row r="28">
      <x:c r="B28" s="23" t="str">
        <x:v>Capacity</x:v>
      </x:c>
      <x:c r="C28" s="23" t="str">
        <x:v>D-WSC selected peak-loss screen closes</x:v>
      </x:c>
      <x:c r="D28" s="23" t="str">
        <x:f>IF(('06 Source sizing'!O12-1)*'06 Source sizing'!E12*IF('06 Source sizing'!N12="SPC-1",'05 Source classes'!D7,IF('06 Source sizing'!N12="SPC-5",'05 Source classes'!D8,'05 Source classes'!D9))&gt;='06 Source sizing'!D12,"PASS","FAIL")</x:f>
        <x:v>PASS</x:v>
      </x:c>
      <x:c r="E28" s="23" t="str">
        <x:v>PASS</x:v>
      </x:c>
      <x:c r="F28" s="78"/>
      <x:c r="G28" s="78"/>
      <x:c r="H28" s="78"/>
    </x:row>
    <x:row r="29">
      <x:c r="B29" s="23" t="str">
        <x:v>Architecture</x:v>
      </x:c>
      <x:c r="C29" s="23" t="str">
        <x:v>SPC-1 universal exceeds PRG article ceiling</x:v>
      </x:c>
      <x:c r="D29" s="23" t="str">
        <x:f>IF('02 Source comparison'!H7&gt;'01 Controls'!C9,"PASS","FAIL")</x:f>
        <x:v>PASS</x:v>
      </x:c>
      <x:c r="E29" s="23" t="str">
        <x:v>PASS</x:v>
      </x:c>
      <x:c r="F29" s="78"/>
      <x:c r="G29" s="78"/>
      <x:c r="H29" s="78"/>
    </x:row>
    <x:row r="30">
      <x:c r="B30" s="23" t="str">
        <x:v>Architecture</x:v>
      </x:c>
      <x:c r="C30" s="23" t="str">
        <x:v>SPC-5 universal exceeds PTS granularity ceiling</x:v>
      </x:c>
      <x:c r="D30" s="23" t="str">
        <x:f>IF('02 Source comparison'!I8&gt;'01 Controls'!C8,"PASS","FAIL")</x:f>
        <x:v>PASS</x:v>
      </x:c>
      <x:c r="E30" s="23" t="str">
        <x:v>PASS</x:v>
      </x:c>
      <x:c r="F30" s="78"/>
      <x:c r="G30" s="78"/>
      <x:c r="H30" s="78"/>
    </x:row>
    <x:row r="31">
      <x:c r="B31" s="23" t="str">
        <x:v>Architecture</x:v>
      </x:c>
      <x:c r="C31" s="23" t="str">
        <x:v>SPC-10 universal exceeds PTS granularity ceiling</x:v>
      </x:c>
      <x:c r="D31" s="23" t="str">
        <x:f>IF('02 Source comparison'!I9&gt;'01 Controls'!C8,"PASS","FAIL")</x:f>
        <x:v>PASS</x:v>
      </x:c>
      <x:c r="E31" s="23" t="str">
        <x:v>PASS</x:v>
      </x:c>
      <x:c r="F31" s="78"/>
      <x:c r="G31" s="78"/>
      <x:c r="H31" s="78"/>
    </x:row>
    <x:row r="32">
      <x:c r="B32" s="23" t="str">
        <x:v>Architecture</x:v>
      </x:c>
      <x:c r="C32" s="23" t="str">
        <x:v>Nested PTS source ratio is within ceiling</x:v>
      </x:c>
      <x:c r="D32" s="23" t="str">
        <x:f>IF('02 Source comparison'!I10&lt;='01 Controls'!C8,"PASS","FAIL")</x:f>
        <x:v>PASS</x:v>
      </x:c>
      <x:c r="E32" s="23" t="str">
        <x:v>PASS</x:v>
      </x:c>
      <x:c r="F32" s="78"/>
      <x:c r="G32" s="78"/>
      <x:c r="H32" s="78"/>
    </x:row>
    <x:row r="33">
      <x:c r="B33" s="23" t="str">
        <x:v>Architecture</x:v>
      </x:c>
      <x:c r="C33" s="23" t="str">
        <x:v>Nested PRG count is within article ceiling</x:v>
      </x:c>
      <x:c r="D33" s="23" t="str">
        <x:f>IF('02 Source comparison'!H10&lt;='01 Controls'!C9,"PASS","FAIL")</x:f>
        <x:v>PASS</x:v>
      </x:c>
      <x:c r="E33" s="23" t="str">
        <x:v>PASS</x:v>
      </x:c>
      <x:c r="F33" s="78"/>
      <x:c r="G33" s="78"/>
      <x:c r="H33" s="78"/>
    </x:row>
    <x:row r="34">
      <x:c r="B34" s="23" t="str">
        <x:v>Storage</x:v>
      </x:c>
      <x:c r="C34" s="23" t="str">
        <x:v>Total storage article count is 21</x:v>
      </x:c>
      <x:c r="D34" s="23" t="str">
        <x:f>IF('07 Storage'!H13=21,"PASS","FAIL")</x:f>
        <x:v>PASS</x:v>
      </x:c>
      <x:c r="E34" s="23" t="str">
        <x:v>PASS</x:v>
      </x:c>
      <x:c r="F34" s="78"/>
      <x:c r="G34" s="78"/>
      <x:c r="H34" s="78"/>
    </x:row>
    <x:row r="35">
      <x:c r="B35" s="23" t="str">
        <x:v>Storage</x:v>
      </x:c>
      <x:c r="C35" s="23" t="str">
        <x:v>Storage dry mass is 2,600 t</x:v>
      </x:c>
      <x:c r="D35" s="23" t="str">
        <x:f>IF('07 Storage'!K13=2600,"PASS","FAIL")</x:f>
        <x:v>PASS</x:v>
      </x:c>
      <x:c r="E35" s="23" t="str">
        <x:v>PASS</x:v>
      </x:c>
      <x:c r="F35" s="78"/>
      <x:c r="G35" s="78"/>
      <x:c r="H35" s="78"/>
    </x:row>
    <x:row r="36">
      <x:c r="B36" s="23" t="str">
        <x:v>Storage</x:v>
      </x:c>
      <x:c r="C36" s="23" t="str">
        <x:v>Storage capital is USD 1,430M</x:v>
      </x:c>
      <x:c r="D36" s="23" t="str">
        <x:f>IF('07 Storage'!L13=1430,"PASS","FAIL")</x:f>
        <x:v>PASS</x:v>
      </x:c>
      <x:c r="E36" s="23" t="str">
        <x:v>PASS</x:v>
      </x:c>
      <x:c r="F36" s="78"/>
      <x:c r="G36" s="78"/>
      <x:c r="H36" s="78"/>
    </x:row>
    <x:row r="37">
      <x:c r="B37" s="23" t="str">
        <x:v>Storage</x:v>
      </x:c>
      <x:c r="C37" s="23" t="str">
        <x:v>D-FIRE storage power and energy close</x:v>
      </x:c>
      <x:c r="D37" s="23" t="str">
        <x:f>IF(AND('07 Storage'!M7&gt;=0,'07 Storage'!N7&gt;=0),"PASS","FAIL")</x:f>
        <x:v>PASS</x:v>
      </x:c>
      <x:c r="E37" s="23" t="str">
        <x:v>PASS</x:v>
      </x:c>
      <x:c r="F37" s="78"/>
      <x:c r="G37" s="78"/>
      <x:c r="H37" s="78"/>
    </x:row>
    <x:row r="38">
      <x:c r="B38" s="23" t="str">
        <x:v>Storage</x:v>
      </x:c>
      <x:c r="C38" s="23" t="str">
        <x:v>D-FLOOD storage power and energy close</x:v>
      </x:c>
      <x:c r="D38" s="23" t="str">
        <x:f>IF(AND('07 Storage'!M8&gt;=0,'07 Storage'!N8&gt;=0),"PASS","FAIL")</x:f>
        <x:v>PASS</x:v>
      </x:c>
      <x:c r="E38" s="23" t="str">
        <x:v>PASS</x:v>
      </x:c>
      <x:c r="F38" s="78"/>
      <x:c r="G38" s="78"/>
      <x:c r="H38" s="78"/>
    </x:row>
    <x:row r="39">
      <x:c r="B39" s="23" t="str">
        <x:v>Storage</x:v>
      </x:c>
      <x:c r="C39" s="23" t="str">
        <x:v>D-PRG storage power and energy close</x:v>
      </x:c>
      <x:c r="D39" s="23" t="str">
        <x:f>IF(AND('07 Storage'!M9&gt;=0,'07 Storage'!N9&gt;=0),"PASS","FAIL")</x:f>
        <x:v>PASS</x:v>
      </x:c>
      <x:c r="E39" s="23" t="str">
        <x:v>PASS</x:v>
      </x:c>
      <x:c r="F39" s="78"/>
      <x:c r="G39" s="78"/>
      <x:c r="H39" s="78"/>
    </x:row>
    <x:row r="40">
      <x:c r="B40" s="23" t="str">
        <x:v>Storage</x:v>
      </x:c>
      <x:c r="C40" s="23" t="str">
        <x:v>D-MED22 storage power and energy close</x:v>
      </x:c>
      <x:c r="D40" s="23" t="str">
        <x:f>IF(AND('07 Storage'!M10&gt;=0,'07 Storage'!N10&gt;=0),"PASS","FAIL")</x:f>
        <x:v>PASS</x:v>
      </x:c>
      <x:c r="E40" s="23" t="str">
        <x:v>PASS</x:v>
      </x:c>
      <x:c r="F40" s="78"/>
      <x:c r="G40" s="78"/>
      <x:c r="H40" s="78"/>
    </x:row>
    <x:row r="41">
      <x:c r="B41" s="23" t="str">
        <x:v>Storage</x:v>
      </x:c>
      <x:c r="C41" s="23" t="str">
        <x:v>D-PTS5 storage power and energy close</x:v>
      </x:c>
      <x:c r="D41" s="23" t="str">
        <x:f>IF(AND('07 Storage'!M11&gt;=0,'07 Storage'!N11&gt;=0),"PASS","FAIL")</x:f>
        <x:v>PASS</x:v>
      </x:c>
      <x:c r="E41" s="23" t="str">
        <x:v>PASS</x:v>
      </x:c>
      <x:c r="F41" s="78"/>
      <x:c r="G41" s="78"/>
      <x:c r="H41" s="78"/>
    </x:row>
    <x:row r="42">
      <x:c r="B42" s="23" t="str">
        <x:v>Storage</x:v>
      </x:c>
      <x:c r="C42" s="23" t="str">
        <x:v>D-WSC storage power and energy close</x:v>
      </x:c>
      <x:c r="D42" s="23" t="str">
        <x:f>IF(AND('07 Storage'!M12&gt;=0,'07 Storage'!N12&gt;=0),"PASS","FAIL")</x:f>
        <x:v>PASS</x:v>
      </x:c>
      <x:c r="E42" s="23" t="str">
        <x:v>PASS</x:v>
      </x:c>
      <x:c r="F42" s="78"/>
      <x:c r="G42" s="78"/>
      <x:c r="H42" s="78"/>
    </x:row>
    <x:row r="43">
      <x:c r="B43" s="23" t="str">
        <x:v>Protection</x:v>
      </x:c>
      <x:c r="C43" s="23" t="str">
        <x:v>Protection node count is 38</x:v>
      </x:c>
      <x:c r="D43" s="23" t="str">
        <x:f>IF('08 Protection'!I13=38,"PASS","FAIL")</x:f>
        <x:v>PASS</x:v>
      </x:c>
      <x:c r="E43" s="23" t="str">
        <x:v>PASS</x:v>
      </x:c>
      <x:c r="F43" s="78"/>
      <x:c r="G43" s="78"/>
      <x:c r="H43" s="78"/>
    </x:row>
    <x:row r="44">
      <x:c r="B44" s="23" t="str">
        <x:v>Protection</x:v>
      </x:c>
      <x:c r="C44" s="23" t="str">
        <x:v>Protection dry mass is 2,426 t</x:v>
      </x:c>
      <x:c r="D44" s="23" t="str">
        <x:f>IF('08 Protection'!K13=2426,"PASS","FAIL")</x:f>
        <x:v>PASS</x:v>
      </x:c>
      <x:c r="E44" s="23" t="str">
        <x:v>PASS</x:v>
      </x:c>
      <x:c r="F44" s="78"/>
      <x:c r="G44" s="78"/>
      <x:c r="H44" s="78"/>
    </x:row>
    <x:row r="45">
      <x:c r="B45" s="23" t="str">
        <x:v>Protection</x:v>
      </x:c>
      <x:c r="C45" s="23" t="str">
        <x:v>Protection capital is USD 1,240M</x:v>
      </x:c>
      <x:c r="D45" s="23" t="str">
        <x:f>IF('08 Protection'!L13=1240,"PASS","FAIL")</x:f>
        <x:v>PASS</x:v>
      </x:c>
      <x:c r="E45" s="23" t="str">
        <x:v>PASS</x:v>
      </x:c>
      <x:c r="F45" s="78"/>
      <x:c r="G45" s="78"/>
      <x:c r="H45" s="78"/>
    </x:row>
    <x:row r="46">
      <x:c r="B46" s="23" t="str">
        <x:v>Protection</x:v>
      </x:c>
      <x:c r="C46" s="23" t="str">
        <x:v>D-FIRE installed MVA closes capacity basis</x:v>
      </x:c>
      <x:c r="D46" s="23" t="str">
        <x:f>IF('08 Protection'!M7&gt;=0,"PASS","FAIL")</x:f>
        <x:v>PASS</x:v>
      </x:c>
      <x:c r="E46" s="23" t="str">
        <x:v>PASS</x:v>
      </x:c>
      <x:c r="F46" s="78"/>
      <x:c r="G46" s="78"/>
      <x:c r="H46" s="78"/>
    </x:row>
    <x:row r="47">
      <x:c r="B47" s="23" t="str">
        <x:v>Protection</x:v>
      </x:c>
      <x:c r="C47" s="23" t="str">
        <x:v>D-FLOOD installed MVA closes capacity basis</x:v>
      </x:c>
      <x:c r="D47" s="23" t="str">
        <x:f>IF('08 Protection'!M8&gt;=0,"PASS","FAIL")</x:f>
        <x:v>PASS</x:v>
      </x:c>
      <x:c r="E47" s="23" t="str">
        <x:v>PASS</x:v>
      </x:c>
      <x:c r="F47" s="78"/>
      <x:c r="G47" s="78"/>
      <x:c r="H47" s="78"/>
    </x:row>
    <x:row r="48">
      <x:c r="B48" s="23" t="str">
        <x:v>Protection</x:v>
      </x:c>
      <x:c r="C48" s="23" t="str">
        <x:v>D-PRG installed MVA closes capacity basis</x:v>
      </x:c>
      <x:c r="D48" s="23" t="str">
        <x:f>IF('08 Protection'!M9&gt;=0,"PASS","FAIL")</x:f>
        <x:v>PASS</x:v>
      </x:c>
      <x:c r="E48" s="23" t="str">
        <x:v>PASS</x:v>
      </x:c>
      <x:c r="F48" s="78"/>
      <x:c r="G48" s="78"/>
      <x:c r="H48" s="78"/>
    </x:row>
    <x:row r="49">
      <x:c r="B49" s="23" t="str">
        <x:v>Protection</x:v>
      </x:c>
      <x:c r="C49" s="23" t="str">
        <x:v>D-MED22 installed MVA closes capacity basis</x:v>
      </x:c>
      <x:c r="D49" s="23" t="str">
        <x:f>IF('08 Protection'!M10&gt;=0,"PASS","FAIL")</x:f>
        <x:v>PASS</x:v>
      </x:c>
      <x:c r="E49" s="23" t="str">
        <x:v>PASS</x:v>
      </x:c>
      <x:c r="F49" s="78"/>
      <x:c r="G49" s="78"/>
      <x:c r="H49" s="78"/>
    </x:row>
    <x:row r="50">
      <x:c r="B50" s="23" t="str">
        <x:v>Protection</x:v>
      </x:c>
      <x:c r="C50" s="23" t="str">
        <x:v>D-PTS5 installed MVA closes capacity basis</x:v>
      </x:c>
      <x:c r="D50" s="23" t="str">
        <x:f>IF('08 Protection'!M11&gt;=0,"PASS","FAIL")</x:f>
        <x:v>PASS</x:v>
      </x:c>
      <x:c r="E50" s="23" t="str">
        <x:v>PASS</x:v>
      </x:c>
      <x:c r="F50" s="78"/>
      <x:c r="G50" s="78"/>
      <x:c r="H50" s="78"/>
    </x:row>
    <x:row r="51">
      <x:c r="B51" s="23" t="str">
        <x:v>Protection</x:v>
      </x:c>
      <x:c r="C51" s="23" t="str">
        <x:v>D-WSC installed MVA closes capacity basis</x:v>
      </x:c>
      <x:c r="D51" s="23" t="str">
        <x:f>IF('08 Protection'!M12&gt;=0,"PASS","FAIL")</x:f>
        <x:v>PASS</x:v>
      </x:c>
      <x:c r="E51" s="23" t="str">
        <x:v>PASS</x:v>
      </x:c>
      <x:c r="F51" s="78"/>
      <x:c r="G51" s="78"/>
      <x:c r="H51" s="78"/>
    </x:row>
    <x:row r="52">
      <x:c r="B52" s="23" t="str">
        <x:v>Control</x:v>
      </x:c>
      <x:c r="C52" s="23" t="str">
        <x:v>Local control cells total 27</x:v>
      </x:c>
      <x:c r="D52" s="23" t="str">
        <x:f>IF('09 Local control'!E13=27,"PASS","FAIL")</x:f>
        <x:v>PASS</x:v>
      </x:c>
      <x:c r="E52" s="23" t="str">
        <x:v>PASS</x:v>
      </x:c>
      <x:c r="F52" s="78"/>
      <x:c r="G52" s="78"/>
      <x:c r="H52" s="78"/>
    </x:row>
    <x:row r="53">
      <x:c r="B53" s="23" t="str">
        <x:v>Control</x:v>
      </x:c>
      <x:c r="C53" s="23" t="str">
        <x:v>Local control dry mass is 324 t</x:v>
      </x:c>
      <x:c r="D53" s="23" t="str">
        <x:f>IF('09 Local control'!F13=324,"PASS","FAIL")</x:f>
        <x:v>PASS</x:v>
      </x:c>
      <x:c r="E53" s="23" t="str">
        <x:v>PASS</x:v>
      </x:c>
      <x:c r="F53" s="78"/>
      <x:c r="G53" s="78"/>
      <x:c r="H53" s="78"/>
    </x:row>
    <x:row r="54">
      <x:c r="B54" s="23" t="str">
        <x:v>Control</x:v>
      </x:c>
      <x:c r="C54" s="23" t="str">
        <x:v>Local control capital is USD 324M</x:v>
      </x:c>
      <x:c r="D54" s="23" t="str">
        <x:f>IF('09 Local control'!G13=324,"PASS","FAIL")</x:f>
        <x:v>PASS</x:v>
      </x:c>
      <x:c r="E54" s="23" t="str">
        <x:v>PASS</x:v>
      </x:c>
      <x:c r="F54" s="78"/>
      <x:c r="G54" s="78"/>
      <x:c r="H54" s="78"/>
    </x:row>
    <x:row r="55">
      <x:c r="B55" s="23" t="str">
        <x:v>Common core</x:v>
      </x:c>
      <x:c r="C55" s="23" t="str">
        <x:v>Common core dry mass is 10,390 t</x:v>
      </x:c>
      <x:c r="D55" s="23" t="str">
        <x:f>IF('03 Common core'!P13=10390,"PASS","FAIL")</x:f>
        <x:v>PASS</x:v>
      </x:c>
      <x:c r="E55" s="23" t="str">
        <x:v>PASS</x:v>
      </x:c>
      <x:c r="F55" s="78"/>
      <x:c r="G55" s="78"/>
      <x:c r="H55" s="78"/>
    </x:row>
    <x:row r="56">
      <x:c r="B56" s="23" t="str">
        <x:v>Common core</x:v>
      </x:c>
      <x:c r="C56" s="23" t="str">
        <x:v>Common core capital is USD 11,194M</x:v>
      </x:c>
      <x:c r="D56" s="23" t="str">
        <x:f>IF('03 Common core'!Q13=11194,"PASS","FAIL")</x:f>
        <x:v>PASS</x:v>
      </x:c>
      <x:c r="E56" s="23" t="str">
        <x:v>PASS</x:v>
      </x:c>
      <x:c r="F56" s="78"/>
      <x:c r="G56" s="78"/>
      <x:c r="H56" s="78"/>
    </x:row>
    <x:row r="57">
      <x:c r="B57" s="23" t="str">
        <x:v>Technology</x:v>
      </x:c>
      <x:c r="C57" s="23" t="str">
        <x:v>TCP-01 allocation sums to USD 110B</x:v>
      </x:c>
      <x:c r="D57" s="23" t="str">
        <x:f>IF('14 Technology'!C16=110,"PASS","FAIL")</x:f>
        <x:v>PASS</x:v>
      </x:c>
      <x:c r="E57" s="23" t="str">
        <x:v>PASS</x:v>
      </x:c>
      <x:c r="F57" s="78"/>
      <x:c r="G57" s="78"/>
      <x:c r="H57" s="78"/>
    </x:row>
    <x:row r="58">
      <x:c r="B58" s="23" t="str">
        <x:v>Technology</x:v>
      </x:c>
      <x:c r="C58" s="23" t="str">
        <x:v>TCP-01 shares sum to one</x:v>
      </x:c>
      <x:c r="D58" s="23" t="str">
        <x:f>IF(ABS('14 Technology'!D16-1)&lt;0.000001,"PASS","FAIL")</x:f>
        <x:v>PASS</x:v>
      </x:c>
      <x:c r="E58" s="23" t="str">
        <x:v>PASS</x:v>
      </x:c>
      <x:c r="F58" s="78"/>
      <x:c r="G58" s="78"/>
      <x:c r="H58" s="78"/>
    </x:row>
    <x:row r="59">
      <x:c r="B59" s="23" t="str">
        <x:v>Technology</x:v>
      </x:c>
      <x:c r="C59" s="23" t="str">
        <x:v>Technology cadence sums to USD 110B</x:v>
      </x:c>
      <x:c r="D59" s="23" t="str">
        <x:f>IF('14 Technology'!C26=110,"PASS","FAIL")</x:f>
        <x:v>PASS</x:v>
      </x:c>
      <x:c r="E59" s="23" t="str">
        <x:v>PASS</x:v>
      </x:c>
      <x:c r="F59" s="78"/>
      <x:c r="G59" s="78"/>
      <x:c r="H59" s="78"/>
    </x:row>
    <x:row r="60">
      <x:c r="B60" s="23" t="str">
        <x:v>Technology</x:v>
      </x:c>
      <x:c r="C60" s="23" t="str">
        <x:v>Technology cumulative end is USD 110B</x:v>
      </x:c>
      <x:c r="D60" s="23" t="str">
        <x:f>IF('14 Technology'!D26=110,"PASS","FAIL")</x:f>
        <x:v>PASS</x:v>
      </x:c>
      <x:c r="E60" s="23" t="str">
        <x:v>PASS</x:v>
      </x:c>
      <x:c r="F60" s="78"/>
      <x:c r="G60" s="78"/>
      <x:c r="H60" s="78"/>
    </x:row>
    <x:row r="61">
      <x:c r="B61" s="23" t="str">
        <x:v>Technology</x:v>
      </x:c>
      <x:c r="C61" s="23" t="str">
        <x:v>No new Department cost is booked</x:v>
      </x:c>
      <x:c r="D61" s="23" t="str">
        <x:f>IF('14 Technology'!F16=0,"PASS","FAIL")</x:f>
        <x:v>PASS</x:v>
      </x:c>
      <x:c r="E61" s="23" t="str">
        <x:v>PASS</x:v>
      </x:c>
      <x:c r="F61" s="78"/>
      <x:c r="G61" s="78"/>
      <x:c r="H61" s="78"/>
    </x:row>
    <x:row r="62">
      <x:c r="B62" s="23" t="str">
        <x:v>Campaign</x:v>
      </x:c>
      <x:c r="C62" s="23" t="str">
        <x:v>Source article bank totals 48</x:v>
      </x:c>
      <x:c r="D62" s="23" t="str">
        <x:f>IF(SUM('15 Campaign'!F7:F9)=48,"PASS","FAIL")</x:f>
        <x:v>PASS</x:v>
      </x:c>
      <x:c r="E62" s="23" t="str">
        <x:v>PASS</x:v>
      </x:c>
      <x:c r="F62" s="78"/>
      <x:c r="G62" s="78"/>
      <x:c r="H62" s="78"/>
    </x:row>
    <x:row r="63">
      <x:c r="B63" s="23" t="str">
        <x:v>Campaign</x:v>
      </x:c>
      <x:c r="C63" s="23" t="str">
        <x:v>All controlled campaign articles total 132</x:v>
      </x:c>
      <x:c r="D63" s="23" t="str">
        <x:f>IF('15 Campaign'!F14=132,"PASS","FAIL")</x:f>
        <x:v>PASS</x:v>
      </x:c>
      <x:c r="E63" s="23" t="str">
        <x:v>PASS</x:v>
      </x:c>
      <x:c r="F63" s="78"/>
      <x:c r="G63" s="78"/>
      <x:c r="H63" s="78"/>
    </x:row>
    <x:row r="64">
      <x:c r="B64" s="23" t="str">
        <x:v>Schedule</x:v>
      </x:c>
      <x:c r="C64" s="23" t="str">
        <x:v>Campaign maximum is 162 months</x:v>
      </x:c>
      <x:c r="D64" s="23" t="str">
        <x:f>IF('16 Schedule workforce'!D13=162,"PASS","FAIL")</x:f>
        <x:v>PASS</x:v>
      </x:c>
      <x:c r="E64" s="23" t="str">
        <x:v>PASS</x:v>
      </x:c>
      <x:c r="F64" s="78"/>
      <x:c r="G64" s="78"/>
      <x:c r="H64" s="78"/>
    </x:row>
    <x:row r="65">
      <x:c r="B65" s="23" t="str">
        <x:v>Workforce</x:v>
      </x:c>
      <x:c r="C65" s="23" t="str">
        <x:v>Peak campaign workforce is 28,000</x:v>
      </x:c>
      <x:c r="D65" s="23" t="str">
        <x:f>IF('16 Schedule workforce'!C25=28000,"PASS","FAIL")</x:f>
        <x:v>PASS</x:v>
      </x:c>
      <x:c r="E65" s="23" t="str">
        <x:v>PASS</x:v>
      </x:c>
      <x:c r="F65" s="78"/>
      <x:c r="G65" s="78"/>
      <x:c r="H65" s="78"/>
    </x:row>
    <x:row r="66">
      <x:c r="B66" s="23" t="str">
        <x:v>Workforce</x:v>
      </x:c>
      <x:c r="C66" s="23" t="str">
        <x:v>Workforce shares sum to one</x:v>
      </x:c>
      <x:c r="D66" s="23" t="str">
        <x:f>IF(ABS('16 Schedule workforce'!D25-1)&lt;0.000001,"PASS","FAIL")</x:f>
        <x:v>PASS</x:v>
      </x:c>
      <x:c r="E66" s="23" t="str">
        <x:v>PASS</x:v>
      </x:c>
      <x:c r="F66" s="78"/>
      <x:c r="G66" s="78"/>
      <x:c r="H66" s="78"/>
    </x:row>
    <x:row r="67">
      <x:c r="B67" s="23" t="str">
        <x:v>Translation</x:v>
      </x:c>
      <x:c r="C67" s="23" t="str">
        <x:v>All G4 counts are zero</x:v>
      </x:c>
      <x:c r="D67" s="23" t="str">
        <x:f>IF(SUM('12 Translation'!E7:E12)=0,"PASS","FAIL")</x:f>
        <x:v>PASS</x:v>
      </x:c>
      <x:c r="E67" s="23" t="str">
        <x:v>PASS</x:v>
      </x:c>
      <x:c r="F67" s="78"/>
      <x:c r="G67" s="78"/>
      <x:c r="H67" s="78"/>
    </x:row>
    <x:row r="68">
      <x:c r="B68" s="23" t="str">
        <x:v>Translation</x:v>
      </x:c>
      <x:c r="C68" s="23" t="str">
        <x:v>All quantity credits are zero</x:v>
      </x:c>
      <x:c r="D68" s="23" t="str">
        <x:f>IF(SUM('12 Translation'!F7:F12)=0,"PASS","FAIL")</x:f>
        <x:v>PASS</x:v>
      </x:c>
      <x:c r="E68" s="23" t="str">
        <x:v>PASS</x:v>
      </x:c>
      <x:c r="F68" s="78"/>
      <x:c r="G68" s="78"/>
      <x:c r="H68" s="78"/>
    </x:row>
    <x:row r="69">
      <x:c r="B69" s="23" t="str">
        <x:v>Authority</x:v>
      </x:c>
      <x:c r="C69" s="23" t="str">
        <x:v>No procurement is authorized</x:v>
      </x:c>
      <x:c r="D69" s="23" t="str">
        <x:f>IF(COUNTIF('18 Admissions'!F7:F15,"YES")=0,"PASS","FAIL")</x:f>
        <x:v>PASS</x:v>
      </x:c>
      <x:c r="E69" s="23" t="str">
        <x:v>PASS</x:v>
      </x:c>
      <x:c r="F69" s="78"/>
      <x:c r="G69" s="78"/>
      <x:c r="H69" s="78"/>
    </x:row>
    <x:row r="70">
      <x:c r="B70" s="23" t="str">
        <x:v>Authority</x:v>
      </x:c>
      <x:c r="C70" s="23" t="str">
        <x:v>No fielding is authorized</x:v>
      </x:c>
      <x:c r="D70" s="23" t="str">
        <x:f>IF(COUNTIF('18 Admissions'!G7:G15,"YES")=0,"PASS","FAIL")</x:f>
        <x:v>PASS</x:v>
      </x:c>
      <x:c r="E70" s="23" t="str">
        <x:v>PASS</x:v>
      </x:c>
      <x:c r="F70" s="78"/>
      <x:c r="G70" s="78"/>
      <x:c r="H70" s="78"/>
    </x:row>
    <x:row r="71">
      <x:c r="B71" s="23" t="str">
        <x:v>Authority</x:v>
      </x:c>
      <x:c r="C71" s="23" t="str">
        <x:v>No exterior form is authorized</x:v>
      </x:c>
      <x:c r="D71" s="23" t="str">
        <x:f>IF(COUNTIF('18 Admissions'!H7:H15,"YES")=0,"PASS","FAIL")</x:f>
        <x:v>PASS</x:v>
      </x:c>
      <x:c r="E71" s="23" t="str">
        <x:v>PASS</x:v>
      </x:c>
      <x:c r="F71" s="78"/>
      <x:c r="G71" s="78"/>
      <x:c r="H71" s="78"/>
    </x:row>
    <x:row r="72">
      <x:c r="B72" s="23" t="str">
        <x:v>Authority</x:v>
      </x:c>
      <x:c r="C72" s="23" t="str">
        <x:v>Admitted cross-credit remains zero</x:v>
      </x:c>
      <x:c r="D72" s="23" t="str">
        <x:f>IF('01 Controls'!C22=0,"PASS","FAIL")</x:f>
        <x:v>PASS</x:v>
      </x:c>
      <x:c r="E72" s="23" t="str">
        <x:v>PASS</x:v>
      </x:c>
      <x:c r="F72" s="78"/>
      <x:c r="G72" s="78"/>
      <x:c r="H72" s="78"/>
    </x:row>
    <x:row r="73">
      <x:c r="B73" s="23" t="str">
        <x:v>Scope</x:v>
      </x:c>
      <x:c r="C73" s="23" t="str">
        <x:v>Six duty profiles are registered</x:v>
      </x:c>
      <x:c r="D73" s="23" t="str">
        <x:f>IF(COUNTA('04 Duty profiles'!B7:B12)=6,"PASS","FAIL")</x:f>
        <x:v>PASS</x:v>
      </x:c>
      <x:c r="E73" s="23" t="str">
        <x:v>PASS</x:v>
      </x:c>
      <x:c r="F73" s="78"/>
      <x:c r="G73" s="78"/>
      <x:c r="H73" s="78"/>
    </x:row>
    <x:row r="74">
      <x:c r="B74" s="23" t="str">
        <x:v>Scope</x:v>
      </x:c>
      <x:c r="C74" s="23" t="str">
        <x:v>Three source classes are registered</x:v>
      </x:c>
      <x:c r="D74" s="23" t="str">
        <x:f>IF(COUNTA('05 Source classes'!B7:B9)=3,"PASS","FAIL")</x:f>
        <x:v>PASS</x:v>
      </x:c>
      <x:c r="E74" s="23" t="str">
        <x:v>PASS</x:v>
      </x:c>
      <x:c r="F74" s="78"/>
      <x:c r="G74" s="78"/>
      <x:c r="H74" s="78"/>
    </x:row>
    <x:row r="75">
      <x:c r="B75" s="24" t="str">
        <x:v>Scope</x:v>
      </x:c>
      <x:c r="C75" s="24" t="str">
        <x:v>Sixteen failure worlds are registered</x:v>
      </x:c>
      <x:c r="D75" s="24" t="str">
        <x:f>IF(COUNTA('11 Failure worlds'!B7:B22)=16,"PASS","FAIL")</x:f>
        <x:v>PASS</x:v>
      </x:c>
      <x:c r="E75" s="24" t="str">
        <x:v>PASS</x:v>
      </x:c>
      <x:c r="F75" s="78"/>
      <x:c r="G75" s="78"/>
      <x:c r="H75" s="78"/>
    </x:row>
  </x:sheetData>
  <x:conditionalFormatting sqref="D7:D75">
    <x:cfRule type="containsText" dxfId="0" priority="1" operator="containsText" text="FAIL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216582"/>
  </x:sheetPr>
  <x:sheetViews>
    <x:sheetView showGridLines="0" workbookViewId="0"/>
  </x:sheetViews>
  <x:sheetFormatPr defaultRowHeight="15"/>
  <x:cols>
    <x:col min="2" max="2" width="34" hidden="0" customWidth="1"/>
    <x:col min="3" max="3" width="72" hidden="0" customWidth="1"/>
    <x:col min="4" max="4" width="54" hidden="0" customWidth="1"/>
    <x:col min="5" max="5" width="34" hidden="0" customWidth="1"/>
  </x:cols>
  <x:sheetData>
    <x:row r="2">
      <x:c r="B2" s="1" t="str">
        <x:v>Internal lineage and definitions</x:v>
      </x:c>
      <x:c r="C2" s="78"/>
      <x:c r="D2" s="78"/>
      <x:c r="E2" s="78"/>
      <x:c r="F2" s="78"/>
      <x:c r="G2" s="78"/>
      <x:c r="H2" s="78"/>
    </x:row>
    <x:row r="3">
      <x:c r="B3" s="79"/>
      <x:c r="C3" s="79"/>
      <x:c r="D3" s="79"/>
      <x:c r="E3" s="79"/>
      <x:c r="F3" s="79"/>
      <x:c r="G3" s="79"/>
      <x:c r="H3" s="79"/>
    </x:row>
    <x:row r="4">
      <x:c r="B4" s="4" t="str">
        <x:v>Repository-native sources only. No external observation is implied.</x:v>
      </x:c>
      <x:c r="C4" s="78"/>
      <x:c r="D4" s="78"/>
      <x:c r="E4" s="78"/>
      <x:c r="F4" s="78"/>
      <x:c r="G4" s="78"/>
      <x:c r="H4" s="78"/>
    </x:row>
    <x:row r="5">
      <x:c r="B5" s="78"/>
      <x:c r="C5" s="78"/>
      <x:c r="D5" s="78"/>
      <x:c r="E5" s="78"/>
      <x:c r="F5" s="78"/>
      <x:c r="G5" s="78"/>
      <x:c r="H5" s="78"/>
    </x:row>
    <x:row r="6">
      <x:c r="B6" s="16" t="str">
        <x:v>Source object</x:v>
      </x:c>
      <x:c r="C6" s="17" t="str">
        <x:v>Repository path</x:v>
      </x:c>
      <x:c r="D6" s="17" t="str">
        <x:v>Imported content</x:v>
      </x:c>
      <x:c r="E6" s="18" t="str">
        <x:v>Scope limit</x:v>
      </x:c>
      <x:c r="F6" s="78"/>
      <x:c r="G6" s="78"/>
      <x:c r="H6" s="78"/>
    </x:row>
    <x:row r="7">
      <x:c r="B7" s="23" t="str">
        <x:v>RBT-1</x:v>
      </x:c>
      <x:c r="C7" s="23" t="str">
        <x:v>research/force/generation/f36-cisa40-sa6-root-a-production-equivalent-fire-control-group-set-crew-industrial-and-regeneration-constitution.md</x:v>
      </x:c>
      <x:c r="D7" s="23" t="str">
        <x:v>Fire source and distribution bill, mass, capital and loss state</x:v>
      </x:c>
      <x:c r="E7" s="23" t="str">
        <x:v>Planning constitution</x:v>
      </x:c>
      <x:c r="F7" s="78"/>
      <x:c r="G7" s="78"/>
      <x:c r="H7" s="78"/>
    </x:row>
    <x:row r="8">
      <x:c r="B8" s="23" t="str">
        <x:v>HCG-100</x:v>
      </x:c>
      <x:c r="C8" s="23" t="str">
        <x:v>research/systems/flood/configuration-model.md</x:v>
      </x:c>
      <x:c r="D8" s="23" t="str">
        <x:v>Inland power requirement and carried capacity</x:v>
      </x:c>
      <x:c r="E8" s="23" t="str">
        <x:v>First-order configuration</x:v>
      </x:c>
      <x:c r="F8" s="78"/>
      <x:c r="G8" s="78"/>
      <x:c r="H8" s="78"/>
    </x:row>
    <x:row r="9">
      <x:c r="B9" s="23" t="str">
        <x:v>PRG-100</x:v>
      </x:c>
      <x:c r="C9" s="23" t="str">
        <x:v>research/systems/power/configuration-model.md</x:v>
      </x:c>
      <x:c r="D9" s="23" t="str">
        <x:v>Load, reserve, source, storage, transformation, heat and mass</x:v>
      </x:c>
      <x:c r="E9" s="23" t="str">
        <x:v>First-order configuration</x:v>
      </x:c>
      <x:c r="F9" s="78"/>
      <x:c r="G9" s="78"/>
      <x:c r="H9" s="78"/>
    </x:row>
    <x:row r="10">
      <x:c r="B10" s="23" t="str">
        <x:v>P4</x:v>
      </x:c>
      <x:c r="C10" s="23" t="str">
        <x:v>research/force/projection/wrg-fr10-cellular-power-and-thermal-independence.md</x:v>
      </x:c>
      <x:c r="D10" s="23" t="str">
        <x:v>Water-cell source, storage, heat, control, mass and failure law</x:v>
      </x:c>
      <x:c r="E10" s="23" t="str">
        <x:v>Planning comparator</x:v>
      </x:c>
      <x:c r="F10" s="78"/>
      <x:c r="G10" s="78"/>
      <x:c r="H10" s="78"/>
    </x:row>
    <x:row r="11">
      <x:c r="B11" s="23" t="str">
        <x:v>PTS-5</x:v>
      </x:c>
      <x:c r="C11" s="23" t="str">
        <x:v>research/force/projection/pts5-fixed-service-island-independence-compiler.md</x:v>
      </x:c>
      <x:c r="D11" s="23" t="str">
        <x:v>Carried-cell electricity, energy, cooling, heat and black start</x:v>
      </x:c>
      <x:c r="E11" s="23" t="str">
        <x:v>Planning service contract</x:v>
      </x:c>
      <x:c r="F11" s="78"/>
      <x:c r="G11" s="78"/>
      <x:c r="H11" s="78"/>
    </x:row>
    <x:row r="12">
      <x:c r="B12" s="23" t="str">
        <x:v>TAFG-1 payload</x:v>
      </x:c>
      <x:c r="C12" s="23" t="str">
        <x:v>research/force/projection/tafg1-payload-arsenal-dispatch-compiler.md</x:v>
      </x:c>
      <x:c r="D12" s="23" t="str">
        <x:v>82 t source and 42 t black-start payload allocations</x:v>
      </x:c>
      <x:c r="E12" s="23" t="str">
        <x:v>Planning payload</x:v>
      </x:c>
      <x:c r="F12" s="78"/>
      <x:c r="G12" s="78"/>
      <x:c r="H12" s="78"/>
    </x:row>
    <x:row r="13">
      <x:c r="B13" s="24" t="str">
        <x:v>RBX-1</x:v>
      </x:c>
      <x:c r="C13" s="24" t="str">
        <x:v>research/force/generation/f36-cisa40-sa6-root-a-five-portfolio-concurrent-service-compiler-common-force-quantity-and-technology-convergence-constitution.md</x:v>
      </x:c>
      <x:c r="D13" s="24" t="str">
        <x:v>Translation law and TCP-01 envelope</x:v>
      </x:c>
      <x:c r="E13" s="24" t="str">
        <x:v>Parent constitution</x:v>
      </x:c>
      <x:c r="F13" s="78"/>
      <x:c r="G13" s="78"/>
      <x:c r="H13" s="78"/>
    </x:row>
    <x:row r="14">
      <x:c r="B14" s="78"/>
      <x:c r="C14" s="78"/>
      <x:c r="D14" s="78"/>
      <x:c r="E14" s="78"/>
      <x:c r="F14" s="78"/>
      <x:c r="G14" s="78"/>
      <x:c r="H14" s="78"/>
    </x:row>
    <x:row r="15">
      <x:c r="B15" s="78"/>
      <x:c r="C15" s="78"/>
      <x:c r="D15" s="78"/>
      <x:c r="E15" s="78"/>
      <x:c r="F15" s="78"/>
      <x:c r="G15" s="78"/>
      <x:c r="H15" s="78"/>
    </x:row>
    <x:row r="16">
      <x:c r="B16" s="78"/>
      <x:c r="C16" s="78"/>
      <x:c r="D16" s="78"/>
      <x:c r="E16" s="78"/>
      <x:c r="F16" s="78"/>
      <x:c r="G16" s="78"/>
      <x:c r="H16" s="78"/>
    </x:row>
    <x:row r="17">
      <x:c r="B17" s="78"/>
      <x:c r="C17" s="78"/>
      <x:c r="D17" s="78"/>
      <x:c r="E17" s="78"/>
      <x:c r="F17" s="78"/>
      <x:c r="G17" s="78"/>
      <x:c r="H17" s="78"/>
    </x:row>
    <x:row r="18">
      <x:c r="B18" s="16" t="str">
        <x:v>Term</x:v>
      </x:c>
      <x:c r="C18" s="17" t="str">
        <x:v>Meaning</x:v>
      </x:c>
      <x:c r="D18" s="18" t="str">
        <x:v>Excluded shortcut</x:v>
      </x:c>
      <x:c r="E18" s="78"/>
      <x:c r="F18" s="78"/>
      <x:c r="G18" s="78"/>
      <x:c r="H18" s="78"/>
    </x:row>
    <x:row r="19">
      <x:c r="B19" s="23" t="str">
        <x:v>Source-power cluster</x:v>
      </x:c>
      <x:c r="C19" s="23" t="str">
        <x:v>Configuration-controlled net electrical source transaction</x:v>
      </x:c>
      <x:c r="D19" s="23" t="str">
        <x:v>Generator nameplate alone</x:v>
      </x:c>
      <x:c r="E19" s="78"/>
      <x:c r="F19" s="78"/>
      <x:c r="G19" s="78"/>
      <x:c r="H19" s="78"/>
    </x:row>
    <x:row r="20">
      <x:c r="B20" s="23" t="str">
        <x:v>Loss quantum</x:v>
      </x:c>
      <x:c r="C20" s="23" t="str">
        <x:v>Capacity and service removed by isolating one article</x:v>
      </x:c>
      <x:c r="D20" s="23" t="str">
        <x:v>Average fleet availability</x:v>
      </x:c>
      <x:c r="E20" s="78"/>
      <x:c r="F20" s="78"/>
      <x:c r="G20" s="78"/>
      <x:c r="H20" s="78"/>
    </x:row>
    <x:row r="21">
      <x:c r="B21" s="23" t="str">
        <x:v>Storage time-shape</x:v>
      </x:c>
      <x:c r="C21" s="23" t="str">
        <x:v>Joint power, energy, safety and duration class</x:v>
      </x:c>
      <x:c r="D21" s="23" t="str">
        <x:v>MWh or MW alone</x:v>
      </x:c>
      <x:c r="E21" s="78"/>
      <x:c r="F21" s="78"/>
      <x:c r="G21" s="78"/>
      <x:c r="H21" s="78"/>
    </x:row>
    <x:row r="22">
      <x:c r="B22" s="23" t="str">
        <x:v>Protection node</x:v>
      </x:c>
      <x:c r="C22" s="23" t="str">
        <x:v>Transformation, grounding, isolation, metering and fault evidence</x:v>
      </x:c>
      <x:c r="D22" s="23" t="str">
        <x:v>Cable reel</x:v>
      </x:c>
      <x:c r="E22" s="78"/>
      <x:c r="F22" s="78"/>
      <x:c r="G22" s="78"/>
      <x:c r="H22" s="78"/>
    </x:row>
    <x:row r="23">
      <x:c r="B23" s="23" t="str">
        <x:v>Mission variant</x:v>
      </x:c>
      <x:c r="C23" s="23" t="str">
        <x:v>Energy, heat, route or receiver configuration qualified for one duty</x:v>
      </x:c>
      <x:c r="D23" s="23" t="str">
        <x:v>Universal attachment</x:v>
      </x:c>
      <x:c r="E23" s="78"/>
      <x:c r="F23" s="78"/>
      <x:c r="G23" s="78"/>
      <x:c r="H23" s="78"/>
    </x:row>
    <x:row r="24">
      <x:c r="B24" s="23" t="str">
        <x:v>Representative substitution</x:v>
      </x:c>
      <x:c r="C24" s="23" t="str">
        <x:v>The same serial completes both missions and returns</x:v>
      </x:c>
      <x:c r="D24" s="23" t="str">
        <x:v>Separate demonstration articles</x:v>
      </x:c>
      <x:c r="E24" s="78"/>
      <x:c r="F24" s="78"/>
      <x:c r="G24" s="78"/>
      <x:c r="H24" s="78"/>
    </x:row>
    <x:row r="25">
      <x:c r="B25" s="23" t="str">
        <x:v>G4</x:v>
      </x:c>
      <x:c r="C25" s="23" t="str">
        <x:v>Bounded mission-pair substitution authority</x:v>
      </x:c>
      <x:c r="D25" s="23" t="str">
        <x:v>Family-wide equivalence</x:v>
      </x:c>
      <x:c r="E25" s="78"/>
      <x:c r="F25" s="78"/>
      <x:c r="G25" s="78"/>
      <x:c r="H25" s="78"/>
    </x:row>
    <x:row r="26">
      <x:c r="B26" s="24" t="str">
        <x:v>Unavailable</x:v>
      </x:c>
      <x:c r="C26" s="24" t="str">
        <x:v>Required value lacks a lawful basis</x:v>
      </x:c>
      <x:c r="D26" s="24" t="str">
        <x:v>Zero</x:v>
      </x:c>
      <x:c r="E26" s="78"/>
      <x:c r="F26" s="78"/>
      <x:c r="G26" s="78"/>
      <x:c r="H26" s="78"/>
    </x:row>
  </x:sheetData>
  <x:pageMargins left="0.7" right="0.7" top="0.75" bottom="0.75" header="0.3" footer="0.3"/>
</x:worksheet>
</file>